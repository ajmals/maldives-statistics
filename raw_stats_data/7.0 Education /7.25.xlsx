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7. Education\"/>
    </mc:Choice>
  </mc:AlternateContent>
  <bookViews>
    <workbookView xWindow="-105" yWindow="-105" windowWidth="19425" windowHeight="10425" tabRatio="837"/>
  </bookViews>
  <sheets>
    <sheet name="7.25" sheetId="18" r:id="rId1"/>
  </sheets>
  <definedNames>
    <definedName name="_xlnm.Print_Area" localSheetId="0">'7.25'!$A$1:$N$133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8" i="18" l="1"/>
  <c r="H128" i="18"/>
  <c r="E128" i="18"/>
  <c r="B128" i="18"/>
  <c r="K127" i="18"/>
  <c r="H127" i="18"/>
  <c r="E127" i="18"/>
  <c r="B127" i="18"/>
  <c r="K126" i="18"/>
  <c r="K123" i="18" s="1"/>
  <c r="K125" i="18"/>
  <c r="K124" i="18"/>
  <c r="M123" i="18"/>
  <c r="L123" i="18"/>
  <c r="K122" i="18"/>
  <c r="K121" i="18"/>
  <c r="K116" i="18" s="1"/>
  <c r="K120" i="18"/>
  <c r="H119" i="18"/>
  <c r="H118" i="18"/>
  <c r="H117" i="18"/>
  <c r="M116" i="18"/>
  <c r="L116" i="18"/>
  <c r="J116" i="18"/>
  <c r="I116" i="18"/>
  <c r="H116" i="18" s="1"/>
  <c r="M115" i="18"/>
  <c r="L115" i="18"/>
  <c r="K115" i="18" s="1"/>
  <c r="H115" i="18"/>
  <c r="K114" i="18"/>
  <c r="H114" i="18"/>
  <c r="E114" i="18"/>
  <c r="M113" i="18"/>
  <c r="L113" i="18"/>
  <c r="K113" i="18" s="1"/>
  <c r="H113" i="18"/>
  <c r="E113" i="18"/>
  <c r="K112" i="18"/>
  <c r="H112" i="18"/>
  <c r="E112" i="18"/>
  <c r="K111" i="18"/>
  <c r="H111" i="18"/>
  <c r="E111" i="18"/>
  <c r="K110" i="18"/>
  <c r="H110" i="18"/>
  <c r="E110" i="18"/>
  <c r="K109" i="18"/>
  <c r="H109" i="18"/>
  <c r="E109" i="18"/>
  <c r="K108" i="18"/>
  <c r="H108" i="18"/>
  <c r="E108" i="18"/>
  <c r="E107" i="18" s="1"/>
  <c r="B108" i="18"/>
  <c r="B107" i="18" s="1"/>
  <c r="M107" i="18"/>
  <c r="L107" i="18"/>
  <c r="K107" i="18" s="1"/>
  <c r="J107" i="18"/>
  <c r="I107" i="18"/>
  <c r="G107" i="18"/>
  <c r="F107" i="18"/>
  <c r="C107" i="18"/>
  <c r="K106" i="18"/>
  <c r="H106" i="18"/>
  <c r="E106" i="18"/>
  <c r="B106" i="18"/>
  <c r="K105" i="18"/>
  <c r="H105" i="18"/>
  <c r="E105" i="18"/>
  <c r="B105" i="18"/>
  <c r="K104" i="18"/>
  <c r="H104" i="18"/>
  <c r="E104" i="18"/>
  <c r="B104" i="18"/>
  <c r="K103" i="18"/>
  <c r="H103" i="18"/>
  <c r="E103" i="18"/>
  <c r="B103" i="18"/>
  <c r="K102" i="18"/>
  <c r="H102" i="18"/>
  <c r="E102" i="18"/>
  <c r="B102" i="18"/>
  <c r="K101" i="18"/>
  <c r="H101" i="18"/>
  <c r="E101" i="18"/>
  <c r="B101" i="18"/>
  <c r="K100" i="18"/>
  <c r="H100" i="18"/>
  <c r="E100" i="18"/>
  <c r="C100" i="18"/>
  <c r="C99" i="18" s="1"/>
  <c r="M99" i="18"/>
  <c r="L99" i="18"/>
  <c r="J99" i="18"/>
  <c r="I99" i="18"/>
  <c r="H99" i="18" s="1"/>
  <c r="G99" i="18"/>
  <c r="F99" i="18"/>
  <c r="D99" i="18"/>
  <c r="K98" i="18"/>
  <c r="H98" i="18"/>
  <c r="K97" i="18"/>
  <c r="H97" i="18"/>
  <c r="E97" i="18"/>
  <c r="B97" i="18"/>
  <c r="K96" i="18"/>
  <c r="H96" i="18"/>
  <c r="E96" i="18"/>
  <c r="B96" i="18"/>
  <c r="K95" i="18"/>
  <c r="H95" i="18"/>
  <c r="E95" i="18"/>
  <c r="B95" i="18"/>
  <c r="K94" i="18"/>
  <c r="H94" i="18"/>
  <c r="E94" i="18"/>
  <c r="B94" i="18"/>
  <c r="K93" i="18"/>
  <c r="H93" i="18"/>
  <c r="E93" i="18"/>
  <c r="B93" i="18"/>
  <c r="K92" i="18"/>
  <c r="H92" i="18"/>
  <c r="E92" i="18"/>
  <c r="B92" i="18"/>
  <c r="K91" i="18"/>
  <c r="H91" i="18"/>
  <c r="E91" i="18"/>
  <c r="B91" i="18"/>
  <c r="K90" i="18"/>
  <c r="H90" i="18"/>
  <c r="E90" i="18"/>
  <c r="B90" i="18"/>
  <c r="K89" i="18"/>
  <c r="H89" i="18"/>
  <c r="E89" i="18"/>
  <c r="B89" i="18"/>
  <c r="K88" i="18"/>
  <c r="H88" i="18"/>
  <c r="E88" i="18"/>
  <c r="B88" i="18"/>
  <c r="K87" i="18"/>
  <c r="H87" i="18"/>
  <c r="E87" i="18"/>
  <c r="B87" i="18"/>
  <c r="K86" i="18"/>
  <c r="H86" i="18"/>
  <c r="E86" i="18"/>
  <c r="B86" i="18"/>
  <c r="K85" i="18"/>
  <c r="H85" i="18"/>
  <c r="E85" i="18"/>
  <c r="B85" i="18"/>
  <c r="K84" i="18"/>
  <c r="I84" i="18"/>
  <c r="H84" i="18" s="1"/>
  <c r="E84" i="18"/>
  <c r="B84" i="18"/>
  <c r="L83" i="18"/>
  <c r="K83" i="18" s="1"/>
  <c r="F83" i="18"/>
  <c r="E83" i="18" s="1"/>
  <c r="C83" i="18"/>
  <c r="B83" i="18" s="1"/>
  <c r="K82" i="18"/>
  <c r="K81" i="18"/>
  <c r="H81" i="18"/>
  <c r="E81" i="18"/>
  <c r="B81" i="18"/>
  <c r="K80" i="18"/>
  <c r="H80" i="18"/>
  <c r="E80" i="18"/>
  <c r="B80" i="18"/>
  <c r="K79" i="18"/>
  <c r="H79" i="18"/>
  <c r="E79" i="18"/>
  <c r="B79" i="18"/>
  <c r="K78" i="18"/>
  <c r="H78" i="18"/>
  <c r="E78" i="18"/>
  <c r="B78" i="18"/>
  <c r="K77" i="18"/>
  <c r="H77" i="18"/>
  <c r="E77" i="18"/>
  <c r="B77" i="18"/>
  <c r="K76" i="18"/>
  <c r="H76" i="18"/>
  <c r="E76" i="18"/>
  <c r="B76" i="18"/>
  <c r="K75" i="18"/>
  <c r="H75" i="18"/>
  <c r="E75" i="18"/>
  <c r="B75" i="18"/>
  <c r="K74" i="18"/>
  <c r="H74" i="18"/>
  <c r="E74" i="18"/>
  <c r="B74" i="18"/>
  <c r="K73" i="18"/>
  <c r="H73" i="18"/>
  <c r="E73" i="18"/>
  <c r="B73" i="18"/>
  <c r="K72" i="18"/>
  <c r="H72" i="18"/>
  <c r="E72" i="18"/>
  <c r="B72" i="18"/>
  <c r="K71" i="18"/>
  <c r="H71" i="18"/>
  <c r="E71" i="18"/>
  <c r="B71" i="18"/>
  <c r="K70" i="18"/>
  <c r="H70" i="18"/>
  <c r="E70" i="18"/>
  <c r="B70" i="18"/>
  <c r="K69" i="18"/>
  <c r="H69" i="18"/>
  <c r="E69" i="18"/>
  <c r="B69" i="18"/>
  <c r="K68" i="18"/>
  <c r="H68" i="18"/>
  <c r="E68" i="18"/>
  <c r="B68" i="18"/>
  <c r="K67" i="18"/>
  <c r="H67" i="18"/>
  <c r="E67" i="18"/>
  <c r="B67" i="18"/>
  <c r="M66" i="18"/>
  <c r="L66" i="18"/>
  <c r="K66" i="18" s="1"/>
  <c r="J66" i="18"/>
  <c r="I66" i="18"/>
  <c r="H66" i="18" s="1"/>
  <c r="G66" i="18"/>
  <c r="F66" i="18"/>
  <c r="B66" i="18"/>
  <c r="K65" i="18"/>
  <c r="K64" i="18"/>
  <c r="H64" i="18"/>
  <c r="K63" i="18"/>
  <c r="H63" i="18"/>
  <c r="K62" i="18"/>
  <c r="H62" i="18"/>
  <c r="K61" i="18"/>
  <c r="H61" i="18"/>
  <c r="K60" i="18"/>
  <c r="H60" i="18"/>
  <c r="E60" i="18"/>
  <c r="K59" i="18"/>
  <c r="H59" i="18"/>
  <c r="E59" i="18"/>
  <c r="B59" i="18"/>
  <c r="K58" i="18"/>
  <c r="H58" i="18"/>
  <c r="E58" i="18"/>
  <c r="B58" i="18"/>
  <c r="K57" i="18"/>
  <c r="H57" i="18"/>
  <c r="E57" i="18"/>
  <c r="B57" i="18"/>
  <c r="K56" i="18"/>
  <c r="H56" i="18"/>
  <c r="F56" i="18"/>
  <c r="E56" i="18"/>
  <c r="C56" i="18"/>
  <c r="B56" i="18" s="1"/>
  <c r="M55" i="18"/>
  <c r="M43" i="18" s="1"/>
  <c r="L55" i="18"/>
  <c r="K55" i="18" s="1"/>
  <c r="J55" i="18"/>
  <c r="I55" i="18"/>
  <c r="H55" i="18" s="1"/>
  <c r="G55" i="18"/>
  <c r="F55" i="18"/>
  <c r="E55" i="18"/>
  <c r="K54" i="18"/>
  <c r="H54" i="18"/>
  <c r="E54" i="18"/>
  <c r="B54" i="18"/>
  <c r="K53" i="18"/>
  <c r="H53" i="18"/>
  <c r="E53" i="18"/>
  <c r="B53" i="18"/>
  <c r="K52" i="18"/>
  <c r="H52" i="18"/>
  <c r="E52" i="18"/>
  <c r="B52" i="18"/>
  <c r="K51" i="18"/>
  <c r="H51" i="18"/>
  <c r="E51" i="18"/>
  <c r="B51" i="18"/>
  <c r="K50" i="18"/>
  <c r="H50" i="18"/>
  <c r="E50" i="18"/>
  <c r="B50" i="18"/>
  <c r="K49" i="18"/>
  <c r="H49" i="18"/>
  <c r="E49" i="18"/>
  <c r="B49" i="18"/>
  <c r="K48" i="18"/>
  <c r="H48" i="18"/>
  <c r="E48" i="18"/>
  <c r="B48" i="18"/>
  <c r="M47" i="18"/>
  <c r="L47" i="18"/>
  <c r="J47" i="18"/>
  <c r="I47" i="18"/>
  <c r="H47" i="18" s="1"/>
  <c r="G47" i="18"/>
  <c r="F47" i="18"/>
  <c r="B47" i="18"/>
  <c r="K46" i="18"/>
  <c r="H46" i="18"/>
  <c r="K45" i="18"/>
  <c r="H45" i="18"/>
  <c r="E45" i="18"/>
  <c r="B45" i="18"/>
  <c r="M44" i="18"/>
  <c r="L44" i="18"/>
  <c r="J44" i="18"/>
  <c r="I44" i="18"/>
  <c r="H44" i="18" s="1"/>
  <c r="G44" i="18"/>
  <c r="F44" i="18"/>
  <c r="E44" i="18"/>
  <c r="B44" i="18"/>
  <c r="K42" i="18"/>
  <c r="H42" i="18"/>
  <c r="E42" i="18"/>
  <c r="B42" i="18"/>
  <c r="K41" i="18"/>
  <c r="H41" i="18"/>
  <c r="E41" i="18"/>
  <c r="B41" i="18"/>
  <c r="K40" i="18"/>
  <c r="H40" i="18"/>
  <c r="G40" i="18"/>
  <c r="G32" i="18" s="1"/>
  <c r="F40" i="18"/>
  <c r="E40" i="18"/>
  <c r="C40" i="18"/>
  <c r="B40" i="18" s="1"/>
  <c r="K39" i="18"/>
  <c r="H39" i="18"/>
  <c r="E39" i="18"/>
  <c r="B39" i="18"/>
  <c r="K38" i="18"/>
  <c r="H38" i="18"/>
  <c r="E38" i="18"/>
  <c r="D38" i="18"/>
  <c r="B38" i="18"/>
  <c r="K37" i="18"/>
  <c r="H37" i="18"/>
  <c r="E37" i="18"/>
  <c r="B37" i="18"/>
  <c r="L36" i="18"/>
  <c r="K36" i="18"/>
  <c r="H36" i="18"/>
  <c r="F36" i="18"/>
  <c r="E36" i="18" s="1"/>
  <c r="C36" i="18"/>
  <c r="B36" i="18" s="1"/>
  <c r="K35" i="18"/>
  <c r="H35" i="18"/>
  <c r="F35" i="18"/>
  <c r="E35" i="18" s="1"/>
  <c r="C35" i="18"/>
  <c r="B35" i="18"/>
  <c r="K34" i="18"/>
  <c r="H34" i="18"/>
  <c r="F34" i="18"/>
  <c r="E34" i="18" s="1"/>
  <c r="C34" i="18"/>
  <c r="B34" i="18"/>
  <c r="K33" i="18"/>
  <c r="H33" i="18"/>
  <c r="E33" i="18"/>
  <c r="B33" i="18"/>
  <c r="M32" i="18"/>
  <c r="L32" i="18"/>
  <c r="K32" i="18" s="1"/>
  <c r="J32" i="18"/>
  <c r="I32" i="18"/>
  <c r="D32" i="18"/>
  <c r="L31" i="18"/>
  <c r="K31" i="18" s="1"/>
  <c r="H31" i="18"/>
  <c r="L30" i="18"/>
  <c r="K30" i="18" s="1"/>
  <c r="H30" i="18"/>
  <c r="K29" i="18"/>
  <c r="H29" i="18"/>
  <c r="E29" i="18"/>
  <c r="B29" i="18"/>
  <c r="K28" i="18"/>
  <c r="H28" i="18"/>
  <c r="E28" i="18"/>
  <c r="B28" i="18"/>
  <c r="K27" i="18"/>
  <c r="H27" i="18"/>
  <c r="E27" i="18"/>
  <c r="B27" i="18"/>
  <c r="K26" i="18"/>
  <c r="H26" i="18"/>
  <c r="E26" i="18"/>
  <c r="B26" i="18"/>
  <c r="K25" i="18"/>
  <c r="H25" i="18"/>
  <c r="E25" i="18"/>
  <c r="B25" i="18"/>
  <c r="K24" i="18"/>
  <c r="H24" i="18"/>
  <c r="E24" i="18"/>
  <c r="B24" i="18"/>
  <c r="K23" i="18"/>
  <c r="H23" i="18"/>
  <c r="L22" i="18"/>
  <c r="K22" i="18" s="1"/>
  <c r="H22" i="18"/>
  <c r="G22" i="18"/>
  <c r="F22" i="18"/>
  <c r="C22" i="18"/>
  <c r="B22" i="18" s="1"/>
  <c r="L21" i="18"/>
  <c r="K21" i="18"/>
  <c r="H21" i="18"/>
  <c r="F21" i="18"/>
  <c r="E21" i="18" s="1"/>
  <c r="C21" i="18"/>
  <c r="B21" i="18" s="1"/>
  <c r="M20" i="18"/>
  <c r="K20" i="18" s="1"/>
  <c r="L20" i="18"/>
  <c r="H20" i="18"/>
  <c r="G20" i="18"/>
  <c r="F20" i="18"/>
  <c r="E20" i="18" s="1"/>
  <c r="L19" i="18"/>
  <c r="J19" i="18"/>
  <c r="I19" i="18"/>
  <c r="H19" i="18" s="1"/>
  <c r="C19" i="18"/>
  <c r="B19" i="18" s="1"/>
  <c r="K18" i="18"/>
  <c r="H18" i="18"/>
  <c r="E18" i="18"/>
  <c r="B18" i="18"/>
  <c r="K17" i="18"/>
  <c r="H17" i="18"/>
  <c r="E17" i="18"/>
  <c r="B17" i="18"/>
  <c r="K16" i="18"/>
  <c r="H16" i="18"/>
  <c r="E16" i="18"/>
  <c r="B16" i="18"/>
  <c r="M15" i="18"/>
  <c r="L15" i="18"/>
  <c r="K15" i="18" s="1"/>
  <c r="H15" i="18"/>
  <c r="G15" i="18"/>
  <c r="F15" i="18"/>
  <c r="F14" i="18" s="1"/>
  <c r="E15" i="18"/>
  <c r="C15" i="18"/>
  <c r="B15" i="18" s="1"/>
  <c r="M14" i="18"/>
  <c r="L14" i="18"/>
  <c r="K14" i="18"/>
  <c r="J14" i="18"/>
  <c r="I14" i="18"/>
  <c r="G14" i="18"/>
  <c r="D14" i="18"/>
  <c r="L13" i="18"/>
  <c r="K13" i="18"/>
  <c r="H13" i="18"/>
  <c r="K12" i="18"/>
  <c r="H12" i="18"/>
  <c r="E12" i="18"/>
  <c r="C12" i="18"/>
  <c r="B12" i="18" s="1"/>
  <c r="K11" i="18"/>
  <c r="H11" i="18"/>
  <c r="E11" i="18"/>
  <c r="B11" i="18"/>
  <c r="K10" i="18"/>
  <c r="H10" i="18"/>
  <c r="E10" i="18"/>
  <c r="B10" i="18"/>
  <c r="L9" i="18"/>
  <c r="K9" i="18"/>
  <c r="I9" i="18"/>
  <c r="H9" i="18" s="1"/>
  <c r="F9" i="18"/>
  <c r="E9" i="18" s="1"/>
  <c r="I8" i="18"/>
  <c r="F32" i="18" l="1"/>
  <c r="E32" i="18" s="1"/>
  <c r="F43" i="18"/>
  <c r="E43" i="18" s="1"/>
  <c r="H14" i="18"/>
  <c r="H32" i="18"/>
  <c r="K47" i="18"/>
  <c r="C9" i="18"/>
  <c r="E22" i="18"/>
  <c r="J43" i="18"/>
  <c r="E99" i="18"/>
  <c r="D8" i="18"/>
  <c r="D7" i="18" s="1"/>
  <c r="F19" i="18"/>
  <c r="L8" i="18"/>
  <c r="L43" i="18"/>
  <c r="K43" i="18" s="1"/>
  <c r="K99" i="18"/>
  <c r="C14" i="18"/>
  <c r="B14" i="18" s="1"/>
  <c r="C32" i="18"/>
  <c r="B32" i="18" s="1"/>
  <c r="E47" i="18"/>
  <c r="E66" i="18"/>
  <c r="H107" i="18"/>
  <c r="F8" i="18"/>
  <c r="E14" i="18"/>
  <c r="L7" i="18"/>
  <c r="B9" i="18"/>
  <c r="K44" i="18"/>
  <c r="C55" i="18"/>
  <c r="B100" i="18"/>
  <c r="B99" i="18" s="1"/>
  <c r="J8" i="18"/>
  <c r="G19" i="18"/>
  <c r="M19" i="18"/>
  <c r="M8" i="18" s="1"/>
  <c r="M7" i="18" s="1"/>
  <c r="I43" i="18"/>
  <c r="I83" i="18"/>
  <c r="H83" i="18" s="1"/>
  <c r="C8" i="18" l="1"/>
  <c r="B8" i="18" s="1"/>
  <c r="K8" i="18"/>
  <c r="B55" i="18"/>
  <c r="C43" i="18"/>
  <c r="F7" i="18"/>
  <c r="K19" i="18"/>
  <c r="H43" i="18"/>
  <c r="I7" i="18"/>
  <c r="H7" i="18" s="1"/>
  <c r="G8" i="18"/>
  <c r="G7" i="18" s="1"/>
  <c r="E19" i="18"/>
  <c r="H8" i="18"/>
  <c r="J7" i="18"/>
  <c r="K7" i="18"/>
  <c r="E7" i="18" l="1"/>
  <c r="E8" i="18"/>
  <c r="B43" i="18"/>
  <c r="C7" i="18"/>
  <c r="B7" i="18" s="1"/>
</calcChain>
</file>

<file path=xl/sharedStrings.xml><?xml version="1.0" encoding="utf-8"?>
<sst xmlns="http://schemas.openxmlformats.org/spreadsheetml/2006/main" count="141" uniqueCount="108">
  <si>
    <t xml:space="preserve"> </t>
  </si>
  <si>
    <t>Male</t>
  </si>
  <si>
    <t>Female</t>
  </si>
  <si>
    <t>Type of Training</t>
  </si>
  <si>
    <t>Maldives Polytechnic</t>
  </si>
  <si>
    <t xml:space="preserve">Regional Youth Vocational Training Centres ( RYVTC )  </t>
  </si>
  <si>
    <t>Short Courses</t>
  </si>
  <si>
    <t>Mobile Courses</t>
  </si>
  <si>
    <t>IHDP Project Courses</t>
  </si>
  <si>
    <t>Online</t>
  </si>
  <si>
    <t>Hunaru Project Courses</t>
  </si>
  <si>
    <t>School Polytechnic Program Courses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</si>
  <si>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</si>
  <si>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Source: Maldives Polytechnic</t>
  </si>
  <si>
    <t xml:space="preserve"> Both Sexes</t>
  </si>
  <si>
    <t>Grand Total</t>
  </si>
  <si>
    <t>Diploma (2 Years)</t>
  </si>
  <si>
    <t>Building Construction</t>
  </si>
  <si>
    <t>Civil Engineering</t>
  </si>
  <si>
    <t>Automotive Engineering</t>
  </si>
  <si>
    <t>Diploma (1 1/2 Years)</t>
  </si>
  <si>
    <t>Architecture</t>
  </si>
  <si>
    <t>Small Business Management</t>
  </si>
  <si>
    <t>Advance Certificate  (1 1/2 Years)</t>
  </si>
  <si>
    <t xml:space="preserve">      Engine Repair &amp; Maintenance</t>
  </si>
  <si>
    <t xml:space="preserve">      Electrical &amp; Electronics Engineering</t>
  </si>
  <si>
    <t>Refrigeration &amp; Air-Conditioning</t>
  </si>
  <si>
    <t>Power Systems Operation &amp; Maintenance</t>
  </si>
  <si>
    <t xml:space="preserve">     Electrical &amp; Electronics Specialized in Security Systems</t>
  </si>
  <si>
    <t>Welding &amp; Sheet Metal</t>
  </si>
  <si>
    <t>Machining &amp; Mechanical Fitting</t>
  </si>
  <si>
    <t xml:space="preserve">     Building Construction</t>
  </si>
  <si>
    <t>Small Business Mnagement</t>
  </si>
  <si>
    <t xml:space="preserve"> Certificate III  (15 Weeks)</t>
  </si>
  <si>
    <t xml:space="preserve"> Welding and Sheet Metal</t>
  </si>
  <si>
    <t xml:space="preserve"> Refrigeration &amp; Air-Conditioning</t>
  </si>
  <si>
    <t xml:space="preserve"> Engine Repair &amp; Maintenance</t>
  </si>
  <si>
    <t xml:space="preserve"> Electrician</t>
  </si>
  <si>
    <t xml:space="preserve"> Office Management</t>
  </si>
  <si>
    <t xml:space="preserve"> Hair &amp; Beauty Therapy</t>
  </si>
  <si>
    <t xml:space="preserve"> Immigration Enforcement Studies</t>
  </si>
  <si>
    <t>Information Technology</t>
  </si>
  <si>
    <t>Automotive Repair &amp; Maintenance</t>
  </si>
  <si>
    <t>Advance Certificate Course (1 1/2 years)</t>
  </si>
  <si>
    <t>Electrical &amp; Electronics Engineering</t>
  </si>
  <si>
    <t>Engine Repair &amp; Maintenance</t>
  </si>
  <si>
    <t>Desalination System Operation &amp; Maintenance</t>
  </si>
  <si>
    <t>Wooden &amp; Fiberglass BoatBuilding</t>
  </si>
  <si>
    <t>Advanced National Certificate in Welding</t>
  </si>
  <si>
    <t>Certificate III  (15 Weeks)</t>
  </si>
  <si>
    <t xml:space="preserve">  Electrician</t>
  </si>
  <si>
    <t xml:space="preserve"> Refrigeration &amp; Air-Conditioning  </t>
  </si>
  <si>
    <t>Furniture Carpentry &amp; Wood Carving</t>
  </si>
  <si>
    <t xml:space="preserve"> Certificate I  (1 Month)</t>
  </si>
  <si>
    <t>National Certificate Level III in Refrigeration &amp; Airconditioning Mechanics</t>
  </si>
  <si>
    <t>Basic Certificate in Refrigeration &amp; Airconditioning Mechanics</t>
  </si>
  <si>
    <t>Advanced Certificate in Arc Welding</t>
  </si>
  <si>
    <t>National Certificate Level III in Tig Welding</t>
  </si>
  <si>
    <t>National Certificaet III in IT Technician</t>
  </si>
  <si>
    <t>Certificate III in Electrician</t>
  </si>
  <si>
    <t>National Certificate II in Marine Mechanics</t>
  </si>
  <si>
    <t>National Certificate III in Electrician</t>
  </si>
  <si>
    <t>Basic Arc Welding</t>
  </si>
  <si>
    <t>Outboard  Engine Operation &amp; Maintenance</t>
  </si>
  <si>
    <t>Wood Carving</t>
  </si>
  <si>
    <t>Wood Carving and Lacqurer Work</t>
  </si>
  <si>
    <t xml:space="preserve">Certificate 3 in Furniture Carpentry </t>
  </si>
  <si>
    <t>Certificate III in ElectricIan</t>
  </si>
  <si>
    <t>Coastal Navigation</t>
  </si>
  <si>
    <t>Road Worthiness Inspection Training Programme</t>
  </si>
  <si>
    <t>Renewable Energy Systems Installation and Maintenance</t>
  </si>
  <si>
    <t>Engine Operation and Maintenace</t>
  </si>
  <si>
    <t xml:space="preserve">Certificate III in Marine Technician </t>
  </si>
  <si>
    <t>Certificate III in Furniture Carpentry</t>
  </si>
  <si>
    <t>Certificate III in Renewable Energy</t>
  </si>
  <si>
    <t>Certificate III in Wooden &amp; Fiber Glass Boat Building</t>
  </si>
  <si>
    <t>Certificate III in Furniture Carpentry &amp; Wood Carving</t>
  </si>
  <si>
    <t>Certificate III in Engine Repair &amp; Maintenance</t>
  </si>
  <si>
    <t xml:space="preserve">Certificate III in Refrigeration &amp; Air-Conditioning  </t>
  </si>
  <si>
    <t>Certificate III in Welding and Sheet Metal</t>
  </si>
  <si>
    <t>Certificate III in Information Technology</t>
  </si>
  <si>
    <t>Certificate III in Small Business Management</t>
  </si>
  <si>
    <t>Certificate III in Customer Relation &amp; Front Office</t>
  </si>
  <si>
    <t>Certificate III in Project Management &amp; Administration</t>
  </si>
  <si>
    <t xml:space="preserve">Certificate III in Office Management &amp; Administration </t>
  </si>
  <si>
    <t>Advanced Certificate in Small Business Management</t>
  </si>
  <si>
    <t>Diploma in Small Business Mnagement</t>
  </si>
  <si>
    <t>Out Reach Centre</t>
  </si>
  <si>
    <t xml:space="preserve">Certificate III in Jewelery </t>
  </si>
  <si>
    <t>* Advanced Certificate Course alinged to M.Q.A format effective from 2011 September.</t>
  </si>
  <si>
    <t>Community Based Training</t>
  </si>
  <si>
    <t>Marine Engineering</t>
  </si>
  <si>
    <t>Office Administrtation &amp; Management</t>
  </si>
  <si>
    <t>Project Management &amp; Aministration</t>
  </si>
  <si>
    <t>Certificate III in Furniture Carpentry &amp; Joinery</t>
  </si>
  <si>
    <t>Customer Relation &amp; Front Office</t>
  </si>
  <si>
    <t>Diploma in Office Administrtation &amp; Management</t>
  </si>
  <si>
    <t>TVET (National Certificate)</t>
  </si>
  <si>
    <t>National Certificate IV in Phamacy Assistant</t>
  </si>
  <si>
    <t>National Certificate III in Phamacy Assistant</t>
  </si>
  <si>
    <t>Diploma in Nursing</t>
  </si>
  <si>
    <t>National Certificate III in Front Office</t>
  </si>
  <si>
    <t>National certificate III in Food Preparation</t>
  </si>
  <si>
    <t>National Certificate III in Pastry &amp; Bakery</t>
  </si>
  <si>
    <t>Guest House Management</t>
  </si>
  <si>
    <t xml:space="preserve">Certificate III in Welding &amp; Sheet Metal </t>
  </si>
  <si>
    <t xml:space="preserve"> Table  7.25:   STUDENT ENROLMENT IN TECHNICAL EDUCATION, BY TYPE OF TRAINING AND SEX, 2017 - 2020</t>
  </si>
  <si>
    <t xml:space="preserve"> ތާވަލް 7.25: ތަމްރީނުގެ ބާވަތާއި ޖިންސުގެ ގޮތުން ފަންނީ ތަޢުލީމްގެ ދާއިރާއިން ކިޔަވާ ކުދިންގެ އަދަދު، 2017 - 2020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</si>
</sst>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6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ourier"/>
      <family val="3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Faruma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name val="Courier"/>
      <family val="3"/>
    </font>
    <font>
      <b/>
      <sz val="11"/>
      <name val="Courier"/>
      <family val="3"/>
    </font>
    <font>
      <i/>
      <sz val="11"/>
      <name val="Calibri"/>
      <family val="2"/>
      <scheme val="minor"/>
    </font>
    <font>
      <b/>
      <sz val="11"/>
      <color theme="1"/>
      <name val="Courier"/>
      <family val="3"/>
    </font>
    <font>
      <b/>
      <i/>
      <sz val="11"/>
      <name val="Courier"/>
      <family val="3"/>
    </font>
    <font>
      <b/>
      <i/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166" fontId="6" fillId="0" borderId="0"/>
    <xf numFmtId="0" fontId="3" fillId="0" borderId="0"/>
    <xf numFmtId="0" fontId="3" fillId="0" borderId="0"/>
    <xf numFmtId="164" fontId="6" fillId="0" borderId="0"/>
    <xf numFmtId="165" fontId="6" fillId="0" borderId="0"/>
    <xf numFmtId="164" fontId="6" fillId="0" borderId="0"/>
    <xf numFmtId="165" fontId="6" fillId="0" borderId="0"/>
    <xf numFmtId="40" fontId="18" fillId="0" borderId="0" applyFont="0" applyFill="0" applyBorder="0" applyAlignment="0" applyProtection="0"/>
    <xf numFmtId="165" fontId="6" fillId="0" borderId="0"/>
    <xf numFmtId="164" fontId="6" fillId="0" borderId="0"/>
    <xf numFmtId="164" fontId="6" fillId="0" borderId="0"/>
  </cellStyleXfs>
  <cellXfs count="55">
    <xf numFmtId="0" fontId="0" fillId="0" borderId="0" xfId="0"/>
    <xf numFmtId="0" fontId="0" fillId="2" borderId="0" xfId="0" applyFill="1"/>
    <xf numFmtId="164" fontId="11" fillId="2" borderId="0" xfId="5" applyNumberFormat="1" applyFont="1" applyFill="1" applyBorder="1" applyAlignment="1">
      <alignment horizontal="left" vertical="center"/>
    </xf>
    <xf numFmtId="164" fontId="6" fillId="2" borderId="0" xfId="8" applyNumberFormat="1" applyFill="1"/>
    <xf numFmtId="164" fontId="5" fillId="2" borderId="0" xfId="7" applyNumberFormat="1" applyFont="1" applyFill="1" applyBorder="1" applyAlignment="1">
      <alignment horizontal="center"/>
    </xf>
    <xf numFmtId="164" fontId="6" fillId="2" borderId="0" xfId="7" applyNumberFormat="1" applyFill="1" applyBorder="1"/>
    <xf numFmtId="164" fontId="6" fillId="2" borderId="0" xfId="8" applyNumberFormat="1" applyFill="1" applyBorder="1"/>
    <xf numFmtId="164" fontId="12" fillId="2" borderId="0" xfId="7" applyNumberFormat="1" applyFont="1" applyFill="1" applyAlignment="1">
      <alignment vertical="center"/>
    </xf>
    <xf numFmtId="164" fontId="12" fillId="2" borderId="0" xfId="8" applyNumberFormat="1" applyFont="1" applyFill="1" applyAlignment="1">
      <alignment vertical="center"/>
    </xf>
    <xf numFmtId="164" fontId="4" fillId="2" borderId="1" xfId="7" applyNumberFormat="1" applyFont="1" applyFill="1" applyBorder="1" applyAlignment="1">
      <alignment horizontal="right" vertical="center"/>
    </xf>
    <xf numFmtId="164" fontId="4" fillId="2" borderId="6" xfId="7" applyNumberFormat="1" applyFont="1" applyFill="1" applyBorder="1" applyAlignment="1">
      <alignment horizontal="right" vertical="center"/>
    </xf>
    <xf numFmtId="164" fontId="12" fillId="2" borderId="0" xfId="7" applyNumberFormat="1" applyFont="1" applyFill="1"/>
    <xf numFmtId="164" fontId="12" fillId="2" borderId="0" xfId="8" applyNumberFormat="1" applyFont="1" applyFill="1"/>
    <xf numFmtId="164" fontId="4" fillId="2" borderId="2" xfId="7" applyNumberFormat="1" applyFont="1" applyFill="1" applyBorder="1" applyAlignment="1">
      <alignment vertical="center"/>
    </xf>
    <xf numFmtId="164" fontId="4" fillId="2" borderId="2" xfId="7" applyNumberFormat="1" applyFont="1" applyFill="1" applyBorder="1" applyAlignment="1">
      <alignment horizontal="right" vertical="center"/>
    </xf>
    <xf numFmtId="164" fontId="4" fillId="2" borderId="3" xfId="7" applyNumberFormat="1" applyFont="1" applyFill="1" applyBorder="1" applyAlignment="1">
      <alignment horizontal="right" vertical="center"/>
    </xf>
    <xf numFmtId="164" fontId="4" fillId="2" borderId="0" xfId="7" applyNumberFormat="1" applyFont="1" applyFill="1" applyBorder="1" applyAlignment="1">
      <alignment vertical="center"/>
    </xf>
    <xf numFmtId="164" fontId="4" fillId="2" borderId="0" xfId="7" applyNumberFormat="1" applyFont="1" applyFill="1" applyBorder="1" applyAlignment="1">
      <alignment horizontal="right" vertical="center"/>
    </xf>
    <xf numFmtId="164" fontId="13" fillId="2" borderId="0" xfId="7" applyNumberFormat="1" applyFont="1" applyFill="1" applyAlignment="1">
      <alignment vertical="center"/>
    </xf>
    <xf numFmtId="164" fontId="13" fillId="2" borderId="0" xfId="8" applyNumberFormat="1" applyFont="1" applyFill="1" applyAlignment="1">
      <alignment vertical="center"/>
    </xf>
    <xf numFmtId="164" fontId="4" fillId="2" borderId="0" xfId="7" applyNumberFormat="1" applyFont="1" applyFill="1" applyBorder="1" applyAlignment="1">
      <alignment horizontal="left" vertical="center"/>
    </xf>
    <xf numFmtId="164" fontId="14" fillId="2" borderId="0" xfId="7" applyNumberFormat="1" applyFont="1" applyFill="1" applyBorder="1" applyAlignment="1">
      <alignment horizontal="left" vertical="center" indent="2"/>
    </xf>
    <xf numFmtId="164" fontId="7" fillId="2" borderId="0" xfId="7" applyNumberFormat="1" applyFont="1" applyFill="1" applyBorder="1" applyAlignment="1">
      <alignment horizontal="right" vertical="center"/>
    </xf>
    <xf numFmtId="164" fontId="7" fillId="2" borderId="3" xfId="7" applyNumberFormat="1" applyFont="1" applyFill="1" applyBorder="1" applyAlignment="1">
      <alignment horizontal="right" vertical="center"/>
    </xf>
    <xf numFmtId="164" fontId="14" fillId="2" borderId="0" xfId="7" applyNumberFormat="1" applyFont="1" applyFill="1" applyBorder="1" applyAlignment="1">
      <alignment vertical="center"/>
    </xf>
    <xf numFmtId="164" fontId="14" fillId="2" borderId="0" xfId="7" applyNumberFormat="1" applyFont="1" applyFill="1" applyBorder="1" applyAlignment="1">
      <alignment horizontal="left" vertical="center"/>
    </xf>
    <xf numFmtId="164" fontId="12" fillId="2" borderId="0" xfId="7" applyNumberFormat="1" applyFont="1" applyFill="1" applyBorder="1" applyAlignment="1">
      <alignment vertical="center"/>
    </xf>
    <xf numFmtId="164" fontId="12" fillId="2" borderId="0" xfId="8" applyNumberFormat="1" applyFont="1" applyFill="1" applyBorder="1" applyAlignment="1">
      <alignment vertical="center"/>
    </xf>
    <xf numFmtId="164" fontId="13" fillId="2" borderId="0" xfId="7" applyNumberFormat="1" applyFont="1" applyFill="1" applyBorder="1" applyAlignment="1">
      <alignment vertical="center"/>
    </xf>
    <xf numFmtId="164" fontId="2" fillId="2" borderId="0" xfId="7" applyNumberFormat="1" applyFont="1" applyFill="1" applyBorder="1" applyAlignment="1">
      <alignment horizontal="right" vertical="center"/>
    </xf>
    <xf numFmtId="164" fontId="15" fillId="2" borderId="0" xfId="7" applyNumberFormat="1" applyFont="1" applyFill="1" applyAlignment="1">
      <alignment vertical="center"/>
    </xf>
    <xf numFmtId="164" fontId="1" fillId="2" borderId="0" xfId="7" applyNumberFormat="1" applyFont="1" applyFill="1" applyBorder="1" applyAlignment="1">
      <alignment horizontal="right" vertical="center"/>
    </xf>
    <xf numFmtId="164" fontId="13" fillId="2" borderId="0" xfId="8" applyNumberFormat="1" applyFont="1" applyFill="1" applyBorder="1" applyAlignment="1">
      <alignment vertical="center"/>
    </xf>
    <xf numFmtId="164" fontId="12" fillId="2" borderId="0" xfId="8" applyNumberFormat="1" applyFont="1" applyFill="1" applyBorder="1" applyAlignment="1"/>
    <xf numFmtId="164" fontId="6" fillId="2" borderId="0" xfId="8" applyNumberFormat="1" applyFont="1" applyFill="1"/>
    <xf numFmtId="164" fontId="16" fillId="2" borderId="0" xfId="7" applyNumberFormat="1" applyFont="1" applyFill="1" applyAlignment="1">
      <alignment vertical="center"/>
    </xf>
    <xf numFmtId="164" fontId="17" fillId="2" borderId="0" xfId="8" applyNumberFormat="1" applyFont="1" applyFill="1" applyAlignment="1"/>
    <xf numFmtId="164" fontId="14" fillId="2" borderId="1" xfId="7" applyNumberFormat="1" applyFont="1" applyFill="1" applyBorder="1" applyAlignment="1">
      <alignment horizontal="left" vertical="center" indent="2"/>
    </xf>
    <xf numFmtId="164" fontId="7" fillId="2" borderId="1" xfId="7" applyNumberFormat="1" applyFont="1" applyFill="1" applyBorder="1" applyAlignment="1">
      <alignment horizontal="right" vertical="center"/>
    </xf>
    <xf numFmtId="164" fontId="7" fillId="2" borderId="4" xfId="7" applyNumberFormat="1" applyFont="1" applyFill="1" applyBorder="1" applyAlignment="1">
      <alignment horizontal="right" vertical="center"/>
    </xf>
    <xf numFmtId="164" fontId="6" fillId="2" borderId="0" xfId="7" applyNumberFormat="1" applyFont="1" applyFill="1"/>
    <xf numFmtId="164" fontId="12" fillId="2" borderId="0" xfId="8" applyNumberFormat="1" applyFont="1" applyFill="1" applyAlignment="1"/>
    <xf numFmtId="164" fontId="8" fillId="2" borderId="0" xfId="7" applyNumberFormat="1" applyFont="1" applyFill="1" applyAlignment="1"/>
    <xf numFmtId="164" fontId="6" fillId="2" borderId="0" xfId="7" applyNumberFormat="1" applyFont="1" applyFill="1" applyAlignment="1"/>
    <xf numFmtId="164" fontId="8" fillId="2" borderId="0" xfId="5" applyNumberFormat="1" applyFont="1" applyFill="1" applyAlignment="1">
      <alignment vertical="top"/>
    </xf>
    <xf numFmtId="164" fontId="12" fillId="2" borderId="0" xfId="7" applyNumberFormat="1" applyFont="1" applyFill="1" applyAlignment="1"/>
    <xf numFmtId="164" fontId="4" fillId="2" borderId="0" xfId="7" applyNumberFormat="1" applyFont="1" applyFill="1" applyBorder="1" applyAlignment="1">
      <alignment horizontal="center" vertical="center"/>
    </xf>
    <xf numFmtId="164" fontId="6" fillId="2" borderId="0" xfId="8" applyNumberFormat="1" applyFill="1" applyAlignment="1"/>
    <xf numFmtId="164" fontId="6" fillId="2" borderId="0" xfId="7" applyNumberFormat="1" applyFill="1" applyAlignment="1"/>
    <xf numFmtId="164" fontId="10" fillId="2" borderId="0" xfId="7" applyNumberFormat="1" applyFont="1" applyFill="1" applyBorder="1" applyAlignment="1">
      <alignment horizontal="center" vertical="center"/>
    </xf>
    <xf numFmtId="164" fontId="9" fillId="2" borderId="0" xfId="7" applyNumberFormat="1" applyFont="1" applyFill="1" applyAlignment="1">
      <alignment horizontal="center" vertical="center"/>
    </xf>
    <xf numFmtId="164" fontId="4" fillId="2" borderId="6" xfId="7" applyNumberFormat="1" applyFont="1" applyFill="1" applyBorder="1" applyAlignment="1">
      <alignment horizontal="center" vertical="center"/>
    </xf>
    <xf numFmtId="164" fontId="4" fillId="2" borderId="5" xfId="7" applyNumberFormat="1" applyFont="1" applyFill="1" applyBorder="1" applyAlignment="1">
      <alignment horizontal="center" vertical="center"/>
    </xf>
    <xf numFmtId="164" fontId="4" fillId="2" borderId="2" xfId="7" applyNumberFormat="1" applyFont="1" applyFill="1" applyBorder="1" applyAlignment="1">
      <alignment horizontal="left" vertical="center"/>
    </xf>
    <xf numFmtId="164" fontId="4" fillId="2" borderId="1" xfId="7" applyNumberFormat="1" applyFont="1" applyFill="1" applyBorder="1" applyAlignment="1">
      <alignment horizontal="left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13</xdr:row>
      <xdr:rowOff>0</xdr:rowOff>
    </xdr:from>
    <xdr:to>
      <xdr:col>8</xdr:col>
      <xdr:colOff>0</xdr:colOff>
      <xdr:row>13</xdr:row>
      <xdr:rowOff>142875</xdr:rowOff>
    </xdr:to>
    <xdr:sp macro="" textlink="">
      <xdr:nvSpPr>
        <xdr:cNvPr id="2" name="Text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17878425" y="23241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8</xdr:col>
      <xdr:colOff>0</xdr:colOff>
      <xdr:row>13</xdr:row>
      <xdr:rowOff>0</xdr:rowOff>
    </xdr:from>
    <xdr:to>
      <xdr:col>8</xdr:col>
      <xdr:colOff>0</xdr:colOff>
      <xdr:row>13</xdr:row>
      <xdr:rowOff>142875</xdr:rowOff>
    </xdr:to>
    <xdr:sp macro="" textlink="">
      <xdr:nvSpPr>
        <xdr:cNvPr id="3" name="Text 8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17878425" y="23241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14</xdr:col>
      <xdr:colOff>0</xdr:colOff>
      <xdr:row>14</xdr:row>
      <xdr:rowOff>0</xdr:rowOff>
    </xdr:from>
    <xdr:to>
      <xdr:col>14</xdr:col>
      <xdr:colOff>0</xdr:colOff>
      <xdr:row>14</xdr:row>
      <xdr:rowOff>142875</xdr:rowOff>
    </xdr:to>
    <xdr:sp macro="" textlink="">
      <xdr:nvSpPr>
        <xdr:cNvPr id="4" name="Text 8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218313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14</xdr:col>
      <xdr:colOff>0</xdr:colOff>
      <xdr:row>14</xdr:row>
      <xdr:rowOff>0</xdr:rowOff>
    </xdr:from>
    <xdr:to>
      <xdr:col>14</xdr:col>
      <xdr:colOff>0</xdr:colOff>
      <xdr:row>14</xdr:row>
      <xdr:rowOff>142875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218313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H138"/>
  <sheetViews>
    <sheetView tabSelected="1" zoomScaleNormal="100" workbookViewId="0">
      <selection activeCell="O108" sqref="O108"/>
    </sheetView>
  </sheetViews>
  <sheetFormatPr defaultRowHeight="12" x14ac:dyDescent="0.15"/>
  <cols>
    <col min="1" max="1" width="50.5703125" style="3" customWidth="1"/>
    <col min="2" max="2" width="11" style="3" customWidth="1"/>
    <col min="3" max="3" width="8.85546875" style="3" customWidth="1"/>
    <col min="4" max="4" width="8.140625" style="3" customWidth="1"/>
    <col min="5" max="5" width="11" style="3" customWidth="1"/>
    <col min="6" max="6" width="8.85546875" style="3" customWidth="1"/>
    <col min="7" max="7" width="8.140625" style="3" customWidth="1"/>
    <col min="8" max="8" width="11" style="3" customWidth="1"/>
    <col min="9" max="9" width="8.85546875" style="3" customWidth="1"/>
    <col min="10" max="10" width="8.140625" style="3" customWidth="1"/>
    <col min="11" max="11" width="11" style="3" customWidth="1"/>
    <col min="12" max="12" width="8.85546875" style="3" customWidth="1"/>
    <col min="13" max="13" width="8.140625" style="3" customWidth="1"/>
    <col min="14" max="14" width="12.5703125" style="3" customWidth="1"/>
    <col min="15" max="16" width="12.140625" style="3" customWidth="1"/>
    <col min="17" max="16384" width="9.140625" style="3"/>
  </cols>
  <sheetData>
    <row r="2" spans="1:34" ht="21.75" x14ac:dyDescent="0.25">
      <c r="A2" s="50" t="s">
        <v>107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1"/>
      <c r="O2" s="1"/>
      <c r="P2" s="1"/>
    </row>
    <row r="3" spans="1:34" ht="15.75" x14ac:dyDescent="0.25">
      <c r="A3" s="49" t="s">
        <v>106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1"/>
      <c r="O3" s="1"/>
      <c r="P3" s="1"/>
    </row>
    <row r="4" spans="1:34" s="6" customFormat="1" ht="12.75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34" s="8" customFormat="1" ht="15" x14ac:dyDescent="0.25">
      <c r="A5" s="53" t="s">
        <v>3</v>
      </c>
      <c r="B5" s="51">
        <v>2017</v>
      </c>
      <c r="C5" s="52"/>
      <c r="D5" s="52"/>
      <c r="E5" s="51">
        <v>2018</v>
      </c>
      <c r="F5" s="52"/>
      <c r="G5" s="52"/>
      <c r="H5" s="51">
        <v>2019</v>
      </c>
      <c r="I5" s="52"/>
      <c r="J5" s="52"/>
      <c r="K5" s="51">
        <v>2020</v>
      </c>
      <c r="L5" s="52"/>
      <c r="M5" s="52"/>
      <c r="N5" s="7"/>
      <c r="O5" s="7"/>
      <c r="P5" s="7"/>
    </row>
    <row r="6" spans="1:34" s="12" customFormat="1" ht="15" x14ac:dyDescent="0.15">
      <c r="A6" s="54"/>
      <c r="B6" s="10" t="s">
        <v>14</v>
      </c>
      <c r="C6" s="9" t="s">
        <v>1</v>
      </c>
      <c r="D6" s="9" t="s">
        <v>2</v>
      </c>
      <c r="E6" s="10" t="s">
        <v>14</v>
      </c>
      <c r="F6" s="9" t="s">
        <v>1</v>
      </c>
      <c r="G6" s="9" t="s">
        <v>2</v>
      </c>
      <c r="H6" s="10" t="s">
        <v>14</v>
      </c>
      <c r="I6" s="9" t="s">
        <v>1</v>
      </c>
      <c r="J6" s="9" t="s">
        <v>2</v>
      </c>
      <c r="K6" s="10" t="s">
        <v>14</v>
      </c>
      <c r="L6" s="9" t="s">
        <v>1</v>
      </c>
      <c r="M6" s="9" t="s">
        <v>2</v>
      </c>
      <c r="N6" s="11"/>
      <c r="O6" s="11"/>
      <c r="P6" s="11"/>
    </row>
    <row r="7" spans="1:34" s="8" customFormat="1" ht="15" x14ac:dyDescent="0.25">
      <c r="A7" s="13" t="s">
        <v>15</v>
      </c>
      <c r="B7" s="15">
        <f>C7+D7</f>
        <v>958</v>
      </c>
      <c r="C7" s="14">
        <f>C8+C43+C99+C83+C107</f>
        <v>897</v>
      </c>
      <c r="D7" s="14">
        <f>D8+D43+D99</f>
        <v>61</v>
      </c>
      <c r="E7" s="15">
        <f>F7+G7</f>
        <v>560</v>
      </c>
      <c r="F7" s="14">
        <f>F8+F43+F99+F83+F107</f>
        <v>484</v>
      </c>
      <c r="G7" s="14">
        <f>G8+G43+G107+G116</f>
        <v>76</v>
      </c>
      <c r="H7" s="15">
        <f>I7+J7</f>
        <v>1143</v>
      </c>
      <c r="I7" s="14">
        <f>I8+I43+I83+I107+I116</f>
        <v>842</v>
      </c>
      <c r="J7" s="14">
        <f>J8+J43+J107+J116</f>
        <v>301</v>
      </c>
      <c r="K7" s="15">
        <f>L7+M7</f>
        <v>662</v>
      </c>
      <c r="L7" s="14">
        <f>L8+L43+L99+L83+L107+L123+L116</f>
        <v>478</v>
      </c>
      <c r="M7" s="14">
        <f>M8+M43+M99+M107+M116+M123</f>
        <v>184</v>
      </c>
      <c r="N7" s="7"/>
      <c r="O7" s="7"/>
      <c r="P7" s="7"/>
    </row>
    <row r="8" spans="1:34" s="19" customFormat="1" ht="15" x14ac:dyDescent="0.25">
      <c r="A8" s="16" t="s">
        <v>4</v>
      </c>
      <c r="B8" s="15">
        <f>C8+D8</f>
        <v>467</v>
      </c>
      <c r="C8" s="17">
        <f>C9+C14+C19+C32</f>
        <v>418</v>
      </c>
      <c r="D8" s="17">
        <f>D9+D14+D19+D32</f>
        <v>49</v>
      </c>
      <c r="E8" s="15">
        <f>F8+G8</f>
        <v>370</v>
      </c>
      <c r="F8" s="17">
        <f>F9+F14+F19+F32</f>
        <v>346</v>
      </c>
      <c r="G8" s="17">
        <f>G9+G14+G19+G32</f>
        <v>24</v>
      </c>
      <c r="H8" s="15">
        <f>I8+J8</f>
        <v>498</v>
      </c>
      <c r="I8" s="17">
        <f>I9+I14+I19+I32</f>
        <v>459</v>
      </c>
      <c r="J8" s="17">
        <f>J9+J14+J19+J32</f>
        <v>39</v>
      </c>
      <c r="K8" s="15">
        <f>L8+M8</f>
        <v>343</v>
      </c>
      <c r="L8" s="17">
        <f>L9+L14+L19+L32</f>
        <v>309</v>
      </c>
      <c r="M8" s="17">
        <f>M9+M14+M19+M32</f>
        <v>34</v>
      </c>
      <c r="N8" s="18"/>
      <c r="O8" s="18"/>
      <c r="P8" s="18"/>
    </row>
    <row r="9" spans="1:34" s="19" customFormat="1" ht="15" x14ac:dyDescent="0.25">
      <c r="A9" s="20" t="s">
        <v>16</v>
      </c>
      <c r="B9" s="15">
        <f>C9+D9</f>
        <v>49</v>
      </c>
      <c r="C9" s="17">
        <f>C11+C12</f>
        <v>49</v>
      </c>
      <c r="D9" s="17">
        <v>0</v>
      </c>
      <c r="E9" s="15">
        <f>F9+G9</f>
        <v>9</v>
      </c>
      <c r="F9" s="17">
        <f>F11+F12</f>
        <v>9</v>
      </c>
      <c r="G9" s="17">
        <v>0</v>
      </c>
      <c r="H9" s="15">
        <f>I9+J9</f>
        <v>27</v>
      </c>
      <c r="I9" s="17">
        <f>I11+I12+I13</f>
        <v>27</v>
      </c>
      <c r="J9" s="17">
        <v>0</v>
      </c>
      <c r="K9" s="15">
        <f>L9+M9</f>
        <v>15</v>
      </c>
      <c r="L9" s="17">
        <f>L11+L12+L13</f>
        <v>15</v>
      </c>
      <c r="M9" s="17">
        <v>0</v>
      </c>
      <c r="N9" s="18"/>
      <c r="O9" s="18"/>
      <c r="P9" s="18"/>
    </row>
    <row r="10" spans="1:34" s="19" customFormat="1" ht="15" hidden="1" x14ac:dyDescent="0.25">
      <c r="A10" s="21" t="s">
        <v>17</v>
      </c>
      <c r="B10" s="15">
        <f t="shared" ref="B10:B88" si="0">C10+D10</f>
        <v>0</v>
      </c>
      <c r="C10" s="22"/>
      <c r="D10" s="22"/>
      <c r="E10" s="15">
        <f t="shared" ref="E10:E15" si="1">F10+G10</f>
        <v>0</v>
      </c>
      <c r="F10" s="22"/>
      <c r="G10" s="22"/>
      <c r="H10" s="15">
        <f t="shared" ref="H10:H83" si="2">I10+J10</f>
        <v>0</v>
      </c>
      <c r="I10" s="22"/>
      <c r="J10" s="22"/>
      <c r="K10" s="15">
        <f t="shared" ref="K10:K83" si="3">L10+M10</f>
        <v>0</v>
      </c>
      <c r="L10" s="22"/>
      <c r="M10" s="22"/>
      <c r="N10" s="18"/>
      <c r="O10" s="18"/>
      <c r="P10" s="18"/>
    </row>
    <row r="11" spans="1:34" s="8" customFormat="1" ht="15" x14ac:dyDescent="0.25">
      <c r="A11" s="21" t="s">
        <v>18</v>
      </c>
      <c r="B11" s="23">
        <f t="shared" si="0"/>
        <v>0</v>
      </c>
      <c r="C11" s="22">
        <v>0</v>
      </c>
      <c r="D11" s="22">
        <v>0</v>
      </c>
      <c r="E11" s="23">
        <f t="shared" si="1"/>
        <v>0</v>
      </c>
      <c r="F11" s="22">
        <v>0</v>
      </c>
      <c r="G11" s="22">
        <v>0</v>
      </c>
      <c r="H11" s="23">
        <f t="shared" si="2"/>
        <v>0</v>
      </c>
      <c r="I11" s="22">
        <v>0</v>
      </c>
      <c r="J11" s="22">
        <v>0</v>
      </c>
      <c r="K11" s="23">
        <f t="shared" si="3"/>
        <v>0</v>
      </c>
      <c r="L11" s="22">
        <v>0</v>
      </c>
      <c r="M11" s="22">
        <v>0</v>
      </c>
      <c r="N11" s="18"/>
      <c r="O11" s="18"/>
      <c r="P11" s="18"/>
    </row>
    <row r="12" spans="1:34" s="8" customFormat="1" ht="15" x14ac:dyDescent="0.25">
      <c r="A12" s="21" t="s">
        <v>19</v>
      </c>
      <c r="B12" s="23">
        <f t="shared" si="0"/>
        <v>49</v>
      </c>
      <c r="C12" s="22">
        <f>31+18</f>
        <v>49</v>
      </c>
      <c r="D12" s="22">
        <v>0</v>
      </c>
      <c r="E12" s="23">
        <f t="shared" si="1"/>
        <v>9</v>
      </c>
      <c r="F12" s="22">
        <v>9</v>
      </c>
      <c r="G12" s="22">
        <v>0</v>
      </c>
      <c r="H12" s="23">
        <f t="shared" si="2"/>
        <v>10</v>
      </c>
      <c r="I12" s="22">
        <v>10</v>
      </c>
      <c r="J12" s="22">
        <v>0</v>
      </c>
      <c r="K12" s="23">
        <f t="shared" si="3"/>
        <v>4</v>
      </c>
      <c r="L12" s="22">
        <v>4</v>
      </c>
      <c r="M12" s="22">
        <v>0</v>
      </c>
      <c r="N12" s="18"/>
      <c r="O12" s="18"/>
      <c r="P12" s="18"/>
    </row>
    <row r="13" spans="1:34" s="8" customFormat="1" ht="15" x14ac:dyDescent="0.25">
      <c r="A13" s="21" t="s">
        <v>91</v>
      </c>
      <c r="B13" s="23">
        <v>0</v>
      </c>
      <c r="C13" s="22">
        <v>0</v>
      </c>
      <c r="D13" s="22">
        <v>0</v>
      </c>
      <c r="E13" s="23">
        <v>0</v>
      </c>
      <c r="F13" s="22">
        <v>0</v>
      </c>
      <c r="G13" s="22">
        <v>0</v>
      </c>
      <c r="H13" s="23">
        <f t="shared" si="2"/>
        <v>17</v>
      </c>
      <c r="I13" s="22">
        <v>17</v>
      </c>
      <c r="J13" s="22">
        <v>0</v>
      </c>
      <c r="K13" s="23">
        <f t="shared" si="3"/>
        <v>11</v>
      </c>
      <c r="L13" s="22">
        <f>2+9</f>
        <v>11</v>
      </c>
      <c r="M13" s="22">
        <v>0</v>
      </c>
      <c r="N13" s="18"/>
      <c r="O13" s="18"/>
      <c r="P13" s="18"/>
    </row>
    <row r="14" spans="1:34" s="19" customFormat="1" ht="15.75" x14ac:dyDescent="0.25">
      <c r="A14" s="20" t="s">
        <v>20</v>
      </c>
      <c r="B14" s="15">
        <f t="shared" si="0"/>
        <v>37</v>
      </c>
      <c r="C14" s="17">
        <f>C15+C16</f>
        <v>28</v>
      </c>
      <c r="D14" s="17">
        <f>D15+D16</f>
        <v>9</v>
      </c>
      <c r="E14" s="15">
        <f t="shared" si="1"/>
        <v>14</v>
      </c>
      <c r="F14" s="17">
        <f>F15+F16</f>
        <v>10</v>
      </c>
      <c r="G14" s="17">
        <f>G15+G16</f>
        <v>4</v>
      </c>
      <c r="H14" s="15">
        <f t="shared" si="2"/>
        <v>31</v>
      </c>
      <c r="I14" s="17">
        <f>I15+I16</f>
        <v>26</v>
      </c>
      <c r="J14" s="17">
        <f>J15+J16</f>
        <v>5</v>
      </c>
      <c r="K14" s="15">
        <f>L14+M14</f>
        <v>44</v>
      </c>
      <c r="L14" s="17">
        <f>L15+L16+L17+L18</f>
        <v>33</v>
      </c>
      <c r="M14" s="17">
        <f>M15+M16+M17+M18</f>
        <v>11</v>
      </c>
      <c r="N14" s="18"/>
      <c r="O14" s="1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 spans="1:34" s="8" customFormat="1" ht="15" x14ac:dyDescent="0.25">
      <c r="A15" s="21" t="s">
        <v>21</v>
      </c>
      <c r="B15" s="23">
        <f t="shared" si="0"/>
        <v>27</v>
      </c>
      <c r="C15" s="22">
        <f>16+4</f>
        <v>20</v>
      </c>
      <c r="D15" s="22">
        <v>7</v>
      </c>
      <c r="E15" s="23">
        <f t="shared" si="1"/>
        <v>14</v>
      </c>
      <c r="F15" s="22">
        <f>7+3</f>
        <v>10</v>
      </c>
      <c r="G15" s="22">
        <f>2+2</f>
        <v>4</v>
      </c>
      <c r="H15" s="23">
        <f t="shared" si="2"/>
        <v>21</v>
      </c>
      <c r="I15" s="22">
        <v>16</v>
      </c>
      <c r="J15" s="22">
        <v>5</v>
      </c>
      <c r="K15" s="23">
        <f t="shared" si="3"/>
        <v>36</v>
      </c>
      <c r="L15" s="22">
        <f>9+11+6</f>
        <v>26</v>
      </c>
      <c r="M15" s="22">
        <f>1+5+4</f>
        <v>10</v>
      </c>
      <c r="N15" s="18"/>
      <c r="O15" s="18"/>
      <c r="P15" s="18"/>
    </row>
    <row r="16" spans="1:34" s="8" customFormat="1" ht="15" x14ac:dyDescent="0.25">
      <c r="A16" s="21" t="s">
        <v>18</v>
      </c>
      <c r="B16" s="23">
        <f>C16+D16</f>
        <v>10</v>
      </c>
      <c r="C16" s="22">
        <v>8</v>
      </c>
      <c r="D16" s="22">
        <v>2</v>
      </c>
      <c r="E16" s="23">
        <f>F16+G16</f>
        <v>0</v>
      </c>
      <c r="F16" s="22">
        <v>0</v>
      </c>
      <c r="G16" s="22">
        <v>0</v>
      </c>
      <c r="H16" s="23">
        <f t="shared" si="2"/>
        <v>10</v>
      </c>
      <c r="I16" s="22">
        <v>10</v>
      </c>
      <c r="J16" s="22">
        <v>0</v>
      </c>
      <c r="K16" s="23">
        <f t="shared" si="3"/>
        <v>8</v>
      </c>
      <c r="L16" s="22">
        <v>7</v>
      </c>
      <c r="M16" s="22">
        <v>1</v>
      </c>
      <c r="N16" s="18"/>
      <c r="O16" s="18"/>
      <c r="P16" s="18"/>
    </row>
    <row r="17" spans="1:17" s="8" customFormat="1" ht="15" x14ac:dyDescent="0.25">
      <c r="A17" s="21" t="s">
        <v>17</v>
      </c>
      <c r="B17" s="23">
        <f t="shared" si="0"/>
        <v>0</v>
      </c>
      <c r="C17" s="22">
        <v>0</v>
      </c>
      <c r="D17" s="22">
        <v>0</v>
      </c>
      <c r="E17" s="23">
        <f t="shared" ref="E17:E22" si="4">F17+G17</f>
        <v>0</v>
      </c>
      <c r="F17" s="22">
        <v>0</v>
      </c>
      <c r="G17" s="22">
        <v>0</v>
      </c>
      <c r="H17" s="23">
        <f t="shared" si="2"/>
        <v>0</v>
      </c>
      <c r="I17" s="22">
        <v>0</v>
      </c>
      <c r="J17" s="22">
        <v>0</v>
      </c>
      <c r="K17" s="23">
        <f t="shared" si="3"/>
        <v>0</v>
      </c>
      <c r="L17" s="22">
        <v>0</v>
      </c>
      <c r="M17" s="22">
        <v>0</v>
      </c>
      <c r="N17" s="18"/>
      <c r="O17" s="18"/>
      <c r="P17" s="18"/>
    </row>
    <row r="18" spans="1:17" s="8" customFormat="1" ht="15" x14ac:dyDescent="0.25">
      <c r="A18" s="21" t="s">
        <v>22</v>
      </c>
      <c r="B18" s="23">
        <f t="shared" si="0"/>
        <v>0</v>
      </c>
      <c r="C18" s="22">
        <v>0</v>
      </c>
      <c r="D18" s="22">
        <v>0</v>
      </c>
      <c r="E18" s="23">
        <f t="shared" si="4"/>
        <v>0</v>
      </c>
      <c r="F18" s="22">
        <v>0</v>
      </c>
      <c r="G18" s="22">
        <v>0</v>
      </c>
      <c r="H18" s="23">
        <f t="shared" si="2"/>
        <v>0</v>
      </c>
      <c r="I18" s="22">
        <v>0</v>
      </c>
      <c r="J18" s="22">
        <v>0</v>
      </c>
      <c r="K18" s="23">
        <f t="shared" si="3"/>
        <v>0</v>
      </c>
      <c r="L18" s="22">
        <v>0</v>
      </c>
      <c r="M18" s="22">
        <v>0</v>
      </c>
      <c r="N18" s="18"/>
      <c r="O18" s="18"/>
      <c r="P18" s="18"/>
    </row>
    <row r="19" spans="1:17" s="19" customFormat="1" ht="15" x14ac:dyDescent="0.25">
      <c r="A19" s="20" t="s">
        <v>23</v>
      </c>
      <c r="B19" s="15">
        <f t="shared" si="0"/>
        <v>111</v>
      </c>
      <c r="C19" s="17">
        <f>C21+C22+C23+C29</f>
        <v>111</v>
      </c>
      <c r="D19" s="17">
        <v>0</v>
      </c>
      <c r="E19" s="15">
        <f t="shared" si="4"/>
        <v>138</v>
      </c>
      <c r="F19" s="17">
        <f>F21+F22+F23+F29</f>
        <v>136</v>
      </c>
      <c r="G19" s="17">
        <f>G22</f>
        <v>2</v>
      </c>
      <c r="H19" s="15">
        <f t="shared" si="2"/>
        <v>289</v>
      </c>
      <c r="I19" s="17">
        <f>I21+I22+I23+I29+I30+I31+I20</f>
        <v>267</v>
      </c>
      <c r="J19" s="17">
        <f>J20</f>
        <v>22</v>
      </c>
      <c r="K19" s="15">
        <f t="shared" si="3"/>
        <v>189</v>
      </c>
      <c r="L19" s="17">
        <f>L20+L21+L22+L23+L29+L30+L31</f>
        <v>168</v>
      </c>
      <c r="M19" s="17">
        <f>M20+M21+M22+M23+M29+M30+M31</f>
        <v>21</v>
      </c>
      <c r="N19" s="18"/>
      <c r="O19" s="18"/>
      <c r="P19" s="18"/>
    </row>
    <row r="20" spans="1:17" s="19" customFormat="1" ht="15" x14ac:dyDescent="0.25">
      <c r="A20" s="21" t="s">
        <v>21</v>
      </c>
      <c r="B20" s="23">
        <v>0</v>
      </c>
      <c r="C20" s="22">
        <v>0</v>
      </c>
      <c r="D20" s="22">
        <v>0</v>
      </c>
      <c r="E20" s="23">
        <f>F20+G20</f>
        <v>37</v>
      </c>
      <c r="F20" s="22">
        <f>8+22</f>
        <v>30</v>
      </c>
      <c r="G20" s="22">
        <f>4+3</f>
        <v>7</v>
      </c>
      <c r="H20" s="23">
        <f t="shared" si="2"/>
        <v>88</v>
      </c>
      <c r="I20" s="22">
        <v>66</v>
      </c>
      <c r="J20" s="22">
        <v>22</v>
      </c>
      <c r="K20" s="23">
        <f t="shared" si="3"/>
        <v>57</v>
      </c>
      <c r="L20" s="22">
        <f>23+14</f>
        <v>37</v>
      </c>
      <c r="M20" s="22">
        <f>12+8</f>
        <v>20</v>
      </c>
      <c r="N20" s="18"/>
      <c r="O20" s="18"/>
      <c r="P20" s="18"/>
    </row>
    <row r="21" spans="1:17" s="8" customFormat="1" ht="15" x14ac:dyDescent="0.25">
      <c r="A21" s="24" t="s">
        <v>24</v>
      </c>
      <c r="B21" s="23">
        <f t="shared" si="0"/>
        <v>66</v>
      </c>
      <c r="C21" s="22">
        <f>22+10+14+20</f>
        <v>66</v>
      </c>
      <c r="D21" s="22">
        <v>0</v>
      </c>
      <c r="E21" s="23">
        <f t="shared" si="4"/>
        <v>75</v>
      </c>
      <c r="F21" s="22">
        <f>15+15+24+21</f>
        <v>75</v>
      </c>
      <c r="G21" s="22">
        <v>0</v>
      </c>
      <c r="H21" s="23">
        <f t="shared" si="2"/>
        <v>58</v>
      </c>
      <c r="I21" s="22">
        <v>58</v>
      </c>
      <c r="J21" s="22">
        <v>0</v>
      </c>
      <c r="K21" s="23">
        <f t="shared" si="3"/>
        <v>27</v>
      </c>
      <c r="L21" s="22">
        <f>10+17</f>
        <v>27</v>
      </c>
      <c r="M21" s="22">
        <v>0</v>
      </c>
      <c r="N21" s="18"/>
      <c r="O21" s="18"/>
      <c r="P21" s="18"/>
    </row>
    <row r="22" spans="1:17" s="8" customFormat="1" ht="15" x14ac:dyDescent="0.25">
      <c r="A22" s="25" t="s">
        <v>25</v>
      </c>
      <c r="B22" s="23">
        <f t="shared" si="0"/>
        <v>45</v>
      </c>
      <c r="C22" s="22">
        <f>9+6+12+18</f>
        <v>45</v>
      </c>
      <c r="D22" s="22">
        <v>0</v>
      </c>
      <c r="E22" s="23">
        <f t="shared" si="4"/>
        <v>63</v>
      </c>
      <c r="F22" s="22">
        <f>6+8+27+20</f>
        <v>61</v>
      </c>
      <c r="G22" s="22">
        <f>1+1</f>
        <v>2</v>
      </c>
      <c r="H22" s="23">
        <f t="shared" si="2"/>
        <v>103</v>
      </c>
      <c r="I22" s="22">
        <v>103</v>
      </c>
      <c r="J22" s="22">
        <v>0</v>
      </c>
      <c r="K22" s="23">
        <f t="shared" si="3"/>
        <v>58</v>
      </c>
      <c r="L22" s="22">
        <f>20+20+17</f>
        <v>57</v>
      </c>
      <c r="M22" s="22">
        <v>1</v>
      </c>
      <c r="N22" s="18"/>
      <c r="O22" s="18"/>
      <c r="P22" s="18"/>
    </row>
    <row r="23" spans="1:17" s="8" customFormat="1" ht="15" x14ac:dyDescent="0.25">
      <c r="A23" s="21" t="s">
        <v>26</v>
      </c>
      <c r="B23" s="23">
        <v>0</v>
      </c>
      <c r="C23" s="22">
        <v>0</v>
      </c>
      <c r="D23" s="22">
        <v>0</v>
      </c>
      <c r="E23" s="23">
        <v>0</v>
      </c>
      <c r="F23" s="22">
        <v>0</v>
      </c>
      <c r="G23" s="22">
        <v>0</v>
      </c>
      <c r="H23" s="23">
        <f t="shared" si="2"/>
        <v>6</v>
      </c>
      <c r="I23" s="22">
        <v>6</v>
      </c>
      <c r="J23" s="22">
        <v>0</v>
      </c>
      <c r="K23" s="23">
        <f t="shared" si="3"/>
        <v>14</v>
      </c>
      <c r="L23" s="22">
        <v>14</v>
      </c>
      <c r="M23" s="22">
        <v>0</v>
      </c>
      <c r="N23" s="18"/>
      <c r="O23" s="18"/>
      <c r="P23" s="18"/>
      <c r="Q23" s="7"/>
    </row>
    <row r="24" spans="1:17" s="8" customFormat="1" ht="15" hidden="1" x14ac:dyDescent="0.25">
      <c r="A24" s="21" t="s">
        <v>27</v>
      </c>
      <c r="B24" s="23">
        <f t="shared" si="0"/>
        <v>0</v>
      </c>
      <c r="C24" s="22"/>
      <c r="D24" s="22"/>
      <c r="E24" s="23">
        <f t="shared" ref="E24:E29" si="5">F24+G24</f>
        <v>0</v>
      </c>
      <c r="F24" s="22"/>
      <c r="G24" s="22"/>
      <c r="H24" s="23">
        <f t="shared" si="2"/>
        <v>0</v>
      </c>
      <c r="I24" s="22"/>
      <c r="J24" s="22"/>
      <c r="K24" s="23">
        <f t="shared" si="3"/>
        <v>0</v>
      </c>
      <c r="L24" s="22"/>
      <c r="M24" s="22"/>
      <c r="N24" s="18"/>
      <c r="O24" s="18"/>
      <c r="P24" s="18"/>
      <c r="Q24" s="7"/>
    </row>
    <row r="25" spans="1:17" s="8" customFormat="1" ht="15" hidden="1" x14ac:dyDescent="0.25">
      <c r="A25" s="25" t="s">
        <v>28</v>
      </c>
      <c r="B25" s="23">
        <f t="shared" si="0"/>
        <v>0</v>
      </c>
      <c r="C25" s="22"/>
      <c r="D25" s="22"/>
      <c r="E25" s="23">
        <f t="shared" si="5"/>
        <v>0</v>
      </c>
      <c r="F25" s="22"/>
      <c r="G25" s="22"/>
      <c r="H25" s="23">
        <f t="shared" si="2"/>
        <v>0</v>
      </c>
      <c r="I25" s="22"/>
      <c r="J25" s="22"/>
      <c r="K25" s="23">
        <f t="shared" si="3"/>
        <v>0</v>
      </c>
      <c r="L25" s="22"/>
      <c r="M25" s="22"/>
      <c r="N25" s="18"/>
      <c r="O25" s="18" t="s">
        <v>0</v>
      </c>
      <c r="P25" s="18"/>
      <c r="Q25" s="7"/>
    </row>
    <row r="26" spans="1:17" s="8" customFormat="1" ht="15" hidden="1" x14ac:dyDescent="0.25">
      <c r="A26" s="21" t="s">
        <v>29</v>
      </c>
      <c r="B26" s="23">
        <f t="shared" si="0"/>
        <v>0</v>
      </c>
      <c r="C26" s="22"/>
      <c r="D26" s="22"/>
      <c r="E26" s="23">
        <f t="shared" si="5"/>
        <v>0</v>
      </c>
      <c r="F26" s="22"/>
      <c r="G26" s="22"/>
      <c r="H26" s="23">
        <f t="shared" si="2"/>
        <v>0</v>
      </c>
      <c r="I26" s="22"/>
      <c r="J26" s="22"/>
      <c r="K26" s="23">
        <f t="shared" si="3"/>
        <v>0</v>
      </c>
      <c r="L26" s="22"/>
      <c r="M26" s="22"/>
      <c r="N26" s="18"/>
      <c r="O26" s="18"/>
      <c r="P26" s="18"/>
      <c r="Q26" s="7"/>
    </row>
    <row r="27" spans="1:17" s="8" customFormat="1" ht="15" hidden="1" x14ac:dyDescent="0.25">
      <c r="A27" s="21" t="s">
        <v>30</v>
      </c>
      <c r="B27" s="23">
        <f t="shared" si="0"/>
        <v>0</v>
      </c>
      <c r="C27" s="22"/>
      <c r="D27" s="22"/>
      <c r="E27" s="23">
        <f t="shared" si="5"/>
        <v>0</v>
      </c>
      <c r="F27" s="22"/>
      <c r="G27" s="22"/>
      <c r="H27" s="23">
        <f t="shared" si="2"/>
        <v>0</v>
      </c>
      <c r="I27" s="22"/>
      <c r="J27" s="22"/>
      <c r="K27" s="23">
        <f t="shared" si="3"/>
        <v>0</v>
      </c>
      <c r="L27" s="22"/>
      <c r="M27" s="22"/>
      <c r="N27" s="7"/>
      <c r="O27" s="7"/>
      <c r="P27" s="7"/>
      <c r="Q27" s="7"/>
    </row>
    <row r="28" spans="1:17" s="8" customFormat="1" ht="15" hidden="1" x14ac:dyDescent="0.25">
      <c r="A28" s="25" t="s">
        <v>31</v>
      </c>
      <c r="B28" s="23">
        <f t="shared" si="0"/>
        <v>0</v>
      </c>
      <c r="C28" s="22"/>
      <c r="D28" s="22"/>
      <c r="E28" s="23">
        <f t="shared" si="5"/>
        <v>0</v>
      </c>
      <c r="F28" s="22"/>
      <c r="G28" s="22"/>
      <c r="H28" s="23">
        <f t="shared" si="2"/>
        <v>0</v>
      </c>
      <c r="I28" s="22"/>
      <c r="J28" s="22"/>
      <c r="K28" s="23">
        <f t="shared" si="3"/>
        <v>0</v>
      </c>
      <c r="L28" s="22"/>
      <c r="M28" s="22"/>
      <c r="N28" s="18"/>
      <c r="O28" s="18"/>
      <c r="P28" s="18"/>
      <c r="Q28" s="7"/>
    </row>
    <row r="29" spans="1:17" s="8" customFormat="1" ht="15" x14ac:dyDescent="0.25">
      <c r="A29" s="21" t="s">
        <v>32</v>
      </c>
      <c r="B29" s="23">
        <f t="shared" si="0"/>
        <v>0</v>
      </c>
      <c r="C29" s="22">
        <v>0</v>
      </c>
      <c r="D29" s="22">
        <v>0</v>
      </c>
      <c r="E29" s="23">
        <f t="shared" si="5"/>
        <v>0</v>
      </c>
      <c r="F29" s="22">
        <v>0</v>
      </c>
      <c r="G29" s="22">
        <v>0</v>
      </c>
      <c r="H29" s="23">
        <f t="shared" si="2"/>
        <v>0</v>
      </c>
      <c r="I29" s="22">
        <v>0</v>
      </c>
      <c r="J29" s="22">
        <v>0</v>
      </c>
      <c r="K29" s="23">
        <f t="shared" si="3"/>
        <v>0</v>
      </c>
      <c r="L29" s="22">
        <v>0</v>
      </c>
      <c r="M29" s="22">
        <v>0</v>
      </c>
      <c r="N29" s="18"/>
      <c r="O29" s="18"/>
      <c r="P29" s="18"/>
      <c r="Q29" s="7"/>
    </row>
    <row r="30" spans="1:17" s="8" customFormat="1" ht="15" x14ac:dyDescent="0.25">
      <c r="A30" s="21" t="s">
        <v>91</v>
      </c>
      <c r="B30" s="23">
        <v>0</v>
      </c>
      <c r="C30" s="22">
        <v>0</v>
      </c>
      <c r="D30" s="22">
        <v>0</v>
      </c>
      <c r="E30" s="23">
        <v>0</v>
      </c>
      <c r="F30" s="22">
        <v>0</v>
      </c>
      <c r="G30" s="22">
        <v>0</v>
      </c>
      <c r="H30" s="23">
        <f t="shared" si="2"/>
        <v>28</v>
      </c>
      <c r="I30" s="22">
        <v>28</v>
      </c>
      <c r="J30" s="22">
        <v>0</v>
      </c>
      <c r="K30" s="23">
        <f t="shared" si="3"/>
        <v>24</v>
      </c>
      <c r="L30" s="22">
        <f>7+8+9</f>
        <v>24</v>
      </c>
      <c r="M30" s="22">
        <v>0</v>
      </c>
      <c r="N30" s="18"/>
      <c r="O30" s="18"/>
      <c r="P30" s="18"/>
      <c r="Q30" s="7"/>
    </row>
    <row r="31" spans="1:17" s="8" customFormat="1" ht="15" x14ac:dyDescent="0.25">
      <c r="A31" s="21" t="s">
        <v>42</v>
      </c>
      <c r="B31" s="23">
        <v>0</v>
      </c>
      <c r="C31" s="22">
        <v>0</v>
      </c>
      <c r="D31" s="22">
        <v>0</v>
      </c>
      <c r="E31" s="23">
        <v>0</v>
      </c>
      <c r="F31" s="22">
        <v>0</v>
      </c>
      <c r="G31" s="22">
        <v>0</v>
      </c>
      <c r="H31" s="23">
        <f t="shared" si="2"/>
        <v>6</v>
      </c>
      <c r="I31" s="22">
        <v>6</v>
      </c>
      <c r="J31" s="22">
        <v>0</v>
      </c>
      <c r="K31" s="23">
        <f t="shared" si="3"/>
        <v>9</v>
      </c>
      <c r="L31" s="22">
        <f>6+3</f>
        <v>9</v>
      </c>
      <c r="M31" s="22">
        <v>0</v>
      </c>
      <c r="N31" s="18"/>
      <c r="O31" s="18"/>
      <c r="P31" s="18"/>
      <c r="Q31" s="7"/>
    </row>
    <row r="32" spans="1:17" s="8" customFormat="1" ht="15" x14ac:dyDescent="0.25">
      <c r="A32" s="20" t="s">
        <v>33</v>
      </c>
      <c r="B32" s="15">
        <f>C32+D32</f>
        <v>270</v>
      </c>
      <c r="C32" s="17">
        <f>C34+C35+C36+C37+C38+C39+C40+C42</f>
        <v>230</v>
      </c>
      <c r="D32" s="17">
        <f>D34+D35+D36+D37+D38+D39+D40+D42</f>
        <v>40</v>
      </c>
      <c r="E32" s="15">
        <f>F32+G32</f>
        <v>209</v>
      </c>
      <c r="F32" s="17">
        <f>F34+F35+F36+F37+F38+F39+F40+F42</f>
        <v>191</v>
      </c>
      <c r="G32" s="17">
        <f>G34+G35+G36+G37+G38+G39+G40+G42</f>
        <v>18</v>
      </c>
      <c r="H32" s="15">
        <f t="shared" si="2"/>
        <v>151</v>
      </c>
      <c r="I32" s="17">
        <f>I34+I35+I36+I37+I38+I39+I40+I41+I42</f>
        <v>139</v>
      </c>
      <c r="J32" s="17">
        <f>J34+J35+J36+J37+J38+J39+J40+J42</f>
        <v>12</v>
      </c>
      <c r="K32" s="15">
        <f t="shared" si="3"/>
        <v>95</v>
      </c>
      <c r="L32" s="17">
        <f>L34+L35+L36+L37+L38+L39+L40+L42</f>
        <v>93</v>
      </c>
      <c r="M32" s="17">
        <f>M34+M35+M36+M37+M38+M39+M40+M42</f>
        <v>2</v>
      </c>
      <c r="N32" s="18"/>
      <c r="O32" s="18"/>
      <c r="P32" s="18"/>
      <c r="Q32" s="7"/>
    </row>
    <row r="33" spans="1:17" s="27" customFormat="1" ht="15" hidden="1" x14ac:dyDescent="0.25">
      <c r="A33" s="21" t="s">
        <v>34</v>
      </c>
      <c r="B33" s="15">
        <f t="shared" si="0"/>
        <v>0</v>
      </c>
      <c r="C33" s="22"/>
      <c r="D33" s="22"/>
      <c r="E33" s="15">
        <f t="shared" ref="E33:E39" si="6">F33+G33</f>
        <v>0</v>
      </c>
      <c r="F33" s="22"/>
      <c r="G33" s="22"/>
      <c r="H33" s="15">
        <f t="shared" si="2"/>
        <v>0</v>
      </c>
      <c r="I33" s="22"/>
      <c r="J33" s="22"/>
      <c r="K33" s="15">
        <f t="shared" si="3"/>
        <v>0</v>
      </c>
      <c r="L33" s="22"/>
      <c r="M33" s="22"/>
      <c r="N33" s="26"/>
      <c r="O33" s="26"/>
      <c r="P33" s="26"/>
      <c r="Q33" s="26"/>
    </row>
    <row r="34" spans="1:17" s="27" customFormat="1" ht="15" x14ac:dyDescent="0.25">
      <c r="A34" s="21" t="s">
        <v>35</v>
      </c>
      <c r="B34" s="23">
        <f t="shared" si="0"/>
        <v>18</v>
      </c>
      <c r="C34" s="22">
        <f>12+6</f>
        <v>18</v>
      </c>
      <c r="D34" s="22">
        <v>0</v>
      </c>
      <c r="E34" s="23">
        <f t="shared" si="6"/>
        <v>29</v>
      </c>
      <c r="F34" s="22">
        <f>17+12</f>
        <v>29</v>
      </c>
      <c r="G34" s="22">
        <v>0</v>
      </c>
      <c r="H34" s="23">
        <f t="shared" si="2"/>
        <v>30</v>
      </c>
      <c r="I34" s="22">
        <v>30</v>
      </c>
      <c r="J34" s="22">
        <v>0</v>
      </c>
      <c r="K34" s="23">
        <f t="shared" si="3"/>
        <v>13</v>
      </c>
      <c r="L34" s="22">
        <v>13</v>
      </c>
      <c r="M34" s="22">
        <v>0</v>
      </c>
      <c r="N34" s="26"/>
      <c r="O34" s="26"/>
      <c r="P34" s="26"/>
      <c r="Q34" s="26"/>
    </row>
    <row r="35" spans="1:17" s="27" customFormat="1" ht="15" x14ac:dyDescent="0.25">
      <c r="A35" s="21" t="s">
        <v>36</v>
      </c>
      <c r="B35" s="23">
        <f t="shared" si="0"/>
        <v>40</v>
      </c>
      <c r="C35" s="22">
        <f>21+19</f>
        <v>40</v>
      </c>
      <c r="D35" s="22">
        <v>0</v>
      </c>
      <c r="E35" s="23">
        <f t="shared" si="6"/>
        <v>29</v>
      </c>
      <c r="F35" s="22">
        <f>16+13</f>
        <v>29</v>
      </c>
      <c r="G35" s="22">
        <v>0</v>
      </c>
      <c r="H35" s="23">
        <f t="shared" si="2"/>
        <v>19</v>
      </c>
      <c r="I35" s="22">
        <v>19</v>
      </c>
      <c r="J35" s="22">
        <v>0</v>
      </c>
      <c r="K35" s="23">
        <f t="shared" si="3"/>
        <v>14</v>
      </c>
      <c r="L35" s="22">
        <v>13</v>
      </c>
      <c r="M35" s="22">
        <v>1</v>
      </c>
      <c r="N35" s="26"/>
      <c r="O35" s="26"/>
      <c r="P35" s="26"/>
      <c r="Q35" s="26"/>
    </row>
    <row r="36" spans="1:17" s="19" customFormat="1" ht="15" customHeight="1" x14ac:dyDescent="0.25">
      <c r="A36" s="21" t="s">
        <v>37</v>
      </c>
      <c r="B36" s="23">
        <f t="shared" si="0"/>
        <v>90</v>
      </c>
      <c r="C36" s="22">
        <f>69+21</f>
        <v>90</v>
      </c>
      <c r="D36" s="22">
        <v>0</v>
      </c>
      <c r="E36" s="23">
        <f t="shared" si="6"/>
        <v>104</v>
      </c>
      <c r="F36" s="22">
        <f>19+15+18+15+12+25</f>
        <v>104</v>
      </c>
      <c r="G36" s="22">
        <v>0</v>
      </c>
      <c r="H36" s="23">
        <f t="shared" si="2"/>
        <v>49</v>
      </c>
      <c r="I36" s="22">
        <v>49</v>
      </c>
      <c r="J36" s="22">
        <v>0</v>
      </c>
      <c r="K36" s="23">
        <f t="shared" si="3"/>
        <v>50</v>
      </c>
      <c r="L36" s="22">
        <f>19+14+17</f>
        <v>50</v>
      </c>
      <c r="M36" s="22">
        <v>0</v>
      </c>
      <c r="N36" s="26"/>
      <c r="O36" s="26"/>
      <c r="P36" s="26"/>
      <c r="Q36" s="26"/>
    </row>
    <row r="37" spans="1:17" s="19" customFormat="1" ht="15" customHeight="1" x14ac:dyDescent="0.25">
      <c r="A37" s="21" t="s">
        <v>38</v>
      </c>
      <c r="B37" s="23">
        <f t="shared" si="0"/>
        <v>59</v>
      </c>
      <c r="C37" s="22">
        <v>44</v>
      </c>
      <c r="D37" s="22">
        <v>15</v>
      </c>
      <c r="E37" s="23">
        <f t="shared" si="6"/>
        <v>0</v>
      </c>
      <c r="F37" s="22">
        <v>0</v>
      </c>
      <c r="G37" s="22">
        <v>0</v>
      </c>
      <c r="H37" s="23">
        <f t="shared" si="2"/>
        <v>0</v>
      </c>
      <c r="I37" s="22">
        <v>0</v>
      </c>
      <c r="J37" s="22">
        <v>0</v>
      </c>
      <c r="K37" s="23">
        <f t="shared" si="3"/>
        <v>0</v>
      </c>
      <c r="L37" s="22">
        <v>0</v>
      </c>
      <c r="M37" s="22">
        <v>0</v>
      </c>
      <c r="N37" s="26"/>
      <c r="O37" s="26"/>
      <c r="P37" s="26"/>
      <c r="Q37" s="26"/>
    </row>
    <row r="38" spans="1:17" s="19" customFormat="1" ht="15" customHeight="1" x14ac:dyDescent="0.25">
      <c r="A38" s="21" t="s">
        <v>39</v>
      </c>
      <c r="B38" s="23">
        <f t="shared" si="0"/>
        <v>21</v>
      </c>
      <c r="C38" s="22">
        <v>0</v>
      </c>
      <c r="D38" s="22">
        <f>11+3+7</f>
        <v>21</v>
      </c>
      <c r="E38" s="23">
        <f t="shared" si="6"/>
        <v>11</v>
      </c>
      <c r="F38" s="22">
        <v>0</v>
      </c>
      <c r="G38" s="22">
        <v>11</v>
      </c>
      <c r="H38" s="23">
        <f t="shared" si="2"/>
        <v>0</v>
      </c>
      <c r="I38" s="22">
        <v>0</v>
      </c>
      <c r="J38" s="22">
        <v>0</v>
      </c>
      <c r="K38" s="23">
        <f t="shared" si="3"/>
        <v>0</v>
      </c>
      <c r="L38" s="22">
        <v>0</v>
      </c>
      <c r="M38" s="22">
        <v>0</v>
      </c>
      <c r="N38" s="26"/>
      <c r="O38" s="26"/>
      <c r="P38" s="26"/>
      <c r="Q38" s="26"/>
    </row>
    <row r="39" spans="1:17" s="19" customFormat="1" ht="15" customHeight="1" x14ac:dyDescent="0.25">
      <c r="A39" s="21" t="s">
        <v>40</v>
      </c>
      <c r="B39" s="23">
        <f t="shared" si="0"/>
        <v>7</v>
      </c>
      <c r="C39" s="22">
        <v>3</v>
      </c>
      <c r="D39" s="22">
        <v>4</v>
      </c>
      <c r="E39" s="23">
        <f t="shared" si="6"/>
        <v>8</v>
      </c>
      <c r="F39" s="22">
        <v>4</v>
      </c>
      <c r="G39" s="22">
        <v>4</v>
      </c>
      <c r="H39" s="23">
        <f t="shared" si="2"/>
        <v>13</v>
      </c>
      <c r="I39" s="22">
        <v>7</v>
      </c>
      <c r="J39" s="22">
        <v>6</v>
      </c>
      <c r="K39" s="23">
        <f t="shared" si="3"/>
        <v>0</v>
      </c>
      <c r="L39" s="22">
        <v>0</v>
      </c>
      <c r="M39" s="22">
        <v>0</v>
      </c>
      <c r="N39" s="26"/>
      <c r="O39" s="26"/>
      <c r="P39" s="26"/>
      <c r="Q39" s="26"/>
    </row>
    <row r="40" spans="1:17" s="19" customFormat="1" ht="15" customHeight="1" x14ac:dyDescent="0.25">
      <c r="A40" s="21" t="s">
        <v>41</v>
      </c>
      <c r="B40" s="23">
        <f>C40</f>
        <v>19</v>
      </c>
      <c r="C40" s="22">
        <f>11+8</f>
        <v>19</v>
      </c>
      <c r="D40" s="22">
        <v>0</v>
      </c>
      <c r="E40" s="23">
        <f>F40</f>
        <v>14</v>
      </c>
      <c r="F40" s="22">
        <f>8+6</f>
        <v>14</v>
      </c>
      <c r="G40" s="22">
        <f>1+2</f>
        <v>3</v>
      </c>
      <c r="H40" s="23">
        <f t="shared" si="2"/>
        <v>27</v>
      </c>
      <c r="I40" s="22">
        <v>21</v>
      </c>
      <c r="J40" s="22">
        <v>6</v>
      </c>
      <c r="K40" s="23">
        <f t="shared" si="3"/>
        <v>18</v>
      </c>
      <c r="L40" s="22">
        <v>17</v>
      </c>
      <c r="M40" s="22">
        <v>1</v>
      </c>
      <c r="N40" s="26"/>
      <c r="O40" s="26"/>
      <c r="P40" s="26"/>
      <c r="Q40" s="26"/>
    </row>
    <row r="41" spans="1:17" s="19" customFormat="1" ht="15" customHeight="1" x14ac:dyDescent="0.25">
      <c r="A41" s="21" t="s">
        <v>42</v>
      </c>
      <c r="B41" s="23">
        <f>C41</f>
        <v>16</v>
      </c>
      <c r="C41" s="22">
        <v>16</v>
      </c>
      <c r="D41" s="22">
        <v>0</v>
      </c>
      <c r="E41" s="23">
        <f>F41</f>
        <v>0</v>
      </c>
      <c r="F41" s="22">
        <v>0</v>
      </c>
      <c r="G41" s="22">
        <v>0</v>
      </c>
      <c r="H41" s="23">
        <f t="shared" si="2"/>
        <v>6</v>
      </c>
      <c r="I41" s="22">
        <v>6</v>
      </c>
      <c r="J41" s="22">
        <v>0</v>
      </c>
      <c r="K41" s="23">
        <f t="shared" si="3"/>
        <v>0</v>
      </c>
      <c r="L41" s="22">
        <v>0</v>
      </c>
      <c r="M41" s="22">
        <v>0</v>
      </c>
      <c r="N41" s="26"/>
      <c r="O41" s="26"/>
      <c r="P41" s="26"/>
      <c r="Q41" s="26"/>
    </row>
    <row r="42" spans="1:17" s="19" customFormat="1" ht="15" customHeight="1" x14ac:dyDescent="0.25">
      <c r="A42" s="21" t="s">
        <v>29</v>
      </c>
      <c r="B42" s="23">
        <f>C42</f>
        <v>16</v>
      </c>
      <c r="C42" s="22">
        <v>16</v>
      </c>
      <c r="D42" s="22">
        <v>0</v>
      </c>
      <c r="E42" s="23">
        <f>F42</f>
        <v>11</v>
      </c>
      <c r="F42" s="22">
        <v>11</v>
      </c>
      <c r="G42" s="22">
        <v>0</v>
      </c>
      <c r="H42" s="23">
        <f t="shared" si="2"/>
        <v>7</v>
      </c>
      <c r="I42" s="22">
        <v>7</v>
      </c>
      <c r="J42" s="22">
        <v>0</v>
      </c>
      <c r="K42" s="23">
        <f t="shared" si="3"/>
        <v>0</v>
      </c>
      <c r="L42" s="22">
        <v>0</v>
      </c>
      <c r="M42" s="22">
        <v>0</v>
      </c>
      <c r="N42" s="26"/>
      <c r="O42" s="26"/>
      <c r="P42" s="26"/>
      <c r="Q42" s="26"/>
    </row>
    <row r="43" spans="1:17" s="19" customFormat="1" ht="15" x14ac:dyDescent="0.25">
      <c r="A43" s="16" t="s">
        <v>5</v>
      </c>
      <c r="B43" s="15">
        <f t="shared" si="0"/>
        <v>150</v>
      </c>
      <c r="C43" s="17">
        <f>C44+C47+C55+C66</f>
        <v>150</v>
      </c>
      <c r="D43" s="17">
        <v>0</v>
      </c>
      <c r="E43" s="15">
        <f t="shared" ref="E43:E53" si="7">F43+G43</f>
        <v>54</v>
      </c>
      <c r="F43" s="17">
        <f>F44+F47+F55+F66</f>
        <v>50</v>
      </c>
      <c r="G43" s="17">
        <v>4</v>
      </c>
      <c r="H43" s="15">
        <f t="shared" si="2"/>
        <v>146</v>
      </c>
      <c r="I43" s="17">
        <f>I44+I47+I55</f>
        <v>116</v>
      </c>
      <c r="J43" s="17">
        <f>J44+J47+J55</f>
        <v>30</v>
      </c>
      <c r="K43" s="15">
        <f>L43+M43</f>
        <v>73</v>
      </c>
      <c r="L43" s="17">
        <f>L44+L47+L55+L66</f>
        <v>40</v>
      </c>
      <c r="M43" s="17">
        <f>M44+M47+M55+M66</f>
        <v>33</v>
      </c>
      <c r="N43" s="18"/>
      <c r="O43" s="18"/>
      <c r="P43" s="18"/>
      <c r="Q43" s="28"/>
    </row>
    <row r="44" spans="1:17" s="19" customFormat="1" ht="15" x14ac:dyDescent="0.25">
      <c r="A44" s="20" t="s">
        <v>20</v>
      </c>
      <c r="B44" s="15">
        <f t="shared" si="0"/>
        <v>11</v>
      </c>
      <c r="C44" s="29">
        <v>11</v>
      </c>
      <c r="D44" s="29">
        <v>0</v>
      </c>
      <c r="E44" s="15">
        <f t="shared" si="7"/>
        <v>11</v>
      </c>
      <c r="F44" s="29">
        <f>SUM(F45)</f>
        <v>11</v>
      </c>
      <c r="G44" s="29">
        <f>SUM(G45)</f>
        <v>0</v>
      </c>
      <c r="H44" s="15">
        <f t="shared" si="2"/>
        <v>12</v>
      </c>
      <c r="I44" s="17">
        <f>I46</f>
        <v>10</v>
      </c>
      <c r="J44" s="17">
        <f>J46</f>
        <v>2</v>
      </c>
      <c r="K44" s="15">
        <f t="shared" si="3"/>
        <v>8</v>
      </c>
      <c r="L44" s="29">
        <f>L45+L46</f>
        <v>6</v>
      </c>
      <c r="M44" s="29">
        <f>M45+M46</f>
        <v>2</v>
      </c>
      <c r="N44" s="30"/>
      <c r="O44" s="18"/>
      <c r="P44" s="18"/>
      <c r="Q44" s="28"/>
    </row>
    <row r="45" spans="1:17" s="19" customFormat="1" ht="15" x14ac:dyDescent="0.25">
      <c r="A45" s="21" t="s">
        <v>22</v>
      </c>
      <c r="B45" s="23">
        <f t="shared" si="0"/>
        <v>11</v>
      </c>
      <c r="C45" s="31">
        <v>11</v>
      </c>
      <c r="D45" s="31">
        <v>0</v>
      </c>
      <c r="E45" s="23">
        <f t="shared" si="7"/>
        <v>11</v>
      </c>
      <c r="F45" s="31">
        <v>11</v>
      </c>
      <c r="G45" s="31">
        <v>0</v>
      </c>
      <c r="H45" s="23">
        <f t="shared" si="2"/>
        <v>0</v>
      </c>
      <c r="I45" s="31">
        <v>0</v>
      </c>
      <c r="J45" s="31">
        <v>0</v>
      </c>
      <c r="K45" s="23">
        <f t="shared" si="3"/>
        <v>0</v>
      </c>
      <c r="L45" s="31">
        <v>0</v>
      </c>
      <c r="M45" s="31">
        <v>0</v>
      </c>
      <c r="N45" s="30"/>
      <c r="O45" s="18"/>
      <c r="P45" s="18"/>
      <c r="Q45" s="28"/>
    </row>
    <row r="46" spans="1:17" s="19" customFormat="1" ht="15" x14ac:dyDescent="0.25">
      <c r="A46" s="21" t="s">
        <v>92</v>
      </c>
      <c r="B46" s="23">
        <v>0</v>
      </c>
      <c r="C46" s="31">
        <v>0</v>
      </c>
      <c r="D46" s="31">
        <v>0</v>
      </c>
      <c r="E46" s="23">
        <v>0</v>
      </c>
      <c r="F46" s="31">
        <v>0</v>
      </c>
      <c r="G46" s="31">
        <v>0</v>
      </c>
      <c r="H46" s="23">
        <f t="shared" si="2"/>
        <v>12</v>
      </c>
      <c r="I46" s="31">
        <v>10</v>
      </c>
      <c r="J46" s="31">
        <v>2</v>
      </c>
      <c r="K46" s="23">
        <f t="shared" si="3"/>
        <v>8</v>
      </c>
      <c r="L46" s="31">
        <v>6</v>
      </c>
      <c r="M46" s="31">
        <v>2</v>
      </c>
      <c r="N46" s="30"/>
      <c r="O46" s="18"/>
      <c r="P46" s="18"/>
      <c r="Q46" s="28"/>
    </row>
    <row r="47" spans="1:17" s="8" customFormat="1" ht="14.25" customHeight="1" x14ac:dyDescent="0.25">
      <c r="A47" s="16" t="s">
        <v>43</v>
      </c>
      <c r="B47" s="15">
        <f t="shared" si="0"/>
        <v>33</v>
      </c>
      <c r="C47" s="17">
        <v>33</v>
      </c>
      <c r="D47" s="17">
        <v>0</v>
      </c>
      <c r="E47" s="15">
        <f t="shared" si="7"/>
        <v>9</v>
      </c>
      <c r="F47" s="17">
        <f>SUM(F53:F54)</f>
        <v>9</v>
      </c>
      <c r="G47" s="17">
        <f>SUM(G53:G54)</f>
        <v>0</v>
      </c>
      <c r="H47" s="15">
        <f t="shared" si="2"/>
        <v>11</v>
      </c>
      <c r="I47" s="17">
        <f>SUM(I53:I54)</f>
        <v>10</v>
      </c>
      <c r="J47" s="17">
        <f>SUM(J53:J54)</f>
        <v>1</v>
      </c>
      <c r="K47" s="15">
        <f t="shared" si="3"/>
        <v>8</v>
      </c>
      <c r="L47" s="17">
        <f>SUM(L53:L54)</f>
        <v>7</v>
      </c>
      <c r="M47" s="17">
        <f>SUM(M53:M54)</f>
        <v>1</v>
      </c>
      <c r="N47" s="18"/>
      <c r="O47" s="18"/>
      <c r="P47" s="18"/>
      <c r="Q47" s="28"/>
    </row>
    <row r="48" spans="1:17" s="8" customFormat="1" ht="15" hidden="1" x14ac:dyDescent="0.25">
      <c r="A48" s="21" t="s">
        <v>44</v>
      </c>
      <c r="B48" s="15">
        <f t="shared" si="0"/>
        <v>0</v>
      </c>
      <c r="C48" s="22"/>
      <c r="D48" s="22"/>
      <c r="E48" s="15">
        <f t="shared" si="7"/>
        <v>0</v>
      </c>
      <c r="F48" s="22"/>
      <c r="G48" s="22"/>
      <c r="H48" s="15">
        <f t="shared" si="2"/>
        <v>0</v>
      </c>
      <c r="I48" s="22"/>
      <c r="J48" s="22"/>
      <c r="K48" s="15">
        <f t="shared" si="3"/>
        <v>0</v>
      </c>
      <c r="L48" s="22"/>
      <c r="M48" s="22"/>
      <c r="N48" s="18"/>
      <c r="O48" s="18"/>
      <c r="P48" s="18"/>
      <c r="Q48" s="26"/>
    </row>
    <row r="49" spans="1:17" s="8" customFormat="1" ht="15" hidden="1" x14ac:dyDescent="0.25">
      <c r="A49" s="21" t="s">
        <v>45</v>
      </c>
      <c r="B49" s="15">
        <f t="shared" si="0"/>
        <v>0</v>
      </c>
      <c r="C49" s="22"/>
      <c r="D49" s="22"/>
      <c r="E49" s="15">
        <f t="shared" si="7"/>
        <v>0</v>
      </c>
      <c r="F49" s="22"/>
      <c r="G49" s="22"/>
      <c r="H49" s="15">
        <f t="shared" si="2"/>
        <v>0</v>
      </c>
      <c r="I49" s="22"/>
      <c r="J49" s="22"/>
      <c r="K49" s="15">
        <f t="shared" si="3"/>
        <v>0</v>
      </c>
      <c r="L49" s="22"/>
      <c r="M49" s="22"/>
      <c r="N49" s="18"/>
      <c r="O49" s="18"/>
      <c r="P49" s="18"/>
      <c r="Q49" s="26"/>
    </row>
    <row r="50" spans="1:17" s="27" customFormat="1" ht="15" hidden="1" x14ac:dyDescent="0.25">
      <c r="A50" s="21" t="s">
        <v>46</v>
      </c>
      <c r="B50" s="15">
        <f t="shared" si="0"/>
        <v>0</v>
      </c>
      <c r="C50" s="22"/>
      <c r="D50" s="22"/>
      <c r="E50" s="15">
        <f t="shared" si="7"/>
        <v>0</v>
      </c>
      <c r="F50" s="22"/>
      <c r="G50" s="22"/>
      <c r="H50" s="15">
        <f t="shared" si="2"/>
        <v>0</v>
      </c>
      <c r="I50" s="22"/>
      <c r="J50" s="22"/>
      <c r="K50" s="15">
        <f t="shared" si="3"/>
        <v>0</v>
      </c>
      <c r="L50" s="22"/>
      <c r="M50" s="22"/>
      <c r="N50" s="18"/>
      <c r="O50" s="18"/>
      <c r="P50" s="18"/>
      <c r="Q50" s="26"/>
    </row>
    <row r="51" spans="1:17" s="27" customFormat="1" ht="15" hidden="1" x14ac:dyDescent="0.25">
      <c r="A51" s="21" t="s">
        <v>47</v>
      </c>
      <c r="B51" s="15">
        <f t="shared" si="0"/>
        <v>0</v>
      </c>
      <c r="C51" s="22"/>
      <c r="D51" s="22"/>
      <c r="E51" s="15">
        <f t="shared" si="7"/>
        <v>0</v>
      </c>
      <c r="F51" s="22"/>
      <c r="G51" s="22"/>
      <c r="H51" s="15">
        <f t="shared" si="2"/>
        <v>0</v>
      </c>
      <c r="I51" s="22"/>
      <c r="J51" s="22"/>
      <c r="K51" s="15">
        <f t="shared" si="3"/>
        <v>0</v>
      </c>
      <c r="L51" s="22"/>
      <c r="M51" s="22"/>
      <c r="N51" s="7"/>
      <c r="O51" s="7"/>
      <c r="P51" s="7"/>
    </row>
    <row r="52" spans="1:17" s="27" customFormat="1" ht="15" hidden="1" x14ac:dyDescent="0.25">
      <c r="A52" s="21" t="s">
        <v>48</v>
      </c>
      <c r="B52" s="15">
        <f t="shared" si="0"/>
        <v>0</v>
      </c>
      <c r="C52" s="22"/>
      <c r="D52" s="22"/>
      <c r="E52" s="15">
        <f t="shared" si="7"/>
        <v>0</v>
      </c>
      <c r="F52" s="22"/>
      <c r="G52" s="22"/>
      <c r="H52" s="15">
        <f t="shared" si="2"/>
        <v>0</v>
      </c>
      <c r="I52" s="22"/>
      <c r="J52" s="22"/>
      <c r="K52" s="15">
        <f t="shared" si="3"/>
        <v>0</v>
      </c>
      <c r="L52" s="22"/>
      <c r="M52" s="22"/>
      <c r="N52" s="7"/>
      <c r="O52" s="7"/>
      <c r="P52" s="7"/>
    </row>
    <row r="53" spans="1:17" s="32" customFormat="1" ht="15" x14ac:dyDescent="0.25">
      <c r="A53" s="21" t="s">
        <v>22</v>
      </c>
      <c r="B53" s="23">
        <f t="shared" si="0"/>
        <v>14</v>
      </c>
      <c r="C53" s="22">
        <v>14</v>
      </c>
      <c r="D53" s="22">
        <v>0</v>
      </c>
      <c r="E53" s="23">
        <f t="shared" si="7"/>
        <v>0</v>
      </c>
      <c r="F53" s="22">
        <v>0</v>
      </c>
      <c r="G53" s="22">
        <v>0</v>
      </c>
      <c r="H53" s="23">
        <f t="shared" si="2"/>
        <v>11</v>
      </c>
      <c r="I53" s="22">
        <v>10</v>
      </c>
      <c r="J53" s="22">
        <v>1</v>
      </c>
      <c r="K53" s="23">
        <f t="shared" si="3"/>
        <v>8</v>
      </c>
      <c r="L53" s="22">
        <v>7</v>
      </c>
      <c r="M53" s="22">
        <v>1</v>
      </c>
      <c r="N53" s="18"/>
      <c r="O53" s="18"/>
      <c r="P53" s="18"/>
    </row>
    <row r="54" spans="1:17" s="32" customFormat="1" ht="15" x14ac:dyDescent="0.25">
      <c r="A54" s="21" t="s">
        <v>26</v>
      </c>
      <c r="B54" s="23">
        <f>D54+C54</f>
        <v>19</v>
      </c>
      <c r="C54" s="22">
        <v>19</v>
      </c>
      <c r="D54" s="22">
        <v>0</v>
      </c>
      <c r="E54" s="23">
        <f>G54+F54</f>
        <v>9</v>
      </c>
      <c r="F54" s="22">
        <v>9</v>
      </c>
      <c r="G54" s="22">
        <v>0</v>
      </c>
      <c r="H54" s="23">
        <f t="shared" si="2"/>
        <v>0</v>
      </c>
      <c r="I54" s="22">
        <v>0</v>
      </c>
      <c r="J54" s="22">
        <v>0</v>
      </c>
      <c r="K54" s="23">
        <f t="shared" si="3"/>
        <v>0</v>
      </c>
      <c r="L54" s="22">
        <v>0</v>
      </c>
      <c r="M54" s="22">
        <v>0</v>
      </c>
      <c r="N54" s="18"/>
      <c r="O54" s="18"/>
      <c r="P54" s="18"/>
    </row>
    <row r="55" spans="1:17" s="27" customFormat="1" ht="15" x14ac:dyDescent="0.25">
      <c r="A55" s="20" t="s">
        <v>49</v>
      </c>
      <c r="B55" s="15">
        <f t="shared" si="0"/>
        <v>106</v>
      </c>
      <c r="C55" s="17">
        <f>C56+C57+C58+C59</f>
        <v>106</v>
      </c>
      <c r="D55" s="17">
        <v>0</v>
      </c>
      <c r="E55" s="15">
        <f t="shared" ref="E55:E81" si="8">F55+G55</f>
        <v>34</v>
      </c>
      <c r="F55" s="17">
        <f>F56+F57+F58+F59+F60</f>
        <v>30</v>
      </c>
      <c r="G55" s="17">
        <f>G56+G57+G58+G59+G60</f>
        <v>4</v>
      </c>
      <c r="H55" s="15">
        <f>I55+J55</f>
        <v>123</v>
      </c>
      <c r="I55" s="17">
        <f>I56+I57+I58+I59+I60+I61+I62+I63+I64</f>
        <v>96</v>
      </c>
      <c r="J55" s="17">
        <f>J56+J57+J58+J59+J60+J61+J62+J63+J64</f>
        <v>27</v>
      </c>
      <c r="K55" s="15">
        <f t="shared" si="3"/>
        <v>51</v>
      </c>
      <c r="L55" s="17">
        <f>L56+L57+L58+L59+L60+L61+L62+L63+L64+L65</f>
        <v>26</v>
      </c>
      <c r="M55" s="17">
        <f>M56+M57+M58+M59+M60+M61+M62+M63+M64+M65</f>
        <v>25</v>
      </c>
      <c r="N55" s="18"/>
      <c r="O55" s="18"/>
      <c r="P55" s="18"/>
    </row>
    <row r="56" spans="1:17" s="27" customFormat="1" ht="15" x14ac:dyDescent="0.25">
      <c r="A56" s="21" t="s">
        <v>50</v>
      </c>
      <c r="B56" s="23">
        <f t="shared" si="0"/>
        <v>86</v>
      </c>
      <c r="C56" s="22">
        <f>11+22+13+22+18</f>
        <v>86</v>
      </c>
      <c r="D56" s="22">
        <v>0</v>
      </c>
      <c r="E56" s="23">
        <f t="shared" si="8"/>
        <v>23</v>
      </c>
      <c r="F56" s="22">
        <f>11+12</f>
        <v>23</v>
      </c>
      <c r="G56" s="22">
        <v>0</v>
      </c>
      <c r="H56" s="23">
        <f t="shared" si="2"/>
        <v>35</v>
      </c>
      <c r="I56" s="22">
        <v>33</v>
      </c>
      <c r="J56" s="22">
        <v>2</v>
      </c>
      <c r="K56" s="23">
        <f t="shared" si="3"/>
        <v>8</v>
      </c>
      <c r="L56" s="22">
        <v>8</v>
      </c>
      <c r="M56" s="22">
        <v>0</v>
      </c>
      <c r="N56" s="18"/>
      <c r="O56" s="18"/>
      <c r="P56" s="18"/>
    </row>
    <row r="57" spans="1:17" s="27" customFormat="1" ht="15" x14ac:dyDescent="0.25">
      <c r="A57" s="21" t="s">
        <v>36</v>
      </c>
      <c r="B57" s="23">
        <f t="shared" si="0"/>
        <v>20</v>
      </c>
      <c r="C57" s="22">
        <v>20</v>
      </c>
      <c r="D57" s="22">
        <v>0</v>
      </c>
      <c r="E57" s="23">
        <f t="shared" si="8"/>
        <v>0</v>
      </c>
      <c r="F57" s="22">
        <v>0</v>
      </c>
      <c r="G57" s="22">
        <v>0</v>
      </c>
      <c r="H57" s="23">
        <f t="shared" si="2"/>
        <v>0</v>
      </c>
      <c r="I57" s="22">
        <v>0</v>
      </c>
      <c r="J57" s="22">
        <v>0</v>
      </c>
      <c r="K57" s="23">
        <f t="shared" si="3"/>
        <v>0</v>
      </c>
      <c r="L57" s="22">
        <v>0</v>
      </c>
      <c r="M57" s="22">
        <v>0</v>
      </c>
      <c r="N57" s="18"/>
      <c r="O57" s="18"/>
      <c r="P57" s="18"/>
    </row>
    <row r="58" spans="1:17" s="27" customFormat="1" ht="15" x14ac:dyDescent="0.25">
      <c r="A58" s="21" t="s">
        <v>34</v>
      </c>
      <c r="B58" s="23">
        <f t="shared" si="0"/>
        <v>0</v>
      </c>
      <c r="C58" s="22">
        <v>0</v>
      </c>
      <c r="D58" s="22">
        <v>0</v>
      </c>
      <c r="E58" s="23">
        <f t="shared" si="8"/>
        <v>0</v>
      </c>
      <c r="F58" s="22">
        <v>0</v>
      </c>
      <c r="G58" s="22">
        <v>0</v>
      </c>
      <c r="H58" s="23">
        <f t="shared" si="2"/>
        <v>0</v>
      </c>
      <c r="I58" s="22">
        <v>0</v>
      </c>
      <c r="J58" s="22">
        <v>0</v>
      </c>
      <c r="K58" s="23">
        <f t="shared" si="3"/>
        <v>0</v>
      </c>
      <c r="L58" s="22">
        <v>0</v>
      </c>
      <c r="M58" s="22">
        <v>0</v>
      </c>
      <c r="N58" s="18"/>
      <c r="O58" s="18"/>
      <c r="P58" s="18"/>
    </row>
    <row r="59" spans="1:17" s="27" customFormat="1" ht="15" x14ac:dyDescent="0.25">
      <c r="A59" s="21" t="s">
        <v>51</v>
      </c>
      <c r="B59" s="23">
        <f t="shared" si="0"/>
        <v>0</v>
      </c>
      <c r="C59" s="22">
        <v>0</v>
      </c>
      <c r="D59" s="22">
        <v>0</v>
      </c>
      <c r="E59" s="23">
        <f t="shared" si="8"/>
        <v>0</v>
      </c>
      <c r="F59" s="22">
        <v>0</v>
      </c>
      <c r="G59" s="22">
        <v>0</v>
      </c>
      <c r="H59" s="23">
        <f t="shared" si="2"/>
        <v>10</v>
      </c>
      <c r="I59" s="22">
        <v>10</v>
      </c>
      <c r="J59" s="22">
        <v>0</v>
      </c>
      <c r="K59" s="23">
        <f t="shared" si="3"/>
        <v>8</v>
      </c>
      <c r="L59" s="22">
        <v>8</v>
      </c>
      <c r="M59" s="22">
        <v>0</v>
      </c>
      <c r="N59" s="18"/>
      <c r="O59" s="18"/>
      <c r="P59" s="18"/>
    </row>
    <row r="60" spans="1:17" s="27" customFormat="1" ht="15" x14ac:dyDescent="0.25">
      <c r="A60" s="21" t="s">
        <v>52</v>
      </c>
      <c r="B60" s="23">
        <v>0</v>
      </c>
      <c r="C60" s="22">
        <v>0</v>
      </c>
      <c r="D60" s="22">
        <v>0</v>
      </c>
      <c r="E60" s="23">
        <f t="shared" si="8"/>
        <v>11</v>
      </c>
      <c r="F60" s="22">
        <v>7</v>
      </c>
      <c r="G60" s="22">
        <v>4</v>
      </c>
      <c r="H60" s="23">
        <f t="shared" si="2"/>
        <v>0</v>
      </c>
      <c r="I60" s="22">
        <v>0</v>
      </c>
      <c r="J60" s="22">
        <v>0</v>
      </c>
      <c r="K60" s="23">
        <f t="shared" si="3"/>
        <v>0</v>
      </c>
      <c r="L60" s="22">
        <v>0</v>
      </c>
      <c r="M60" s="22">
        <v>0</v>
      </c>
      <c r="N60" s="18"/>
      <c r="O60" s="18"/>
      <c r="P60" s="18"/>
    </row>
    <row r="61" spans="1:17" s="27" customFormat="1" ht="15" x14ac:dyDescent="0.25">
      <c r="A61" s="21" t="s">
        <v>93</v>
      </c>
      <c r="B61" s="23">
        <v>0</v>
      </c>
      <c r="C61" s="22">
        <v>0</v>
      </c>
      <c r="D61" s="22">
        <v>0</v>
      </c>
      <c r="E61" s="23">
        <v>0</v>
      </c>
      <c r="F61" s="22">
        <v>0</v>
      </c>
      <c r="G61" s="22">
        <v>0</v>
      </c>
      <c r="H61" s="23">
        <f t="shared" si="2"/>
        <v>16</v>
      </c>
      <c r="I61" s="22">
        <v>14</v>
      </c>
      <c r="J61" s="22">
        <v>2</v>
      </c>
      <c r="K61" s="23">
        <f t="shared" si="3"/>
        <v>0</v>
      </c>
      <c r="L61" s="22">
        <v>0</v>
      </c>
      <c r="M61" s="22">
        <v>0</v>
      </c>
      <c r="N61" s="18"/>
      <c r="O61" s="18"/>
      <c r="P61" s="18"/>
    </row>
    <row r="62" spans="1:17" s="27" customFormat="1" ht="15" x14ac:dyDescent="0.25">
      <c r="A62" s="21" t="s">
        <v>94</v>
      </c>
      <c r="B62" s="23">
        <v>0</v>
      </c>
      <c r="C62" s="22">
        <v>0</v>
      </c>
      <c r="D62" s="22">
        <v>0</v>
      </c>
      <c r="E62" s="23">
        <v>0</v>
      </c>
      <c r="F62" s="22">
        <v>0</v>
      </c>
      <c r="G62" s="22">
        <v>0</v>
      </c>
      <c r="H62" s="23">
        <f t="shared" si="2"/>
        <v>26</v>
      </c>
      <c r="I62" s="22">
        <v>21</v>
      </c>
      <c r="J62" s="22">
        <v>5</v>
      </c>
      <c r="K62" s="23">
        <f t="shared" si="3"/>
        <v>0</v>
      </c>
      <c r="L62" s="22">
        <v>0</v>
      </c>
      <c r="M62" s="22">
        <v>0</v>
      </c>
      <c r="N62" s="18"/>
      <c r="O62" s="18"/>
      <c r="P62" s="18"/>
    </row>
    <row r="63" spans="1:17" s="27" customFormat="1" ht="15" x14ac:dyDescent="0.25">
      <c r="A63" s="21" t="s">
        <v>41</v>
      </c>
      <c r="B63" s="23">
        <v>0</v>
      </c>
      <c r="C63" s="22">
        <v>0</v>
      </c>
      <c r="D63" s="22">
        <v>0</v>
      </c>
      <c r="E63" s="23">
        <v>0</v>
      </c>
      <c r="F63" s="22">
        <v>0</v>
      </c>
      <c r="G63" s="22">
        <v>0</v>
      </c>
      <c r="H63" s="23">
        <f t="shared" si="2"/>
        <v>17</v>
      </c>
      <c r="I63" s="22">
        <v>8</v>
      </c>
      <c r="J63" s="22">
        <v>9</v>
      </c>
      <c r="K63" s="23">
        <f t="shared" si="3"/>
        <v>10</v>
      </c>
      <c r="L63" s="22">
        <v>2</v>
      </c>
      <c r="M63" s="22">
        <v>8</v>
      </c>
      <c r="N63" s="18"/>
      <c r="O63" s="18"/>
      <c r="P63" s="18"/>
    </row>
    <row r="64" spans="1:17" s="27" customFormat="1" ht="15" x14ac:dyDescent="0.25">
      <c r="A64" s="21" t="s">
        <v>95</v>
      </c>
      <c r="B64" s="23">
        <v>0</v>
      </c>
      <c r="C64" s="22">
        <v>0</v>
      </c>
      <c r="D64" s="22">
        <v>0</v>
      </c>
      <c r="E64" s="23">
        <v>0</v>
      </c>
      <c r="F64" s="22">
        <v>0</v>
      </c>
      <c r="G64" s="22">
        <v>0</v>
      </c>
      <c r="H64" s="23">
        <f t="shared" si="2"/>
        <v>19</v>
      </c>
      <c r="I64" s="22">
        <v>10</v>
      </c>
      <c r="J64" s="22">
        <v>9</v>
      </c>
      <c r="K64" s="23">
        <f t="shared" si="3"/>
        <v>0</v>
      </c>
      <c r="L64" s="22">
        <v>0</v>
      </c>
      <c r="M64" s="22">
        <v>0</v>
      </c>
      <c r="N64" s="18"/>
      <c r="O64" s="18"/>
      <c r="P64" s="18"/>
    </row>
    <row r="65" spans="1:16" s="27" customFormat="1" ht="15" x14ac:dyDescent="0.25">
      <c r="A65" s="21" t="s">
        <v>92</v>
      </c>
      <c r="B65" s="23">
        <v>0</v>
      </c>
      <c r="C65" s="22">
        <v>0</v>
      </c>
      <c r="D65" s="22">
        <v>0</v>
      </c>
      <c r="E65" s="23">
        <v>0</v>
      </c>
      <c r="F65" s="22">
        <v>0</v>
      </c>
      <c r="G65" s="22">
        <v>0</v>
      </c>
      <c r="H65" s="23">
        <v>0</v>
      </c>
      <c r="I65" s="22">
        <v>0</v>
      </c>
      <c r="J65" s="22">
        <v>0</v>
      </c>
      <c r="K65" s="23">
        <f t="shared" si="3"/>
        <v>25</v>
      </c>
      <c r="L65" s="22">
        <v>8</v>
      </c>
      <c r="M65" s="22">
        <v>17</v>
      </c>
      <c r="N65" s="18"/>
      <c r="O65" s="18"/>
      <c r="P65" s="18"/>
    </row>
    <row r="66" spans="1:16" s="27" customFormat="1" ht="15" x14ac:dyDescent="0.25">
      <c r="A66" s="20" t="s">
        <v>53</v>
      </c>
      <c r="B66" s="15">
        <f t="shared" si="0"/>
        <v>0</v>
      </c>
      <c r="C66" s="17">
        <v>0</v>
      </c>
      <c r="D66" s="17">
        <v>0</v>
      </c>
      <c r="E66" s="15">
        <f t="shared" si="8"/>
        <v>0</v>
      </c>
      <c r="F66" s="17">
        <f>F67</f>
        <v>0</v>
      </c>
      <c r="G66" s="17">
        <f>G67</f>
        <v>0</v>
      </c>
      <c r="H66" s="15">
        <f t="shared" si="2"/>
        <v>0</v>
      </c>
      <c r="I66" s="17">
        <f>I67</f>
        <v>0</v>
      </c>
      <c r="J66" s="17">
        <f>J67</f>
        <v>0</v>
      </c>
      <c r="K66" s="15">
        <f>L66+M66</f>
        <v>6</v>
      </c>
      <c r="L66" s="17">
        <f>L82</f>
        <v>1</v>
      </c>
      <c r="M66" s="17">
        <f>M82</f>
        <v>5</v>
      </c>
      <c r="N66" s="18"/>
      <c r="O66" s="18"/>
      <c r="P66" s="18"/>
    </row>
    <row r="67" spans="1:16" s="27" customFormat="1" ht="15" x14ac:dyDescent="0.25">
      <c r="A67" s="21" t="s">
        <v>37</v>
      </c>
      <c r="B67" s="23">
        <f t="shared" si="0"/>
        <v>0</v>
      </c>
      <c r="C67" s="22">
        <v>0</v>
      </c>
      <c r="D67" s="22">
        <v>0</v>
      </c>
      <c r="E67" s="23">
        <f t="shared" si="8"/>
        <v>0</v>
      </c>
      <c r="F67" s="22">
        <v>0</v>
      </c>
      <c r="G67" s="22">
        <v>0</v>
      </c>
      <c r="H67" s="23">
        <f t="shared" si="2"/>
        <v>0</v>
      </c>
      <c r="I67" s="22">
        <v>0</v>
      </c>
      <c r="J67" s="22">
        <v>0</v>
      </c>
      <c r="K67" s="23">
        <f t="shared" si="3"/>
        <v>0</v>
      </c>
      <c r="L67" s="22">
        <v>0</v>
      </c>
      <c r="M67" s="22">
        <v>0</v>
      </c>
      <c r="N67" s="18"/>
      <c r="O67" s="18"/>
      <c r="P67" s="18"/>
    </row>
    <row r="68" spans="1:16" s="27" customFormat="1" ht="15" hidden="1" x14ac:dyDescent="0.25">
      <c r="A68" s="16" t="s">
        <v>6</v>
      </c>
      <c r="B68" s="15">
        <f t="shared" si="0"/>
        <v>0</v>
      </c>
      <c r="C68" s="22"/>
      <c r="D68" s="22"/>
      <c r="E68" s="15">
        <f t="shared" si="8"/>
        <v>0</v>
      </c>
      <c r="F68" s="22"/>
      <c r="G68" s="22"/>
      <c r="H68" s="15">
        <f t="shared" si="2"/>
        <v>0</v>
      </c>
      <c r="I68" s="22"/>
      <c r="J68" s="22"/>
      <c r="K68" s="23">
        <f t="shared" si="3"/>
        <v>0</v>
      </c>
      <c r="L68" s="22"/>
      <c r="M68" s="22"/>
      <c r="N68" s="28"/>
      <c r="O68" s="18"/>
      <c r="P68" s="18"/>
    </row>
    <row r="69" spans="1:16" s="27" customFormat="1" ht="15" hidden="1" x14ac:dyDescent="0.25">
      <c r="A69" s="21" t="s">
        <v>54</v>
      </c>
      <c r="B69" s="15">
        <f t="shared" si="0"/>
        <v>0</v>
      </c>
      <c r="C69" s="22"/>
      <c r="D69" s="22"/>
      <c r="E69" s="15">
        <f t="shared" si="8"/>
        <v>0</v>
      </c>
      <c r="F69" s="22"/>
      <c r="G69" s="22"/>
      <c r="H69" s="15">
        <f t="shared" si="2"/>
        <v>0</v>
      </c>
      <c r="I69" s="22"/>
      <c r="J69" s="22"/>
      <c r="K69" s="23">
        <f t="shared" si="3"/>
        <v>0</v>
      </c>
      <c r="L69" s="22"/>
      <c r="M69" s="22"/>
      <c r="N69" s="18"/>
      <c r="O69" s="18"/>
      <c r="P69" s="18"/>
    </row>
    <row r="70" spans="1:16" s="27" customFormat="1" ht="15" hidden="1" x14ac:dyDescent="0.25">
      <c r="A70" s="21" t="s">
        <v>55</v>
      </c>
      <c r="B70" s="15">
        <f t="shared" si="0"/>
        <v>0</v>
      </c>
      <c r="C70" s="22"/>
      <c r="D70" s="22"/>
      <c r="E70" s="15">
        <f t="shared" si="8"/>
        <v>0</v>
      </c>
      <c r="F70" s="22"/>
      <c r="G70" s="22"/>
      <c r="H70" s="15">
        <f t="shared" si="2"/>
        <v>0</v>
      </c>
      <c r="I70" s="22"/>
      <c r="J70" s="22"/>
      <c r="K70" s="23">
        <f t="shared" si="3"/>
        <v>0</v>
      </c>
      <c r="L70" s="22"/>
      <c r="M70" s="22"/>
      <c r="N70" s="18"/>
      <c r="O70" s="18"/>
      <c r="P70" s="18"/>
    </row>
    <row r="71" spans="1:16" s="27" customFormat="1" ht="15" hidden="1" x14ac:dyDescent="0.25">
      <c r="A71" s="21" t="s">
        <v>56</v>
      </c>
      <c r="B71" s="15">
        <f t="shared" si="0"/>
        <v>0</v>
      </c>
      <c r="C71" s="22"/>
      <c r="D71" s="22"/>
      <c r="E71" s="15">
        <f t="shared" si="8"/>
        <v>0</v>
      </c>
      <c r="F71" s="22"/>
      <c r="G71" s="22"/>
      <c r="H71" s="15">
        <f t="shared" si="2"/>
        <v>0</v>
      </c>
      <c r="I71" s="22"/>
      <c r="J71" s="22"/>
      <c r="K71" s="23">
        <f t="shared" si="3"/>
        <v>0</v>
      </c>
      <c r="L71" s="22"/>
      <c r="M71" s="22"/>
      <c r="N71" s="18"/>
      <c r="O71" s="18"/>
      <c r="P71" s="18"/>
    </row>
    <row r="72" spans="1:16" s="27" customFormat="1" ht="15" hidden="1" x14ac:dyDescent="0.25">
      <c r="A72" s="21" t="s">
        <v>57</v>
      </c>
      <c r="B72" s="15">
        <f t="shared" si="0"/>
        <v>0</v>
      </c>
      <c r="C72" s="22"/>
      <c r="D72" s="22"/>
      <c r="E72" s="15">
        <f t="shared" si="8"/>
        <v>0</v>
      </c>
      <c r="F72" s="22"/>
      <c r="G72" s="22"/>
      <c r="H72" s="15">
        <f t="shared" si="2"/>
        <v>0</v>
      </c>
      <c r="I72" s="22"/>
      <c r="J72" s="22"/>
      <c r="K72" s="23">
        <f t="shared" si="3"/>
        <v>0</v>
      </c>
      <c r="L72" s="22"/>
      <c r="M72" s="22"/>
      <c r="N72" s="18"/>
      <c r="O72" s="18"/>
      <c r="P72" s="18"/>
    </row>
    <row r="73" spans="1:16" s="27" customFormat="1" ht="15" hidden="1" x14ac:dyDescent="0.25">
      <c r="A73" s="21" t="s">
        <v>58</v>
      </c>
      <c r="B73" s="15">
        <f t="shared" si="0"/>
        <v>0</v>
      </c>
      <c r="C73" s="22"/>
      <c r="D73" s="22"/>
      <c r="E73" s="15">
        <f t="shared" si="8"/>
        <v>0</v>
      </c>
      <c r="F73" s="22"/>
      <c r="G73" s="22"/>
      <c r="H73" s="15">
        <f t="shared" si="2"/>
        <v>0</v>
      </c>
      <c r="I73" s="22"/>
      <c r="J73" s="22"/>
      <c r="K73" s="23">
        <f t="shared" si="3"/>
        <v>0</v>
      </c>
      <c r="L73" s="22"/>
      <c r="M73" s="22"/>
      <c r="N73" s="26"/>
      <c r="O73" s="26"/>
      <c r="P73" s="26"/>
    </row>
    <row r="74" spans="1:16" s="27" customFormat="1" ht="15" hidden="1" x14ac:dyDescent="0.25">
      <c r="A74" s="21" t="s">
        <v>59</v>
      </c>
      <c r="B74" s="15">
        <f t="shared" si="0"/>
        <v>0</v>
      </c>
      <c r="C74" s="22"/>
      <c r="D74" s="22"/>
      <c r="E74" s="15">
        <f t="shared" si="8"/>
        <v>0</v>
      </c>
      <c r="F74" s="22"/>
      <c r="G74" s="22"/>
      <c r="H74" s="15">
        <f t="shared" si="2"/>
        <v>0</v>
      </c>
      <c r="I74" s="22"/>
      <c r="J74" s="22"/>
      <c r="K74" s="23">
        <f t="shared" si="3"/>
        <v>0</v>
      </c>
      <c r="L74" s="22"/>
      <c r="M74" s="22"/>
      <c r="N74" s="7"/>
      <c r="O74" s="7"/>
      <c r="P74" s="7"/>
    </row>
    <row r="75" spans="1:16" s="27" customFormat="1" ht="15" hidden="1" x14ac:dyDescent="0.25">
      <c r="A75" s="21" t="s">
        <v>60</v>
      </c>
      <c r="B75" s="15">
        <f t="shared" si="0"/>
        <v>0</v>
      </c>
      <c r="C75" s="22"/>
      <c r="D75" s="22"/>
      <c r="E75" s="15">
        <f t="shared" si="8"/>
        <v>0</v>
      </c>
      <c r="F75" s="22"/>
      <c r="G75" s="22"/>
      <c r="H75" s="15">
        <f t="shared" si="2"/>
        <v>0</v>
      </c>
      <c r="I75" s="22"/>
      <c r="J75" s="22"/>
      <c r="K75" s="23">
        <f t="shared" si="3"/>
        <v>0</v>
      </c>
      <c r="L75" s="22"/>
      <c r="M75" s="22"/>
      <c r="N75" s="7"/>
      <c r="O75" s="7"/>
      <c r="P75" s="7"/>
    </row>
    <row r="76" spans="1:16" s="27" customFormat="1" ht="15" hidden="1" x14ac:dyDescent="0.25">
      <c r="A76" s="21" t="s">
        <v>61</v>
      </c>
      <c r="B76" s="15">
        <f t="shared" si="0"/>
        <v>0</v>
      </c>
      <c r="C76" s="22"/>
      <c r="D76" s="22"/>
      <c r="E76" s="15">
        <f t="shared" si="8"/>
        <v>0</v>
      </c>
      <c r="F76" s="22"/>
      <c r="G76" s="22"/>
      <c r="H76" s="15">
        <f t="shared" si="2"/>
        <v>0</v>
      </c>
      <c r="I76" s="22"/>
      <c r="J76" s="22"/>
      <c r="K76" s="23">
        <f t="shared" si="3"/>
        <v>0</v>
      </c>
      <c r="L76" s="22"/>
      <c r="M76" s="22"/>
      <c r="N76" s="7"/>
      <c r="O76" s="7"/>
      <c r="P76" s="7"/>
    </row>
    <row r="77" spans="1:16" s="27" customFormat="1" ht="15" hidden="1" x14ac:dyDescent="0.25">
      <c r="A77" s="21" t="s">
        <v>62</v>
      </c>
      <c r="B77" s="15">
        <f t="shared" si="0"/>
        <v>0</v>
      </c>
      <c r="C77" s="22"/>
      <c r="D77" s="22"/>
      <c r="E77" s="15">
        <f t="shared" si="8"/>
        <v>0</v>
      </c>
      <c r="F77" s="22"/>
      <c r="G77" s="22"/>
      <c r="H77" s="15">
        <f t="shared" si="2"/>
        <v>0</v>
      </c>
      <c r="I77" s="22"/>
      <c r="J77" s="22"/>
      <c r="K77" s="23">
        <f t="shared" si="3"/>
        <v>0</v>
      </c>
      <c r="L77" s="22"/>
      <c r="M77" s="22"/>
      <c r="N77" s="18"/>
      <c r="O77" s="18"/>
      <c r="P77" s="18"/>
    </row>
    <row r="78" spans="1:16" s="27" customFormat="1" ht="15" hidden="1" x14ac:dyDescent="0.25">
      <c r="A78" s="21" t="s">
        <v>63</v>
      </c>
      <c r="B78" s="15">
        <f t="shared" si="0"/>
        <v>0</v>
      </c>
      <c r="C78" s="22"/>
      <c r="D78" s="22"/>
      <c r="E78" s="15">
        <f t="shared" si="8"/>
        <v>0</v>
      </c>
      <c r="F78" s="22"/>
      <c r="G78" s="22"/>
      <c r="H78" s="15">
        <f t="shared" si="2"/>
        <v>0</v>
      </c>
      <c r="I78" s="22"/>
      <c r="J78" s="22"/>
      <c r="K78" s="23">
        <f t="shared" si="3"/>
        <v>0</v>
      </c>
      <c r="L78" s="22"/>
      <c r="M78" s="22"/>
      <c r="N78" s="18"/>
      <c r="O78" s="18"/>
      <c r="P78" s="18"/>
    </row>
    <row r="79" spans="1:16" s="27" customFormat="1" ht="15" hidden="1" x14ac:dyDescent="0.25">
      <c r="A79" s="21" t="s">
        <v>64</v>
      </c>
      <c r="B79" s="15">
        <f t="shared" si="0"/>
        <v>0</v>
      </c>
      <c r="C79" s="22"/>
      <c r="D79" s="22"/>
      <c r="E79" s="15">
        <f t="shared" si="8"/>
        <v>0</v>
      </c>
      <c r="F79" s="22"/>
      <c r="G79" s="22"/>
      <c r="H79" s="15">
        <f t="shared" si="2"/>
        <v>0</v>
      </c>
      <c r="I79" s="22"/>
      <c r="J79" s="22"/>
      <c r="K79" s="23">
        <f t="shared" si="3"/>
        <v>0</v>
      </c>
      <c r="L79" s="22"/>
      <c r="M79" s="22"/>
      <c r="N79" s="18"/>
      <c r="O79" s="18"/>
      <c r="P79" s="18"/>
    </row>
    <row r="80" spans="1:16" s="33" customFormat="1" ht="15" hidden="1" x14ac:dyDescent="0.15">
      <c r="A80" s="21" t="s">
        <v>65</v>
      </c>
      <c r="B80" s="15">
        <f t="shared" si="0"/>
        <v>0</v>
      </c>
      <c r="C80" s="22"/>
      <c r="D80" s="22"/>
      <c r="E80" s="15">
        <f t="shared" si="8"/>
        <v>0</v>
      </c>
      <c r="F80" s="22"/>
      <c r="G80" s="22"/>
      <c r="H80" s="15">
        <f t="shared" si="2"/>
        <v>0</v>
      </c>
      <c r="I80" s="22"/>
      <c r="J80" s="22"/>
      <c r="K80" s="23">
        <f t="shared" si="3"/>
        <v>0</v>
      </c>
      <c r="L80" s="22"/>
      <c r="M80" s="22"/>
      <c r="N80" s="18"/>
      <c r="O80" s="18"/>
      <c r="P80" s="18"/>
    </row>
    <row r="81" spans="1:16" s="33" customFormat="1" ht="15" hidden="1" x14ac:dyDescent="0.15">
      <c r="A81" s="21" t="s">
        <v>66</v>
      </c>
      <c r="B81" s="15">
        <f t="shared" si="0"/>
        <v>0</v>
      </c>
      <c r="C81" s="22"/>
      <c r="D81" s="22"/>
      <c r="E81" s="15">
        <f t="shared" si="8"/>
        <v>0</v>
      </c>
      <c r="F81" s="22"/>
      <c r="G81" s="22"/>
      <c r="H81" s="15">
        <f t="shared" si="2"/>
        <v>0</v>
      </c>
      <c r="I81" s="22"/>
      <c r="J81" s="22"/>
      <c r="K81" s="23">
        <f t="shared" si="3"/>
        <v>0</v>
      </c>
      <c r="L81" s="22"/>
      <c r="M81" s="22"/>
      <c r="N81" s="28"/>
      <c r="O81" s="18"/>
      <c r="P81" s="18"/>
    </row>
    <row r="82" spans="1:16" s="33" customFormat="1" ht="15" x14ac:dyDescent="0.15">
      <c r="A82" s="21" t="s">
        <v>64</v>
      </c>
      <c r="B82" s="15">
        <v>0</v>
      </c>
      <c r="C82" s="22">
        <v>0</v>
      </c>
      <c r="D82" s="22">
        <v>0</v>
      </c>
      <c r="E82" s="15">
        <v>0</v>
      </c>
      <c r="F82" s="22">
        <v>0</v>
      </c>
      <c r="G82" s="22">
        <v>0</v>
      </c>
      <c r="H82" s="23">
        <v>0</v>
      </c>
      <c r="I82" s="22">
        <v>0</v>
      </c>
      <c r="J82" s="22">
        <v>0</v>
      </c>
      <c r="K82" s="23">
        <f t="shared" si="3"/>
        <v>6</v>
      </c>
      <c r="L82" s="22">
        <v>1</v>
      </c>
      <c r="M82" s="22">
        <v>5</v>
      </c>
      <c r="N82" s="28"/>
      <c r="O82" s="18"/>
      <c r="P82" s="18"/>
    </row>
    <row r="83" spans="1:16" s="33" customFormat="1" ht="15" x14ac:dyDescent="0.15">
      <c r="A83" s="16" t="s">
        <v>7</v>
      </c>
      <c r="B83" s="15">
        <f>C83</f>
        <v>40</v>
      </c>
      <c r="C83" s="17">
        <f>C84</f>
        <v>40</v>
      </c>
      <c r="D83" s="17">
        <v>0</v>
      </c>
      <c r="E83" s="15">
        <f>F83</f>
        <v>0</v>
      </c>
      <c r="F83" s="17">
        <f>F84</f>
        <v>0</v>
      </c>
      <c r="G83" s="17">
        <v>0</v>
      </c>
      <c r="H83" s="15">
        <f t="shared" si="2"/>
        <v>71</v>
      </c>
      <c r="I83" s="17">
        <f>I84+I98</f>
        <v>71</v>
      </c>
      <c r="J83" s="17">
        <v>0</v>
      </c>
      <c r="K83" s="15">
        <f t="shared" si="3"/>
        <v>0</v>
      </c>
      <c r="L83" s="17">
        <f>L84</f>
        <v>0</v>
      </c>
      <c r="M83" s="17">
        <v>0</v>
      </c>
      <c r="N83" s="26"/>
      <c r="O83" s="7"/>
      <c r="P83" s="7"/>
    </row>
    <row r="84" spans="1:16" s="33" customFormat="1" ht="15" x14ac:dyDescent="0.15">
      <c r="A84" s="21" t="s">
        <v>67</v>
      </c>
      <c r="B84" s="23">
        <f t="shared" si="0"/>
        <v>40</v>
      </c>
      <c r="C84" s="22">
        <v>40</v>
      </c>
      <c r="D84" s="22">
        <v>0</v>
      </c>
      <c r="E84" s="23">
        <f t="shared" ref="E84:E97" si="9">F84+G84</f>
        <v>0</v>
      </c>
      <c r="F84" s="22">
        <v>0</v>
      </c>
      <c r="G84" s="22">
        <v>0</v>
      </c>
      <c r="H84" s="23">
        <f t="shared" ref="H84:H128" si="10">I84+J84</f>
        <v>56</v>
      </c>
      <c r="I84" s="22">
        <f>20+16+20</f>
        <v>56</v>
      </c>
      <c r="J84" s="22">
        <v>0</v>
      </c>
      <c r="K84" s="23">
        <f t="shared" ref="K84:K128" si="11">L84+M84</f>
        <v>0</v>
      </c>
      <c r="L84" s="22">
        <v>0</v>
      </c>
      <c r="M84" s="22">
        <v>0</v>
      </c>
      <c r="N84" s="7"/>
      <c r="O84" s="7"/>
      <c r="P84" s="7"/>
    </row>
    <row r="85" spans="1:16" s="33" customFormat="1" ht="15" hidden="1" x14ac:dyDescent="0.15">
      <c r="A85" s="21" t="s">
        <v>60</v>
      </c>
      <c r="B85" s="15">
        <f t="shared" si="0"/>
        <v>0</v>
      </c>
      <c r="C85" s="22"/>
      <c r="D85" s="22"/>
      <c r="E85" s="15">
        <f t="shared" si="9"/>
        <v>0</v>
      </c>
      <c r="F85" s="22"/>
      <c r="G85" s="22"/>
      <c r="H85" s="23">
        <f t="shared" si="10"/>
        <v>0</v>
      </c>
      <c r="I85" s="22"/>
      <c r="J85" s="22"/>
      <c r="K85" s="23">
        <f t="shared" si="11"/>
        <v>0</v>
      </c>
      <c r="L85" s="22"/>
      <c r="M85" s="22"/>
      <c r="N85" s="7"/>
      <c r="O85" s="7"/>
      <c r="P85" s="7"/>
    </row>
    <row r="86" spans="1:16" s="33" customFormat="1" ht="15" hidden="1" x14ac:dyDescent="0.15">
      <c r="A86" s="21" t="s">
        <v>68</v>
      </c>
      <c r="B86" s="15">
        <f t="shared" si="0"/>
        <v>0</v>
      </c>
      <c r="C86" s="22"/>
      <c r="D86" s="22"/>
      <c r="E86" s="15">
        <f t="shared" si="9"/>
        <v>0</v>
      </c>
      <c r="F86" s="22"/>
      <c r="G86" s="22"/>
      <c r="H86" s="23">
        <f t="shared" si="10"/>
        <v>0</v>
      </c>
      <c r="I86" s="22"/>
      <c r="J86" s="22"/>
      <c r="K86" s="23">
        <f t="shared" si="11"/>
        <v>0</v>
      </c>
      <c r="L86" s="22"/>
      <c r="M86" s="22"/>
      <c r="N86" s="7"/>
      <c r="O86" s="7"/>
      <c r="P86" s="7"/>
    </row>
    <row r="87" spans="1:16" s="33" customFormat="1" ht="15" hidden="1" x14ac:dyDescent="0.15">
      <c r="A87" s="21" t="s">
        <v>69</v>
      </c>
      <c r="B87" s="15">
        <f t="shared" si="0"/>
        <v>0</v>
      </c>
      <c r="C87" s="22"/>
      <c r="D87" s="22"/>
      <c r="E87" s="15">
        <f t="shared" si="9"/>
        <v>0</v>
      </c>
      <c r="F87" s="22"/>
      <c r="G87" s="22"/>
      <c r="H87" s="23">
        <f t="shared" si="10"/>
        <v>0</v>
      </c>
      <c r="I87" s="22"/>
      <c r="J87" s="22"/>
      <c r="K87" s="23">
        <f t="shared" si="11"/>
        <v>0</v>
      </c>
      <c r="L87" s="22"/>
      <c r="M87" s="22"/>
      <c r="N87" s="18"/>
      <c r="O87" s="18"/>
      <c r="P87" s="18"/>
    </row>
    <row r="88" spans="1:16" s="33" customFormat="1" ht="15" hidden="1" x14ac:dyDescent="0.15">
      <c r="A88" s="21" t="s">
        <v>70</v>
      </c>
      <c r="B88" s="15">
        <f t="shared" si="0"/>
        <v>0</v>
      </c>
      <c r="C88" s="22"/>
      <c r="D88" s="22"/>
      <c r="E88" s="15">
        <f t="shared" si="9"/>
        <v>0</v>
      </c>
      <c r="F88" s="22"/>
      <c r="G88" s="22"/>
      <c r="H88" s="23">
        <f t="shared" si="10"/>
        <v>0</v>
      </c>
      <c r="I88" s="22"/>
      <c r="J88" s="22"/>
      <c r="K88" s="23">
        <f t="shared" si="11"/>
        <v>0</v>
      </c>
      <c r="L88" s="22"/>
      <c r="M88" s="22"/>
      <c r="N88" s="18"/>
      <c r="O88" s="18"/>
      <c r="P88" s="18"/>
    </row>
    <row r="89" spans="1:16" s="33" customFormat="1" ht="15" hidden="1" x14ac:dyDescent="0.15">
      <c r="A89" s="21" t="s">
        <v>71</v>
      </c>
      <c r="B89" s="15">
        <f t="shared" ref="B89:B128" si="12">C89+D89</f>
        <v>0</v>
      </c>
      <c r="C89" s="22"/>
      <c r="D89" s="22"/>
      <c r="E89" s="15">
        <f t="shared" si="9"/>
        <v>0</v>
      </c>
      <c r="F89" s="22"/>
      <c r="G89" s="22"/>
      <c r="H89" s="23">
        <f t="shared" si="10"/>
        <v>0</v>
      </c>
      <c r="I89" s="22"/>
      <c r="J89" s="22"/>
      <c r="K89" s="23">
        <f t="shared" si="11"/>
        <v>0</v>
      </c>
      <c r="L89" s="22"/>
      <c r="M89" s="22"/>
      <c r="N89" s="18"/>
      <c r="O89" s="18"/>
      <c r="P89" s="18"/>
    </row>
    <row r="90" spans="1:16" s="33" customFormat="1" ht="15" hidden="1" x14ac:dyDescent="0.15">
      <c r="A90" s="21" t="s">
        <v>72</v>
      </c>
      <c r="B90" s="15">
        <f t="shared" si="12"/>
        <v>0</v>
      </c>
      <c r="C90" s="22"/>
      <c r="D90" s="22"/>
      <c r="E90" s="15">
        <f t="shared" si="9"/>
        <v>0</v>
      </c>
      <c r="F90" s="22"/>
      <c r="G90" s="22"/>
      <c r="H90" s="23">
        <f t="shared" si="10"/>
        <v>0</v>
      </c>
      <c r="I90" s="22"/>
      <c r="J90" s="22"/>
      <c r="K90" s="23">
        <f t="shared" si="11"/>
        <v>0</v>
      </c>
      <c r="L90" s="22"/>
      <c r="M90" s="22"/>
      <c r="N90" s="18"/>
      <c r="O90" s="18"/>
      <c r="P90" s="18"/>
    </row>
    <row r="91" spans="1:16" s="33" customFormat="1" ht="15" hidden="1" x14ac:dyDescent="0.15">
      <c r="A91" s="16" t="s">
        <v>8</v>
      </c>
      <c r="B91" s="15">
        <f t="shared" si="12"/>
        <v>0</v>
      </c>
      <c r="C91" s="22"/>
      <c r="D91" s="22"/>
      <c r="E91" s="15">
        <f t="shared" si="9"/>
        <v>0</v>
      </c>
      <c r="F91" s="22"/>
      <c r="G91" s="22"/>
      <c r="H91" s="23">
        <f t="shared" si="10"/>
        <v>0</v>
      </c>
      <c r="I91" s="22"/>
      <c r="J91" s="22"/>
      <c r="K91" s="23">
        <f t="shared" si="11"/>
        <v>0</v>
      </c>
      <c r="L91" s="22"/>
      <c r="M91" s="22"/>
      <c r="N91" s="18"/>
      <c r="O91" s="18"/>
      <c r="P91" s="18"/>
    </row>
    <row r="92" spans="1:16" s="33" customFormat="1" ht="15" hidden="1" x14ac:dyDescent="0.15">
      <c r="A92" s="21" t="s">
        <v>73</v>
      </c>
      <c r="B92" s="15">
        <f t="shared" si="12"/>
        <v>0</v>
      </c>
      <c r="C92" s="22"/>
      <c r="D92" s="22"/>
      <c r="E92" s="15">
        <f t="shared" si="9"/>
        <v>0</v>
      </c>
      <c r="F92" s="22"/>
      <c r="G92" s="22"/>
      <c r="H92" s="23">
        <f t="shared" si="10"/>
        <v>0</v>
      </c>
      <c r="I92" s="22"/>
      <c r="J92" s="22"/>
      <c r="K92" s="23">
        <f t="shared" si="11"/>
        <v>0</v>
      </c>
      <c r="L92" s="22"/>
      <c r="M92" s="22"/>
      <c r="N92" s="18"/>
      <c r="O92" s="18"/>
      <c r="P92" s="18"/>
    </row>
    <row r="93" spans="1:16" s="33" customFormat="1" ht="15" hidden="1" x14ac:dyDescent="0.15">
      <c r="A93" s="21" t="s">
        <v>59</v>
      </c>
      <c r="B93" s="15">
        <f t="shared" si="12"/>
        <v>0</v>
      </c>
      <c r="C93" s="22"/>
      <c r="D93" s="22"/>
      <c r="E93" s="15">
        <f t="shared" si="9"/>
        <v>0</v>
      </c>
      <c r="F93" s="22"/>
      <c r="G93" s="22"/>
      <c r="H93" s="23">
        <f t="shared" si="10"/>
        <v>0</v>
      </c>
      <c r="I93" s="22"/>
      <c r="J93" s="22"/>
      <c r="K93" s="23">
        <f t="shared" si="11"/>
        <v>0</v>
      </c>
      <c r="L93" s="22"/>
      <c r="M93" s="22"/>
      <c r="N93" s="18"/>
      <c r="O93" s="18"/>
      <c r="P93" s="18"/>
    </row>
    <row r="94" spans="1:16" s="33" customFormat="1" ht="15" hidden="1" x14ac:dyDescent="0.15">
      <c r="A94" s="16" t="s">
        <v>10</v>
      </c>
      <c r="B94" s="15">
        <f t="shared" si="12"/>
        <v>0</v>
      </c>
      <c r="C94" s="22"/>
      <c r="D94" s="22"/>
      <c r="E94" s="15">
        <f t="shared" si="9"/>
        <v>0</v>
      </c>
      <c r="F94" s="22"/>
      <c r="G94" s="22"/>
      <c r="H94" s="23">
        <f t="shared" si="10"/>
        <v>0</v>
      </c>
      <c r="I94" s="22"/>
      <c r="J94" s="22"/>
      <c r="K94" s="23">
        <f t="shared" si="11"/>
        <v>0</v>
      </c>
      <c r="L94" s="22"/>
      <c r="M94" s="22"/>
      <c r="N94" s="18"/>
      <c r="O94" s="18"/>
      <c r="P94" s="18"/>
    </row>
    <row r="95" spans="1:16" s="34" customFormat="1" ht="15" hidden="1" x14ac:dyDescent="0.15">
      <c r="A95" s="21" t="s">
        <v>67</v>
      </c>
      <c r="B95" s="15">
        <f t="shared" si="12"/>
        <v>0</v>
      </c>
      <c r="C95" s="22"/>
      <c r="D95" s="22"/>
      <c r="E95" s="15">
        <f t="shared" si="9"/>
        <v>0</v>
      </c>
      <c r="F95" s="22"/>
      <c r="G95" s="22"/>
      <c r="H95" s="23">
        <f t="shared" si="10"/>
        <v>0</v>
      </c>
      <c r="I95" s="22"/>
      <c r="J95" s="22"/>
      <c r="K95" s="23">
        <f t="shared" si="11"/>
        <v>0</v>
      </c>
      <c r="L95" s="22"/>
      <c r="M95" s="22"/>
      <c r="N95" s="18"/>
      <c r="O95" s="18"/>
      <c r="P95" s="18"/>
    </row>
    <row r="96" spans="1:16" s="34" customFormat="1" ht="15" hidden="1" x14ac:dyDescent="0.15">
      <c r="A96" s="21" t="s">
        <v>74</v>
      </c>
      <c r="B96" s="15">
        <f t="shared" si="12"/>
        <v>0</v>
      </c>
      <c r="C96" s="22"/>
      <c r="D96" s="22"/>
      <c r="E96" s="15">
        <f t="shared" si="9"/>
        <v>0</v>
      </c>
      <c r="F96" s="22"/>
      <c r="G96" s="22"/>
      <c r="H96" s="23">
        <f t="shared" si="10"/>
        <v>0</v>
      </c>
      <c r="I96" s="22"/>
      <c r="J96" s="22"/>
      <c r="K96" s="23">
        <f t="shared" si="11"/>
        <v>0</v>
      </c>
      <c r="L96" s="22"/>
      <c r="M96" s="22"/>
      <c r="N96" s="18"/>
      <c r="O96" s="18"/>
      <c r="P96" s="18"/>
    </row>
    <row r="97" spans="1:16" s="34" customFormat="1" ht="15" hidden="1" x14ac:dyDescent="0.15">
      <c r="A97" s="21" t="s">
        <v>73</v>
      </c>
      <c r="B97" s="15">
        <f t="shared" si="12"/>
        <v>0</v>
      </c>
      <c r="C97" s="22"/>
      <c r="D97" s="22"/>
      <c r="E97" s="15">
        <f t="shared" si="9"/>
        <v>0</v>
      </c>
      <c r="F97" s="22"/>
      <c r="G97" s="22"/>
      <c r="H97" s="23">
        <f t="shared" si="10"/>
        <v>0</v>
      </c>
      <c r="I97" s="22"/>
      <c r="J97" s="22"/>
      <c r="K97" s="23">
        <f t="shared" si="11"/>
        <v>0</v>
      </c>
      <c r="L97" s="22"/>
      <c r="M97" s="22"/>
      <c r="N97" s="18"/>
      <c r="O97" s="18"/>
      <c r="P97" s="18"/>
    </row>
    <row r="98" spans="1:16" s="34" customFormat="1" ht="15" x14ac:dyDescent="0.15">
      <c r="A98" s="21" t="s">
        <v>34</v>
      </c>
      <c r="B98" s="15">
        <v>0</v>
      </c>
      <c r="C98" s="22">
        <v>0</v>
      </c>
      <c r="D98" s="22">
        <v>0</v>
      </c>
      <c r="E98" s="15">
        <v>0</v>
      </c>
      <c r="F98" s="22">
        <v>0</v>
      </c>
      <c r="G98" s="22">
        <v>0</v>
      </c>
      <c r="H98" s="23">
        <f t="shared" si="10"/>
        <v>15</v>
      </c>
      <c r="I98" s="22">
        <v>15</v>
      </c>
      <c r="J98" s="22">
        <v>0</v>
      </c>
      <c r="K98" s="23">
        <f t="shared" si="11"/>
        <v>0</v>
      </c>
      <c r="L98" s="22">
        <v>0</v>
      </c>
      <c r="M98" s="22">
        <v>0</v>
      </c>
      <c r="N98" s="18"/>
      <c r="O98" s="18"/>
      <c r="P98" s="18"/>
    </row>
    <row r="99" spans="1:16" s="34" customFormat="1" ht="15" x14ac:dyDescent="0.15">
      <c r="A99" s="16" t="s">
        <v>11</v>
      </c>
      <c r="B99" s="15">
        <f t="shared" ref="B99:G99" si="13">B100+B101+B102+B103+B104+B105+B106</f>
        <v>46</v>
      </c>
      <c r="C99" s="17">
        <f t="shared" si="13"/>
        <v>34</v>
      </c>
      <c r="D99" s="17">
        <f t="shared" si="13"/>
        <v>12</v>
      </c>
      <c r="E99" s="15">
        <f t="shared" si="13"/>
        <v>0</v>
      </c>
      <c r="F99" s="17">
        <f t="shared" si="13"/>
        <v>0</v>
      </c>
      <c r="G99" s="17">
        <f t="shared" si="13"/>
        <v>0</v>
      </c>
      <c r="H99" s="15">
        <f t="shared" si="10"/>
        <v>0</v>
      </c>
      <c r="I99" s="17">
        <f t="shared" ref="I99:J99" si="14">I100+I101+I102+I103+I104+I105+I106</f>
        <v>0</v>
      </c>
      <c r="J99" s="17">
        <f t="shared" si="14"/>
        <v>0</v>
      </c>
      <c r="K99" s="15">
        <f t="shared" si="11"/>
        <v>0</v>
      </c>
      <c r="L99" s="17">
        <f t="shared" ref="L99:M99" si="15">L100+L101+L102+L103+L104+L105+L106</f>
        <v>0</v>
      </c>
      <c r="M99" s="17">
        <f t="shared" si="15"/>
        <v>0</v>
      </c>
      <c r="N99" s="18"/>
      <c r="O99" s="18"/>
      <c r="P99" s="18"/>
    </row>
    <row r="100" spans="1:16" s="34" customFormat="1" ht="15" x14ac:dyDescent="0.15">
      <c r="A100" s="21" t="s">
        <v>75</v>
      </c>
      <c r="B100" s="23">
        <f t="shared" si="12"/>
        <v>18</v>
      </c>
      <c r="C100" s="22">
        <f>9+9</f>
        <v>18</v>
      </c>
      <c r="D100" s="22">
        <v>0</v>
      </c>
      <c r="E100" s="23">
        <f t="shared" ref="E100:E106" si="16">F100+G100</f>
        <v>0</v>
      </c>
      <c r="F100" s="22">
        <v>0</v>
      </c>
      <c r="G100" s="22">
        <v>0</v>
      </c>
      <c r="H100" s="23">
        <f t="shared" si="10"/>
        <v>0</v>
      </c>
      <c r="I100" s="22">
        <v>0</v>
      </c>
      <c r="J100" s="22">
        <v>0</v>
      </c>
      <c r="K100" s="23">
        <f t="shared" si="11"/>
        <v>0</v>
      </c>
      <c r="L100" s="22">
        <v>0</v>
      </c>
      <c r="M100" s="22">
        <v>0</v>
      </c>
      <c r="N100" s="18"/>
      <c r="O100" s="18"/>
      <c r="P100" s="18"/>
    </row>
    <row r="101" spans="1:16" s="34" customFormat="1" ht="15" x14ac:dyDescent="0.15">
      <c r="A101" s="21" t="s">
        <v>76</v>
      </c>
      <c r="B101" s="23">
        <f t="shared" si="12"/>
        <v>0</v>
      </c>
      <c r="C101" s="22">
        <v>0</v>
      </c>
      <c r="D101" s="22">
        <v>0</v>
      </c>
      <c r="E101" s="23">
        <f t="shared" si="16"/>
        <v>0</v>
      </c>
      <c r="F101" s="22">
        <v>0</v>
      </c>
      <c r="G101" s="22">
        <v>0</v>
      </c>
      <c r="H101" s="23">
        <f t="shared" si="10"/>
        <v>0</v>
      </c>
      <c r="I101" s="22">
        <v>0</v>
      </c>
      <c r="J101" s="22">
        <v>0</v>
      </c>
      <c r="K101" s="23">
        <f t="shared" si="11"/>
        <v>0</v>
      </c>
      <c r="L101" s="22">
        <v>0</v>
      </c>
      <c r="M101" s="22">
        <v>0</v>
      </c>
      <c r="N101" s="18"/>
      <c r="O101" s="18"/>
      <c r="P101" s="18"/>
    </row>
    <row r="102" spans="1:16" s="34" customFormat="1" ht="15" x14ac:dyDescent="0.15">
      <c r="A102" s="21" t="s">
        <v>77</v>
      </c>
      <c r="B102" s="23">
        <f t="shared" si="12"/>
        <v>0</v>
      </c>
      <c r="C102" s="22">
        <v>0</v>
      </c>
      <c r="D102" s="22">
        <v>0</v>
      </c>
      <c r="E102" s="23">
        <f t="shared" si="16"/>
        <v>0</v>
      </c>
      <c r="F102" s="22">
        <v>0</v>
      </c>
      <c r="G102" s="22">
        <v>0</v>
      </c>
      <c r="H102" s="23">
        <f t="shared" si="10"/>
        <v>0</v>
      </c>
      <c r="I102" s="22">
        <v>0</v>
      </c>
      <c r="J102" s="22">
        <v>0</v>
      </c>
      <c r="K102" s="23">
        <f t="shared" si="11"/>
        <v>0</v>
      </c>
      <c r="L102" s="22">
        <v>0</v>
      </c>
      <c r="M102" s="22">
        <v>0</v>
      </c>
      <c r="N102" s="18"/>
      <c r="O102" s="18"/>
      <c r="P102" s="18"/>
    </row>
    <row r="103" spans="1:16" s="34" customFormat="1" ht="15" x14ac:dyDescent="0.15">
      <c r="A103" s="21" t="s">
        <v>78</v>
      </c>
      <c r="B103" s="23">
        <f t="shared" si="12"/>
        <v>0</v>
      </c>
      <c r="C103" s="22">
        <v>0</v>
      </c>
      <c r="D103" s="22">
        <v>0</v>
      </c>
      <c r="E103" s="23">
        <f t="shared" si="16"/>
        <v>0</v>
      </c>
      <c r="F103" s="22">
        <v>0</v>
      </c>
      <c r="G103" s="22">
        <v>0</v>
      </c>
      <c r="H103" s="23">
        <f t="shared" si="10"/>
        <v>0</v>
      </c>
      <c r="I103" s="22">
        <v>0</v>
      </c>
      <c r="J103" s="22">
        <v>0</v>
      </c>
      <c r="K103" s="23">
        <f t="shared" si="11"/>
        <v>0</v>
      </c>
      <c r="L103" s="22">
        <v>0</v>
      </c>
      <c r="M103" s="22">
        <v>0</v>
      </c>
      <c r="N103" s="18"/>
      <c r="O103" s="18"/>
      <c r="P103" s="18"/>
    </row>
    <row r="104" spans="1:16" s="34" customFormat="1" ht="15" x14ac:dyDescent="0.15">
      <c r="A104" s="21" t="s">
        <v>59</v>
      </c>
      <c r="B104" s="23">
        <f t="shared" si="12"/>
        <v>16</v>
      </c>
      <c r="C104" s="22">
        <v>16</v>
      </c>
      <c r="D104" s="22">
        <v>0</v>
      </c>
      <c r="E104" s="23">
        <f t="shared" si="16"/>
        <v>0</v>
      </c>
      <c r="F104" s="22">
        <v>0</v>
      </c>
      <c r="G104" s="22">
        <v>0</v>
      </c>
      <c r="H104" s="23">
        <f t="shared" si="10"/>
        <v>0</v>
      </c>
      <c r="I104" s="22">
        <v>0</v>
      </c>
      <c r="J104" s="22">
        <v>0</v>
      </c>
      <c r="K104" s="23">
        <f t="shared" si="11"/>
        <v>0</v>
      </c>
      <c r="L104" s="22">
        <v>0</v>
      </c>
      <c r="M104" s="22">
        <v>0</v>
      </c>
      <c r="N104" s="18"/>
      <c r="O104" s="18"/>
      <c r="P104" s="18"/>
    </row>
    <row r="105" spans="1:16" s="34" customFormat="1" ht="15" x14ac:dyDescent="0.15">
      <c r="A105" s="21" t="s">
        <v>79</v>
      </c>
      <c r="B105" s="23">
        <f t="shared" si="12"/>
        <v>0</v>
      </c>
      <c r="C105" s="22">
        <v>0</v>
      </c>
      <c r="D105" s="22">
        <v>0</v>
      </c>
      <c r="E105" s="23">
        <f t="shared" si="16"/>
        <v>0</v>
      </c>
      <c r="F105" s="22">
        <v>0</v>
      </c>
      <c r="G105" s="22">
        <v>0</v>
      </c>
      <c r="H105" s="23">
        <f t="shared" si="10"/>
        <v>0</v>
      </c>
      <c r="I105" s="22">
        <v>0</v>
      </c>
      <c r="J105" s="22">
        <v>0</v>
      </c>
      <c r="K105" s="23">
        <f t="shared" si="11"/>
        <v>0</v>
      </c>
      <c r="L105" s="22">
        <v>0</v>
      </c>
      <c r="M105" s="22">
        <v>0</v>
      </c>
      <c r="N105" s="18"/>
      <c r="O105" s="18"/>
      <c r="P105" s="18"/>
    </row>
    <row r="106" spans="1:16" s="34" customFormat="1" ht="15" x14ac:dyDescent="0.15">
      <c r="A106" s="21" t="s">
        <v>80</v>
      </c>
      <c r="B106" s="23">
        <f t="shared" si="12"/>
        <v>12</v>
      </c>
      <c r="C106" s="22">
        <v>0</v>
      </c>
      <c r="D106" s="22">
        <v>12</v>
      </c>
      <c r="E106" s="23">
        <f t="shared" si="16"/>
        <v>0</v>
      </c>
      <c r="F106" s="22">
        <v>0</v>
      </c>
      <c r="G106" s="22">
        <v>0</v>
      </c>
      <c r="H106" s="23">
        <f t="shared" si="10"/>
        <v>0</v>
      </c>
      <c r="I106" s="22">
        <v>0</v>
      </c>
      <c r="J106" s="22">
        <v>0</v>
      </c>
      <c r="K106" s="23">
        <f t="shared" si="11"/>
        <v>0</v>
      </c>
      <c r="L106" s="22">
        <v>0</v>
      </c>
      <c r="M106" s="22">
        <v>0</v>
      </c>
      <c r="N106" s="18"/>
      <c r="O106" s="18"/>
      <c r="P106" s="18"/>
    </row>
    <row r="107" spans="1:16" s="34" customFormat="1" ht="15" x14ac:dyDescent="0.15">
      <c r="A107" s="16" t="s">
        <v>9</v>
      </c>
      <c r="B107" s="15">
        <f>B108</f>
        <v>255</v>
      </c>
      <c r="C107" s="17">
        <f>C108</f>
        <v>255</v>
      </c>
      <c r="D107" s="17">
        <v>0</v>
      </c>
      <c r="E107" s="15">
        <f>E108</f>
        <v>33</v>
      </c>
      <c r="F107" s="17">
        <f>F108+F109+F110+F111+F112+F113+F114</f>
        <v>88</v>
      </c>
      <c r="G107" s="17">
        <f>G108+G109+G110+G111+G112+G113+G114</f>
        <v>48</v>
      </c>
      <c r="H107" s="15">
        <f>I107+J107</f>
        <v>258</v>
      </c>
      <c r="I107" s="17">
        <f>I108+I109+I110+I111+I112+I113+I114+I115</f>
        <v>181</v>
      </c>
      <c r="J107" s="17">
        <f>J108+J109+J110+J111+J112+J113+J114+J115</f>
        <v>77</v>
      </c>
      <c r="K107" s="15">
        <f>L107+M107</f>
        <v>133</v>
      </c>
      <c r="L107" s="17">
        <f>L108+L109+L110+L111+L112+L113+L114+L115</f>
        <v>67</v>
      </c>
      <c r="M107" s="17">
        <f>M108+M109+M110+M111+M112+M113+M114+M115</f>
        <v>66</v>
      </c>
      <c r="N107" s="18"/>
      <c r="O107" s="18"/>
      <c r="P107" s="18"/>
    </row>
    <row r="108" spans="1:16" s="34" customFormat="1" ht="15" x14ac:dyDescent="0.15">
      <c r="A108" s="21" t="s">
        <v>59</v>
      </c>
      <c r="B108" s="23">
        <f>C108</f>
        <v>255</v>
      </c>
      <c r="C108" s="22">
        <v>255</v>
      </c>
      <c r="D108" s="22">
        <v>0</v>
      </c>
      <c r="E108" s="23">
        <f>F108</f>
        <v>33</v>
      </c>
      <c r="F108" s="22">
        <v>33</v>
      </c>
      <c r="G108" s="22">
        <v>0</v>
      </c>
      <c r="H108" s="23">
        <f t="shared" si="10"/>
        <v>80</v>
      </c>
      <c r="I108" s="22">
        <v>79</v>
      </c>
      <c r="J108" s="22">
        <v>1</v>
      </c>
      <c r="K108" s="23">
        <f t="shared" si="11"/>
        <v>17</v>
      </c>
      <c r="L108" s="22">
        <v>17</v>
      </c>
      <c r="M108" s="22">
        <v>0</v>
      </c>
      <c r="N108" s="18"/>
      <c r="O108" s="18"/>
      <c r="P108" s="18"/>
    </row>
    <row r="109" spans="1:16" s="34" customFormat="1" ht="15" x14ac:dyDescent="0.15">
      <c r="A109" s="21" t="s">
        <v>81</v>
      </c>
      <c r="B109" s="23">
        <v>0</v>
      </c>
      <c r="C109" s="22">
        <v>0</v>
      </c>
      <c r="D109" s="22">
        <v>0</v>
      </c>
      <c r="E109" s="23">
        <f t="shared" ref="E109:E128" si="17">F109+G109</f>
        <v>4</v>
      </c>
      <c r="F109" s="22">
        <v>3</v>
      </c>
      <c r="G109" s="22">
        <v>1</v>
      </c>
      <c r="H109" s="23">
        <f t="shared" si="10"/>
        <v>0</v>
      </c>
      <c r="I109" s="22">
        <v>0</v>
      </c>
      <c r="J109" s="22">
        <v>0</v>
      </c>
      <c r="K109" s="23">
        <f t="shared" si="11"/>
        <v>0</v>
      </c>
      <c r="L109" s="22">
        <v>0</v>
      </c>
      <c r="M109" s="22">
        <v>0</v>
      </c>
      <c r="N109" s="18"/>
      <c r="O109" s="18"/>
      <c r="P109" s="18"/>
    </row>
    <row r="110" spans="1:16" s="34" customFormat="1" ht="15" x14ac:dyDescent="0.15">
      <c r="A110" s="21" t="s">
        <v>82</v>
      </c>
      <c r="B110" s="23">
        <v>0</v>
      </c>
      <c r="C110" s="22">
        <v>0</v>
      </c>
      <c r="D110" s="22">
        <v>0</v>
      </c>
      <c r="E110" s="23">
        <f t="shared" si="17"/>
        <v>11</v>
      </c>
      <c r="F110" s="22">
        <v>5</v>
      </c>
      <c r="G110" s="22">
        <v>6</v>
      </c>
      <c r="H110" s="23">
        <f t="shared" si="10"/>
        <v>0</v>
      </c>
      <c r="I110" s="22">
        <v>0</v>
      </c>
      <c r="J110" s="22">
        <v>0</v>
      </c>
      <c r="K110" s="23">
        <f t="shared" si="11"/>
        <v>7</v>
      </c>
      <c r="L110" s="22">
        <v>3</v>
      </c>
      <c r="M110" s="22">
        <v>4</v>
      </c>
      <c r="N110" s="18"/>
      <c r="O110" s="18"/>
      <c r="P110" s="18"/>
    </row>
    <row r="111" spans="1:16" s="34" customFormat="1" ht="15" x14ac:dyDescent="0.15">
      <c r="A111" s="21" t="s">
        <v>83</v>
      </c>
      <c r="B111" s="23">
        <v>0</v>
      </c>
      <c r="C111" s="22">
        <v>0</v>
      </c>
      <c r="D111" s="22">
        <v>0</v>
      </c>
      <c r="E111" s="23">
        <f t="shared" si="17"/>
        <v>8</v>
      </c>
      <c r="F111" s="22">
        <v>5</v>
      </c>
      <c r="G111" s="22">
        <v>3</v>
      </c>
      <c r="H111" s="23">
        <f t="shared" si="10"/>
        <v>15</v>
      </c>
      <c r="I111" s="22">
        <v>11</v>
      </c>
      <c r="J111" s="22">
        <v>4</v>
      </c>
      <c r="K111" s="23">
        <f t="shared" si="11"/>
        <v>0</v>
      </c>
      <c r="L111" s="22">
        <v>0</v>
      </c>
      <c r="M111" s="22">
        <v>0</v>
      </c>
      <c r="N111" s="18"/>
      <c r="O111" s="18"/>
      <c r="P111" s="18"/>
    </row>
    <row r="112" spans="1:16" s="34" customFormat="1" ht="15" x14ac:dyDescent="0.15">
      <c r="A112" s="21" t="s">
        <v>84</v>
      </c>
      <c r="B112" s="23">
        <v>0</v>
      </c>
      <c r="C112" s="22">
        <v>0</v>
      </c>
      <c r="D112" s="22">
        <v>0</v>
      </c>
      <c r="E112" s="23">
        <f t="shared" si="17"/>
        <v>48</v>
      </c>
      <c r="F112" s="22">
        <v>26</v>
      </c>
      <c r="G112" s="22">
        <v>22</v>
      </c>
      <c r="H112" s="23">
        <f t="shared" si="10"/>
        <v>47</v>
      </c>
      <c r="I112" s="22">
        <v>21</v>
      </c>
      <c r="J112" s="22">
        <v>26</v>
      </c>
      <c r="K112" s="23">
        <f t="shared" si="11"/>
        <v>23</v>
      </c>
      <c r="L112" s="22">
        <v>6</v>
      </c>
      <c r="M112" s="22">
        <v>17</v>
      </c>
      <c r="N112" s="18"/>
      <c r="O112" s="18"/>
      <c r="P112" s="18"/>
    </row>
    <row r="113" spans="1:16" s="34" customFormat="1" ht="15" x14ac:dyDescent="0.15">
      <c r="A113" s="21" t="s">
        <v>85</v>
      </c>
      <c r="B113" s="23">
        <v>0</v>
      </c>
      <c r="C113" s="22">
        <v>0</v>
      </c>
      <c r="D113" s="22">
        <v>0</v>
      </c>
      <c r="E113" s="23">
        <f t="shared" si="17"/>
        <v>24</v>
      </c>
      <c r="F113" s="22">
        <v>10</v>
      </c>
      <c r="G113" s="22">
        <v>14</v>
      </c>
      <c r="H113" s="23">
        <f t="shared" si="10"/>
        <v>58</v>
      </c>
      <c r="I113" s="22">
        <v>32</v>
      </c>
      <c r="J113" s="22">
        <v>26</v>
      </c>
      <c r="K113" s="23">
        <f t="shared" si="11"/>
        <v>36</v>
      </c>
      <c r="L113" s="22">
        <f>10+5</f>
        <v>15</v>
      </c>
      <c r="M113" s="22">
        <f>15+6</f>
        <v>21</v>
      </c>
      <c r="N113" s="18"/>
      <c r="O113" s="18"/>
      <c r="P113" s="18"/>
    </row>
    <row r="114" spans="1:16" s="34" customFormat="1" ht="15" x14ac:dyDescent="0.15">
      <c r="A114" s="21" t="s">
        <v>86</v>
      </c>
      <c r="B114" s="23">
        <v>0</v>
      </c>
      <c r="C114" s="22">
        <v>0</v>
      </c>
      <c r="D114" s="22">
        <v>0</v>
      </c>
      <c r="E114" s="23">
        <f t="shared" si="17"/>
        <v>8</v>
      </c>
      <c r="F114" s="22">
        <v>6</v>
      </c>
      <c r="G114" s="22">
        <v>2</v>
      </c>
      <c r="H114" s="23">
        <f t="shared" si="10"/>
        <v>4</v>
      </c>
      <c r="I114" s="22">
        <v>4</v>
      </c>
      <c r="J114" s="22">
        <v>0</v>
      </c>
      <c r="K114" s="23">
        <f t="shared" si="11"/>
        <v>0</v>
      </c>
      <c r="L114" s="22">
        <v>0</v>
      </c>
      <c r="M114" s="22">
        <v>0</v>
      </c>
      <c r="N114" s="18"/>
      <c r="O114" s="18"/>
      <c r="P114" s="18"/>
    </row>
    <row r="115" spans="1:16" s="34" customFormat="1" ht="15" x14ac:dyDescent="0.15">
      <c r="A115" s="21" t="s">
        <v>96</v>
      </c>
      <c r="B115" s="23">
        <v>0</v>
      </c>
      <c r="C115" s="22">
        <v>0</v>
      </c>
      <c r="D115" s="22">
        <v>0</v>
      </c>
      <c r="E115" s="23">
        <v>0</v>
      </c>
      <c r="F115" s="22">
        <v>0</v>
      </c>
      <c r="G115" s="22">
        <v>0</v>
      </c>
      <c r="H115" s="23">
        <f t="shared" si="10"/>
        <v>54</v>
      </c>
      <c r="I115" s="22">
        <v>34</v>
      </c>
      <c r="J115" s="22">
        <v>20</v>
      </c>
      <c r="K115" s="23">
        <f t="shared" si="11"/>
        <v>50</v>
      </c>
      <c r="L115" s="22">
        <f>19+7</f>
        <v>26</v>
      </c>
      <c r="M115" s="22">
        <f>18+6</f>
        <v>24</v>
      </c>
      <c r="N115" s="18"/>
      <c r="O115" s="18"/>
      <c r="P115" s="18"/>
    </row>
    <row r="116" spans="1:16" s="34" customFormat="1" ht="15" x14ac:dyDescent="0.15">
      <c r="A116" s="16" t="s">
        <v>97</v>
      </c>
      <c r="B116" s="15">
        <v>0</v>
      </c>
      <c r="C116" s="17">
        <v>0</v>
      </c>
      <c r="D116" s="17">
        <v>0</v>
      </c>
      <c r="E116" s="15">
        <v>0</v>
      </c>
      <c r="F116" s="17">
        <v>0</v>
      </c>
      <c r="G116" s="17">
        <v>0</v>
      </c>
      <c r="H116" s="15">
        <f t="shared" si="10"/>
        <v>170</v>
      </c>
      <c r="I116" s="17">
        <f>I117+I118+I119+I127+I128+I129+I130</f>
        <v>15</v>
      </c>
      <c r="J116" s="17">
        <f>J117+J118+J119+J127+J128+J129+J130</f>
        <v>155</v>
      </c>
      <c r="K116" s="15">
        <f>K117+K118+K119+K120+K121+K122</f>
        <v>59</v>
      </c>
      <c r="L116" s="17">
        <f>L117+L118+L119+L120+L121+L122</f>
        <v>21</v>
      </c>
      <c r="M116" s="17">
        <f>M117+M118+M119+M120+M121+M122</f>
        <v>38</v>
      </c>
      <c r="N116" s="18"/>
      <c r="O116" s="18"/>
      <c r="P116" s="18"/>
    </row>
    <row r="117" spans="1:16" s="34" customFormat="1" ht="15" x14ac:dyDescent="0.15">
      <c r="A117" s="21" t="s">
        <v>98</v>
      </c>
      <c r="B117" s="23">
        <v>0</v>
      </c>
      <c r="C117" s="22">
        <v>0</v>
      </c>
      <c r="D117" s="22">
        <v>0</v>
      </c>
      <c r="E117" s="23">
        <v>0</v>
      </c>
      <c r="F117" s="22">
        <v>0</v>
      </c>
      <c r="G117" s="22">
        <v>0</v>
      </c>
      <c r="H117" s="23">
        <f t="shared" si="10"/>
        <v>80</v>
      </c>
      <c r="I117" s="22">
        <v>13</v>
      </c>
      <c r="J117" s="22">
        <v>67</v>
      </c>
      <c r="K117" s="23">
        <v>0</v>
      </c>
      <c r="L117" s="22">
        <v>0</v>
      </c>
      <c r="M117" s="22">
        <v>0</v>
      </c>
      <c r="N117" s="18"/>
      <c r="O117" s="18"/>
      <c r="P117" s="18"/>
    </row>
    <row r="118" spans="1:16" s="34" customFormat="1" ht="15" x14ac:dyDescent="0.15">
      <c r="A118" s="21" t="s">
        <v>99</v>
      </c>
      <c r="B118" s="23">
        <v>0</v>
      </c>
      <c r="C118" s="22">
        <v>0</v>
      </c>
      <c r="D118" s="22">
        <v>0</v>
      </c>
      <c r="E118" s="23">
        <v>0</v>
      </c>
      <c r="F118" s="22">
        <v>0</v>
      </c>
      <c r="G118" s="22">
        <v>0</v>
      </c>
      <c r="H118" s="23">
        <f t="shared" si="10"/>
        <v>8</v>
      </c>
      <c r="I118" s="22">
        <v>0</v>
      </c>
      <c r="J118" s="22">
        <v>8</v>
      </c>
      <c r="K118" s="23">
        <v>0</v>
      </c>
      <c r="L118" s="22">
        <v>0</v>
      </c>
      <c r="M118" s="22">
        <v>0</v>
      </c>
      <c r="N118" s="18"/>
      <c r="O118" s="18"/>
      <c r="P118" s="18"/>
    </row>
    <row r="119" spans="1:16" s="34" customFormat="1" ht="15" x14ac:dyDescent="0.15">
      <c r="A119" s="21" t="s">
        <v>100</v>
      </c>
      <c r="B119" s="23">
        <v>0</v>
      </c>
      <c r="C119" s="22">
        <v>0</v>
      </c>
      <c r="D119" s="22">
        <v>0</v>
      </c>
      <c r="E119" s="23">
        <v>0</v>
      </c>
      <c r="F119" s="22">
        <v>0</v>
      </c>
      <c r="G119" s="22">
        <v>0</v>
      </c>
      <c r="H119" s="23">
        <f t="shared" si="10"/>
        <v>82</v>
      </c>
      <c r="I119" s="22">
        <v>2</v>
      </c>
      <c r="J119" s="22">
        <v>80</v>
      </c>
      <c r="K119" s="23">
        <v>0</v>
      </c>
      <c r="L119" s="22">
        <v>0</v>
      </c>
      <c r="M119" s="22">
        <v>0</v>
      </c>
      <c r="N119" s="18"/>
      <c r="O119" s="18"/>
      <c r="P119" s="18"/>
    </row>
    <row r="120" spans="1:16" s="34" customFormat="1" ht="15" x14ac:dyDescent="0.15">
      <c r="A120" s="21" t="s">
        <v>101</v>
      </c>
      <c r="B120" s="23">
        <v>0</v>
      </c>
      <c r="C120" s="22">
        <v>0</v>
      </c>
      <c r="D120" s="22">
        <v>0</v>
      </c>
      <c r="E120" s="23">
        <v>0</v>
      </c>
      <c r="F120" s="22">
        <v>0</v>
      </c>
      <c r="G120" s="22">
        <v>0</v>
      </c>
      <c r="H120" s="23">
        <v>0</v>
      </c>
      <c r="I120" s="22">
        <v>0</v>
      </c>
      <c r="J120" s="22">
        <v>0</v>
      </c>
      <c r="K120" s="23">
        <f>L120+M120</f>
        <v>27</v>
      </c>
      <c r="L120" s="22">
        <v>12</v>
      </c>
      <c r="M120" s="22">
        <v>15</v>
      </c>
      <c r="N120" s="18"/>
      <c r="O120" s="18"/>
      <c r="P120" s="18"/>
    </row>
    <row r="121" spans="1:16" s="34" customFormat="1" ht="15" x14ac:dyDescent="0.15">
      <c r="A121" s="21" t="s">
        <v>102</v>
      </c>
      <c r="B121" s="23">
        <v>0</v>
      </c>
      <c r="C121" s="22">
        <v>0</v>
      </c>
      <c r="D121" s="22">
        <v>0</v>
      </c>
      <c r="E121" s="23">
        <v>0</v>
      </c>
      <c r="F121" s="22">
        <v>0</v>
      </c>
      <c r="G121" s="22">
        <v>0</v>
      </c>
      <c r="H121" s="23">
        <v>0</v>
      </c>
      <c r="I121" s="22">
        <v>0</v>
      </c>
      <c r="J121" s="22">
        <v>0</v>
      </c>
      <c r="K121" s="23">
        <f>L121+M121</f>
        <v>12</v>
      </c>
      <c r="L121" s="22">
        <v>7</v>
      </c>
      <c r="M121" s="22">
        <v>5</v>
      </c>
      <c r="N121" s="18"/>
      <c r="O121" s="18"/>
      <c r="P121" s="18"/>
    </row>
    <row r="122" spans="1:16" s="34" customFormat="1" ht="15" x14ac:dyDescent="0.15">
      <c r="A122" s="21" t="s">
        <v>103</v>
      </c>
      <c r="B122" s="23">
        <v>0</v>
      </c>
      <c r="C122" s="22">
        <v>0</v>
      </c>
      <c r="D122" s="22">
        <v>0</v>
      </c>
      <c r="E122" s="23">
        <v>0</v>
      </c>
      <c r="F122" s="22">
        <v>0</v>
      </c>
      <c r="G122" s="22">
        <v>0</v>
      </c>
      <c r="H122" s="23">
        <v>0</v>
      </c>
      <c r="I122" s="22">
        <v>0</v>
      </c>
      <c r="J122" s="22">
        <v>0</v>
      </c>
      <c r="K122" s="23">
        <f>L122+M122</f>
        <v>20</v>
      </c>
      <c r="L122" s="22">
        <v>2</v>
      </c>
      <c r="M122" s="22">
        <v>18</v>
      </c>
      <c r="N122" s="18"/>
      <c r="O122" s="18"/>
      <c r="P122" s="18"/>
    </row>
    <row r="123" spans="1:16" s="34" customFormat="1" ht="15" x14ac:dyDescent="0.15">
      <c r="A123" s="16" t="s">
        <v>90</v>
      </c>
      <c r="B123" s="15">
        <v>0</v>
      </c>
      <c r="C123" s="17">
        <v>0</v>
      </c>
      <c r="D123" s="17">
        <v>0</v>
      </c>
      <c r="E123" s="15">
        <v>0</v>
      </c>
      <c r="F123" s="17">
        <v>0</v>
      </c>
      <c r="G123" s="17">
        <v>0</v>
      </c>
      <c r="H123" s="15">
        <v>0</v>
      </c>
      <c r="I123" s="17">
        <v>0</v>
      </c>
      <c r="J123" s="17">
        <v>0</v>
      </c>
      <c r="K123" s="15">
        <f>K124+K125+K126</f>
        <v>54</v>
      </c>
      <c r="L123" s="17">
        <f>L124+L125+L126</f>
        <v>41</v>
      </c>
      <c r="M123" s="17">
        <f>M124</f>
        <v>13</v>
      </c>
      <c r="N123" s="18"/>
      <c r="O123" s="18"/>
      <c r="P123" s="18"/>
    </row>
    <row r="124" spans="1:16" s="34" customFormat="1" ht="15" x14ac:dyDescent="0.15">
      <c r="A124" s="21" t="s">
        <v>104</v>
      </c>
      <c r="B124" s="23">
        <v>0</v>
      </c>
      <c r="C124" s="22">
        <v>0</v>
      </c>
      <c r="D124" s="22">
        <v>0</v>
      </c>
      <c r="E124" s="23">
        <v>0</v>
      </c>
      <c r="F124" s="22">
        <v>0</v>
      </c>
      <c r="G124" s="22">
        <v>0</v>
      </c>
      <c r="H124" s="23">
        <v>0</v>
      </c>
      <c r="I124" s="22">
        <v>0</v>
      </c>
      <c r="J124" s="22">
        <v>0</v>
      </c>
      <c r="K124" s="23">
        <f>L124+M124</f>
        <v>23</v>
      </c>
      <c r="L124" s="22">
        <v>10</v>
      </c>
      <c r="M124" s="22">
        <v>13</v>
      </c>
      <c r="N124" s="18"/>
      <c r="O124" s="18"/>
      <c r="P124" s="18"/>
    </row>
    <row r="125" spans="1:16" s="34" customFormat="1" ht="15" x14ac:dyDescent="0.15">
      <c r="A125" s="21" t="s">
        <v>59</v>
      </c>
      <c r="B125" s="23">
        <v>0</v>
      </c>
      <c r="C125" s="22">
        <v>0</v>
      </c>
      <c r="D125" s="22">
        <v>0</v>
      </c>
      <c r="E125" s="23">
        <v>0</v>
      </c>
      <c r="F125" s="22">
        <v>0</v>
      </c>
      <c r="G125" s="22">
        <v>0</v>
      </c>
      <c r="H125" s="23">
        <v>0</v>
      </c>
      <c r="I125" s="22">
        <v>0</v>
      </c>
      <c r="J125" s="22">
        <v>0</v>
      </c>
      <c r="K125" s="23">
        <f>L125+M125</f>
        <v>16</v>
      </c>
      <c r="L125" s="22">
        <v>16</v>
      </c>
      <c r="M125" s="22">
        <v>0</v>
      </c>
      <c r="N125" s="18"/>
      <c r="O125" s="18"/>
      <c r="P125" s="18"/>
    </row>
    <row r="126" spans="1:16" s="34" customFormat="1" ht="15" x14ac:dyDescent="0.15">
      <c r="A126" s="21" t="s">
        <v>105</v>
      </c>
      <c r="B126" s="23">
        <v>0</v>
      </c>
      <c r="C126" s="22">
        <v>0</v>
      </c>
      <c r="D126" s="22">
        <v>0</v>
      </c>
      <c r="E126" s="23">
        <v>0</v>
      </c>
      <c r="F126" s="22">
        <v>0</v>
      </c>
      <c r="G126" s="22">
        <v>0</v>
      </c>
      <c r="H126" s="23">
        <v>0</v>
      </c>
      <c r="I126" s="22">
        <v>0</v>
      </c>
      <c r="J126" s="22">
        <v>0</v>
      </c>
      <c r="K126" s="23">
        <f>L126+M126</f>
        <v>15</v>
      </c>
      <c r="L126" s="22">
        <v>15</v>
      </c>
      <c r="M126" s="22">
        <v>0</v>
      </c>
      <c r="N126" s="18"/>
      <c r="O126" s="18"/>
      <c r="P126" s="18"/>
    </row>
    <row r="127" spans="1:16" s="36" customFormat="1" ht="15" x14ac:dyDescent="0.15">
      <c r="A127" s="16" t="s">
        <v>87</v>
      </c>
      <c r="B127" s="15">
        <f t="shared" si="12"/>
        <v>0</v>
      </c>
      <c r="C127" s="17">
        <v>0</v>
      </c>
      <c r="D127" s="17">
        <v>0</v>
      </c>
      <c r="E127" s="15">
        <f t="shared" si="17"/>
        <v>0</v>
      </c>
      <c r="F127" s="17">
        <v>0</v>
      </c>
      <c r="G127" s="17">
        <v>0</v>
      </c>
      <c r="H127" s="15">
        <f t="shared" si="10"/>
        <v>0</v>
      </c>
      <c r="I127" s="17">
        <v>0</v>
      </c>
      <c r="J127" s="17">
        <v>0</v>
      </c>
      <c r="K127" s="15">
        <f t="shared" si="11"/>
        <v>0</v>
      </c>
      <c r="L127" s="17">
        <v>0</v>
      </c>
      <c r="M127" s="17">
        <v>0</v>
      </c>
      <c r="N127" s="35"/>
      <c r="O127" s="35"/>
      <c r="P127" s="35"/>
    </row>
    <row r="128" spans="1:16" s="34" customFormat="1" ht="15" x14ac:dyDescent="0.15">
      <c r="A128" s="37" t="s">
        <v>88</v>
      </c>
      <c r="B128" s="39">
        <f t="shared" si="12"/>
        <v>0</v>
      </c>
      <c r="C128" s="38">
        <v>0</v>
      </c>
      <c r="D128" s="38">
        <v>0</v>
      </c>
      <c r="E128" s="39">
        <f t="shared" si="17"/>
        <v>0</v>
      </c>
      <c r="F128" s="38">
        <v>0</v>
      </c>
      <c r="G128" s="38">
        <v>0</v>
      </c>
      <c r="H128" s="39">
        <f t="shared" si="10"/>
        <v>0</v>
      </c>
      <c r="I128" s="38">
        <v>0</v>
      </c>
      <c r="J128" s="38">
        <v>0</v>
      </c>
      <c r="K128" s="39">
        <f t="shared" si="11"/>
        <v>0</v>
      </c>
      <c r="L128" s="38">
        <v>0</v>
      </c>
      <c r="M128" s="38">
        <v>0</v>
      </c>
      <c r="N128" s="18"/>
      <c r="O128" s="18"/>
      <c r="P128" s="18"/>
    </row>
    <row r="129" spans="1:16" s="41" customFormat="1" ht="15" x14ac:dyDescent="0.15">
      <c r="A129" s="2" t="s">
        <v>12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40"/>
      <c r="O129" s="40"/>
      <c r="P129" s="40"/>
    </row>
    <row r="130" spans="1:16" s="41" customFormat="1" ht="15" x14ac:dyDescent="0.2">
      <c r="A130" s="42" t="s">
        <v>89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43"/>
      <c r="O130" s="43"/>
      <c r="P130" s="43"/>
    </row>
    <row r="131" spans="1:16" s="41" customFormat="1" ht="12.75" x14ac:dyDescent="0.15">
      <c r="A131" s="44" t="s">
        <v>13</v>
      </c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</row>
    <row r="132" spans="1:16" s="41" customFormat="1" x14ac:dyDescent="0.1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</row>
    <row r="133" spans="1:16" s="47" customFormat="1" ht="15" x14ac:dyDescent="0.15">
      <c r="A133" s="45"/>
      <c r="B133" s="45"/>
      <c r="C133" s="45"/>
      <c r="D133" s="46"/>
      <c r="E133" s="45"/>
      <c r="F133" s="45"/>
      <c r="G133" s="46"/>
      <c r="H133" s="45"/>
      <c r="I133" s="45"/>
      <c r="J133" s="46"/>
      <c r="K133" s="45"/>
      <c r="L133" s="45"/>
      <c r="M133" s="46"/>
      <c r="N133" s="45"/>
      <c r="O133" s="45"/>
      <c r="P133" s="45"/>
    </row>
    <row r="134" spans="1:16" s="47" customFormat="1" x14ac:dyDescent="0.1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</row>
    <row r="135" spans="1:16" s="47" customFormat="1" x14ac:dyDescent="0.1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</row>
    <row r="136" spans="1:16" x14ac:dyDescent="0.1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</row>
    <row r="137" spans="1:16" x14ac:dyDescent="0.1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</row>
    <row r="138" spans="1:16" x14ac:dyDescent="0.1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</row>
  </sheetData>
  <mergeCells count="8">
    <mergeCell ref="P14:AH14"/>
    <mergeCell ref="A2:M2"/>
    <mergeCell ref="A3:M3"/>
    <mergeCell ref="E5:G5"/>
    <mergeCell ref="A5:A6"/>
    <mergeCell ref="B5:D5"/>
    <mergeCell ref="H5:J5"/>
    <mergeCell ref="K5:M5"/>
  </mergeCells>
  <pageMargins left="0.7" right="0.7" top="0.75" bottom="0.75" header="0.3" footer="0.3"/>
  <pageSetup scale="49" orientation="portrait" r:id="rId1"/>
  <rowBreaks count="1" manualBreakCount="1">
    <brk id="133" max="16383" man="1"/>
  </rowBreaks>
  <colBreaks count="1" manualBreakCount="1">
    <brk id="14" max="13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7.25</vt:lpstr>
      <vt:lpstr>'7.25'!Print_Area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2021-09-23T05:18:55Z</cp:lastPrinted>
  <dcterms:created xsi:type="dcterms:W3CDTF">2019-02-28T08:20:57Z</dcterms:created>
  <dcterms:modified xsi:type="dcterms:W3CDTF">2021-09-23T05:19:57Z</dcterms:modified>
</cp:coreProperties>
</file>