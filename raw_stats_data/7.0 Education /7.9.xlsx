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7. Education\"/>
    </mc:Choice>
  </mc:AlternateContent>
  <bookViews>
    <workbookView xWindow="-105" yWindow="-105" windowWidth="19425" windowHeight="10425" tabRatio="900"/>
  </bookViews>
  <sheets>
    <sheet name="7.9" sheetId="9" r:id="rId1"/>
  </sheets>
  <definedNames>
    <definedName name="_xlnm.Print_Area" localSheetId="0">'7.9'!$A$1:$N$50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9" l="1"/>
  <c r="H11" i="9"/>
  <c r="M11" i="9" s="1"/>
  <c r="G9" i="9"/>
  <c r="H13" i="9"/>
  <c r="M13" i="9" s="1"/>
  <c r="H18" i="9"/>
  <c r="M18" i="9" s="1"/>
  <c r="H19" i="9"/>
  <c r="M19" i="9" s="1"/>
  <c r="H21" i="9"/>
  <c r="M21" i="9" s="1"/>
  <c r="H23" i="9"/>
  <c r="M23" i="9" s="1"/>
  <c r="H25" i="9"/>
  <c r="M25" i="9" s="1"/>
  <c r="H28" i="9"/>
  <c r="M28" i="9" s="1"/>
  <c r="H29" i="9"/>
  <c r="M29" i="9" s="1"/>
  <c r="H10" i="9"/>
  <c r="B9" i="9"/>
  <c r="D11" i="9"/>
  <c r="L11" i="9" s="1"/>
  <c r="D12" i="9"/>
  <c r="D13" i="9"/>
  <c r="L13" i="9" s="1"/>
  <c r="D14" i="9"/>
  <c r="L14" i="9" s="1"/>
  <c r="D17" i="9"/>
  <c r="L17" i="9" s="1"/>
  <c r="D19" i="9"/>
  <c r="L19" i="9" s="1"/>
  <c r="D20" i="9"/>
  <c r="D21" i="9"/>
  <c r="L21" i="9" s="1"/>
  <c r="D22" i="9"/>
  <c r="L22" i="9" s="1"/>
  <c r="D27" i="9"/>
  <c r="L27" i="9" s="1"/>
  <c r="D28" i="9"/>
  <c r="D29" i="9"/>
  <c r="L29" i="9" s="1"/>
  <c r="H27" i="9"/>
  <c r="M27" i="9" s="1"/>
  <c r="D25" i="9"/>
  <c r="L25" i="9" s="1"/>
  <c r="H24" i="9"/>
  <c r="M24" i="9" s="1"/>
  <c r="H20" i="9"/>
  <c r="M20" i="9" s="1"/>
  <c r="H17" i="9"/>
  <c r="M17" i="9" s="1"/>
  <c r="H16" i="9"/>
  <c r="M16" i="9" s="1"/>
  <c r="H15" i="9"/>
  <c r="M15" i="9" s="1"/>
  <c r="D15" i="9"/>
  <c r="H12" i="9"/>
  <c r="M12" i="9" s="1"/>
  <c r="D8" i="9" l="1"/>
  <c r="L8" i="9" s="1"/>
  <c r="J15" i="9"/>
  <c r="K15" i="9" s="1"/>
  <c r="D18" i="9"/>
  <c r="L18" i="9" s="1"/>
  <c r="M10" i="9"/>
  <c r="H26" i="9"/>
  <c r="M26" i="9" s="1"/>
  <c r="H22" i="9"/>
  <c r="M22" i="9" s="1"/>
  <c r="H14" i="9"/>
  <c r="M14" i="9" s="1"/>
  <c r="D24" i="9"/>
  <c r="J24" i="9" s="1"/>
  <c r="K24" i="9" s="1"/>
  <c r="D16" i="9"/>
  <c r="J16" i="9" s="1"/>
  <c r="K16" i="9" s="1"/>
  <c r="L15" i="9"/>
  <c r="D10" i="9"/>
  <c r="L10" i="9" s="1"/>
  <c r="J20" i="9"/>
  <c r="K20" i="9" s="1"/>
  <c r="J12" i="9"/>
  <c r="K12" i="9" s="1"/>
  <c r="J28" i="9"/>
  <c r="K28" i="9" s="1"/>
  <c r="G7" i="9"/>
  <c r="H8" i="9"/>
  <c r="M8" i="9" s="1"/>
  <c r="D23" i="9"/>
  <c r="J23" i="9" s="1"/>
  <c r="K23" i="9" s="1"/>
  <c r="D26" i="9"/>
  <c r="L26" i="9" s="1"/>
  <c r="J11" i="9"/>
  <c r="K11" i="9" s="1"/>
  <c r="J19" i="9"/>
  <c r="K19" i="9" s="1"/>
  <c r="J27" i="9"/>
  <c r="K27" i="9" s="1"/>
  <c r="L12" i="9"/>
  <c r="L20" i="9"/>
  <c r="L28" i="9"/>
  <c r="C9" i="9"/>
  <c r="C7" i="9" s="1"/>
  <c r="B7" i="9"/>
  <c r="J13" i="9"/>
  <c r="K13" i="9" s="1"/>
  <c r="J17" i="9"/>
  <c r="K17" i="9" s="1"/>
  <c r="J21" i="9"/>
  <c r="K21" i="9" s="1"/>
  <c r="J25" i="9"/>
  <c r="K25" i="9" s="1"/>
  <c r="J29" i="9"/>
  <c r="K29" i="9" s="1"/>
  <c r="J22" i="9" l="1"/>
  <c r="K22" i="9" s="1"/>
  <c r="J14" i="9"/>
  <c r="K14" i="9" s="1"/>
  <c r="J10" i="9"/>
  <c r="K10" i="9" s="1"/>
  <c r="J18" i="9"/>
  <c r="K18" i="9" s="1"/>
  <c r="J8" i="9"/>
  <c r="K8" i="9" s="1"/>
  <c r="J26" i="9"/>
  <c r="K26" i="9" s="1"/>
  <c r="L24" i="9"/>
  <c r="L16" i="9"/>
  <c r="L23" i="9"/>
  <c r="D7" i="9"/>
  <c r="L7" i="9" s="1"/>
  <c r="D9" i="9"/>
  <c r="L9" i="9" l="1"/>
  <c r="H9" i="9" l="1"/>
  <c r="M9" i="9" s="1"/>
  <c r="F7" i="9"/>
  <c r="H7" i="9" s="1"/>
  <c r="M7" i="9" l="1"/>
  <c r="J7" i="9"/>
  <c r="K7" i="9" s="1"/>
  <c r="J9" i="9"/>
  <c r="K9" i="9" s="1"/>
</calcChain>
</file>

<file path=xl/sharedStrings.xml><?xml version="1.0" encoding="utf-8"?>
<sst xmlns="http://schemas.openxmlformats.org/spreadsheetml/2006/main" count="46" uniqueCount="42">
  <si>
    <t>Republic</t>
  </si>
  <si>
    <t>Male'</t>
  </si>
  <si>
    <t>Atolls</t>
  </si>
  <si>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</si>
  <si>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</si>
  <si>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</si>
  <si>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</si>
  <si>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</si>
  <si>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</si>
  <si>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</si>
  <si>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</si>
  <si>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</si>
  <si>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</si>
  <si>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</si>
  <si>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</si>
  <si>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</si>
  <si>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</si>
  <si>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</si>
  <si>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</si>
  <si>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</si>
  <si>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</si>
  <si>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</si>
  <si>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</si>
  <si>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Source: Ministry of Education</t>
  </si>
  <si>
    <t>cnwxEkuaiDea cfoa IrcTcsinim :ctWrwf ivcaed utWmUluAwm</t>
  </si>
  <si>
    <t>Male</t>
  </si>
  <si>
    <t>Female</t>
  </si>
  <si>
    <t>Locality</t>
  </si>
  <si>
    <t>Females</t>
  </si>
  <si>
    <t>Teachers</t>
  </si>
  <si>
    <t xml:space="preserve"> Teachers</t>
  </si>
  <si>
    <t xml:space="preserve">Total </t>
  </si>
  <si>
    <t>% share of untrained</t>
  </si>
  <si>
    <t xml:space="preserve">Trained </t>
  </si>
  <si>
    <t xml:space="preserve">Untrained </t>
  </si>
  <si>
    <t>Total Male</t>
  </si>
  <si>
    <t>Total Female</t>
  </si>
  <si>
    <t>Female as a</t>
  </si>
  <si>
    <t>Males</t>
  </si>
  <si>
    <t xml:space="preserve"> % of total</t>
  </si>
  <si>
    <t>Table 7.9: TEACHERS SERVING IN SCHOOLS OF MALE' AND ATOLLS BY LOCALITY AND SEX, 2020</t>
  </si>
  <si>
    <t xml:space="preserve"> ތާވަލް 7.9: މާލެ އާއި އަތޮޅުތަކުގެ މަދަރުސާތަކުގައި ހަރަކާތްތެރިވާ މުދައްރިސުން، ޖިންސް ވަކިން،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</si>
</sst>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#,##0;[Red]#,##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Faruma"/>
    </font>
    <font>
      <sz val="10"/>
      <name val="MS Sans Serif"/>
      <family val="2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13">
    <xf numFmtId="0" fontId="0" fillId="0" borderId="0"/>
    <xf numFmtId="0" fontId="4" fillId="0" borderId="0"/>
    <xf numFmtId="167" fontId="4" fillId="0" borderId="0"/>
    <xf numFmtId="0" fontId="2" fillId="0" borderId="0"/>
    <xf numFmtId="0" fontId="2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2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</cellStyleXfs>
  <cellXfs count="65">
    <xf numFmtId="0" fontId="0" fillId="0" borderId="0" xfId="0"/>
    <xf numFmtId="3" fontId="3" fillId="2" borderId="0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/>
    <xf numFmtId="3" fontId="5" fillId="2" borderId="1" xfId="0" applyNumberFormat="1" applyFont="1" applyFill="1" applyBorder="1"/>
    <xf numFmtId="164" fontId="11" fillId="2" borderId="0" xfId="0" applyNumberFormat="1" applyFont="1" applyFill="1" applyAlignment="1">
      <alignment vertical="center"/>
    </xf>
    <xf numFmtId="164" fontId="0" fillId="2" borderId="0" xfId="0" applyNumberFormat="1" applyFont="1" applyFill="1" applyBorder="1" applyAlignment="1">
      <alignment horizontal="center" vertical="center"/>
    </xf>
    <xf numFmtId="164" fontId="0" fillId="2" borderId="0" xfId="0" applyNumberFormat="1" applyFont="1" applyFill="1" applyAlignment="1">
      <alignment horizontal="center" vertical="center"/>
    </xf>
    <xf numFmtId="164" fontId="9" fillId="2" borderId="0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left" vertical="center"/>
    </xf>
    <xf numFmtId="164" fontId="9" fillId="2" borderId="3" xfId="0" applyNumberFormat="1" applyFont="1" applyFill="1" applyBorder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164" fontId="9" fillId="2" borderId="0" xfId="0" applyNumberFormat="1" applyFont="1" applyFill="1" applyBorder="1" applyAlignment="1">
      <alignment horizontal="right" vertical="center"/>
    </xf>
    <xf numFmtId="164" fontId="9" fillId="2" borderId="5" xfId="0" applyNumberFormat="1" applyFont="1" applyFill="1" applyBorder="1" applyAlignment="1">
      <alignment horizontal="right" vertical="center"/>
    </xf>
    <xf numFmtId="164" fontId="8" fillId="2" borderId="1" xfId="0" applyNumberFormat="1" applyFont="1" applyFill="1" applyBorder="1" applyAlignment="1" applyProtection="1">
      <alignment horizontal="left" vertical="center"/>
    </xf>
    <xf numFmtId="164" fontId="9" fillId="2" borderId="6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Alignment="1" applyProtection="1">
      <alignment horizontal="left" vertical="center"/>
    </xf>
    <xf numFmtId="3" fontId="3" fillId="2" borderId="2" xfId="0" applyNumberFormat="1" applyFont="1" applyFill="1" applyBorder="1" applyAlignment="1">
      <alignment horizontal="right" vertical="center"/>
    </xf>
    <xf numFmtId="3" fontId="3" fillId="2" borderId="9" xfId="0" applyNumberFormat="1" applyFont="1" applyFill="1" applyBorder="1" applyAlignment="1">
      <alignment horizontal="right" vertical="center"/>
    </xf>
    <xf numFmtId="164" fontId="10" fillId="2" borderId="10" xfId="0" applyNumberFormat="1" applyFont="1" applyFill="1" applyBorder="1" applyAlignment="1">
      <alignment horizontal="center" vertical="center"/>
    </xf>
    <xf numFmtId="3" fontId="9" fillId="2" borderId="2" xfId="0" applyNumberFormat="1" applyFont="1" applyFill="1" applyBorder="1"/>
    <xf numFmtId="3" fontId="3" fillId="2" borderId="0" xfId="0" applyNumberFormat="1" applyFont="1" applyFill="1" applyAlignment="1">
      <alignment horizontal="right" vertical="center" indent="2"/>
    </xf>
    <xf numFmtId="3" fontId="0" fillId="2" borderId="7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 vertical="center"/>
    </xf>
    <xf numFmtId="164" fontId="10" fillId="2" borderId="5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/>
    <xf numFmtId="164" fontId="10" fillId="2" borderId="0" xfId="0" applyNumberFormat="1" applyFont="1" applyFill="1" applyAlignment="1" applyProtection="1">
      <alignment horizontal="left" vertical="center"/>
    </xf>
    <xf numFmtId="3" fontId="5" fillId="2" borderId="0" xfId="0" applyNumberFormat="1" applyFont="1" applyFill="1" applyAlignment="1">
      <alignment horizontal="right" vertical="center" indent="2"/>
    </xf>
    <xf numFmtId="164" fontId="10" fillId="2" borderId="0" xfId="0" applyNumberFormat="1" applyFont="1" applyFill="1" applyBorder="1" applyAlignment="1" applyProtection="1">
      <alignment horizontal="left" vertical="center"/>
    </xf>
    <xf numFmtId="164" fontId="10" fillId="2" borderId="1" xfId="0" applyNumberFormat="1" applyFont="1" applyFill="1" applyBorder="1" applyAlignment="1" applyProtection="1">
      <alignment horizontal="left" vertical="center"/>
    </xf>
    <xf numFmtId="164" fontId="10" fillId="2" borderId="6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right" vertical="center" indent="2"/>
    </xf>
    <xf numFmtId="3" fontId="0" fillId="2" borderId="8" xfId="0" applyNumberFormat="1" applyFont="1" applyFill="1" applyBorder="1" applyAlignment="1">
      <alignment horizontal="right" vertical="center"/>
    </xf>
    <xf numFmtId="3" fontId="0" fillId="2" borderId="1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Alignment="1" applyProtection="1">
      <alignment horizontal="left" vertical="center"/>
    </xf>
    <xf numFmtId="164" fontId="10" fillId="2" borderId="0" xfId="0" applyNumberFormat="1" applyFont="1" applyFill="1" applyAlignment="1">
      <alignment horizontal="right" vertical="center"/>
    </xf>
    <xf numFmtId="164" fontId="0" fillId="2" borderId="0" xfId="0" applyNumberFormat="1" applyFont="1" applyFill="1" applyAlignment="1">
      <alignment horizontal="right" vertical="center"/>
    </xf>
    <xf numFmtId="164" fontId="0" fillId="2" borderId="0" xfId="0" applyNumberFormat="1" applyFont="1" applyFill="1" applyAlignment="1">
      <alignment horizontal="left" vertical="center"/>
    </xf>
    <xf numFmtId="164" fontId="7" fillId="2" borderId="0" xfId="0" applyNumberFormat="1" applyFont="1" applyFill="1" applyBorder="1" applyAlignment="1" applyProtection="1">
      <alignment horizontal="left" vertical="center"/>
    </xf>
    <xf numFmtId="164" fontId="0" fillId="2" borderId="0" xfId="0" applyNumberFormat="1" applyFont="1" applyFill="1" applyBorder="1" applyAlignment="1">
      <alignment horizontal="left" vertical="center"/>
    </xf>
    <xf numFmtId="3" fontId="1" fillId="2" borderId="0" xfId="0" applyNumberFormat="1" applyFont="1" applyFill="1" applyBorder="1" applyAlignment="1">
      <alignment horizontal="right" vertical="center"/>
    </xf>
    <xf numFmtId="164" fontId="13" fillId="2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164" fontId="9" fillId="2" borderId="5" xfId="0" applyNumberFormat="1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right" vertical="center"/>
    </xf>
    <xf numFmtId="164" fontId="8" fillId="2" borderId="11" xfId="0" applyNumberFormat="1" applyFont="1" applyFill="1" applyBorder="1" applyAlignment="1">
      <alignment horizontal="center" vertical="center"/>
    </xf>
    <xf numFmtId="164" fontId="9" fillId="2" borderId="7" xfId="0" applyNumberFormat="1" applyFont="1" applyFill="1" applyBorder="1" applyAlignment="1">
      <alignment horizontal="right" vertical="center"/>
    </xf>
    <xf numFmtId="3" fontId="3" fillId="2" borderId="7" xfId="0" applyNumberFormat="1" applyFont="1" applyFill="1" applyBorder="1"/>
    <xf numFmtId="3" fontId="3" fillId="2" borderId="0" xfId="0" applyNumberFormat="1" applyFont="1" applyFill="1" applyBorder="1" applyAlignment="1">
      <alignment horizontal="right" vertical="center" indent="2"/>
    </xf>
    <xf numFmtId="164" fontId="9" fillId="2" borderId="8" xfId="0" applyNumberFormat="1" applyFont="1" applyFill="1" applyBorder="1" applyAlignment="1">
      <alignment horizontal="right" vertical="center"/>
    </xf>
    <xf numFmtId="164" fontId="9" fillId="2" borderId="1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Alignment="1">
      <alignment horizontal="right" vertical="center"/>
    </xf>
    <xf numFmtId="3" fontId="5" fillId="2" borderId="7" xfId="0" applyNumberFormat="1" applyFont="1" applyFill="1" applyBorder="1"/>
    <xf numFmtId="3" fontId="5" fillId="2" borderId="0" xfId="0" applyNumberFormat="1" applyFont="1" applyFill="1" applyBorder="1" applyAlignment="1">
      <alignment horizontal="right" vertical="center" indent="2"/>
    </xf>
    <xf numFmtId="3" fontId="5" fillId="2" borderId="8" xfId="0" applyNumberFormat="1" applyFont="1" applyFill="1" applyBorder="1"/>
    <xf numFmtId="164" fontId="9" fillId="2" borderId="13" xfId="0" applyNumberFormat="1" applyFont="1" applyFill="1" applyBorder="1" applyAlignment="1">
      <alignment horizontal="right" vertical="center"/>
    </xf>
    <xf numFmtId="164" fontId="9" fillId="2" borderId="8" xfId="0" applyNumberFormat="1" applyFont="1" applyFill="1" applyBorder="1" applyAlignment="1">
      <alignment horizontal="right" vertical="center"/>
    </xf>
    <xf numFmtId="164" fontId="9" fillId="2" borderId="4" xfId="0" applyNumberFormat="1" applyFont="1" applyFill="1" applyBorder="1" applyAlignment="1">
      <alignment horizontal="right" vertical="center"/>
    </xf>
    <xf numFmtId="164" fontId="9" fillId="2" borderId="1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 applyAlignment="1">
      <alignment horizontal="center"/>
    </xf>
    <xf numFmtId="164" fontId="1" fillId="2" borderId="0" xfId="0" applyNumberFormat="1" applyFont="1" applyFill="1" applyBorder="1" applyAlignment="1">
      <alignment horizontal="center" vertical="top"/>
    </xf>
    <xf numFmtId="164" fontId="9" fillId="2" borderId="11" xfId="0" applyNumberFormat="1" applyFont="1" applyFill="1" applyBorder="1" applyAlignment="1">
      <alignment horizontal="center" vertical="center"/>
    </xf>
    <xf numFmtId="164" fontId="9" fillId="2" borderId="12" xfId="0" applyNumberFormat="1" applyFont="1" applyFill="1" applyBorder="1" applyAlignment="1">
      <alignment horizontal="center" vertical="center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0"/>
  <tableStyles count="0" defaultTableStyle="TableStyleMedium2" defaultPivotStyle="PivotStyleLight16"/>
  <colors>
    <mruColors>
      <color rgb="FFFF9900"/>
      <color rgb="FF33CCCC"/>
      <color rgb="FF249390"/>
      <color rgb="FFC8F4F2"/>
      <color rgb="FFEBFBFA"/>
      <color rgb="FF196563"/>
      <color rgb="FFDDF8F7"/>
      <color rgb="FFEAFAFA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050" b="1" i="0" u="none" strike="noStrike" baseline="0">
                <a:effectLst/>
              </a:rPr>
              <a:t>Figure 7.8: </a:t>
            </a:r>
            <a:r>
              <a:rPr lang="en-US" sz="1050">
                <a:latin typeface="Consolas" pitchFamily="49" charset="0"/>
                <a:cs typeface="Consolas" pitchFamily="49" charset="0"/>
              </a:rPr>
              <a:t>Percentage share of female teachers, 2020</a:t>
            </a:r>
          </a:p>
        </c:rich>
      </c:tx>
      <c:layout>
        <c:manualLayout>
          <c:xMode val="edge"/>
          <c:yMode val="edge"/>
          <c:x val="0.24736308944528002"/>
          <c:y val="2.8111653940727319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dLbls>
            <c:dLbl>
              <c:idx val="0"/>
              <c:layout>
                <c:manualLayout>
                  <c:x val="-5.0135494133653497E-3"/>
                  <c:y val="0.1763281995389608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120-430F-ABB2-39F149487A44}"/>
                </c:ext>
              </c:extLst>
            </c:dLbl>
            <c:dLbl>
              <c:idx val="1"/>
              <c:layout>
                <c:manualLayout>
                  <c:x val="2.5067747066826861E-3"/>
                  <c:y val="0.126735893418628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120-430F-ABB2-39F149487A44}"/>
                </c:ext>
              </c:extLst>
            </c:dLbl>
            <c:dLbl>
              <c:idx val="2"/>
              <c:layout>
                <c:manualLayout>
                  <c:x val="7.5203241200481512E-3"/>
                  <c:y val="0.132246149654220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B120-430F-ABB2-39F149487A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'7.9'!$A$7:$A$9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'7.9'!$K$7:$K$9</c:f>
              <c:numCache>
                <c:formatCode>#,##0</c:formatCode>
                <c:ptCount val="3"/>
                <c:pt idx="0">
                  <c:v>72.312764955252007</c:v>
                </c:pt>
                <c:pt idx="1">
                  <c:v>82.114658427737737</c:v>
                </c:pt>
                <c:pt idx="2">
                  <c:v>68.605556998182294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20-430F-ABB2-39F149487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3624536"/>
        <c:axId val="453627672"/>
      </c:barChart>
      <c:catAx>
        <c:axId val="4536245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53627672"/>
        <c:crosses val="autoZero"/>
        <c:auto val="1"/>
        <c:lblAlgn val="ctr"/>
        <c:lblOffset val="100"/>
        <c:noMultiLvlLbl val="0"/>
      </c:catAx>
      <c:valAx>
        <c:axId val="45362767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none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53624536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31</xdr:row>
      <xdr:rowOff>14929</xdr:rowOff>
    </xdr:from>
    <xdr:to>
      <xdr:col>11</xdr:col>
      <xdr:colOff>542925</xdr:colOff>
      <xdr:row>49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766889</xdr:colOff>
      <xdr:row>32</xdr:row>
      <xdr:rowOff>9524</xdr:rowOff>
    </xdr:from>
    <xdr:to>
      <xdr:col>2</xdr:col>
      <xdr:colOff>552449</xdr:colOff>
      <xdr:row>32</xdr:row>
      <xdr:rowOff>170163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1262189" y="6162674"/>
          <a:ext cx="595185" cy="160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Percent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N34"/>
  <sheetViews>
    <sheetView tabSelected="1" zoomScaleNormal="100" zoomScaleSheetLayoutView="89" workbookViewId="0">
      <selection activeCell="S15" sqref="S15"/>
    </sheetView>
  </sheetViews>
  <sheetFormatPr defaultColWidth="9.140625" defaultRowHeight="15" x14ac:dyDescent="0.25"/>
  <cols>
    <col min="1" max="1" width="7.42578125" style="39" customWidth="1"/>
    <col min="2" max="4" width="12.140625" style="8" customWidth="1"/>
    <col min="5" max="5" width="1.5703125" style="8" customWidth="1"/>
    <col min="6" max="6" width="12.140625" style="38" customWidth="1"/>
    <col min="7" max="8" width="12.5703125" style="38" customWidth="1"/>
    <col min="9" max="9" width="1.85546875" style="38" customWidth="1"/>
    <col min="10" max="10" width="12.140625" style="38" customWidth="1"/>
    <col min="11" max="11" width="15" style="38" customWidth="1"/>
    <col min="12" max="13" width="10.140625" style="8" customWidth="1"/>
    <col min="14" max="14" width="5.140625" style="8" customWidth="1"/>
    <col min="15" max="16384" width="9.140625" style="8"/>
  </cols>
  <sheetData>
    <row r="1" spans="1:14" ht="21.75" x14ac:dyDescent="0.55000000000000004">
      <c r="A1" s="61" t="s">
        <v>41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"/>
    </row>
    <row r="2" spans="1:14" ht="18" customHeight="1" x14ac:dyDescent="0.25">
      <c r="A2" s="62" t="s">
        <v>40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</row>
    <row r="3" spans="1:14" s="7" customFormat="1" ht="3.75" customHeight="1" x14ac:dyDescent="0.25">
      <c r="A3" s="9"/>
      <c r="B3" s="10"/>
      <c r="C3" s="10"/>
      <c r="D3" s="10"/>
      <c r="E3" s="9"/>
      <c r="F3" s="10"/>
      <c r="G3" s="10"/>
      <c r="H3" s="10"/>
      <c r="I3" s="10"/>
      <c r="J3" s="10"/>
      <c r="K3" s="10"/>
    </row>
    <row r="4" spans="1:14" ht="21" customHeight="1" x14ac:dyDescent="0.25">
      <c r="A4" s="11"/>
      <c r="B4" s="63" t="s">
        <v>25</v>
      </c>
      <c r="C4" s="63"/>
      <c r="D4" s="63"/>
      <c r="E4" s="47"/>
      <c r="F4" s="64" t="s">
        <v>26</v>
      </c>
      <c r="G4" s="63"/>
      <c r="H4" s="63"/>
      <c r="I4" s="12"/>
      <c r="J4" s="63" t="s">
        <v>31</v>
      </c>
      <c r="K4" s="63"/>
      <c r="L4" s="64" t="s">
        <v>32</v>
      </c>
      <c r="M4" s="63"/>
      <c r="N4" s="7"/>
    </row>
    <row r="5" spans="1:14" x14ac:dyDescent="0.25">
      <c r="A5" s="13"/>
      <c r="B5" s="14" t="s">
        <v>33</v>
      </c>
      <c r="C5" s="14" t="s">
        <v>34</v>
      </c>
      <c r="D5" s="14" t="s">
        <v>35</v>
      </c>
      <c r="E5" s="14"/>
      <c r="F5" s="48" t="s">
        <v>33</v>
      </c>
      <c r="G5" s="14" t="s">
        <v>34</v>
      </c>
      <c r="H5" s="14" t="s">
        <v>36</v>
      </c>
      <c r="I5" s="15"/>
      <c r="J5" s="14" t="s">
        <v>31</v>
      </c>
      <c r="K5" s="14" t="s">
        <v>37</v>
      </c>
      <c r="L5" s="57" t="s">
        <v>38</v>
      </c>
      <c r="M5" s="59" t="s">
        <v>28</v>
      </c>
      <c r="N5" s="7"/>
    </row>
    <row r="6" spans="1:14" x14ac:dyDescent="0.25">
      <c r="A6" s="16" t="s">
        <v>27</v>
      </c>
      <c r="B6" s="52"/>
      <c r="C6" s="52"/>
      <c r="D6" s="52" t="s">
        <v>29</v>
      </c>
      <c r="E6" s="52"/>
      <c r="F6" s="51"/>
      <c r="G6" s="52"/>
      <c r="H6" s="52" t="s">
        <v>30</v>
      </c>
      <c r="I6" s="17"/>
      <c r="J6" s="52" t="s">
        <v>29</v>
      </c>
      <c r="K6" s="52" t="s">
        <v>39</v>
      </c>
      <c r="L6" s="58"/>
      <c r="M6" s="60"/>
      <c r="N6" s="7"/>
    </row>
    <row r="7" spans="1:14" ht="15" customHeight="1" x14ac:dyDescent="0.2">
      <c r="A7" s="18" t="s">
        <v>0</v>
      </c>
      <c r="B7" s="19">
        <f>SUM(B8:B9)</f>
        <v>2670</v>
      </c>
      <c r="C7" s="19">
        <f>SUM(C8:C9)</f>
        <v>269</v>
      </c>
      <c r="D7" s="19">
        <f>SUM(B7:C7)</f>
        <v>2939</v>
      </c>
      <c r="E7" s="1"/>
      <c r="F7" s="20">
        <f>SUM(F8:F9)</f>
        <v>5802</v>
      </c>
      <c r="G7" s="19">
        <f>SUM(G8:G9)</f>
        <v>1874</v>
      </c>
      <c r="H7" s="19">
        <f>SUM(F7:G7)</f>
        <v>7676</v>
      </c>
      <c r="I7" s="21"/>
      <c r="J7" s="22">
        <f>SUM(D7,H7)</f>
        <v>10615</v>
      </c>
      <c r="K7" s="23">
        <f>H7/J7*100</f>
        <v>72.312764955252007</v>
      </c>
      <c r="L7" s="24">
        <f>C7/D7*100</f>
        <v>9.1527730520585227</v>
      </c>
      <c r="M7" s="25">
        <f>G7/H7*100</f>
        <v>24.413757165190201</v>
      </c>
      <c r="N7" s="7"/>
    </row>
    <row r="8" spans="1:14" x14ac:dyDescent="0.2">
      <c r="A8" s="18" t="s">
        <v>1</v>
      </c>
      <c r="B8" s="1">
        <v>468</v>
      </c>
      <c r="C8" s="44">
        <v>53</v>
      </c>
      <c r="D8" s="1">
        <f t="shared" ref="D8:D29" si="0">SUM(B8:C8)</f>
        <v>521</v>
      </c>
      <c r="E8" s="23"/>
      <c r="F8" s="49">
        <v>1900</v>
      </c>
      <c r="G8" s="50">
        <v>492</v>
      </c>
      <c r="H8" s="27">
        <f>SUM(F8:G8)</f>
        <v>2392</v>
      </c>
      <c r="I8" s="45"/>
      <c r="J8" s="27">
        <f>SUM(D8,H8)</f>
        <v>2913</v>
      </c>
      <c r="K8" s="23">
        <f>H8/J8*100</f>
        <v>82.114658427737737</v>
      </c>
      <c r="L8" s="46">
        <f t="shared" ref="L8:L29" si="1">C8/D8*100</f>
        <v>10.17274472168906</v>
      </c>
      <c r="M8" s="42">
        <f t="shared" ref="M8:M29" si="2">G8/H8*100</f>
        <v>20.568561872909701</v>
      </c>
    </row>
    <row r="9" spans="1:14" x14ac:dyDescent="0.2">
      <c r="A9" s="18" t="s">
        <v>2</v>
      </c>
      <c r="B9" s="1">
        <f>SUM(B10:B29)</f>
        <v>2202</v>
      </c>
      <c r="C9" s="44">
        <f>SUM(C10:C29)</f>
        <v>216</v>
      </c>
      <c r="D9" s="1">
        <f t="shared" si="0"/>
        <v>2418</v>
      </c>
      <c r="E9" s="23"/>
      <c r="F9" s="49">
        <f>SUM(F10:F29)</f>
        <v>3902</v>
      </c>
      <c r="G9" s="50">
        <f>SUM(G10:G29)</f>
        <v>1382</v>
      </c>
      <c r="H9" s="27">
        <f t="shared" ref="H9:H29" si="3">SUM(F9:G9)</f>
        <v>5284</v>
      </c>
      <c r="I9" s="45"/>
      <c r="J9" s="27">
        <f>SUM(D9,H9)</f>
        <v>7702</v>
      </c>
      <c r="K9" s="23">
        <f>H9/J9*100</f>
        <v>68.605556998182294</v>
      </c>
      <c r="L9" s="46">
        <f t="shared" si="1"/>
        <v>8.9330024813895772</v>
      </c>
      <c r="M9" s="42">
        <f t="shared" si="2"/>
        <v>26.154428463285388</v>
      </c>
      <c r="N9" s="7"/>
    </row>
    <row r="10" spans="1:14" x14ac:dyDescent="0.2">
      <c r="A10" s="28" t="s">
        <v>3</v>
      </c>
      <c r="B10" s="2">
        <v>141</v>
      </c>
      <c r="C10" s="53">
        <v>6</v>
      </c>
      <c r="D10" s="2">
        <f t="shared" si="0"/>
        <v>147</v>
      </c>
      <c r="E10" s="29"/>
      <c r="F10" s="54">
        <v>244</v>
      </c>
      <c r="G10" s="55">
        <v>110</v>
      </c>
      <c r="H10" s="4">
        <f t="shared" si="3"/>
        <v>354</v>
      </c>
      <c r="I10" s="26"/>
      <c r="J10" s="4">
        <f t="shared" ref="J10:J29" si="4">SUM(D10,H10)</f>
        <v>501</v>
      </c>
      <c r="K10" s="29">
        <f t="shared" ref="K10:K29" si="5">H10/J10*100</f>
        <v>70.658682634730539</v>
      </c>
      <c r="L10" s="24">
        <f t="shared" si="1"/>
        <v>4.0816326530612246</v>
      </c>
      <c r="M10" s="25">
        <f t="shared" si="2"/>
        <v>31.073446327683619</v>
      </c>
    </row>
    <row r="11" spans="1:14" x14ac:dyDescent="0.2">
      <c r="A11" s="28" t="s">
        <v>4</v>
      </c>
      <c r="B11" s="2">
        <v>186</v>
      </c>
      <c r="C11" s="53">
        <v>14</v>
      </c>
      <c r="D11" s="2">
        <f t="shared" si="0"/>
        <v>200</v>
      </c>
      <c r="E11" s="29"/>
      <c r="F11" s="54">
        <v>364</v>
      </c>
      <c r="G11" s="55">
        <v>93</v>
      </c>
      <c r="H11" s="4">
        <f t="shared" si="3"/>
        <v>457</v>
      </c>
      <c r="I11" s="26"/>
      <c r="J11" s="4">
        <f t="shared" si="4"/>
        <v>657</v>
      </c>
      <c r="K11" s="29">
        <f t="shared" si="5"/>
        <v>69.558599695585997</v>
      </c>
      <c r="L11" s="24">
        <f t="shared" si="1"/>
        <v>7.0000000000000009</v>
      </c>
      <c r="M11" s="25">
        <f t="shared" si="2"/>
        <v>20.350109409190374</v>
      </c>
    </row>
    <row r="12" spans="1:14" x14ac:dyDescent="0.2">
      <c r="A12" s="28" t="s">
        <v>5</v>
      </c>
      <c r="B12" s="2">
        <v>209</v>
      </c>
      <c r="C12" s="53">
        <v>25</v>
      </c>
      <c r="D12" s="2">
        <f t="shared" si="0"/>
        <v>234</v>
      </c>
      <c r="E12" s="29"/>
      <c r="F12" s="54">
        <v>194</v>
      </c>
      <c r="G12" s="55">
        <v>81</v>
      </c>
      <c r="H12" s="4">
        <f t="shared" si="3"/>
        <v>275</v>
      </c>
      <c r="I12" s="26"/>
      <c r="J12" s="4">
        <f t="shared" si="4"/>
        <v>509</v>
      </c>
      <c r="K12" s="29">
        <f t="shared" si="5"/>
        <v>54.02750491159135</v>
      </c>
      <c r="L12" s="24">
        <f t="shared" si="1"/>
        <v>10.683760683760683</v>
      </c>
      <c r="M12" s="25">
        <f t="shared" si="2"/>
        <v>29.454545454545457</v>
      </c>
    </row>
    <row r="13" spans="1:14" x14ac:dyDescent="0.2">
      <c r="A13" s="28" t="s">
        <v>7</v>
      </c>
      <c r="B13" s="2">
        <v>130</v>
      </c>
      <c r="C13" s="53">
        <v>17</v>
      </c>
      <c r="D13" s="2">
        <f t="shared" si="0"/>
        <v>147</v>
      </c>
      <c r="E13" s="29"/>
      <c r="F13" s="54">
        <v>203</v>
      </c>
      <c r="G13" s="55">
        <v>119</v>
      </c>
      <c r="H13" s="4">
        <f t="shared" si="3"/>
        <v>322</v>
      </c>
      <c r="I13" s="26"/>
      <c r="J13" s="4">
        <f t="shared" si="4"/>
        <v>469</v>
      </c>
      <c r="K13" s="29">
        <f t="shared" si="5"/>
        <v>68.656716417910445</v>
      </c>
      <c r="L13" s="24">
        <f t="shared" si="1"/>
        <v>11.564625850340136</v>
      </c>
      <c r="M13" s="25">
        <f t="shared" si="2"/>
        <v>36.95652173913043</v>
      </c>
    </row>
    <row r="14" spans="1:14" x14ac:dyDescent="0.2">
      <c r="A14" s="28" t="s">
        <v>8</v>
      </c>
      <c r="B14" s="2">
        <v>216</v>
      </c>
      <c r="C14" s="53">
        <v>20</v>
      </c>
      <c r="D14" s="2">
        <f t="shared" si="0"/>
        <v>236</v>
      </c>
      <c r="E14" s="29"/>
      <c r="F14" s="54">
        <v>299</v>
      </c>
      <c r="G14" s="55">
        <v>86</v>
      </c>
      <c r="H14" s="4">
        <f t="shared" si="3"/>
        <v>385</v>
      </c>
      <c r="I14" s="26"/>
      <c r="J14" s="4">
        <f t="shared" si="4"/>
        <v>621</v>
      </c>
      <c r="K14" s="29">
        <f t="shared" si="5"/>
        <v>61.996779388083731</v>
      </c>
      <c r="L14" s="24">
        <f t="shared" si="1"/>
        <v>8.4745762711864394</v>
      </c>
      <c r="M14" s="25">
        <f t="shared" si="2"/>
        <v>22.337662337662337</v>
      </c>
    </row>
    <row r="15" spans="1:14" x14ac:dyDescent="0.2">
      <c r="A15" s="28" t="s">
        <v>9</v>
      </c>
      <c r="B15" s="2">
        <v>133</v>
      </c>
      <c r="C15" s="53">
        <v>11</v>
      </c>
      <c r="D15" s="2">
        <f t="shared" si="0"/>
        <v>144</v>
      </c>
      <c r="E15" s="29"/>
      <c r="F15" s="54">
        <v>212</v>
      </c>
      <c r="G15" s="55">
        <v>80</v>
      </c>
      <c r="H15" s="4">
        <f t="shared" si="3"/>
        <v>292</v>
      </c>
      <c r="I15" s="26"/>
      <c r="J15" s="4">
        <f t="shared" si="4"/>
        <v>436</v>
      </c>
      <c r="K15" s="29">
        <f t="shared" si="5"/>
        <v>66.972477064220186</v>
      </c>
      <c r="L15" s="24">
        <f t="shared" si="1"/>
        <v>7.6388888888888893</v>
      </c>
      <c r="M15" s="25">
        <f t="shared" si="2"/>
        <v>27.397260273972602</v>
      </c>
    </row>
    <row r="16" spans="1:14" x14ac:dyDescent="0.2">
      <c r="A16" s="28" t="s">
        <v>10</v>
      </c>
      <c r="B16" s="2">
        <v>49</v>
      </c>
      <c r="C16" s="53">
        <v>9</v>
      </c>
      <c r="D16" s="2">
        <f t="shared" si="0"/>
        <v>58</v>
      </c>
      <c r="E16" s="29"/>
      <c r="F16" s="54">
        <v>127</v>
      </c>
      <c r="G16" s="55">
        <v>55</v>
      </c>
      <c r="H16" s="4">
        <f t="shared" si="3"/>
        <v>182</v>
      </c>
      <c r="I16" s="26"/>
      <c r="J16" s="4">
        <f t="shared" si="4"/>
        <v>240</v>
      </c>
      <c r="K16" s="29">
        <f t="shared" si="5"/>
        <v>75.833333333333329</v>
      </c>
      <c r="L16" s="24">
        <f t="shared" si="1"/>
        <v>15.517241379310345</v>
      </c>
      <c r="M16" s="25">
        <f t="shared" si="2"/>
        <v>30.219780219780219</v>
      </c>
    </row>
    <row r="17" spans="1:13" x14ac:dyDescent="0.2">
      <c r="A17" s="28" t="s">
        <v>12</v>
      </c>
      <c r="B17" s="2">
        <v>95</v>
      </c>
      <c r="C17" s="53">
        <v>13</v>
      </c>
      <c r="D17" s="2">
        <f t="shared" si="0"/>
        <v>108</v>
      </c>
      <c r="E17" s="29"/>
      <c r="F17" s="54">
        <v>161</v>
      </c>
      <c r="G17" s="55">
        <v>86</v>
      </c>
      <c r="H17" s="4">
        <f t="shared" si="3"/>
        <v>247</v>
      </c>
      <c r="I17" s="26"/>
      <c r="J17" s="4">
        <f t="shared" si="4"/>
        <v>355</v>
      </c>
      <c r="K17" s="29">
        <f t="shared" si="5"/>
        <v>69.577464788732385</v>
      </c>
      <c r="L17" s="24">
        <f t="shared" si="1"/>
        <v>12.037037037037036</v>
      </c>
      <c r="M17" s="25">
        <f t="shared" si="2"/>
        <v>34.817813765182187</v>
      </c>
    </row>
    <row r="18" spans="1:13" x14ac:dyDescent="0.2">
      <c r="A18" s="28" t="s">
        <v>13</v>
      </c>
      <c r="B18" s="2">
        <v>78</v>
      </c>
      <c r="C18" s="53">
        <v>7</v>
      </c>
      <c r="D18" s="2">
        <f t="shared" si="0"/>
        <v>85</v>
      </c>
      <c r="E18" s="29"/>
      <c r="F18" s="54">
        <v>121</v>
      </c>
      <c r="G18" s="55">
        <v>72</v>
      </c>
      <c r="H18" s="4">
        <f t="shared" si="3"/>
        <v>193</v>
      </c>
      <c r="I18" s="26"/>
      <c r="J18" s="4">
        <f t="shared" si="4"/>
        <v>278</v>
      </c>
      <c r="K18" s="29">
        <f t="shared" si="5"/>
        <v>69.42446043165468</v>
      </c>
      <c r="L18" s="24">
        <f t="shared" si="1"/>
        <v>8.235294117647058</v>
      </c>
      <c r="M18" s="25">
        <f t="shared" si="2"/>
        <v>37.305699481865283</v>
      </c>
    </row>
    <row r="19" spans="1:13" x14ac:dyDescent="0.2">
      <c r="A19" s="28" t="s">
        <v>14</v>
      </c>
      <c r="B19" s="2">
        <v>86</v>
      </c>
      <c r="C19" s="53">
        <v>9</v>
      </c>
      <c r="D19" s="2">
        <f t="shared" si="0"/>
        <v>95</v>
      </c>
      <c r="E19" s="29"/>
      <c r="F19" s="54">
        <v>147</v>
      </c>
      <c r="G19" s="55">
        <v>91</v>
      </c>
      <c r="H19" s="4">
        <f t="shared" si="3"/>
        <v>238</v>
      </c>
      <c r="I19" s="26"/>
      <c r="J19" s="4">
        <f t="shared" si="4"/>
        <v>333</v>
      </c>
      <c r="K19" s="29">
        <f t="shared" si="5"/>
        <v>71.471471471471475</v>
      </c>
      <c r="L19" s="24">
        <f t="shared" si="1"/>
        <v>9.4736842105263168</v>
      </c>
      <c r="M19" s="25">
        <f t="shared" si="2"/>
        <v>38.235294117647058</v>
      </c>
    </row>
    <row r="20" spans="1:13" x14ac:dyDescent="0.2">
      <c r="A20" s="28" t="s">
        <v>15</v>
      </c>
      <c r="B20" s="2">
        <v>16</v>
      </c>
      <c r="C20" s="53">
        <v>4</v>
      </c>
      <c r="D20" s="2">
        <f t="shared" si="0"/>
        <v>20</v>
      </c>
      <c r="E20" s="29"/>
      <c r="F20" s="54">
        <v>41</v>
      </c>
      <c r="G20" s="55">
        <v>16</v>
      </c>
      <c r="H20" s="4">
        <f t="shared" si="3"/>
        <v>57</v>
      </c>
      <c r="I20" s="26"/>
      <c r="J20" s="4">
        <f t="shared" si="4"/>
        <v>77</v>
      </c>
      <c r="K20" s="29">
        <f t="shared" si="5"/>
        <v>74.025974025974023</v>
      </c>
      <c r="L20" s="24">
        <f t="shared" si="1"/>
        <v>20</v>
      </c>
      <c r="M20" s="25">
        <f t="shared" si="2"/>
        <v>28.07017543859649</v>
      </c>
    </row>
    <row r="21" spans="1:13" x14ac:dyDescent="0.2">
      <c r="A21" s="28" t="s">
        <v>16</v>
      </c>
      <c r="B21" s="2">
        <v>58</v>
      </c>
      <c r="C21" s="53">
        <v>1</v>
      </c>
      <c r="D21" s="2">
        <f t="shared" si="0"/>
        <v>59</v>
      </c>
      <c r="E21" s="29"/>
      <c r="F21" s="54">
        <v>106</v>
      </c>
      <c r="G21" s="55">
        <v>32</v>
      </c>
      <c r="H21" s="4">
        <f t="shared" si="3"/>
        <v>138</v>
      </c>
      <c r="I21" s="26"/>
      <c r="J21" s="4">
        <f t="shared" si="4"/>
        <v>197</v>
      </c>
      <c r="K21" s="29">
        <f t="shared" si="5"/>
        <v>70.050761421319791</v>
      </c>
      <c r="L21" s="24">
        <f t="shared" si="1"/>
        <v>1.6949152542372881</v>
      </c>
      <c r="M21" s="25">
        <f t="shared" si="2"/>
        <v>23.188405797101449</v>
      </c>
    </row>
    <row r="22" spans="1:13" x14ac:dyDescent="0.2">
      <c r="A22" s="28" t="s">
        <v>17</v>
      </c>
      <c r="B22" s="2">
        <v>72</v>
      </c>
      <c r="C22" s="53">
        <v>4</v>
      </c>
      <c r="D22" s="2">
        <f t="shared" si="0"/>
        <v>76</v>
      </c>
      <c r="E22" s="29"/>
      <c r="F22" s="54">
        <v>85</v>
      </c>
      <c r="G22" s="55">
        <v>20</v>
      </c>
      <c r="H22" s="4">
        <f t="shared" si="3"/>
        <v>105</v>
      </c>
      <c r="I22" s="26"/>
      <c r="J22" s="4">
        <f t="shared" si="4"/>
        <v>181</v>
      </c>
      <c r="K22" s="29">
        <f t="shared" si="5"/>
        <v>58.011049723756905</v>
      </c>
      <c r="L22" s="24">
        <f t="shared" si="1"/>
        <v>5.2631578947368416</v>
      </c>
      <c r="M22" s="25">
        <f t="shared" si="2"/>
        <v>19.047619047619047</v>
      </c>
    </row>
    <row r="23" spans="1:13" x14ac:dyDescent="0.2">
      <c r="A23" s="28" t="s">
        <v>18</v>
      </c>
      <c r="B23" s="2">
        <v>72</v>
      </c>
      <c r="C23" s="53">
        <v>10</v>
      </c>
      <c r="D23" s="2">
        <f t="shared" si="0"/>
        <v>82</v>
      </c>
      <c r="E23" s="29"/>
      <c r="F23" s="54">
        <v>127</v>
      </c>
      <c r="G23" s="55">
        <v>47</v>
      </c>
      <c r="H23" s="4">
        <f t="shared" si="3"/>
        <v>174</v>
      </c>
      <c r="I23" s="26"/>
      <c r="J23" s="4">
        <f t="shared" si="4"/>
        <v>256</v>
      </c>
      <c r="K23" s="29">
        <f t="shared" si="5"/>
        <v>67.96875</v>
      </c>
      <c r="L23" s="24">
        <f t="shared" si="1"/>
        <v>12.195121951219512</v>
      </c>
      <c r="M23" s="25">
        <f t="shared" si="2"/>
        <v>27.011494252873565</v>
      </c>
    </row>
    <row r="24" spans="1:13" x14ac:dyDescent="0.2">
      <c r="A24" s="28" t="s">
        <v>19</v>
      </c>
      <c r="B24" s="2">
        <v>139</v>
      </c>
      <c r="C24" s="53">
        <v>11</v>
      </c>
      <c r="D24" s="2">
        <f t="shared" si="0"/>
        <v>150</v>
      </c>
      <c r="E24" s="29"/>
      <c r="F24" s="54">
        <v>213</v>
      </c>
      <c r="G24" s="55">
        <v>70</v>
      </c>
      <c r="H24" s="4">
        <f t="shared" si="3"/>
        <v>283</v>
      </c>
      <c r="I24" s="26"/>
      <c r="J24" s="4">
        <f t="shared" si="4"/>
        <v>433</v>
      </c>
      <c r="K24" s="29">
        <f t="shared" si="5"/>
        <v>65.357967667436483</v>
      </c>
      <c r="L24" s="24">
        <f t="shared" si="1"/>
        <v>7.333333333333333</v>
      </c>
      <c r="M24" s="25">
        <f t="shared" si="2"/>
        <v>24.734982332155479</v>
      </c>
    </row>
    <row r="25" spans="1:13" x14ac:dyDescent="0.2">
      <c r="A25" s="28" t="s">
        <v>11</v>
      </c>
      <c r="B25" s="2">
        <v>146</v>
      </c>
      <c r="C25" s="53">
        <v>20</v>
      </c>
      <c r="D25" s="2">
        <f t="shared" si="0"/>
        <v>166</v>
      </c>
      <c r="E25" s="29"/>
      <c r="F25" s="54">
        <v>237</v>
      </c>
      <c r="G25" s="55">
        <v>87</v>
      </c>
      <c r="H25" s="4">
        <f t="shared" si="3"/>
        <v>324</v>
      </c>
      <c r="I25" s="26"/>
      <c r="J25" s="4">
        <f t="shared" si="4"/>
        <v>490</v>
      </c>
      <c r="K25" s="29">
        <f t="shared" si="5"/>
        <v>66.122448979591837</v>
      </c>
      <c r="L25" s="24">
        <f t="shared" si="1"/>
        <v>12.048192771084338</v>
      </c>
      <c r="M25" s="25">
        <f t="shared" si="2"/>
        <v>26.851851851851855</v>
      </c>
    </row>
    <row r="26" spans="1:13" x14ac:dyDescent="0.2">
      <c r="A26" s="28" t="s">
        <v>20</v>
      </c>
      <c r="B26" s="2">
        <v>87</v>
      </c>
      <c r="C26" s="53">
        <v>5</v>
      </c>
      <c r="D26" s="2">
        <f t="shared" si="0"/>
        <v>92</v>
      </c>
      <c r="E26" s="29"/>
      <c r="F26" s="54">
        <v>157</v>
      </c>
      <c r="G26" s="55">
        <v>50</v>
      </c>
      <c r="H26" s="4">
        <f t="shared" si="3"/>
        <v>207</v>
      </c>
      <c r="I26" s="26"/>
      <c r="J26" s="4">
        <f t="shared" si="4"/>
        <v>299</v>
      </c>
      <c r="K26" s="29">
        <f t="shared" si="5"/>
        <v>69.230769230769226</v>
      </c>
      <c r="L26" s="24">
        <f t="shared" si="1"/>
        <v>5.4347826086956523</v>
      </c>
      <c r="M26" s="25">
        <f t="shared" si="2"/>
        <v>24.154589371980677</v>
      </c>
    </row>
    <row r="27" spans="1:13" x14ac:dyDescent="0.2">
      <c r="A27" s="28" t="s">
        <v>21</v>
      </c>
      <c r="B27" s="2">
        <v>92</v>
      </c>
      <c r="C27" s="53">
        <v>10</v>
      </c>
      <c r="D27" s="2">
        <f t="shared" si="0"/>
        <v>102</v>
      </c>
      <c r="E27" s="29"/>
      <c r="F27" s="54">
        <v>263</v>
      </c>
      <c r="G27" s="55">
        <v>65</v>
      </c>
      <c r="H27" s="4">
        <f t="shared" si="3"/>
        <v>328</v>
      </c>
      <c r="I27" s="26"/>
      <c r="J27" s="4">
        <f t="shared" si="4"/>
        <v>430</v>
      </c>
      <c r="K27" s="29">
        <f t="shared" si="5"/>
        <v>76.279069767441868</v>
      </c>
      <c r="L27" s="24">
        <f t="shared" si="1"/>
        <v>9.8039215686274517</v>
      </c>
      <c r="M27" s="25">
        <f t="shared" si="2"/>
        <v>19.817073170731707</v>
      </c>
    </row>
    <row r="28" spans="1:13" x14ac:dyDescent="0.2">
      <c r="A28" s="30" t="s">
        <v>22</v>
      </c>
      <c r="B28" s="2">
        <v>55</v>
      </c>
      <c r="C28" s="53">
        <v>3</v>
      </c>
      <c r="D28" s="2">
        <f t="shared" si="0"/>
        <v>58</v>
      </c>
      <c r="E28" s="29"/>
      <c r="F28" s="54">
        <v>212</v>
      </c>
      <c r="G28" s="55">
        <v>39</v>
      </c>
      <c r="H28" s="4">
        <f t="shared" si="3"/>
        <v>251</v>
      </c>
      <c r="I28" s="26"/>
      <c r="J28" s="4">
        <f t="shared" si="4"/>
        <v>309</v>
      </c>
      <c r="K28" s="29">
        <f t="shared" si="5"/>
        <v>81.229773462783172</v>
      </c>
      <c r="L28" s="24">
        <f t="shared" si="1"/>
        <v>5.1724137931034484</v>
      </c>
      <c r="M28" s="25">
        <f t="shared" si="2"/>
        <v>15.53784860557769</v>
      </c>
    </row>
    <row r="29" spans="1:13" x14ac:dyDescent="0.2">
      <c r="A29" s="31" t="s">
        <v>6</v>
      </c>
      <c r="B29" s="3">
        <v>142</v>
      </c>
      <c r="C29" s="3">
        <v>17</v>
      </c>
      <c r="D29" s="3">
        <f t="shared" si="0"/>
        <v>159</v>
      </c>
      <c r="E29" s="33"/>
      <c r="F29" s="56">
        <v>389</v>
      </c>
      <c r="G29" s="33">
        <v>83</v>
      </c>
      <c r="H29" s="5">
        <f t="shared" si="3"/>
        <v>472</v>
      </c>
      <c r="I29" s="32"/>
      <c r="J29" s="5">
        <f t="shared" si="4"/>
        <v>631</v>
      </c>
      <c r="K29" s="33">
        <f t="shared" si="5"/>
        <v>74.801901743264651</v>
      </c>
      <c r="L29" s="34">
        <f t="shared" si="1"/>
        <v>10.691823899371069</v>
      </c>
      <c r="M29" s="35">
        <f t="shared" si="2"/>
        <v>17.584745762711865</v>
      </c>
    </row>
    <row r="30" spans="1:13" x14ac:dyDescent="0.2">
      <c r="A30" s="36" t="s">
        <v>23</v>
      </c>
      <c r="B30" s="4"/>
      <c r="C30" s="29"/>
      <c r="D30" s="4"/>
      <c r="E30" s="29"/>
      <c r="F30" s="4"/>
      <c r="G30" s="29"/>
      <c r="H30" s="4"/>
      <c r="I30" s="37"/>
      <c r="J30" s="37"/>
      <c r="M30" s="43" t="s">
        <v>24</v>
      </c>
    </row>
    <row r="32" spans="1:13" x14ac:dyDescent="0.25">
      <c r="A32" s="40"/>
      <c r="B32" s="7"/>
    </row>
    <row r="33" spans="1:2" x14ac:dyDescent="0.25">
      <c r="A33" s="40"/>
      <c r="B33" s="7"/>
    </row>
    <row r="34" spans="1:2" x14ac:dyDescent="0.25">
      <c r="A34" s="41"/>
      <c r="B34" s="7"/>
    </row>
  </sheetData>
  <mergeCells count="8">
    <mergeCell ref="L5:L6"/>
    <mergeCell ref="M5:M6"/>
    <mergeCell ref="A1:M1"/>
    <mergeCell ref="A2:M2"/>
    <mergeCell ref="B4:D4"/>
    <mergeCell ref="F4:H4"/>
    <mergeCell ref="J4:K4"/>
    <mergeCell ref="L4:M4"/>
  </mergeCells>
  <pageMargins left="0.7" right="0.7" top="0.75" bottom="0.75" header="0.3" footer="0.3"/>
  <pageSetup scale="65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7.9</vt:lpstr>
      <vt:lpstr>'7.9'!Print_Area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2021-07-05T07:32:17Z</cp:lastPrinted>
  <dcterms:created xsi:type="dcterms:W3CDTF">2019-02-28T08:20:57Z</dcterms:created>
  <dcterms:modified xsi:type="dcterms:W3CDTF">2021-07-05T07:32:39Z</dcterms:modified>
</cp:coreProperties>
</file>