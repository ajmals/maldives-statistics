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7. Education\"/>
    </mc:Choice>
  </mc:AlternateContent>
  <bookViews>
    <workbookView xWindow="0" yWindow="0" windowWidth="28800" windowHeight="10230"/>
  </bookViews>
  <sheets>
    <sheet name="7.7" sheetId="1" r:id="rId1"/>
  </sheets>
  <externalReferences>
    <externalReference r:id="rId2"/>
  </externalReferences>
  <definedNames>
    <definedName name="_xlnm.Print_Area" localSheetId="0">'7.7'!$A$1:$Q$48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N22" i="1" s="1"/>
  <c r="H22" i="1"/>
  <c r="G22" i="1"/>
  <c r="C22" i="1"/>
  <c r="N21" i="1"/>
  <c r="J21" i="1"/>
  <c r="H21" i="1"/>
  <c r="C21" i="1"/>
  <c r="G21" i="1" s="1"/>
  <c r="N20" i="1"/>
  <c r="J20" i="1"/>
  <c r="H20" i="1"/>
  <c r="G20" i="1"/>
  <c r="C20" i="1"/>
  <c r="J19" i="1"/>
  <c r="N19" i="1" s="1"/>
  <c r="H19" i="1"/>
  <c r="G19" i="1"/>
  <c r="C19" i="1"/>
  <c r="L18" i="1"/>
  <c r="J18" i="1" s="1"/>
  <c r="N18" i="1" s="1"/>
  <c r="K18" i="1"/>
  <c r="H18" i="1"/>
  <c r="E18" i="1"/>
  <c r="D18" i="1"/>
  <c r="C18" i="1" s="1"/>
  <c r="G18" i="1" s="1"/>
  <c r="B18" i="1"/>
  <c r="J17" i="1"/>
  <c r="N17" i="1" s="1"/>
  <c r="H17" i="1"/>
  <c r="C17" i="1"/>
  <c r="G17" i="1" s="1"/>
  <c r="N16" i="1"/>
  <c r="J16" i="1"/>
  <c r="H16" i="1"/>
  <c r="C16" i="1"/>
  <c r="G16" i="1" s="1"/>
  <c r="J15" i="1"/>
  <c r="N15" i="1" s="1"/>
  <c r="H15" i="1"/>
  <c r="G15" i="1"/>
  <c r="C15" i="1"/>
  <c r="N14" i="1"/>
  <c r="J14" i="1"/>
  <c r="H14" i="1"/>
  <c r="C14" i="1"/>
  <c r="G14" i="1" s="1"/>
  <c r="L13" i="1"/>
  <c r="K13" i="1"/>
  <c r="J13" i="1" s="1"/>
  <c r="N13" i="1" s="1"/>
  <c r="E13" i="1"/>
  <c r="D13" i="1"/>
  <c r="C13" i="1"/>
  <c r="B13" i="1"/>
  <c r="B8" i="1" s="1"/>
  <c r="L12" i="1"/>
  <c r="J12" i="1" s="1"/>
  <c r="N12" i="1" s="1"/>
  <c r="K12" i="1"/>
  <c r="H12" i="1"/>
  <c r="E12" i="1"/>
  <c r="D12" i="1"/>
  <c r="C12" i="1" s="1"/>
  <c r="G12" i="1" s="1"/>
  <c r="B12" i="1"/>
  <c r="L11" i="1"/>
  <c r="N11" i="1" s="1"/>
  <c r="K11" i="1"/>
  <c r="J11" i="1"/>
  <c r="H11" i="1"/>
  <c r="E11" i="1"/>
  <c r="D11" i="1"/>
  <c r="C11" i="1" s="1"/>
  <c r="G11" i="1" s="1"/>
  <c r="B11" i="1"/>
  <c r="L10" i="1"/>
  <c r="N10" i="1" s="1"/>
  <c r="K10" i="1"/>
  <c r="J10" i="1" s="1"/>
  <c r="E10" i="1"/>
  <c r="D10" i="1"/>
  <c r="C10" i="1"/>
  <c r="B10" i="1"/>
  <c r="H10" i="1" s="1"/>
  <c r="L9" i="1"/>
  <c r="L8" i="1" s="1"/>
  <c r="K9" i="1"/>
  <c r="J9" i="1" s="1"/>
  <c r="N9" i="1" s="1"/>
  <c r="E9" i="1"/>
  <c r="D9" i="1"/>
  <c r="D8" i="1" s="1"/>
  <c r="C8" i="1" s="1"/>
  <c r="C9" i="1"/>
  <c r="B9" i="1"/>
  <c r="H9" i="1" s="1"/>
  <c r="E8" i="1"/>
  <c r="G8" i="1" l="1"/>
  <c r="H8" i="1"/>
  <c r="G9" i="1"/>
  <c r="G13" i="1"/>
  <c r="K8" i="1"/>
  <c r="J8" i="1" s="1"/>
  <c r="N8" i="1" s="1"/>
  <c r="H13" i="1"/>
  <c r="G10" i="1"/>
</calcChain>
</file>

<file path=xl/sharedStrings.xml><?xml version="1.0" encoding="utf-8"?>
<sst xmlns="http://schemas.openxmlformats.org/spreadsheetml/2006/main" count="70" uniqueCount="48">
  <si>
    <t xml:space="preserve">No. of teachers </t>
  </si>
  <si>
    <t>udwdwa egcnusircawdum EdWvwyik</t>
  </si>
  <si>
    <t xml:space="preserve">  cnidukWvwyik cnutwbcsin egcnusircawdum</t>
  </si>
  <si>
    <t>cnIsEdib</t>
  </si>
  <si>
    <t xml:space="preserve"> cnIrcmwt</t>
  </si>
  <si>
    <t>Student Teacher Ratio</t>
  </si>
  <si>
    <t>Teachers</t>
  </si>
  <si>
    <t>cnusircawdum</t>
  </si>
  <si>
    <t>cniawtcawscnia</t>
  </si>
  <si>
    <t>Level</t>
  </si>
  <si>
    <t>udwdwa egcnidukWvwyik</t>
  </si>
  <si>
    <t>wlcmuj</t>
  </si>
  <si>
    <t>Wviawfibil</t>
  </si>
  <si>
    <t>Wvuniawfibil</t>
  </si>
  <si>
    <t>iawfivedcnIrcmwt</t>
  </si>
  <si>
    <t>cnihevid</t>
  </si>
  <si>
    <t>% of</t>
  </si>
  <si>
    <t xml:space="preserve">cnwt </t>
  </si>
  <si>
    <r>
      <t>No. of students</t>
    </r>
    <r>
      <rPr>
        <b/>
        <vertAlign val="superscript"/>
        <sz val="10"/>
        <rFont val="Calibri"/>
        <family val="2"/>
        <scheme val="minor"/>
      </rPr>
      <t>1_/</t>
    </r>
  </si>
  <si>
    <t>Total</t>
  </si>
  <si>
    <t>Trained</t>
  </si>
  <si>
    <t>Untrained</t>
  </si>
  <si>
    <t>Local</t>
  </si>
  <si>
    <t>Expatriate</t>
  </si>
  <si>
    <t>expatriate</t>
  </si>
  <si>
    <t>Republic</t>
  </si>
  <si>
    <t>ejcaWriLum</t>
  </si>
  <si>
    <t>Pre - Primary</t>
  </si>
  <si>
    <t>clUkcsIrcp</t>
  </si>
  <si>
    <t>Primary ( 1 - 7)</t>
  </si>
  <si>
    <t xml:space="preserve">           (7 - 1 ) umIluAwt WSwf                      </t>
  </si>
  <si>
    <t>Lower Secondary ( 8 - 10)</t>
  </si>
  <si>
    <t xml:space="preserve">        (10 - 8 g) umIluAwt IvwnWX                  </t>
  </si>
  <si>
    <t>Higher Secondary ( 11 - 12)</t>
  </si>
  <si>
    <t xml:space="preserve">    (12 - 11 )  umIluAwt IvwnWXItwm                  </t>
  </si>
  <si>
    <t>Male'</t>
  </si>
  <si>
    <t>elWm</t>
  </si>
  <si>
    <t>Atolls</t>
  </si>
  <si>
    <t>cawtuLotwa</t>
  </si>
  <si>
    <t xml:space="preserve">     (12 - 11 )  umIluAwt IvwnWXItwm                  </t>
  </si>
  <si>
    <t>Source: Ministry of Education</t>
  </si>
  <si>
    <t>cnwxEkuaiDea cfoa IrcTcsinim :ctWrwf ivcaed utWmUluAwm</t>
  </si>
  <si>
    <t>Note :  1. Teachers does not include supervisors, assistant headmasters, headmasters, assistant principals and principals who may teach in addition to their administrative duties.</t>
  </si>
  <si>
    <t xml:space="preserve">            2. Teacherswho teach different levels have been enumerated in the level the teacher takes most periods.</t>
  </si>
  <si>
    <t xml:space="preserve">            3. Trained : Have MAB ( Maldives Accreditation Board ) accredited advanced certificate or higher teaching qualification.</t>
  </si>
  <si>
    <r>
      <t xml:space="preserve">            4. </t>
    </r>
    <r>
      <rPr>
        <i/>
        <vertAlign val="superscript"/>
        <sz val="9"/>
        <rFont val="Calibri"/>
        <family val="2"/>
        <scheme val="minor"/>
      </rPr>
      <t>1_/:</t>
    </r>
    <r>
      <rPr>
        <i/>
        <sz val="9"/>
        <rFont val="Calibri"/>
        <family val="2"/>
        <scheme val="minor"/>
      </rPr>
      <t xml:space="preserve"> Total number of students in this table does not include children with special needs</t>
    </r>
  </si>
  <si>
    <t>2018 ,udwdwa egcnusircawdum EdWvwyik ,iaWncnidukWvwyik iawgukwtitcnwfikea egukwtuLotwa iaWaelWm :7.7 clwvWt</t>
  </si>
  <si>
    <t>Table 7.7 : STUDENTS AND TEACHERS SERVING AT DIFFERENT LEVELS IN MALE' AND ATOLLS,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</si>
</sst>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;[Red]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Randhoo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Waheed"/>
    </font>
    <font>
      <b/>
      <sz val="10"/>
      <name val="A_Randhoo"/>
    </font>
    <font>
      <b/>
      <sz val="9"/>
      <name val="A_Randhoo"/>
    </font>
    <font>
      <sz val="10"/>
      <name val="A_Utheem"/>
    </font>
    <font>
      <sz val="10"/>
      <name val="A_Waheed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name val="A_Waheed"/>
    </font>
    <font>
      <b/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_Waheed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_Utheem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left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left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0" fontId="7" fillId="2" borderId="2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 applyProtection="1">
      <alignment horizontal="right" vertical="center" wrapText="1"/>
    </xf>
    <xf numFmtId="164" fontId="4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 applyProtection="1">
      <alignment horizontal="right" vertical="center"/>
    </xf>
    <xf numFmtId="164" fontId="6" fillId="2" borderId="1" xfId="0" applyNumberFormat="1" applyFont="1" applyFill="1" applyBorder="1" applyAlignment="1" applyProtection="1">
      <alignment horizontal="right" vertical="center" wrapText="1"/>
    </xf>
    <xf numFmtId="164" fontId="15" fillId="2" borderId="1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left" vertical="center"/>
    </xf>
    <xf numFmtId="165" fontId="6" fillId="2" borderId="0" xfId="0" applyNumberFormat="1" applyFont="1" applyFill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18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left" vertical="center"/>
    </xf>
    <xf numFmtId="165" fontId="20" fillId="2" borderId="0" xfId="0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5" fontId="19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2"/>
    </xf>
    <xf numFmtId="9" fontId="10" fillId="2" borderId="0" xfId="1" applyFont="1" applyFill="1" applyAlignment="1">
      <alignment horizontal="center" vertical="center"/>
    </xf>
    <xf numFmtId="9" fontId="10" fillId="2" borderId="0" xfId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left"/>
    </xf>
    <xf numFmtId="164" fontId="22" fillId="2" borderId="0" xfId="0" applyNumberFormat="1" applyFont="1" applyFill="1" applyBorder="1" applyAlignment="1">
      <alignment horizontal="left" vertical="center"/>
    </xf>
    <xf numFmtId="165" fontId="20" fillId="2" borderId="0" xfId="0" applyNumberFormat="1" applyFont="1" applyFill="1" applyBorder="1" applyAlignment="1">
      <alignment horizontal="right" vertical="center"/>
    </xf>
    <xf numFmtId="165" fontId="20" fillId="2" borderId="0" xfId="0" applyNumberFormat="1" applyFont="1" applyFill="1" applyBorder="1"/>
    <xf numFmtId="164" fontId="22" fillId="2" borderId="0" xfId="0" applyNumberFormat="1" applyFont="1" applyFill="1" applyBorder="1" applyAlignment="1">
      <alignment horizontal="left"/>
    </xf>
    <xf numFmtId="165" fontId="19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21" fillId="2" borderId="0" xfId="0" applyNumberFormat="1" applyFont="1" applyFill="1" applyBorder="1" applyAlignment="1">
      <alignment horizontal="right" vertical="center"/>
    </xf>
    <xf numFmtId="3" fontId="21" fillId="2" borderId="0" xfId="0" applyNumberFormat="1" applyFont="1" applyFill="1" applyBorder="1"/>
    <xf numFmtId="3" fontId="20" fillId="2" borderId="0" xfId="0" applyNumberFormat="1" applyFont="1" applyFill="1" applyBorder="1" applyAlignment="1">
      <alignment horizontal="right"/>
    </xf>
    <xf numFmtId="164" fontId="19" fillId="2" borderId="0" xfId="0" applyNumberFormat="1" applyFont="1" applyFill="1" applyBorder="1" applyAlignment="1">
      <alignment horizontal="left"/>
    </xf>
    <xf numFmtId="3" fontId="20" fillId="2" borderId="0" xfId="0" applyNumberFormat="1" applyFont="1" applyFill="1" applyBorder="1"/>
    <xf numFmtId="164" fontId="0" fillId="2" borderId="0" xfId="0" applyNumberFormat="1" applyFill="1"/>
    <xf numFmtId="164" fontId="12" fillId="2" borderId="0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left"/>
    </xf>
    <xf numFmtId="165" fontId="20" fillId="2" borderId="1" xfId="0" applyNumberFormat="1" applyFont="1" applyFill="1" applyBorder="1" applyAlignment="1">
      <alignment horizontal="right" vertical="center"/>
    </xf>
    <xf numFmtId="165" fontId="21" fillId="2" borderId="1" xfId="0" applyNumberFormat="1" applyFont="1" applyFill="1" applyBorder="1" applyAlignment="1">
      <alignment horizontal="right" vertical="center"/>
    </xf>
    <xf numFmtId="3" fontId="21" fillId="2" borderId="1" xfId="0" applyNumberFormat="1" applyFont="1" applyFill="1" applyBorder="1"/>
    <xf numFmtId="3" fontId="20" fillId="2" borderId="1" xfId="0" applyNumberFormat="1" applyFont="1" applyFill="1" applyBorder="1"/>
    <xf numFmtId="165" fontId="19" fillId="2" borderId="1" xfId="0" applyNumberFormat="1" applyFont="1" applyFill="1" applyBorder="1" applyAlignment="1">
      <alignment horizontal="right" vertical="center"/>
    </xf>
    <xf numFmtId="164" fontId="22" fillId="2" borderId="1" xfId="0" applyNumberFormat="1" applyFont="1" applyFill="1" applyBorder="1" applyAlignment="1">
      <alignment horizontal="left"/>
    </xf>
    <xf numFmtId="164" fontId="23" fillId="2" borderId="0" xfId="0" applyNumberFormat="1" applyFont="1" applyFill="1" applyBorder="1" applyAlignment="1">
      <alignment horizontal="left" vertical="center"/>
    </xf>
    <xf numFmtId="165" fontId="4" fillId="2" borderId="0" xfId="0" applyNumberFormat="1" applyFont="1" applyFill="1" applyAlignment="1">
      <alignment horizontal="right" vertical="center"/>
    </xf>
    <xf numFmtId="164" fontId="0" fillId="2" borderId="0" xfId="0" applyNumberFormat="1" applyFill="1" applyBorder="1"/>
    <xf numFmtId="164" fontId="24" fillId="2" borderId="0" xfId="0" applyNumberFormat="1" applyFont="1" applyFill="1" applyAlignment="1" applyProtection="1">
      <alignment horizontal="left" vertical="center"/>
    </xf>
    <xf numFmtId="164" fontId="12" fillId="2" borderId="0" xfId="0" applyNumberFormat="1" applyFont="1" applyFill="1" applyAlignment="1">
      <alignment horizontal="center"/>
    </xf>
    <xf numFmtId="3" fontId="25" fillId="2" borderId="0" xfId="0" applyNumberFormat="1" applyFont="1" applyFill="1" applyBorder="1" applyAlignment="1" applyProtection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4" fontId="26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7785280092613E-2"/>
          <c:y val="0.16464355278535256"/>
          <c:w val="0.87504954621018494"/>
          <c:h val="0.72987492643950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'[1]7.7'!$K$7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'[1]7.7'!$K$9:$K$12</c:f>
              <c:numCache>
                <c:formatCode>General</c:formatCode>
                <c:ptCount val="4"/>
                <c:pt idx="0">
                  <c:v>1309</c:v>
                </c:pt>
                <c:pt idx="1">
                  <c:v>3863</c:v>
                </c:pt>
                <c:pt idx="2">
                  <c:v>1755</c:v>
                </c:pt>
                <c:pt idx="3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0-4079-AEB4-D58E493F773B}"/>
            </c:ext>
          </c:extLst>
        </c:ser>
        <c:ser>
          <c:idx val="1"/>
          <c:order val="1"/>
          <c:tx>
            <c:strRef>
              <c:f>'[1]7.7'!$L$7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'[1]7.7'!$L$9:$L$12</c:f>
              <c:numCache>
                <c:formatCode>General</c:formatCode>
                <c:ptCount val="4"/>
                <c:pt idx="0">
                  <c:v>28</c:v>
                </c:pt>
                <c:pt idx="1">
                  <c:v>680</c:v>
                </c:pt>
                <c:pt idx="2">
                  <c:v>1298</c:v>
                </c:pt>
                <c:pt idx="3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0-4079-AEB4-D58E493F7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46016"/>
        <c:axId val="143447552"/>
      </c:barChart>
      <c:catAx>
        <c:axId val="1434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44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447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460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0825041925561176"/>
          <c:y val="0.26385929431657124"/>
          <c:w val="0.2485980547643373"/>
          <c:h val="5.964608077978266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01" r="0.750000000000010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346478967445E-2"/>
          <c:y val="0.19470193081803464"/>
          <c:w val="0.89246215172198518"/>
          <c:h val="0.69949896430898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'[1]7.7'!$D$7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'[1]7.7'!$D$9:$D$12</c:f>
              <c:numCache>
                <c:formatCode>General</c:formatCode>
                <c:ptCount val="4"/>
                <c:pt idx="0">
                  <c:v>1188</c:v>
                </c:pt>
                <c:pt idx="1">
                  <c:v>4219</c:v>
                </c:pt>
                <c:pt idx="2">
                  <c:v>2930</c:v>
                </c:pt>
                <c:pt idx="3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E-4EE5-BFDD-292F0C4714CB}"/>
            </c:ext>
          </c:extLst>
        </c:ser>
        <c:ser>
          <c:idx val="1"/>
          <c:order val="1"/>
          <c:tx>
            <c:strRef>
              <c:f>'[1]7.7'!$E$7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'[1]7.7'!$A$9:$A$12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'[1]7.7'!$E$9:$E$12</c:f>
              <c:numCache>
                <c:formatCode>General</c:formatCode>
                <c:ptCount val="4"/>
                <c:pt idx="0">
                  <c:v>151</c:v>
                </c:pt>
                <c:pt idx="1">
                  <c:v>363</c:v>
                </c:pt>
                <c:pt idx="2">
                  <c:v>54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E-4EE5-BFDD-292F0C471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94144"/>
        <c:axId val="143500032"/>
      </c:barChart>
      <c:catAx>
        <c:axId val="1434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50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500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94144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931142454603333"/>
          <c:y val="0.3001979384932239"/>
          <c:w val="0.24790186621553451"/>
          <c:h val="6.827214016096855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88" r="0.750000000000009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211903</xdr:colOff>
      <xdr:row>29</xdr:row>
      <xdr:rowOff>115803</xdr:rowOff>
    </xdr:from>
    <xdr:to>
      <xdr:col>6</xdr:col>
      <xdr:colOff>695325</xdr:colOff>
      <xdr:row>47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771862</xdr:colOff>
      <xdr:row>29</xdr:row>
      <xdr:rowOff>110239</xdr:rowOff>
    </xdr:from>
    <xdr:to>
      <xdr:col>14</xdr:col>
      <xdr:colOff>1754894</xdr:colOff>
      <xdr:row>47</xdr:row>
      <xdr:rowOff>90157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0.00978</cdr:x>
      <cdr:y>0.07194</cdr:y>
    </cdr:from>
    <cdr:to>
      <cdr:x>0.12855</cdr:x>
      <cdr:y>0.14185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6682" y="216978"/>
          <a:ext cx="688630" cy="210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0.15984</cdr:x>
      <cdr:y>0.36946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2571" y="979572"/>
          <a:ext cx="3905250" cy="161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0.15479</cdr:x>
      <cdr:y>0.0464</cdr:y>
    </cdr:from>
    <cdr:to>
      <cdr:x>0.95807</cdr:x>
      <cdr:y>0.12844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97537" y="141372"/>
          <a:ext cx="4657709" cy="24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Number of Local and Expatriate Teachers,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0.01121</cdr:x>
      <cdr:y>0.09261</cdr:y>
    </cdr:from>
    <cdr:to>
      <cdr:x>0.13563</cdr:x>
      <cdr:y>0.14209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154" y="313043"/>
          <a:ext cx="689984" cy="167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700"/>
            <a:t>In numbers</a:t>
          </a:r>
        </a:p>
      </cdr:txBody>
    </cdr:sp>
  </cdr:relSizeAnchor>
  <cdr:relSizeAnchor xmlns:cdr="http://schemas.openxmlformats.org/drawingml/2006/chartDrawing">
    <cdr:from>
      <cdr:x>0.11344</cdr:x>
      <cdr:y>0.0322</cdr:y>
    </cdr:from>
    <cdr:to>
      <cdr:x>0.97382</cdr:x>
      <cdr:y>0.10348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9082" y="108837"/>
          <a:ext cx="4771256" cy="240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7.7: Number of Trained and Untrained Teachers, 2018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4\Dissemination\Publications\Statistical%20Year%20Book\YEARBOOK%202019\FINAL\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 t="str">
            <v>Trained</v>
          </cell>
          <cell r="E7" t="str">
            <v>Untrained</v>
          </cell>
          <cell r="K7" t="str">
            <v>Local</v>
          </cell>
          <cell r="L7" t="str">
            <v>Expatriate</v>
          </cell>
        </row>
        <row r="9">
          <cell r="A9" t="str">
            <v>Pre - Primary</v>
          </cell>
          <cell r="D9">
            <v>1188</v>
          </cell>
          <cell r="E9">
            <v>151</v>
          </cell>
          <cell r="K9">
            <v>1309</v>
          </cell>
          <cell r="L9">
            <v>28</v>
          </cell>
        </row>
        <row r="10">
          <cell r="A10" t="str">
            <v>Primary ( 1 - 7)</v>
          </cell>
          <cell r="D10">
            <v>4219</v>
          </cell>
          <cell r="E10">
            <v>363</v>
          </cell>
          <cell r="K10">
            <v>3863</v>
          </cell>
          <cell r="L10">
            <v>680</v>
          </cell>
        </row>
        <row r="11">
          <cell r="A11" t="str">
            <v>Lower Secondary ( 8 - 10)</v>
          </cell>
          <cell r="D11">
            <v>2930</v>
          </cell>
          <cell r="E11">
            <v>54</v>
          </cell>
          <cell r="K11">
            <v>1755</v>
          </cell>
          <cell r="L11">
            <v>1298</v>
          </cell>
        </row>
        <row r="12">
          <cell r="A12" t="str">
            <v>Higher Secondary ( 11 - 12)</v>
          </cell>
          <cell r="D12">
            <v>674</v>
          </cell>
          <cell r="E12">
            <v>7</v>
          </cell>
          <cell r="K12">
            <v>357</v>
          </cell>
          <cell r="L12">
            <v>296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"/>
  <sheetViews>
    <sheetView tabSelected="1" zoomScaleNormal="100" workbookViewId="0">
      <selection activeCell="P2" sqref="P2:Q2"/>
    </sheetView>
  </sheetViews>
  <sheetFormatPr defaultColWidth="9.140625" defaultRowHeight="12.75" x14ac:dyDescent="0.25"/>
  <cols>
    <col min="1" max="1" width="22.28515625" style="6" customWidth="1"/>
    <col min="2" max="2" width="17.140625" style="3" customWidth="1"/>
    <col min="3" max="3" width="11.5703125" style="3" customWidth="1"/>
    <col min="4" max="5" width="13.28515625" style="3" customWidth="1"/>
    <col min="6" max="6" width="2.140625" style="3" customWidth="1"/>
    <col min="7" max="7" width="11.7109375" style="3" customWidth="1"/>
    <col min="8" max="8" width="17.5703125" style="3" customWidth="1"/>
    <col min="9" max="9" width="1.7109375" style="3" customWidth="1"/>
    <col min="10" max="10" width="8.42578125" style="3" customWidth="1"/>
    <col min="11" max="11" width="9.42578125" style="3" customWidth="1"/>
    <col min="12" max="12" width="11" style="3" bestFit="1" customWidth="1"/>
    <col min="13" max="13" width="2" style="3" customWidth="1"/>
    <col min="14" max="14" width="9.5703125" style="3" customWidth="1"/>
    <col min="15" max="15" width="23.28515625" style="3" customWidth="1"/>
    <col min="16" max="16" width="1.140625" style="3" customWidth="1"/>
    <col min="17" max="21" width="9.85546875" style="3" customWidth="1"/>
    <col min="22" max="23" width="11.140625" style="3" customWidth="1"/>
    <col min="24" max="16384" width="9.140625" style="3"/>
  </cols>
  <sheetData>
    <row r="1" spans="1:23" ht="19.5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>
        <v>2017</v>
      </c>
      <c r="Q1" s="2"/>
      <c r="R1" s="2"/>
      <c r="S1" s="2"/>
      <c r="T1" s="2"/>
      <c r="U1" s="2"/>
      <c r="V1" s="2"/>
      <c r="W1" s="2"/>
    </row>
    <row r="2" spans="1:23" ht="15" x14ac:dyDescent="0.25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3" ht="15.75" x14ac:dyDescent="0.25">
      <c r="C4" s="5" t="s">
        <v>0</v>
      </c>
      <c r="D4" s="7" t="s">
        <v>1</v>
      </c>
      <c r="E4" s="7"/>
      <c r="F4" s="8"/>
      <c r="G4" s="9" t="s">
        <v>2</v>
      </c>
      <c r="H4" s="9"/>
      <c r="I4" s="8"/>
      <c r="K4" s="8"/>
      <c r="L4" s="10"/>
      <c r="M4" s="10"/>
      <c r="N4" s="11" t="s">
        <v>3</v>
      </c>
      <c r="O4" s="12"/>
      <c r="P4" s="13"/>
      <c r="Q4" s="13"/>
      <c r="R4" s="13"/>
      <c r="S4" s="13"/>
      <c r="T4" s="13"/>
      <c r="U4" s="13"/>
      <c r="V4" s="13"/>
      <c r="W4" s="13"/>
    </row>
    <row r="5" spans="1:23" ht="15.75" x14ac:dyDescent="0.25">
      <c r="C5" s="14"/>
      <c r="D5" s="15" t="s">
        <v>4</v>
      </c>
      <c r="E5" s="15" t="s">
        <v>4</v>
      </c>
      <c r="F5" s="8"/>
      <c r="G5" s="16" t="s">
        <v>5</v>
      </c>
      <c r="H5" s="16"/>
      <c r="I5" s="17"/>
      <c r="J5" s="18" t="s">
        <v>6</v>
      </c>
      <c r="K5" s="19"/>
      <c r="L5" s="10" t="s">
        <v>7</v>
      </c>
      <c r="M5" s="20"/>
      <c r="N5" s="21" t="s">
        <v>8</v>
      </c>
      <c r="O5" s="22"/>
      <c r="P5" s="13"/>
      <c r="Q5" s="13"/>
      <c r="R5" s="13"/>
      <c r="S5" s="13"/>
      <c r="T5" s="13"/>
      <c r="U5" s="13"/>
      <c r="V5" s="13"/>
      <c r="W5" s="13"/>
    </row>
    <row r="6" spans="1:23" ht="15.75" x14ac:dyDescent="0.25">
      <c r="A6" s="23" t="s">
        <v>9</v>
      </c>
      <c r="B6" s="11" t="s">
        <v>10</v>
      </c>
      <c r="C6" s="11" t="s">
        <v>11</v>
      </c>
      <c r="D6" s="11" t="s">
        <v>12</v>
      </c>
      <c r="E6" s="11" t="s">
        <v>13</v>
      </c>
      <c r="F6" s="24"/>
      <c r="G6" s="25" t="s">
        <v>11</v>
      </c>
      <c r="H6" s="11" t="s">
        <v>14</v>
      </c>
      <c r="I6" s="8"/>
      <c r="J6" s="25" t="s">
        <v>11</v>
      </c>
      <c r="K6" s="26" t="s">
        <v>15</v>
      </c>
      <c r="L6" s="15" t="s">
        <v>3</v>
      </c>
      <c r="M6" s="27"/>
      <c r="N6" s="28" t="s">
        <v>16</v>
      </c>
      <c r="O6" s="11" t="s">
        <v>17</v>
      </c>
      <c r="P6" s="13"/>
      <c r="Q6" s="13"/>
      <c r="R6" s="13"/>
      <c r="S6" s="13"/>
      <c r="T6" s="13"/>
      <c r="U6" s="13"/>
      <c r="V6" s="13"/>
      <c r="W6" s="13"/>
    </row>
    <row r="7" spans="1:23" ht="15" x14ac:dyDescent="0.25">
      <c r="A7" s="29"/>
      <c r="B7" s="30" t="s">
        <v>18</v>
      </c>
      <c r="C7" s="30" t="s">
        <v>19</v>
      </c>
      <c r="D7" s="30" t="s">
        <v>20</v>
      </c>
      <c r="E7" s="30" t="s">
        <v>21</v>
      </c>
      <c r="F7" s="5"/>
      <c r="G7" s="31" t="s">
        <v>19</v>
      </c>
      <c r="H7" s="31" t="s">
        <v>20</v>
      </c>
      <c r="I7" s="31"/>
      <c r="J7" s="32" t="s">
        <v>19</v>
      </c>
      <c r="K7" s="30" t="s">
        <v>22</v>
      </c>
      <c r="L7" s="30" t="s">
        <v>23</v>
      </c>
      <c r="M7" s="30"/>
      <c r="N7" s="30" t="s">
        <v>24</v>
      </c>
      <c r="O7" s="33"/>
      <c r="P7" s="13"/>
      <c r="Q7" s="13"/>
      <c r="R7" s="13"/>
      <c r="S7" s="13"/>
      <c r="T7" s="13"/>
      <c r="U7" s="13"/>
      <c r="V7" s="13"/>
      <c r="W7" s="13"/>
    </row>
    <row r="8" spans="1:23" s="41" customFormat="1" ht="15" x14ac:dyDescent="0.25">
      <c r="A8" s="34" t="s">
        <v>25</v>
      </c>
      <c r="B8" s="35">
        <f>SUM(B13+B18)</f>
        <v>87913</v>
      </c>
      <c r="C8" s="36">
        <f>SUM(D8+E8)</f>
        <v>9586</v>
      </c>
      <c r="D8" s="35">
        <f>SUM(D9:D12)</f>
        <v>9011</v>
      </c>
      <c r="E8" s="35">
        <f>SUM(E9:E12)</f>
        <v>575</v>
      </c>
      <c r="F8" s="37"/>
      <c r="G8" s="35">
        <f>B8/C8</f>
        <v>9.1709785103275614</v>
      </c>
      <c r="H8" s="35">
        <f t="shared" ref="H8:H22" si="0">B8/D8</f>
        <v>9.7561868826989233</v>
      </c>
      <c r="I8" s="35"/>
      <c r="J8" s="36">
        <f>SUM(K8:L8)</f>
        <v>9586</v>
      </c>
      <c r="K8" s="35">
        <f>SUM(K9:K12)</f>
        <v>7284</v>
      </c>
      <c r="L8" s="35">
        <f>SUM(L9:L12)</f>
        <v>2302</v>
      </c>
      <c r="M8" s="38"/>
      <c r="N8" s="35">
        <f>L8/J8*100</f>
        <v>24.014187356561653</v>
      </c>
      <c r="O8" s="39" t="s">
        <v>26</v>
      </c>
      <c r="P8" s="40"/>
      <c r="Q8" s="40"/>
      <c r="R8" s="40"/>
      <c r="S8" s="40"/>
      <c r="T8" s="40"/>
      <c r="U8" s="40"/>
      <c r="V8" s="40"/>
      <c r="W8" s="40"/>
    </row>
    <row r="9" spans="1:23" ht="15" x14ac:dyDescent="0.25">
      <c r="A9" s="42" t="s">
        <v>27</v>
      </c>
      <c r="B9" s="43">
        <f>B14+B19</f>
        <v>20411</v>
      </c>
      <c r="C9" s="44">
        <f>SUM(D9+E9)</f>
        <v>1339</v>
      </c>
      <c r="D9" s="43">
        <f t="shared" ref="D9:E12" si="1">SUM(D14+D19)</f>
        <v>1188</v>
      </c>
      <c r="E9" s="43">
        <f t="shared" si="1"/>
        <v>151</v>
      </c>
      <c r="F9" s="43"/>
      <c r="G9" s="43">
        <f>B9/C9</f>
        <v>15.243465272591486</v>
      </c>
      <c r="H9" s="43">
        <f t="shared" si="0"/>
        <v>17.180976430976433</v>
      </c>
      <c r="I9" s="43"/>
      <c r="J9" s="44">
        <f t="shared" ref="J9:J18" si="2">SUM(K9:L9)</f>
        <v>1337</v>
      </c>
      <c r="K9" s="43">
        <f t="shared" ref="K9:L12" si="3">SUM(K14+K19)</f>
        <v>1309</v>
      </c>
      <c r="L9" s="43">
        <f t="shared" si="3"/>
        <v>28</v>
      </c>
      <c r="M9" s="45"/>
      <c r="N9" s="43">
        <f>L9/J9*100</f>
        <v>2.0942408376963351</v>
      </c>
      <c r="O9" s="46" t="s">
        <v>28</v>
      </c>
      <c r="P9" s="47"/>
      <c r="Q9" s="48"/>
      <c r="R9" s="48"/>
      <c r="S9" s="48"/>
      <c r="T9" s="47"/>
      <c r="U9" s="47"/>
      <c r="V9" s="47"/>
      <c r="W9" s="47"/>
    </row>
    <row r="10" spans="1:23" ht="15" x14ac:dyDescent="0.2">
      <c r="A10" s="49" t="s">
        <v>29</v>
      </c>
      <c r="B10" s="43">
        <f t="shared" ref="B10:B12" si="4">B15+B20</f>
        <v>47236</v>
      </c>
      <c r="C10" s="44">
        <f>SUM(D10+E10)</f>
        <v>4582</v>
      </c>
      <c r="D10" s="43">
        <f t="shared" si="1"/>
        <v>4219</v>
      </c>
      <c r="E10" s="43">
        <f t="shared" si="1"/>
        <v>363</v>
      </c>
      <c r="F10" s="43"/>
      <c r="G10" s="43">
        <f>B10/C10</f>
        <v>10.309035355739852</v>
      </c>
      <c r="H10" s="43">
        <f t="shared" si="0"/>
        <v>11.196018013747333</v>
      </c>
      <c r="I10" s="43"/>
      <c r="J10" s="44">
        <f t="shared" si="2"/>
        <v>4543</v>
      </c>
      <c r="K10" s="43">
        <f t="shared" si="3"/>
        <v>3863</v>
      </c>
      <c r="L10" s="43">
        <f t="shared" si="3"/>
        <v>680</v>
      </c>
      <c r="M10" s="45"/>
      <c r="N10" s="43">
        <f t="shared" ref="N10:N22" si="5">L10/J10*100</f>
        <v>14.968082764692934</v>
      </c>
      <c r="O10" s="50" t="s">
        <v>30</v>
      </c>
      <c r="P10" s="47"/>
      <c r="Q10" s="48"/>
      <c r="R10" s="48"/>
      <c r="S10" s="48"/>
      <c r="T10" s="47"/>
      <c r="U10" s="47"/>
      <c r="V10" s="47"/>
      <c r="W10" s="47"/>
    </row>
    <row r="11" spans="1:23" ht="15" x14ac:dyDescent="0.2">
      <c r="A11" s="49" t="s">
        <v>31</v>
      </c>
      <c r="B11" s="43">
        <f t="shared" si="4"/>
        <v>16289</v>
      </c>
      <c r="C11" s="44">
        <f t="shared" ref="C11:C12" si="6">SUM(D11+E11)</f>
        <v>2984</v>
      </c>
      <c r="D11" s="43">
        <f t="shared" si="1"/>
        <v>2930</v>
      </c>
      <c r="E11" s="43">
        <f t="shared" si="1"/>
        <v>54</v>
      </c>
      <c r="F11" s="43"/>
      <c r="G11" s="43">
        <f>B11/C11</f>
        <v>5.4587801608579092</v>
      </c>
      <c r="H11" s="43">
        <f t="shared" si="0"/>
        <v>5.5593856655290104</v>
      </c>
      <c r="I11" s="43"/>
      <c r="J11" s="44">
        <f t="shared" si="2"/>
        <v>3053</v>
      </c>
      <c r="K11" s="43">
        <f t="shared" si="3"/>
        <v>1755</v>
      </c>
      <c r="L11" s="43">
        <f t="shared" si="3"/>
        <v>1298</v>
      </c>
      <c r="M11" s="45"/>
      <c r="N11" s="43">
        <f t="shared" si="5"/>
        <v>42.515558467081561</v>
      </c>
      <c r="O11" s="50" t="s">
        <v>32</v>
      </c>
      <c r="P11" s="47"/>
      <c r="Q11" s="48"/>
      <c r="R11" s="48"/>
      <c r="S11" s="48"/>
      <c r="T11" s="47"/>
      <c r="U11" s="47"/>
      <c r="V11" s="47"/>
      <c r="W11" s="47"/>
    </row>
    <row r="12" spans="1:23" ht="15" x14ac:dyDescent="0.2">
      <c r="A12" s="49" t="s">
        <v>33</v>
      </c>
      <c r="B12" s="43">
        <f t="shared" si="4"/>
        <v>3977</v>
      </c>
      <c r="C12" s="44">
        <f t="shared" si="6"/>
        <v>681</v>
      </c>
      <c r="D12" s="43">
        <f t="shared" si="1"/>
        <v>674</v>
      </c>
      <c r="E12" s="43">
        <f t="shared" si="1"/>
        <v>7</v>
      </c>
      <c r="F12" s="43"/>
      <c r="G12" s="43">
        <f t="shared" ref="G12:G22" si="7">B12/C12</f>
        <v>5.8399412628487521</v>
      </c>
      <c r="H12" s="43">
        <f t="shared" si="0"/>
        <v>5.9005934718100894</v>
      </c>
      <c r="I12" s="43"/>
      <c r="J12" s="44">
        <f t="shared" si="2"/>
        <v>653</v>
      </c>
      <c r="K12" s="43">
        <f t="shared" si="3"/>
        <v>357</v>
      </c>
      <c r="L12" s="43">
        <f t="shared" si="3"/>
        <v>296</v>
      </c>
      <c r="M12" s="45"/>
      <c r="N12" s="43">
        <f t="shared" si="5"/>
        <v>45.329249617151604</v>
      </c>
      <c r="O12" s="50" t="s">
        <v>34</v>
      </c>
      <c r="P12" s="47"/>
      <c r="Q12" s="48"/>
      <c r="R12" s="48"/>
      <c r="S12" s="48"/>
      <c r="T12" s="47"/>
      <c r="U12" s="47"/>
      <c r="V12" s="47"/>
      <c r="W12" s="47"/>
    </row>
    <row r="13" spans="1:23" s="41" customFormat="1" ht="15" x14ac:dyDescent="0.25">
      <c r="A13" s="34" t="s">
        <v>35</v>
      </c>
      <c r="B13" s="35">
        <f>SUM(B14:B17)</f>
        <v>32058</v>
      </c>
      <c r="C13" s="36">
        <f>SUM(D13+E13)</f>
        <v>2692</v>
      </c>
      <c r="D13" s="37">
        <f>SUM(D14:D17)</f>
        <v>2651</v>
      </c>
      <c r="E13" s="37">
        <f>SUM(E14:E17)</f>
        <v>41</v>
      </c>
      <c r="F13" s="35"/>
      <c r="G13" s="35">
        <f t="shared" si="7"/>
        <v>11.908618127786033</v>
      </c>
      <c r="H13" s="35">
        <f t="shared" si="0"/>
        <v>12.092795171633346</v>
      </c>
      <c r="I13" s="35"/>
      <c r="J13" s="36">
        <f t="shared" si="2"/>
        <v>2692</v>
      </c>
      <c r="K13" s="36">
        <f>SUM(K14:K17)</f>
        <v>2127</v>
      </c>
      <c r="L13" s="36">
        <f>SUM(L14:L17)</f>
        <v>565</v>
      </c>
      <c r="M13" s="38"/>
      <c r="N13" s="35">
        <f t="shared" si="5"/>
        <v>20.988112927191679</v>
      </c>
      <c r="O13" s="11" t="s">
        <v>36</v>
      </c>
      <c r="P13" s="47"/>
      <c r="Q13" s="48"/>
      <c r="R13" s="48"/>
      <c r="S13" s="48"/>
      <c r="T13" s="13"/>
      <c r="U13" s="13"/>
      <c r="V13" s="13"/>
      <c r="W13" s="13"/>
    </row>
    <row r="14" spans="1:23" ht="15" x14ac:dyDescent="0.2">
      <c r="A14" s="42" t="s">
        <v>27</v>
      </c>
      <c r="B14" s="43">
        <v>7896</v>
      </c>
      <c r="C14" s="44">
        <f>SUM(D14:E14)</f>
        <v>595</v>
      </c>
      <c r="D14" s="51">
        <v>595</v>
      </c>
      <c r="E14" s="52">
        <v>0</v>
      </c>
      <c r="F14" s="43"/>
      <c r="G14" s="43">
        <f t="shared" si="7"/>
        <v>13.270588235294118</v>
      </c>
      <c r="H14" s="43">
        <f t="shared" si="0"/>
        <v>13.270588235294118</v>
      </c>
      <c r="I14" s="43"/>
      <c r="J14" s="44">
        <f>SUM(K14:L14)</f>
        <v>593</v>
      </c>
      <c r="K14" s="44">
        <v>568</v>
      </c>
      <c r="L14" s="44">
        <v>25</v>
      </c>
      <c r="M14" s="45"/>
      <c r="N14" s="43">
        <f>L14/J14*100</f>
        <v>4.2158516020236094</v>
      </c>
      <c r="O14" s="46" t="s">
        <v>28</v>
      </c>
      <c r="P14" s="47"/>
      <c r="Q14" s="48"/>
      <c r="R14" s="48"/>
      <c r="S14" s="48"/>
      <c r="T14" s="13"/>
      <c r="U14" s="13"/>
      <c r="V14" s="13"/>
      <c r="W14" s="13"/>
    </row>
    <row r="15" spans="1:23" ht="15" x14ac:dyDescent="0.35">
      <c r="A15" s="49" t="s">
        <v>29</v>
      </c>
      <c r="B15" s="43">
        <v>16218</v>
      </c>
      <c r="C15" s="44">
        <f t="shared" ref="C15:C17" si="8">SUM(D15:E15)</f>
        <v>1224</v>
      </c>
      <c r="D15" s="51">
        <v>1185</v>
      </c>
      <c r="E15" s="52">
        <v>39</v>
      </c>
      <c r="F15" s="43"/>
      <c r="G15" s="43">
        <f t="shared" si="7"/>
        <v>13.25</v>
      </c>
      <c r="H15" s="43">
        <f t="shared" si="0"/>
        <v>13.686075949367089</v>
      </c>
      <c r="I15" s="43"/>
      <c r="J15" s="44">
        <f t="shared" ref="J15:J17" si="9">SUM(K15:L15)</f>
        <v>1274</v>
      </c>
      <c r="K15" s="44">
        <v>1009</v>
      </c>
      <c r="L15" s="44">
        <v>265</v>
      </c>
      <c r="M15" s="45"/>
      <c r="N15" s="43">
        <f t="shared" si="5"/>
        <v>20.800627943485086</v>
      </c>
      <c r="O15" s="53" t="s">
        <v>30</v>
      </c>
      <c r="P15" s="47"/>
      <c r="Q15" s="48"/>
      <c r="R15" s="48"/>
      <c r="S15" s="48"/>
      <c r="T15" s="13"/>
      <c r="U15" s="13"/>
      <c r="V15" s="13"/>
      <c r="W15" s="13"/>
    </row>
    <row r="16" spans="1:23" ht="15" x14ac:dyDescent="0.35">
      <c r="A16" s="49" t="s">
        <v>31</v>
      </c>
      <c r="B16" s="43">
        <v>5499</v>
      </c>
      <c r="C16" s="44">
        <f t="shared" si="8"/>
        <v>676</v>
      </c>
      <c r="D16" s="51">
        <v>675</v>
      </c>
      <c r="E16" s="52">
        <v>1</v>
      </c>
      <c r="F16" s="43"/>
      <c r="G16" s="43">
        <f t="shared" si="7"/>
        <v>8.134615384615385</v>
      </c>
      <c r="H16" s="43">
        <f t="shared" si="0"/>
        <v>8.1466666666666665</v>
      </c>
      <c r="I16" s="43"/>
      <c r="J16" s="44">
        <f t="shared" si="9"/>
        <v>636</v>
      </c>
      <c r="K16" s="44">
        <v>436</v>
      </c>
      <c r="L16" s="44">
        <v>200</v>
      </c>
      <c r="M16" s="45"/>
      <c r="N16" s="43">
        <f t="shared" si="5"/>
        <v>31.446540880503143</v>
      </c>
      <c r="O16" s="53" t="s">
        <v>32</v>
      </c>
      <c r="P16" s="47"/>
      <c r="Q16" s="48"/>
      <c r="R16" s="48"/>
      <c r="S16" s="48"/>
      <c r="T16" s="13"/>
      <c r="U16" s="13"/>
      <c r="V16" s="13"/>
      <c r="W16" s="13"/>
    </row>
    <row r="17" spans="1:31" s="55" customFormat="1" ht="15.2" customHeight="1" x14ac:dyDescent="0.35">
      <c r="A17" s="49" t="s">
        <v>33</v>
      </c>
      <c r="B17" s="43">
        <v>2445</v>
      </c>
      <c r="C17" s="44">
        <f t="shared" si="8"/>
        <v>197</v>
      </c>
      <c r="D17" s="43">
        <v>196</v>
      </c>
      <c r="E17" s="43">
        <v>1</v>
      </c>
      <c r="F17" s="51"/>
      <c r="G17" s="43">
        <f t="shared" si="7"/>
        <v>12.411167512690355</v>
      </c>
      <c r="H17" s="43">
        <f t="shared" si="0"/>
        <v>12.474489795918368</v>
      </c>
      <c r="I17" s="43"/>
      <c r="J17" s="44">
        <f t="shared" si="9"/>
        <v>189</v>
      </c>
      <c r="K17" s="44">
        <v>114</v>
      </c>
      <c r="L17" s="44">
        <v>75</v>
      </c>
      <c r="M17" s="54"/>
      <c r="N17" s="43">
        <f t="shared" si="5"/>
        <v>39.682539682539684</v>
      </c>
      <c r="O17" s="53" t="s">
        <v>34</v>
      </c>
      <c r="P17" s="13"/>
      <c r="Q17" s="24"/>
      <c r="R17" s="24"/>
      <c r="S17" s="24"/>
      <c r="T17" s="13"/>
      <c r="U17" s="13"/>
      <c r="V17" s="13"/>
      <c r="W17" s="13"/>
    </row>
    <row r="18" spans="1:31" s="41" customFormat="1" ht="14.25" customHeight="1" x14ac:dyDescent="0.25">
      <c r="A18" s="34" t="s">
        <v>37</v>
      </c>
      <c r="B18" s="35">
        <f>SUM(B19:B22)</f>
        <v>55855</v>
      </c>
      <c r="C18" s="36">
        <f t="shared" ref="C18" si="10">SUM(D18+E18)</f>
        <v>6894</v>
      </c>
      <c r="D18" s="37">
        <f>SUM(D19:D22)</f>
        <v>6360</v>
      </c>
      <c r="E18" s="37">
        <f>SUM(E19:E22)</f>
        <v>534</v>
      </c>
      <c r="F18" s="35"/>
      <c r="G18" s="35">
        <f t="shared" si="7"/>
        <v>8.1019727299100666</v>
      </c>
      <c r="H18" s="35">
        <f t="shared" si="0"/>
        <v>8.7822327044025155</v>
      </c>
      <c r="I18" s="35"/>
      <c r="J18" s="36">
        <f t="shared" si="2"/>
        <v>6894</v>
      </c>
      <c r="K18" s="35">
        <f>SUM(K19:K22)</f>
        <v>5157</v>
      </c>
      <c r="L18" s="35">
        <f>SUM(L19:L22)</f>
        <v>1737</v>
      </c>
      <c r="M18" s="38"/>
      <c r="N18" s="35">
        <f>L18/J18*100</f>
        <v>25.195822454308093</v>
      </c>
      <c r="O18" s="22" t="s">
        <v>38</v>
      </c>
      <c r="P18" s="13"/>
      <c r="Q18" s="24"/>
      <c r="R18" s="24"/>
      <c r="S18" s="24"/>
      <c r="T18" s="13"/>
      <c r="U18" s="13"/>
      <c r="V18" s="13"/>
      <c r="W18" s="13"/>
    </row>
    <row r="19" spans="1:31" ht="13.7" customHeight="1" x14ac:dyDescent="0.2">
      <c r="A19" s="42" t="s">
        <v>27</v>
      </c>
      <c r="B19" s="43">
        <v>12515</v>
      </c>
      <c r="C19" s="56">
        <f>SUM(D19:E19)</f>
        <v>744</v>
      </c>
      <c r="D19" s="51">
        <v>593</v>
      </c>
      <c r="E19" s="51">
        <v>151</v>
      </c>
      <c r="F19" s="43"/>
      <c r="G19" s="43">
        <f t="shared" si="7"/>
        <v>16.821236559139784</v>
      </c>
      <c r="H19" s="43">
        <f t="shared" si="0"/>
        <v>21.104553119730184</v>
      </c>
      <c r="I19" s="43"/>
      <c r="J19" s="44">
        <f>SUM(K19:L19)</f>
        <v>744</v>
      </c>
      <c r="K19" s="57">
        <v>741</v>
      </c>
      <c r="L19" s="58">
        <v>3</v>
      </c>
      <c r="M19" s="45"/>
      <c r="N19" s="43">
        <f>L19/J19*100</f>
        <v>0.40322580645161288</v>
      </c>
      <c r="O19" s="46" t="s">
        <v>28</v>
      </c>
      <c r="P19" s="13"/>
      <c r="Q19" s="13"/>
      <c r="R19" s="13"/>
      <c r="S19" s="13"/>
      <c r="T19" s="13"/>
      <c r="U19" s="13"/>
      <c r="V19" s="13"/>
      <c r="W19" s="13"/>
    </row>
    <row r="20" spans="1:31" ht="15" x14ac:dyDescent="0.35">
      <c r="A20" s="59" t="s">
        <v>29</v>
      </c>
      <c r="B20" s="43">
        <v>31018</v>
      </c>
      <c r="C20" s="56">
        <f t="shared" ref="C20:C22" si="11">SUM(D20:E20)</f>
        <v>3358</v>
      </c>
      <c r="D20" s="51">
        <v>3034</v>
      </c>
      <c r="E20" s="51">
        <v>324</v>
      </c>
      <c r="F20" s="51"/>
      <c r="G20" s="43">
        <f t="shared" si="7"/>
        <v>9.2370458606313282</v>
      </c>
      <c r="H20" s="43">
        <f t="shared" si="0"/>
        <v>10.223467369808834</v>
      </c>
      <c r="I20" s="51"/>
      <c r="J20" s="44">
        <f t="shared" ref="J20:J22" si="12">SUM(K20:L20)</f>
        <v>3269</v>
      </c>
      <c r="K20" s="57">
        <v>2854</v>
      </c>
      <c r="L20" s="60">
        <v>415</v>
      </c>
      <c r="M20" s="54"/>
      <c r="N20" s="43">
        <f t="shared" si="5"/>
        <v>12.695013765677576</v>
      </c>
      <c r="O20" s="53" t="s">
        <v>30</v>
      </c>
      <c r="P20" s="13"/>
      <c r="Q20" s="13"/>
      <c r="R20" s="13"/>
      <c r="S20" s="13"/>
      <c r="T20" s="13"/>
      <c r="U20" s="13"/>
      <c r="V20" s="13"/>
      <c r="W20" s="13"/>
    </row>
    <row r="21" spans="1:31" ht="16.5" x14ac:dyDescent="0.35">
      <c r="A21" s="59" t="s">
        <v>31</v>
      </c>
      <c r="B21" s="43">
        <v>10790</v>
      </c>
      <c r="C21" s="56">
        <f t="shared" si="11"/>
        <v>2308</v>
      </c>
      <c r="D21" s="51">
        <v>2255</v>
      </c>
      <c r="E21" s="51">
        <v>53</v>
      </c>
      <c r="F21" s="51"/>
      <c r="G21" s="43">
        <f t="shared" si="7"/>
        <v>4.6750433275563257</v>
      </c>
      <c r="H21" s="43">
        <f t="shared" si="0"/>
        <v>4.7849223946784925</v>
      </c>
      <c r="I21" s="51"/>
      <c r="J21" s="44">
        <f t="shared" si="12"/>
        <v>2417</v>
      </c>
      <c r="K21" s="57">
        <v>1319</v>
      </c>
      <c r="L21" s="60">
        <v>1098</v>
      </c>
      <c r="M21" s="54"/>
      <c r="N21" s="43">
        <f t="shared" si="5"/>
        <v>45.428216797683078</v>
      </c>
      <c r="O21" s="53" t="s">
        <v>32</v>
      </c>
      <c r="P21" s="13"/>
      <c r="Q21" s="13"/>
      <c r="R21" s="13"/>
      <c r="S21" s="13"/>
      <c r="T21" s="13"/>
      <c r="U21" s="13"/>
      <c r="V21" s="13"/>
      <c r="W21" s="13"/>
      <c r="X21" s="61"/>
      <c r="Y21" s="62"/>
      <c r="Z21" s="62"/>
      <c r="AA21" s="61"/>
      <c r="AB21" s="61"/>
      <c r="AC21" s="17"/>
      <c r="AD21" s="17"/>
      <c r="AE21" s="61"/>
    </row>
    <row r="22" spans="1:31" s="55" customFormat="1" ht="16.5" x14ac:dyDescent="0.35">
      <c r="A22" s="63" t="s">
        <v>33</v>
      </c>
      <c r="B22" s="64">
        <v>1532</v>
      </c>
      <c r="C22" s="65">
        <f t="shared" si="11"/>
        <v>484</v>
      </c>
      <c r="D22" s="64">
        <v>478</v>
      </c>
      <c r="E22" s="64">
        <v>6</v>
      </c>
      <c r="F22" s="64"/>
      <c r="G22" s="64">
        <f t="shared" si="7"/>
        <v>3.165289256198347</v>
      </c>
      <c r="H22" s="64">
        <f t="shared" si="0"/>
        <v>3.2050209205020921</v>
      </c>
      <c r="I22" s="64"/>
      <c r="J22" s="65">
        <f t="shared" si="12"/>
        <v>464</v>
      </c>
      <c r="K22" s="66">
        <v>243</v>
      </c>
      <c r="L22" s="67">
        <v>221</v>
      </c>
      <c r="M22" s="68"/>
      <c r="N22" s="64">
        <f t="shared" si="5"/>
        <v>47.629310344827587</v>
      </c>
      <c r="O22" s="69" t="s">
        <v>39</v>
      </c>
      <c r="P22" s="13"/>
      <c r="Q22" s="13"/>
      <c r="R22" s="13"/>
      <c r="S22" s="13"/>
      <c r="T22" s="13"/>
      <c r="U22" s="13"/>
      <c r="V22" s="13"/>
      <c r="W22" s="13"/>
      <c r="X22" s="70"/>
      <c r="Y22" s="71"/>
      <c r="Z22" s="71"/>
      <c r="AA22" s="72"/>
      <c r="AB22" s="70"/>
      <c r="AC22" s="71"/>
      <c r="AD22" s="71"/>
      <c r="AE22" s="72"/>
    </row>
    <row r="23" spans="1:31" ht="15" x14ac:dyDescent="0.25">
      <c r="A23" s="73" t="s">
        <v>40</v>
      </c>
      <c r="D23" s="74"/>
      <c r="E23" s="75"/>
      <c r="G23" s="76"/>
      <c r="O23" s="77" t="s">
        <v>41</v>
      </c>
      <c r="P23" s="13"/>
      <c r="Q23" s="13"/>
      <c r="R23" s="13"/>
      <c r="S23" s="13"/>
      <c r="T23" s="13"/>
      <c r="U23" s="13"/>
      <c r="V23" s="13"/>
      <c r="W23" s="13"/>
      <c r="X23" s="78"/>
      <c r="Y23" s="71"/>
      <c r="Z23" s="43"/>
      <c r="AA23" s="43"/>
      <c r="AB23" s="78"/>
      <c r="AC23" s="71"/>
      <c r="AD23" s="71"/>
      <c r="AE23" s="61"/>
    </row>
    <row r="24" spans="1:31" ht="15" x14ac:dyDescent="0.25">
      <c r="A24" s="79" t="s">
        <v>42</v>
      </c>
      <c r="E24" s="75"/>
      <c r="G24" s="76"/>
      <c r="Z24" s="43"/>
      <c r="AA24" s="43"/>
      <c r="AE24" s="61"/>
    </row>
    <row r="25" spans="1:31" ht="15" x14ac:dyDescent="0.25">
      <c r="A25" s="79" t="s">
        <v>43</v>
      </c>
      <c r="E25" s="75"/>
      <c r="G25" s="76"/>
      <c r="Z25" s="43"/>
      <c r="AA25" s="43"/>
      <c r="AE25" s="61"/>
    </row>
    <row r="26" spans="1:31" ht="15" x14ac:dyDescent="0.25">
      <c r="A26" s="79" t="s">
        <v>44</v>
      </c>
      <c r="F26" s="74"/>
      <c r="G26" s="74"/>
      <c r="H26" s="74"/>
      <c r="I26" s="74"/>
      <c r="J26" s="74"/>
      <c r="K26" s="74"/>
      <c r="L26" s="74"/>
      <c r="M26" s="74"/>
      <c r="N26" s="74"/>
      <c r="X26" s="61"/>
      <c r="Y26" s="61"/>
      <c r="Z26" s="43"/>
      <c r="AA26" s="43"/>
      <c r="AB26" s="61"/>
      <c r="AC26" s="61"/>
      <c r="AD26" s="61"/>
      <c r="AE26" s="61"/>
    </row>
    <row r="27" spans="1:31" ht="15" x14ac:dyDescent="0.25">
      <c r="A27" s="79" t="s">
        <v>45</v>
      </c>
      <c r="X27" s="61"/>
      <c r="Y27" s="61"/>
      <c r="Z27" s="43"/>
      <c r="AA27" s="43"/>
      <c r="AB27" s="61"/>
      <c r="AC27" s="61"/>
      <c r="AD27" s="61"/>
      <c r="AE27" s="61"/>
    </row>
    <row r="28" spans="1:31" ht="15" x14ac:dyDescent="0.25">
      <c r="A28" s="79"/>
      <c r="D28" s="80"/>
      <c r="E28" s="80"/>
      <c r="F28" s="80"/>
      <c r="G28" s="80"/>
      <c r="H28" s="80"/>
      <c r="X28" s="61"/>
      <c r="Y28" s="61"/>
      <c r="Z28" s="61"/>
      <c r="AA28" s="61"/>
      <c r="AB28" s="61"/>
      <c r="AC28" s="61"/>
      <c r="AD28" s="61"/>
      <c r="AE28" s="61"/>
    </row>
    <row r="29" spans="1:31" ht="15" hidden="1" x14ac:dyDescent="0.25">
      <c r="A29" s="79"/>
      <c r="D29" s="80"/>
      <c r="E29" s="80"/>
      <c r="F29" s="80"/>
      <c r="G29" s="80"/>
      <c r="H29" s="80"/>
      <c r="X29" s="61"/>
      <c r="Y29" s="61"/>
      <c r="Z29" s="61"/>
      <c r="AA29" s="61"/>
      <c r="AB29" s="61"/>
      <c r="AC29" s="61"/>
      <c r="AD29" s="61"/>
      <c r="AE29" s="61"/>
    </row>
    <row r="30" spans="1:31" ht="15" x14ac:dyDescent="0.25">
      <c r="X30" s="61"/>
      <c r="Y30" s="61"/>
      <c r="Z30" s="61"/>
      <c r="AA30" s="61"/>
      <c r="AB30" s="61"/>
      <c r="AC30" s="61"/>
      <c r="AD30" s="61"/>
      <c r="AE30" s="61"/>
    </row>
    <row r="31" spans="1:31" ht="15" x14ac:dyDescent="0.25">
      <c r="X31" s="61"/>
      <c r="Y31" s="61"/>
      <c r="Z31" s="61"/>
      <c r="AA31" s="61"/>
      <c r="AB31" s="61"/>
      <c r="AC31" s="61"/>
      <c r="AD31" s="61"/>
      <c r="AE31" s="61"/>
    </row>
    <row r="32" spans="1:31" ht="15" x14ac:dyDescent="0.25">
      <c r="X32" s="61"/>
      <c r="Y32" s="61"/>
      <c r="Z32" s="61"/>
      <c r="AA32" s="61"/>
      <c r="AB32" s="61"/>
      <c r="AC32" s="61"/>
      <c r="AD32" s="61"/>
      <c r="AE32" s="61"/>
    </row>
    <row r="33" spans="24:31" ht="15" x14ac:dyDescent="0.25">
      <c r="X33" s="61"/>
      <c r="Y33" s="61"/>
      <c r="Z33" s="61"/>
      <c r="AA33" s="61"/>
      <c r="AB33" s="61"/>
      <c r="AC33" s="61"/>
      <c r="AD33" s="61"/>
      <c r="AE33" s="61"/>
    </row>
    <row r="34" spans="24:31" ht="15" x14ac:dyDescent="0.25">
      <c r="X34" s="61"/>
      <c r="Y34" s="61"/>
      <c r="Z34" s="61"/>
      <c r="AA34" s="61"/>
      <c r="AB34" s="61"/>
      <c r="AC34" s="61"/>
      <c r="AD34" s="61"/>
      <c r="AE34" s="61"/>
    </row>
    <row r="35" spans="24:31" ht="15" x14ac:dyDescent="0.25">
      <c r="X35" s="61"/>
      <c r="Y35" s="61"/>
      <c r="Z35" s="61"/>
      <c r="AA35" s="61"/>
      <c r="AB35" s="61"/>
      <c r="AC35" s="61"/>
      <c r="AD35" s="61"/>
      <c r="AE35" s="61"/>
    </row>
    <row r="36" spans="24:31" ht="15" x14ac:dyDescent="0.25">
      <c r="X36" s="61"/>
      <c r="Y36" s="61"/>
      <c r="Z36" s="61"/>
      <c r="AA36" s="61"/>
      <c r="AB36" s="61"/>
      <c r="AC36" s="61"/>
      <c r="AD36" s="61"/>
      <c r="AE36" s="61"/>
    </row>
    <row r="37" spans="24:31" ht="15" x14ac:dyDescent="0.25">
      <c r="X37" s="61"/>
      <c r="Y37" s="61"/>
      <c r="Z37" s="61"/>
      <c r="AA37" s="61"/>
      <c r="AB37" s="61"/>
      <c r="AC37" s="61"/>
      <c r="AD37" s="61"/>
      <c r="AE37" s="61"/>
    </row>
    <row r="38" spans="24:31" ht="15" x14ac:dyDescent="0.25">
      <c r="X38" s="61"/>
      <c r="Y38" s="61"/>
      <c r="Z38" s="61"/>
      <c r="AA38" s="61"/>
      <c r="AB38" s="61"/>
      <c r="AC38" s="61"/>
      <c r="AD38" s="61"/>
      <c r="AE38" s="61"/>
    </row>
    <row r="39" spans="24:31" ht="15" x14ac:dyDescent="0.25">
      <c r="X39" s="61"/>
      <c r="Y39" s="61"/>
      <c r="Z39" s="61"/>
      <c r="AA39" s="61"/>
      <c r="AB39" s="61"/>
      <c r="AC39" s="61"/>
      <c r="AD39" s="61"/>
      <c r="AE39" s="61"/>
    </row>
    <row r="40" spans="24:31" ht="15" x14ac:dyDescent="0.25">
      <c r="X40" s="61"/>
      <c r="Y40" s="61"/>
      <c r="Z40" s="61"/>
      <c r="AA40" s="61"/>
      <c r="AB40" s="61"/>
      <c r="AC40" s="61"/>
      <c r="AD40" s="61"/>
      <c r="AE40" s="61"/>
    </row>
    <row r="41" spans="24:31" ht="15" x14ac:dyDescent="0.25">
      <c r="X41" s="61"/>
      <c r="Y41" s="61"/>
      <c r="Z41" s="61"/>
      <c r="AA41" s="61"/>
      <c r="AB41" s="61"/>
      <c r="AC41" s="61"/>
      <c r="AD41" s="61"/>
      <c r="AE41" s="61"/>
    </row>
    <row r="42" spans="24:31" ht="15" x14ac:dyDescent="0.25">
      <c r="X42" s="61"/>
      <c r="Y42" s="61"/>
      <c r="Z42" s="61"/>
      <c r="AA42" s="61"/>
      <c r="AB42" s="61"/>
      <c r="AC42" s="61"/>
      <c r="AD42" s="61"/>
      <c r="AE42" s="61"/>
    </row>
    <row r="43" spans="24:31" ht="15" x14ac:dyDescent="0.25">
      <c r="X43" s="61"/>
      <c r="Y43" s="61"/>
      <c r="Z43" s="61"/>
      <c r="AA43" s="61"/>
      <c r="AB43" s="61"/>
      <c r="AC43" s="61"/>
      <c r="AD43" s="61"/>
      <c r="AE43" s="61"/>
    </row>
    <row r="44" spans="24:31" ht="15" x14ac:dyDescent="0.25">
      <c r="X44" s="61"/>
      <c r="Y44" s="61"/>
      <c r="Z44" s="61"/>
      <c r="AA44" s="61"/>
      <c r="AB44" s="61"/>
      <c r="AC44" s="61"/>
      <c r="AD44" s="61"/>
      <c r="AE44" s="61"/>
    </row>
    <row r="45" spans="24:31" ht="15" x14ac:dyDescent="0.25">
      <c r="X45" s="61"/>
      <c r="Y45" s="61"/>
      <c r="Z45" s="61"/>
      <c r="AA45" s="61"/>
      <c r="AB45" s="61"/>
      <c r="AC45" s="61"/>
      <c r="AD45" s="61"/>
      <c r="AE45" s="61"/>
    </row>
    <row r="46" spans="24:31" ht="15" x14ac:dyDescent="0.25">
      <c r="X46" s="61"/>
      <c r="Y46" s="61"/>
      <c r="Z46" s="61"/>
      <c r="AA46" s="61"/>
      <c r="AB46" s="61"/>
      <c r="AC46" s="61"/>
      <c r="AD46" s="61"/>
      <c r="AE46" s="61"/>
    </row>
  </sheetData>
  <mergeCells count="7">
    <mergeCell ref="D29:H29"/>
    <mergeCell ref="A1:O1"/>
    <mergeCell ref="A2:O2"/>
    <mergeCell ref="D4:E4"/>
    <mergeCell ref="G4:H4"/>
    <mergeCell ref="G5:H5"/>
    <mergeCell ref="D28:H28"/>
  </mergeCells>
  <pageMargins left="0.7" right="0.7" top="0.75" bottom="0.75" header="0.3" footer="0.3"/>
  <pageSetup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2022-05-15T03:44:14Z</cp:lastPrinted>
  <dcterms:created xsi:type="dcterms:W3CDTF">2022-05-15T03:36:34Z</dcterms:created>
  <dcterms:modified xsi:type="dcterms:W3CDTF">2022-05-15T03:44:32Z</dcterms:modified>
</cp:coreProperties>
</file>