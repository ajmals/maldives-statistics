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1000"/>
  </bookViews>
  <sheets>
    <sheet name="7.4" sheetId="4" r:id="rId1"/>
  </sheets>
  <definedNames>
    <definedName name="_xlnm.Print_Area" localSheetId="0">'7.4'!$A$1:$O$35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4" l="1"/>
  <c r="G10" i="4"/>
  <c r="F30" i="4" l="1"/>
  <c r="J30" i="4" s="1"/>
  <c r="B30" i="4"/>
  <c r="N30" i="4" s="1"/>
  <c r="F29" i="4"/>
  <c r="J29" i="4" s="1"/>
  <c r="B29" i="4"/>
  <c r="N29" i="4" s="1"/>
  <c r="F28" i="4"/>
  <c r="J28" i="4" s="1"/>
  <c r="B28" i="4"/>
  <c r="N28" i="4" s="1"/>
  <c r="F27" i="4"/>
  <c r="J27" i="4" s="1"/>
  <c r="B27" i="4"/>
  <c r="N27" i="4" s="1"/>
  <c r="F26" i="4"/>
  <c r="J26" i="4" s="1"/>
  <c r="B26" i="4"/>
  <c r="N26" i="4" s="1"/>
  <c r="F25" i="4"/>
  <c r="J25" i="4" s="1"/>
  <c r="B25" i="4"/>
  <c r="N25" i="4" s="1"/>
  <c r="F24" i="4"/>
  <c r="J24" i="4" s="1"/>
  <c r="B24" i="4"/>
  <c r="N24" i="4" s="1"/>
  <c r="F23" i="4"/>
  <c r="J23" i="4" s="1"/>
  <c r="B23" i="4"/>
  <c r="N23" i="4" s="1"/>
  <c r="F22" i="4"/>
  <c r="J22" i="4" s="1"/>
  <c r="B22" i="4"/>
  <c r="N22" i="4" s="1"/>
  <c r="F21" i="4"/>
  <c r="J21" i="4" s="1"/>
  <c r="B21" i="4"/>
  <c r="N21" i="4" s="1"/>
  <c r="F20" i="4"/>
  <c r="J20" i="4" s="1"/>
  <c r="B20" i="4"/>
  <c r="N20" i="4" s="1"/>
  <c r="F19" i="4"/>
  <c r="J19" i="4" s="1"/>
  <c r="B19" i="4"/>
  <c r="N19" i="4" s="1"/>
  <c r="F18" i="4"/>
  <c r="J18" i="4" s="1"/>
  <c r="B18" i="4"/>
  <c r="N18" i="4" s="1"/>
  <c r="F17" i="4"/>
  <c r="J17" i="4" s="1"/>
  <c r="B17" i="4"/>
  <c r="N17" i="4" s="1"/>
  <c r="F16" i="4"/>
  <c r="J16" i="4" s="1"/>
  <c r="B16" i="4"/>
  <c r="N16" i="4" s="1"/>
  <c r="F15" i="4"/>
  <c r="J15" i="4" s="1"/>
  <c r="B15" i="4"/>
  <c r="N15" i="4" s="1"/>
  <c r="F14" i="4"/>
  <c r="J14" i="4" s="1"/>
  <c r="B14" i="4"/>
  <c r="N14" i="4" s="1"/>
  <c r="F13" i="4"/>
  <c r="J13" i="4" s="1"/>
  <c r="B13" i="4"/>
  <c r="N13" i="4" s="1"/>
  <c r="F12" i="4"/>
  <c r="J12" i="4" s="1"/>
  <c r="B12" i="4"/>
  <c r="N12" i="4" s="1"/>
  <c r="F11" i="4"/>
  <c r="J11" i="4" s="1"/>
  <c r="B11" i="4"/>
  <c r="N11" i="4" s="1"/>
  <c r="I8" i="4"/>
  <c r="G8" i="4"/>
  <c r="D10" i="4"/>
  <c r="C10" i="4"/>
  <c r="C8" i="4" s="1"/>
  <c r="F9" i="4"/>
  <c r="J9" i="4" s="1"/>
  <c r="B9" i="4"/>
  <c r="N9" i="4" s="1"/>
  <c r="F8" i="4" l="1"/>
  <c r="J8" i="4" s="1"/>
  <c r="L27" i="4"/>
  <c r="B10" i="4"/>
  <c r="N10" i="4" s="1"/>
  <c r="D8" i="4"/>
  <c r="B8" i="4" s="1"/>
  <c r="N8" i="4" s="1"/>
  <c r="L22" i="4"/>
  <c r="L25" i="4"/>
  <c r="F10" i="4"/>
  <c r="J10" i="4" s="1"/>
  <c r="L14" i="4"/>
  <c r="L30" i="4"/>
  <c r="L18" i="4"/>
  <c r="L12" i="4"/>
  <c r="L26" i="4"/>
  <c r="L17" i="4"/>
  <c r="L15" i="4"/>
  <c r="L28" i="4"/>
  <c r="L20" i="4"/>
  <c r="L23" i="4"/>
  <c r="L19" i="4"/>
  <c r="L11" i="4"/>
  <c r="L9" i="4"/>
  <c r="L16" i="4"/>
  <c r="L24" i="4"/>
  <c r="L13" i="4"/>
  <c r="L21" i="4"/>
  <c r="L29" i="4"/>
  <c r="L10" i="4" l="1"/>
  <c r="L8" i="4"/>
</calcChain>
</file>

<file path=xl/sharedStrings.xml><?xml version="1.0" encoding="utf-8"?>
<sst xmlns="http://schemas.openxmlformats.org/spreadsheetml/2006/main" count="78" uniqueCount="71">
  <si>
    <t xml:space="preserve">  Locality</t>
  </si>
  <si>
    <t>wlcmuj</t>
  </si>
  <si>
    <t>Total</t>
  </si>
  <si>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</si>
  <si>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</si>
  <si>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</si>
  <si>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</si>
  <si>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</si>
  <si>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</si>
  <si>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</si>
  <si>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</si>
  <si>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</si>
  <si>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</si>
  <si>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</si>
  <si>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</si>
  <si>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</si>
  <si>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</si>
  <si>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</si>
  <si>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</si>
  <si>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</si>
  <si>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</si>
  <si>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</si>
  <si>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</si>
  <si>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 xml:space="preserve"> 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</si>
  <si>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</si>
  <si>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</si>
  <si>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</si>
  <si>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</si>
  <si>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</si>
  <si>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</si>
  <si>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</si>
  <si>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</si>
  <si>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</si>
  <si>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</si>
  <si>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</si>
  <si>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</si>
  <si>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</si>
  <si>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</si>
  <si>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</si>
  <si>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</si>
  <si>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</si>
  <si>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</si>
  <si>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</si>
  <si>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</si>
  <si>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</si>
  <si>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</si>
  <si>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</si>
  <si>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Source: Ministry of Education</t>
  </si>
  <si>
    <t>cnwxEkuaiDea cfoa IrcTcsinim :ctWrwf ivcaed utWmUluAwm</t>
  </si>
  <si>
    <t xml:space="preserve">cnehirif </t>
  </si>
  <si>
    <t xml:space="preserve">cnehcnwa </t>
  </si>
  <si>
    <t xml:space="preserve"> Male</t>
  </si>
  <si>
    <t xml:space="preserve"> Female</t>
  </si>
  <si>
    <t>uscnijed</t>
  </si>
  <si>
    <t>cnwt</t>
  </si>
  <si>
    <t>cnidukWvwyik</t>
  </si>
  <si>
    <t xml:space="preserve"> cnusircawdum</t>
  </si>
  <si>
    <t xml:space="preserve">  cnidukWvwyik cnutwbcsin egcnusircawdum</t>
  </si>
  <si>
    <t>Student Enrolment</t>
  </si>
  <si>
    <t>Teachers</t>
  </si>
  <si>
    <t xml:space="preserve">Student Teacher Ratio </t>
  </si>
  <si>
    <t>iawfivedcnIrcmwt</t>
  </si>
  <si>
    <t>WvuniawfivedcnIrcmwt</t>
  </si>
  <si>
    <t>WvuniawfivedcnIrcmwt  cnia %</t>
  </si>
  <si>
    <t>Both  Sexes</t>
  </si>
  <si>
    <t>Trained</t>
  </si>
  <si>
    <t>Un-trained</t>
  </si>
  <si>
    <t xml:space="preserve"> % for untrained teachers </t>
  </si>
  <si>
    <t>Note: No untrained expatriate teachers</t>
  </si>
  <si>
    <t>2020 ,cnidukWvwyik iaWncnusircawdum ibit iawgunwtcnwt EvedumIluAwt egukwtuLotwa iaWaelWm : 7.4 ulwvWt</t>
  </si>
  <si>
    <t>Table 7.4 : TEACHERS AND STUDENTS OF EDUCATIONAL INSTITUTIONS, BY LOCALITY,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</si>
</sst>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b/>
      <sz val="9"/>
      <name val="Arial"/>
      <family val="2"/>
    </font>
    <font>
      <sz val="10"/>
      <name val="Calibri"/>
      <family val="2"/>
      <scheme val="minor"/>
    </font>
    <font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rgb="FFFF0000"/>
      <name val="A_Randhoo"/>
    </font>
    <font>
      <b/>
      <sz val="11"/>
      <name val="A_Waheed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9"/>
      <name val="A_Waheed"/>
    </font>
    <font>
      <i/>
      <sz val="9"/>
      <name val="A_Waheed"/>
    </font>
    <font>
      <sz val="10"/>
      <name val="MS Sans Serif"/>
      <family val="2"/>
    </font>
    <font>
      <b/>
      <sz val="10"/>
      <name val="A_Faseyha"/>
    </font>
    <font>
      <sz val="9"/>
      <name val="A_Faseyha"/>
    </font>
    <font>
      <b/>
      <sz val="12"/>
      <name val="A_Faseyha"/>
    </font>
    <font>
      <b/>
      <sz val="11"/>
      <name val="A_Faseyha"/>
    </font>
    <font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4">
    <xf numFmtId="0" fontId="0" fillId="0" borderId="0"/>
    <xf numFmtId="0" fontId="2" fillId="0" borderId="0"/>
    <xf numFmtId="0" fontId="6" fillId="0" borderId="0"/>
    <xf numFmtId="167" fontId="6" fillId="0" borderId="0"/>
    <xf numFmtId="0" fontId="2" fillId="0" borderId="0"/>
    <xf numFmtId="0" fontId="2" fillId="0" borderId="0"/>
    <xf numFmtId="164" fontId="6" fillId="0" borderId="0"/>
    <xf numFmtId="165" fontId="6" fillId="0" borderId="0"/>
    <xf numFmtId="164" fontId="6" fillId="0" borderId="0"/>
    <xf numFmtId="165" fontId="6" fillId="0" borderId="0"/>
    <xf numFmtId="40" fontId="25" fillId="0" borderId="0" applyFont="0" applyFill="0" applyBorder="0" applyAlignment="0" applyProtection="0"/>
    <xf numFmtId="165" fontId="6" fillId="0" borderId="0"/>
    <xf numFmtId="164" fontId="6" fillId="0" borderId="0"/>
    <xf numFmtId="164" fontId="6" fillId="0" borderId="0"/>
  </cellStyleXfs>
  <cellXfs count="95">
    <xf numFmtId="0" fontId="0" fillId="0" borderId="0" xfId="0"/>
    <xf numFmtId="164" fontId="5" fillId="2" borderId="1" xfId="0" applyNumberFormat="1" applyFont="1" applyFill="1" applyBorder="1" applyAlignment="1" applyProtection="1">
      <alignment horizontal="right" vertical="center"/>
    </xf>
    <xf numFmtId="164" fontId="5" fillId="2" borderId="1" xfId="0" applyNumberFormat="1" applyFont="1" applyFill="1" applyBorder="1" applyAlignment="1" applyProtection="1">
      <alignment horizontal="right" vertical="center" wrapText="1"/>
    </xf>
    <xf numFmtId="3" fontId="5" fillId="2" borderId="0" xfId="0" applyNumberFormat="1" applyFont="1" applyFill="1" applyBorder="1" applyAlignment="1" applyProtection="1">
      <alignment horizontal="right" vertical="center"/>
    </xf>
    <xf numFmtId="3" fontId="5" fillId="2" borderId="1" xfId="0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 applyAlignment="1" applyProtection="1">
      <alignment horizontal="left" vertical="center"/>
    </xf>
    <xf numFmtId="164" fontId="17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/>
    <xf numFmtId="164" fontId="13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/>
    <xf numFmtId="164" fontId="4" fillId="2" borderId="0" xfId="0" applyNumberFormat="1" applyFont="1" applyFill="1" applyAlignment="1"/>
    <xf numFmtId="164" fontId="4" fillId="2" borderId="1" xfId="0" applyNumberFormat="1" applyFont="1" applyFill="1" applyBorder="1" applyAlignment="1"/>
    <xf numFmtId="164" fontId="4" fillId="2" borderId="0" xfId="0" applyNumberFormat="1" applyFont="1" applyFill="1" applyBorder="1" applyAlignment="1"/>
    <xf numFmtId="164" fontId="18" fillId="2" borderId="9" xfId="0" applyNumberFormat="1" applyFont="1" applyFill="1" applyBorder="1" applyAlignment="1" applyProtection="1">
      <alignment horizontal="center" vertical="center"/>
    </xf>
    <xf numFmtId="164" fontId="7" fillId="2" borderId="0" xfId="0" applyNumberFormat="1" applyFont="1" applyFill="1" applyAlignment="1"/>
    <xf numFmtId="164" fontId="4" fillId="2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 applyProtection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 applyProtection="1">
      <alignment horizontal="left" vertical="center" indent="1"/>
    </xf>
    <xf numFmtId="165" fontId="5" fillId="2" borderId="0" xfId="0" applyNumberFormat="1" applyFont="1" applyFill="1" applyBorder="1" applyAlignment="1">
      <alignment vertical="center"/>
    </xf>
    <xf numFmtId="3" fontId="14" fillId="2" borderId="5" xfId="0" applyNumberFormat="1" applyFont="1" applyFill="1" applyBorder="1" applyAlignment="1" applyProtection="1">
      <alignment horizontal="right" vertical="center"/>
    </xf>
    <xf numFmtId="165" fontId="5" fillId="2" borderId="3" xfId="0" applyNumberFormat="1" applyFont="1" applyFill="1" applyBorder="1" applyAlignment="1">
      <alignment horizontal="right" vertical="center" indent="2"/>
    </xf>
    <xf numFmtId="165" fontId="5" fillId="2" borderId="0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" fontId="19" fillId="2" borderId="0" xfId="0" applyNumberFormat="1" applyFont="1" applyFill="1" applyAlignment="1"/>
    <xf numFmtId="1" fontId="5" fillId="2" borderId="0" xfId="0" applyNumberFormat="1" applyFont="1" applyFill="1" applyBorder="1" applyAlignment="1">
      <alignment vertical="center"/>
    </xf>
    <xf numFmtId="1" fontId="20" fillId="2" borderId="0" xfId="0" applyNumberFormat="1" applyFont="1" applyFill="1" applyAlignment="1"/>
    <xf numFmtId="164" fontId="21" fillId="2" borderId="0" xfId="0" applyNumberFormat="1" applyFont="1" applyFill="1" applyAlignment="1" applyProtection="1">
      <alignment horizontal="left" vertical="center" indent="1"/>
    </xf>
    <xf numFmtId="165" fontId="8" fillId="2" borderId="0" xfId="0" applyNumberFormat="1" applyFont="1" applyFill="1" applyBorder="1" applyAlignment="1">
      <alignment vertical="center"/>
    </xf>
    <xf numFmtId="3" fontId="15" fillId="2" borderId="5" xfId="0" applyNumberFormat="1" applyFont="1" applyFill="1" applyBorder="1" applyAlignment="1" applyProtection="1">
      <alignment horizontal="right" vertical="center"/>
    </xf>
    <xf numFmtId="165" fontId="8" fillId="2" borderId="3" xfId="0" applyNumberFormat="1" applyFont="1" applyFill="1" applyBorder="1" applyAlignment="1">
      <alignment horizontal="right" vertical="center" indent="2"/>
    </xf>
    <xf numFmtId="165" fontId="8" fillId="2" borderId="0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Border="1" applyAlignment="1" applyProtection="1">
      <alignment horizontal="right" vertical="center"/>
    </xf>
    <xf numFmtId="1" fontId="7" fillId="2" borderId="0" xfId="0" applyNumberFormat="1" applyFont="1" applyFill="1" applyBorder="1" applyAlignment="1"/>
    <xf numFmtId="1" fontId="7" fillId="2" borderId="0" xfId="0" applyNumberFormat="1" applyFont="1" applyFill="1" applyAlignment="1"/>
    <xf numFmtId="164" fontId="9" fillId="2" borderId="0" xfId="0" applyNumberFormat="1" applyFont="1" applyFill="1" applyAlignment="1"/>
    <xf numFmtId="164" fontId="21" fillId="2" borderId="1" xfId="0" applyNumberFormat="1" applyFont="1" applyFill="1" applyBorder="1" applyAlignment="1" applyProtection="1">
      <alignment horizontal="left" vertical="center" indent="1"/>
    </xf>
    <xf numFmtId="165" fontId="8" fillId="2" borderId="1" xfId="0" applyNumberFormat="1" applyFont="1" applyFill="1" applyBorder="1" applyAlignment="1">
      <alignment vertical="center"/>
    </xf>
    <xf numFmtId="3" fontId="15" fillId="2" borderId="6" xfId="0" applyNumberFormat="1" applyFont="1" applyFill="1" applyBorder="1" applyAlignment="1" applyProtection="1">
      <alignment horizontal="right" vertical="center"/>
    </xf>
    <xf numFmtId="165" fontId="8" fillId="2" borderId="4" xfId="0" applyNumberFormat="1" applyFont="1" applyFill="1" applyBorder="1" applyAlignment="1">
      <alignment horizontal="right" vertical="center" indent="2"/>
    </xf>
    <xf numFmtId="165" fontId="8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 applyProtection="1">
      <alignment horizontal="right" vertical="center"/>
    </xf>
    <xf numFmtId="164" fontId="22" fillId="2" borderId="0" xfId="0" applyNumberFormat="1" applyFont="1" applyFill="1" applyBorder="1" applyAlignment="1" applyProtection="1">
      <alignment horizontal="left" vertical="center" indent="1"/>
    </xf>
    <xf numFmtId="3" fontId="3" fillId="2" borderId="0" xfId="0" applyNumberFormat="1" applyFont="1" applyFill="1" applyBorder="1" applyAlignment="1" applyProtection="1">
      <alignment horizontal="right" vertical="center"/>
    </xf>
    <xf numFmtId="3" fontId="21" fillId="2" borderId="0" xfId="0" applyNumberFormat="1" applyFont="1" applyFill="1" applyBorder="1" applyAlignment="1" applyProtection="1">
      <alignment horizontal="right" vertical="center"/>
    </xf>
    <xf numFmtId="3" fontId="21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 applyProtection="1">
      <alignment horizontal="right" vertical="center"/>
    </xf>
    <xf numFmtId="3" fontId="21" fillId="2" borderId="0" xfId="0" applyNumberFormat="1" applyFont="1" applyFill="1" applyBorder="1" applyAlignment="1">
      <alignment horizontal="right"/>
    </xf>
    <xf numFmtId="165" fontId="21" fillId="2" borderId="0" xfId="0" applyNumberFormat="1" applyFont="1" applyFill="1" applyBorder="1" applyAlignment="1">
      <alignment horizontal="right" vertical="center" indent="3"/>
    </xf>
    <xf numFmtId="165" fontId="21" fillId="2" borderId="0" xfId="0" applyNumberFormat="1" applyFont="1" applyFill="1" applyBorder="1" applyAlignment="1">
      <alignment horizontal="right" vertical="center"/>
    </xf>
    <xf numFmtId="165" fontId="21" fillId="2" borderId="0" xfId="0" applyNumberFormat="1" applyFont="1" applyFill="1" applyBorder="1" applyAlignment="1" applyProtection="1">
      <alignment horizontal="right" vertical="center"/>
    </xf>
    <xf numFmtId="3" fontId="10" fillId="2" borderId="0" xfId="0" applyNumberFormat="1" applyFont="1" applyFill="1" applyBorder="1" applyAlignment="1" applyProtection="1">
      <alignment horizontal="right" vertical="center"/>
    </xf>
    <xf numFmtId="164" fontId="16" fillId="2" borderId="0" xfId="0" applyNumberFormat="1" applyFont="1" applyFill="1" applyBorder="1" applyAlignment="1">
      <alignment vertical="center"/>
    </xf>
    <xf numFmtId="164" fontId="23" fillId="2" borderId="0" xfId="0" applyNumberFormat="1" applyFont="1" applyFill="1" applyAlignment="1">
      <alignment horizontal="right"/>
    </xf>
    <xf numFmtId="164" fontId="23" fillId="2" borderId="0" xfId="0" applyNumberFormat="1" applyFont="1" applyFill="1" applyAlignment="1"/>
    <xf numFmtId="164" fontId="24" fillId="2" borderId="0" xfId="0" applyNumberFormat="1" applyFont="1" applyFill="1" applyAlignment="1" applyProtection="1">
      <alignment horizontal="right" vertical="center"/>
    </xf>
    <xf numFmtId="164" fontId="9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right" vertical="center"/>
    </xf>
    <xf numFmtId="164" fontId="26" fillId="2" borderId="0" xfId="0" applyNumberFormat="1" applyFont="1" applyFill="1" applyBorder="1" applyAlignment="1">
      <alignment horizontal="right" vertical="center"/>
    </xf>
    <xf numFmtId="164" fontId="27" fillId="2" borderId="0" xfId="0" applyNumberFormat="1" applyFont="1" applyFill="1" applyBorder="1" applyAlignment="1">
      <alignment horizontal="right" vertical="center"/>
    </xf>
    <xf numFmtId="164" fontId="26" fillId="2" borderId="2" xfId="0" applyNumberFormat="1" applyFont="1" applyFill="1" applyBorder="1" applyAlignment="1">
      <alignment vertical="center"/>
    </xf>
    <xf numFmtId="164" fontId="26" fillId="2" borderId="0" xfId="0" applyNumberFormat="1" applyFont="1" applyFill="1" applyBorder="1" applyAlignment="1" applyProtection="1">
      <alignment horizontal="right" vertical="center" wrapText="1"/>
    </xf>
    <xf numFmtId="164" fontId="26" fillId="2" borderId="5" xfId="0" applyNumberFormat="1" applyFont="1" applyFill="1" applyBorder="1" applyAlignment="1">
      <alignment horizontal="right" vertical="center"/>
    </xf>
    <xf numFmtId="164" fontId="26" fillId="2" borderId="3" xfId="0" applyNumberFormat="1" applyFont="1" applyFill="1" applyBorder="1" applyAlignment="1">
      <alignment horizontal="right" wrapText="1"/>
    </xf>
    <xf numFmtId="164" fontId="26" fillId="2" borderId="0" xfId="0" applyNumberFormat="1" applyFont="1" applyFill="1" applyBorder="1" applyAlignment="1" applyProtection="1">
      <alignment horizontal="right" vertical="center"/>
    </xf>
    <xf numFmtId="164" fontId="29" fillId="2" borderId="0" xfId="0" applyNumberFormat="1" applyFont="1" applyFill="1" applyAlignment="1">
      <alignment horizontal="right" vertical="center" indent="1"/>
    </xf>
    <xf numFmtId="164" fontId="30" fillId="2" borderId="0" xfId="0" applyNumberFormat="1" applyFont="1" applyFill="1" applyAlignment="1">
      <alignment horizontal="right" vertical="center" indent="1"/>
    </xf>
    <xf numFmtId="164" fontId="30" fillId="2" borderId="1" xfId="0" applyNumberFormat="1" applyFont="1" applyFill="1" applyBorder="1" applyAlignment="1">
      <alignment horizontal="right" vertical="center" indent="1"/>
    </xf>
    <xf numFmtId="164" fontId="30" fillId="2" borderId="0" xfId="0" applyNumberFormat="1" applyFont="1" applyFill="1" applyBorder="1" applyAlignment="1">
      <alignment horizontal="right" vertical="center" indent="1"/>
    </xf>
    <xf numFmtId="3" fontId="11" fillId="2" borderId="0" xfId="0" applyNumberFormat="1" applyFont="1" applyFill="1" applyBorder="1" applyAlignment="1" applyProtection="1">
      <alignment horizontal="right" vertical="center"/>
    </xf>
    <xf numFmtId="3" fontId="11" fillId="2" borderId="1" xfId="0" applyNumberFormat="1" applyFont="1" applyFill="1" applyBorder="1" applyAlignment="1" applyProtection="1">
      <alignment horizontal="right" vertical="center"/>
    </xf>
    <xf numFmtId="164" fontId="28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top"/>
    </xf>
    <xf numFmtId="164" fontId="10" fillId="2" borderId="2" xfId="0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164" fontId="10" fillId="2" borderId="1" xfId="0" applyNumberFormat="1" applyFont="1" applyFill="1" applyBorder="1" applyAlignment="1" applyProtection="1">
      <alignment horizontal="left" vertical="center"/>
    </xf>
    <xf numFmtId="164" fontId="26" fillId="2" borderId="2" xfId="0" applyNumberFormat="1" applyFont="1" applyFill="1" applyBorder="1" applyAlignment="1">
      <alignment horizontal="center" vertical="center"/>
    </xf>
    <xf numFmtId="164" fontId="26" fillId="2" borderId="7" xfId="0" applyNumberFormat="1" applyFont="1" applyFill="1" applyBorder="1" applyAlignment="1">
      <alignment horizontal="center" vertical="center"/>
    </xf>
    <xf numFmtId="164" fontId="26" fillId="2" borderId="8" xfId="0" applyNumberFormat="1" applyFont="1" applyFill="1" applyBorder="1" applyAlignment="1">
      <alignment horizontal="center" vertical="center"/>
    </xf>
    <xf numFmtId="3" fontId="26" fillId="2" borderId="2" xfId="1" applyNumberFormat="1" applyFont="1" applyFill="1" applyBorder="1" applyAlignment="1">
      <alignment horizontal="right" vertical="center" indent="1"/>
    </xf>
    <xf numFmtId="3" fontId="26" fillId="2" borderId="0" xfId="1" applyNumberFormat="1" applyFont="1" applyFill="1" applyBorder="1" applyAlignment="1">
      <alignment horizontal="right" vertical="center" indent="1"/>
    </xf>
    <xf numFmtId="3" fontId="26" fillId="2" borderId="1" xfId="1" applyNumberFormat="1" applyFont="1" applyFill="1" applyBorder="1" applyAlignment="1">
      <alignment horizontal="right" vertical="center" indent="1"/>
    </xf>
    <xf numFmtId="164" fontId="3" fillId="2" borderId="9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center" vertical="center"/>
    </xf>
    <xf numFmtId="164" fontId="3" fillId="2" borderId="11" xfId="0" applyNumberFormat="1" applyFont="1" applyFill="1" applyBorder="1" applyAlignment="1" applyProtection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</cellXfs>
  <cellStyles count="14">
    <cellStyle name="Comma 2" xfId="10"/>
    <cellStyle name="Normal" xfId="0" builtinId="0"/>
    <cellStyle name="Normal 10" xfId="5"/>
    <cellStyle name="Normal 2 2 2" xfId="2"/>
    <cellStyle name="Normal 2 26" xfId="13"/>
    <cellStyle name="Normal 37" xfId="4"/>
    <cellStyle name="Normal 6" xfId="9"/>
    <cellStyle name="Normal 6 4" xfId="8"/>
    <cellStyle name="Normal 7" xfId="7"/>
    <cellStyle name="Normal 7 4" xfId="6"/>
    <cellStyle name="Normal 8" xfId="3"/>
    <cellStyle name="Normal 8 2" xfId="11"/>
    <cellStyle name="Normal 8 2 3" xfId="12"/>
    <cellStyle name="Normal_II-15(Population)" xfId="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B35"/>
  <sheetViews>
    <sheetView tabSelected="1" zoomScaleNormal="100" workbookViewId="0">
      <selection activeCell="O12" sqref="O12"/>
    </sheetView>
  </sheetViews>
  <sheetFormatPr defaultColWidth="11.140625" defaultRowHeight="12.75" x14ac:dyDescent="0.2"/>
  <cols>
    <col min="1" max="1" width="10.7109375" style="64" customWidth="1"/>
    <col min="2" max="4" width="12.28515625" style="64" customWidth="1"/>
    <col min="5" max="5" width="0.85546875" style="64" customWidth="1"/>
    <col min="6" max="6" width="8" style="64" customWidth="1"/>
    <col min="7" max="7" width="15" style="64" customWidth="1"/>
    <col min="8" max="8" width="0.7109375" style="64" customWidth="1"/>
    <col min="9" max="9" width="16.42578125" style="64" customWidth="1"/>
    <col min="10" max="10" width="18.42578125" style="66" customWidth="1"/>
    <col min="11" max="11" width="1.42578125" style="64" customWidth="1"/>
    <col min="12" max="12" width="15.7109375" style="66" customWidth="1"/>
    <col min="13" max="13" width="1.7109375" style="66" customWidth="1"/>
    <col min="14" max="14" width="13.5703125" style="66" customWidth="1"/>
    <col min="15" max="15" width="17.28515625" style="8" customWidth="1"/>
    <col min="16" max="16" width="12.7109375" style="8" customWidth="1"/>
    <col min="17" max="17" width="11.7109375" style="8" customWidth="1"/>
    <col min="18" max="16384" width="11.140625" style="8"/>
  </cols>
  <sheetData>
    <row r="1" spans="1:28" ht="19.5" x14ac:dyDescent="0.2">
      <c r="A1" s="80" t="s">
        <v>69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6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s="10" customFormat="1" ht="19.5" x14ac:dyDescent="0.2">
      <c r="A2" s="81" t="s">
        <v>70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s="11" customFormat="1" x14ac:dyDescent="0.2">
      <c r="L3" s="12"/>
      <c r="M3" s="13"/>
    </row>
    <row r="4" spans="1:28" s="11" customFormat="1" ht="15.75" x14ac:dyDescent="0.2">
      <c r="A4" s="82" t="s">
        <v>0</v>
      </c>
      <c r="B4" s="85" t="s">
        <v>55</v>
      </c>
      <c r="C4" s="85"/>
      <c r="D4" s="85"/>
      <c r="E4" s="69"/>
      <c r="F4" s="86" t="s">
        <v>56</v>
      </c>
      <c r="G4" s="85"/>
      <c r="H4" s="85"/>
      <c r="I4" s="85"/>
      <c r="J4" s="87"/>
      <c r="K4" s="69"/>
      <c r="L4" s="85" t="s">
        <v>57</v>
      </c>
      <c r="M4" s="85"/>
      <c r="N4" s="85"/>
      <c r="O4" s="88" t="s">
        <v>54</v>
      </c>
    </row>
    <row r="5" spans="1:28" s="15" customFormat="1" ht="17.25" x14ac:dyDescent="0.2">
      <c r="A5" s="83"/>
      <c r="B5" s="91" t="s">
        <v>58</v>
      </c>
      <c r="C5" s="91"/>
      <c r="D5" s="91"/>
      <c r="E5" s="14"/>
      <c r="F5" s="92" t="s">
        <v>59</v>
      </c>
      <c r="G5" s="91"/>
      <c r="H5" s="91"/>
      <c r="I5" s="91"/>
      <c r="J5" s="93"/>
      <c r="K5" s="14"/>
      <c r="L5" s="94" t="s">
        <v>60</v>
      </c>
      <c r="M5" s="94"/>
      <c r="N5" s="94"/>
      <c r="O5" s="89"/>
      <c r="P5" s="11"/>
    </row>
    <row r="6" spans="1:28" s="17" customFormat="1" ht="31.5" x14ac:dyDescent="0.4">
      <c r="A6" s="83"/>
      <c r="B6" s="67" t="s">
        <v>53</v>
      </c>
      <c r="C6" s="70" t="s">
        <v>49</v>
      </c>
      <c r="D6" s="70" t="s">
        <v>50</v>
      </c>
      <c r="E6" s="70"/>
      <c r="F6" s="71" t="s">
        <v>1</v>
      </c>
      <c r="G6" s="67" t="s">
        <v>61</v>
      </c>
      <c r="H6" s="67"/>
      <c r="I6" s="67" t="s">
        <v>62</v>
      </c>
      <c r="J6" s="72" t="s">
        <v>63</v>
      </c>
      <c r="K6" s="73"/>
      <c r="L6" s="73" t="s">
        <v>1</v>
      </c>
      <c r="M6" s="73"/>
      <c r="N6" s="67" t="s">
        <v>61</v>
      </c>
      <c r="O6" s="89"/>
      <c r="P6" s="16"/>
    </row>
    <row r="7" spans="1:28" s="17" customFormat="1" ht="25.5" x14ac:dyDescent="0.2">
      <c r="A7" s="84"/>
      <c r="B7" s="18" t="s">
        <v>64</v>
      </c>
      <c r="C7" s="18" t="s">
        <v>51</v>
      </c>
      <c r="D7" s="18" t="s">
        <v>52</v>
      </c>
      <c r="E7" s="19"/>
      <c r="F7" s="20" t="s">
        <v>2</v>
      </c>
      <c r="G7" s="2" t="s">
        <v>65</v>
      </c>
      <c r="H7" s="2"/>
      <c r="I7" s="2" t="s">
        <v>66</v>
      </c>
      <c r="J7" s="21" t="s">
        <v>67</v>
      </c>
      <c r="K7" s="22"/>
      <c r="L7" s="1" t="s">
        <v>2</v>
      </c>
      <c r="M7" s="1"/>
      <c r="N7" s="1" t="s">
        <v>65</v>
      </c>
      <c r="O7" s="90"/>
      <c r="P7" s="16"/>
      <c r="Q7" s="23"/>
      <c r="R7" s="23"/>
      <c r="S7" s="23"/>
    </row>
    <row r="8" spans="1:28" s="15" customFormat="1" ht="18" x14ac:dyDescent="0.2">
      <c r="A8" s="24" t="s">
        <v>3</v>
      </c>
      <c r="B8" s="3">
        <f>SUM(C8:E8)</f>
        <v>90565</v>
      </c>
      <c r="C8" s="25">
        <f>C9+C10</f>
        <v>46365</v>
      </c>
      <c r="D8" s="25">
        <f>D9+D10</f>
        <v>44200</v>
      </c>
      <c r="E8" s="25"/>
      <c r="F8" s="26">
        <f>SUM(G8:I8)</f>
        <v>10615</v>
      </c>
      <c r="G8" s="25">
        <f>SUM(G9:G10)</f>
        <v>8472</v>
      </c>
      <c r="H8" s="25"/>
      <c r="I8" s="25">
        <f>SUM(I9:I10)</f>
        <v>2143</v>
      </c>
      <c r="J8" s="27">
        <f>I8/F8*100</f>
        <v>20.188412623645785</v>
      </c>
      <c r="K8" s="28"/>
      <c r="L8" s="29">
        <f>B8/F8</f>
        <v>8.5317946302402259</v>
      </c>
      <c r="M8" s="29"/>
      <c r="N8" s="29">
        <f>B8/G8</f>
        <v>10.689919735599622</v>
      </c>
      <c r="O8" s="74" t="s">
        <v>4</v>
      </c>
      <c r="P8" s="30"/>
      <c r="S8" s="23"/>
    </row>
    <row r="9" spans="1:28" s="15" customFormat="1" ht="18" x14ac:dyDescent="0.25">
      <c r="A9" s="24" t="s">
        <v>5</v>
      </c>
      <c r="B9" s="3">
        <f>SUM(C9:E9)</f>
        <v>33757</v>
      </c>
      <c r="C9" s="3">
        <v>17107</v>
      </c>
      <c r="D9" s="3">
        <v>16650</v>
      </c>
      <c r="E9" s="31"/>
      <c r="F9" s="26">
        <f>SUM(G9:I9)</f>
        <v>2913</v>
      </c>
      <c r="G9" s="3">
        <v>2368</v>
      </c>
      <c r="H9" s="3"/>
      <c r="I9" s="3">
        <v>545</v>
      </c>
      <c r="J9" s="27">
        <f>I9/F9*100</f>
        <v>18.709234466186061</v>
      </c>
      <c r="K9" s="28"/>
      <c r="L9" s="29">
        <f t="shared" ref="L9:L30" si="0">B9/F9</f>
        <v>11.588396841743906</v>
      </c>
      <c r="M9" s="29"/>
      <c r="N9" s="29">
        <f t="shared" ref="N9:N30" si="1">B9/G9</f>
        <v>14.255489864864865</v>
      </c>
      <c r="O9" s="74" t="s">
        <v>6</v>
      </c>
      <c r="P9" s="32"/>
      <c r="Q9" s="23"/>
      <c r="S9" s="23"/>
    </row>
    <row r="10" spans="1:28" s="15" customFormat="1" ht="18" x14ac:dyDescent="0.25">
      <c r="A10" s="24" t="s">
        <v>7</v>
      </c>
      <c r="B10" s="3">
        <f>SUM(C10:E10)</f>
        <v>56808</v>
      </c>
      <c r="C10" s="25">
        <f>SUM(C11:C30)</f>
        <v>29258</v>
      </c>
      <c r="D10" s="25">
        <f>SUM(D11:D30)</f>
        <v>27550</v>
      </c>
      <c r="E10" s="25"/>
      <c r="F10" s="26">
        <f>SUM(G10:I10)</f>
        <v>7702</v>
      </c>
      <c r="G10" s="25">
        <f>SUM(G11:G30)</f>
        <v>6104</v>
      </c>
      <c r="H10" s="25"/>
      <c r="I10" s="25">
        <f>SUM(I11:I30)</f>
        <v>1598</v>
      </c>
      <c r="J10" s="27">
        <f>I10/F10*100</f>
        <v>20.747857699298883</v>
      </c>
      <c r="K10" s="28"/>
      <c r="L10" s="29">
        <f t="shared" si="0"/>
        <v>7.375746559335238</v>
      </c>
      <c r="M10" s="29"/>
      <c r="N10" s="29">
        <f>B10/G10</f>
        <v>9.3066841415465262</v>
      </c>
      <c r="O10" s="74" t="s">
        <v>8</v>
      </c>
      <c r="P10" s="32"/>
      <c r="S10" s="23"/>
    </row>
    <row r="11" spans="1:28" s="15" customFormat="1" ht="18" x14ac:dyDescent="0.2">
      <c r="A11" s="33" t="s">
        <v>9</v>
      </c>
      <c r="B11" s="3">
        <f>SUM(C11:E11)</f>
        <v>3713</v>
      </c>
      <c r="C11" s="78">
        <v>1925</v>
      </c>
      <c r="D11" s="78">
        <v>1788</v>
      </c>
      <c r="E11" s="34"/>
      <c r="F11" s="35">
        <f t="shared" ref="F11:F30" si="2">SUM(G11:I11)</f>
        <v>501</v>
      </c>
      <c r="G11" s="78">
        <v>385</v>
      </c>
      <c r="H11" s="78"/>
      <c r="I11" s="78">
        <v>116</v>
      </c>
      <c r="J11" s="36">
        <f t="shared" ref="J11:J30" si="3">I11/F11*100</f>
        <v>23.15369261477046</v>
      </c>
      <c r="K11" s="37"/>
      <c r="L11" s="38">
        <f t="shared" si="0"/>
        <v>7.4111776447105786</v>
      </c>
      <c r="M11" s="38"/>
      <c r="N11" s="38">
        <f t="shared" si="1"/>
        <v>9.6441558441558435</v>
      </c>
      <c r="O11" s="75" t="s">
        <v>10</v>
      </c>
      <c r="P11" s="30"/>
      <c r="S11" s="23"/>
    </row>
    <row r="12" spans="1:28" s="15" customFormat="1" ht="18" x14ac:dyDescent="0.2">
      <c r="A12" s="33" t="s">
        <v>11</v>
      </c>
      <c r="B12" s="3">
        <f t="shared" ref="B12:B20" si="4">SUM(C12:E12)</f>
        <v>5754</v>
      </c>
      <c r="C12" s="78">
        <v>2995</v>
      </c>
      <c r="D12" s="78">
        <v>2759</v>
      </c>
      <c r="E12" s="34"/>
      <c r="F12" s="35">
        <f t="shared" si="2"/>
        <v>657</v>
      </c>
      <c r="G12" s="78">
        <v>550</v>
      </c>
      <c r="H12" s="78"/>
      <c r="I12" s="78">
        <v>107</v>
      </c>
      <c r="J12" s="36">
        <f t="shared" si="3"/>
        <v>16.286149162861491</v>
      </c>
      <c r="K12" s="37"/>
      <c r="L12" s="38">
        <f t="shared" si="0"/>
        <v>8.7579908675799079</v>
      </c>
      <c r="M12" s="38"/>
      <c r="N12" s="38">
        <f t="shared" si="1"/>
        <v>10.461818181818181</v>
      </c>
      <c r="O12" s="75" t="s">
        <v>12</v>
      </c>
      <c r="P12" s="30"/>
      <c r="S12" s="23"/>
    </row>
    <row r="13" spans="1:28" s="15" customFormat="1" ht="18" x14ac:dyDescent="0.2">
      <c r="A13" s="33" t="s">
        <v>13</v>
      </c>
      <c r="B13" s="3">
        <f t="shared" si="4"/>
        <v>3714</v>
      </c>
      <c r="C13" s="78">
        <v>1897</v>
      </c>
      <c r="D13" s="78">
        <v>1817</v>
      </c>
      <c r="E13" s="34"/>
      <c r="F13" s="35">
        <f t="shared" si="2"/>
        <v>509</v>
      </c>
      <c r="G13" s="78">
        <v>403</v>
      </c>
      <c r="H13" s="78"/>
      <c r="I13" s="78">
        <v>106</v>
      </c>
      <c r="J13" s="36">
        <f t="shared" si="3"/>
        <v>20.825147347740668</v>
      </c>
      <c r="K13" s="37"/>
      <c r="L13" s="38">
        <f t="shared" si="0"/>
        <v>7.2966601178781927</v>
      </c>
      <c r="M13" s="38"/>
      <c r="N13" s="38">
        <f t="shared" si="1"/>
        <v>9.2158808933002483</v>
      </c>
      <c r="O13" s="75" t="s">
        <v>14</v>
      </c>
      <c r="P13" s="30"/>
      <c r="S13" s="23"/>
    </row>
    <row r="14" spans="1:28" s="15" customFormat="1" ht="18" x14ac:dyDescent="0.2">
      <c r="A14" s="33" t="s">
        <v>15</v>
      </c>
      <c r="B14" s="3">
        <f t="shared" si="4"/>
        <v>3085</v>
      </c>
      <c r="C14" s="78">
        <v>1571</v>
      </c>
      <c r="D14" s="78">
        <v>1514</v>
      </c>
      <c r="E14" s="34"/>
      <c r="F14" s="35">
        <f t="shared" si="2"/>
        <v>469</v>
      </c>
      <c r="G14" s="78">
        <v>333</v>
      </c>
      <c r="H14" s="78"/>
      <c r="I14" s="78">
        <v>136</v>
      </c>
      <c r="J14" s="36">
        <f t="shared" si="3"/>
        <v>28.997867803837952</v>
      </c>
      <c r="K14" s="37"/>
      <c r="L14" s="38">
        <f t="shared" si="0"/>
        <v>6.5778251599147124</v>
      </c>
      <c r="M14" s="38"/>
      <c r="N14" s="38">
        <f t="shared" si="1"/>
        <v>9.2642642642642645</v>
      </c>
      <c r="O14" s="75" t="s">
        <v>16</v>
      </c>
      <c r="P14" s="30"/>
      <c r="S14" s="23"/>
    </row>
    <row r="15" spans="1:28" s="15" customFormat="1" ht="18" x14ac:dyDescent="0.2">
      <c r="A15" s="33" t="s">
        <v>17</v>
      </c>
      <c r="B15" s="3">
        <f t="shared" si="4"/>
        <v>4466</v>
      </c>
      <c r="C15" s="78">
        <v>2289</v>
      </c>
      <c r="D15" s="78">
        <v>2177</v>
      </c>
      <c r="E15" s="34"/>
      <c r="F15" s="35">
        <f t="shared" si="2"/>
        <v>621</v>
      </c>
      <c r="G15" s="78">
        <v>515</v>
      </c>
      <c r="H15" s="78"/>
      <c r="I15" s="78">
        <v>106</v>
      </c>
      <c r="J15" s="36">
        <f t="shared" si="3"/>
        <v>17.069243156199679</v>
      </c>
      <c r="K15" s="37"/>
      <c r="L15" s="38">
        <f t="shared" si="0"/>
        <v>7.1916264090177133</v>
      </c>
      <c r="M15" s="38"/>
      <c r="N15" s="38">
        <f t="shared" si="1"/>
        <v>8.671844660194175</v>
      </c>
      <c r="O15" s="75" t="s">
        <v>18</v>
      </c>
      <c r="P15" s="30"/>
      <c r="S15" s="39"/>
    </row>
    <row r="16" spans="1:28" s="15" customFormat="1" ht="18" x14ac:dyDescent="0.2">
      <c r="A16" s="33" t="s">
        <v>19</v>
      </c>
      <c r="B16" s="3">
        <f t="shared" si="4"/>
        <v>2521</v>
      </c>
      <c r="C16" s="78">
        <v>1282</v>
      </c>
      <c r="D16" s="78">
        <v>1239</v>
      </c>
      <c r="E16" s="34"/>
      <c r="F16" s="35">
        <f t="shared" si="2"/>
        <v>436</v>
      </c>
      <c r="G16" s="78">
        <v>345</v>
      </c>
      <c r="H16" s="78"/>
      <c r="I16" s="78">
        <v>91</v>
      </c>
      <c r="J16" s="36">
        <f t="shared" si="3"/>
        <v>20.871559633027523</v>
      </c>
      <c r="K16" s="37"/>
      <c r="L16" s="38">
        <f t="shared" si="0"/>
        <v>5.7821100917431192</v>
      </c>
      <c r="M16" s="38"/>
      <c r="N16" s="38">
        <f t="shared" si="1"/>
        <v>7.3072463768115945</v>
      </c>
      <c r="O16" s="75" t="s">
        <v>20</v>
      </c>
      <c r="P16" s="30"/>
      <c r="S16" s="39"/>
    </row>
    <row r="17" spans="1:20" s="15" customFormat="1" ht="18" x14ac:dyDescent="0.2">
      <c r="A17" s="33" t="s">
        <v>21</v>
      </c>
      <c r="B17" s="3">
        <f t="shared" si="4"/>
        <v>2198</v>
      </c>
      <c r="C17" s="78">
        <v>1097</v>
      </c>
      <c r="D17" s="78">
        <v>1101</v>
      </c>
      <c r="E17" s="34"/>
      <c r="F17" s="35">
        <f t="shared" si="2"/>
        <v>240</v>
      </c>
      <c r="G17" s="78">
        <v>176</v>
      </c>
      <c r="H17" s="78"/>
      <c r="I17" s="78">
        <v>64</v>
      </c>
      <c r="J17" s="36">
        <f t="shared" si="3"/>
        <v>26.666666666666668</v>
      </c>
      <c r="K17" s="37"/>
      <c r="L17" s="38">
        <f t="shared" si="0"/>
        <v>9.1583333333333332</v>
      </c>
      <c r="M17" s="38"/>
      <c r="N17" s="38">
        <f t="shared" si="1"/>
        <v>12.488636363636363</v>
      </c>
      <c r="O17" s="75" t="s">
        <v>22</v>
      </c>
      <c r="P17" s="30"/>
      <c r="S17" s="40"/>
    </row>
    <row r="18" spans="1:20" s="15" customFormat="1" ht="18" x14ac:dyDescent="0.2">
      <c r="A18" s="33" t="s">
        <v>24</v>
      </c>
      <c r="B18" s="3">
        <f t="shared" si="4"/>
        <v>2983</v>
      </c>
      <c r="C18" s="78">
        <v>1558</v>
      </c>
      <c r="D18" s="78">
        <v>1425</v>
      </c>
      <c r="E18" s="34"/>
      <c r="F18" s="35">
        <f t="shared" si="2"/>
        <v>355</v>
      </c>
      <c r="G18" s="78">
        <v>256</v>
      </c>
      <c r="H18" s="78"/>
      <c r="I18" s="78">
        <v>99</v>
      </c>
      <c r="J18" s="36">
        <f t="shared" si="3"/>
        <v>27.887323943661972</v>
      </c>
      <c r="K18" s="37"/>
      <c r="L18" s="38">
        <f t="shared" si="0"/>
        <v>8.4028169014084515</v>
      </c>
      <c r="M18" s="38"/>
      <c r="N18" s="38">
        <f t="shared" si="1"/>
        <v>11.65234375</v>
      </c>
      <c r="O18" s="75" t="s">
        <v>25</v>
      </c>
      <c r="P18" s="30"/>
      <c r="S18" s="40"/>
    </row>
    <row r="19" spans="1:20" s="15" customFormat="1" ht="18" x14ac:dyDescent="0.2">
      <c r="A19" s="33" t="s">
        <v>26</v>
      </c>
      <c r="B19" s="3">
        <f t="shared" si="4"/>
        <v>1914</v>
      </c>
      <c r="C19" s="78">
        <v>1006</v>
      </c>
      <c r="D19" s="78">
        <v>908</v>
      </c>
      <c r="E19" s="34"/>
      <c r="F19" s="35">
        <f t="shared" si="2"/>
        <v>278</v>
      </c>
      <c r="G19" s="78">
        <v>199</v>
      </c>
      <c r="H19" s="78"/>
      <c r="I19" s="78">
        <v>79</v>
      </c>
      <c r="J19" s="36">
        <f t="shared" si="3"/>
        <v>28.417266187050359</v>
      </c>
      <c r="K19" s="37"/>
      <c r="L19" s="38">
        <f t="shared" si="0"/>
        <v>6.8848920863309351</v>
      </c>
      <c r="M19" s="38"/>
      <c r="N19" s="38">
        <f t="shared" si="1"/>
        <v>9.6180904522613062</v>
      </c>
      <c r="O19" s="75" t="s">
        <v>27</v>
      </c>
      <c r="P19" s="30"/>
      <c r="S19" s="40"/>
    </row>
    <row r="20" spans="1:20" s="15" customFormat="1" ht="18" x14ac:dyDescent="0.2">
      <c r="A20" s="33" t="s">
        <v>28</v>
      </c>
      <c r="B20" s="3">
        <f t="shared" si="4"/>
        <v>2347</v>
      </c>
      <c r="C20" s="78">
        <v>1233</v>
      </c>
      <c r="D20" s="78">
        <v>1114</v>
      </c>
      <c r="E20" s="34"/>
      <c r="F20" s="35">
        <f t="shared" si="2"/>
        <v>333</v>
      </c>
      <c r="G20" s="78">
        <v>233</v>
      </c>
      <c r="H20" s="78"/>
      <c r="I20" s="78">
        <v>100</v>
      </c>
      <c r="J20" s="36">
        <f t="shared" si="3"/>
        <v>30.03003003003003</v>
      </c>
      <c r="K20" s="37"/>
      <c r="L20" s="38">
        <f t="shared" si="0"/>
        <v>7.0480480480480479</v>
      </c>
      <c r="M20" s="38"/>
      <c r="N20" s="38">
        <f t="shared" si="1"/>
        <v>10.072961373390559</v>
      </c>
      <c r="O20" s="75" t="s">
        <v>29</v>
      </c>
      <c r="P20" s="30"/>
      <c r="S20" s="40"/>
    </row>
    <row r="21" spans="1:20" s="15" customFormat="1" ht="18" x14ac:dyDescent="0.2">
      <c r="A21" s="33" t="s">
        <v>30</v>
      </c>
      <c r="B21" s="3">
        <f>SUM(C21:E21)</f>
        <v>383</v>
      </c>
      <c r="C21" s="78">
        <v>199</v>
      </c>
      <c r="D21" s="78">
        <v>184</v>
      </c>
      <c r="E21" s="34"/>
      <c r="F21" s="35">
        <f t="shared" si="2"/>
        <v>77</v>
      </c>
      <c r="G21" s="78">
        <v>57</v>
      </c>
      <c r="H21" s="78"/>
      <c r="I21" s="78">
        <v>20</v>
      </c>
      <c r="J21" s="36">
        <f t="shared" si="3"/>
        <v>25.97402597402597</v>
      </c>
      <c r="K21" s="37"/>
      <c r="L21" s="38">
        <f t="shared" si="0"/>
        <v>4.9740259740259738</v>
      </c>
      <c r="M21" s="38"/>
      <c r="N21" s="38">
        <f t="shared" si="1"/>
        <v>6.7192982456140351</v>
      </c>
      <c r="O21" s="75" t="s">
        <v>31</v>
      </c>
      <c r="P21" s="30"/>
      <c r="S21" s="40"/>
    </row>
    <row r="22" spans="1:20" s="41" customFormat="1" ht="18" x14ac:dyDescent="0.2">
      <c r="A22" s="33" t="s">
        <v>32</v>
      </c>
      <c r="B22" s="3">
        <f t="shared" ref="B22:B28" si="5">SUM(C22:E22)</f>
        <v>1232</v>
      </c>
      <c r="C22" s="78">
        <v>635</v>
      </c>
      <c r="D22" s="78">
        <v>597</v>
      </c>
      <c r="E22" s="34"/>
      <c r="F22" s="35">
        <f t="shared" si="2"/>
        <v>197</v>
      </c>
      <c r="G22" s="78">
        <v>164</v>
      </c>
      <c r="H22" s="78"/>
      <c r="I22" s="78">
        <v>33</v>
      </c>
      <c r="J22" s="36">
        <f t="shared" si="3"/>
        <v>16.751269035532996</v>
      </c>
      <c r="K22" s="37"/>
      <c r="L22" s="38">
        <f t="shared" si="0"/>
        <v>6.2538071065989849</v>
      </c>
      <c r="M22" s="38"/>
      <c r="N22" s="38">
        <f t="shared" si="1"/>
        <v>7.5121951219512191</v>
      </c>
      <c r="O22" s="75" t="s">
        <v>33</v>
      </c>
      <c r="P22" s="30"/>
      <c r="S22" s="40"/>
      <c r="T22" s="15"/>
    </row>
    <row r="23" spans="1:20" s="41" customFormat="1" ht="18" x14ac:dyDescent="0.2">
      <c r="A23" s="33" t="s">
        <v>34</v>
      </c>
      <c r="B23" s="3">
        <f t="shared" si="5"/>
        <v>1437</v>
      </c>
      <c r="C23" s="78">
        <v>749</v>
      </c>
      <c r="D23" s="78">
        <v>688</v>
      </c>
      <c r="E23" s="34"/>
      <c r="F23" s="35">
        <f t="shared" si="2"/>
        <v>181</v>
      </c>
      <c r="G23" s="78">
        <v>157</v>
      </c>
      <c r="H23" s="78"/>
      <c r="I23" s="78">
        <v>24</v>
      </c>
      <c r="J23" s="36">
        <f t="shared" si="3"/>
        <v>13.259668508287293</v>
      </c>
      <c r="K23" s="37"/>
      <c r="L23" s="38">
        <f t="shared" si="0"/>
        <v>7.9392265193370166</v>
      </c>
      <c r="M23" s="38"/>
      <c r="N23" s="38">
        <f t="shared" si="1"/>
        <v>9.1528662420382165</v>
      </c>
      <c r="O23" s="75" t="s">
        <v>35</v>
      </c>
      <c r="P23" s="30" t="s">
        <v>23</v>
      </c>
      <c r="S23" s="40"/>
      <c r="T23" s="15"/>
    </row>
    <row r="24" spans="1:20" s="41" customFormat="1" ht="18" x14ac:dyDescent="0.2">
      <c r="A24" s="33" t="s">
        <v>36</v>
      </c>
      <c r="B24" s="3">
        <f t="shared" si="5"/>
        <v>1635</v>
      </c>
      <c r="C24" s="78">
        <v>803</v>
      </c>
      <c r="D24" s="78">
        <v>832</v>
      </c>
      <c r="E24" s="34"/>
      <c r="F24" s="35">
        <f t="shared" si="2"/>
        <v>256</v>
      </c>
      <c r="G24" s="78">
        <v>199</v>
      </c>
      <c r="H24" s="78"/>
      <c r="I24" s="78">
        <v>57</v>
      </c>
      <c r="J24" s="36">
        <f t="shared" si="3"/>
        <v>22.265625</v>
      </c>
      <c r="K24" s="37"/>
      <c r="L24" s="38">
        <f t="shared" si="0"/>
        <v>6.38671875</v>
      </c>
      <c r="M24" s="38"/>
      <c r="N24" s="38">
        <f t="shared" si="1"/>
        <v>8.21608040201005</v>
      </c>
      <c r="O24" s="75" t="s">
        <v>37</v>
      </c>
      <c r="P24" s="30"/>
      <c r="S24" s="40"/>
      <c r="T24" s="15"/>
    </row>
    <row r="25" spans="1:20" s="41" customFormat="1" ht="18" x14ac:dyDescent="0.2">
      <c r="A25" s="33" t="s">
        <v>38</v>
      </c>
      <c r="B25" s="3">
        <f t="shared" si="5"/>
        <v>2614</v>
      </c>
      <c r="C25" s="78">
        <v>1327</v>
      </c>
      <c r="D25" s="78">
        <v>1287</v>
      </c>
      <c r="E25" s="34"/>
      <c r="F25" s="35">
        <f t="shared" si="2"/>
        <v>433</v>
      </c>
      <c r="G25" s="78">
        <v>352</v>
      </c>
      <c r="H25" s="78"/>
      <c r="I25" s="78">
        <v>81</v>
      </c>
      <c r="J25" s="36">
        <f t="shared" si="3"/>
        <v>18.706697459584294</v>
      </c>
      <c r="K25" s="37"/>
      <c r="L25" s="38">
        <f t="shared" si="0"/>
        <v>6.0369515011547348</v>
      </c>
      <c r="M25" s="38"/>
      <c r="N25" s="38">
        <f t="shared" si="1"/>
        <v>7.4261363636363633</v>
      </c>
      <c r="O25" s="75" t="s">
        <v>39</v>
      </c>
      <c r="P25" s="30"/>
      <c r="S25" s="40"/>
      <c r="T25" s="15"/>
    </row>
    <row r="26" spans="1:20" s="41" customFormat="1" ht="18" x14ac:dyDescent="0.2">
      <c r="A26" s="33" t="s">
        <v>22</v>
      </c>
      <c r="B26" s="3">
        <f t="shared" si="5"/>
        <v>3559</v>
      </c>
      <c r="C26" s="78">
        <v>1880</v>
      </c>
      <c r="D26" s="78">
        <v>1679</v>
      </c>
      <c r="E26" s="34"/>
      <c r="F26" s="35">
        <f t="shared" si="2"/>
        <v>490</v>
      </c>
      <c r="G26" s="78">
        <v>383</v>
      </c>
      <c r="H26" s="78"/>
      <c r="I26" s="78">
        <v>107</v>
      </c>
      <c r="J26" s="36">
        <f t="shared" si="3"/>
        <v>21.836734693877553</v>
      </c>
      <c r="K26" s="37"/>
      <c r="L26" s="38">
        <f t="shared" si="0"/>
        <v>7.2632653061224488</v>
      </c>
      <c r="M26" s="38"/>
      <c r="N26" s="38">
        <f t="shared" si="1"/>
        <v>9.2924281984334201</v>
      </c>
      <c r="O26" s="75" t="s">
        <v>40</v>
      </c>
      <c r="P26" s="30"/>
      <c r="S26" s="40"/>
      <c r="T26" s="15"/>
    </row>
    <row r="27" spans="1:20" s="41" customFormat="1" ht="18" x14ac:dyDescent="0.2">
      <c r="A27" s="33" t="s">
        <v>41</v>
      </c>
      <c r="B27" s="3">
        <f t="shared" si="5"/>
        <v>2096</v>
      </c>
      <c r="C27" s="78">
        <v>1084</v>
      </c>
      <c r="D27" s="78">
        <v>1012</v>
      </c>
      <c r="E27" s="34"/>
      <c r="F27" s="35">
        <f t="shared" si="2"/>
        <v>299</v>
      </c>
      <c r="G27" s="78">
        <v>244</v>
      </c>
      <c r="H27" s="78"/>
      <c r="I27" s="78">
        <v>55</v>
      </c>
      <c r="J27" s="36">
        <f t="shared" si="3"/>
        <v>18.394648829431436</v>
      </c>
      <c r="K27" s="37"/>
      <c r="L27" s="38">
        <f t="shared" si="0"/>
        <v>7.0100334448160533</v>
      </c>
      <c r="M27" s="38"/>
      <c r="N27" s="38">
        <f t="shared" si="1"/>
        <v>8.5901639344262293</v>
      </c>
      <c r="O27" s="75" t="s">
        <v>42</v>
      </c>
      <c r="P27" s="30"/>
      <c r="S27" s="40"/>
      <c r="T27" s="15"/>
    </row>
    <row r="28" spans="1:20" s="41" customFormat="1" ht="18" x14ac:dyDescent="0.2">
      <c r="A28" s="33" t="s">
        <v>43</v>
      </c>
      <c r="B28" s="3">
        <f t="shared" si="5"/>
        <v>3132</v>
      </c>
      <c r="C28" s="78">
        <v>1676</v>
      </c>
      <c r="D28" s="78">
        <v>1456</v>
      </c>
      <c r="E28" s="34"/>
      <c r="F28" s="35">
        <f t="shared" si="2"/>
        <v>430</v>
      </c>
      <c r="G28" s="78">
        <v>355</v>
      </c>
      <c r="H28" s="78"/>
      <c r="I28" s="78">
        <v>75</v>
      </c>
      <c r="J28" s="36">
        <f t="shared" si="3"/>
        <v>17.441860465116278</v>
      </c>
      <c r="K28" s="37"/>
      <c r="L28" s="38">
        <f t="shared" si="0"/>
        <v>7.2837209302325583</v>
      </c>
      <c r="M28" s="38"/>
      <c r="N28" s="38">
        <f t="shared" si="1"/>
        <v>8.8225352112676063</v>
      </c>
      <c r="O28" s="75" t="s">
        <v>44</v>
      </c>
      <c r="P28" s="30"/>
      <c r="S28" s="40"/>
      <c r="T28" s="15"/>
    </row>
    <row r="29" spans="1:20" s="41" customFormat="1" ht="18" x14ac:dyDescent="0.2">
      <c r="A29" s="33" t="s">
        <v>45</v>
      </c>
      <c r="B29" s="3">
        <f>SUM(C29:E29)</f>
        <v>2516</v>
      </c>
      <c r="C29" s="78">
        <v>1272</v>
      </c>
      <c r="D29" s="78">
        <v>1244</v>
      </c>
      <c r="E29" s="34"/>
      <c r="F29" s="35">
        <f t="shared" si="2"/>
        <v>309</v>
      </c>
      <c r="G29" s="78">
        <v>267</v>
      </c>
      <c r="H29" s="78"/>
      <c r="I29" s="78">
        <v>42</v>
      </c>
      <c r="J29" s="36">
        <f t="shared" si="3"/>
        <v>13.592233009708737</v>
      </c>
      <c r="K29" s="37"/>
      <c r="L29" s="38">
        <f t="shared" si="0"/>
        <v>8.142394822006473</v>
      </c>
      <c r="M29" s="38"/>
      <c r="N29" s="38">
        <f t="shared" si="1"/>
        <v>9.4232209737827723</v>
      </c>
      <c r="O29" s="75" t="s">
        <v>15</v>
      </c>
      <c r="S29" s="40"/>
      <c r="T29" s="15"/>
    </row>
    <row r="30" spans="1:20" s="41" customFormat="1" ht="18" x14ac:dyDescent="0.2">
      <c r="A30" s="42" t="s">
        <v>14</v>
      </c>
      <c r="B30" s="4">
        <f>SUM(C30:E30)</f>
        <v>5509</v>
      </c>
      <c r="C30" s="79">
        <v>2780</v>
      </c>
      <c r="D30" s="79">
        <v>2729</v>
      </c>
      <c r="E30" s="43"/>
      <c r="F30" s="44">
        <f t="shared" si="2"/>
        <v>631</v>
      </c>
      <c r="G30" s="79">
        <v>531</v>
      </c>
      <c r="H30" s="79"/>
      <c r="I30" s="79">
        <v>100</v>
      </c>
      <c r="J30" s="45">
        <f t="shared" si="3"/>
        <v>15.847860538827257</v>
      </c>
      <c r="K30" s="46"/>
      <c r="L30" s="47">
        <f t="shared" si="0"/>
        <v>8.7305863708399372</v>
      </c>
      <c r="M30" s="47"/>
      <c r="N30" s="47">
        <f t="shared" si="1"/>
        <v>10.374764595103578</v>
      </c>
      <c r="O30" s="76" t="s">
        <v>46</v>
      </c>
      <c r="P30" s="30"/>
      <c r="Q30" s="23"/>
      <c r="S30" s="40"/>
      <c r="T30" s="15"/>
    </row>
    <row r="31" spans="1:20" s="41" customFormat="1" ht="18" x14ac:dyDescent="0.25">
      <c r="A31" s="48" t="s">
        <v>68</v>
      </c>
      <c r="B31" s="49"/>
      <c r="C31" s="50"/>
      <c r="D31" s="50"/>
      <c r="E31" s="51"/>
      <c r="F31" s="52"/>
      <c r="G31" s="53"/>
      <c r="H31" s="50"/>
      <c r="I31" s="53"/>
      <c r="J31" s="54"/>
      <c r="K31" s="55"/>
      <c r="L31" s="56"/>
      <c r="M31" s="56"/>
      <c r="N31" s="56"/>
      <c r="O31" s="77"/>
      <c r="P31" s="30"/>
      <c r="S31" s="40"/>
      <c r="T31" s="15"/>
    </row>
    <row r="32" spans="1:20" s="41" customFormat="1" ht="14.25" x14ac:dyDescent="0.35">
      <c r="A32" s="5" t="s">
        <v>47</v>
      </c>
      <c r="C32" s="57"/>
      <c r="D32" s="57"/>
      <c r="E32" s="58"/>
      <c r="F32" s="58"/>
      <c r="G32" s="58"/>
      <c r="H32" s="58"/>
      <c r="I32" s="58"/>
      <c r="J32" s="59"/>
      <c r="K32" s="60"/>
      <c r="L32" s="59"/>
      <c r="M32" s="59"/>
      <c r="N32" s="61"/>
      <c r="O32" s="68" t="s">
        <v>48</v>
      </c>
    </row>
    <row r="33" spans="7:14" s="41" customFormat="1" ht="12" x14ac:dyDescent="0.2">
      <c r="J33" s="62"/>
      <c r="L33" s="62"/>
      <c r="M33" s="62"/>
      <c r="N33" s="63"/>
    </row>
    <row r="35" spans="7:14" x14ac:dyDescent="0.2">
      <c r="G35" s="65"/>
    </row>
  </sheetData>
  <mergeCells count="10">
    <mergeCell ref="A1:O1"/>
    <mergeCell ref="A2:O2"/>
    <mergeCell ref="A4:A7"/>
    <mergeCell ref="B4:D4"/>
    <mergeCell ref="F4:J4"/>
    <mergeCell ref="L4:N4"/>
    <mergeCell ref="O4:O7"/>
    <mergeCell ref="B5:D5"/>
    <mergeCell ref="F5:J5"/>
    <mergeCell ref="L5:N5"/>
  </mergeCells>
  <pageMargins left="0.7" right="0.7" top="0.75" bottom="0.75" header="0.3" footer="0.3"/>
  <pageSetup paperSize="9" scale="55" orientation="portrait" horizontalDpi="4294967295" verticalDpi="4294967295" r:id="rId1"/>
  <ignoredErrors>
    <ignoredError sqref="J8 L9:M30 J10 L8:M8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7.4</vt:lpstr>
      <vt:lpstr>'7.4'!Print_Area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2021-07-05T07:04:11Z</cp:lastPrinted>
  <dcterms:created xsi:type="dcterms:W3CDTF">2019-02-28T08:20:57Z</dcterms:created>
  <dcterms:modified xsi:type="dcterms:W3CDTF">2021-07-05T07:04:22Z</dcterms:modified>
</cp:coreProperties>
</file>