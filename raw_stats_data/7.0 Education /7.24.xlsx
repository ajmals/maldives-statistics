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CHECKED\web\7. Education\"/>
    </mc:Choice>
  </mc:AlternateContent>
  <bookViews>
    <workbookView xWindow="-105" yWindow="-105" windowWidth="19425" windowHeight="10425" tabRatio="837"/>
  </bookViews>
  <sheets>
    <sheet name="7.24" sheetId="17" r:id="rId1"/>
  </sheets>
  <definedNames>
    <definedName name="_xlnm.Print_Area" localSheetId="0">'7.24'!$A$1:$M$48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17" l="1"/>
  <c r="G26" i="17"/>
  <c r="C26" i="17"/>
  <c r="J25" i="17"/>
  <c r="G25" i="17"/>
  <c r="C25" i="17"/>
  <c r="J24" i="17"/>
  <c r="J23" i="17"/>
  <c r="G23" i="17"/>
  <c r="J22" i="17"/>
  <c r="G22" i="17"/>
  <c r="C22" i="17"/>
  <c r="J21" i="17"/>
  <c r="G21" i="17"/>
  <c r="C21" i="17"/>
  <c r="J20" i="17"/>
  <c r="G20" i="17"/>
  <c r="C20" i="17"/>
  <c r="J19" i="17"/>
  <c r="G19" i="17"/>
  <c r="C19" i="17"/>
  <c r="J18" i="17"/>
  <c r="G18" i="17"/>
  <c r="C18" i="17"/>
  <c r="J17" i="17"/>
  <c r="G17" i="17"/>
  <c r="C17" i="17"/>
  <c r="J16" i="17"/>
  <c r="G16" i="17"/>
  <c r="C16" i="17"/>
  <c r="C13" i="17" s="1"/>
  <c r="J15" i="17"/>
  <c r="J13" i="17" s="1"/>
  <c r="G15" i="17"/>
  <c r="C15" i="17"/>
  <c r="J14" i="17"/>
  <c r="G14" i="17"/>
  <c r="C14" i="17"/>
  <c r="L13" i="17"/>
  <c r="K13" i="17"/>
  <c r="I13" i="17"/>
  <c r="H13" i="17"/>
  <c r="E13" i="17"/>
  <c r="D13" i="17"/>
  <c r="J12" i="17"/>
  <c r="G12" i="17"/>
  <c r="C12" i="17"/>
  <c r="J11" i="17"/>
  <c r="G11" i="17"/>
  <c r="C11" i="17"/>
  <c r="J10" i="17"/>
  <c r="G10" i="17"/>
  <c r="C10" i="17"/>
  <c r="J9" i="17"/>
  <c r="G9" i="17"/>
  <c r="C9" i="17"/>
  <c r="J8" i="17"/>
  <c r="G8" i="17"/>
  <c r="C8" i="17"/>
  <c r="L7" i="17"/>
  <c r="K7" i="17"/>
  <c r="J7" i="17" s="1"/>
  <c r="I7" i="17"/>
  <c r="H7" i="17"/>
  <c r="G7" i="17" s="1"/>
  <c r="E7" i="17"/>
  <c r="E6" i="17" s="1"/>
  <c r="D7" i="17"/>
  <c r="C7" i="17" s="1"/>
  <c r="L6" i="17"/>
  <c r="I6" i="17" l="1"/>
  <c r="D6" i="17"/>
  <c r="C6" i="17" s="1"/>
  <c r="G13" i="17"/>
  <c r="H6" i="17"/>
  <c r="K6" i="17"/>
  <c r="J6" i="17" s="1"/>
  <c r="G6" i="17" l="1"/>
</calcChain>
</file>

<file path=xl/sharedStrings.xml><?xml version="1.0" encoding="utf-8"?>
<sst xmlns="http://schemas.openxmlformats.org/spreadsheetml/2006/main" count="68" uniqueCount="52">
  <si>
    <t>Total</t>
  </si>
  <si>
    <t>cnehcnwa</t>
  </si>
  <si>
    <t>cnehirif</t>
  </si>
  <si>
    <t>Both Sexes</t>
  </si>
  <si>
    <t>Male</t>
  </si>
  <si>
    <t>Female</t>
  </si>
  <si>
    <t>cscnijed</t>
  </si>
  <si>
    <t>Type of Training</t>
  </si>
  <si>
    <t>ctwvWb egunIrcmwt</t>
  </si>
  <si>
    <t>މުޅިޖުމްލަ</t>
  </si>
  <si>
    <t>Maldives Polytechnic</t>
  </si>
  <si>
    <t>މޯލްޑިވްސް ޕޮލިޓެކްނިކް</t>
  </si>
  <si>
    <t xml:space="preserve">   Advanced Diploma (2 1/2 Years)</t>
  </si>
  <si>
    <t xml:space="preserve">   Diploma (2 Years)</t>
  </si>
  <si>
    <t xml:space="preserve">   Diploma (1 1/2 Years) </t>
  </si>
  <si>
    <t xml:space="preserve">   Advance Certificate  (1 1/2 Years)</t>
  </si>
  <si>
    <t xml:space="preserve">   Certificate III Course (15 weeks)</t>
  </si>
  <si>
    <t xml:space="preserve">Regional Youth Vocational Training Centres ( RYVTC )  </t>
  </si>
  <si>
    <t xml:space="preserve">   Advance Certificate Course (1 1/2 years)</t>
  </si>
  <si>
    <t xml:space="preserve">   Certificate 1 Course (1 Month)</t>
  </si>
  <si>
    <t>Short Courses</t>
  </si>
  <si>
    <t>ކުރުކޯސްތައް</t>
  </si>
  <si>
    <t>Mobile Courses</t>
  </si>
  <si>
    <t>މޮބައިލް ކޯސްތައް</t>
  </si>
  <si>
    <t>IHDP Project Courses</t>
  </si>
  <si>
    <t>އައި.އެޗް.ޑީ.ޕީ ޕްރޮޖެކްޓް ކޯސްތައް</t>
  </si>
  <si>
    <t>Online</t>
  </si>
  <si>
    <t>އޮންލައިން ކޯސްތައް</t>
  </si>
  <si>
    <t xml:space="preserve">Out Reach Centre </t>
  </si>
  <si>
    <t>އައުޓްރީޗް ސެންޓަރ</t>
  </si>
  <si>
    <t>Hunaru Project Courses</t>
  </si>
  <si>
    <t>ހުނަރު ޕްރޮޖެކްޓް ކޯސްތައް</t>
  </si>
  <si>
    <t>School Polytechnic Program Courses</t>
  </si>
  <si>
    <t>ސްކޫލް ޕޮލިޓެކްނިކް ޕްރޮގްރާމް ކޯސްތައް</t>
  </si>
  <si>
    <t>އައި.އެޗް.ޑީ.ޕީ: އިންޓަރގްރޭޓެޑް ހިއުމަން ޑިވެލޮޕްމަންޓް ޕްރޮޖެކްޓް</t>
  </si>
  <si>
    <t>Source: Maldives Polytechnic</t>
  </si>
  <si>
    <t>މައުލޫމާތު ދެއްވި ފަރާތް މޯލްޑިވްސް ޕޮލިޓެކްނިކް</t>
  </si>
  <si>
    <t>TVET National Certificate</t>
  </si>
  <si>
    <t>ތިޓެވް ނެޝަނަލް ސެޓްފިކެޓް</t>
  </si>
  <si>
    <t>Community Based Training</t>
  </si>
  <si>
    <t>ކޮމިއުނިޓީ ބޭސްޑް ޓަރޭނިންގ</t>
  </si>
  <si>
    <r>
      <t xml:space="preserve">( urwhwa  2 1/2) </t>
    </r>
    <r>
      <rPr>
        <sz val="10"/>
        <color theme="1"/>
        <rFont val="Faruma"/>
      </rPr>
      <t>އެޑްވާންސްޑް ޑިޕްލޮމާ ކޯސް</t>
    </r>
  </si>
  <si>
    <r>
      <t xml:space="preserve">( urwhwa 2 ) </t>
    </r>
    <r>
      <rPr>
        <sz val="10"/>
        <color theme="1"/>
        <rFont val="Faruma"/>
      </rPr>
      <t xml:space="preserve">ޑިޕްލޮމާ ކޯސް </t>
    </r>
    <r>
      <rPr>
        <sz val="10"/>
        <color theme="1"/>
        <rFont val="A_Waheed"/>
      </rPr>
      <t xml:space="preserve">  </t>
    </r>
  </si>
  <si>
    <r>
      <t xml:space="preserve">( urwhwa 1 1/2 ) </t>
    </r>
    <r>
      <rPr>
        <sz val="10"/>
        <color theme="1"/>
        <rFont val="Faruma"/>
      </rPr>
      <t>ޑިޕްލޮމާ ކޯސް</t>
    </r>
    <r>
      <rPr>
        <sz val="10"/>
        <color theme="1"/>
        <rFont val="A_Waheed"/>
      </rPr>
      <t xml:space="preserve">  </t>
    </r>
  </si>
  <si>
    <r>
      <t xml:space="preserve">(urwhwa 1 1/2  ) </t>
    </r>
    <r>
      <rPr>
        <sz val="10"/>
        <color theme="1"/>
        <rFont val="Faruma"/>
      </rPr>
      <t>އެޑްވާންސްޑް ސެޓްފިކެޓް ކޯސް</t>
    </r>
    <r>
      <rPr>
        <sz val="10"/>
        <color theme="1"/>
        <rFont val="A_Waheed"/>
      </rPr>
      <t xml:space="preserve">  </t>
    </r>
  </si>
  <si>
    <r>
      <t xml:space="preserve">(Wtcfwh 15 ) </t>
    </r>
    <r>
      <rPr>
        <sz val="10"/>
        <color theme="1"/>
        <rFont val="Faruma"/>
      </rPr>
      <t>ސެޓްފިކެޓް ޓްރީ ކޯސް</t>
    </r>
    <r>
      <rPr>
        <sz val="10"/>
        <color theme="1"/>
        <rFont val="A_Waheed"/>
      </rPr>
      <t xml:space="preserve"> </t>
    </r>
  </si>
  <si>
    <r>
      <t xml:space="preserve">(Is.IT.Iv.iawv.crWa ) </t>
    </r>
    <r>
      <rPr>
        <b/>
        <sz val="10"/>
        <color theme="1"/>
        <rFont val="Faruma"/>
      </rPr>
      <t>ރީޖަނަލް ޔޫތު ވޮކޭޝަނަލް ޓްރޭނިންގ ސެންޓަރުތައް</t>
    </r>
  </si>
  <si>
    <r>
      <t xml:space="preserve">(urwhwa 1 1/2  ) </t>
    </r>
    <r>
      <rPr>
        <sz val="10"/>
        <color theme="1"/>
        <rFont val="Faruma"/>
      </rPr>
      <t>އެޑްވާންސްޑް ސެޓްފިކެޓް ކޯސް</t>
    </r>
    <r>
      <rPr>
        <sz val="10"/>
        <color theme="1"/>
        <rFont val="A_Waheed"/>
      </rPr>
      <t xml:space="preserve"> </t>
    </r>
  </si>
  <si>
    <r>
      <t xml:space="preserve">(Wtcfwh 1 ) </t>
    </r>
    <r>
      <rPr>
        <sz val="10"/>
        <color theme="1"/>
        <rFont val="Faruma"/>
      </rPr>
      <t>ސެޓްފިކެޓް ވަން ކޯސް</t>
    </r>
    <r>
      <rPr>
        <sz val="10"/>
        <color theme="1"/>
        <rFont val="A_Waheed"/>
      </rPr>
      <t xml:space="preserve"> </t>
    </r>
  </si>
  <si>
    <r>
      <t xml:space="preserve">IHDP: </t>
    </r>
    <r>
      <rPr>
        <i/>
        <sz val="10"/>
        <color theme="1"/>
        <rFont val="Calibri"/>
        <family val="2"/>
        <scheme val="minor"/>
      </rPr>
      <t>Intergrated Human development Project</t>
    </r>
  </si>
  <si>
    <t xml:space="preserve"> 2020 - 2018 ,udwdwA egcnidukWvwyik cniaWriaWd egumIluAwt Incnwf cnutogeguscnij  : 7.24 ulwvWt</t>
  </si>
  <si>
    <t>Table 7.24: STUDENT ENROLMENT IN TECHNICAL EDUCATION BY SEX,  2018 - 2020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</si>
</sst>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#,##0;[Red]#,##0"/>
    <numFmt numFmtId="166" formatCode="_(* #,##0_);_(* \(#,##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2"/>
      <color theme="1"/>
      <name val="A_Randhoo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_Randhoo"/>
    </font>
    <font>
      <sz val="10"/>
      <color theme="1"/>
      <name val="Calibri"/>
      <family val="2"/>
      <scheme val="minor"/>
    </font>
    <font>
      <sz val="10"/>
      <color theme="1"/>
      <name val="Courier"/>
      <family val="3"/>
    </font>
    <font>
      <sz val="10"/>
      <color theme="1"/>
      <name val="Faruma"/>
    </font>
    <font>
      <b/>
      <sz val="10"/>
      <color theme="1"/>
      <name val="Arial"/>
      <family val="2"/>
    </font>
    <font>
      <sz val="10"/>
      <name val="MS Sans Serif"/>
      <family val="2"/>
    </font>
    <font>
      <b/>
      <sz val="10"/>
      <color theme="1"/>
      <name val="Faruma"/>
    </font>
    <font>
      <i/>
      <sz val="10"/>
      <color theme="1"/>
      <name val="Calibri"/>
      <family val="2"/>
      <scheme val="minor"/>
    </font>
    <font>
      <b/>
      <sz val="10"/>
      <color theme="1"/>
      <name val="A_Waheed"/>
    </font>
    <font>
      <sz val="10"/>
      <color theme="1"/>
      <name val="A_Waheed"/>
    </font>
    <font>
      <b/>
      <sz val="10"/>
      <color theme="1"/>
      <name val="Courier"/>
      <family val="3"/>
    </font>
    <font>
      <b/>
      <i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166" fontId="4" fillId="0" borderId="0"/>
    <xf numFmtId="0" fontId="3" fillId="0" borderId="0"/>
    <xf numFmtId="0" fontId="3" fillId="0" borderId="0"/>
    <xf numFmtId="164" fontId="4" fillId="0" borderId="0"/>
    <xf numFmtId="165" fontId="4" fillId="0" borderId="0"/>
    <xf numFmtId="164" fontId="4" fillId="0" borderId="0"/>
    <xf numFmtId="165" fontId="4" fillId="0" borderId="0"/>
    <xf numFmtId="40" fontId="13" fillId="0" borderId="0" applyFont="0" applyFill="0" applyBorder="0" applyAlignment="0" applyProtection="0"/>
    <xf numFmtId="165" fontId="4" fillId="0" borderId="0"/>
    <xf numFmtId="164" fontId="4" fillId="0" borderId="0"/>
    <xf numFmtId="164" fontId="4" fillId="0" borderId="0"/>
  </cellStyleXfs>
  <cellXfs count="50">
    <xf numFmtId="0" fontId="0" fillId="0" borderId="0" xfId="0"/>
    <xf numFmtId="164" fontId="10" fillId="2" borderId="0" xfId="7" applyNumberFormat="1" applyFont="1" applyFill="1"/>
    <xf numFmtId="164" fontId="12" fillId="2" borderId="2" xfId="6" applyNumberFormat="1" applyFont="1" applyFill="1" applyBorder="1" applyAlignment="1">
      <alignment horizontal="center"/>
    </xf>
    <xf numFmtId="164" fontId="12" fillId="2" borderId="2" xfId="6" applyNumberFormat="1" applyFont="1" applyFill="1" applyBorder="1" applyAlignment="1"/>
    <xf numFmtId="164" fontId="8" fillId="2" borderId="1" xfId="6" applyNumberFormat="1" applyFont="1" applyFill="1" applyBorder="1" applyAlignment="1">
      <alignment horizontal="right" vertical="center"/>
    </xf>
    <xf numFmtId="164" fontId="12" fillId="2" borderId="0" xfId="6" applyNumberFormat="1" applyFont="1" applyFill="1" applyBorder="1" applyAlignment="1">
      <alignment horizontal="right" vertical="center"/>
    </xf>
    <xf numFmtId="164" fontId="10" fillId="2" borderId="0" xfId="7" applyNumberFormat="1" applyFont="1" applyFill="1" applyAlignment="1">
      <alignment horizontal="center" vertical="center"/>
    </xf>
    <xf numFmtId="164" fontId="12" fillId="2" borderId="1" xfId="6" applyNumberFormat="1" applyFont="1" applyFill="1" applyBorder="1" applyAlignment="1">
      <alignment horizontal="right" vertical="center" wrapText="1"/>
    </xf>
    <xf numFmtId="164" fontId="6" fillId="2" borderId="1" xfId="6" applyNumberFormat="1" applyFont="1" applyFill="1" applyBorder="1" applyAlignment="1">
      <alignment horizontal="right" vertical="center" wrapText="1"/>
    </xf>
    <xf numFmtId="164" fontId="12" fillId="2" borderId="1" xfId="6" applyNumberFormat="1" applyFont="1" applyFill="1" applyBorder="1" applyAlignment="1">
      <alignment horizontal="center" vertical="center" wrapText="1"/>
    </xf>
    <xf numFmtId="164" fontId="6" fillId="2" borderId="0" xfId="6" applyNumberFormat="1" applyFont="1" applyFill="1" applyAlignment="1">
      <alignment horizontal="left" vertical="center"/>
    </xf>
    <xf numFmtId="164" fontId="6" fillId="2" borderId="0" xfId="6" applyNumberFormat="1" applyFont="1" applyFill="1" applyBorder="1" applyAlignment="1">
      <alignment horizontal="right" vertical="center"/>
    </xf>
    <xf numFmtId="38" fontId="6" fillId="2" borderId="0" xfId="1" applyNumberFormat="1" applyFont="1" applyFill="1" applyBorder="1" applyAlignment="1">
      <alignment horizontal="right" vertical="center"/>
    </xf>
    <xf numFmtId="38" fontId="12" fillId="2" borderId="0" xfId="1" applyNumberFormat="1" applyFont="1" applyFill="1" applyBorder="1" applyAlignment="1">
      <alignment vertical="center"/>
    </xf>
    <xf numFmtId="164" fontId="14" fillId="2" borderId="0" xfId="6" applyNumberFormat="1" applyFont="1" applyFill="1" applyAlignment="1">
      <alignment horizontal="right" vertical="center"/>
    </xf>
    <xf numFmtId="164" fontId="9" fillId="2" borderId="0" xfId="6" applyNumberFormat="1" applyFont="1" applyFill="1" applyAlignment="1">
      <alignment horizontal="left" vertical="center"/>
    </xf>
    <xf numFmtId="164" fontId="9" fillId="2" borderId="0" xfId="6" quotePrefix="1" applyNumberFormat="1" applyFont="1" applyFill="1" applyBorder="1" applyAlignment="1">
      <alignment horizontal="right" vertical="center"/>
    </xf>
    <xf numFmtId="38" fontId="9" fillId="2" borderId="0" xfId="1" applyNumberFormat="1" applyFont="1" applyFill="1" applyBorder="1" applyAlignment="1">
      <alignment horizontal="right" vertical="center"/>
    </xf>
    <xf numFmtId="164" fontId="17" fillId="2" borderId="0" xfId="6" applyNumberFormat="1" applyFont="1" applyFill="1" applyAlignment="1">
      <alignment horizontal="right" vertical="center"/>
    </xf>
    <xf numFmtId="164" fontId="16" fillId="2" borderId="0" xfId="6" applyNumberFormat="1" applyFont="1" applyFill="1" applyAlignment="1">
      <alignment horizontal="right" vertical="center"/>
    </xf>
    <xf numFmtId="164" fontId="18" fillId="2" borderId="0" xfId="7" applyNumberFormat="1" applyFont="1" applyFill="1"/>
    <xf numFmtId="164" fontId="9" fillId="2" borderId="0" xfId="6" applyNumberFormat="1" applyFont="1" applyFill="1" applyBorder="1" applyAlignment="1">
      <alignment horizontal="right" vertical="center"/>
    </xf>
    <xf numFmtId="164" fontId="6" fillId="2" borderId="0" xfId="6" applyNumberFormat="1" applyFont="1" applyFill="1" applyBorder="1" applyAlignment="1">
      <alignment horizontal="left" vertical="center"/>
    </xf>
    <xf numFmtId="164" fontId="14" fillId="2" borderId="0" xfId="6" applyNumberFormat="1" applyFont="1" applyFill="1" applyBorder="1" applyAlignment="1">
      <alignment horizontal="right" vertical="center"/>
    </xf>
    <xf numFmtId="164" fontId="6" fillId="2" borderId="1" xfId="6" applyNumberFormat="1" applyFont="1" applyFill="1" applyBorder="1" applyAlignment="1">
      <alignment horizontal="left" vertical="center"/>
    </xf>
    <xf numFmtId="164" fontId="6" fillId="2" borderId="1" xfId="6" applyNumberFormat="1" applyFont="1" applyFill="1" applyBorder="1" applyAlignment="1">
      <alignment horizontal="right" vertical="center"/>
    </xf>
    <xf numFmtId="38" fontId="6" fillId="2" borderId="1" xfId="1" applyNumberFormat="1" applyFont="1" applyFill="1" applyBorder="1" applyAlignment="1">
      <alignment horizontal="right" vertical="center"/>
    </xf>
    <xf numFmtId="38" fontId="12" fillId="2" borderId="1" xfId="1" applyNumberFormat="1" applyFont="1" applyFill="1" applyBorder="1" applyAlignment="1">
      <alignment vertical="center"/>
    </xf>
    <xf numFmtId="164" fontId="14" fillId="2" borderId="1" xfId="6" applyNumberFormat="1" applyFont="1" applyFill="1" applyBorder="1" applyAlignment="1">
      <alignment horizontal="right" vertical="center"/>
    </xf>
    <xf numFmtId="164" fontId="19" fillId="2" borderId="0" xfId="6" applyNumberFormat="1" applyFont="1" applyFill="1" applyBorder="1" applyAlignment="1">
      <alignment horizontal="left" vertical="center"/>
    </xf>
    <xf numFmtId="164" fontId="11" fillId="2" borderId="0" xfId="6" applyNumberFormat="1" applyFont="1" applyFill="1" applyBorder="1" applyAlignment="1">
      <alignment horizontal="right" vertical="center"/>
    </xf>
    <xf numFmtId="164" fontId="15" fillId="2" borderId="0" xfId="6" applyNumberFormat="1" applyFont="1" applyFill="1"/>
    <xf numFmtId="164" fontId="7" fillId="2" borderId="0" xfId="6" applyNumberFormat="1" applyFont="1" applyFill="1"/>
    <xf numFmtId="164" fontId="7" fillId="2" borderId="0" xfId="6" applyNumberFormat="1" applyFont="1" applyFill="1" applyAlignment="1">
      <alignment horizontal="right"/>
    </xf>
    <xf numFmtId="164" fontId="7" fillId="2" borderId="0" xfId="6" applyNumberFormat="1" applyFont="1" applyFill="1" applyAlignment="1"/>
    <xf numFmtId="164" fontId="11" fillId="2" borderId="0" xfId="6" applyNumberFormat="1" applyFont="1" applyFill="1" applyAlignment="1">
      <alignment horizontal="right"/>
    </xf>
    <xf numFmtId="164" fontId="10" fillId="2" borderId="0" xfId="6" applyNumberFormat="1" applyFont="1" applyFill="1"/>
    <xf numFmtId="164" fontId="10" fillId="2" borderId="0" xfId="6" applyNumberFormat="1" applyFont="1" applyFill="1" applyAlignment="1">
      <alignment horizontal="right"/>
    </xf>
    <xf numFmtId="164" fontId="10" fillId="2" borderId="0" xfId="6" applyNumberFormat="1" applyFont="1" applyFill="1" applyAlignment="1"/>
    <xf numFmtId="164" fontId="10" fillId="2" borderId="0" xfId="7" applyNumberFormat="1" applyFont="1" applyFill="1" applyAlignment="1">
      <alignment horizontal="right"/>
    </xf>
    <xf numFmtId="164" fontId="10" fillId="2" borderId="0" xfId="7" applyNumberFormat="1" applyFont="1" applyFill="1" applyAlignment="1"/>
    <xf numFmtId="164" fontId="5" fillId="2" borderId="0" xfId="6" applyNumberFormat="1" applyFont="1" applyFill="1" applyAlignment="1">
      <alignment horizontal="center" vertical="center"/>
    </xf>
    <xf numFmtId="164" fontId="2" fillId="2" borderId="1" xfId="6" applyNumberFormat="1" applyFont="1" applyFill="1" applyBorder="1" applyAlignment="1">
      <alignment horizontal="center" vertical="top"/>
    </xf>
    <xf numFmtId="164" fontId="6" fillId="2" borderId="3" xfId="6" applyNumberFormat="1" applyFont="1" applyFill="1" applyBorder="1" applyAlignment="1">
      <alignment horizontal="center"/>
    </xf>
    <xf numFmtId="164" fontId="16" fillId="2" borderId="2" xfId="6" applyNumberFormat="1" applyFont="1" applyFill="1" applyBorder="1" applyAlignment="1">
      <alignment horizontal="right" vertical="center"/>
    </xf>
    <xf numFmtId="164" fontId="16" fillId="2" borderId="0" xfId="6" applyNumberFormat="1" applyFont="1" applyFill="1" applyBorder="1" applyAlignment="1">
      <alignment horizontal="right" vertical="center"/>
    </xf>
    <xf numFmtId="164" fontId="16" fillId="2" borderId="1" xfId="6" applyNumberFormat="1" applyFont="1" applyFill="1" applyBorder="1" applyAlignment="1">
      <alignment horizontal="right" vertical="center"/>
    </xf>
    <xf numFmtId="164" fontId="6" fillId="2" borderId="2" xfId="6" applyNumberFormat="1" applyFont="1" applyFill="1" applyBorder="1" applyAlignment="1">
      <alignment horizontal="left" vertical="center"/>
    </xf>
    <xf numFmtId="164" fontId="6" fillId="2" borderId="0" xfId="6" applyNumberFormat="1" applyFont="1" applyFill="1" applyBorder="1" applyAlignment="1">
      <alignment horizontal="left" vertical="center"/>
    </xf>
    <xf numFmtId="164" fontId="6" fillId="2" borderId="1" xfId="6" applyNumberFormat="1" applyFont="1" applyFill="1" applyBorder="1" applyAlignment="1">
      <alignment horizontal="left" vertical="center"/>
    </xf>
  </cellXfs>
  <cellStyles count="14">
    <cellStyle name="Comma" xfId="1" builtinId="3"/>
    <cellStyle name="Comma 2" xfId="10"/>
    <cellStyle name="Normal" xfId="0" builtinId="0"/>
    <cellStyle name="Normal 10" xfId="5"/>
    <cellStyle name="Normal 2 2 2" xfId="2"/>
    <cellStyle name="Normal 2 26" xfId="13"/>
    <cellStyle name="Normal 37" xfId="4"/>
    <cellStyle name="Normal 6" xfId="9"/>
    <cellStyle name="Normal 6 4" xfId="8"/>
    <cellStyle name="Normal 7" xfId="7"/>
    <cellStyle name="Normal 7 4" xfId="6"/>
    <cellStyle name="Normal 8" xfId="3"/>
    <cellStyle name="Normal 8 2" xfId="11"/>
    <cellStyle name="Normal 8 2 3" xfId="12"/>
  </cellStyles>
  <dxfs count="0"/>
  <tableStyles count="0" defaultTableStyle="TableStyleMedium2" defaultPivotStyle="PivotStyleLight16"/>
  <colors>
    <mruColors>
      <color rgb="FF33CCCC"/>
      <color rgb="FF249390"/>
      <color rgb="FFFF9900"/>
      <color rgb="FFC8F4F2"/>
      <color rgb="FFEBFBFA"/>
      <color rgb="FF196563"/>
      <color rgb="FFDDF8F7"/>
      <color rgb="FFEAFAFA"/>
      <color rgb="FFE8D1BA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latin typeface="+mn-lt"/>
              </a:defRPr>
            </a:pPr>
            <a:r>
              <a:rPr lang="en-US" sz="1100" b="1">
                <a:effectLst/>
                <a:latin typeface="+mn-lt"/>
              </a:rPr>
              <a:t>Figure 7.21: Percentage share</a:t>
            </a:r>
            <a:r>
              <a:rPr lang="en-US" sz="1100" b="1" baseline="0">
                <a:effectLst/>
                <a:latin typeface="+mn-lt"/>
              </a:rPr>
              <a:t> of </a:t>
            </a:r>
            <a:r>
              <a:rPr lang="en-US" sz="1100" b="1">
                <a:effectLst/>
                <a:latin typeface="+mn-lt"/>
              </a:rPr>
              <a:t>Student enrolment in technical Education by sex, 2020</a:t>
            </a:r>
            <a:endParaRPr lang="en-US" sz="1100">
              <a:effectLst/>
              <a:latin typeface="+mn-lt"/>
            </a:endParaRPr>
          </a:p>
        </c:rich>
      </c:tx>
      <c:layout>
        <c:manualLayout>
          <c:xMode val="edge"/>
          <c:yMode val="edge"/>
          <c:x val="9.2758354103747415E-2"/>
          <c:y val="2.80474657347939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9683492289187874"/>
          <c:y val="0.22350407074733983"/>
          <c:w val="0.38860258092738409"/>
          <c:h val="0.64767096821230674"/>
        </c:manualLayout>
      </c:layout>
      <c:doughnutChart>
        <c:varyColors val="1"/>
        <c:ser>
          <c:idx val="0"/>
          <c:order val="0"/>
          <c:dPt>
            <c:idx val="0"/>
            <c:bubble3D val="0"/>
            <c:explosion val="16"/>
            <c:spPr>
              <a:solidFill>
                <a:srgbClr val="249390"/>
              </a:solidFill>
            </c:spPr>
            <c:extLst>
              <c:ext xmlns:c16="http://schemas.microsoft.com/office/drawing/2014/chart" uri="{C3380CC4-5D6E-409C-BE32-E72D297353CC}">
                <c16:uniqueId val="{00000002-BAE3-42BA-B251-3BB5597966A0}"/>
              </c:ext>
            </c:extLst>
          </c:dPt>
          <c:dPt>
            <c:idx val="1"/>
            <c:bubble3D val="0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01-2A79-4CFC-B04C-B7199FA61F68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'7.24'!$K$5:$L$5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'7.24'!$K$6:$L$6</c:f>
              <c:numCache>
                <c:formatCode>#,##0_);[Red]\(#,##0\)</c:formatCode>
                <c:ptCount val="2"/>
                <c:pt idx="0">
                  <c:v>478</c:v>
                </c:pt>
                <c:pt idx="1">
                  <c:v>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79-4CFC-B04C-B7199FA61F6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27</xdr:row>
      <xdr:rowOff>83527</xdr:rowOff>
    </xdr:from>
    <xdr:to>
      <xdr:col>11</xdr:col>
      <xdr:colOff>495300</xdr:colOff>
      <xdr:row>44</xdr:row>
      <xdr:rowOff>123825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364"/>
  <sheetViews>
    <sheetView tabSelected="1" zoomScaleNormal="100" workbookViewId="0">
      <selection activeCell="M20" sqref="M20"/>
    </sheetView>
  </sheetViews>
  <sheetFormatPr defaultRowHeight="12" x14ac:dyDescent="0.15"/>
  <cols>
    <col min="1" max="1" width="43.140625" style="1" customWidth="1"/>
    <col min="2" max="2" width="0.140625" style="1" customWidth="1"/>
    <col min="3" max="3" width="11" style="1" customWidth="1"/>
    <col min="4" max="4" width="7.7109375" style="1" customWidth="1"/>
    <col min="5" max="5" width="8.140625" style="39" customWidth="1"/>
    <col min="6" max="6" width="2" style="40" customWidth="1"/>
    <col min="7" max="7" width="11" style="1" customWidth="1"/>
    <col min="8" max="8" width="7.7109375" style="1" customWidth="1"/>
    <col min="9" max="9" width="8.140625" style="39" customWidth="1"/>
    <col min="10" max="10" width="11" style="1" customWidth="1"/>
    <col min="11" max="11" width="7.7109375" style="1" customWidth="1"/>
    <col min="12" max="12" width="8.140625" style="39" customWidth="1"/>
    <col min="13" max="13" width="54.5703125" style="1" customWidth="1"/>
    <col min="14" max="14" width="49.7109375" style="1" customWidth="1"/>
    <col min="15" max="252" width="9.140625" style="1"/>
    <col min="253" max="253" width="43.28515625" style="1" customWidth="1"/>
    <col min="254" max="254" width="5.85546875" style="1" customWidth="1"/>
    <col min="255" max="255" width="6.28515625" style="1" customWidth="1"/>
    <col min="256" max="256" width="7.7109375" style="1" customWidth="1"/>
    <col min="257" max="257" width="8.140625" style="1" customWidth="1"/>
    <col min="258" max="258" width="2.5703125" style="1" customWidth="1"/>
    <col min="259" max="259" width="6.5703125" style="1" customWidth="1"/>
    <col min="260" max="260" width="48.85546875" style="1" customWidth="1"/>
    <col min="261" max="261" width="49.7109375" style="1" customWidth="1"/>
    <col min="262" max="508" width="9.140625" style="1"/>
    <col min="509" max="509" width="43.28515625" style="1" customWidth="1"/>
    <col min="510" max="510" width="5.85546875" style="1" customWidth="1"/>
    <col min="511" max="511" width="6.28515625" style="1" customWidth="1"/>
    <col min="512" max="512" width="7.7109375" style="1" customWidth="1"/>
    <col min="513" max="513" width="8.140625" style="1" customWidth="1"/>
    <col min="514" max="514" width="2.5703125" style="1" customWidth="1"/>
    <col min="515" max="515" width="6.5703125" style="1" customWidth="1"/>
    <col min="516" max="516" width="48.85546875" style="1" customWidth="1"/>
    <col min="517" max="517" width="49.7109375" style="1" customWidth="1"/>
    <col min="518" max="764" width="9.140625" style="1"/>
    <col min="765" max="765" width="43.28515625" style="1" customWidth="1"/>
    <col min="766" max="766" width="5.85546875" style="1" customWidth="1"/>
    <col min="767" max="767" width="6.28515625" style="1" customWidth="1"/>
    <col min="768" max="768" width="7.7109375" style="1" customWidth="1"/>
    <col min="769" max="769" width="8.140625" style="1" customWidth="1"/>
    <col min="770" max="770" width="2.5703125" style="1" customWidth="1"/>
    <col min="771" max="771" width="6.5703125" style="1" customWidth="1"/>
    <col min="772" max="772" width="48.85546875" style="1" customWidth="1"/>
    <col min="773" max="773" width="49.7109375" style="1" customWidth="1"/>
    <col min="774" max="1020" width="9.140625" style="1"/>
    <col min="1021" max="1021" width="43.28515625" style="1" customWidth="1"/>
    <col min="1022" max="1022" width="5.85546875" style="1" customWidth="1"/>
    <col min="1023" max="1023" width="6.28515625" style="1" customWidth="1"/>
    <col min="1024" max="1024" width="7.7109375" style="1" customWidth="1"/>
    <col min="1025" max="1025" width="8.140625" style="1" customWidth="1"/>
    <col min="1026" max="1026" width="2.5703125" style="1" customWidth="1"/>
    <col min="1027" max="1027" width="6.5703125" style="1" customWidth="1"/>
    <col min="1028" max="1028" width="48.85546875" style="1" customWidth="1"/>
    <col min="1029" max="1029" width="49.7109375" style="1" customWidth="1"/>
    <col min="1030" max="1276" width="9.140625" style="1"/>
    <col min="1277" max="1277" width="43.28515625" style="1" customWidth="1"/>
    <col min="1278" max="1278" width="5.85546875" style="1" customWidth="1"/>
    <col min="1279" max="1279" width="6.28515625" style="1" customWidth="1"/>
    <col min="1280" max="1280" width="7.7109375" style="1" customWidth="1"/>
    <col min="1281" max="1281" width="8.140625" style="1" customWidth="1"/>
    <col min="1282" max="1282" width="2.5703125" style="1" customWidth="1"/>
    <col min="1283" max="1283" width="6.5703125" style="1" customWidth="1"/>
    <col min="1284" max="1284" width="48.85546875" style="1" customWidth="1"/>
    <col min="1285" max="1285" width="49.7109375" style="1" customWidth="1"/>
    <col min="1286" max="1532" width="9.140625" style="1"/>
    <col min="1533" max="1533" width="43.28515625" style="1" customWidth="1"/>
    <col min="1534" max="1534" width="5.85546875" style="1" customWidth="1"/>
    <col min="1535" max="1535" width="6.28515625" style="1" customWidth="1"/>
    <col min="1536" max="1536" width="7.7109375" style="1" customWidth="1"/>
    <col min="1537" max="1537" width="8.140625" style="1" customWidth="1"/>
    <col min="1538" max="1538" width="2.5703125" style="1" customWidth="1"/>
    <col min="1539" max="1539" width="6.5703125" style="1" customWidth="1"/>
    <col min="1540" max="1540" width="48.85546875" style="1" customWidth="1"/>
    <col min="1541" max="1541" width="49.7109375" style="1" customWidth="1"/>
    <col min="1542" max="1788" width="9.140625" style="1"/>
    <col min="1789" max="1789" width="43.28515625" style="1" customWidth="1"/>
    <col min="1790" max="1790" width="5.85546875" style="1" customWidth="1"/>
    <col min="1791" max="1791" width="6.28515625" style="1" customWidth="1"/>
    <col min="1792" max="1792" width="7.7109375" style="1" customWidth="1"/>
    <col min="1793" max="1793" width="8.140625" style="1" customWidth="1"/>
    <col min="1794" max="1794" width="2.5703125" style="1" customWidth="1"/>
    <col min="1795" max="1795" width="6.5703125" style="1" customWidth="1"/>
    <col min="1796" max="1796" width="48.85546875" style="1" customWidth="1"/>
    <col min="1797" max="1797" width="49.7109375" style="1" customWidth="1"/>
    <col min="1798" max="2044" width="9.140625" style="1"/>
    <col min="2045" max="2045" width="43.28515625" style="1" customWidth="1"/>
    <col min="2046" max="2046" width="5.85546875" style="1" customWidth="1"/>
    <col min="2047" max="2047" width="6.28515625" style="1" customWidth="1"/>
    <col min="2048" max="2048" width="7.7109375" style="1" customWidth="1"/>
    <col min="2049" max="2049" width="8.140625" style="1" customWidth="1"/>
    <col min="2050" max="2050" width="2.5703125" style="1" customWidth="1"/>
    <col min="2051" max="2051" width="6.5703125" style="1" customWidth="1"/>
    <col min="2052" max="2052" width="48.85546875" style="1" customWidth="1"/>
    <col min="2053" max="2053" width="49.7109375" style="1" customWidth="1"/>
    <col min="2054" max="2300" width="9.140625" style="1"/>
    <col min="2301" max="2301" width="43.28515625" style="1" customWidth="1"/>
    <col min="2302" max="2302" width="5.85546875" style="1" customWidth="1"/>
    <col min="2303" max="2303" width="6.28515625" style="1" customWidth="1"/>
    <col min="2304" max="2304" width="7.7109375" style="1" customWidth="1"/>
    <col min="2305" max="2305" width="8.140625" style="1" customWidth="1"/>
    <col min="2306" max="2306" width="2.5703125" style="1" customWidth="1"/>
    <col min="2307" max="2307" width="6.5703125" style="1" customWidth="1"/>
    <col min="2308" max="2308" width="48.85546875" style="1" customWidth="1"/>
    <col min="2309" max="2309" width="49.7109375" style="1" customWidth="1"/>
    <col min="2310" max="2556" width="9.140625" style="1"/>
    <col min="2557" max="2557" width="43.28515625" style="1" customWidth="1"/>
    <col min="2558" max="2558" width="5.85546875" style="1" customWidth="1"/>
    <col min="2559" max="2559" width="6.28515625" style="1" customWidth="1"/>
    <col min="2560" max="2560" width="7.7109375" style="1" customWidth="1"/>
    <col min="2561" max="2561" width="8.140625" style="1" customWidth="1"/>
    <col min="2562" max="2562" width="2.5703125" style="1" customWidth="1"/>
    <col min="2563" max="2563" width="6.5703125" style="1" customWidth="1"/>
    <col min="2564" max="2564" width="48.85546875" style="1" customWidth="1"/>
    <col min="2565" max="2565" width="49.7109375" style="1" customWidth="1"/>
    <col min="2566" max="2812" width="9.140625" style="1"/>
    <col min="2813" max="2813" width="43.28515625" style="1" customWidth="1"/>
    <col min="2814" max="2814" width="5.85546875" style="1" customWidth="1"/>
    <col min="2815" max="2815" width="6.28515625" style="1" customWidth="1"/>
    <col min="2816" max="2816" width="7.7109375" style="1" customWidth="1"/>
    <col min="2817" max="2817" width="8.140625" style="1" customWidth="1"/>
    <col min="2818" max="2818" width="2.5703125" style="1" customWidth="1"/>
    <col min="2819" max="2819" width="6.5703125" style="1" customWidth="1"/>
    <col min="2820" max="2820" width="48.85546875" style="1" customWidth="1"/>
    <col min="2821" max="2821" width="49.7109375" style="1" customWidth="1"/>
    <col min="2822" max="3068" width="9.140625" style="1"/>
    <col min="3069" max="3069" width="43.28515625" style="1" customWidth="1"/>
    <col min="3070" max="3070" width="5.85546875" style="1" customWidth="1"/>
    <col min="3071" max="3071" width="6.28515625" style="1" customWidth="1"/>
    <col min="3072" max="3072" width="7.7109375" style="1" customWidth="1"/>
    <col min="3073" max="3073" width="8.140625" style="1" customWidth="1"/>
    <col min="3074" max="3074" width="2.5703125" style="1" customWidth="1"/>
    <col min="3075" max="3075" width="6.5703125" style="1" customWidth="1"/>
    <col min="3076" max="3076" width="48.85546875" style="1" customWidth="1"/>
    <col min="3077" max="3077" width="49.7109375" style="1" customWidth="1"/>
    <col min="3078" max="3324" width="9.140625" style="1"/>
    <col min="3325" max="3325" width="43.28515625" style="1" customWidth="1"/>
    <col min="3326" max="3326" width="5.85546875" style="1" customWidth="1"/>
    <col min="3327" max="3327" width="6.28515625" style="1" customWidth="1"/>
    <col min="3328" max="3328" width="7.7109375" style="1" customWidth="1"/>
    <col min="3329" max="3329" width="8.140625" style="1" customWidth="1"/>
    <col min="3330" max="3330" width="2.5703125" style="1" customWidth="1"/>
    <col min="3331" max="3331" width="6.5703125" style="1" customWidth="1"/>
    <col min="3332" max="3332" width="48.85546875" style="1" customWidth="1"/>
    <col min="3333" max="3333" width="49.7109375" style="1" customWidth="1"/>
    <col min="3334" max="3580" width="9.140625" style="1"/>
    <col min="3581" max="3581" width="43.28515625" style="1" customWidth="1"/>
    <col min="3582" max="3582" width="5.85546875" style="1" customWidth="1"/>
    <col min="3583" max="3583" width="6.28515625" style="1" customWidth="1"/>
    <col min="3584" max="3584" width="7.7109375" style="1" customWidth="1"/>
    <col min="3585" max="3585" width="8.140625" style="1" customWidth="1"/>
    <col min="3586" max="3586" width="2.5703125" style="1" customWidth="1"/>
    <col min="3587" max="3587" width="6.5703125" style="1" customWidth="1"/>
    <col min="3588" max="3588" width="48.85546875" style="1" customWidth="1"/>
    <col min="3589" max="3589" width="49.7109375" style="1" customWidth="1"/>
    <col min="3590" max="3836" width="9.140625" style="1"/>
    <col min="3837" max="3837" width="43.28515625" style="1" customWidth="1"/>
    <col min="3838" max="3838" width="5.85546875" style="1" customWidth="1"/>
    <col min="3839" max="3839" width="6.28515625" style="1" customWidth="1"/>
    <col min="3840" max="3840" width="7.7109375" style="1" customWidth="1"/>
    <col min="3841" max="3841" width="8.140625" style="1" customWidth="1"/>
    <col min="3842" max="3842" width="2.5703125" style="1" customWidth="1"/>
    <col min="3843" max="3843" width="6.5703125" style="1" customWidth="1"/>
    <col min="3844" max="3844" width="48.85546875" style="1" customWidth="1"/>
    <col min="3845" max="3845" width="49.7109375" style="1" customWidth="1"/>
    <col min="3846" max="4092" width="9.140625" style="1"/>
    <col min="4093" max="4093" width="43.28515625" style="1" customWidth="1"/>
    <col min="4094" max="4094" width="5.85546875" style="1" customWidth="1"/>
    <col min="4095" max="4095" width="6.28515625" style="1" customWidth="1"/>
    <col min="4096" max="4096" width="7.7109375" style="1" customWidth="1"/>
    <col min="4097" max="4097" width="8.140625" style="1" customWidth="1"/>
    <col min="4098" max="4098" width="2.5703125" style="1" customWidth="1"/>
    <col min="4099" max="4099" width="6.5703125" style="1" customWidth="1"/>
    <col min="4100" max="4100" width="48.85546875" style="1" customWidth="1"/>
    <col min="4101" max="4101" width="49.7109375" style="1" customWidth="1"/>
    <col min="4102" max="4348" width="9.140625" style="1"/>
    <col min="4349" max="4349" width="43.28515625" style="1" customWidth="1"/>
    <col min="4350" max="4350" width="5.85546875" style="1" customWidth="1"/>
    <col min="4351" max="4351" width="6.28515625" style="1" customWidth="1"/>
    <col min="4352" max="4352" width="7.7109375" style="1" customWidth="1"/>
    <col min="4353" max="4353" width="8.140625" style="1" customWidth="1"/>
    <col min="4354" max="4354" width="2.5703125" style="1" customWidth="1"/>
    <col min="4355" max="4355" width="6.5703125" style="1" customWidth="1"/>
    <col min="4356" max="4356" width="48.85546875" style="1" customWidth="1"/>
    <col min="4357" max="4357" width="49.7109375" style="1" customWidth="1"/>
    <col min="4358" max="4604" width="9.140625" style="1"/>
    <col min="4605" max="4605" width="43.28515625" style="1" customWidth="1"/>
    <col min="4606" max="4606" width="5.85546875" style="1" customWidth="1"/>
    <col min="4607" max="4607" width="6.28515625" style="1" customWidth="1"/>
    <col min="4608" max="4608" width="7.7109375" style="1" customWidth="1"/>
    <col min="4609" max="4609" width="8.140625" style="1" customWidth="1"/>
    <col min="4610" max="4610" width="2.5703125" style="1" customWidth="1"/>
    <col min="4611" max="4611" width="6.5703125" style="1" customWidth="1"/>
    <col min="4612" max="4612" width="48.85546875" style="1" customWidth="1"/>
    <col min="4613" max="4613" width="49.7109375" style="1" customWidth="1"/>
    <col min="4614" max="4860" width="9.140625" style="1"/>
    <col min="4861" max="4861" width="43.28515625" style="1" customWidth="1"/>
    <col min="4862" max="4862" width="5.85546875" style="1" customWidth="1"/>
    <col min="4863" max="4863" width="6.28515625" style="1" customWidth="1"/>
    <col min="4864" max="4864" width="7.7109375" style="1" customWidth="1"/>
    <col min="4865" max="4865" width="8.140625" style="1" customWidth="1"/>
    <col min="4866" max="4866" width="2.5703125" style="1" customWidth="1"/>
    <col min="4867" max="4867" width="6.5703125" style="1" customWidth="1"/>
    <col min="4868" max="4868" width="48.85546875" style="1" customWidth="1"/>
    <col min="4869" max="4869" width="49.7109375" style="1" customWidth="1"/>
    <col min="4870" max="5116" width="9.140625" style="1"/>
    <col min="5117" max="5117" width="43.28515625" style="1" customWidth="1"/>
    <col min="5118" max="5118" width="5.85546875" style="1" customWidth="1"/>
    <col min="5119" max="5119" width="6.28515625" style="1" customWidth="1"/>
    <col min="5120" max="5120" width="7.7109375" style="1" customWidth="1"/>
    <col min="5121" max="5121" width="8.140625" style="1" customWidth="1"/>
    <col min="5122" max="5122" width="2.5703125" style="1" customWidth="1"/>
    <col min="5123" max="5123" width="6.5703125" style="1" customWidth="1"/>
    <col min="5124" max="5124" width="48.85546875" style="1" customWidth="1"/>
    <col min="5125" max="5125" width="49.7109375" style="1" customWidth="1"/>
    <col min="5126" max="5372" width="9.140625" style="1"/>
    <col min="5373" max="5373" width="43.28515625" style="1" customWidth="1"/>
    <col min="5374" max="5374" width="5.85546875" style="1" customWidth="1"/>
    <col min="5375" max="5375" width="6.28515625" style="1" customWidth="1"/>
    <col min="5376" max="5376" width="7.7109375" style="1" customWidth="1"/>
    <col min="5377" max="5377" width="8.140625" style="1" customWidth="1"/>
    <col min="5378" max="5378" width="2.5703125" style="1" customWidth="1"/>
    <col min="5379" max="5379" width="6.5703125" style="1" customWidth="1"/>
    <col min="5380" max="5380" width="48.85546875" style="1" customWidth="1"/>
    <col min="5381" max="5381" width="49.7109375" style="1" customWidth="1"/>
    <col min="5382" max="5628" width="9.140625" style="1"/>
    <col min="5629" max="5629" width="43.28515625" style="1" customWidth="1"/>
    <col min="5630" max="5630" width="5.85546875" style="1" customWidth="1"/>
    <col min="5631" max="5631" width="6.28515625" style="1" customWidth="1"/>
    <col min="5632" max="5632" width="7.7109375" style="1" customWidth="1"/>
    <col min="5633" max="5633" width="8.140625" style="1" customWidth="1"/>
    <col min="5634" max="5634" width="2.5703125" style="1" customWidth="1"/>
    <col min="5635" max="5635" width="6.5703125" style="1" customWidth="1"/>
    <col min="5636" max="5636" width="48.85546875" style="1" customWidth="1"/>
    <col min="5637" max="5637" width="49.7109375" style="1" customWidth="1"/>
    <col min="5638" max="5884" width="9.140625" style="1"/>
    <col min="5885" max="5885" width="43.28515625" style="1" customWidth="1"/>
    <col min="5886" max="5886" width="5.85546875" style="1" customWidth="1"/>
    <col min="5887" max="5887" width="6.28515625" style="1" customWidth="1"/>
    <col min="5888" max="5888" width="7.7109375" style="1" customWidth="1"/>
    <col min="5889" max="5889" width="8.140625" style="1" customWidth="1"/>
    <col min="5890" max="5890" width="2.5703125" style="1" customWidth="1"/>
    <col min="5891" max="5891" width="6.5703125" style="1" customWidth="1"/>
    <col min="5892" max="5892" width="48.85546875" style="1" customWidth="1"/>
    <col min="5893" max="5893" width="49.7109375" style="1" customWidth="1"/>
    <col min="5894" max="6140" width="9.140625" style="1"/>
    <col min="6141" max="6141" width="43.28515625" style="1" customWidth="1"/>
    <col min="6142" max="6142" width="5.85546875" style="1" customWidth="1"/>
    <col min="6143" max="6143" width="6.28515625" style="1" customWidth="1"/>
    <col min="6144" max="6144" width="7.7109375" style="1" customWidth="1"/>
    <col min="6145" max="6145" width="8.140625" style="1" customWidth="1"/>
    <col min="6146" max="6146" width="2.5703125" style="1" customWidth="1"/>
    <col min="6147" max="6147" width="6.5703125" style="1" customWidth="1"/>
    <col min="6148" max="6148" width="48.85546875" style="1" customWidth="1"/>
    <col min="6149" max="6149" width="49.7109375" style="1" customWidth="1"/>
    <col min="6150" max="6396" width="9.140625" style="1"/>
    <col min="6397" max="6397" width="43.28515625" style="1" customWidth="1"/>
    <col min="6398" max="6398" width="5.85546875" style="1" customWidth="1"/>
    <col min="6399" max="6399" width="6.28515625" style="1" customWidth="1"/>
    <col min="6400" max="6400" width="7.7109375" style="1" customWidth="1"/>
    <col min="6401" max="6401" width="8.140625" style="1" customWidth="1"/>
    <col min="6402" max="6402" width="2.5703125" style="1" customWidth="1"/>
    <col min="6403" max="6403" width="6.5703125" style="1" customWidth="1"/>
    <col min="6404" max="6404" width="48.85546875" style="1" customWidth="1"/>
    <col min="6405" max="6405" width="49.7109375" style="1" customWidth="1"/>
    <col min="6406" max="6652" width="9.140625" style="1"/>
    <col min="6653" max="6653" width="43.28515625" style="1" customWidth="1"/>
    <col min="6654" max="6654" width="5.85546875" style="1" customWidth="1"/>
    <col min="6655" max="6655" width="6.28515625" style="1" customWidth="1"/>
    <col min="6656" max="6656" width="7.7109375" style="1" customWidth="1"/>
    <col min="6657" max="6657" width="8.140625" style="1" customWidth="1"/>
    <col min="6658" max="6658" width="2.5703125" style="1" customWidth="1"/>
    <col min="6659" max="6659" width="6.5703125" style="1" customWidth="1"/>
    <col min="6660" max="6660" width="48.85546875" style="1" customWidth="1"/>
    <col min="6661" max="6661" width="49.7109375" style="1" customWidth="1"/>
    <col min="6662" max="6908" width="9.140625" style="1"/>
    <col min="6909" max="6909" width="43.28515625" style="1" customWidth="1"/>
    <col min="6910" max="6910" width="5.85546875" style="1" customWidth="1"/>
    <col min="6911" max="6911" width="6.28515625" style="1" customWidth="1"/>
    <col min="6912" max="6912" width="7.7109375" style="1" customWidth="1"/>
    <col min="6913" max="6913" width="8.140625" style="1" customWidth="1"/>
    <col min="6914" max="6914" width="2.5703125" style="1" customWidth="1"/>
    <col min="6915" max="6915" width="6.5703125" style="1" customWidth="1"/>
    <col min="6916" max="6916" width="48.85546875" style="1" customWidth="1"/>
    <col min="6917" max="6917" width="49.7109375" style="1" customWidth="1"/>
    <col min="6918" max="7164" width="9.140625" style="1"/>
    <col min="7165" max="7165" width="43.28515625" style="1" customWidth="1"/>
    <col min="7166" max="7166" width="5.85546875" style="1" customWidth="1"/>
    <col min="7167" max="7167" width="6.28515625" style="1" customWidth="1"/>
    <col min="7168" max="7168" width="7.7109375" style="1" customWidth="1"/>
    <col min="7169" max="7169" width="8.140625" style="1" customWidth="1"/>
    <col min="7170" max="7170" width="2.5703125" style="1" customWidth="1"/>
    <col min="7171" max="7171" width="6.5703125" style="1" customWidth="1"/>
    <col min="7172" max="7172" width="48.85546875" style="1" customWidth="1"/>
    <col min="7173" max="7173" width="49.7109375" style="1" customWidth="1"/>
    <col min="7174" max="7420" width="9.140625" style="1"/>
    <col min="7421" max="7421" width="43.28515625" style="1" customWidth="1"/>
    <col min="7422" max="7422" width="5.85546875" style="1" customWidth="1"/>
    <col min="7423" max="7423" width="6.28515625" style="1" customWidth="1"/>
    <col min="7424" max="7424" width="7.7109375" style="1" customWidth="1"/>
    <col min="7425" max="7425" width="8.140625" style="1" customWidth="1"/>
    <col min="7426" max="7426" width="2.5703125" style="1" customWidth="1"/>
    <col min="7427" max="7427" width="6.5703125" style="1" customWidth="1"/>
    <col min="7428" max="7428" width="48.85546875" style="1" customWidth="1"/>
    <col min="7429" max="7429" width="49.7109375" style="1" customWidth="1"/>
    <col min="7430" max="7676" width="9.140625" style="1"/>
    <col min="7677" max="7677" width="43.28515625" style="1" customWidth="1"/>
    <col min="7678" max="7678" width="5.85546875" style="1" customWidth="1"/>
    <col min="7679" max="7679" width="6.28515625" style="1" customWidth="1"/>
    <col min="7680" max="7680" width="7.7109375" style="1" customWidth="1"/>
    <col min="7681" max="7681" width="8.140625" style="1" customWidth="1"/>
    <col min="7682" max="7682" width="2.5703125" style="1" customWidth="1"/>
    <col min="7683" max="7683" width="6.5703125" style="1" customWidth="1"/>
    <col min="7684" max="7684" width="48.85546875" style="1" customWidth="1"/>
    <col min="7685" max="7685" width="49.7109375" style="1" customWidth="1"/>
    <col min="7686" max="7932" width="9.140625" style="1"/>
    <col min="7933" max="7933" width="43.28515625" style="1" customWidth="1"/>
    <col min="7934" max="7934" width="5.85546875" style="1" customWidth="1"/>
    <col min="7935" max="7935" width="6.28515625" style="1" customWidth="1"/>
    <col min="7936" max="7936" width="7.7109375" style="1" customWidth="1"/>
    <col min="7937" max="7937" width="8.140625" style="1" customWidth="1"/>
    <col min="7938" max="7938" width="2.5703125" style="1" customWidth="1"/>
    <col min="7939" max="7939" width="6.5703125" style="1" customWidth="1"/>
    <col min="7940" max="7940" width="48.85546875" style="1" customWidth="1"/>
    <col min="7941" max="7941" width="49.7109375" style="1" customWidth="1"/>
    <col min="7942" max="8188" width="9.140625" style="1"/>
    <col min="8189" max="8189" width="43.28515625" style="1" customWidth="1"/>
    <col min="8190" max="8190" width="5.85546875" style="1" customWidth="1"/>
    <col min="8191" max="8191" width="6.28515625" style="1" customWidth="1"/>
    <col min="8192" max="8192" width="7.7109375" style="1" customWidth="1"/>
    <col min="8193" max="8193" width="8.140625" style="1" customWidth="1"/>
    <col min="8194" max="8194" width="2.5703125" style="1" customWidth="1"/>
    <col min="8195" max="8195" width="6.5703125" style="1" customWidth="1"/>
    <col min="8196" max="8196" width="48.85546875" style="1" customWidth="1"/>
    <col min="8197" max="8197" width="49.7109375" style="1" customWidth="1"/>
    <col min="8198" max="8444" width="9.140625" style="1"/>
    <col min="8445" max="8445" width="43.28515625" style="1" customWidth="1"/>
    <col min="8446" max="8446" width="5.85546875" style="1" customWidth="1"/>
    <col min="8447" max="8447" width="6.28515625" style="1" customWidth="1"/>
    <col min="8448" max="8448" width="7.7109375" style="1" customWidth="1"/>
    <col min="8449" max="8449" width="8.140625" style="1" customWidth="1"/>
    <col min="8450" max="8450" width="2.5703125" style="1" customWidth="1"/>
    <col min="8451" max="8451" width="6.5703125" style="1" customWidth="1"/>
    <col min="8452" max="8452" width="48.85546875" style="1" customWidth="1"/>
    <col min="8453" max="8453" width="49.7109375" style="1" customWidth="1"/>
    <col min="8454" max="8700" width="9.140625" style="1"/>
    <col min="8701" max="8701" width="43.28515625" style="1" customWidth="1"/>
    <col min="8702" max="8702" width="5.85546875" style="1" customWidth="1"/>
    <col min="8703" max="8703" width="6.28515625" style="1" customWidth="1"/>
    <col min="8704" max="8704" width="7.7109375" style="1" customWidth="1"/>
    <col min="8705" max="8705" width="8.140625" style="1" customWidth="1"/>
    <col min="8706" max="8706" width="2.5703125" style="1" customWidth="1"/>
    <col min="8707" max="8707" width="6.5703125" style="1" customWidth="1"/>
    <col min="8708" max="8708" width="48.85546875" style="1" customWidth="1"/>
    <col min="8709" max="8709" width="49.7109375" style="1" customWidth="1"/>
    <col min="8710" max="8956" width="9.140625" style="1"/>
    <col min="8957" max="8957" width="43.28515625" style="1" customWidth="1"/>
    <col min="8958" max="8958" width="5.85546875" style="1" customWidth="1"/>
    <col min="8959" max="8959" width="6.28515625" style="1" customWidth="1"/>
    <col min="8960" max="8960" width="7.7109375" style="1" customWidth="1"/>
    <col min="8961" max="8961" width="8.140625" style="1" customWidth="1"/>
    <col min="8962" max="8962" width="2.5703125" style="1" customWidth="1"/>
    <col min="8963" max="8963" width="6.5703125" style="1" customWidth="1"/>
    <col min="8964" max="8964" width="48.85546875" style="1" customWidth="1"/>
    <col min="8965" max="8965" width="49.7109375" style="1" customWidth="1"/>
    <col min="8966" max="9212" width="9.140625" style="1"/>
    <col min="9213" max="9213" width="43.28515625" style="1" customWidth="1"/>
    <col min="9214" max="9214" width="5.85546875" style="1" customWidth="1"/>
    <col min="9215" max="9215" width="6.28515625" style="1" customWidth="1"/>
    <col min="9216" max="9216" width="7.7109375" style="1" customWidth="1"/>
    <col min="9217" max="9217" width="8.140625" style="1" customWidth="1"/>
    <col min="9218" max="9218" width="2.5703125" style="1" customWidth="1"/>
    <col min="9219" max="9219" width="6.5703125" style="1" customWidth="1"/>
    <col min="9220" max="9220" width="48.85546875" style="1" customWidth="1"/>
    <col min="9221" max="9221" width="49.7109375" style="1" customWidth="1"/>
    <col min="9222" max="9468" width="9.140625" style="1"/>
    <col min="9469" max="9469" width="43.28515625" style="1" customWidth="1"/>
    <col min="9470" max="9470" width="5.85546875" style="1" customWidth="1"/>
    <col min="9471" max="9471" width="6.28515625" style="1" customWidth="1"/>
    <col min="9472" max="9472" width="7.7109375" style="1" customWidth="1"/>
    <col min="9473" max="9473" width="8.140625" style="1" customWidth="1"/>
    <col min="9474" max="9474" width="2.5703125" style="1" customWidth="1"/>
    <col min="9475" max="9475" width="6.5703125" style="1" customWidth="1"/>
    <col min="9476" max="9476" width="48.85546875" style="1" customWidth="1"/>
    <col min="9477" max="9477" width="49.7109375" style="1" customWidth="1"/>
    <col min="9478" max="9724" width="9.140625" style="1"/>
    <col min="9725" max="9725" width="43.28515625" style="1" customWidth="1"/>
    <col min="9726" max="9726" width="5.85546875" style="1" customWidth="1"/>
    <col min="9727" max="9727" width="6.28515625" style="1" customWidth="1"/>
    <col min="9728" max="9728" width="7.7109375" style="1" customWidth="1"/>
    <col min="9729" max="9729" width="8.140625" style="1" customWidth="1"/>
    <col min="9730" max="9730" width="2.5703125" style="1" customWidth="1"/>
    <col min="9731" max="9731" width="6.5703125" style="1" customWidth="1"/>
    <col min="9732" max="9732" width="48.85546875" style="1" customWidth="1"/>
    <col min="9733" max="9733" width="49.7109375" style="1" customWidth="1"/>
    <col min="9734" max="9980" width="9.140625" style="1"/>
    <col min="9981" max="9981" width="43.28515625" style="1" customWidth="1"/>
    <col min="9982" max="9982" width="5.85546875" style="1" customWidth="1"/>
    <col min="9983" max="9983" width="6.28515625" style="1" customWidth="1"/>
    <col min="9984" max="9984" width="7.7109375" style="1" customWidth="1"/>
    <col min="9985" max="9985" width="8.140625" style="1" customWidth="1"/>
    <col min="9986" max="9986" width="2.5703125" style="1" customWidth="1"/>
    <col min="9987" max="9987" width="6.5703125" style="1" customWidth="1"/>
    <col min="9988" max="9988" width="48.85546875" style="1" customWidth="1"/>
    <col min="9989" max="9989" width="49.7109375" style="1" customWidth="1"/>
    <col min="9990" max="10236" width="9.140625" style="1"/>
    <col min="10237" max="10237" width="43.28515625" style="1" customWidth="1"/>
    <col min="10238" max="10238" width="5.85546875" style="1" customWidth="1"/>
    <col min="10239" max="10239" width="6.28515625" style="1" customWidth="1"/>
    <col min="10240" max="10240" width="7.7109375" style="1" customWidth="1"/>
    <col min="10241" max="10241" width="8.140625" style="1" customWidth="1"/>
    <col min="10242" max="10242" width="2.5703125" style="1" customWidth="1"/>
    <col min="10243" max="10243" width="6.5703125" style="1" customWidth="1"/>
    <col min="10244" max="10244" width="48.85546875" style="1" customWidth="1"/>
    <col min="10245" max="10245" width="49.7109375" style="1" customWidth="1"/>
    <col min="10246" max="10492" width="9.140625" style="1"/>
    <col min="10493" max="10493" width="43.28515625" style="1" customWidth="1"/>
    <col min="10494" max="10494" width="5.85546875" style="1" customWidth="1"/>
    <col min="10495" max="10495" width="6.28515625" style="1" customWidth="1"/>
    <col min="10496" max="10496" width="7.7109375" style="1" customWidth="1"/>
    <col min="10497" max="10497" width="8.140625" style="1" customWidth="1"/>
    <col min="10498" max="10498" width="2.5703125" style="1" customWidth="1"/>
    <col min="10499" max="10499" width="6.5703125" style="1" customWidth="1"/>
    <col min="10500" max="10500" width="48.85546875" style="1" customWidth="1"/>
    <col min="10501" max="10501" width="49.7109375" style="1" customWidth="1"/>
    <col min="10502" max="10748" width="9.140625" style="1"/>
    <col min="10749" max="10749" width="43.28515625" style="1" customWidth="1"/>
    <col min="10750" max="10750" width="5.85546875" style="1" customWidth="1"/>
    <col min="10751" max="10751" width="6.28515625" style="1" customWidth="1"/>
    <col min="10752" max="10752" width="7.7109375" style="1" customWidth="1"/>
    <col min="10753" max="10753" width="8.140625" style="1" customWidth="1"/>
    <col min="10754" max="10754" width="2.5703125" style="1" customWidth="1"/>
    <col min="10755" max="10755" width="6.5703125" style="1" customWidth="1"/>
    <col min="10756" max="10756" width="48.85546875" style="1" customWidth="1"/>
    <col min="10757" max="10757" width="49.7109375" style="1" customWidth="1"/>
    <col min="10758" max="11004" width="9.140625" style="1"/>
    <col min="11005" max="11005" width="43.28515625" style="1" customWidth="1"/>
    <col min="11006" max="11006" width="5.85546875" style="1" customWidth="1"/>
    <col min="11007" max="11007" width="6.28515625" style="1" customWidth="1"/>
    <col min="11008" max="11008" width="7.7109375" style="1" customWidth="1"/>
    <col min="11009" max="11009" width="8.140625" style="1" customWidth="1"/>
    <col min="11010" max="11010" width="2.5703125" style="1" customWidth="1"/>
    <col min="11011" max="11011" width="6.5703125" style="1" customWidth="1"/>
    <col min="11012" max="11012" width="48.85546875" style="1" customWidth="1"/>
    <col min="11013" max="11013" width="49.7109375" style="1" customWidth="1"/>
    <col min="11014" max="11260" width="9.140625" style="1"/>
    <col min="11261" max="11261" width="43.28515625" style="1" customWidth="1"/>
    <col min="11262" max="11262" width="5.85546875" style="1" customWidth="1"/>
    <col min="11263" max="11263" width="6.28515625" style="1" customWidth="1"/>
    <col min="11264" max="11264" width="7.7109375" style="1" customWidth="1"/>
    <col min="11265" max="11265" width="8.140625" style="1" customWidth="1"/>
    <col min="11266" max="11266" width="2.5703125" style="1" customWidth="1"/>
    <col min="11267" max="11267" width="6.5703125" style="1" customWidth="1"/>
    <col min="11268" max="11268" width="48.85546875" style="1" customWidth="1"/>
    <col min="11269" max="11269" width="49.7109375" style="1" customWidth="1"/>
    <col min="11270" max="11516" width="9.140625" style="1"/>
    <col min="11517" max="11517" width="43.28515625" style="1" customWidth="1"/>
    <col min="11518" max="11518" width="5.85546875" style="1" customWidth="1"/>
    <col min="11519" max="11519" width="6.28515625" style="1" customWidth="1"/>
    <col min="11520" max="11520" width="7.7109375" style="1" customWidth="1"/>
    <col min="11521" max="11521" width="8.140625" style="1" customWidth="1"/>
    <col min="11522" max="11522" width="2.5703125" style="1" customWidth="1"/>
    <col min="11523" max="11523" width="6.5703125" style="1" customWidth="1"/>
    <col min="11524" max="11524" width="48.85546875" style="1" customWidth="1"/>
    <col min="11525" max="11525" width="49.7109375" style="1" customWidth="1"/>
    <col min="11526" max="11772" width="9.140625" style="1"/>
    <col min="11773" max="11773" width="43.28515625" style="1" customWidth="1"/>
    <col min="11774" max="11774" width="5.85546875" style="1" customWidth="1"/>
    <col min="11775" max="11775" width="6.28515625" style="1" customWidth="1"/>
    <col min="11776" max="11776" width="7.7109375" style="1" customWidth="1"/>
    <col min="11777" max="11777" width="8.140625" style="1" customWidth="1"/>
    <col min="11778" max="11778" width="2.5703125" style="1" customWidth="1"/>
    <col min="11779" max="11779" width="6.5703125" style="1" customWidth="1"/>
    <col min="11780" max="11780" width="48.85546875" style="1" customWidth="1"/>
    <col min="11781" max="11781" width="49.7109375" style="1" customWidth="1"/>
    <col min="11782" max="12028" width="9.140625" style="1"/>
    <col min="12029" max="12029" width="43.28515625" style="1" customWidth="1"/>
    <col min="12030" max="12030" width="5.85546875" style="1" customWidth="1"/>
    <col min="12031" max="12031" width="6.28515625" style="1" customWidth="1"/>
    <col min="12032" max="12032" width="7.7109375" style="1" customWidth="1"/>
    <col min="12033" max="12033" width="8.140625" style="1" customWidth="1"/>
    <col min="12034" max="12034" width="2.5703125" style="1" customWidth="1"/>
    <col min="12035" max="12035" width="6.5703125" style="1" customWidth="1"/>
    <col min="12036" max="12036" width="48.85546875" style="1" customWidth="1"/>
    <col min="12037" max="12037" width="49.7109375" style="1" customWidth="1"/>
    <col min="12038" max="12284" width="9.140625" style="1"/>
    <col min="12285" max="12285" width="43.28515625" style="1" customWidth="1"/>
    <col min="12286" max="12286" width="5.85546875" style="1" customWidth="1"/>
    <col min="12287" max="12287" width="6.28515625" style="1" customWidth="1"/>
    <col min="12288" max="12288" width="7.7109375" style="1" customWidth="1"/>
    <col min="12289" max="12289" width="8.140625" style="1" customWidth="1"/>
    <col min="12290" max="12290" width="2.5703125" style="1" customWidth="1"/>
    <col min="12291" max="12291" width="6.5703125" style="1" customWidth="1"/>
    <col min="12292" max="12292" width="48.85546875" style="1" customWidth="1"/>
    <col min="12293" max="12293" width="49.7109375" style="1" customWidth="1"/>
    <col min="12294" max="12540" width="9.140625" style="1"/>
    <col min="12541" max="12541" width="43.28515625" style="1" customWidth="1"/>
    <col min="12542" max="12542" width="5.85546875" style="1" customWidth="1"/>
    <col min="12543" max="12543" width="6.28515625" style="1" customWidth="1"/>
    <col min="12544" max="12544" width="7.7109375" style="1" customWidth="1"/>
    <col min="12545" max="12545" width="8.140625" style="1" customWidth="1"/>
    <col min="12546" max="12546" width="2.5703125" style="1" customWidth="1"/>
    <col min="12547" max="12547" width="6.5703125" style="1" customWidth="1"/>
    <col min="12548" max="12548" width="48.85546875" style="1" customWidth="1"/>
    <col min="12549" max="12549" width="49.7109375" style="1" customWidth="1"/>
    <col min="12550" max="12796" width="9.140625" style="1"/>
    <col min="12797" max="12797" width="43.28515625" style="1" customWidth="1"/>
    <col min="12798" max="12798" width="5.85546875" style="1" customWidth="1"/>
    <col min="12799" max="12799" width="6.28515625" style="1" customWidth="1"/>
    <col min="12800" max="12800" width="7.7109375" style="1" customWidth="1"/>
    <col min="12801" max="12801" width="8.140625" style="1" customWidth="1"/>
    <col min="12802" max="12802" width="2.5703125" style="1" customWidth="1"/>
    <col min="12803" max="12803" width="6.5703125" style="1" customWidth="1"/>
    <col min="12804" max="12804" width="48.85546875" style="1" customWidth="1"/>
    <col min="12805" max="12805" width="49.7109375" style="1" customWidth="1"/>
    <col min="12806" max="13052" width="9.140625" style="1"/>
    <col min="13053" max="13053" width="43.28515625" style="1" customWidth="1"/>
    <col min="13054" max="13054" width="5.85546875" style="1" customWidth="1"/>
    <col min="13055" max="13055" width="6.28515625" style="1" customWidth="1"/>
    <col min="13056" max="13056" width="7.7109375" style="1" customWidth="1"/>
    <col min="13057" max="13057" width="8.140625" style="1" customWidth="1"/>
    <col min="13058" max="13058" width="2.5703125" style="1" customWidth="1"/>
    <col min="13059" max="13059" width="6.5703125" style="1" customWidth="1"/>
    <col min="13060" max="13060" width="48.85546875" style="1" customWidth="1"/>
    <col min="13061" max="13061" width="49.7109375" style="1" customWidth="1"/>
    <col min="13062" max="13308" width="9.140625" style="1"/>
    <col min="13309" max="13309" width="43.28515625" style="1" customWidth="1"/>
    <col min="13310" max="13310" width="5.85546875" style="1" customWidth="1"/>
    <col min="13311" max="13311" width="6.28515625" style="1" customWidth="1"/>
    <col min="13312" max="13312" width="7.7109375" style="1" customWidth="1"/>
    <col min="13313" max="13313" width="8.140625" style="1" customWidth="1"/>
    <col min="13314" max="13314" width="2.5703125" style="1" customWidth="1"/>
    <col min="13315" max="13315" width="6.5703125" style="1" customWidth="1"/>
    <col min="13316" max="13316" width="48.85546875" style="1" customWidth="1"/>
    <col min="13317" max="13317" width="49.7109375" style="1" customWidth="1"/>
    <col min="13318" max="13564" width="9.140625" style="1"/>
    <col min="13565" max="13565" width="43.28515625" style="1" customWidth="1"/>
    <col min="13566" max="13566" width="5.85546875" style="1" customWidth="1"/>
    <col min="13567" max="13567" width="6.28515625" style="1" customWidth="1"/>
    <col min="13568" max="13568" width="7.7109375" style="1" customWidth="1"/>
    <col min="13569" max="13569" width="8.140625" style="1" customWidth="1"/>
    <col min="13570" max="13570" width="2.5703125" style="1" customWidth="1"/>
    <col min="13571" max="13571" width="6.5703125" style="1" customWidth="1"/>
    <col min="13572" max="13572" width="48.85546875" style="1" customWidth="1"/>
    <col min="13573" max="13573" width="49.7109375" style="1" customWidth="1"/>
    <col min="13574" max="13820" width="9.140625" style="1"/>
    <col min="13821" max="13821" width="43.28515625" style="1" customWidth="1"/>
    <col min="13822" max="13822" width="5.85546875" style="1" customWidth="1"/>
    <col min="13823" max="13823" width="6.28515625" style="1" customWidth="1"/>
    <col min="13824" max="13824" width="7.7109375" style="1" customWidth="1"/>
    <col min="13825" max="13825" width="8.140625" style="1" customWidth="1"/>
    <col min="13826" max="13826" width="2.5703125" style="1" customWidth="1"/>
    <col min="13827" max="13827" width="6.5703125" style="1" customWidth="1"/>
    <col min="13828" max="13828" width="48.85546875" style="1" customWidth="1"/>
    <col min="13829" max="13829" width="49.7109375" style="1" customWidth="1"/>
    <col min="13830" max="14076" width="9.140625" style="1"/>
    <col min="14077" max="14077" width="43.28515625" style="1" customWidth="1"/>
    <col min="14078" max="14078" width="5.85546875" style="1" customWidth="1"/>
    <col min="14079" max="14079" width="6.28515625" style="1" customWidth="1"/>
    <col min="14080" max="14080" width="7.7109375" style="1" customWidth="1"/>
    <col min="14081" max="14081" width="8.140625" style="1" customWidth="1"/>
    <col min="14082" max="14082" width="2.5703125" style="1" customWidth="1"/>
    <col min="14083" max="14083" width="6.5703125" style="1" customWidth="1"/>
    <col min="14084" max="14084" width="48.85546875" style="1" customWidth="1"/>
    <col min="14085" max="14085" width="49.7109375" style="1" customWidth="1"/>
    <col min="14086" max="14332" width="9.140625" style="1"/>
    <col min="14333" max="14333" width="43.28515625" style="1" customWidth="1"/>
    <col min="14334" max="14334" width="5.85546875" style="1" customWidth="1"/>
    <col min="14335" max="14335" width="6.28515625" style="1" customWidth="1"/>
    <col min="14336" max="14336" width="7.7109375" style="1" customWidth="1"/>
    <col min="14337" max="14337" width="8.140625" style="1" customWidth="1"/>
    <col min="14338" max="14338" width="2.5703125" style="1" customWidth="1"/>
    <col min="14339" max="14339" width="6.5703125" style="1" customWidth="1"/>
    <col min="14340" max="14340" width="48.85546875" style="1" customWidth="1"/>
    <col min="14341" max="14341" width="49.7109375" style="1" customWidth="1"/>
    <col min="14342" max="14588" width="9.140625" style="1"/>
    <col min="14589" max="14589" width="43.28515625" style="1" customWidth="1"/>
    <col min="14590" max="14590" width="5.85546875" style="1" customWidth="1"/>
    <col min="14591" max="14591" width="6.28515625" style="1" customWidth="1"/>
    <col min="14592" max="14592" width="7.7109375" style="1" customWidth="1"/>
    <col min="14593" max="14593" width="8.140625" style="1" customWidth="1"/>
    <col min="14594" max="14594" width="2.5703125" style="1" customWidth="1"/>
    <col min="14595" max="14595" width="6.5703125" style="1" customWidth="1"/>
    <col min="14596" max="14596" width="48.85546875" style="1" customWidth="1"/>
    <col min="14597" max="14597" width="49.7109375" style="1" customWidth="1"/>
    <col min="14598" max="14844" width="9.140625" style="1"/>
    <col min="14845" max="14845" width="43.28515625" style="1" customWidth="1"/>
    <col min="14846" max="14846" width="5.85546875" style="1" customWidth="1"/>
    <col min="14847" max="14847" width="6.28515625" style="1" customWidth="1"/>
    <col min="14848" max="14848" width="7.7109375" style="1" customWidth="1"/>
    <col min="14849" max="14849" width="8.140625" style="1" customWidth="1"/>
    <col min="14850" max="14850" width="2.5703125" style="1" customWidth="1"/>
    <col min="14851" max="14851" width="6.5703125" style="1" customWidth="1"/>
    <col min="14852" max="14852" width="48.85546875" style="1" customWidth="1"/>
    <col min="14853" max="14853" width="49.7109375" style="1" customWidth="1"/>
    <col min="14854" max="15100" width="9.140625" style="1"/>
    <col min="15101" max="15101" width="43.28515625" style="1" customWidth="1"/>
    <col min="15102" max="15102" width="5.85546875" style="1" customWidth="1"/>
    <col min="15103" max="15103" width="6.28515625" style="1" customWidth="1"/>
    <col min="15104" max="15104" width="7.7109375" style="1" customWidth="1"/>
    <col min="15105" max="15105" width="8.140625" style="1" customWidth="1"/>
    <col min="15106" max="15106" width="2.5703125" style="1" customWidth="1"/>
    <col min="15107" max="15107" width="6.5703125" style="1" customWidth="1"/>
    <col min="15108" max="15108" width="48.85546875" style="1" customWidth="1"/>
    <col min="15109" max="15109" width="49.7109375" style="1" customWidth="1"/>
    <col min="15110" max="15356" width="9.140625" style="1"/>
    <col min="15357" max="15357" width="43.28515625" style="1" customWidth="1"/>
    <col min="15358" max="15358" width="5.85546875" style="1" customWidth="1"/>
    <col min="15359" max="15359" width="6.28515625" style="1" customWidth="1"/>
    <col min="15360" max="15360" width="7.7109375" style="1" customWidth="1"/>
    <col min="15361" max="15361" width="8.140625" style="1" customWidth="1"/>
    <col min="15362" max="15362" width="2.5703125" style="1" customWidth="1"/>
    <col min="15363" max="15363" width="6.5703125" style="1" customWidth="1"/>
    <col min="15364" max="15364" width="48.85546875" style="1" customWidth="1"/>
    <col min="15365" max="15365" width="49.7109375" style="1" customWidth="1"/>
    <col min="15366" max="15612" width="9.140625" style="1"/>
    <col min="15613" max="15613" width="43.28515625" style="1" customWidth="1"/>
    <col min="15614" max="15614" width="5.85546875" style="1" customWidth="1"/>
    <col min="15615" max="15615" width="6.28515625" style="1" customWidth="1"/>
    <col min="15616" max="15616" width="7.7109375" style="1" customWidth="1"/>
    <col min="15617" max="15617" width="8.140625" style="1" customWidth="1"/>
    <col min="15618" max="15618" width="2.5703125" style="1" customWidth="1"/>
    <col min="15619" max="15619" width="6.5703125" style="1" customWidth="1"/>
    <col min="15620" max="15620" width="48.85546875" style="1" customWidth="1"/>
    <col min="15621" max="15621" width="49.7109375" style="1" customWidth="1"/>
    <col min="15622" max="15868" width="9.140625" style="1"/>
    <col min="15869" max="15869" width="43.28515625" style="1" customWidth="1"/>
    <col min="15870" max="15870" width="5.85546875" style="1" customWidth="1"/>
    <col min="15871" max="15871" width="6.28515625" style="1" customWidth="1"/>
    <col min="15872" max="15872" width="7.7109375" style="1" customWidth="1"/>
    <col min="15873" max="15873" width="8.140625" style="1" customWidth="1"/>
    <col min="15874" max="15874" width="2.5703125" style="1" customWidth="1"/>
    <col min="15875" max="15875" width="6.5703125" style="1" customWidth="1"/>
    <col min="15876" max="15876" width="48.85546875" style="1" customWidth="1"/>
    <col min="15877" max="15877" width="49.7109375" style="1" customWidth="1"/>
    <col min="15878" max="16124" width="9.140625" style="1"/>
    <col min="16125" max="16125" width="43.28515625" style="1" customWidth="1"/>
    <col min="16126" max="16126" width="5.85546875" style="1" customWidth="1"/>
    <col min="16127" max="16127" width="6.28515625" style="1" customWidth="1"/>
    <col min="16128" max="16128" width="7.7109375" style="1" customWidth="1"/>
    <col min="16129" max="16129" width="8.140625" style="1" customWidth="1"/>
    <col min="16130" max="16130" width="2.5703125" style="1" customWidth="1"/>
    <col min="16131" max="16131" width="6.5703125" style="1" customWidth="1"/>
    <col min="16132" max="16132" width="48.85546875" style="1" customWidth="1"/>
    <col min="16133" max="16133" width="49.7109375" style="1" customWidth="1"/>
    <col min="16134" max="16384" width="9.140625" style="1"/>
  </cols>
  <sheetData>
    <row r="1" spans="1:13" ht="19.5" x14ac:dyDescent="0.15">
      <c r="A1" s="41" t="s">
        <v>50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spans="1:13" ht="15" x14ac:dyDescent="0.15">
      <c r="A2" s="42" t="s">
        <v>51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spans="1:13" ht="12.75" customHeight="1" x14ac:dyDescent="0.2">
      <c r="A3" s="47" t="s">
        <v>7</v>
      </c>
      <c r="B3" s="2"/>
      <c r="C3" s="43">
        <v>2018</v>
      </c>
      <c r="D3" s="43"/>
      <c r="E3" s="43"/>
      <c r="F3" s="3"/>
      <c r="G3" s="43">
        <v>2019</v>
      </c>
      <c r="H3" s="43"/>
      <c r="I3" s="43"/>
      <c r="J3" s="43">
        <v>2020</v>
      </c>
      <c r="K3" s="43"/>
      <c r="L3" s="43"/>
      <c r="M3" s="44" t="s">
        <v>8</v>
      </c>
    </row>
    <row r="4" spans="1:13" s="6" customFormat="1" ht="15.75" x14ac:dyDescent="0.25">
      <c r="A4" s="48"/>
      <c r="B4" s="4"/>
      <c r="C4" s="4" t="s">
        <v>6</v>
      </c>
      <c r="D4" s="4" t="s">
        <v>2</v>
      </c>
      <c r="E4" s="4" t="s">
        <v>1</v>
      </c>
      <c r="F4" s="5"/>
      <c r="G4" s="4" t="s">
        <v>6</v>
      </c>
      <c r="H4" s="4" t="s">
        <v>2</v>
      </c>
      <c r="I4" s="4" t="s">
        <v>1</v>
      </c>
      <c r="J4" s="4" t="s">
        <v>6</v>
      </c>
      <c r="K4" s="4" t="s">
        <v>2</v>
      </c>
      <c r="L4" s="4" t="s">
        <v>1</v>
      </c>
      <c r="M4" s="45"/>
    </row>
    <row r="5" spans="1:13" ht="12.75" customHeight="1" x14ac:dyDescent="0.15">
      <c r="A5" s="49"/>
      <c r="B5" s="7"/>
      <c r="C5" s="8" t="s">
        <v>3</v>
      </c>
      <c r="D5" s="8" t="s">
        <v>4</v>
      </c>
      <c r="E5" s="8" t="s">
        <v>5</v>
      </c>
      <c r="F5" s="9"/>
      <c r="G5" s="8" t="s">
        <v>3</v>
      </c>
      <c r="H5" s="8" t="s">
        <v>4</v>
      </c>
      <c r="I5" s="8" t="s">
        <v>5</v>
      </c>
      <c r="J5" s="8" t="s">
        <v>3</v>
      </c>
      <c r="K5" s="8" t="s">
        <v>4</v>
      </c>
      <c r="L5" s="8" t="s">
        <v>5</v>
      </c>
      <c r="M5" s="46"/>
    </row>
    <row r="6" spans="1:13" ht="18.75" x14ac:dyDescent="0.15">
      <c r="A6" s="10" t="s">
        <v>0</v>
      </c>
      <c r="B6" s="11"/>
      <c r="C6" s="12">
        <f t="shared" ref="C6:C12" si="0">D6+E6</f>
        <v>560</v>
      </c>
      <c r="D6" s="12">
        <f>D7+D13+D18+D19+D20+D21+D22+D25+D26</f>
        <v>484</v>
      </c>
      <c r="E6" s="12">
        <f>E7+E13+E21</f>
        <v>76</v>
      </c>
      <c r="F6" s="13"/>
      <c r="G6" s="12">
        <f t="shared" ref="G6:G12" si="1">H6+I6</f>
        <v>1143</v>
      </c>
      <c r="H6" s="12">
        <f>H7+H13+H18+H19+H20+H21+H22+H25+H26+H23</f>
        <v>842</v>
      </c>
      <c r="I6" s="12">
        <f>I7+I13+I21+I23</f>
        <v>301</v>
      </c>
      <c r="J6" s="12">
        <f>K6+L6</f>
        <v>662</v>
      </c>
      <c r="K6" s="12">
        <f>K7+K13+K18+K19+K20+K21+K22+K25+K26+K23+K24</f>
        <v>478</v>
      </c>
      <c r="L6" s="12">
        <f>L7+L13+L21+L23+L24</f>
        <v>184</v>
      </c>
      <c r="M6" s="14" t="s">
        <v>9</v>
      </c>
    </row>
    <row r="7" spans="1:13" ht="18.75" x14ac:dyDescent="0.15">
      <c r="A7" s="10" t="s">
        <v>10</v>
      </c>
      <c r="B7" s="11"/>
      <c r="C7" s="12">
        <f t="shared" si="0"/>
        <v>370</v>
      </c>
      <c r="D7" s="12">
        <f>D8+D9+D10+D11+D12</f>
        <v>346</v>
      </c>
      <c r="E7" s="12">
        <f>E8+E9+E10+E11+E12</f>
        <v>24</v>
      </c>
      <c r="F7" s="13"/>
      <c r="G7" s="12">
        <f>H7+I7</f>
        <v>498</v>
      </c>
      <c r="H7" s="12">
        <f>H8+H9+H10+H11+H12</f>
        <v>459</v>
      </c>
      <c r="I7" s="12">
        <f>I8+I9+I10+I11+I12</f>
        <v>39</v>
      </c>
      <c r="J7" s="12">
        <f>K7+L7</f>
        <v>343</v>
      </c>
      <c r="K7" s="12">
        <f>K8+K9+K10+K11+K12</f>
        <v>309</v>
      </c>
      <c r="L7" s="12">
        <f>L8+L9+L10+L11+L12</f>
        <v>34</v>
      </c>
      <c r="M7" s="14" t="s">
        <v>11</v>
      </c>
    </row>
    <row r="8" spans="1:13" ht="18.75" x14ac:dyDescent="0.15">
      <c r="A8" s="15" t="s">
        <v>12</v>
      </c>
      <c r="B8" s="16"/>
      <c r="C8" s="17">
        <f t="shared" si="0"/>
        <v>0</v>
      </c>
      <c r="D8" s="17">
        <v>0</v>
      </c>
      <c r="E8" s="17">
        <v>0</v>
      </c>
      <c r="F8" s="13"/>
      <c r="G8" s="17">
        <f t="shared" si="1"/>
        <v>0</v>
      </c>
      <c r="H8" s="17">
        <v>0</v>
      </c>
      <c r="I8" s="17">
        <v>0</v>
      </c>
      <c r="J8" s="17">
        <f t="shared" ref="J8:J9" si="2">K8+L8</f>
        <v>0</v>
      </c>
      <c r="K8" s="17">
        <v>0</v>
      </c>
      <c r="L8" s="17">
        <v>0</v>
      </c>
      <c r="M8" s="18" t="s">
        <v>41</v>
      </c>
    </row>
    <row r="9" spans="1:13" ht="18.75" x14ac:dyDescent="0.15">
      <c r="A9" s="15" t="s">
        <v>13</v>
      </c>
      <c r="B9" s="16"/>
      <c r="C9" s="17">
        <f t="shared" si="0"/>
        <v>9</v>
      </c>
      <c r="D9" s="17">
        <v>9</v>
      </c>
      <c r="E9" s="17">
        <v>0</v>
      </c>
      <c r="F9" s="13"/>
      <c r="G9" s="17">
        <f t="shared" si="1"/>
        <v>27</v>
      </c>
      <c r="H9" s="17">
        <v>27</v>
      </c>
      <c r="I9" s="17">
        <v>0</v>
      </c>
      <c r="J9" s="17">
        <f t="shared" si="2"/>
        <v>15</v>
      </c>
      <c r="K9" s="17">
        <v>15</v>
      </c>
      <c r="L9" s="17">
        <v>0</v>
      </c>
      <c r="M9" s="18" t="s">
        <v>42</v>
      </c>
    </row>
    <row r="10" spans="1:13" ht="18.75" x14ac:dyDescent="0.15">
      <c r="A10" s="15" t="s">
        <v>14</v>
      </c>
      <c r="B10" s="16"/>
      <c r="C10" s="17">
        <f t="shared" si="0"/>
        <v>14</v>
      </c>
      <c r="D10" s="17">
        <v>10</v>
      </c>
      <c r="E10" s="17">
        <v>4</v>
      </c>
      <c r="F10" s="13"/>
      <c r="G10" s="17">
        <f t="shared" si="1"/>
        <v>31</v>
      </c>
      <c r="H10" s="17">
        <v>26</v>
      </c>
      <c r="I10" s="17">
        <v>5</v>
      </c>
      <c r="J10" s="17">
        <f>K10+L10</f>
        <v>44</v>
      </c>
      <c r="K10" s="17">
        <v>33</v>
      </c>
      <c r="L10" s="17">
        <v>11</v>
      </c>
      <c r="M10" s="18" t="s">
        <v>43</v>
      </c>
    </row>
    <row r="11" spans="1:13" ht="18.75" x14ac:dyDescent="0.15">
      <c r="A11" s="15" t="s">
        <v>15</v>
      </c>
      <c r="B11" s="16"/>
      <c r="C11" s="17">
        <f t="shared" si="0"/>
        <v>138</v>
      </c>
      <c r="D11" s="17">
        <v>136</v>
      </c>
      <c r="E11" s="17">
        <v>2</v>
      </c>
      <c r="F11" s="13"/>
      <c r="G11" s="17">
        <f t="shared" si="1"/>
        <v>289</v>
      </c>
      <c r="H11" s="17">
        <v>267</v>
      </c>
      <c r="I11" s="17">
        <v>22</v>
      </c>
      <c r="J11" s="17">
        <f>K11+L11</f>
        <v>189</v>
      </c>
      <c r="K11" s="17">
        <v>168</v>
      </c>
      <c r="L11" s="17">
        <v>21</v>
      </c>
      <c r="M11" s="18" t="s">
        <v>44</v>
      </c>
    </row>
    <row r="12" spans="1:13" ht="18.75" x14ac:dyDescent="0.15">
      <c r="A12" s="15" t="s">
        <v>16</v>
      </c>
      <c r="B12" s="16"/>
      <c r="C12" s="17">
        <f t="shared" si="0"/>
        <v>209</v>
      </c>
      <c r="D12" s="17">
        <v>191</v>
      </c>
      <c r="E12" s="17">
        <v>18</v>
      </c>
      <c r="F12" s="13"/>
      <c r="G12" s="17">
        <f t="shared" si="1"/>
        <v>151</v>
      </c>
      <c r="H12" s="17">
        <v>139</v>
      </c>
      <c r="I12" s="17">
        <v>12</v>
      </c>
      <c r="J12" s="17">
        <f>K12+L12</f>
        <v>95</v>
      </c>
      <c r="K12" s="17">
        <v>93</v>
      </c>
      <c r="L12" s="17">
        <v>2</v>
      </c>
      <c r="M12" s="18" t="s">
        <v>45</v>
      </c>
    </row>
    <row r="13" spans="1:13" s="20" customFormat="1" ht="18.75" x14ac:dyDescent="0.15">
      <c r="A13" s="10" t="s">
        <v>17</v>
      </c>
      <c r="B13" s="11"/>
      <c r="C13" s="12">
        <f>C15+C16+C17+C14</f>
        <v>54</v>
      </c>
      <c r="D13" s="12">
        <f>D15+D16+D17+D14</f>
        <v>50</v>
      </c>
      <c r="E13" s="12">
        <f>E15+E16+E17</f>
        <v>4</v>
      </c>
      <c r="F13" s="13"/>
      <c r="G13" s="12">
        <f t="shared" ref="G13:L13" si="3">G15+G16+G17+G14</f>
        <v>146</v>
      </c>
      <c r="H13" s="12">
        <f t="shared" si="3"/>
        <v>116</v>
      </c>
      <c r="I13" s="12">
        <f t="shared" si="3"/>
        <v>30</v>
      </c>
      <c r="J13" s="12">
        <f t="shared" si="3"/>
        <v>73</v>
      </c>
      <c r="K13" s="12">
        <f t="shared" si="3"/>
        <v>40</v>
      </c>
      <c r="L13" s="12">
        <f t="shared" si="3"/>
        <v>33</v>
      </c>
      <c r="M13" s="19" t="s">
        <v>46</v>
      </c>
    </row>
    <row r="14" spans="1:13" s="20" customFormat="1" ht="18.75" x14ac:dyDescent="0.15">
      <c r="A14" s="15" t="s">
        <v>14</v>
      </c>
      <c r="B14" s="11"/>
      <c r="C14" s="17">
        <f>D14+E14</f>
        <v>11</v>
      </c>
      <c r="D14" s="17">
        <v>11</v>
      </c>
      <c r="E14" s="17">
        <v>0</v>
      </c>
      <c r="F14" s="13"/>
      <c r="G14" s="17">
        <f>H14+I14</f>
        <v>12</v>
      </c>
      <c r="H14" s="17">
        <v>10</v>
      </c>
      <c r="I14" s="17">
        <v>2</v>
      </c>
      <c r="J14" s="17">
        <f>K14+L14</f>
        <v>8</v>
      </c>
      <c r="K14" s="17">
        <v>6</v>
      </c>
      <c r="L14" s="17">
        <v>2</v>
      </c>
      <c r="M14" s="18" t="s">
        <v>43</v>
      </c>
    </row>
    <row r="15" spans="1:13" ht="18.75" x14ac:dyDescent="0.15">
      <c r="A15" s="15" t="s">
        <v>18</v>
      </c>
      <c r="B15" s="21"/>
      <c r="C15" s="17">
        <f>D15+E15</f>
        <v>9</v>
      </c>
      <c r="D15" s="17">
        <v>9</v>
      </c>
      <c r="E15" s="17">
        <v>0</v>
      </c>
      <c r="F15" s="13"/>
      <c r="G15" s="17">
        <f>H15+I15</f>
        <v>11</v>
      </c>
      <c r="H15" s="17">
        <v>10</v>
      </c>
      <c r="I15" s="17">
        <v>1</v>
      </c>
      <c r="J15" s="17">
        <f>K15+L15</f>
        <v>8</v>
      </c>
      <c r="K15" s="17">
        <v>7</v>
      </c>
      <c r="L15" s="17">
        <v>1</v>
      </c>
      <c r="M15" s="18" t="s">
        <v>47</v>
      </c>
    </row>
    <row r="16" spans="1:13" ht="18.75" x14ac:dyDescent="0.15">
      <c r="A16" s="15" t="s">
        <v>16</v>
      </c>
      <c r="B16" s="16"/>
      <c r="C16" s="17">
        <f t="shared" ref="C16:C20" si="4">D16+E16</f>
        <v>34</v>
      </c>
      <c r="D16" s="17">
        <v>30</v>
      </c>
      <c r="E16" s="17">
        <v>4</v>
      </c>
      <c r="F16" s="13"/>
      <c r="G16" s="17">
        <f t="shared" ref="G16:G20" si="5">H16+I16</f>
        <v>123</v>
      </c>
      <c r="H16" s="17">
        <v>96</v>
      </c>
      <c r="I16" s="17">
        <v>27</v>
      </c>
      <c r="J16" s="17">
        <f>K16+L16</f>
        <v>51</v>
      </c>
      <c r="K16" s="17">
        <v>26</v>
      </c>
      <c r="L16" s="17">
        <v>25</v>
      </c>
      <c r="M16" s="18" t="s">
        <v>45</v>
      </c>
    </row>
    <row r="17" spans="1:13" ht="18.75" x14ac:dyDescent="0.15">
      <c r="A17" s="15" t="s">
        <v>19</v>
      </c>
      <c r="B17" s="16"/>
      <c r="C17" s="17">
        <f t="shared" si="4"/>
        <v>0</v>
      </c>
      <c r="D17" s="17">
        <v>0</v>
      </c>
      <c r="E17" s="17">
        <v>0</v>
      </c>
      <c r="F17" s="13"/>
      <c r="G17" s="17">
        <f t="shared" si="5"/>
        <v>0</v>
      </c>
      <c r="H17" s="17">
        <v>0</v>
      </c>
      <c r="I17" s="17">
        <v>0</v>
      </c>
      <c r="J17" s="17">
        <f>K17+L17</f>
        <v>6</v>
      </c>
      <c r="K17" s="17">
        <v>1</v>
      </c>
      <c r="L17" s="17">
        <v>5</v>
      </c>
      <c r="M17" s="18" t="s">
        <v>48</v>
      </c>
    </row>
    <row r="18" spans="1:13" ht="18.75" x14ac:dyDescent="0.15">
      <c r="A18" s="22" t="s">
        <v>20</v>
      </c>
      <c r="B18" s="11"/>
      <c r="C18" s="12">
        <f t="shared" si="4"/>
        <v>0</v>
      </c>
      <c r="D18" s="12">
        <v>0</v>
      </c>
      <c r="E18" s="12">
        <v>0</v>
      </c>
      <c r="F18" s="13"/>
      <c r="G18" s="12">
        <f t="shared" si="5"/>
        <v>0</v>
      </c>
      <c r="H18" s="12">
        <v>0</v>
      </c>
      <c r="I18" s="12">
        <v>0</v>
      </c>
      <c r="J18" s="12">
        <f t="shared" ref="J18:J20" si="6">K18+L18</f>
        <v>0</v>
      </c>
      <c r="K18" s="12">
        <v>0</v>
      </c>
      <c r="L18" s="12">
        <v>0</v>
      </c>
      <c r="M18" s="14" t="s">
        <v>21</v>
      </c>
    </row>
    <row r="19" spans="1:13" ht="18.75" x14ac:dyDescent="0.15">
      <c r="A19" s="22" t="s">
        <v>22</v>
      </c>
      <c r="B19" s="11"/>
      <c r="C19" s="12">
        <f t="shared" si="4"/>
        <v>0</v>
      </c>
      <c r="D19" s="12">
        <v>0</v>
      </c>
      <c r="E19" s="12">
        <v>0</v>
      </c>
      <c r="F19" s="13"/>
      <c r="G19" s="12">
        <f t="shared" si="5"/>
        <v>71</v>
      </c>
      <c r="H19" s="12">
        <v>71</v>
      </c>
      <c r="I19" s="12">
        <v>0</v>
      </c>
      <c r="J19" s="12">
        <f t="shared" si="6"/>
        <v>0</v>
      </c>
      <c r="K19" s="12">
        <v>0</v>
      </c>
      <c r="L19" s="12">
        <v>0</v>
      </c>
      <c r="M19" s="14" t="s">
        <v>23</v>
      </c>
    </row>
    <row r="20" spans="1:13" ht="18.75" x14ac:dyDescent="0.15">
      <c r="A20" s="22" t="s">
        <v>24</v>
      </c>
      <c r="B20" s="11"/>
      <c r="C20" s="12">
        <f t="shared" si="4"/>
        <v>0</v>
      </c>
      <c r="D20" s="12">
        <v>0</v>
      </c>
      <c r="E20" s="12">
        <v>0</v>
      </c>
      <c r="F20" s="13"/>
      <c r="G20" s="12">
        <f t="shared" si="5"/>
        <v>0</v>
      </c>
      <c r="H20" s="12">
        <v>0</v>
      </c>
      <c r="I20" s="12">
        <v>0</v>
      </c>
      <c r="J20" s="12">
        <f t="shared" si="6"/>
        <v>0</v>
      </c>
      <c r="K20" s="12">
        <v>0</v>
      </c>
      <c r="L20" s="12">
        <v>0</v>
      </c>
      <c r="M20" s="23" t="s">
        <v>25</v>
      </c>
    </row>
    <row r="21" spans="1:13" ht="18.75" x14ac:dyDescent="0.15">
      <c r="A21" s="22" t="s">
        <v>26</v>
      </c>
      <c r="B21" s="11"/>
      <c r="C21" s="12">
        <f>D21</f>
        <v>88</v>
      </c>
      <c r="D21" s="12">
        <v>88</v>
      </c>
      <c r="E21" s="12">
        <v>48</v>
      </c>
      <c r="F21" s="13"/>
      <c r="G21" s="12">
        <f>H21+I21</f>
        <v>258</v>
      </c>
      <c r="H21" s="12">
        <v>181</v>
      </c>
      <c r="I21" s="12">
        <v>77</v>
      </c>
      <c r="J21" s="12">
        <f>K21+L21</f>
        <v>133</v>
      </c>
      <c r="K21" s="12">
        <v>67</v>
      </c>
      <c r="L21" s="12">
        <v>66</v>
      </c>
      <c r="M21" s="23" t="s">
        <v>27</v>
      </c>
    </row>
    <row r="22" spans="1:13" ht="18.75" x14ac:dyDescent="0.15">
      <c r="A22" s="22" t="s">
        <v>28</v>
      </c>
      <c r="B22" s="11"/>
      <c r="C22" s="12">
        <f t="shared" ref="C22:C26" si="7">D22+E22</f>
        <v>0</v>
      </c>
      <c r="D22" s="12">
        <v>0</v>
      </c>
      <c r="E22" s="12">
        <v>0</v>
      </c>
      <c r="F22" s="13"/>
      <c r="G22" s="12">
        <f t="shared" ref="G22:G26" si="8">H22+I22</f>
        <v>0</v>
      </c>
      <c r="H22" s="12">
        <v>0</v>
      </c>
      <c r="I22" s="12">
        <v>0</v>
      </c>
      <c r="J22" s="12">
        <f t="shared" ref="J22:J25" si="9">K22+L22</f>
        <v>0</v>
      </c>
      <c r="K22" s="12">
        <v>0</v>
      </c>
      <c r="L22" s="12">
        <v>0</v>
      </c>
      <c r="M22" s="23" t="s">
        <v>29</v>
      </c>
    </row>
    <row r="23" spans="1:13" ht="18.75" x14ac:dyDescent="0.15">
      <c r="A23" s="22" t="s">
        <v>37</v>
      </c>
      <c r="B23" s="11"/>
      <c r="C23" s="12">
        <v>0</v>
      </c>
      <c r="D23" s="12">
        <v>0</v>
      </c>
      <c r="E23" s="12">
        <v>0</v>
      </c>
      <c r="F23" s="13"/>
      <c r="G23" s="12">
        <f t="shared" si="8"/>
        <v>170</v>
      </c>
      <c r="H23" s="12">
        <v>15</v>
      </c>
      <c r="I23" s="12">
        <v>155</v>
      </c>
      <c r="J23" s="12">
        <f>K23+L23</f>
        <v>59</v>
      </c>
      <c r="K23" s="12">
        <v>21</v>
      </c>
      <c r="L23" s="12">
        <v>38</v>
      </c>
      <c r="M23" s="23" t="s">
        <v>38</v>
      </c>
    </row>
    <row r="24" spans="1:13" ht="18.75" x14ac:dyDescent="0.15">
      <c r="A24" s="22" t="s">
        <v>39</v>
      </c>
      <c r="B24" s="11"/>
      <c r="C24" s="12">
        <v>0</v>
      </c>
      <c r="D24" s="12">
        <v>0</v>
      </c>
      <c r="E24" s="12">
        <v>0</v>
      </c>
      <c r="F24" s="13"/>
      <c r="G24" s="12">
        <v>0</v>
      </c>
      <c r="H24" s="12">
        <v>0</v>
      </c>
      <c r="I24" s="12">
        <v>0</v>
      </c>
      <c r="J24" s="12">
        <f>K24+L24</f>
        <v>54</v>
      </c>
      <c r="K24" s="12">
        <v>41</v>
      </c>
      <c r="L24" s="12">
        <v>13</v>
      </c>
      <c r="M24" s="23" t="s">
        <v>40</v>
      </c>
    </row>
    <row r="25" spans="1:13" ht="18.75" x14ac:dyDescent="0.15">
      <c r="A25" s="22" t="s">
        <v>30</v>
      </c>
      <c r="B25" s="11"/>
      <c r="C25" s="12">
        <f t="shared" si="7"/>
        <v>0</v>
      </c>
      <c r="D25" s="12">
        <v>0</v>
      </c>
      <c r="E25" s="12">
        <v>0</v>
      </c>
      <c r="F25" s="13"/>
      <c r="G25" s="12">
        <f t="shared" si="8"/>
        <v>0</v>
      </c>
      <c r="H25" s="12">
        <v>0</v>
      </c>
      <c r="I25" s="12">
        <v>0</v>
      </c>
      <c r="J25" s="12">
        <f t="shared" si="9"/>
        <v>0</v>
      </c>
      <c r="K25" s="12">
        <v>0</v>
      </c>
      <c r="L25" s="12">
        <v>0</v>
      </c>
      <c r="M25" s="23" t="s">
        <v>31</v>
      </c>
    </row>
    <row r="26" spans="1:13" ht="18.75" x14ac:dyDescent="0.15">
      <c r="A26" s="24" t="s">
        <v>32</v>
      </c>
      <c r="B26" s="25"/>
      <c r="C26" s="26">
        <f t="shared" si="7"/>
        <v>0</v>
      </c>
      <c r="D26" s="26">
        <v>0</v>
      </c>
      <c r="E26" s="26">
        <v>0</v>
      </c>
      <c r="F26" s="27"/>
      <c r="G26" s="26">
        <f t="shared" si="8"/>
        <v>0</v>
      </c>
      <c r="H26" s="26">
        <v>0</v>
      </c>
      <c r="I26" s="26">
        <v>0</v>
      </c>
      <c r="J26" s="26">
        <f>K26+L26</f>
        <v>0</v>
      </c>
      <c r="K26" s="26">
        <v>0</v>
      </c>
      <c r="L26" s="26">
        <v>0</v>
      </c>
      <c r="M26" s="28" t="s">
        <v>33</v>
      </c>
    </row>
    <row r="27" spans="1:13" ht="18.75" x14ac:dyDescent="0.15">
      <c r="A27" s="29" t="s">
        <v>49</v>
      </c>
      <c r="B27" s="11"/>
      <c r="C27" s="12"/>
      <c r="D27" s="12"/>
      <c r="E27" s="12"/>
      <c r="F27" s="13"/>
      <c r="G27" s="12"/>
      <c r="H27" s="12"/>
      <c r="I27" s="12"/>
      <c r="J27" s="12"/>
      <c r="K27" s="12"/>
      <c r="L27" s="12"/>
      <c r="M27" s="30" t="s">
        <v>34</v>
      </c>
    </row>
    <row r="28" spans="1:13" ht="18.75" x14ac:dyDescent="0.5">
      <c r="A28" s="31" t="s">
        <v>35</v>
      </c>
      <c r="B28" s="32"/>
      <c r="C28" s="32"/>
      <c r="D28" s="32"/>
      <c r="E28" s="33"/>
      <c r="F28" s="34"/>
      <c r="G28" s="32"/>
      <c r="H28" s="32"/>
      <c r="I28" s="33"/>
      <c r="J28" s="32"/>
      <c r="K28" s="32"/>
      <c r="L28" s="33"/>
      <c r="M28" s="35" t="s">
        <v>36</v>
      </c>
    </row>
    <row r="29" spans="1:13" x14ac:dyDescent="0.15">
      <c r="A29" s="36"/>
      <c r="B29" s="36"/>
      <c r="C29" s="36"/>
      <c r="D29" s="36"/>
      <c r="E29" s="37"/>
      <c r="F29" s="38"/>
      <c r="G29" s="36"/>
      <c r="H29" s="36"/>
      <c r="I29" s="37"/>
      <c r="J29" s="36"/>
      <c r="K29" s="36"/>
      <c r="L29" s="37"/>
      <c r="M29" s="36"/>
    </row>
    <row r="30" spans="1:13" x14ac:dyDescent="0.15">
      <c r="A30" s="36"/>
      <c r="B30" s="36"/>
      <c r="C30" s="36"/>
      <c r="D30" s="36"/>
      <c r="E30" s="37"/>
      <c r="F30" s="38"/>
      <c r="G30" s="36"/>
      <c r="H30" s="36"/>
      <c r="I30" s="37"/>
      <c r="J30" s="36"/>
      <c r="K30" s="36"/>
      <c r="L30" s="37"/>
      <c r="M30" s="36"/>
    </row>
    <row r="31" spans="1:13" x14ac:dyDescent="0.15">
      <c r="A31" s="36"/>
      <c r="B31" s="36"/>
      <c r="C31" s="36"/>
      <c r="D31" s="36"/>
      <c r="E31" s="37"/>
      <c r="F31" s="38"/>
      <c r="G31" s="36"/>
      <c r="H31" s="36"/>
      <c r="I31" s="37"/>
      <c r="J31" s="36"/>
      <c r="K31" s="36"/>
      <c r="L31" s="37"/>
      <c r="M31" s="36"/>
    </row>
    <row r="32" spans="1:13" x14ac:dyDescent="0.15">
      <c r="A32" s="36"/>
      <c r="B32" s="36"/>
      <c r="C32" s="36"/>
      <c r="D32" s="36"/>
      <c r="E32" s="37"/>
      <c r="F32" s="38"/>
      <c r="G32" s="36"/>
      <c r="H32" s="36"/>
      <c r="I32" s="37"/>
      <c r="J32" s="36"/>
      <c r="K32" s="36"/>
      <c r="L32" s="37"/>
      <c r="M32" s="36"/>
    </row>
    <row r="36" spans="5:12" x14ac:dyDescent="0.15">
      <c r="E36" s="1"/>
      <c r="F36" s="1"/>
      <c r="I36" s="1"/>
      <c r="L36" s="1"/>
    </row>
    <row r="37" spans="5:12" x14ac:dyDescent="0.15">
      <c r="E37" s="1"/>
      <c r="F37" s="1"/>
      <c r="I37" s="1"/>
      <c r="L37" s="1"/>
    </row>
    <row r="38" spans="5:12" x14ac:dyDescent="0.15">
      <c r="E38" s="1"/>
      <c r="F38" s="1"/>
      <c r="I38" s="1"/>
      <c r="L38" s="1"/>
    </row>
    <row r="39" spans="5:12" x14ac:dyDescent="0.15">
      <c r="E39" s="1"/>
      <c r="F39" s="1"/>
      <c r="I39" s="1"/>
      <c r="L39" s="1"/>
    </row>
    <row r="40" spans="5:12" x14ac:dyDescent="0.15">
      <c r="E40" s="1"/>
      <c r="F40" s="1"/>
      <c r="I40" s="1"/>
      <c r="L40" s="1"/>
    </row>
    <row r="41" spans="5:12" x14ac:dyDescent="0.15">
      <c r="E41" s="1"/>
      <c r="F41" s="1"/>
      <c r="I41" s="1"/>
      <c r="L41" s="1"/>
    </row>
    <row r="42" spans="5:12" x14ac:dyDescent="0.15">
      <c r="E42" s="1"/>
      <c r="F42" s="1"/>
      <c r="I42" s="1"/>
      <c r="L42" s="1"/>
    </row>
    <row r="43" spans="5:12" x14ac:dyDescent="0.15">
      <c r="E43" s="1"/>
      <c r="F43" s="1"/>
      <c r="I43" s="1"/>
      <c r="L43" s="1"/>
    </row>
    <row r="44" spans="5:12" x14ac:dyDescent="0.15">
      <c r="E44" s="1"/>
      <c r="F44" s="1"/>
      <c r="I44" s="1"/>
      <c r="L44" s="1"/>
    </row>
    <row r="45" spans="5:12" x14ac:dyDescent="0.15">
      <c r="E45" s="1"/>
      <c r="F45" s="1"/>
      <c r="I45" s="1"/>
      <c r="L45" s="1"/>
    </row>
    <row r="46" spans="5:12" x14ac:dyDescent="0.15">
      <c r="E46" s="1"/>
      <c r="F46" s="1"/>
      <c r="I46" s="1"/>
      <c r="L46" s="1"/>
    </row>
    <row r="47" spans="5:12" x14ac:dyDescent="0.15">
      <c r="E47" s="1"/>
      <c r="F47" s="1"/>
      <c r="I47" s="1"/>
      <c r="L47" s="1"/>
    </row>
    <row r="48" spans="5:12" x14ac:dyDescent="0.15">
      <c r="E48" s="1"/>
      <c r="F48" s="1"/>
      <c r="I48" s="1"/>
      <c r="L48" s="1"/>
    </row>
    <row r="49" spans="5:12" x14ac:dyDescent="0.15">
      <c r="E49" s="1"/>
      <c r="F49" s="1"/>
      <c r="I49" s="1"/>
      <c r="L49" s="1"/>
    </row>
    <row r="50" spans="5:12" x14ac:dyDescent="0.15">
      <c r="E50" s="1"/>
      <c r="F50" s="1"/>
      <c r="I50" s="1"/>
      <c r="L50" s="1"/>
    </row>
    <row r="51" spans="5:12" x14ac:dyDescent="0.15">
      <c r="E51" s="1"/>
      <c r="F51" s="1"/>
      <c r="I51" s="1"/>
      <c r="L51" s="1"/>
    </row>
    <row r="52" spans="5:12" x14ac:dyDescent="0.15">
      <c r="E52" s="1"/>
      <c r="F52" s="1"/>
      <c r="I52" s="1"/>
      <c r="L52" s="1"/>
    </row>
    <row r="53" spans="5:12" x14ac:dyDescent="0.15">
      <c r="E53" s="1"/>
      <c r="F53" s="1"/>
      <c r="I53" s="1"/>
      <c r="L53" s="1"/>
    </row>
    <row r="54" spans="5:12" x14ac:dyDescent="0.15">
      <c r="E54" s="1"/>
      <c r="F54" s="1"/>
      <c r="I54" s="1"/>
      <c r="L54" s="1"/>
    </row>
    <row r="55" spans="5:12" x14ac:dyDescent="0.15">
      <c r="E55" s="1"/>
      <c r="F55" s="1"/>
      <c r="I55" s="1"/>
      <c r="L55" s="1"/>
    </row>
    <row r="56" spans="5:12" x14ac:dyDescent="0.15">
      <c r="E56" s="1"/>
      <c r="F56" s="1"/>
      <c r="I56" s="1"/>
      <c r="L56" s="1"/>
    </row>
    <row r="57" spans="5:12" x14ac:dyDescent="0.15">
      <c r="E57" s="1"/>
      <c r="F57" s="1"/>
      <c r="I57" s="1"/>
      <c r="L57" s="1"/>
    </row>
    <row r="58" spans="5:12" x14ac:dyDescent="0.15">
      <c r="E58" s="1"/>
      <c r="F58" s="1"/>
      <c r="I58" s="1"/>
      <c r="L58" s="1"/>
    </row>
    <row r="59" spans="5:12" x14ac:dyDescent="0.15">
      <c r="E59" s="1"/>
      <c r="F59" s="1"/>
      <c r="I59" s="1"/>
      <c r="L59" s="1"/>
    </row>
    <row r="60" spans="5:12" x14ac:dyDescent="0.15">
      <c r="E60" s="1"/>
      <c r="F60" s="1"/>
      <c r="I60" s="1"/>
      <c r="L60" s="1"/>
    </row>
    <row r="61" spans="5:12" x14ac:dyDescent="0.15">
      <c r="E61" s="1"/>
      <c r="F61" s="1"/>
      <c r="I61" s="1"/>
      <c r="L61" s="1"/>
    </row>
    <row r="62" spans="5:12" x14ac:dyDescent="0.15">
      <c r="E62" s="1"/>
      <c r="F62" s="1"/>
      <c r="I62" s="1"/>
      <c r="L62" s="1"/>
    </row>
    <row r="63" spans="5:12" x14ac:dyDescent="0.15">
      <c r="E63" s="1"/>
      <c r="F63" s="1"/>
      <c r="I63" s="1"/>
      <c r="L63" s="1"/>
    </row>
    <row r="64" spans="5:12" x14ac:dyDescent="0.15">
      <c r="E64" s="1"/>
      <c r="F64" s="1"/>
      <c r="I64" s="1"/>
      <c r="L64" s="1"/>
    </row>
    <row r="65" spans="5:12" x14ac:dyDescent="0.15">
      <c r="E65" s="1"/>
      <c r="F65" s="1"/>
      <c r="I65" s="1"/>
      <c r="L65" s="1"/>
    </row>
    <row r="66" spans="5:12" x14ac:dyDescent="0.15">
      <c r="E66" s="1"/>
      <c r="F66" s="1"/>
      <c r="I66" s="1"/>
      <c r="L66" s="1"/>
    </row>
    <row r="67" spans="5:12" x14ac:dyDescent="0.15">
      <c r="E67" s="1"/>
      <c r="F67" s="1"/>
      <c r="I67" s="1"/>
      <c r="L67" s="1"/>
    </row>
    <row r="68" spans="5:12" x14ac:dyDescent="0.15">
      <c r="E68" s="1"/>
      <c r="F68" s="1"/>
      <c r="I68" s="1"/>
      <c r="L68" s="1"/>
    </row>
    <row r="69" spans="5:12" x14ac:dyDescent="0.15">
      <c r="E69" s="1"/>
      <c r="F69" s="1"/>
      <c r="I69" s="1"/>
      <c r="L69" s="1"/>
    </row>
    <row r="70" spans="5:12" x14ac:dyDescent="0.15">
      <c r="E70" s="1"/>
      <c r="F70" s="1"/>
      <c r="I70" s="1"/>
      <c r="L70" s="1"/>
    </row>
    <row r="71" spans="5:12" x14ac:dyDescent="0.15">
      <c r="E71" s="1"/>
      <c r="F71" s="1"/>
      <c r="I71" s="1"/>
      <c r="L71" s="1"/>
    </row>
    <row r="72" spans="5:12" x14ac:dyDescent="0.15">
      <c r="E72" s="1"/>
      <c r="F72" s="1"/>
      <c r="I72" s="1"/>
      <c r="L72" s="1"/>
    </row>
    <row r="73" spans="5:12" x14ac:dyDescent="0.15">
      <c r="E73" s="1"/>
      <c r="F73" s="1"/>
      <c r="I73" s="1"/>
      <c r="L73" s="1"/>
    </row>
    <row r="74" spans="5:12" x14ac:dyDescent="0.15">
      <c r="E74" s="1"/>
      <c r="F74" s="1"/>
      <c r="I74" s="1"/>
      <c r="L74" s="1"/>
    </row>
    <row r="75" spans="5:12" ht="12.75" customHeight="1" x14ac:dyDescent="0.15">
      <c r="E75" s="1"/>
      <c r="F75" s="1"/>
      <c r="I75" s="1"/>
      <c r="L75" s="1"/>
    </row>
    <row r="76" spans="5:12" x14ac:dyDescent="0.15">
      <c r="E76" s="1"/>
      <c r="F76" s="1"/>
      <c r="I76" s="1"/>
      <c r="L76" s="1"/>
    </row>
    <row r="77" spans="5:12" ht="12.75" customHeight="1" x14ac:dyDescent="0.15">
      <c r="E77" s="1"/>
      <c r="F77" s="1"/>
      <c r="I77" s="1"/>
      <c r="L77" s="1"/>
    </row>
    <row r="78" spans="5:12" x14ac:dyDescent="0.15">
      <c r="E78" s="1"/>
      <c r="F78" s="1"/>
      <c r="I78" s="1"/>
      <c r="L78" s="1"/>
    </row>
    <row r="79" spans="5:12" x14ac:dyDescent="0.15">
      <c r="E79" s="1"/>
      <c r="F79" s="1"/>
      <c r="I79" s="1"/>
      <c r="L79" s="1"/>
    </row>
    <row r="80" spans="5:12" x14ac:dyDescent="0.15">
      <c r="E80" s="1"/>
      <c r="F80" s="1"/>
      <c r="I80" s="1"/>
      <c r="L80" s="1"/>
    </row>
    <row r="81" spans="5:12" x14ac:dyDescent="0.15">
      <c r="E81" s="1"/>
      <c r="F81" s="1"/>
      <c r="I81" s="1"/>
      <c r="L81" s="1"/>
    </row>
    <row r="82" spans="5:12" x14ac:dyDescent="0.15">
      <c r="E82" s="1"/>
      <c r="F82" s="1"/>
      <c r="I82" s="1"/>
      <c r="L82" s="1"/>
    </row>
    <row r="83" spans="5:12" x14ac:dyDescent="0.15">
      <c r="E83" s="1"/>
      <c r="F83" s="1"/>
      <c r="I83" s="1"/>
      <c r="L83" s="1"/>
    </row>
    <row r="84" spans="5:12" x14ac:dyDescent="0.15">
      <c r="E84" s="1"/>
      <c r="F84" s="1"/>
      <c r="I84" s="1"/>
      <c r="L84" s="1"/>
    </row>
    <row r="85" spans="5:12" x14ac:dyDescent="0.15">
      <c r="E85" s="1"/>
      <c r="F85" s="1"/>
      <c r="I85" s="1"/>
      <c r="L85" s="1"/>
    </row>
    <row r="86" spans="5:12" x14ac:dyDescent="0.15">
      <c r="E86" s="1"/>
      <c r="F86" s="1"/>
      <c r="I86" s="1"/>
      <c r="L86" s="1"/>
    </row>
    <row r="87" spans="5:12" x14ac:dyDescent="0.15">
      <c r="E87" s="1"/>
      <c r="F87" s="1"/>
      <c r="I87" s="1"/>
      <c r="L87" s="1"/>
    </row>
    <row r="88" spans="5:12" x14ac:dyDescent="0.15">
      <c r="E88" s="1"/>
      <c r="F88" s="1"/>
      <c r="I88" s="1"/>
      <c r="L88" s="1"/>
    </row>
    <row r="89" spans="5:12" x14ac:dyDescent="0.15">
      <c r="E89" s="1"/>
      <c r="F89" s="1"/>
      <c r="I89" s="1"/>
      <c r="L89" s="1"/>
    </row>
    <row r="90" spans="5:12" x14ac:dyDescent="0.15">
      <c r="E90" s="1"/>
      <c r="F90" s="1"/>
      <c r="I90" s="1"/>
      <c r="L90" s="1"/>
    </row>
    <row r="91" spans="5:12" x14ac:dyDescent="0.15">
      <c r="E91" s="1"/>
      <c r="F91" s="1"/>
      <c r="I91" s="1"/>
      <c r="L91" s="1"/>
    </row>
    <row r="92" spans="5:12" x14ac:dyDescent="0.15">
      <c r="E92" s="1"/>
      <c r="F92" s="1"/>
      <c r="I92" s="1"/>
      <c r="L92" s="1"/>
    </row>
    <row r="93" spans="5:12" x14ac:dyDescent="0.15">
      <c r="E93" s="1"/>
      <c r="F93" s="1"/>
      <c r="I93" s="1"/>
      <c r="L93" s="1"/>
    </row>
    <row r="94" spans="5:12" x14ac:dyDescent="0.15">
      <c r="E94" s="1"/>
      <c r="F94" s="1"/>
      <c r="I94" s="1"/>
      <c r="L94" s="1"/>
    </row>
    <row r="95" spans="5:12" x14ac:dyDescent="0.15">
      <c r="E95" s="1"/>
      <c r="F95" s="1"/>
      <c r="I95" s="1"/>
      <c r="L95" s="1"/>
    </row>
    <row r="96" spans="5:12" x14ac:dyDescent="0.15">
      <c r="E96" s="1"/>
      <c r="F96" s="1"/>
      <c r="I96" s="1"/>
      <c r="L96" s="1"/>
    </row>
    <row r="97" spans="5:12" x14ac:dyDescent="0.15">
      <c r="E97" s="1"/>
      <c r="F97" s="1"/>
      <c r="I97" s="1"/>
      <c r="L97" s="1"/>
    </row>
    <row r="98" spans="5:12" x14ac:dyDescent="0.15">
      <c r="E98" s="1"/>
      <c r="F98" s="1"/>
      <c r="I98" s="1"/>
      <c r="L98" s="1"/>
    </row>
    <row r="99" spans="5:12" x14ac:dyDescent="0.15">
      <c r="E99" s="1"/>
      <c r="F99" s="1"/>
      <c r="I99" s="1"/>
      <c r="L99" s="1"/>
    </row>
    <row r="100" spans="5:12" x14ac:dyDescent="0.15">
      <c r="E100" s="1"/>
      <c r="F100" s="1"/>
      <c r="I100" s="1"/>
      <c r="L100" s="1"/>
    </row>
    <row r="101" spans="5:12" x14ac:dyDescent="0.15">
      <c r="E101" s="1"/>
      <c r="F101" s="1"/>
      <c r="I101" s="1"/>
      <c r="L101" s="1"/>
    </row>
    <row r="102" spans="5:12" x14ac:dyDescent="0.15">
      <c r="E102" s="1"/>
      <c r="F102" s="1"/>
      <c r="I102" s="1"/>
      <c r="L102" s="1"/>
    </row>
    <row r="103" spans="5:12" x14ac:dyDescent="0.15">
      <c r="E103" s="1"/>
      <c r="F103" s="1"/>
      <c r="I103" s="1"/>
      <c r="L103" s="1"/>
    </row>
    <row r="104" spans="5:12" x14ac:dyDescent="0.15">
      <c r="E104" s="1"/>
      <c r="F104" s="1"/>
      <c r="I104" s="1"/>
      <c r="L104" s="1"/>
    </row>
    <row r="105" spans="5:12" x14ac:dyDescent="0.15">
      <c r="E105" s="1"/>
      <c r="F105" s="1"/>
      <c r="I105" s="1"/>
      <c r="L105" s="1"/>
    </row>
    <row r="106" spans="5:12" x14ac:dyDescent="0.15">
      <c r="E106" s="1"/>
      <c r="F106" s="1"/>
      <c r="I106" s="1"/>
      <c r="L106" s="1"/>
    </row>
    <row r="107" spans="5:12" x14ac:dyDescent="0.15">
      <c r="E107" s="1"/>
      <c r="F107" s="1"/>
      <c r="I107" s="1"/>
      <c r="L107" s="1"/>
    </row>
    <row r="108" spans="5:12" x14ac:dyDescent="0.15">
      <c r="E108" s="1"/>
      <c r="F108" s="1"/>
      <c r="I108" s="1"/>
      <c r="L108" s="1"/>
    </row>
    <row r="109" spans="5:12" x14ac:dyDescent="0.15">
      <c r="E109" s="1"/>
      <c r="F109" s="1"/>
      <c r="I109" s="1"/>
      <c r="L109" s="1"/>
    </row>
    <row r="110" spans="5:12" x14ac:dyDescent="0.15">
      <c r="E110" s="1"/>
      <c r="F110" s="1"/>
      <c r="I110" s="1"/>
      <c r="L110" s="1"/>
    </row>
    <row r="111" spans="5:12" x14ac:dyDescent="0.15">
      <c r="E111" s="1"/>
      <c r="F111" s="1"/>
      <c r="I111" s="1"/>
      <c r="L111" s="1"/>
    </row>
    <row r="112" spans="5:12" x14ac:dyDescent="0.15">
      <c r="E112" s="1"/>
      <c r="F112" s="1"/>
      <c r="I112" s="1"/>
      <c r="L112" s="1"/>
    </row>
    <row r="113" spans="5:12" x14ac:dyDescent="0.15">
      <c r="E113" s="1"/>
      <c r="F113" s="1"/>
      <c r="I113" s="1"/>
      <c r="L113" s="1"/>
    </row>
    <row r="114" spans="5:12" x14ac:dyDescent="0.15">
      <c r="E114" s="1"/>
      <c r="F114" s="1"/>
      <c r="I114" s="1"/>
      <c r="L114" s="1"/>
    </row>
    <row r="115" spans="5:12" x14ac:dyDescent="0.15">
      <c r="E115" s="1"/>
      <c r="F115" s="1"/>
      <c r="I115" s="1"/>
      <c r="L115" s="1"/>
    </row>
    <row r="116" spans="5:12" x14ac:dyDescent="0.15">
      <c r="E116" s="1"/>
      <c r="F116" s="1"/>
      <c r="I116" s="1"/>
      <c r="L116" s="1"/>
    </row>
    <row r="117" spans="5:12" x14ac:dyDescent="0.15">
      <c r="E117" s="1"/>
      <c r="F117" s="1"/>
      <c r="I117" s="1"/>
      <c r="L117" s="1"/>
    </row>
    <row r="118" spans="5:12" x14ac:dyDescent="0.15">
      <c r="E118" s="1"/>
      <c r="F118" s="1"/>
      <c r="I118" s="1"/>
      <c r="L118" s="1"/>
    </row>
    <row r="119" spans="5:12" x14ac:dyDescent="0.15">
      <c r="E119" s="1"/>
      <c r="F119" s="1"/>
      <c r="I119" s="1"/>
      <c r="L119" s="1"/>
    </row>
    <row r="120" spans="5:12" x14ac:dyDescent="0.15">
      <c r="E120" s="1"/>
      <c r="F120" s="1"/>
      <c r="I120" s="1"/>
      <c r="L120" s="1"/>
    </row>
    <row r="121" spans="5:12" x14ac:dyDescent="0.15">
      <c r="E121" s="1"/>
      <c r="F121" s="1"/>
      <c r="I121" s="1"/>
      <c r="L121" s="1"/>
    </row>
    <row r="122" spans="5:12" x14ac:dyDescent="0.15">
      <c r="E122" s="1"/>
      <c r="F122" s="1"/>
      <c r="I122" s="1"/>
      <c r="L122" s="1"/>
    </row>
    <row r="123" spans="5:12" x14ac:dyDescent="0.15">
      <c r="E123" s="1"/>
      <c r="F123" s="1"/>
      <c r="I123" s="1"/>
      <c r="L123" s="1"/>
    </row>
    <row r="124" spans="5:12" x14ac:dyDescent="0.15">
      <c r="E124" s="1"/>
      <c r="F124" s="1"/>
      <c r="I124" s="1"/>
      <c r="L124" s="1"/>
    </row>
    <row r="125" spans="5:12" x14ac:dyDescent="0.15">
      <c r="E125" s="1"/>
      <c r="F125" s="1"/>
      <c r="I125" s="1"/>
      <c r="L125" s="1"/>
    </row>
    <row r="126" spans="5:12" x14ac:dyDescent="0.15">
      <c r="E126" s="1"/>
      <c r="F126" s="1"/>
      <c r="I126" s="1"/>
      <c r="L126" s="1"/>
    </row>
    <row r="127" spans="5:12" x14ac:dyDescent="0.15">
      <c r="E127" s="1"/>
      <c r="F127" s="1"/>
      <c r="I127" s="1"/>
      <c r="L127" s="1"/>
    </row>
    <row r="128" spans="5:12" x14ac:dyDescent="0.15">
      <c r="E128" s="1"/>
      <c r="F128" s="1"/>
      <c r="I128" s="1"/>
      <c r="L128" s="1"/>
    </row>
    <row r="129" spans="5:12" x14ac:dyDescent="0.15">
      <c r="E129" s="1"/>
      <c r="F129" s="1"/>
      <c r="I129" s="1"/>
      <c r="L129" s="1"/>
    </row>
    <row r="130" spans="5:12" x14ac:dyDescent="0.15">
      <c r="E130" s="1"/>
      <c r="F130" s="1"/>
      <c r="I130" s="1"/>
      <c r="L130" s="1"/>
    </row>
    <row r="131" spans="5:12" x14ac:dyDescent="0.15">
      <c r="E131" s="1"/>
      <c r="F131" s="1"/>
      <c r="I131" s="1"/>
      <c r="L131" s="1"/>
    </row>
    <row r="132" spans="5:12" x14ac:dyDescent="0.15">
      <c r="E132" s="1"/>
      <c r="F132" s="1"/>
      <c r="I132" s="1"/>
      <c r="L132" s="1"/>
    </row>
    <row r="133" spans="5:12" x14ac:dyDescent="0.15">
      <c r="E133" s="1"/>
      <c r="F133" s="1"/>
      <c r="I133" s="1"/>
      <c r="L133" s="1"/>
    </row>
    <row r="134" spans="5:12" x14ac:dyDescent="0.15">
      <c r="E134" s="1"/>
      <c r="F134" s="1"/>
      <c r="I134" s="1"/>
      <c r="L134" s="1"/>
    </row>
    <row r="135" spans="5:12" x14ac:dyDescent="0.15">
      <c r="E135" s="1"/>
      <c r="F135" s="1"/>
      <c r="I135" s="1"/>
      <c r="L135" s="1"/>
    </row>
    <row r="136" spans="5:12" x14ac:dyDescent="0.15">
      <c r="E136" s="1"/>
      <c r="F136" s="1"/>
      <c r="I136" s="1"/>
      <c r="L136" s="1"/>
    </row>
    <row r="137" spans="5:12" x14ac:dyDescent="0.15">
      <c r="E137" s="1"/>
      <c r="F137" s="1"/>
      <c r="I137" s="1"/>
      <c r="L137" s="1"/>
    </row>
    <row r="138" spans="5:12" x14ac:dyDescent="0.15">
      <c r="E138" s="1"/>
      <c r="F138" s="1"/>
      <c r="I138" s="1"/>
      <c r="L138" s="1"/>
    </row>
    <row r="139" spans="5:12" x14ac:dyDescent="0.15">
      <c r="E139" s="1"/>
      <c r="F139" s="1"/>
      <c r="I139" s="1"/>
      <c r="L139" s="1"/>
    </row>
    <row r="140" spans="5:12" x14ac:dyDescent="0.15">
      <c r="E140" s="1"/>
      <c r="F140" s="1"/>
      <c r="I140" s="1"/>
      <c r="L140" s="1"/>
    </row>
    <row r="141" spans="5:12" x14ac:dyDescent="0.15">
      <c r="E141" s="1"/>
      <c r="F141" s="1"/>
      <c r="I141" s="1"/>
      <c r="L141" s="1"/>
    </row>
    <row r="142" spans="5:12" x14ac:dyDescent="0.15">
      <c r="E142" s="1"/>
      <c r="F142" s="1"/>
      <c r="I142" s="1"/>
      <c r="L142" s="1"/>
    </row>
    <row r="143" spans="5:12" x14ac:dyDescent="0.15">
      <c r="E143" s="1"/>
      <c r="F143" s="1"/>
      <c r="I143" s="1"/>
      <c r="L143" s="1"/>
    </row>
    <row r="144" spans="5:12" x14ac:dyDescent="0.15">
      <c r="E144" s="1"/>
      <c r="F144" s="1"/>
      <c r="I144" s="1"/>
      <c r="L144" s="1"/>
    </row>
    <row r="145" spans="5:12" x14ac:dyDescent="0.15">
      <c r="E145" s="1"/>
      <c r="F145" s="1"/>
      <c r="I145" s="1"/>
      <c r="L145" s="1"/>
    </row>
    <row r="146" spans="5:12" x14ac:dyDescent="0.15">
      <c r="E146" s="1"/>
      <c r="F146" s="1"/>
      <c r="I146" s="1"/>
      <c r="L146" s="1"/>
    </row>
    <row r="147" spans="5:12" x14ac:dyDescent="0.15">
      <c r="E147" s="1"/>
      <c r="F147" s="1"/>
      <c r="I147" s="1"/>
      <c r="L147" s="1"/>
    </row>
    <row r="148" spans="5:12" x14ac:dyDescent="0.15">
      <c r="E148" s="1"/>
      <c r="F148" s="1"/>
      <c r="I148" s="1"/>
      <c r="L148" s="1"/>
    </row>
    <row r="149" spans="5:12" x14ac:dyDescent="0.15">
      <c r="E149" s="1"/>
      <c r="F149" s="1"/>
      <c r="I149" s="1"/>
      <c r="L149" s="1"/>
    </row>
    <row r="150" spans="5:12" x14ac:dyDescent="0.15">
      <c r="E150" s="1"/>
      <c r="F150" s="1"/>
      <c r="I150" s="1"/>
      <c r="L150" s="1"/>
    </row>
    <row r="151" spans="5:12" x14ac:dyDescent="0.15">
      <c r="E151" s="1"/>
      <c r="F151" s="1"/>
      <c r="I151" s="1"/>
      <c r="L151" s="1"/>
    </row>
    <row r="152" spans="5:12" x14ac:dyDescent="0.15">
      <c r="E152" s="1"/>
      <c r="F152" s="1"/>
      <c r="I152" s="1"/>
      <c r="L152" s="1"/>
    </row>
    <row r="153" spans="5:12" x14ac:dyDescent="0.15">
      <c r="E153" s="1"/>
      <c r="F153" s="1"/>
      <c r="I153" s="1"/>
      <c r="L153" s="1"/>
    </row>
    <row r="154" spans="5:12" x14ac:dyDescent="0.15">
      <c r="E154" s="1"/>
      <c r="F154" s="1"/>
      <c r="I154" s="1"/>
      <c r="L154" s="1"/>
    </row>
    <row r="155" spans="5:12" x14ac:dyDescent="0.15">
      <c r="E155" s="1"/>
      <c r="F155" s="1"/>
      <c r="I155" s="1"/>
      <c r="L155" s="1"/>
    </row>
    <row r="156" spans="5:12" x14ac:dyDescent="0.15">
      <c r="E156" s="1"/>
      <c r="F156" s="1"/>
      <c r="I156" s="1"/>
      <c r="L156" s="1"/>
    </row>
    <row r="157" spans="5:12" x14ac:dyDescent="0.15">
      <c r="E157" s="1"/>
      <c r="F157" s="1"/>
      <c r="I157" s="1"/>
      <c r="L157" s="1"/>
    </row>
    <row r="158" spans="5:12" x14ac:dyDescent="0.15">
      <c r="E158" s="1"/>
      <c r="F158" s="1"/>
      <c r="I158" s="1"/>
      <c r="L158" s="1"/>
    </row>
    <row r="159" spans="5:12" x14ac:dyDescent="0.15">
      <c r="E159" s="1"/>
      <c r="F159" s="1"/>
      <c r="I159" s="1"/>
      <c r="L159" s="1"/>
    </row>
    <row r="160" spans="5:12" x14ac:dyDescent="0.15">
      <c r="E160" s="1"/>
      <c r="F160" s="1"/>
      <c r="I160" s="1"/>
      <c r="L160" s="1"/>
    </row>
    <row r="161" spans="5:12" x14ac:dyDescent="0.15">
      <c r="E161" s="1"/>
      <c r="F161" s="1"/>
      <c r="I161" s="1"/>
      <c r="L161" s="1"/>
    </row>
    <row r="162" spans="5:12" x14ac:dyDescent="0.15">
      <c r="E162" s="1"/>
      <c r="F162" s="1"/>
      <c r="I162" s="1"/>
      <c r="L162" s="1"/>
    </row>
    <row r="163" spans="5:12" x14ac:dyDescent="0.15">
      <c r="E163" s="1"/>
      <c r="F163" s="1"/>
      <c r="I163" s="1"/>
      <c r="L163" s="1"/>
    </row>
    <row r="164" spans="5:12" x14ac:dyDescent="0.15">
      <c r="E164" s="1"/>
      <c r="F164" s="1"/>
      <c r="I164" s="1"/>
      <c r="L164" s="1"/>
    </row>
    <row r="165" spans="5:12" x14ac:dyDescent="0.15">
      <c r="E165" s="1"/>
      <c r="F165" s="1"/>
      <c r="I165" s="1"/>
      <c r="L165" s="1"/>
    </row>
    <row r="166" spans="5:12" x14ac:dyDescent="0.15">
      <c r="E166" s="1"/>
      <c r="F166" s="1"/>
      <c r="I166" s="1"/>
      <c r="L166" s="1"/>
    </row>
    <row r="167" spans="5:12" x14ac:dyDescent="0.15">
      <c r="E167" s="1"/>
      <c r="F167" s="1"/>
      <c r="I167" s="1"/>
      <c r="L167" s="1"/>
    </row>
    <row r="168" spans="5:12" x14ac:dyDescent="0.15">
      <c r="E168" s="1"/>
      <c r="F168" s="1"/>
      <c r="I168" s="1"/>
      <c r="L168" s="1"/>
    </row>
    <row r="169" spans="5:12" x14ac:dyDescent="0.15">
      <c r="E169" s="1"/>
      <c r="F169" s="1"/>
      <c r="I169" s="1"/>
      <c r="L169" s="1"/>
    </row>
    <row r="170" spans="5:12" x14ac:dyDescent="0.15">
      <c r="E170" s="1"/>
      <c r="F170" s="1"/>
      <c r="I170" s="1"/>
      <c r="L170" s="1"/>
    </row>
    <row r="171" spans="5:12" x14ac:dyDescent="0.15">
      <c r="E171" s="1"/>
      <c r="F171" s="1"/>
      <c r="I171" s="1"/>
      <c r="L171" s="1"/>
    </row>
    <row r="172" spans="5:12" x14ac:dyDescent="0.15">
      <c r="E172" s="1"/>
      <c r="F172" s="1"/>
      <c r="I172" s="1"/>
      <c r="L172" s="1"/>
    </row>
    <row r="173" spans="5:12" x14ac:dyDescent="0.15">
      <c r="E173" s="1"/>
      <c r="F173" s="1"/>
      <c r="I173" s="1"/>
      <c r="L173" s="1"/>
    </row>
    <row r="174" spans="5:12" x14ac:dyDescent="0.15">
      <c r="E174" s="1"/>
      <c r="F174" s="1"/>
      <c r="I174" s="1"/>
      <c r="L174" s="1"/>
    </row>
    <row r="175" spans="5:12" x14ac:dyDescent="0.15">
      <c r="E175" s="1"/>
      <c r="F175" s="1"/>
      <c r="I175" s="1"/>
      <c r="L175" s="1"/>
    </row>
    <row r="176" spans="5:12" x14ac:dyDescent="0.15">
      <c r="E176" s="1"/>
      <c r="F176" s="1"/>
      <c r="I176" s="1"/>
      <c r="L176" s="1"/>
    </row>
    <row r="177" spans="5:12" x14ac:dyDescent="0.15">
      <c r="E177" s="1"/>
      <c r="F177" s="1"/>
      <c r="I177" s="1"/>
      <c r="L177" s="1"/>
    </row>
    <row r="178" spans="5:12" x14ac:dyDescent="0.15">
      <c r="E178" s="1"/>
      <c r="F178" s="1"/>
      <c r="I178" s="1"/>
      <c r="L178" s="1"/>
    </row>
    <row r="179" spans="5:12" x14ac:dyDescent="0.15">
      <c r="E179" s="1"/>
      <c r="F179" s="1"/>
      <c r="I179" s="1"/>
      <c r="L179" s="1"/>
    </row>
    <row r="180" spans="5:12" x14ac:dyDescent="0.15">
      <c r="E180" s="1"/>
      <c r="F180" s="1"/>
      <c r="I180" s="1"/>
      <c r="L180" s="1"/>
    </row>
    <row r="181" spans="5:12" x14ac:dyDescent="0.15">
      <c r="E181" s="1"/>
      <c r="F181" s="1"/>
      <c r="I181" s="1"/>
      <c r="L181" s="1"/>
    </row>
    <row r="182" spans="5:12" x14ac:dyDescent="0.15">
      <c r="E182" s="1"/>
      <c r="F182" s="1"/>
      <c r="I182" s="1"/>
      <c r="L182" s="1"/>
    </row>
    <row r="183" spans="5:12" x14ac:dyDescent="0.15">
      <c r="E183" s="1"/>
      <c r="F183" s="1"/>
      <c r="I183" s="1"/>
      <c r="L183" s="1"/>
    </row>
    <row r="184" spans="5:12" x14ac:dyDescent="0.15">
      <c r="E184" s="1"/>
      <c r="F184" s="1"/>
      <c r="I184" s="1"/>
      <c r="L184" s="1"/>
    </row>
    <row r="185" spans="5:12" x14ac:dyDescent="0.15">
      <c r="E185" s="1"/>
      <c r="F185" s="1"/>
      <c r="I185" s="1"/>
      <c r="L185" s="1"/>
    </row>
    <row r="186" spans="5:12" x14ac:dyDescent="0.15">
      <c r="E186" s="1"/>
      <c r="F186" s="1"/>
      <c r="I186" s="1"/>
      <c r="L186" s="1"/>
    </row>
    <row r="187" spans="5:12" x14ac:dyDescent="0.15">
      <c r="E187" s="1"/>
      <c r="F187" s="1"/>
      <c r="I187" s="1"/>
      <c r="L187" s="1"/>
    </row>
    <row r="188" spans="5:12" x14ac:dyDescent="0.15">
      <c r="E188" s="1"/>
      <c r="F188" s="1"/>
      <c r="I188" s="1"/>
      <c r="L188" s="1"/>
    </row>
    <row r="189" spans="5:12" x14ac:dyDescent="0.15">
      <c r="E189" s="1"/>
      <c r="F189" s="1"/>
      <c r="I189" s="1"/>
      <c r="L189" s="1"/>
    </row>
    <row r="190" spans="5:12" x14ac:dyDescent="0.15">
      <c r="E190" s="1"/>
      <c r="F190" s="1"/>
      <c r="I190" s="1"/>
      <c r="L190" s="1"/>
    </row>
    <row r="191" spans="5:12" x14ac:dyDescent="0.15">
      <c r="E191" s="1"/>
      <c r="F191" s="1"/>
      <c r="I191" s="1"/>
      <c r="L191" s="1"/>
    </row>
    <row r="192" spans="5:12" x14ac:dyDescent="0.15">
      <c r="E192" s="1"/>
      <c r="F192" s="1"/>
      <c r="I192" s="1"/>
      <c r="L192" s="1"/>
    </row>
    <row r="193" spans="5:12" x14ac:dyDescent="0.15">
      <c r="E193" s="1"/>
      <c r="F193" s="1"/>
      <c r="I193" s="1"/>
      <c r="L193" s="1"/>
    </row>
    <row r="194" spans="5:12" x14ac:dyDescent="0.15">
      <c r="E194" s="1"/>
      <c r="F194" s="1"/>
      <c r="I194" s="1"/>
      <c r="L194" s="1"/>
    </row>
    <row r="195" spans="5:12" x14ac:dyDescent="0.15">
      <c r="E195" s="1"/>
      <c r="F195" s="1"/>
      <c r="I195" s="1"/>
      <c r="L195" s="1"/>
    </row>
    <row r="196" spans="5:12" x14ac:dyDescent="0.15">
      <c r="E196" s="1"/>
      <c r="F196" s="1"/>
      <c r="I196" s="1"/>
      <c r="L196" s="1"/>
    </row>
    <row r="197" spans="5:12" x14ac:dyDescent="0.15">
      <c r="E197" s="1"/>
      <c r="F197" s="1"/>
      <c r="I197" s="1"/>
      <c r="L197" s="1"/>
    </row>
    <row r="198" spans="5:12" x14ac:dyDescent="0.15">
      <c r="E198" s="1"/>
      <c r="F198" s="1"/>
      <c r="I198" s="1"/>
      <c r="L198" s="1"/>
    </row>
    <row r="199" spans="5:12" x14ac:dyDescent="0.15">
      <c r="E199" s="1"/>
      <c r="F199" s="1"/>
      <c r="I199" s="1"/>
      <c r="L199" s="1"/>
    </row>
    <row r="200" spans="5:12" x14ac:dyDescent="0.15">
      <c r="E200" s="1"/>
      <c r="F200" s="1"/>
      <c r="I200" s="1"/>
      <c r="L200" s="1"/>
    </row>
    <row r="201" spans="5:12" x14ac:dyDescent="0.15">
      <c r="E201" s="1"/>
      <c r="F201" s="1"/>
      <c r="I201" s="1"/>
      <c r="L201" s="1"/>
    </row>
    <row r="202" spans="5:12" x14ac:dyDescent="0.15">
      <c r="E202" s="1"/>
      <c r="F202" s="1"/>
      <c r="I202" s="1"/>
      <c r="L202" s="1"/>
    </row>
    <row r="203" spans="5:12" x14ac:dyDescent="0.15">
      <c r="E203" s="1"/>
      <c r="F203" s="1"/>
      <c r="I203" s="1"/>
      <c r="L203" s="1"/>
    </row>
    <row r="204" spans="5:12" x14ac:dyDescent="0.15">
      <c r="E204" s="1"/>
      <c r="F204" s="1"/>
      <c r="I204" s="1"/>
      <c r="L204" s="1"/>
    </row>
    <row r="205" spans="5:12" x14ac:dyDescent="0.15">
      <c r="E205" s="1"/>
      <c r="F205" s="1"/>
      <c r="I205" s="1"/>
      <c r="L205" s="1"/>
    </row>
    <row r="206" spans="5:12" x14ac:dyDescent="0.15">
      <c r="E206" s="1"/>
      <c r="F206" s="1"/>
      <c r="I206" s="1"/>
      <c r="L206" s="1"/>
    </row>
    <row r="207" spans="5:12" x14ac:dyDescent="0.15">
      <c r="E207" s="1"/>
      <c r="F207" s="1"/>
      <c r="I207" s="1"/>
      <c r="L207" s="1"/>
    </row>
    <row r="208" spans="5:12" x14ac:dyDescent="0.15">
      <c r="E208" s="1"/>
      <c r="F208" s="1"/>
      <c r="I208" s="1"/>
      <c r="L208" s="1"/>
    </row>
    <row r="209" spans="5:12" x14ac:dyDescent="0.15">
      <c r="E209" s="1"/>
      <c r="F209" s="1"/>
      <c r="I209" s="1"/>
      <c r="L209" s="1"/>
    </row>
    <row r="210" spans="5:12" x14ac:dyDescent="0.15">
      <c r="E210" s="1"/>
      <c r="F210" s="1"/>
      <c r="I210" s="1"/>
      <c r="L210" s="1"/>
    </row>
    <row r="211" spans="5:12" x14ac:dyDescent="0.15">
      <c r="E211" s="1"/>
      <c r="F211" s="1"/>
      <c r="I211" s="1"/>
      <c r="L211" s="1"/>
    </row>
    <row r="212" spans="5:12" x14ac:dyDescent="0.15">
      <c r="E212" s="1"/>
      <c r="F212" s="1"/>
      <c r="I212" s="1"/>
      <c r="L212" s="1"/>
    </row>
    <row r="213" spans="5:12" x14ac:dyDescent="0.15">
      <c r="E213" s="1"/>
      <c r="F213" s="1"/>
      <c r="I213" s="1"/>
      <c r="L213" s="1"/>
    </row>
    <row r="214" spans="5:12" x14ac:dyDescent="0.15">
      <c r="E214" s="1"/>
      <c r="F214" s="1"/>
      <c r="I214" s="1"/>
      <c r="L214" s="1"/>
    </row>
    <row r="215" spans="5:12" x14ac:dyDescent="0.15">
      <c r="E215" s="1"/>
      <c r="F215" s="1"/>
      <c r="I215" s="1"/>
      <c r="L215" s="1"/>
    </row>
    <row r="216" spans="5:12" x14ac:dyDescent="0.15">
      <c r="E216" s="1"/>
      <c r="F216" s="1"/>
      <c r="I216" s="1"/>
      <c r="L216" s="1"/>
    </row>
    <row r="217" spans="5:12" x14ac:dyDescent="0.15">
      <c r="E217" s="1"/>
      <c r="F217" s="1"/>
      <c r="I217" s="1"/>
      <c r="L217" s="1"/>
    </row>
    <row r="218" spans="5:12" x14ac:dyDescent="0.15">
      <c r="E218" s="1"/>
      <c r="F218" s="1"/>
      <c r="I218" s="1"/>
      <c r="L218" s="1"/>
    </row>
    <row r="219" spans="5:12" x14ac:dyDescent="0.15">
      <c r="E219" s="1"/>
      <c r="F219" s="1"/>
      <c r="I219" s="1"/>
      <c r="L219" s="1"/>
    </row>
    <row r="220" spans="5:12" x14ac:dyDescent="0.15">
      <c r="E220" s="1"/>
      <c r="F220" s="1"/>
      <c r="I220" s="1"/>
      <c r="L220" s="1"/>
    </row>
    <row r="221" spans="5:12" x14ac:dyDescent="0.15">
      <c r="E221" s="1"/>
      <c r="F221" s="1"/>
      <c r="I221" s="1"/>
      <c r="L221" s="1"/>
    </row>
    <row r="222" spans="5:12" x14ac:dyDescent="0.15">
      <c r="E222" s="1"/>
      <c r="F222" s="1"/>
      <c r="I222" s="1"/>
      <c r="L222" s="1"/>
    </row>
    <row r="223" spans="5:12" x14ac:dyDescent="0.15">
      <c r="E223" s="1"/>
      <c r="F223" s="1"/>
      <c r="I223" s="1"/>
      <c r="L223" s="1"/>
    </row>
    <row r="224" spans="5:12" x14ac:dyDescent="0.15">
      <c r="E224" s="1"/>
      <c r="F224" s="1"/>
      <c r="I224" s="1"/>
      <c r="L224" s="1"/>
    </row>
    <row r="225" spans="5:12" x14ac:dyDescent="0.15">
      <c r="E225" s="1"/>
      <c r="F225" s="1"/>
      <c r="I225" s="1"/>
      <c r="L225" s="1"/>
    </row>
    <row r="226" spans="5:12" x14ac:dyDescent="0.15">
      <c r="E226" s="1"/>
      <c r="F226" s="1"/>
      <c r="I226" s="1"/>
      <c r="L226" s="1"/>
    </row>
    <row r="227" spans="5:12" x14ac:dyDescent="0.15">
      <c r="E227" s="1"/>
      <c r="F227" s="1"/>
      <c r="I227" s="1"/>
      <c r="L227" s="1"/>
    </row>
    <row r="228" spans="5:12" x14ac:dyDescent="0.15">
      <c r="E228" s="1"/>
      <c r="F228" s="1"/>
      <c r="I228" s="1"/>
      <c r="L228" s="1"/>
    </row>
    <row r="229" spans="5:12" x14ac:dyDescent="0.15">
      <c r="E229" s="1"/>
      <c r="F229" s="1"/>
      <c r="I229" s="1"/>
      <c r="L229" s="1"/>
    </row>
    <row r="230" spans="5:12" x14ac:dyDescent="0.15">
      <c r="E230" s="1"/>
      <c r="F230" s="1"/>
      <c r="I230" s="1"/>
      <c r="L230" s="1"/>
    </row>
    <row r="231" spans="5:12" x14ac:dyDescent="0.15">
      <c r="E231" s="1"/>
      <c r="F231" s="1"/>
      <c r="I231" s="1"/>
      <c r="L231" s="1"/>
    </row>
    <row r="232" spans="5:12" x14ac:dyDescent="0.15">
      <c r="E232" s="1"/>
      <c r="F232" s="1"/>
      <c r="I232" s="1"/>
      <c r="L232" s="1"/>
    </row>
    <row r="233" spans="5:12" x14ac:dyDescent="0.15">
      <c r="E233" s="1"/>
      <c r="F233" s="1"/>
      <c r="I233" s="1"/>
      <c r="L233" s="1"/>
    </row>
    <row r="234" spans="5:12" x14ac:dyDescent="0.15">
      <c r="E234" s="1"/>
      <c r="F234" s="1"/>
      <c r="I234" s="1"/>
      <c r="L234" s="1"/>
    </row>
    <row r="235" spans="5:12" x14ac:dyDescent="0.15">
      <c r="E235" s="1"/>
      <c r="F235" s="1"/>
      <c r="I235" s="1"/>
      <c r="L235" s="1"/>
    </row>
    <row r="236" spans="5:12" x14ac:dyDescent="0.15">
      <c r="E236" s="1"/>
      <c r="F236" s="1"/>
      <c r="I236" s="1"/>
      <c r="L236" s="1"/>
    </row>
    <row r="237" spans="5:12" x14ac:dyDescent="0.15">
      <c r="E237" s="1"/>
      <c r="F237" s="1"/>
      <c r="I237" s="1"/>
      <c r="L237" s="1"/>
    </row>
    <row r="238" spans="5:12" x14ac:dyDescent="0.15">
      <c r="E238" s="1"/>
      <c r="F238" s="1"/>
      <c r="I238" s="1"/>
      <c r="L238" s="1"/>
    </row>
    <row r="239" spans="5:12" x14ac:dyDescent="0.15">
      <c r="E239" s="1"/>
      <c r="F239" s="1"/>
      <c r="I239" s="1"/>
      <c r="L239" s="1"/>
    </row>
    <row r="240" spans="5:12" x14ac:dyDescent="0.15">
      <c r="E240" s="1"/>
      <c r="F240" s="1"/>
      <c r="I240" s="1"/>
      <c r="L240" s="1"/>
    </row>
    <row r="241" spans="5:12" x14ac:dyDescent="0.15">
      <c r="E241" s="1"/>
      <c r="F241" s="1"/>
      <c r="I241" s="1"/>
      <c r="L241" s="1"/>
    </row>
    <row r="242" spans="5:12" x14ac:dyDescent="0.15">
      <c r="E242" s="1"/>
      <c r="F242" s="1"/>
      <c r="I242" s="1"/>
      <c r="L242" s="1"/>
    </row>
    <row r="243" spans="5:12" x14ac:dyDescent="0.15">
      <c r="E243" s="1"/>
      <c r="F243" s="1"/>
      <c r="I243" s="1"/>
      <c r="L243" s="1"/>
    </row>
    <row r="244" spans="5:12" x14ac:dyDescent="0.15">
      <c r="E244" s="1"/>
      <c r="F244" s="1"/>
      <c r="I244" s="1"/>
      <c r="L244" s="1"/>
    </row>
    <row r="245" spans="5:12" x14ac:dyDescent="0.15">
      <c r="E245" s="1"/>
      <c r="F245" s="1"/>
      <c r="I245" s="1"/>
      <c r="L245" s="1"/>
    </row>
    <row r="246" spans="5:12" x14ac:dyDescent="0.15">
      <c r="E246" s="1"/>
      <c r="F246" s="1"/>
      <c r="I246" s="1"/>
      <c r="L246" s="1"/>
    </row>
    <row r="247" spans="5:12" x14ac:dyDescent="0.15">
      <c r="E247" s="1"/>
      <c r="F247" s="1"/>
      <c r="I247" s="1"/>
      <c r="L247" s="1"/>
    </row>
    <row r="248" spans="5:12" x14ac:dyDescent="0.15">
      <c r="E248" s="1"/>
      <c r="F248" s="1"/>
      <c r="I248" s="1"/>
      <c r="L248" s="1"/>
    </row>
    <row r="249" spans="5:12" x14ac:dyDescent="0.15">
      <c r="E249" s="1"/>
      <c r="F249" s="1"/>
      <c r="I249" s="1"/>
      <c r="L249" s="1"/>
    </row>
    <row r="250" spans="5:12" x14ac:dyDescent="0.15">
      <c r="E250" s="1"/>
      <c r="F250" s="1"/>
      <c r="I250" s="1"/>
      <c r="L250" s="1"/>
    </row>
    <row r="251" spans="5:12" x14ac:dyDescent="0.15">
      <c r="E251" s="1"/>
      <c r="F251" s="1"/>
      <c r="I251" s="1"/>
      <c r="L251" s="1"/>
    </row>
    <row r="252" spans="5:12" x14ac:dyDescent="0.15">
      <c r="E252" s="1"/>
      <c r="F252" s="1"/>
      <c r="I252" s="1"/>
      <c r="L252" s="1"/>
    </row>
    <row r="253" spans="5:12" x14ac:dyDescent="0.15">
      <c r="E253" s="1"/>
      <c r="F253" s="1"/>
      <c r="I253" s="1"/>
      <c r="L253" s="1"/>
    </row>
    <row r="254" spans="5:12" x14ac:dyDescent="0.15">
      <c r="E254" s="1"/>
      <c r="F254" s="1"/>
      <c r="I254" s="1"/>
      <c r="L254" s="1"/>
    </row>
    <row r="255" spans="5:12" x14ac:dyDescent="0.15">
      <c r="E255" s="1"/>
      <c r="F255" s="1"/>
      <c r="I255" s="1"/>
      <c r="L255" s="1"/>
    </row>
    <row r="256" spans="5:12" x14ac:dyDescent="0.15">
      <c r="E256" s="1"/>
      <c r="F256" s="1"/>
      <c r="I256" s="1"/>
      <c r="L256" s="1"/>
    </row>
    <row r="257" spans="5:12" x14ac:dyDescent="0.15">
      <c r="E257" s="1"/>
      <c r="F257" s="1"/>
      <c r="I257" s="1"/>
      <c r="L257" s="1"/>
    </row>
    <row r="258" spans="5:12" x14ac:dyDescent="0.15">
      <c r="E258" s="1"/>
      <c r="F258" s="1"/>
      <c r="I258" s="1"/>
      <c r="L258" s="1"/>
    </row>
    <row r="259" spans="5:12" x14ac:dyDescent="0.15">
      <c r="E259" s="1"/>
      <c r="F259" s="1"/>
      <c r="I259" s="1"/>
      <c r="L259" s="1"/>
    </row>
    <row r="260" spans="5:12" x14ac:dyDescent="0.15">
      <c r="E260" s="1"/>
      <c r="F260" s="1"/>
      <c r="I260" s="1"/>
      <c r="L260" s="1"/>
    </row>
    <row r="261" spans="5:12" x14ac:dyDescent="0.15">
      <c r="E261" s="1"/>
      <c r="F261" s="1"/>
      <c r="I261" s="1"/>
      <c r="L261" s="1"/>
    </row>
    <row r="262" spans="5:12" x14ac:dyDescent="0.15">
      <c r="E262" s="1"/>
      <c r="F262" s="1"/>
      <c r="I262" s="1"/>
      <c r="L262" s="1"/>
    </row>
    <row r="263" spans="5:12" x14ac:dyDescent="0.15">
      <c r="E263" s="1"/>
      <c r="F263" s="1"/>
      <c r="I263" s="1"/>
      <c r="L263" s="1"/>
    </row>
    <row r="264" spans="5:12" x14ac:dyDescent="0.15">
      <c r="E264" s="1"/>
      <c r="F264" s="1"/>
      <c r="I264" s="1"/>
      <c r="L264" s="1"/>
    </row>
    <row r="265" spans="5:12" x14ac:dyDescent="0.15">
      <c r="E265" s="1"/>
      <c r="F265" s="1"/>
      <c r="I265" s="1"/>
      <c r="L265" s="1"/>
    </row>
    <row r="266" spans="5:12" x14ac:dyDescent="0.15">
      <c r="E266" s="1"/>
      <c r="F266" s="1"/>
      <c r="I266" s="1"/>
      <c r="L266" s="1"/>
    </row>
    <row r="267" spans="5:12" x14ac:dyDescent="0.15">
      <c r="E267" s="1"/>
      <c r="F267" s="1"/>
      <c r="I267" s="1"/>
      <c r="L267" s="1"/>
    </row>
    <row r="268" spans="5:12" x14ac:dyDescent="0.15">
      <c r="E268" s="1"/>
      <c r="F268" s="1"/>
      <c r="I268" s="1"/>
      <c r="L268" s="1"/>
    </row>
    <row r="269" spans="5:12" x14ac:dyDescent="0.15">
      <c r="E269" s="1"/>
      <c r="F269" s="1"/>
      <c r="I269" s="1"/>
      <c r="L269" s="1"/>
    </row>
    <row r="270" spans="5:12" x14ac:dyDescent="0.15">
      <c r="E270" s="1"/>
      <c r="F270" s="1"/>
      <c r="I270" s="1"/>
      <c r="L270" s="1"/>
    </row>
    <row r="271" spans="5:12" x14ac:dyDescent="0.15">
      <c r="E271" s="1"/>
      <c r="F271" s="1"/>
      <c r="I271" s="1"/>
      <c r="L271" s="1"/>
    </row>
    <row r="272" spans="5:12" x14ac:dyDescent="0.15">
      <c r="E272" s="1"/>
      <c r="F272" s="1"/>
      <c r="I272" s="1"/>
      <c r="L272" s="1"/>
    </row>
    <row r="273" spans="5:12" x14ac:dyDescent="0.15">
      <c r="E273" s="1"/>
      <c r="F273" s="1"/>
      <c r="I273" s="1"/>
      <c r="L273" s="1"/>
    </row>
    <row r="274" spans="5:12" x14ac:dyDescent="0.15">
      <c r="E274" s="1"/>
      <c r="F274" s="1"/>
      <c r="I274" s="1"/>
      <c r="L274" s="1"/>
    </row>
    <row r="275" spans="5:12" x14ac:dyDescent="0.15">
      <c r="E275" s="1"/>
      <c r="F275" s="1"/>
      <c r="I275" s="1"/>
      <c r="L275" s="1"/>
    </row>
    <row r="276" spans="5:12" x14ac:dyDescent="0.15">
      <c r="E276" s="1"/>
      <c r="F276" s="1"/>
      <c r="I276" s="1"/>
      <c r="L276" s="1"/>
    </row>
    <row r="277" spans="5:12" x14ac:dyDescent="0.15">
      <c r="E277" s="1"/>
      <c r="F277" s="1"/>
      <c r="I277" s="1"/>
      <c r="L277" s="1"/>
    </row>
    <row r="278" spans="5:12" x14ac:dyDescent="0.15">
      <c r="E278" s="1"/>
      <c r="F278" s="1"/>
      <c r="I278" s="1"/>
      <c r="L278" s="1"/>
    </row>
    <row r="279" spans="5:12" x14ac:dyDescent="0.15">
      <c r="E279" s="1"/>
      <c r="F279" s="1"/>
      <c r="I279" s="1"/>
      <c r="L279" s="1"/>
    </row>
    <row r="280" spans="5:12" x14ac:dyDescent="0.15">
      <c r="E280" s="1"/>
      <c r="F280" s="1"/>
      <c r="I280" s="1"/>
      <c r="L280" s="1"/>
    </row>
    <row r="281" spans="5:12" x14ac:dyDescent="0.15">
      <c r="E281" s="1"/>
      <c r="F281" s="1"/>
      <c r="I281" s="1"/>
      <c r="L281" s="1"/>
    </row>
    <row r="282" spans="5:12" x14ac:dyDescent="0.15">
      <c r="E282" s="1"/>
      <c r="F282" s="1"/>
      <c r="I282" s="1"/>
      <c r="L282" s="1"/>
    </row>
    <row r="283" spans="5:12" x14ac:dyDescent="0.15">
      <c r="E283" s="1"/>
      <c r="F283" s="1"/>
      <c r="I283" s="1"/>
      <c r="L283" s="1"/>
    </row>
    <row r="284" spans="5:12" x14ac:dyDescent="0.15">
      <c r="E284" s="1"/>
      <c r="F284" s="1"/>
      <c r="I284" s="1"/>
      <c r="L284" s="1"/>
    </row>
    <row r="285" spans="5:12" x14ac:dyDescent="0.15">
      <c r="E285" s="1"/>
      <c r="F285" s="1"/>
      <c r="I285" s="1"/>
      <c r="L285" s="1"/>
    </row>
    <row r="286" spans="5:12" x14ac:dyDescent="0.15">
      <c r="E286" s="1"/>
      <c r="F286" s="1"/>
      <c r="I286" s="1"/>
      <c r="L286" s="1"/>
    </row>
    <row r="287" spans="5:12" x14ac:dyDescent="0.15">
      <c r="E287" s="1"/>
      <c r="F287" s="1"/>
      <c r="I287" s="1"/>
      <c r="L287" s="1"/>
    </row>
    <row r="288" spans="5:12" x14ac:dyDescent="0.15">
      <c r="E288" s="1"/>
      <c r="F288" s="1"/>
      <c r="I288" s="1"/>
      <c r="L288" s="1"/>
    </row>
    <row r="289" spans="5:12" x14ac:dyDescent="0.15">
      <c r="E289" s="1"/>
      <c r="F289" s="1"/>
      <c r="I289" s="1"/>
      <c r="L289" s="1"/>
    </row>
    <row r="290" spans="5:12" x14ac:dyDescent="0.15">
      <c r="E290" s="1"/>
      <c r="F290" s="1"/>
      <c r="I290" s="1"/>
      <c r="L290" s="1"/>
    </row>
    <row r="291" spans="5:12" x14ac:dyDescent="0.15">
      <c r="E291" s="1"/>
      <c r="F291" s="1"/>
      <c r="I291" s="1"/>
      <c r="L291" s="1"/>
    </row>
    <row r="292" spans="5:12" x14ac:dyDescent="0.15">
      <c r="E292" s="1"/>
      <c r="F292" s="1"/>
      <c r="I292" s="1"/>
      <c r="L292" s="1"/>
    </row>
    <row r="293" spans="5:12" x14ac:dyDescent="0.15">
      <c r="E293" s="1"/>
      <c r="F293" s="1"/>
      <c r="I293" s="1"/>
      <c r="L293" s="1"/>
    </row>
    <row r="294" spans="5:12" x14ac:dyDescent="0.15">
      <c r="E294" s="1"/>
      <c r="F294" s="1"/>
      <c r="I294" s="1"/>
      <c r="L294" s="1"/>
    </row>
    <row r="295" spans="5:12" x14ac:dyDescent="0.15">
      <c r="E295" s="1"/>
      <c r="F295" s="1"/>
      <c r="I295" s="1"/>
      <c r="L295" s="1"/>
    </row>
    <row r="296" spans="5:12" x14ac:dyDescent="0.15">
      <c r="E296" s="1"/>
      <c r="F296" s="1"/>
      <c r="I296" s="1"/>
      <c r="L296" s="1"/>
    </row>
    <row r="297" spans="5:12" x14ac:dyDescent="0.15">
      <c r="E297" s="1"/>
      <c r="F297" s="1"/>
      <c r="I297" s="1"/>
      <c r="L297" s="1"/>
    </row>
    <row r="298" spans="5:12" x14ac:dyDescent="0.15">
      <c r="E298" s="1"/>
      <c r="F298" s="1"/>
      <c r="I298" s="1"/>
      <c r="L298" s="1"/>
    </row>
    <row r="299" spans="5:12" x14ac:dyDescent="0.15">
      <c r="E299" s="1"/>
      <c r="F299" s="1"/>
      <c r="I299" s="1"/>
      <c r="L299" s="1"/>
    </row>
    <row r="300" spans="5:12" x14ac:dyDescent="0.15">
      <c r="E300" s="1"/>
      <c r="F300" s="1"/>
      <c r="I300" s="1"/>
      <c r="L300" s="1"/>
    </row>
    <row r="301" spans="5:12" x14ac:dyDescent="0.15">
      <c r="E301" s="1"/>
      <c r="F301" s="1"/>
      <c r="I301" s="1"/>
      <c r="L301" s="1"/>
    </row>
    <row r="302" spans="5:12" x14ac:dyDescent="0.15">
      <c r="E302" s="1"/>
      <c r="F302" s="1"/>
      <c r="I302" s="1"/>
      <c r="L302" s="1"/>
    </row>
    <row r="303" spans="5:12" x14ac:dyDescent="0.15">
      <c r="E303" s="1"/>
      <c r="F303" s="1"/>
      <c r="I303" s="1"/>
      <c r="L303" s="1"/>
    </row>
    <row r="304" spans="5:12" x14ac:dyDescent="0.15">
      <c r="E304" s="1"/>
      <c r="F304" s="1"/>
      <c r="I304" s="1"/>
      <c r="L304" s="1"/>
    </row>
    <row r="305" spans="5:12" x14ac:dyDescent="0.15">
      <c r="E305" s="1"/>
      <c r="F305" s="1"/>
      <c r="I305" s="1"/>
      <c r="L305" s="1"/>
    </row>
    <row r="306" spans="5:12" x14ac:dyDescent="0.15">
      <c r="E306" s="1"/>
      <c r="F306" s="1"/>
      <c r="I306" s="1"/>
      <c r="L306" s="1"/>
    </row>
    <row r="307" spans="5:12" x14ac:dyDescent="0.15">
      <c r="E307" s="1"/>
      <c r="F307" s="1"/>
      <c r="I307" s="1"/>
      <c r="L307" s="1"/>
    </row>
    <row r="308" spans="5:12" x14ac:dyDescent="0.15">
      <c r="E308" s="1"/>
      <c r="F308" s="1"/>
      <c r="I308" s="1"/>
      <c r="L308" s="1"/>
    </row>
    <row r="309" spans="5:12" x14ac:dyDescent="0.15">
      <c r="E309" s="1"/>
      <c r="F309" s="1"/>
      <c r="I309" s="1"/>
      <c r="L309" s="1"/>
    </row>
    <row r="310" spans="5:12" x14ac:dyDescent="0.15">
      <c r="E310" s="1"/>
      <c r="F310" s="1"/>
      <c r="I310" s="1"/>
      <c r="L310" s="1"/>
    </row>
    <row r="311" spans="5:12" x14ac:dyDescent="0.15">
      <c r="E311" s="1"/>
      <c r="F311" s="1"/>
      <c r="I311" s="1"/>
      <c r="L311" s="1"/>
    </row>
    <row r="312" spans="5:12" x14ac:dyDescent="0.15">
      <c r="E312" s="1"/>
      <c r="F312" s="1"/>
      <c r="I312" s="1"/>
      <c r="L312" s="1"/>
    </row>
    <row r="313" spans="5:12" x14ac:dyDescent="0.15">
      <c r="E313" s="1"/>
      <c r="F313" s="1"/>
      <c r="I313" s="1"/>
      <c r="L313" s="1"/>
    </row>
    <row r="314" spans="5:12" x14ac:dyDescent="0.15">
      <c r="E314" s="1"/>
      <c r="F314" s="1"/>
      <c r="I314" s="1"/>
      <c r="L314" s="1"/>
    </row>
    <row r="315" spans="5:12" x14ac:dyDescent="0.15">
      <c r="E315" s="1"/>
      <c r="F315" s="1"/>
      <c r="I315" s="1"/>
      <c r="L315" s="1"/>
    </row>
    <row r="316" spans="5:12" x14ac:dyDescent="0.15">
      <c r="E316" s="1"/>
      <c r="F316" s="1"/>
      <c r="I316" s="1"/>
      <c r="L316" s="1"/>
    </row>
    <row r="317" spans="5:12" x14ac:dyDescent="0.15">
      <c r="E317" s="1"/>
      <c r="F317" s="1"/>
      <c r="I317" s="1"/>
      <c r="L317" s="1"/>
    </row>
    <row r="318" spans="5:12" x14ac:dyDescent="0.15">
      <c r="E318" s="1"/>
      <c r="F318" s="1"/>
      <c r="I318" s="1"/>
      <c r="L318" s="1"/>
    </row>
    <row r="319" spans="5:12" x14ac:dyDescent="0.15">
      <c r="E319" s="1"/>
      <c r="F319" s="1"/>
      <c r="I319" s="1"/>
      <c r="L319" s="1"/>
    </row>
    <row r="320" spans="5:12" x14ac:dyDescent="0.15">
      <c r="E320" s="1"/>
      <c r="F320" s="1"/>
      <c r="I320" s="1"/>
      <c r="L320" s="1"/>
    </row>
    <row r="321" spans="5:12" x14ac:dyDescent="0.15">
      <c r="E321" s="1"/>
      <c r="F321" s="1"/>
      <c r="I321" s="1"/>
      <c r="L321" s="1"/>
    </row>
    <row r="322" spans="5:12" x14ac:dyDescent="0.15">
      <c r="E322" s="1"/>
      <c r="F322" s="1"/>
      <c r="I322" s="1"/>
      <c r="L322" s="1"/>
    </row>
    <row r="323" spans="5:12" x14ac:dyDescent="0.15">
      <c r="E323" s="1"/>
      <c r="F323" s="1"/>
      <c r="I323" s="1"/>
      <c r="L323" s="1"/>
    </row>
    <row r="324" spans="5:12" x14ac:dyDescent="0.15">
      <c r="E324" s="1"/>
      <c r="F324" s="1"/>
      <c r="I324" s="1"/>
      <c r="L324" s="1"/>
    </row>
    <row r="325" spans="5:12" x14ac:dyDescent="0.15">
      <c r="E325" s="1"/>
      <c r="F325" s="1"/>
      <c r="I325" s="1"/>
      <c r="L325" s="1"/>
    </row>
    <row r="326" spans="5:12" x14ac:dyDescent="0.15">
      <c r="E326" s="1"/>
      <c r="F326" s="1"/>
      <c r="I326" s="1"/>
      <c r="L326" s="1"/>
    </row>
    <row r="327" spans="5:12" x14ac:dyDescent="0.15">
      <c r="E327" s="1"/>
      <c r="F327" s="1"/>
      <c r="I327" s="1"/>
      <c r="L327" s="1"/>
    </row>
    <row r="328" spans="5:12" x14ac:dyDescent="0.15">
      <c r="E328" s="1"/>
      <c r="F328" s="1"/>
      <c r="I328" s="1"/>
      <c r="L328" s="1"/>
    </row>
    <row r="329" spans="5:12" x14ac:dyDescent="0.15">
      <c r="E329" s="1"/>
      <c r="F329" s="1"/>
      <c r="I329" s="1"/>
      <c r="L329" s="1"/>
    </row>
    <row r="330" spans="5:12" x14ac:dyDescent="0.15">
      <c r="E330" s="1"/>
      <c r="F330" s="1"/>
      <c r="I330" s="1"/>
      <c r="L330" s="1"/>
    </row>
    <row r="331" spans="5:12" x14ac:dyDescent="0.15">
      <c r="E331" s="1"/>
      <c r="F331" s="1"/>
      <c r="I331" s="1"/>
      <c r="L331" s="1"/>
    </row>
    <row r="332" spans="5:12" x14ac:dyDescent="0.15">
      <c r="E332" s="1"/>
      <c r="F332" s="1"/>
      <c r="I332" s="1"/>
      <c r="L332" s="1"/>
    </row>
    <row r="333" spans="5:12" x14ac:dyDescent="0.15">
      <c r="E333" s="1"/>
      <c r="F333" s="1"/>
      <c r="I333" s="1"/>
      <c r="L333" s="1"/>
    </row>
    <row r="334" spans="5:12" x14ac:dyDescent="0.15">
      <c r="E334" s="1"/>
      <c r="F334" s="1"/>
      <c r="I334" s="1"/>
      <c r="L334" s="1"/>
    </row>
    <row r="335" spans="5:12" x14ac:dyDescent="0.15">
      <c r="E335" s="1"/>
      <c r="F335" s="1"/>
      <c r="I335" s="1"/>
      <c r="L335" s="1"/>
    </row>
    <row r="336" spans="5:12" x14ac:dyDescent="0.15">
      <c r="E336" s="1"/>
      <c r="F336" s="1"/>
      <c r="I336" s="1"/>
      <c r="L336" s="1"/>
    </row>
    <row r="337" spans="5:12" x14ac:dyDescent="0.15">
      <c r="E337" s="1"/>
      <c r="F337" s="1"/>
      <c r="I337" s="1"/>
      <c r="L337" s="1"/>
    </row>
    <row r="338" spans="5:12" x14ac:dyDescent="0.15">
      <c r="E338" s="1"/>
      <c r="F338" s="1"/>
      <c r="I338" s="1"/>
      <c r="L338" s="1"/>
    </row>
    <row r="339" spans="5:12" x14ac:dyDescent="0.15">
      <c r="E339" s="1"/>
      <c r="F339" s="1"/>
      <c r="I339" s="1"/>
      <c r="L339" s="1"/>
    </row>
    <row r="340" spans="5:12" x14ac:dyDescent="0.15">
      <c r="E340" s="1"/>
      <c r="F340" s="1"/>
      <c r="I340" s="1"/>
      <c r="L340" s="1"/>
    </row>
    <row r="341" spans="5:12" x14ac:dyDescent="0.15">
      <c r="E341" s="1"/>
      <c r="F341" s="1"/>
      <c r="I341" s="1"/>
      <c r="L341" s="1"/>
    </row>
    <row r="342" spans="5:12" x14ac:dyDescent="0.15">
      <c r="E342" s="1"/>
      <c r="F342" s="1"/>
      <c r="I342" s="1"/>
      <c r="L342" s="1"/>
    </row>
    <row r="343" spans="5:12" x14ac:dyDescent="0.15">
      <c r="E343" s="1"/>
      <c r="F343" s="1"/>
      <c r="I343" s="1"/>
      <c r="L343" s="1"/>
    </row>
    <row r="344" spans="5:12" x14ac:dyDescent="0.15">
      <c r="E344" s="1"/>
      <c r="F344" s="1"/>
      <c r="I344" s="1"/>
      <c r="L344" s="1"/>
    </row>
    <row r="345" spans="5:12" x14ac:dyDescent="0.15">
      <c r="E345" s="1"/>
      <c r="F345" s="1"/>
      <c r="I345" s="1"/>
      <c r="L345" s="1"/>
    </row>
    <row r="346" spans="5:12" x14ac:dyDescent="0.15">
      <c r="E346" s="1"/>
      <c r="F346" s="1"/>
      <c r="I346" s="1"/>
      <c r="L346" s="1"/>
    </row>
    <row r="347" spans="5:12" x14ac:dyDescent="0.15">
      <c r="E347" s="1"/>
      <c r="F347" s="1"/>
      <c r="I347" s="1"/>
      <c r="L347" s="1"/>
    </row>
    <row r="348" spans="5:12" x14ac:dyDescent="0.15">
      <c r="E348" s="1"/>
      <c r="F348" s="1"/>
      <c r="I348" s="1"/>
      <c r="L348" s="1"/>
    </row>
    <row r="349" spans="5:12" x14ac:dyDescent="0.15">
      <c r="E349" s="1"/>
      <c r="F349" s="1"/>
      <c r="I349" s="1"/>
      <c r="L349" s="1"/>
    </row>
    <row r="350" spans="5:12" x14ac:dyDescent="0.15">
      <c r="E350" s="1"/>
      <c r="F350" s="1"/>
      <c r="I350" s="1"/>
      <c r="L350" s="1"/>
    </row>
    <row r="351" spans="5:12" x14ac:dyDescent="0.15">
      <c r="E351" s="1"/>
      <c r="F351" s="1"/>
      <c r="I351" s="1"/>
      <c r="L351" s="1"/>
    </row>
    <row r="352" spans="5:12" x14ac:dyDescent="0.15">
      <c r="E352" s="1"/>
      <c r="F352" s="1"/>
      <c r="I352" s="1"/>
      <c r="L352" s="1"/>
    </row>
    <row r="353" spans="5:12" x14ac:dyDescent="0.15">
      <c r="E353" s="1"/>
      <c r="F353" s="1"/>
      <c r="I353" s="1"/>
      <c r="L353" s="1"/>
    </row>
    <row r="354" spans="5:12" x14ac:dyDescent="0.15">
      <c r="E354" s="1"/>
      <c r="F354" s="1"/>
      <c r="I354" s="1"/>
      <c r="L354" s="1"/>
    </row>
    <row r="355" spans="5:12" x14ac:dyDescent="0.15">
      <c r="E355" s="1"/>
      <c r="F355" s="1"/>
      <c r="I355" s="1"/>
      <c r="L355" s="1"/>
    </row>
    <row r="356" spans="5:12" x14ac:dyDescent="0.15">
      <c r="E356" s="1"/>
      <c r="F356" s="1"/>
      <c r="I356" s="1"/>
      <c r="L356" s="1"/>
    </row>
    <row r="357" spans="5:12" x14ac:dyDescent="0.15">
      <c r="E357" s="1"/>
      <c r="F357" s="1"/>
      <c r="I357" s="1"/>
      <c r="L357" s="1"/>
    </row>
    <row r="358" spans="5:12" x14ac:dyDescent="0.15">
      <c r="E358" s="1"/>
      <c r="F358" s="1"/>
      <c r="I358" s="1"/>
      <c r="L358" s="1"/>
    </row>
    <row r="359" spans="5:12" x14ac:dyDescent="0.15">
      <c r="E359" s="1"/>
      <c r="F359" s="1"/>
      <c r="I359" s="1"/>
      <c r="L359" s="1"/>
    </row>
    <row r="360" spans="5:12" x14ac:dyDescent="0.15">
      <c r="E360" s="1"/>
      <c r="F360" s="1"/>
      <c r="I360" s="1"/>
      <c r="L360" s="1"/>
    </row>
    <row r="361" spans="5:12" x14ac:dyDescent="0.15">
      <c r="E361" s="1"/>
      <c r="F361" s="1"/>
      <c r="I361" s="1"/>
      <c r="L361" s="1"/>
    </row>
    <row r="362" spans="5:12" x14ac:dyDescent="0.15">
      <c r="E362" s="1"/>
      <c r="F362" s="1"/>
      <c r="I362" s="1"/>
      <c r="L362" s="1"/>
    </row>
    <row r="363" spans="5:12" x14ac:dyDescent="0.15">
      <c r="E363" s="1"/>
      <c r="F363" s="1"/>
      <c r="I363" s="1"/>
      <c r="L363" s="1"/>
    </row>
    <row r="364" spans="5:12" x14ac:dyDescent="0.15">
      <c r="E364" s="1"/>
      <c r="F364" s="1"/>
      <c r="I364" s="1"/>
      <c r="L364" s="1"/>
    </row>
  </sheetData>
  <mergeCells count="7">
    <mergeCell ref="A1:M1"/>
    <mergeCell ref="A2:M2"/>
    <mergeCell ref="G3:I3"/>
    <mergeCell ref="J3:L3"/>
    <mergeCell ref="M3:M5"/>
    <mergeCell ref="C3:E3"/>
    <mergeCell ref="A3:A5"/>
  </mergeCells>
  <pageMargins left="0.7" right="0.7" top="0.75" bottom="0.75" header="0.3" footer="0.3"/>
  <pageSetup scale="4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7.24</vt:lpstr>
      <vt:lpstr>'7.24'!Print_Area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2021-09-23T05:18:07Z</cp:lastPrinted>
  <dcterms:created xsi:type="dcterms:W3CDTF">2019-02-28T08:20:57Z</dcterms:created>
  <dcterms:modified xsi:type="dcterms:W3CDTF">2021-09-23T05:18:21Z</dcterms:modified>
</cp:coreProperties>
</file>