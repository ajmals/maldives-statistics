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751"/>
  </bookViews>
  <sheets>
    <sheet name="7.14" sheetId="25" r:id="rId1"/>
  </sheets>
  <definedNames>
    <definedName name="_xlnm.Print_Area" localSheetId="0">'7.14'!$A$1:$Z$284</definedName>
    <definedName name="_xlnm.Print_Titles" localSheetId="0">'7.14'!$4:$5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8" i="25" l="1"/>
  <c r="R217" i="25"/>
  <c r="X216" i="25"/>
  <c r="O216" i="25"/>
  <c r="R282" i="25"/>
  <c r="R96" i="25"/>
  <c r="L94" i="25"/>
  <c r="F93" i="25"/>
  <c r="R44" i="25"/>
  <c r="R42" i="25"/>
  <c r="L41" i="25"/>
  <c r="L40" i="25"/>
  <c r="R36" i="25"/>
  <c r="L36" i="25"/>
  <c r="R33" i="25"/>
  <c r="L25" i="25"/>
  <c r="L23" i="25"/>
  <c r="F22" i="25"/>
  <c r="R192" i="25"/>
  <c r="L232" i="25"/>
  <c r="R67" i="25"/>
  <c r="O179" i="25"/>
  <c r="I178" i="25"/>
  <c r="F176" i="25"/>
  <c r="X175" i="25"/>
  <c r="I175" i="25"/>
  <c r="X172" i="25"/>
  <c r="L165" i="25"/>
  <c r="R164" i="25"/>
  <c r="J6" i="25" l="1"/>
  <c r="Y6" i="25"/>
  <c r="K6" i="25"/>
  <c r="Z6" i="25"/>
  <c r="M6" i="25"/>
  <c r="N6" i="25"/>
  <c r="R97" i="25"/>
  <c r="P6" i="25"/>
  <c r="O6" i="25" s="1"/>
  <c r="Q6" i="25"/>
  <c r="S6" i="25"/>
  <c r="H6" i="25"/>
  <c r="T6" i="25"/>
  <c r="L210" i="25"/>
  <c r="X90" i="25"/>
  <c r="O273" i="25"/>
  <c r="X276" i="25"/>
  <c r="O281" i="25"/>
  <c r="L102" i="25"/>
  <c r="R107" i="25"/>
  <c r="R115" i="25"/>
  <c r="R121" i="25"/>
  <c r="L86" i="25"/>
  <c r="R91" i="25"/>
  <c r="L270" i="25"/>
  <c r="L272" i="25"/>
  <c r="R275" i="25"/>
  <c r="L280" i="25"/>
  <c r="F163" i="25"/>
  <c r="L164" i="25"/>
  <c r="L168" i="25"/>
  <c r="L176" i="25"/>
  <c r="L178" i="25"/>
  <c r="R179" i="25"/>
  <c r="R181" i="25"/>
  <c r="L184" i="25"/>
  <c r="L135" i="25"/>
  <c r="L254" i="25"/>
  <c r="R54" i="25"/>
  <c r="R62" i="25"/>
  <c r="L65" i="25"/>
  <c r="R195" i="25"/>
  <c r="R9" i="25"/>
  <c r="R11" i="25"/>
  <c r="F15" i="25"/>
  <c r="L32" i="25"/>
  <c r="X34" i="25"/>
  <c r="O39" i="25"/>
  <c r="O41" i="25"/>
  <c r="X44" i="25"/>
  <c r="L221" i="25"/>
  <c r="R186" i="25"/>
  <c r="G6" i="25"/>
  <c r="R106" i="25"/>
  <c r="R108" i="25"/>
  <c r="L109" i="25"/>
  <c r="R110" i="25"/>
  <c r="L113" i="25"/>
  <c r="R124" i="25"/>
  <c r="F82" i="25"/>
  <c r="R90" i="25"/>
  <c r="F270" i="25"/>
  <c r="L271" i="25"/>
  <c r="R274" i="25"/>
  <c r="R276" i="25"/>
  <c r="I16" i="25"/>
  <c r="O23" i="25"/>
  <c r="L215" i="25"/>
  <c r="X188" i="25"/>
  <c r="I236" i="25"/>
  <c r="X150" i="25"/>
  <c r="I100" i="25"/>
  <c r="O101" i="25"/>
  <c r="X108" i="25"/>
  <c r="X217" i="25"/>
  <c r="I219" i="25"/>
  <c r="X219" i="25"/>
  <c r="I221" i="25"/>
  <c r="R70" i="25"/>
  <c r="X101" i="25"/>
  <c r="I103" i="25"/>
  <c r="I275" i="25"/>
  <c r="X281" i="25"/>
  <c r="X226" i="25"/>
  <c r="O229" i="25"/>
  <c r="X230" i="25"/>
  <c r="O231" i="25"/>
  <c r="O146" i="25"/>
  <c r="O148" i="25"/>
  <c r="R153" i="25"/>
  <c r="L154" i="25"/>
  <c r="L156" i="25"/>
  <c r="F157" i="25"/>
  <c r="L158" i="25"/>
  <c r="L160" i="25"/>
  <c r="R161" i="25"/>
  <c r="F234" i="25"/>
  <c r="L235" i="25"/>
  <c r="L237" i="25"/>
  <c r="R146" i="25"/>
  <c r="R71" i="25"/>
  <c r="L72" i="25"/>
  <c r="R225" i="25"/>
  <c r="L228" i="25"/>
  <c r="R231" i="25"/>
  <c r="L218" i="25"/>
  <c r="L220" i="25"/>
  <c r="F196" i="25"/>
  <c r="O195" i="25"/>
  <c r="I177" i="25"/>
  <c r="X179" i="25"/>
  <c r="O184" i="25"/>
  <c r="X132" i="25"/>
  <c r="O133" i="25"/>
  <c r="X140" i="25"/>
  <c r="O145" i="25"/>
  <c r="X204" i="25"/>
  <c r="O209" i="25"/>
  <c r="I197" i="25"/>
  <c r="O254" i="25"/>
  <c r="O122" i="25"/>
  <c r="I83" i="25"/>
  <c r="O176" i="25"/>
  <c r="R145" i="25"/>
  <c r="R238" i="25"/>
  <c r="R244" i="25"/>
  <c r="X195" i="25"/>
  <c r="O18" i="25"/>
  <c r="X21" i="25"/>
  <c r="O24" i="25"/>
  <c r="O26" i="25"/>
  <c r="X27" i="25"/>
  <c r="O28" i="25"/>
  <c r="X135" i="25"/>
  <c r="O199" i="25"/>
  <c r="O239" i="25"/>
  <c r="I242" i="25"/>
  <c r="X242" i="25"/>
  <c r="O243" i="25"/>
  <c r="X246" i="25"/>
  <c r="O247" i="25"/>
  <c r="I248" i="25"/>
  <c r="O249" i="25"/>
  <c r="X250" i="25"/>
  <c r="O267" i="25"/>
  <c r="I268" i="25"/>
  <c r="X268" i="25"/>
  <c r="X45" i="25"/>
  <c r="O46" i="25"/>
  <c r="X47" i="25"/>
  <c r="O48" i="25"/>
  <c r="X49" i="25"/>
  <c r="O50" i="25"/>
  <c r="I51" i="25"/>
  <c r="X51" i="25"/>
  <c r="O54" i="25"/>
  <c r="O66" i="25"/>
  <c r="L236" i="25"/>
  <c r="L146" i="25"/>
  <c r="R147" i="25"/>
  <c r="I164" i="25"/>
  <c r="O169" i="25"/>
  <c r="R257" i="25"/>
  <c r="R261" i="25"/>
  <c r="R265" i="25"/>
  <c r="O232" i="25"/>
  <c r="X233" i="25"/>
  <c r="L234" i="25"/>
  <c r="R235" i="25"/>
  <c r="O116" i="25"/>
  <c r="I117" i="25"/>
  <c r="X117" i="25"/>
  <c r="I121" i="25"/>
  <c r="F127" i="25"/>
  <c r="R129" i="25"/>
  <c r="L130" i="25"/>
  <c r="R81" i="25"/>
  <c r="I84" i="25"/>
  <c r="X88" i="25"/>
  <c r="L195" i="25"/>
  <c r="L22" i="25"/>
  <c r="R23" i="25"/>
  <c r="I185" i="25"/>
  <c r="O252" i="25"/>
  <c r="O268" i="25"/>
  <c r="O45" i="25"/>
  <c r="X50" i="25"/>
  <c r="O51" i="25"/>
  <c r="R72" i="25"/>
  <c r="O150" i="25"/>
  <c r="O189" i="25"/>
  <c r="X194" i="25"/>
  <c r="I15" i="25"/>
  <c r="O16" i="25"/>
  <c r="I17" i="25"/>
  <c r="R180" i="25"/>
  <c r="L183" i="25"/>
  <c r="L132" i="25"/>
  <c r="F137" i="25"/>
  <c r="L140" i="25"/>
  <c r="F209" i="25"/>
  <c r="R209" i="25"/>
  <c r="L253" i="25"/>
  <c r="R256" i="25"/>
  <c r="L257" i="25"/>
  <c r="L261" i="25"/>
  <c r="R264" i="25"/>
  <c r="L265" i="25"/>
  <c r="L269" i="25"/>
  <c r="R45" i="25"/>
  <c r="L46" i="25"/>
  <c r="R55" i="25"/>
  <c r="R57" i="25"/>
  <c r="R59" i="25"/>
  <c r="L60" i="25"/>
  <c r="R61" i="25"/>
  <c r="X224" i="25"/>
  <c r="R148" i="25"/>
  <c r="L190" i="25"/>
  <c r="R191" i="25"/>
  <c r="L192" i="25"/>
  <c r="X29" i="25"/>
  <c r="O30" i="25"/>
  <c r="O34" i="25"/>
  <c r="X35" i="25"/>
  <c r="X37" i="25"/>
  <c r="O42" i="25"/>
  <c r="X92" i="25"/>
  <c r="I94" i="25"/>
  <c r="O95" i="25"/>
  <c r="R102" i="25"/>
  <c r="O130" i="25"/>
  <c r="I77" i="25"/>
  <c r="X79" i="25"/>
  <c r="I81" i="25"/>
  <c r="O82" i="25"/>
  <c r="X223" i="25"/>
  <c r="I167" i="25"/>
  <c r="O168" i="25"/>
  <c r="I171" i="25"/>
  <c r="X171" i="25"/>
  <c r="O172" i="25"/>
  <c r="X176" i="25"/>
  <c r="X112" i="25"/>
  <c r="O115" i="25"/>
  <c r="X118" i="25"/>
  <c r="L125" i="25"/>
  <c r="L129" i="25"/>
  <c r="L77" i="25"/>
  <c r="R78" i="25"/>
  <c r="R80" i="25"/>
  <c r="L81" i="25"/>
  <c r="X83" i="25"/>
  <c r="O84" i="25"/>
  <c r="I85" i="25"/>
  <c r="O192" i="25"/>
  <c r="R16" i="25"/>
  <c r="X139" i="25"/>
  <c r="X141" i="25"/>
  <c r="I252" i="25"/>
  <c r="R75" i="25"/>
  <c r="L157" i="25"/>
  <c r="R170" i="25"/>
  <c r="L175" i="25"/>
  <c r="L137" i="25"/>
  <c r="R138" i="25"/>
  <c r="L139" i="25"/>
  <c r="R140" i="25"/>
  <c r="L143" i="25"/>
  <c r="L203" i="25"/>
  <c r="L207" i="25"/>
  <c r="L198" i="25"/>
  <c r="R199" i="25"/>
  <c r="L238" i="25"/>
  <c r="L242" i="25"/>
  <c r="R243" i="25"/>
  <c r="X71" i="25"/>
  <c r="O72" i="25"/>
  <c r="X75" i="25"/>
  <c r="X160" i="25"/>
  <c r="F7" i="25"/>
  <c r="L8" i="25"/>
  <c r="X124" i="25"/>
  <c r="R167" i="25"/>
  <c r="O173" i="25"/>
  <c r="X174" i="25"/>
  <c r="O178" i="25"/>
  <c r="I179" i="25"/>
  <c r="X133" i="25"/>
  <c r="R141" i="25"/>
  <c r="F145" i="25"/>
  <c r="L204" i="25"/>
  <c r="R205" i="25"/>
  <c r="L206" i="25"/>
  <c r="L208" i="25"/>
  <c r="O198" i="25"/>
  <c r="O238" i="25"/>
  <c r="O244" i="25"/>
  <c r="O246" i="25"/>
  <c r="X247" i="25"/>
  <c r="O248" i="25"/>
  <c r="O250" i="25"/>
  <c r="X251" i="25"/>
  <c r="R267" i="25"/>
  <c r="L268" i="25"/>
  <c r="L45" i="25"/>
  <c r="L49" i="25"/>
  <c r="F50" i="25"/>
  <c r="R50" i="25"/>
  <c r="L53" i="25"/>
  <c r="X55" i="25"/>
  <c r="O56" i="25"/>
  <c r="X57" i="25"/>
  <c r="O58" i="25"/>
  <c r="I59" i="25"/>
  <c r="O60" i="25"/>
  <c r="I61" i="25"/>
  <c r="X61" i="25"/>
  <c r="U65" i="25"/>
  <c r="L66" i="25"/>
  <c r="O152" i="25"/>
  <c r="I153" i="25"/>
  <c r="I155" i="25"/>
  <c r="X155" i="25"/>
  <c r="O156" i="25"/>
  <c r="I159" i="25"/>
  <c r="X159" i="25"/>
  <c r="O160" i="25"/>
  <c r="I161" i="25"/>
  <c r="R226" i="25"/>
  <c r="R228" i="25"/>
  <c r="L150" i="25"/>
  <c r="I18" i="25"/>
  <c r="X24" i="25"/>
  <c r="R30" i="25"/>
  <c r="X110" i="25"/>
  <c r="I112" i="25"/>
  <c r="F114" i="25"/>
  <c r="L115" i="25"/>
  <c r="F122" i="25"/>
  <c r="X125" i="25"/>
  <c r="X127" i="25"/>
  <c r="I129" i="25"/>
  <c r="X77" i="25"/>
  <c r="O78" i="25"/>
  <c r="L82" i="25"/>
  <c r="O271" i="25"/>
  <c r="X274" i="25"/>
  <c r="O279" i="25"/>
  <c r="F211" i="25"/>
  <c r="R213" i="25"/>
  <c r="I165" i="25"/>
  <c r="X165" i="25"/>
  <c r="O166" i="25"/>
  <c r="L172" i="25"/>
  <c r="O180" i="25"/>
  <c r="R185" i="25"/>
  <c r="R134" i="25"/>
  <c r="O136" i="25"/>
  <c r="F236" i="25"/>
  <c r="R151" i="25"/>
  <c r="L191" i="25"/>
  <c r="L196" i="25"/>
  <c r="I30" i="25"/>
  <c r="I32" i="25"/>
  <c r="X32" i="25"/>
  <c r="O33" i="25"/>
  <c r="F38" i="25"/>
  <c r="R40" i="25"/>
  <c r="X211" i="25"/>
  <c r="O214" i="25"/>
  <c r="R223" i="25"/>
  <c r="O131" i="25"/>
  <c r="I132" i="25"/>
  <c r="X143" i="25"/>
  <c r="I203" i="25"/>
  <c r="X203" i="25"/>
  <c r="O204" i="25"/>
  <c r="X207" i="25"/>
  <c r="O208" i="25"/>
  <c r="R200" i="25"/>
  <c r="L239" i="25"/>
  <c r="F240" i="25"/>
  <c r="R240" i="25"/>
  <c r="L243" i="25"/>
  <c r="L247" i="25"/>
  <c r="F248" i="25"/>
  <c r="R248" i="25"/>
  <c r="F252" i="25"/>
  <c r="I257" i="25"/>
  <c r="O258" i="25"/>
  <c r="I261" i="25"/>
  <c r="X261" i="25"/>
  <c r="O262" i="25"/>
  <c r="I263" i="25"/>
  <c r="X265" i="25"/>
  <c r="L59" i="25"/>
  <c r="L61" i="25"/>
  <c r="U62" i="25"/>
  <c r="O70" i="25"/>
  <c r="L74" i="25"/>
  <c r="L76" i="25"/>
  <c r="I7" i="25"/>
  <c r="L16" i="25"/>
  <c r="R19" i="25"/>
  <c r="F21" i="25"/>
  <c r="L24" i="25"/>
  <c r="I34" i="25"/>
  <c r="X36" i="25"/>
  <c r="O37" i="25"/>
  <c r="I95" i="25"/>
  <c r="U99" i="25"/>
  <c r="L100" i="25"/>
  <c r="R122" i="25"/>
  <c r="X99" i="25"/>
  <c r="O100" i="25"/>
  <c r="O102" i="25"/>
  <c r="O113" i="25"/>
  <c r="X114" i="25"/>
  <c r="X116" i="25"/>
  <c r="O123" i="25"/>
  <c r="F130" i="25"/>
  <c r="O88" i="25"/>
  <c r="R271" i="25"/>
  <c r="R279" i="25"/>
  <c r="X187" i="25"/>
  <c r="F184" i="25"/>
  <c r="O197" i="25"/>
  <c r="R252" i="25"/>
  <c r="R66" i="25"/>
  <c r="O74" i="25"/>
  <c r="X9" i="25"/>
  <c r="L30" i="25"/>
  <c r="R31" i="25"/>
  <c r="X109" i="25"/>
  <c r="O110" i="25"/>
  <c r="I126" i="25"/>
  <c r="X126" i="25"/>
  <c r="I128" i="25"/>
  <c r="O77" i="25"/>
  <c r="I78" i="25"/>
  <c r="O79" i="25"/>
  <c r="X80" i="25"/>
  <c r="I91" i="25"/>
  <c r="X271" i="25"/>
  <c r="I273" i="25"/>
  <c r="I277" i="25"/>
  <c r="O278" i="25"/>
  <c r="I279" i="25"/>
  <c r="X279" i="25"/>
  <c r="L211" i="25"/>
  <c r="X164" i="25"/>
  <c r="O165" i="25"/>
  <c r="I166" i="25"/>
  <c r="L167" i="25"/>
  <c r="L169" i="25"/>
  <c r="X180" i="25"/>
  <c r="X182" i="25"/>
  <c r="O137" i="25"/>
  <c r="I138" i="25"/>
  <c r="X138" i="25"/>
  <c r="X244" i="25"/>
  <c r="R268" i="25"/>
  <c r="R47" i="25"/>
  <c r="L50" i="25"/>
  <c r="I64" i="25"/>
  <c r="O65" i="25"/>
  <c r="F235" i="25"/>
  <c r="X146" i="25"/>
  <c r="O149" i="25"/>
  <c r="L151" i="25"/>
  <c r="R193" i="25"/>
  <c r="L194" i="25"/>
  <c r="F195" i="25"/>
  <c r="R8" i="25"/>
  <c r="F14" i="25"/>
  <c r="R14" i="25"/>
  <c r="O22" i="25"/>
  <c r="O32" i="25"/>
  <c r="R35" i="25"/>
  <c r="F37" i="25"/>
  <c r="R43" i="25"/>
  <c r="R94" i="25"/>
  <c r="R98" i="25"/>
  <c r="L99" i="25"/>
  <c r="F100" i="25"/>
  <c r="R100" i="25"/>
  <c r="L103" i="25"/>
  <c r="F104" i="25"/>
  <c r="L105" i="25"/>
  <c r="F106" i="25"/>
  <c r="I113" i="25"/>
  <c r="L122" i="25"/>
  <c r="R123" i="25"/>
  <c r="L124" i="25"/>
  <c r="I82" i="25"/>
  <c r="L83" i="25"/>
  <c r="I212" i="25"/>
  <c r="X212" i="25"/>
  <c r="O213" i="25"/>
  <c r="X214" i="25"/>
  <c r="O185" i="25"/>
  <c r="X131" i="25"/>
  <c r="I202" i="25"/>
  <c r="L246" i="25"/>
  <c r="O255" i="25"/>
  <c r="X262" i="25"/>
  <c r="I266" i="25"/>
  <c r="O69" i="25"/>
  <c r="O73" i="25"/>
  <c r="R76" i="25"/>
  <c r="R237" i="25"/>
  <c r="I189" i="25"/>
  <c r="O7" i="25"/>
  <c r="O9" i="25"/>
  <c r="I10" i="25"/>
  <c r="O11" i="25"/>
  <c r="X12" i="25"/>
  <c r="U20" i="25"/>
  <c r="L21" i="25"/>
  <c r="L29" i="25"/>
  <c r="I92" i="25"/>
  <c r="O97" i="25"/>
  <c r="X100" i="25"/>
  <c r="X102" i="25"/>
  <c r="O105" i="25"/>
  <c r="R112" i="25"/>
  <c r="I119" i="25"/>
  <c r="I123" i="25"/>
  <c r="O85" i="25"/>
  <c r="O87" i="25"/>
  <c r="I88" i="25"/>
  <c r="R272" i="25"/>
  <c r="L277" i="25"/>
  <c r="R278" i="25"/>
  <c r="R280" i="25"/>
  <c r="I182" i="25"/>
  <c r="O183" i="25"/>
  <c r="R184" i="25"/>
  <c r="L251" i="25"/>
  <c r="X64" i="25"/>
  <c r="R68" i="25"/>
  <c r="I73" i="25"/>
  <c r="X153" i="25"/>
  <c r="O154" i="25"/>
  <c r="X170" i="25"/>
  <c r="R207" i="25"/>
  <c r="R201" i="25"/>
  <c r="X255" i="25"/>
  <c r="X257" i="25"/>
  <c r="O260" i="25"/>
  <c r="I269" i="25"/>
  <c r="R269" i="25"/>
  <c r="U46" i="25"/>
  <c r="R46" i="25"/>
  <c r="I55" i="25"/>
  <c r="L58" i="25"/>
  <c r="L62" i="25"/>
  <c r="R63" i="25"/>
  <c r="L64" i="25"/>
  <c r="X68" i="25"/>
  <c r="I70" i="25"/>
  <c r="L73" i="25"/>
  <c r="I75" i="25"/>
  <c r="R152" i="25"/>
  <c r="L153" i="25"/>
  <c r="R154" i="25"/>
  <c r="L155" i="25"/>
  <c r="R156" i="25"/>
  <c r="R158" i="25"/>
  <c r="L159" i="25"/>
  <c r="R160" i="25"/>
  <c r="R162" i="25"/>
  <c r="L224" i="25"/>
  <c r="O175" i="25"/>
  <c r="R137" i="25"/>
  <c r="R202" i="25"/>
  <c r="X205" i="25"/>
  <c r="X199" i="25"/>
  <c r="O200" i="25"/>
  <c r="R241" i="25"/>
  <c r="O251" i="25"/>
  <c r="F168" i="25"/>
  <c r="X169" i="25"/>
  <c r="O170" i="25"/>
  <c r="R173" i="25"/>
  <c r="R175" i="25"/>
  <c r="R176" i="25"/>
  <c r="R178" i="25"/>
  <c r="L179" i="25"/>
  <c r="I183" i="25"/>
  <c r="X183" i="25"/>
  <c r="R133" i="25"/>
  <c r="X137" i="25"/>
  <c r="O138" i="25"/>
  <c r="O140" i="25"/>
  <c r="L144" i="25"/>
  <c r="X202" i="25"/>
  <c r="R206" i="25"/>
  <c r="R198" i="25"/>
  <c r="X239" i="25"/>
  <c r="O240" i="25"/>
  <c r="I241" i="25"/>
  <c r="O242" i="25"/>
  <c r="R247" i="25"/>
  <c r="L250" i="25"/>
  <c r="F251" i="25"/>
  <c r="I254" i="25"/>
  <c r="L259" i="25"/>
  <c r="L267" i="25"/>
  <c r="F268" i="25"/>
  <c r="R48" i="25"/>
  <c r="R52" i="25"/>
  <c r="I57" i="25"/>
  <c r="X63" i="25"/>
  <c r="O64" i="25"/>
  <c r="X65" i="25"/>
  <c r="L68" i="25"/>
  <c r="L70" i="25"/>
  <c r="X72" i="25"/>
  <c r="I154" i="25"/>
  <c r="O155" i="25"/>
  <c r="O157" i="25"/>
  <c r="I131" i="25"/>
  <c r="O132" i="25"/>
  <c r="I141" i="25"/>
  <c r="X198" i="25"/>
  <c r="L252" i="25"/>
  <c r="X258" i="25"/>
  <c r="I260" i="25"/>
  <c r="X260" i="25"/>
  <c r="O263" i="25"/>
  <c r="X264" i="25"/>
  <c r="O265" i="25"/>
  <c r="X266" i="25"/>
  <c r="X48" i="25"/>
  <c r="O49" i="25"/>
  <c r="I52" i="25"/>
  <c r="X52" i="25"/>
  <c r="O53" i="25"/>
  <c r="I54" i="25"/>
  <c r="F58" i="25"/>
  <c r="I67" i="25"/>
  <c r="R168" i="25"/>
  <c r="U47" i="25"/>
  <c r="R58" i="25"/>
  <c r="R60" i="25"/>
  <c r="X166" i="25"/>
  <c r="O164" i="25"/>
  <c r="R165" i="25"/>
  <c r="O167" i="25"/>
  <c r="X168" i="25"/>
  <c r="L171" i="25"/>
  <c r="R172" i="25"/>
  <c r="O177" i="25"/>
  <c r="X178" i="25"/>
  <c r="I180" i="25"/>
  <c r="L131" i="25"/>
  <c r="L136" i="25"/>
  <c r="R142" i="25"/>
  <c r="O144" i="25"/>
  <c r="R203" i="25"/>
  <c r="O207" i="25"/>
  <c r="I208" i="25"/>
  <c r="X200" i="25"/>
  <c r="O201" i="25"/>
  <c r="I238" i="25"/>
  <c r="X238" i="25"/>
  <c r="R242" i="25"/>
  <c r="I249" i="25"/>
  <c r="I253" i="25"/>
  <c r="R253" i="25"/>
  <c r="R255" i="25"/>
  <c r="L256" i="25"/>
  <c r="L258" i="25"/>
  <c r="F259" i="25"/>
  <c r="R259" i="25"/>
  <c r="L262" i="25"/>
  <c r="R263" i="25"/>
  <c r="L266" i="25"/>
  <c r="F267" i="25"/>
  <c r="O269" i="25"/>
  <c r="I45" i="25"/>
  <c r="L48" i="25"/>
  <c r="F51" i="25"/>
  <c r="L52" i="25"/>
  <c r="U53" i="25"/>
  <c r="X54" i="25"/>
  <c r="O55" i="25"/>
  <c r="X56" i="25"/>
  <c r="O57" i="25"/>
  <c r="I60" i="25"/>
  <c r="O61" i="25"/>
  <c r="R64" i="25"/>
  <c r="U69" i="25"/>
  <c r="R73" i="25"/>
  <c r="R130" i="25"/>
  <c r="X82" i="25"/>
  <c r="L90" i="25"/>
  <c r="L222" i="25"/>
  <c r="R187" i="25"/>
  <c r="L188" i="25"/>
  <c r="I158" i="25"/>
  <c r="O159" i="25"/>
  <c r="I160" i="25"/>
  <c r="L161" i="25"/>
  <c r="O225" i="25"/>
  <c r="I226" i="25"/>
  <c r="I228" i="25"/>
  <c r="I232" i="25"/>
  <c r="R232" i="25"/>
  <c r="L233" i="25"/>
  <c r="R234" i="25"/>
  <c r="X235" i="25"/>
  <c r="O147" i="25"/>
  <c r="L149" i="25"/>
  <c r="F150" i="25"/>
  <c r="R150" i="25"/>
  <c r="I151" i="25"/>
  <c r="I190" i="25"/>
  <c r="X190" i="25"/>
  <c r="O191" i="25"/>
  <c r="I8" i="25"/>
  <c r="R10" i="25"/>
  <c r="X11" i="25"/>
  <c r="I13" i="25"/>
  <c r="X13" i="25"/>
  <c r="R17" i="25"/>
  <c r="O19" i="25"/>
  <c r="X20" i="25"/>
  <c r="O21" i="25"/>
  <c r="R22" i="25"/>
  <c r="R27" i="25"/>
  <c r="F29" i="25"/>
  <c r="O31" i="25"/>
  <c r="L33" i="25"/>
  <c r="I38" i="25"/>
  <c r="X40" i="25"/>
  <c r="I43" i="25"/>
  <c r="X95" i="25"/>
  <c r="O96" i="25"/>
  <c r="L98" i="25"/>
  <c r="F102" i="25"/>
  <c r="X105" i="25"/>
  <c r="O106" i="25"/>
  <c r="L108" i="25"/>
  <c r="O111" i="25"/>
  <c r="R114" i="25"/>
  <c r="O120" i="25"/>
  <c r="I124" i="25"/>
  <c r="R126" i="25"/>
  <c r="X130" i="25"/>
  <c r="O80" i="25"/>
  <c r="R86" i="25"/>
  <c r="R88" i="25"/>
  <c r="I89" i="25"/>
  <c r="O90" i="25"/>
  <c r="F278" i="25"/>
  <c r="L279" i="25"/>
  <c r="L213" i="25"/>
  <c r="R214" i="25"/>
  <c r="I217" i="25"/>
  <c r="F219" i="25"/>
  <c r="R219" i="25"/>
  <c r="X232" i="25"/>
  <c r="O233" i="25"/>
  <c r="R12" i="25"/>
  <c r="I22" i="25"/>
  <c r="I24" i="25"/>
  <c r="F31" i="25"/>
  <c r="I35" i="25"/>
  <c r="R37" i="25"/>
  <c r="L95" i="25"/>
  <c r="I107" i="25"/>
  <c r="X107" i="25"/>
  <c r="R111" i="25"/>
  <c r="L112" i="25"/>
  <c r="R116" i="25"/>
  <c r="R118" i="25"/>
  <c r="O125" i="25"/>
  <c r="F128" i="25"/>
  <c r="X129" i="25"/>
  <c r="L79" i="25"/>
  <c r="R83" i="25"/>
  <c r="L84" i="25"/>
  <c r="L89" i="25"/>
  <c r="F90" i="25"/>
  <c r="X91" i="25"/>
  <c r="O270" i="25"/>
  <c r="I271" i="25"/>
  <c r="I276" i="25"/>
  <c r="X210" i="25"/>
  <c r="O222" i="25"/>
  <c r="I187" i="25"/>
  <c r="R155" i="25"/>
  <c r="R157" i="25"/>
  <c r="R159" i="25"/>
  <c r="X162" i="25"/>
  <c r="R227" i="25"/>
  <c r="R233" i="25"/>
  <c r="X234" i="25"/>
  <c r="I237" i="25"/>
  <c r="X237" i="25"/>
  <c r="X148" i="25"/>
  <c r="X192" i="25"/>
  <c r="I12" i="25"/>
  <c r="F23" i="25"/>
  <c r="I31" i="25"/>
  <c r="X31" i="25"/>
  <c r="R34" i="25"/>
  <c r="L35" i="25"/>
  <c r="L38" i="25"/>
  <c r="F39" i="25"/>
  <c r="R39" i="25"/>
  <c r="X97" i="25"/>
  <c r="I101" i="25"/>
  <c r="R101" i="25"/>
  <c r="X111" i="25"/>
  <c r="L114" i="25"/>
  <c r="O117" i="25"/>
  <c r="L121" i="25"/>
  <c r="O127" i="25"/>
  <c r="R85" i="25"/>
  <c r="R222" i="25"/>
  <c r="L223" i="25"/>
  <c r="O226" i="25"/>
  <c r="I227" i="25"/>
  <c r="X229" i="25"/>
  <c r="O230" i="25"/>
  <c r="I231" i="25"/>
  <c r="I147" i="25"/>
  <c r="X189" i="25"/>
  <c r="O190" i="25"/>
  <c r="R196" i="25"/>
  <c r="X7" i="25"/>
  <c r="O8" i="25"/>
  <c r="I9" i="25"/>
  <c r="O13" i="25"/>
  <c r="I14" i="25"/>
  <c r="X14" i="25"/>
  <c r="L17" i="25"/>
  <c r="X19" i="25"/>
  <c r="O20" i="25"/>
  <c r="O25" i="25"/>
  <c r="R26" i="25"/>
  <c r="L27" i="25"/>
  <c r="R28" i="25"/>
  <c r="I39" i="25"/>
  <c r="X39" i="25"/>
  <c r="O40" i="25"/>
  <c r="O43" i="25"/>
  <c r="O92" i="25"/>
  <c r="R93" i="25"/>
  <c r="X120" i="25"/>
  <c r="X123" i="25"/>
  <c r="X128" i="25"/>
  <c r="R77" i="25"/>
  <c r="L78" i="25"/>
  <c r="X78" i="25"/>
  <c r="I80" i="25"/>
  <c r="X85" i="25"/>
  <c r="I90" i="25"/>
  <c r="L91" i="25"/>
  <c r="R270" i="25"/>
  <c r="O274" i="25"/>
  <c r="L276" i="25"/>
  <c r="R277" i="25"/>
  <c r="L278" i="25"/>
  <c r="I282" i="25"/>
  <c r="L212" i="25"/>
  <c r="L219" i="25"/>
  <c r="U229" i="25"/>
  <c r="I196" i="25"/>
  <c r="I23" i="25"/>
  <c r="X23" i="25"/>
  <c r="F30" i="25"/>
  <c r="L31" i="25"/>
  <c r="L101" i="25"/>
  <c r="X104" i="25"/>
  <c r="O107" i="25"/>
  <c r="F112" i="25"/>
  <c r="X113" i="25"/>
  <c r="O114" i="25"/>
  <c r="I115" i="25"/>
  <c r="L116" i="25"/>
  <c r="R117" i="25"/>
  <c r="L123" i="25"/>
  <c r="R127" i="25"/>
  <c r="R79" i="25"/>
  <c r="F84" i="25"/>
  <c r="L85" i="25"/>
  <c r="I87" i="25"/>
  <c r="R89" i="25"/>
  <c r="O276" i="25"/>
  <c r="X282" i="25"/>
  <c r="X218" i="25"/>
  <c r="O219" i="25"/>
  <c r="I220" i="25"/>
  <c r="O221" i="25"/>
  <c r="I186" i="25"/>
  <c r="X186" i="25"/>
  <c r="L225" i="25"/>
  <c r="R230" i="25"/>
  <c r="L231" i="25"/>
  <c r="I233" i="25"/>
  <c r="O237" i="25"/>
  <c r="I146" i="25"/>
  <c r="L147" i="25"/>
  <c r="I149" i="25"/>
  <c r="X149" i="25"/>
  <c r="F151" i="25"/>
  <c r="L189" i="25"/>
  <c r="I193" i="25"/>
  <c r="X193" i="25"/>
  <c r="L7" i="25"/>
  <c r="L9" i="25"/>
  <c r="O10" i="25"/>
  <c r="X16" i="25"/>
  <c r="O17" i="25"/>
  <c r="R18" i="25"/>
  <c r="L19" i="25"/>
  <c r="R20" i="25"/>
  <c r="R25" i="25"/>
  <c r="O27" i="25"/>
  <c r="X28" i="25"/>
  <c r="O29" i="25"/>
  <c r="I33" i="25"/>
  <c r="L37" i="25"/>
  <c r="R38" i="25"/>
  <c r="L44" i="25"/>
  <c r="X93" i="25"/>
  <c r="U97" i="25"/>
  <c r="I98" i="25"/>
  <c r="X98" i="25"/>
  <c r="O99" i="25"/>
  <c r="L104" i="25"/>
  <c r="R105" i="25"/>
  <c r="L106" i="25"/>
  <c r="O109" i="25"/>
  <c r="R215" i="25"/>
  <c r="I170" i="25"/>
  <c r="L177" i="25"/>
  <c r="X6" i="25"/>
  <c r="O163" i="25"/>
  <c r="I169" i="25"/>
  <c r="O171" i="25"/>
  <c r="I173" i="25"/>
  <c r="X173" i="25"/>
  <c r="O174" i="25"/>
  <c r="L163" i="25"/>
  <c r="X163" i="25"/>
  <c r="L166" i="25"/>
  <c r="L170" i="25"/>
  <c r="I168" i="25"/>
  <c r="U171" i="25"/>
  <c r="R171" i="25"/>
  <c r="I172" i="25"/>
  <c r="L173" i="25"/>
  <c r="R174" i="25"/>
  <c r="U176" i="25"/>
  <c r="R166" i="25"/>
  <c r="U167" i="25"/>
  <c r="X167" i="25"/>
  <c r="I174" i="25"/>
  <c r="U169" i="25"/>
  <c r="I176" i="25"/>
  <c r="I181" i="25"/>
  <c r="X181" i="25"/>
  <c r="O182" i="25"/>
  <c r="I184" i="25"/>
  <c r="I134" i="25"/>
  <c r="X134" i="25"/>
  <c r="U136" i="25"/>
  <c r="I142" i="25"/>
  <c r="X142" i="25"/>
  <c r="O203" i="25"/>
  <c r="R204" i="25"/>
  <c r="I205" i="25"/>
  <c r="U208" i="25"/>
  <c r="L209" i="25"/>
  <c r="X209" i="25"/>
  <c r="I245" i="25"/>
  <c r="X245" i="25"/>
  <c r="R249" i="25"/>
  <c r="O256" i="25"/>
  <c r="O266" i="25"/>
  <c r="F66" i="25"/>
  <c r="X177" i="25"/>
  <c r="U179" i="25"/>
  <c r="R183" i="25"/>
  <c r="L185" i="25"/>
  <c r="O135" i="25"/>
  <c r="I137" i="25"/>
  <c r="U141" i="25"/>
  <c r="O143" i="25"/>
  <c r="L202" i="25"/>
  <c r="I204" i="25"/>
  <c r="O206" i="25"/>
  <c r="I207" i="25"/>
  <c r="X208" i="25"/>
  <c r="I198" i="25"/>
  <c r="L199" i="25"/>
  <c r="U263" i="25"/>
  <c r="L181" i="25"/>
  <c r="R182" i="25"/>
  <c r="X184" i="25"/>
  <c r="X185" i="25"/>
  <c r="R132" i="25"/>
  <c r="I133" i="25"/>
  <c r="L134" i="25"/>
  <c r="U135" i="25"/>
  <c r="I136" i="25"/>
  <c r="R136" i="25"/>
  <c r="U137" i="25"/>
  <c r="L138" i="25"/>
  <c r="U140" i="25"/>
  <c r="L142" i="25"/>
  <c r="U143" i="25"/>
  <c r="I144" i="25"/>
  <c r="R144" i="25"/>
  <c r="X145" i="25"/>
  <c r="L205" i="25"/>
  <c r="U197" i="25"/>
  <c r="I201" i="25"/>
  <c r="X201" i="25"/>
  <c r="U240" i="25"/>
  <c r="X241" i="25"/>
  <c r="U243" i="25"/>
  <c r="I244" i="25"/>
  <c r="L245" i="25"/>
  <c r="I247" i="25"/>
  <c r="X249" i="25"/>
  <c r="X253" i="25"/>
  <c r="X254" i="25"/>
  <c r="U256" i="25"/>
  <c r="O259" i="25"/>
  <c r="R260" i="25"/>
  <c r="I264" i="25"/>
  <c r="R266" i="25"/>
  <c r="I46" i="25"/>
  <c r="I47" i="25"/>
  <c r="U49" i="25"/>
  <c r="R49" i="25"/>
  <c r="L51" i="25"/>
  <c r="O52" i="25"/>
  <c r="I53" i="25"/>
  <c r="R53" i="25"/>
  <c r="L55" i="25"/>
  <c r="X58" i="25"/>
  <c r="X62" i="25"/>
  <c r="O63" i="25"/>
  <c r="U71" i="25"/>
  <c r="U255" i="25"/>
  <c r="L180" i="25"/>
  <c r="O181" i="25"/>
  <c r="U185" i="25"/>
  <c r="L133" i="25"/>
  <c r="O134" i="25"/>
  <c r="I135" i="25"/>
  <c r="R135" i="25"/>
  <c r="X136" i="25"/>
  <c r="O139" i="25"/>
  <c r="I140" i="25"/>
  <c r="O142" i="25"/>
  <c r="I143" i="25"/>
  <c r="R143" i="25"/>
  <c r="X144" i="25"/>
  <c r="O205" i="25"/>
  <c r="R197" i="25"/>
  <c r="L201" i="25"/>
  <c r="U238" i="25"/>
  <c r="I239" i="25"/>
  <c r="R239" i="25"/>
  <c r="L241" i="25"/>
  <c r="I243" i="25"/>
  <c r="L244" i="25"/>
  <c r="O245" i="25"/>
  <c r="I246" i="25"/>
  <c r="R246" i="25"/>
  <c r="U249" i="25"/>
  <c r="R251" i="25"/>
  <c r="X252" i="25"/>
  <c r="I256" i="25"/>
  <c r="L264" i="25"/>
  <c r="X267" i="25"/>
  <c r="U269" i="25"/>
  <c r="L47" i="25"/>
  <c r="I49" i="25"/>
  <c r="L54" i="25"/>
  <c r="U56" i="25"/>
  <c r="R56" i="25"/>
  <c r="L57" i="25"/>
  <c r="X60" i="25"/>
  <c r="O62" i="25"/>
  <c r="R65" i="25"/>
  <c r="U67" i="25"/>
  <c r="I68" i="25"/>
  <c r="U138" i="25"/>
  <c r="L141" i="25"/>
  <c r="I206" i="25"/>
  <c r="X206" i="25"/>
  <c r="X197" i="25"/>
  <c r="U199" i="25"/>
  <c r="I200" i="25"/>
  <c r="L240" i="25"/>
  <c r="X240" i="25"/>
  <c r="L248" i="25"/>
  <c r="X248" i="25"/>
  <c r="R250" i="25"/>
  <c r="U251" i="25"/>
  <c r="I255" i="25"/>
  <c r="X256" i="25"/>
  <c r="O257" i="25"/>
  <c r="R258" i="25"/>
  <c r="X259" i="25"/>
  <c r="L260" i="25"/>
  <c r="O261" i="25"/>
  <c r="I262" i="25"/>
  <c r="L263" i="25"/>
  <c r="U265" i="25"/>
  <c r="X53" i="25"/>
  <c r="I56" i="25"/>
  <c r="I63" i="25"/>
  <c r="U184" i="25"/>
  <c r="R131" i="25"/>
  <c r="R169" i="25"/>
  <c r="F173" i="25"/>
  <c r="L174" i="25"/>
  <c r="U175" i="25"/>
  <c r="R177" i="25"/>
  <c r="F181" i="25"/>
  <c r="L182" i="25"/>
  <c r="I139" i="25"/>
  <c r="R139" i="25"/>
  <c r="O141" i="25"/>
  <c r="U205" i="25"/>
  <c r="R208" i="25"/>
  <c r="L197" i="25"/>
  <c r="I199" i="25"/>
  <c r="L200" i="25"/>
  <c r="U241" i="25"/>
  <c r="O241" i="25"/>
  <c r="X243" i="25"/>
  <c r="R245" i="25"/>
  <c r="F249" i="25"/>
  <c r="I250" i="25"/>
  <c r="O253" i="25"/>
  <c r="R254" i="25"/>
  <c r="L255" i="25"/>
  <c r="U257" i="25"/>
  <c r="I258" i="25"/>
  <c r="F260" i="25"/>
  <c r="X263" i="25"/>
  <c r="O264" i="25"/>
  <c r="I265" i="25"/>
  <c r="X269" i="25"/>
  <c r="X46" i="25"/>
  <c r="O47" i="25"/>
  <c r="I48" i="25"/>
  <c r="R51" i="25"/>
  <c r="U54" i="25"/>
  <c r="L56" i="25"/>
  <c r="X59" i="25"/>
  <c r="I62" i="25"/>
  <c r="L63" i="25"/>
  <c r="I65" i="25"/>
  <c r="U152" i="25"/>
  <c r="L193" i="25"/>
  <c r="O194" i="25"/>
  <c r="L10" i="25"/>
  <c r="R13" i="25"/>
  <c r="I225" i="25"/>
  <c r="L226" i="25"/>
  <c r="U234" i="25"/>
  <c r="R236" i="25"/>
  <c r="R190" i="25"/>
  <c r="R15" i="25"/>
  <c r="X18" i="25"/>
  <c r="I21" i="25"/>
  <c r="U22" i="25"/>
  <c r="X26" i="25"/>
  <c r="I29" i="25"/>
  <c r="U36" i="25"/>
  <c r="I37" i="25"/>
  <c r="U38" i="25"/>
  <c r="R41" i="25"/>
  <c r="I71" i="25"/>
  <c r="I74" i="25"/>
  <c r="R74" i="25"/>
  <c r="L75" i="25"/>
  <c r="O76" i="25"/>
  <c r="I152" i="25"/>
  <c r="U155" i="25"/>
  <c r="I156" i="25"/>
  <c r="X156" i="25"/>
  <c r="X157" i="25"/>
  <c r="X161" i="25"/>
  <c r="O162" i="25"/>
  <c r="I224" i="25"/>
  <c r="R224" i="25"/>
  <c r="X225" i="25"/>
  <c r="X228" i="25"/>
  <c r="U230" i="25"/>
  <c r="X231" i="25"/>
  <c r="I235" i="25"/>
  <c r="X236" i="25"/>
  <c r="X147" i="25"/>
  <c r="R149" i="25"/>
  <c r="I150" i="25"/>
  <c r="R189" i="25"/>
  <c r="O193" i="25"/>
  <c r="U194" i="25"/>
  <c r="R194" i="25"/>
  <c r="I195" i="25"/>
  <c r="R7" i="25"/>
  <c r="X8" i="25"/>
  <c r="X10" i="25"/>
  <c r="X15" i="25"/>
  <c r="X17" i="25"/>
  <c r="I20" i="25"/>
  <c r="X22" i="25"/>
  <c r="X25" i="25"/>
  <c r="X30" i="25"/>
  <c r="X33" i="25"/>
  <c r="L39" i="25"/>
  <c r="L42" i="25"/>
  <c r="U151" i="25"/>
  <c r="L15" i="25"/>
  <c r="U17" i="25"/>
  <c r="U19" i="25"/>
  <c r="U25" i="25"/>
  <c r="X67" i="25"/>
  <c r="R69" i="25"/>
  <c r="L71" i="25"/>
  <c r="X74" i="25"/>
  <c r="U76" i="25"/>
  <c r="L152" i="25"/>
  <c r="X152" i="25"/>
  <c r="O161" i="25"/>
  <c r="X227" i="25"/>
  <c r="R229" i="25"/>
  <c r="I230" i="25"/>
  <c r="X151" i="25"/>
  <c r="X191" i="25"/>
  <c r="I194" i="25"/>
  <c r="X196" i="25"/>
  <c r="U10" i="25"/>
  <c r="L13" i="25"/>
  <c r="L14" i="25"/>
  <c r="I19" i="25"/>
  <c r="L20" i="25"/>
  <c r="I27" i="25"/>
  <c r="L28" i="25"/>
  <c r="I40" i="25"/>
  <c r="X42" i="25"/>
  <c r="I66" i="25"/>
  <c r="L67" i="25"/>
  <c r="O68" i="25"/>
  <c r="I69" i="25"/>
  <c r="X73" i="25"/>
  <c r="I76" i="25"/>
  <c r="O153" i="25"/>
  <c r="U157" i="25"/>
  <c r="I162" i="25"/>
  <c r="L227" i="25"/>
  <c r="O228" i="25"/>
  <c r="I229" i="25"/>
  <c r="I148" i="25"/>
  <c r="U191" i="25"/>
  <c r="I11" i="25"/>
  <c r="L12" i="25"/>
  <c r="I25" i="25"/>
  <c r="I26" i="25"/>
  <c r="F92" i="25"/>
  <c r="I93" i="25"/>
  <c r="U236" i="25"/>
  <c r="F189" i="25"/>
  <c r="F13" i="25"/>
  <c r="O14" i="25"/>
  <c r="U92" i="25"/>
  <c r="U96" i="25"/>
  <c r="X66" i="25"/>
  <c r="L69" i="25"/>
  <c r="X69" i="25"/>
  <c r="X70" i="25"/>
  <c r="O71" i="25"/>
  <c r="I72" i="25"/>
  <c r="F74" i="25"/>
  <c r="X76" i="25"/>
  <c r="U153" i="25"/>
  <c r="X154" i="25"/>
  <c r="I157" i="25"/>
  <c r="X158" i="25"/>
  <c r="U161" i="25"/>
  <c r="L162" i="25"/>
  <c r="O224" i="25"/>
  <c r="L229" i="25"/>
  <c r="L230" i="25"/>
  <c r="O234" i="25"/>
  <c r="O235" i="25"/>
  <c r="O236" i="25"/>
  <c r="L148" i="25"/>
  <c r="O151" i="25"/>
  <c r="U189" i="25"/>
  <c r="I191" i="25"/>
  <c r="I192" i="25"/>
  <c r="O196" i="25"/>
  <c r="L11" i="25"/>
  <c r="O12" i="25"/>
  <c r="O15" i="25"/>
  <c r="L18" i="25"/>
  <c r="R21" i="25"/>
  <c r="R24" i="25"/>
  <c r="L26" i="25"/>
  <c r="R29" i="25"/>
  <c r="R32" i="25"/>
  <c r="O35" i="25"/>
  <c r="U37" i="25"/>
  <c r="X43" i="25"/>
  <c r="L96" i="25"/>
  <c r="X94" i="25"/>
  <c r="X96" i="25"/>
  <c r="I99" i="25"/>
  <c r="O104" i="25"/>
  <c r="I108" i="25"/>
  <c r="L110" i="25"/>
  <c r="R113" i="25"/>
  <c r="I114" i="25"/>
  <c r="X119" i="25"/>
  <c r="L120" i="25"/>
  <c r="R128" i="25"/>
  <c r="X86" i="25"/>
  <c r="U91" i="25"/>
  <c r="I270" i="25"/>
  <c r="X272" i="25"/>
  <c r="I274" i="25"/>
  <c r="L275" i="25"/>
  <c r="F276" i="25"/>
  <c r="U277" i="25"/>
  <c r="I278" i="25"/>
  <c r="X280" i="25"/>
  <c r="I210" i="25"/>
  <c r="O211" i="25"/>
  <c r="I213" i="25"/>
  <c r="L214" i="25"/>
  <c r="X215" i="25"/>
  <c r="I218" i="25"/>
  <c r="R84" i="25"/>
  <c r="R221" i="25"/>
  <c r="X222" i="25"/>
  <c r="O223" i="25"/>
  <c r="U186" i="25"/>
  <c r="L187" i="25"/>
  <c r="O188" i="25"/>
  <c r="X38" i="25"/>
  <c r="X41" i="25"/>
  <c r="O103" i="25"/>
  <c r="I105" i="25"/>
  <c r="X115" i="25"/>
  <c r="I118" i="25"/>
  <c r="L119" i="25"/>
  <c r="F120" i="25"/>
  <c r="I122" i="25"/>
  <c r="U78" i="25"/>
  <c r="I79" i="25"/>
  <c r="L80" i="25"/>
  <c r="O81" i="25"/>
  <c r="R82" i="25"/>
  <c r="X84" i="25"/>
  <c r="O86" i="25"/>
  <c r="R87" i="25"/>
  <c r="L88" i="25"/>
  <c r="O89" i="25"/>
  <c r="U90" i="25"/>
  <c r="X270" i="25"/>
  <c r="O272" i="25"/>
  <c r="R273" i="25"/>
  <c r="L274" i="25"/>
  <c r="O275" i="25"/>
  <c r="U276" i="25"/>
  <c r="X278" i="25"/>
  <c r="O280" i="25"/>
  <c r="R281" i="25"/>
  <c r="R211" i="25"/>
  <c r="R212" i="25"/>
  <c r="X213" i="25"/>
  <c r="O215" i="25"/>
  <c r="R216" i="25"/>
  <c r="R220" i="25"/>
  <c r="X221" i="25"/>
  <c r="U40" i="25"/>
  <c r="U41" i="25"/>
  <c r="U42" i="25"/>
  <c r="I44" i="25"/>
  <c r="L92" i="25"/>
  <c r="L93" i="25"/>
  <c r="I96" i="25"/>
  <c r="I97" i="25"/>
  <c r="U103" i="25"/>
  <c r="R103" i="25"/>
  <c r="I104" i="25"/>
  <c r="R104" i="25"/>
  <c r="L107" i="25"/>
  <c r="X277" i="25"/>
  <c r="I281" i="25"/>
  <c r="L282" i="25"/>
  <c r="O210" i="25"/>
  <c r="I216" i="25"/>
  <c r="L217" i="25"/>
  <c r="O218" i="25"/>
  <c r="O187" i="25"/>
  <c r="R120" i="25"/>
  <c r="I127" i="25"/>
  <c r="L128" i="25"/>
  <c r="U87" i="25"/>
  <c r="U271" i="25"/>
  <c r="U273" i="25"/>
  <c r="U281" i="25"/>
  <c r="U213" i="25"/>
  <c r="U214" i="25"/>
  <c r="U216" i="25"/>
  <c r="U219" i="25"/>
  <c r="X220" i="25"/>
  <c r="U222" i="25"/>
  <c r="L186" i="25"/>
  <c r="L34" i="25"/>
  <c r="O36" i="25"/>
  <c r="O38" i="25"/>
  <c r="U39" i="25"/>
  <c r="I41" i="25"/>
  <c r="I42" i="25"/>
  <c r="O93" i="25"/>
  <c r="O94" i="25"/>
  <c r="R95" i="25"/>
  <c r="L97" i="25"/>
  <c r="U100" i="25"/>
  <c r="I102" i="25"/>
  <c r="X106" i="25"/>
  <c r="O108" i="25"/>
  <c r="I110" i="25"/>
  <c r="L118" i="25"/>
  <c r="O119" i="25"/>
  <c r="I120" i="25"/>
  <c r="X121" i="25"/>
  <c r="X122" i="25"/>
  <c r="O124" i="25"/>
  <c r="R125" i="25"/>
  <c r="L127" i="25"/>
  <c r="O128" i="25"/>
  <c r="I86" i="25"/>
  <c r="L87" i="25"/>
  <c r="X87" i="25"/>
  <c r="I272" i="25"/>
  <c r="L273" i="25"/>
  <c r="X273" i="25"/>
  <c r="I280" i="25"/>
  <c r="L281" i="25"/>
  <c r="O282" i="25"/>
  <c r="R210" i="25"/>
  <c r="I211" i="25"/>
  <c r="I215" i="25"/>
  <c r="L216" i="25"/>
  <c r="O217" i="25"/>
  <c r="U218" i="25"/>
  <c r="R218" i="25"/>
  <c r="I223" i="25"/>
  <c r="I188" i="25"/>
  <c r="L43" i="25"/>
  <c r="O44" i="25"/>
  <c r="R92" i="25"/>
  <c r="O98" i="25"/>
  <c r="R99" i="25"/>
  <c r="X103" i="25"/>
  <c r="R109" i="25"/>
  <c r="L111" i="25"/>
  <c r="O112" i="25"/>
  <c r="I116" i="25"/>
  <c r="L117" i="25"/>
  <c r="R119" i="25"/>
  <c r="I125" i="25"/>
  <c r="L126" i="25"/>
  <c r="I130" i="25"/>
  <c r="X81" i="25"/>
  <c r="X89" i="25"/>
  <c r="X275" i="25"/>
  <c r="I214" i="25"/>
  <c r="I222" i="25"/>
  <c r="O186" i="25"/>
  <c r="U170" i="25"/>
  <c r="U206" i="25"/>
  <c r="U200" i="25"/>
  <c r="U168" i="25"/>
  <c r="U142" i="25"/>
  <c r="U164" i="25"/>
  <c r="U247" i="25"/>
  <c r="U246" i="25"/>
  <c r="L6" i="25"/>
  <c r="I163" i="25"/>
  <c r="F170" i="25"/>
  <c r="U173" i="25"/>
  <c r="F178" i="25"/>
  <c r="F131" i="25"/>
  <c r="F139" i="25"/>
  <c r="F203" i="25"/>
  <c r="F198" i="25"/>
  <c r="F242" i="25"/>
  <c r="R163" i="25"/>
  <c r="F167" i="25"/>
  <c r="F175" i="25"/>
  <c r="F183" i="25"/>
  <c r="F136" i="25"/>
  <c r="F144" i="25"/>
  <c r="I145" i="25"/>
  <c r="F208" i="25"/>
  <c r="I209" i="25"/>
  <c r="F239" i="25"/>
  <c r="I240" i="25"/>
  <c r="F247" i="25"/>
  <c r="L249" i="25"/>
  <c r="U258" i="25"/>
  <c r="U73" i="25"/>
  <c r="F164" i="25"/>
  <c r="F172" i="25"/>
  <c r="F180" i="25"/>
  <c r="F133" i="25"/>
  <c r="F141" i="25"/>
  <c r="F205" i="25"/>
  <c r="F200" i="25"/>
  <c r="F244" i="25"/>
  <c r="U162" i="25"/>
  <c r="F169" i="25"/>
  <c r="F177" i="25"/>
  <c r="F185" i="25"/>
  <c r="F138" i="25"/>
  <c r="F202" i="25"/>
  <c r="F197" i="25"/>
  <c r="F241" i="25"/>
  <c r="U268" i="25"/>
  <c r="F166" i="25"/>
  <c r="F174" i="25"/>
  <c r="U174" i="25"/>
  <c r="F182" i="25"/>
  <c r="U182" i="25"/>
  <c r="F135" i="25"/>
  <c r="F143" i="25"/>
  <c r="L145" i="25"/>
  <c r="O202" i="25"/>
  <c r="F207" i="25"/>
  <c r="F238" i="25"/>
  <c r="F246" i="25"/>
  <c r="F171" i="25"/>
  <c r="F179" i="25"/>
  <c r="F132" i="25"/>
  <c r="F140" i="25"/>
  <c r="F204" i="25"/>
  <c r="F199" i="25"/>
  <c r="F243" i="25"/>
  <c r="I6" i="25"/>
  <c r="F250" i="25"/>
  <c r="U252" i="25"/>
  <c r="F165" i="25"/>
  <c r="F134" i="25"/>
  <c r="F142" i="25"/>
  <c r="F206" i="25"/>
  <c r="F201" i="25"/>
  <c r="F245" i="25"/>
  <c r="U50" i="25"/>
  <c r="U52" i="25"/>
  <c r="U74" i="25"/>
  <c r="F253" i="25"/>
  <c r="F261" i="25"/>
  <c r="F269" i="25"/>
  <c r="F52" i="25"/>
  <c r="F60" i="25"/>
  <c r="F68" i="25"/>
  <c r="F76" i="25"/>
  <c r="F159" i="25"/>
  <c r="F228" i="25"/>
  <c r="U149" i="25"/>
  <c r="I251" i="25"/>
  <c r="F258" i="25"/>
  <c r="I259" i="25"/>
  <c r="R262" i="25"/>
  <c r="F266" i="25"/>
  <c r="I267" i="25"/>
  <c r="F49" i="25"/>
  <c r="I50" i="25"/>
  <c r="F57" i="25"/>
  <c r="I58" i="25"/>
  <c r="F65" i="25"/>
  <c r="F73" i="25"/>
  <c r="F156" i="25"/>
  <c r="F225" i="25"/>
  <c r="F233" i="25"/>
  <c r="U14" i="25"/>
  <c r="U35" i="25"/>
  <c r="F255" i="25"/>
  <c r="F263" i="25"/>
  <c r="F46" i="25"/>
  <c r="F54" i="25"/>
  <c r="F62" i="25"/>
  <c r="F70" i="25"/>
  <c r="F153" i="25"/>
  <c r="U156" i="25"/>
  <c r="F161" i="25"/>
  <c r="F230" i="25"/>
  <c r="F237" i="25"/>
  <c r="F59" i="25"/>
  <c r="F67" i="25"/>
  <c r="F75" i="25"/>
  <c r="F158" i="25"/>
  <c r="F227" i="25"/>
  <c r="F146" i="25"/>
  <c r="F257" i="25"/>
  <c r="F265" i="25"/>
  <c r="F48" i="25"/>
  <c r="F56" i="25"/>
  <c r="O59" i="25"/>
  <c r="F64" i="25"/>
  <c r="U64" i="25"/>
  <c r="O67" i="25"/>
  <c r="F72" i="25"/>
  <c r="O75" i="25"/>
  <c r="F155" i="25"/>
  <c r="O158" i="25"/>
  <c r="F224" i="25"/>
  <c r="O227" i="25"/>
  <c r="F232" i="25"/>
  <c r="U232" i="25"/>
  <c r="F254" i="25"/>
  <c r="F262" i="25"/>
  <c r="F45" i="25"/>
  <c r="F53" i="25"/>
  <c r="F61" i="25"/>
  <c r="F69" i="25"/>
  <c r="F152" i="25"/>
  <c r="F160" i="25"/>
  <c r="F229" i="25"/>
  <c r="I234" i="25"/>
  <c r="U15" i="25"/>
  <c r="F226" i="25"/>
  <c r="F256" i="25"/>
  <c r="F264" i="25"/>
  <c r="F47" i="25"/>
  <c r="F55" i="25"/>
  <c r="F63" i="25"/>
  <c r="F71" i="25"/>
  <c r="F154" i="25"/>
  <c r="F162" i="25"/>
  <c r="F231" i="25"/>
  <c r="F101" i="25"/>
  <c r="U105" i="25"/>
  <c r="F105" i="25"/>
  <c r="U107" i="25"/>
  <c r="F107" i="25"/>
  <c r="U128" i="25"/>
  <c r="F148" i="25"/>
  <c r="F193" i="25"/>
  <c r="F11" i="25"/>
  <c r="F19" i="25"/>
  <c r="F27" i="25"/>
  <c r="I28" i="25"/>
  <c r="F35" i="25"/>
  <c r="I36" i="25"/>
  <c r="F43" i="25"/>
  <c r="F98" i="25"/>
  <c r="U108" i="25"/>
  <c r="I111" i="25"/>
  <c r="F118" i="25"/>
  <c r="O126" i="25"/>
  <c r="F190" i="25"/>
  <c r="F8" i="25"/>
  <c r="F16" i="25"/>
  <c r="F24" i="25"/>
  <c r="F32" i="25"/>
  <c r="F40" i="25"/>
  <c r="F95" i="25"/>
  <c r="I109" i="25"/>
  <c r="O121" i="25"/>
  <c r="U195" i="25"/>
  <c r="U13" i="25"/>
  <c r="U21" i="25"/>
  <c r="I106" i="25"/>
  <c r="U115" i="25"/>
  <c r="F115" i="25"/>
  <c r="U127" i="25"/>
  <c r="F147" i="25"/>
  <c r="F192" i="25"/>
  <c r="F10" i="25"/>
  <c r="F18" i="25"/>
  <c r="F26" i="25"/>
  <c r="F34" i="25"/>
  <c r="F42" i="25"/>
  <c r="F97" i="25"/>
  <c r="U113" i="25"/>
  <c r="F113" i="25"/>
  <c r="U120" i="25"/>
  <c r="U125" i="25"/>
  <c r="F126" i="25"/>
  <c r="F94" i="25"/>
  <c r="F149" i="25"/>
  <c r="F194" i="25"/>
  <c r="F12" i="25"/>
  <c r="F20" i="25"/>
  <c r="F28" i="25"/>
  <c r="F36" i="25"/>
  <c r="F44" i="25"/>
  <c r="F99" i="25"/>
  <c r="O118" i="25"/>
  <c r="F123" i="25"/>
  <c r="F191" i="25"/>
  <c r="F9" i="25"/>
  <c r="F17" i="25"/>
  <c r="F25" i="25"/>
  <c r="F33" i="25"/>
  <c r="F41" i="25"/>
  <c r="F96" i="25"/>
  <c r="F103" i="25"/>
  <c r="F110" i="25"/>
  <c r="U119" i="25"/>
  <c r="U129" i="25"/>
  <c r="O129" i="25"/>
  <c r="F109" i="25"/>
  <c r="F117" i="25"/>
  <c r="F125" i="25"/>
  <c r="F79" i="25"/>
  <c r="F87" i="25"/>
  <c r="F273" i="25"/>
  <c r="F281" i="25"/>
  <c r="F216" i="25"/>
  <c r="F186" i="25"/>
  <c r="U84" i="25"/>
  <c r="F213" i="25"/>
  <c r="F221" i="25"/>
  <c r="F111" i="25"/>
  <c r="F119" i="25"/>
  <c r="F81" i="25"/>
  <c r="F89" i="25"/>
  <c r="F275" i="25"/>
  <c r="F210" i="25"/>
  <c r="F218" i="25"/>
  <c r="U221" i="25"/>
  <c r="F188" i="25"/>
  <c r="F108" i="25"/>
  <c r="F116" i="25"/>
  <c r="F124" i="25"/>
  <c r="F78" i="25"/>
  <c r="F86" i="25"/>
  <c r="F272" i="25"/>
  <c r="F280" i="25"/>
  <c r="F215" i="25"/>
  <c r="F223" i="25"/>
  <c r="F121" i="25"/>
  <c r="F129" i="25"/>
  <c r="F83" i="25"/>
  <c r="F91" i="25"/>
  <c r="F277" i="25"/>
  <c r="F212" i="25"/>
  <c r="F220" i="25"/>
  <c r="F80" i="25"/>
  <c r="U80" i="25"/>
  <c r="O83" i="25"/>
  <c r="F88" i="25"/>
  <c r="O91" i="25"/>
  <c r="F274" i="25"/>
  <c r="U274" i="25"/>
  <c r="O277" i="25"/>
  <c r="F282" i="25"/>
  <c r="O212" i="25"/>
  <c r="F217" i="25"/>
  <c r="O220" i="25"/>
  <c r="F187" i="25"/>
  <c r="F77" i="25"/>
  <c r="F85" i="25"/>
  <c r="F271" i="25"/>
  <c r="F279" i="25"/>
  <c r="F214" i="25"/>
  <c r="F222" i="25"/>
  <c r="U70" i="25" l="1"/>
  <c r="U278" i="25"/>
  <c r="U27" i="25"/>
  <c r="U226" i="25"/>
  <c r="U139" i="25"/>
  <c r="U32" i="25"/>
  <c r="U190" i="25"/>
  <c r="U259" i="25"/>
  <c r="U150" i="25"/>
  <c r="U233" i="25"/>
  <c r="U93" i="25"/>
  <c r="U55" i="25"/>
  <c r="U29" i="25"/>
  <c r="U61" i="25"/>
  <c r="U245" i="25"/>
  <c r="U217" i="25"/>
  <c r="U101" i="25"/>
  <c r="U220" i="25"/>
  <c r="U177" i="25"/>
  <c r="U260" i="25"/>
  <c r="U192" i="25"/>
  <c r="U272" i="25"/>
  <c r="U33" i="25"/>
  <c r="U9" i="25"/>
  <c r="U261" i="25"/>
  <c r="U144" i="25"/>
  <c r="U250" i="25"/>
  <c r="U111" i="25"/>
  <c r="U211" i="25"/>
  <c r="U72" i="25"/>
  <c r="U181" i="25"/>
  <c r="V6" i="25"/>
  <c r="W6" i="25"/>
  <c r="U203" i="25"/>
  <c r="U145" i="25"/>
  <c r="U44" i="25"/>
  <c r="U193" i="25"/>
  <c r="U178" i="25"/>
  <c r="U26" i="25"/>
  <c r="U30" i="25"/>
  <c r="U196" i="25"/>
  <c r="U146" i="25"/>
  <c r="U248" i="25"/>
  <c r="U183" i="25"/>
  <c r="U122" i="25"/>
  <c r="U204" i="25"/>
  <c r="U124" i="25"/>
  <c r="U109" i="25"/>
  <c r="U94" i="25"/>
  <c r="U102" i="25"/>
  <c r="U43" i="25"/>
  <c r="U77" i="25"/>
  <c r="U147" i="25"/>
  <c r="U158" i="25"/>
  <c r="U262" i="25"/>
  <c r="U123" i="25"/>
  <c r="U121" i="25"/>
  <c r="U16" i="25"/>
  <c r="U225" i="25"/>
  <c r="U85" i="25"/>
  <c r="U18" i="25"/>
  <c r="U215" i="25"/>
  <c r="U210" i="25"/>
  <c r="U280" i="25"/>
  <c r="U212" i="25"/>
  <c r="U231" i="25"/>
  <c r="U267" i="25"/>
  <c r="U198" i="25"/>
  <c r="U63" i="25"/>
  <c r="U253" i="25"/>
  <c r="U266" i="25"/>
  <c r="U159" i="25"/>
  <c r="U228" i="25"/>
  <c r="U8" i="25"/>
  <c r="U224" i="25"/>
  <c r="U86" i="25"/>
  <c r="U116" i="25"/>
  <c r="U24" i="25"/>
  <c r="U110" i="25"/>
  <c r="U95" i="25"/>
  <c r="U279" i="25"/>
  <c r="U82" i="25"/>
  <c r="U83" i="25"/>
  <c r="U160" i="25"/>
  <c r="U172" i="25"/>
  <c r="U88" i="25"/>
  <c r="U28" i="25"/>
  <c r="U227" i="25"/>
  <c r="U254" i="25"/>
  <c r="U270" i="25"/>
  <c r="U34" i="25"/>
  <c r="U132" i="25"/>
  <c r="U282" i="25"/>
  <c r="U12" i="25"/>
  <c r="U148" i="25"/>
  <c r="U45" i="25"/>
  <c r="U166" i="25"/>
  <c r="U104" i="25"/>
  <c r="U118" i="25"/>
  <c r="U112" i="25"/>
  <c r="U48" i="25"/>
  <c r="U235" i="25"/>
  <c r="U31" i="25"/>
  <c r="U154" i="25"/>
  <c r="U188" i="25"/>
  <c r="U207" i="25"/>
  <c r="R6" i="25"/>
  <c r="U117" i="25"/>
  <c r="U114" i="25"/>
  <c r="U133" i="25"/>
  <c r="U7" i="25"/>
  <c r="U23" i="25"/>
  <c r="U51" i="25"/>
  <c r="U209" i="25"/>
  <c r="U68" i="25"/>
  <c r="F6" i="25"/>
  <c r="U89" i="25"/>
  <c r="U79" i="25"/>
  <c r="U75" i="25"/>
  <c r="U11" i="25"/>
  <c r="U59" i="25"/>
  <c r="U239" i="25"/>
  <c r="U180" i="25"/>
  <c r="U134" i="25"/>
  <c r="U242" i="25"/>
  <c r="U131" i="25"/>
  <c r="U60" i="25"/>
  <c r="U66" i="25"/>
  <c r="U264" i="25"/>
  <c r="U244" i="25"/>
  <c r="U223" i="25"/>
  <c r="U58" i="25"/>
  <c r="U130" i="25"/>
  <c r="U187" i="25"/>
  <c r="U275" i="25"/>
  <c r="U81" i="25"/>
  <c r="U98" i="25"/>
  <c r="U202" i="25"/>
  <c r="U57" i="25"/>
  <c r="U201" i="25"/>
  <c r="U165" i="25"/>
  <c r="U106" i="25"/>
  <c r="U237" i="25"/>
  <c r="U126" i="25"/>
  <c r="U163" i="25"/>
  <c r="U6" i="25" l="1"/>
</calcChain>
</file>

<file path=xl/sharedStrings.xml><?xml version="1.0" encoding="utf-8"?>
<sst xmlns="http://schemas.openxmlformats.org/spreadsheetml/2006/main" count="1140" uniqueCount="514">
  <si>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</si>
  <si>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</si>
  <si>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</si>
  <si>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</si>
  <si>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</si>
  <si>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</si>
  <si>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</si>
  <si>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</si>
  <si>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</si>
  <si>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</si>
  <si>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</si>
  <si>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</si>
  <si>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</si>
  <si>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</si>
  <si>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</si>
  <si>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</si>
  <si>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</si>
  <si>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</si>
  <si>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</si>
  <si>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</si>
  <si>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</si>
  <si>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</si>
  <si>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</si>
  <si>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</si>
  <si>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</si>
  <si>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</si>
  <si>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</si>
  <si>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</si>
  <si>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</si>
  <si>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</si>
  <si>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</si>
  <si>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</si>
  <si>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</si>
  <si>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</si>
  <si>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</si>
  <si>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</si>
  <si>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</si>
  <si>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</si>
  <si>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</si>
  <si>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</si>
  <si>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</si>
  <si>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</si>
  <si>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</si>
  <si>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</si>
  <si>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</si>
  <si>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</si>
  <si>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</si>
  <si>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</si>
  <si>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</si>
  <si>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</si>
  <si>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</si>
  <si>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</si>
  <si>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</si>
  <si>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</si>
  <si>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</si>
  <si>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</si>
  <si>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</si>
  <si>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</si>
  <si>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</si>
  <si>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</si>
  <si>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</si>
  <si>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</si>
  <si>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</si>
  <si>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</si>
  <si>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</si>
  <si>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</si>
  <si>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</si>
  <si>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</si>
  <si>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</si>
  <si>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</si>
  <si>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</si>
  <si>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</si>
  <si>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</si>
  <si>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</si>
  <si>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</si>
  <si>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</si>
  <si>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</si>
  <si>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</si>
  <si>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</si>
  <si>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</si>
  <si>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</si>
  <si>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</si>
  <si>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</si>
  <si>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</si>
  <si>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</si>
  <si>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</si>
  <si>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</si>
  <si>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</si>
  <si>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</si>
  <si>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</si>
  <si>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</si>
  <si>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</si>
  <si>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</si>
  <si>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</si>
  <si>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</si>
  <si>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</si>
  <si>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</si>
  <si>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</si>
  <si>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</si>
  <si>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</si>
  <si>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</si>
  <si>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</si>
  <si>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</si>
  <si>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</si>
  <si>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</si>
  <si>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</si>
  <si>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</si>
  <si>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</si>
  <si>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</si>
  <si>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</si>
  <si>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</si>
  <si>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</si>
  <si>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</si>
  <si>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</si>
  <si>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</si>
  <si>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</si>
  <si>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</si>
  <si>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</si>
  <si>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</si>
  <si>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</si>
  <si>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</si>
  <si>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</si>
  <si>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</si>
  <si>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</si>
  <si>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</si>
  <si>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</si>
  <si>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</si>
  <si>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</si>
  <si>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</si>
  <si>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</si>
  <si>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</si>
  <si>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</si>
  <si>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</si>
  <si>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</si>
  <si>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</si>
  <si>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</si>
  <si>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</si>
  <si>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</si>
  <si>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</si>
  <si>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</si>
  <si>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</si>
  <si>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</si>
  <si>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</si>
  <si>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</si>
  <si>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</si>
  <si>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</si>
  <si>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</si>
  <si>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</si>
  <si>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</si>
  <si>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</si>
  <si>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</si>
  <si>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</si>
  <si>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</si>
  <si>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</si>
  <si>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</si>
  <si>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</si>
  <si>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</si>
  <si>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</si>
  <si>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</si>
  <si>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</si>
  <si>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</si>
  <si>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</si>
  <si>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</si>
  <si>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</si>
  <si>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</si>
  <si>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</si>
  <si>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</si>
  <si>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</si>
  <si>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</si>
  <si>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</si>
  <si>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</si>
  <si>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</si>
  <si>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</si>
  <si>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</si>
  <si>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</si>
  <si>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</si>
  <si>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</si>
  <si>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</si>
  <si>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</si>
  <si>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</si>
  <si>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</si>
  <si>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</si>
  <si>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</si>
  <si>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</si>
  <si>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</si>
  <si>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</si>
  <si>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</si>
  <si>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</si>
  <si>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</si>
  <si>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</si>
  <si>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</si>
  <si>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</si>
  <si>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</si>
  <si>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</si>
  <si>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</si>
  <si>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</si>
  <si>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</si>
  <si>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</si>
  <si>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</si>
  <si>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</si>
  <si>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</si>
  <si>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</si>
  <si>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</si>
  <si>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</si>
  <si>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</si>
  <si>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</si>
  <si>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</si>
  <si>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</si>
  <si>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</si>
  <si>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</si>
  <si>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</si>
  <si>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</si>
  <si>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</si>
  <si>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</si>
  <si>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</si>
  <si>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</si>
  <si>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</si>
  <si>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</si>
  <si>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</si>
  <si>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</si>
  <si>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</si>
  <si>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</si>
  <si>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</si>
  <si>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</si>
  <si>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</si>
  <si>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</si>
  <si>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</si>
  <si>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</si>
  <si>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</si>
  <si>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</si>
  <si>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</si>
  <si>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</si>
  <si>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</si>
  <si>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</si>
  <si>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</si>
  <si>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</si>
  <si>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</si>
  <si>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</si>
  <si>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</si>
  <si>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</si>
  <si>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</si>
  <si>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</si>
  <si>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</si>
  <si>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</si>
  <si>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</si>
  <si>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</si>
  <si>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</si>
  <si>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</si>
  <si>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</si>
  <si>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</si>
  <si>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</si>
  <si>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</si>
  <si>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</si>
  <si>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</si>
  <si>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</si>
  <si>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</si>
  <si>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</si>
  <si>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</si>
  <si>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</si>
  <si>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</si>
  <si>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</si>
  <si>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</si>
  <si>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</si>
  <si>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</si>
  <si>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</si>
  <si>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</si>
  <si>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</si>
  <si>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</si>
  <si>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</si>
  <si>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</si>
  <si>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</si>
  <si>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</si>
  <si>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</si>
  <si>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</si>
  <si>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</si>
  <si>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</si>
  <si>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</si>
  <si>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</si>
  <si>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</si>
  <si>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</si>
  <si>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</si>
  <si>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</si>
  <si>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</si>
  <si>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</si>
  <si>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</si>
  <si>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</si>
  <si>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</si>
  <si>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</si>
  <si>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</si>
  <si>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</si>
  <si>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</si>
  <si>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</si>
  <si>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</si>
  <si>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</si>
  <si>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</si>
  <si>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</si>
  <si>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</si>
  <si>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</si>
  <si>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</si>
  <si>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</si>
  <si>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</si>
  <si>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</si>
  <si>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</si>
  <si>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</si>
  <si>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</si>
  <si>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</si>
  <si>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</si>
  <si>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</si>
  <si>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</si>
  <si>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</si>
  <si>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</si>
  <si>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</si>
  <si>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</si>
  <si>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</si>
  <si>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</si>
  <si>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</si>
  <si>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</si>
  <si>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</si>
  <si>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</si>
  <si>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</si>
  <si>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</si>
  <si>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</si>
  <si>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</si>
  <si>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</si>
  <si>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</si>
  <si>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</si>
  <si>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</si>
  <si>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</si>
  <si>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</si>
  <si>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</si>
  <si>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</si>
  <si>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</si>
  <si>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</si>
  <si>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</si>
  <si>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</si>
  <si>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</si>
  <si>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</si>
  <si>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</si>
  <si>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</si>
  <si>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</si>
  <si>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</si>
  <si>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</si>
  <si>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</si>
  <si>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</si>
  <si>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</si>
  <si>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</si>
  <si>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</si>
  <si>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</si>
  <si>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</si>
  <si>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</si>
  <si>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</si>
  <si>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</si>
  <si>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</si>
  <si>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</si>
  <si>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</si>
  <si>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</si>
  <si>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</si>
  <si>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</si>
  <si>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</si>
  <si>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</si>
  <si>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</si>
  <si>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</si>
  <si>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</si>
  <si>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</si>
  <si>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</si>
  <si>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</si>
  <si>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</si>
  <si>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</si>
  <si>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</si>
  <si>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</si>
  <si>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</si>
  <si>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</si>
  <si>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</si>
  <si>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</si>
  <si>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</si>
  <si>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</si>
  <si>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</si>
  <si>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</si>
  <si>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</si>
  <si>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</si>
  <si>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</si>
  <si>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</si>
  <si>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</si>
  <si>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</si>
  <si>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</si>
  <si>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</si>
  <si>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</si>
  <si>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</si>
  <si>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</si>
  <si>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</si>
  <si>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</si>
  <si>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</si>
  <si>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</si>
  <si>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</si>
  <si>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</si>
  <si>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</si>
  <si>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</si>
  <si>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</si>
  <si>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</si>
  <si>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</si>
  <si>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</si>
  <si>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</si>
  <si>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</si>
  <si>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</si>
  <si>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</si>
  <si>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</si>
  <si>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</si>
  <si>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</si>
  <si>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</si>
  <si>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</si>
  <si>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</si>
  <si>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</si>
  <si>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</si>
  <si>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</si>
  <si>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</si>
  <si>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</si>
  <si>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</si>
  <si>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</si>
  <si>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</si>
  <si>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</si>
  <si>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</si>
  <si>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</si>
  <si>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</si>
  <si>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</si>
  <si>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</si>
  <si>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</si>
  <si>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</si>
  <si>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</si>
  <si>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</si>
  <si>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</si>
  <si>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</si>
  <si>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</si>
  <si>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</si>
  <si>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</si>
  <si>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</si>
  <si>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</si>
  <si>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</si>
  <si>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</si>
  <si>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</si>
  <si>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</si>
  <si>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</si>
  <si>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</si>
  <si>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</si>
  <si>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</si>
  <si>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</si>
  <si>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</si>
  <si>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</si>
  <si>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</si>
  <si>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</si>
  <si>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</si>
  <si>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</si>
  <si>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</si>
  <si>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</si>
  <si>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</si>
  <si>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</si>
  <si>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</si>
  <si>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</si>
  <si>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</si>
  <si>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</si>
  <si>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</si>
  <si>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</si>
  <si>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</si>
  <si>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</si>
  <si>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</si>
  <si>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</si>
  <si>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</si>
  <si>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</si>
  <si>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</si>
  <si>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</si>
  <si>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</si>
  <si>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</si>
  <si>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</si>
  <si>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</si>
  <si>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</si>
  <si>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</si>
  <si>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</si>
  <si>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</si>
  <si>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</si>
  <si>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</si>
  <si>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</si>
  <si>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</si>
  <si>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</si>
  <si>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</si>
  <si>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</si>
  <si>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</si>
  <si>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</si>
  <si>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</si>
  <si>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</si>
  <si>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</si>
  <si>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</si>
  <si>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</si>
  <si>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</si>
  <si>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</si>
  <si>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</si>
  <si>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</si>
  <si>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</si>
  <si>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</si>
  <si>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</si>
  <si>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</si>
  <si>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</si>
  <si>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</si>
  <si>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</si>
  <si>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</si>
  <si>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</si>
  <si>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</si>
  <si>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</si>
  <si>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</si>
  <si>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</si>
  <si>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</si>
  <si>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</si>
  <si>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</si>
  <si>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</si>
  <si>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2020</t>
  </si>
  <si>
    <t>2020 ,udwdwa egcnurwCIT idwa cnikwv  cscnij  iaWa cDErcg ,udwdwA egcnidukWvwyik ibit iawgukwtuLotwa iaWaelWm :7.14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</si>
</sst>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8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64">
    <xf numFmtId="0" fontId="0" fillId="0" borderId="0" xfId="0"/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9" fillId="2" borderId="14" xfId="0" applyFont="1" applyFill="1" applyBorder="1" applyAlignment="1">
      <alignment horizontal="left" vertical="center" indent="1"/>
    </xf>
    <xf numFmtId="0" fontId="9" fillId="2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 wrapText="1"/>
    </xf>
    <xf numFmtId="0" fontId="9" fillId="2" borderId="14" xfId="0" applyFont="1" applyFill="1" applyBorder="1" applyAlignment="1">
      <alignment horizontal="center" vertical="center" wrapText="1"/>
    </xf>
    <xf numFmtId="3" fontId="0" fillId="2" borderId="0" xfId="0" applyNumberFormat="1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1" fillId="2" borderId="8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 indent="1"/>
    </xf>
    <xf numFmtId="0" fontId="9" fillId="2" borderId="15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left" vertical="center" indent="1"/>
    </xf>
    <xf numFmtId="0" fontId="9" fillId="2" borderId="10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0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3" fontId="1" fillId="2" borderId="9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3" fontId="1" fillId="3" borderId="8" xfId="0" applyNumberFormat="1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3" fontId="0" fillId="3" borderId="0" xfId="0" applyNumberFormat="1" applyFont="1" applyFill="1" applyBorder="1" applyAlignment="1">
      <alignment vertical="center"/>
    </xf>
    <xf numFmtId="3" fontId="1" fillId="3" borderId="9" xfId="0" applyNumberFormat="1" applyFont="1" applyFill="1" applyBorder="1" applyAlignment="1">
      <alignment vertical="center"/>
    </xf>
    <xf numFmtId="3" fontId="0" fillId="3" borderId="1" xfId="0" applyNumberFormat="1" applyFont="1" applyFill="1" applyBorder="1" applyAlignment="1">
      <alignment vertical="center"/>
    </xf>
    <xf numFmtId="3" fontId="1" fillId="3" borderId="7" xfId="0" applyNumberFormat="1" applyFont="1" applyFill="1" applyBorder="1" applyAlignment="1">
      <alignment vertical="center"/>
    </xf>
    <xf numFmtId="3" fontId="0" fillId="3" borderId="7" xfId="0" applyNumberFormat="1" applyFont="1" applyFill="1" applyBorder="1" applyAlignment="1">
      <alignment vertical="center"/>
    </xf>
    <xf numFmtId="3" fontId="0" fillId="3" borderId="12" xfId="0" applyNumberFormat="1" applyFont="1" applyFill="1" applyBorder="1" applyAlignment="1">
      <alignment vertical="center"/>
    </xf>
    <xf numFmtId="1" fontId="1" fillId="3" borderId="11" xfId="0" applyNumberFormat="1" applyFont="1" applyFill="1" applyBorder="1" applyAlignment="1">
      <alignment horizontal="center" vertical="center"/>
    </xf>
    <xf numFmtId="3" fontId="0" fillId="3" borderId="8" xfId="0" applyNumberFormat="1" applyFont="1" applyFill="1" applyBorder="1" applyAlignment="1">
      <alignment vertical="center"/>
    </xf>
    <xf numFmtId="3" fontId="0" fillId="3" borderId="9" xfId="0" applyNumberFormat="1" applyFont="1" applyFill="1" applyBorder="1" applyAlignment="1">
      <alignment vertical="center"/>
    </xf>
    <xf numFmtId="164" fontId="10" fillId="2" borderId="0" xfId="0" applyNumberFormat="1" applyFont="1" applyFill="1"/>
    <xf numFmtId="0" fontId="11" fillId="2" borderId="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B282"/>
  <sheetViews>
    <sheetView tabSelected="1" view="pageBreakPreview" topLeftCell="A2" zoomScale="118" zoomScaleNormal="93" zoomScaleSheetLayoutView="118" workbookViewId="0">
      <selection activeCell="B4" sqref="B4:B5"/>
    </sheetView>
  </sheetViews>
  <sheetFormatPr defaultColWidth="9.140625" defaultRowHeight="15" x14ac:dyDescent="0.25"/>
  <cols>
    <col min="1" max="1" width="5.140625" style="27" customWidth="1"/>
    <col min="2" max="2" width="9.140625" style="1"/>
    <col min="3" max="3" width="56.7109375" style="3" bestFit="1" customWidth="1"/>
    <col min="4" max="4" width="24.140625" style="1" customWidth="1"/>
    <col min="5" max="5" width="9.140625" style="1"/>
    <col min="6" max="19" width="9.140625" style="4"/>
    <col min="20" max="20" width="9.140625" style="6"/>
    <col min="21" max="22" width="9.140625" style="4"/>
    <col min="23" max="23" width="7" style="6" bestFit="1" customWidth="1"/>
    <col min="24" max="25" width="9.140625" style="4"/>
    <col min="26" max="26" width="6.140625" style="4" bestFit="1" customWidth="1"/>
    <col min="27" max="16384" width="9.140625" style="1"/>
  </cols>
  <sheetData>
    <row r="1" spans="1:28" ht="22.5" x14ac:dyDescent="0.55000000000000004">
      <c r="A1" s="61" t="s">
        <v>513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0"/>
    </row>
    <row r="2" spans="1:28" ht="15.75" x14ac:dyDescent="0.25">
      <c r="A2" s="25" t="s">
        <v>512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8" x14ac:dyDescent="0.25">
      <c r="A3" s="26"/>
      <c r="B3" s="4"/>
      <c r="C3" s="5"/>
      <c r="D3" s="5"/>
      <c r="E3" s="4"/>
      <c r="T3" s="4"/>
      <c r="U3" s="6"/>
      <c r="W3" s="4"/>
      <c r="X3" s="6"/>
    </row>
    <row r="4" spans="1:28" ht="15.75" customHeight="1" x14ac:dyDescent="0.25">
      <c r="A4" s="31" t="s">
        <v>24</v>
      </c>
      <c r="B4" s="62" t="s">
        <v>25</v>
      </c>
      <c r="C4" s="33" t="s">
        <v>26</v>
      </c>
      <c r="D4" s="33" t="s">
        <v>27</v>
      </c>
      <c r="E4" s="34" t="s">
        <v>28</v>
      </c>
      <c r="F4" s="45" t="s">
        <v>20</v>
      </c>
      <c r="G4" s="45"/>
      <c r="H4" s="45"/>
      <c r="I4" s="35" t="s">
        <v>18</v>
      </c>
      <c r="J4" s="36"/>
      <c r="K4" s="37"/>
      <c r="L4" s="57" t="s">
        <v>29</v>
      </c>
      <c r="M4" s="57"/>
      <c r="N4" s="57"/>
      <c r="O4" s="35" t="s">
        <v>19</v>
      </c>
      <c r="P4" s="36"/>
      <c r="Q4" s="37"/>
      <c r="R4" s="45" t="s">
        <v>21</v>
      </c>
      <c r="S4" s="45"/>
      <c r="T4" s="45"/>
      <c r="U4" s="38" t="s">
        <v>30</v>
      </c>
      <c r="V4" s="31"/>
      <c r="W4" s="34"/>
      <c r="X4" s="34" t="s">
        <v>31</v>
      </c>
      <c r="Y4" s="39"/>
      <c r="Z4" s="39"/>
    </row>
    <row r="5" spans="1:28" ht="15.75" customHeight="1" x14ac:dyDescent="0.25">
      <c r="A5" s="31"/>
      <c r="B5" s="63"/>
      <c r="C5" s="33"/>
      <c r="D5" s="33"/>
      <c r="E5" s="34"/>
      <c r="F5" s="46" t="s">
        <v>23</v>
      </c>
      <c r="G5" s="47" t="s">
        <v>16</v>
      </c>
      <c r="H5" s="48" t="s">
        <v>17</v>
      </c>
      <c r="I5" s="7" t="s">
        <v>23</v>
      </c>
      <c r="J5" s="7" t="s">
        <v>16</v>
      </c>
      <c r="K5" s="40" t="s">
        <v>17</v>
      </c>
      <c r="L5" s="46" t="s">
        <v>23</v>
      </c>
      <c r="M5" s="47" t="s">
        <v>16</v>
      </c>
      <c r="N5" s="48" t="s">
        <v>17</v>
      </c>
      <c r="O5" s="7" t="s">
        <v>23</v>
      </c>
      <c r="P5" s="7" t="s">
        <v>16</v>
      </c>
      <c r="Q5" s="40" t="s">
        <v>17</v>
      </c>
      <c r="R5" s="46" t="s">
        <v>23</v>
      </c>
      <c r="S5" s="47" t="s">
        <v>16</v>
      </c>
      <c r="T5" s="48" t="s">
        <v>17</v>
      </c>
      <c r="U5" s="7" t="s">
        <v>23</v>
      </c>
      <c r="V5" s="7" t="s">
        <v>16</v>
      </c>
      <c r="W5" s="7" t="s">
        <v>17</v>
      </c>
      <c r="X5" s="41" t="s">
        <v>22</v>
      </c>
      <c r="Y5" s="8" t="s">
        <v>32</v>
      </c>
      <c r="Z5" s="8" t="s">
        <v>33</v>
      </c>
    </row>
    <row r="6" spans="1:28" ht="15.75" x14ac:dyDescent="0.25">
      <c r="A6" s="42"/>
      <c r="B6" s="32"/>
      <c r="C6" s="32" t="s">
        <v>34</v>
      </c>
      <c r="D6" s="32"/>
      <c r="E6" s="32"/>
      <c r="F6" s="49">
        <f>G6+H6</f>
        <v>18649</v>
      </c>
      <c r="G6" s="50">
        <f>SUM(G7:G282)</f>
        <v>9456</v>
      </c>
      <c r="H6" s="54">
        <f>SUM(H7:H282)</f>
        <v>9193</v>
      </c>
      <c r="I6" s="14">
        <f>SUM(J6:K6)</f>
        <v>51238</v>
      </c>
      <c r="J6" s="14">
        <f>SUM(J7:J282)</f>
        <v>26613</v>
      </c>
      <c r="K6" s="14">
        <f>SUM(K7:K282)</f>
        <v>24625</v>
      </c>
      <c r="L6" s="49">
        <f>SUM(M6:N6)</f>
        <v>17031</v>
      </c>
      <c r="M6" s="50">
        <f>SUM(M7:M282)</f>
        <v>8697</v>
      </c>
      <c r="N6" s="54">
        <f>SUM(N7:N282)</f>
        <v>8334</v>
      </c>
      <c r="O6" s="14">
        <f>SUM(P6:Q6)</f>
        <v>3565</v>
      </c>
      <c r="P6" s="14">
        <f>SUM(P7:P282)</f>
        <v>1552</v>
      </c>
      <c r="Q6" s="14">
        <f>SUM(Q7:Q282)</f>
        <v>2013</v>
      </c>
      <c r="R6" s="49">
        <f>SUM(S6:T6)</f>
        <v>82</v>
      </c>
      <c r="S6" s="50">
        <f>SUM(S7:S282)</f>
        <v>47</v>
      </c>
      <c r="T6" s="54">
        <f>SUM(T7:T282)</f>
        <v>35</v>
      </c>
      <c r="U6" s="14">
        <f>V6+W6</f>
        <v>90565</v>
      </c>
      <c r="V6" s="14">
        <f>SUM(V7:V282)</f>
        <v>46365</v>
      </c>
      <c r="W6" s="14">
        <f>SUM(W7:W282)</f>
        <v>44200</v>
      </c>
      <c r="X6" s="15">
        <f>SUM(Y6:Z6)</f>
        <v>10615</v>
      </c>
      <c r="Y6" s="14">
        <f>SUM(Y7:Y282)</f>
        <v>2114</v>
      </c>
      <c r="Z6" s="14">
        <f>SUM(Z7:Z282)</f>
        <v>8501</v>
      </c>
      <c r="AB6" s="2"/>
    </row>
    <row r="7" spans="1:28" ht="15.75" x14ac:dyDescent="0.25">
      <c r="A7" s="43">
        <v>1</v>
      </c>
      <c r="B7" s="9" t="s">
        <v>0</v>
      </c>
      <c r="C7" s="10" t="s">
        <v>383</v>
      </c>
      <c r="D7" s="11" t="s">
        <v>384</v>
      </c>
      <c r="E7" s="12" t="s">
        <v>35</v>
      </c>
      <c r="F7" s="49">
        <f t="shared" ref="F7:F44" si="0">G7+H7</f>
        <v>0</v>
      </c>
      <c r="G7" s="51">
        <v>0</v>
      </c>
      <c r="H7" s="55">
        <v>0</v>
      </c>
      <c r="I7" s="13">
        <f t="shared" ref="I7:I44" si="1">SUM(J7:K7)</f>
        <v>1617</v>
      </c>
      <c r="J7" s="13">
        <v>807</v>
      </c>
      <c r="K7" s="13">
        <v>810</v>
      </c>
      <c r="L7" s="58">
        <f t="shared" ref="L7:L44" si="2">SUM(M7:N7)</f>
        <v>494</v>
      </c>
      <c r="M7" s="51">
        <v>249</v>
      </c>
      <c r="N7" s="55">
        <v>245</v>
      </c>
      <c r="O7" s="13">
        <f t="shared" ref="O7:O44" si="3">SUM(P7:Q7)</f>
        <v>0</v>
      </c>
      <c r="P7" s="13">
        <v>0</v>
      </c>
      <c r="Q7" s="13">
        <v>0</v>
      </c>
      <c r="R7" s="58">
        <f t="shared" ref="R7:R44" si="4">SUM(S7:T7)</f>
        <v>0</v>
      </c>
      <c r="S7" s="51">
        <v>0</v>
      </c>
      <c r="T7" s="55">
        <v>0</v>
      </c>
      <c r="U7" s="14">
        <f t="shared" ref="U7:U44" si="5">V7+W7</f>
        <v>2111</v>
      </c>
      <c r="V7" s="13">
        <v>1056</v>
      </c>
      <c r="W7" s="13">
        <v>1055</v>
      </c>
      <c r="X7" s="15">
        <f t="shared" ref="X7:X44" si="6">SUM(Y7:Z7)</f>
        <v>155</v>
      </c>
      <c r="Y7" s="13">
        <v>18</v>
      </c>
      <c r="Z7" s="13">
        <v>137</v>
      </c>
      <c r="AA7" s="2"/>
    </row>
    <row r="8" spans="1:28" ht="15.75" x14ac:dyDescent="0.25">
      <c r="A8" s="43">
        <v>2</v>
      </c>
      <c r="B8" s="9" t="s">
        <v>0</v>
      </c>
      <c r="C8" s="10" t="s">
        <v>385</v>
      </c>
      <c r="D8" s="11" t="s">
        <v>384</v>
      </c>
      <c r="E8" s="12" t="s">
        <v>35</v>
      </c>
      <c r="F8" s="49">
        <f t="shared" si="0"/>
        <v>0</v>
      </c>
      <c r="G8" s="51">
        <v>0</v>
      </c>
      <c r="H8" s="55">
        <v>0</v>
      </c>
      <c r="I8" s="13">
        <f t="shared" si="1"/>
        <v>1596</v>
      </c>
      <c r="J8" s="13">
        <v>818</v>
      </c>
      <c r="K8" s="13">
        <v>778</v>
      </c>
      <c r="L8" s="58">
        <f t="shared" si="2"/>
        <v>483</v>
      </c>
      <c r="M8" s="51">
        <v>245</v>
      </c>
      <c r="N8" s="55">
        <v>238</v>
      </c>
      <c r="O8" s="13">
        <f t="shared" si="3"/>
        <v>0</v>
      </c>
      <c r="P8" s="13">
        <v>0</v>
      </c>
      <c r="Q8" s="13">
        <v>0</v>
      </c>
      <c r="R8" s="58">
        <f t="shared" si="4"/>
        <v>0</v>
      </c>
      <c r="S8" s="51">
        <v>0</v>
      </c>
      <c r="T8" s="55">
        <v>0</v>
      </c>
      <c r="U8" s="14">
        <f t="shared" si="5"/>
        <v>2079</v>
      </c>
      <c r="V8" s="13">
        <v>1063</v>
      </c>
      <c r="W8" s="13">
        <v>1016</v>
      </c>
      <c r="X8" s="15">
        <f t="shared" si="6"/>
        <v>151</v>
      </c>
      <c r="Y8" s="13">
        <v>15</v>
      </c>
      <c r="Z8" s="13">
        <v>136</v>
      </c>
      <c r="AA8" s="2"/>
    </row>
    <row r="9" spans="1:28" ht="15.75" x14ac:dyDescent="0.25">
      <c r="A9" s="43">
        <v>3</v>
      </c>
      <c r="B9" s="9" t="s">
        <v>0</v>
      </c>
      <c r="C9" s="10" t="s">
        <v>386</v>
      </c>
      <c r="D9" s="11" t="s">
        <v>384</v>
      </c>
      <c r="E9" s="12" t="s">
        <v>35</v>
      </c>
      <c r="F9" s="49">
        <f t="shared" si="0"/>
        <v>0</v>
      </c>
      <c r="G9" s="51">
        <v>0</v>
      </c>
      <c r="H9" s="55">
        <v>0</v>
      </c>
      <c r="I9" s="13">
        <f t="shared" si="1"/>
        <v>1188</v>
      </c>
      <c r="J9" s="13">
        <v>584</v>
      </c>
      <c r="K9" s="13">
        <v>604</v>
      </c>
      <c r="L9" s="58">
        <f t="shared" si="2"/>
        <v>299</v>
      </c>
      <c r="M9" s="51">
        <v>146</v>
      </c>
      <c r="N9" s="55">
        <v>153</v>
      </c>
      <c r="O9" s="13">
        <f t="shared" si="3"/>
        <v>0</v>
      </c>
      <c r="P9" s="13">
        <v>0</v>
      </c>
      <c r="Q9" s="13">
        <v>0</v>
      </c>
      <c r="R9" s="58">
        <f t="shared" si="4"/>
        <v>0</v>
      </c>
      <c r="S9" s="51">
        <v>0</v>
      </c>
      <c r="T9" s="55">
        <v>0</v>
      </c>
      <c r="U9" s="14">
        <f t="shared" si="5"/>
        <v>1487</v>
      </c>
      <c r="V9" s="13">
        <v>730</v>
      </c>
      <c r="W9" s="13">
        <v>757</v>
      </c>
      <c r="X9" s="15">
        <f t="shared" si="6"/>
        <v>123</v>
      </c>
      <c r="Y9" s="13">
        <v>10</v>
      </c>
      <c r="Z9" s="13">
        <v>113</v>
      </c>
      <c r="AA9" s="2"/>
    </row>
    <row r="10" spans="1:28" ht="15.75" x14ac:dyDescent="0.25">
      <c r="A10" s="43">
        <v>4</v>
      </c>
      <c r="B10" s="9" t="s">
        <v>0</v>
      </c>
      <c r="C10" s="10" t="s">
        <v>387</v>
      </c>
      <c r="D10" s="11" t="s">
        <v>384</v>
      </c>
      <c r="E10" s="12" t="s">
        <v>35</v>
      </c>
      <c r="F10" s="49">
        <f t="shared" si="0"/>
        <v>0</v>
      </c>
      <c r="G10" s="51">
        <v>0</v>
      </c>
      <c r="H10" s="55">
        <v>0</v>
      </c>
      <c r="I10" s="13">
        <f t="shared" si="1"/>
        <v>1167</v>
      </c>
      <c r="J10" s="13">
        <v>626</v>
      </c>
      <c r="K10" s="13">
        <v>541</v>
      </c>
      <c r="L10" s="58">
        <f t="shared" si="2"/>
        <v>381</v>
      </c>
      <c r="M10" s="51">
        <v>211</v>
      </c>
      <c r="N10" s="55">
        <v>170</v>
      </c>
      <c r="O10" s="13">
        <f t="shared" si="3"/>
        <v>0</v>
      </c>
      <c r="P10" s="13">
        <v>0</v>
      </c>
      <c r="Q10" s="13">
        <v>0</v>
      </c>
      <c r="R10" s="58">
        <f t="shared" si="4"/>
        <v>0</v>
      </c>
      <c r="S10" s="51">
        <v>0</v>
      </c>
      <c r="T10" s="55">
        <v>0</v>
      </c>
      <c r="U10" s="14">
        <f t="shared" si="5"/>
        <v>1548</v>
      </c>
      <c r="V10" s="13">
        <v>837</v>
      </c>
      <c r="W10" s="13">
        <v>711</v>
      </c>
      <c r="X10" s="15">
        <f t="shared" si="6"/>
        <v>136</v>
      </c>
      <c r="Y10" s="13">
        <v>7</v>
      </c>
      <c r="Z10" s="13">
        <v>129</v>
      </c>
      <c r="AA10" s="2"/>
    </row>
    <row r="11" spans="1:28" ht="15.75" x14ac:dyDescent="0.25">
      <c r="A11" s="43">
        <v>5</v>
      </c>
      <c r="B11" s="9" t="s">
        <v>0</v>
      </c>
      <c r="C11" s="10" t="s">
        <v>388</v>
      </c>
      <c r="D11" s="11" t="s">
        <v>384</v>
      </c>
      <c r="E11" s="12" t="s">
        <v>35</v>
      </c>
      <c r="F11" s="49">
        <f t="shared" si="0"/>
        <v>0</v>
      </c>
      <c r="G11" s="51">
        <v>0</v>
      </c>
      <c r="H11" s="55">
        <v>0</v>
      </c>
      <c r="I11" s="13">
        <f t="shared" si="1"/>
        <v>868</v>
      </c>
      <c r="J11" s="13">
        <v>476</v>
      </c>
      <c r="K11" s="13">
        <v>392</v>
      </c>
      <c r="L11" s="58">
        <f t="shared" si="2"/>
        <v>435</v>
      </c>
      <c r="M11" s="51">
        <v>244</v>
      </c>
      <c r="N11" s="55">
        <v>191</v>
      </c>
      <c r="O11" s="13">
        <f t="shared" si="3"/>
        <v>0</v>
      </c>
      <c r="P11" s="13">
        <v>0</v>
      </c>
      <c r="Q11" s="13">
        <v>0</v>
      </c>
      <c r="R11" s="58">
        <f t="shared" si="4"/>
        <v>0</v>
      </c>
      <c r="S11" s="51">
        <v>0</v>
      </c>
      <c r="T11" s="55">
        <v>0</v>
      </c>
      <c r="U11" s="14">
        <f t="shared" si="5"/>
        <v>1303</v>
      </c>
      <c r="V11" s="13">
        <v>720</v>
      </c>
      <c r="W11" s="13">
        <v>583</v>
      </c>
      <c r="X11" s="15">
        <f t="shared" si="6"/>
        <v>156</v>
      </c>
      <c r="Y11" s="13">
        <v>12</v>
      </c>
      <c r="Z11" s="13">
        <v>144</v>
      </c>
      <c r="AA11" s="2"/>
    </row>
    <row r="12" spans="1:28" ht="15.75" x14ac:dyDescent="0.25">
      <c r="A12" s="43">
        <v>6</v>
      </c>
      <c r="B12" s="9" t="s">
        <v>0</v>
      </c>
      <c r="C12" s="10" t="s">
        <v>389</v>
      </c>
      <c r="D12" s="11" t="s">
        <v>384</v>
      </c>
      <c r="E12" s="12" t="s">
        <v>35</v>
      </c>
      <c r="F12" s="49">
        <f t="shared" si="0"/>
        <v>0</v>
      </c>
      <c r="G12" s="51">
        <v>0</v>
      </c>
      <c r="H12" s="55">
        <v>0</v>
      </c>
      <c r="I12" s="13">
        <f t="shared" si="1"/>
        <v>1695</v>
      </c>
      <c r="J12" s="13">
        <v>801</v>
      </c>
      <c r="K12" s="13">
        <v>894</v>
      </c>
      <c r="L12" s="58">
        <f t="shared" si="2"/>
        <v>653</v>
      </c>
      <c r="M12" s="51">
        <v>277</v>
      </c>
      <c r="N12" s="55">
        <v>376</v>
      </c>
      <c r="O12" s="13">
        <f t="shared" si="3"/>
        <v>0</v>
      </c>
      <c r="P12" s="13">
        <v>0</v>
      </c>
      <c r="Q12" s="13">
        <v>0</v>
      </c>
      <c r="R12" s="58">
        <f t="shared" si="4"/>
        <v>0</v>
      </c>
      <c r="S12" s="51">
        <v>0</v>
      </c>
      <c r="T12" s="55">
        <v>0</v>
      </c>
      <c r="U12" s="14">
        <f t="shared" si="5"/>
        <v>2348</v>
      </c>
      <c r="V12" s="13">
        <v>1078</v>
      </c>
      <c r="W12" s="13">
        <v>1270</v>
      </c>
      <c r="X12" s="15">
        <f t="shared" si="6"/>
        <v>185</v>
      </c>
      <c r="Y12" s="13">
        <v>19</v>
      </c>
      <c r="Z12" s="13">
        <v>166</v>
      </c>
      <c r="AA12" s="2"/>
    </row>
    <row r="13" spans="1:28" ht="15.75" x14ac:dyDescent="0.25">
      <c r="A13" s="43">
        <v>7</v>
      </c>
      <c r="B13" s="9" t="s">
        <v>0</v>
      </c>
      <c r="C13" s="10" t="s">
        <v>390</v>
      </c>
      <c r="D13" s="11" t="s">
        <v>384</v>
      </c>
      <c r="E13" s="12" t="s">
        <v>35</v>
      </c>
      <c r="F13" s="49">
        <f t="shared" si="0"/>
        <v>0</v>
      </c>
      <c r="G13" s="51">
        <v>0</v>
      </c>
      <c r="H13" s="55">
        <v>0</v>
      </c>
      <c r="I13" s="13">
        <f t="shared" si="1"/>
        <v>1022</v>
      </c>
      <c r="J13" s="13">
        <v>572</v>
      </c>
      <c r="K13" s="13">
        <v>450</v>
      </c>
      <c r="L13" s="58">
        <f t="shared" si="2"/>
        <v>407</v>
      </c>
      <c r="M13" s="51">
        <v>258</v>
      </c>
      <c r="N13" s="55">
        <v>149</v>
      </c>
      <c r="O13" s="13">
        <f t="shared" si="3"/>
        <v>0</v>
      </c>
      <c r="P13" s="13">
        <v>0</v>
      </c>
      <c r="Q13" s="13">
        <v>0</v>
      </c>
      <c r="R13" s="58">
        <f t="shared" si="4"/>
        <v>0</v>
      </c>
      <c r="S13" s="51">
        <v>0</v>
      </c>
      <c r="T13" s="55">
        <v>0</v>
      </c>
      <c r="U13" s="14">
        <f t="shared" si="5"/>
        <v>1429</v>
      </c>
      <c r="V13" s="13">
        <v>830</v>
      </c>
      <c r="W13" s="13">
        <v>599</v>
      </c>
      <c r="X13" s="15">
        <f t="shared" si="6"/>
        <v>188</v>
      </c>
      <c r="Y13" s="13">
        <v>24</v>
      </c>
      <c r="Z13" s="13">
        <v>164</v>
      </c>
      <c r="AA13" s="2"/>
    </row>
    <row r="14" spans="1:28" ht="15.75" x14ac:dyDescent="0.25">
      <c r="A14" s="43">
        <v>8</v>
      </c>
      <c r="B14" s="9" t="s">
        <v>0</v>
      </c>
      <c r="C14" s="10" t="s">
        <v>391</v>
      </c>
      <c r="D14" s="11" t="s">
        <v>384</v>
      </c>
      <c r="E14" s="12" t="s">
        <v>35</v>
      </c>
      <c r="F14" s="49">
        <f t="shared" si="0"/>
        <v>0</v>
      </c>
      <c r="G14" s="51">
        <v>0</v>
      </c>
      <c r="H14" s="55">
        <v>0</v>
      </c>
      <c r="I14" s="13">
        <f t="shared" si="1"/>
        <v>471</v>
      </c>
      <c r="J14" s="13">
        <v>262</v>
      </c>
      <c r="K14" s="13">
        <v>209</v>
      </c>
      <c r="L14" s="58">
        <f t="shared" si="2"/>
        <v>221</v>
      </c>
      <c r="M14" s="51">
        <v>153</v>
      </c>
      <c r="N14" s="55">
        <v>68</v>
      </c>
      <c r="O14" s="13">
        <f t="shared" si="3"/>
        <v>0</v>
      </c>
      <c r="P14" s="13">
        <v>0</v>
      </c>
      <c r="Q14" s="13">
        <v>0</v>
      </c>
      <c r="R14" s="58">
        <f t="shared" si="4"/>
        <v>0</v>
      </c>
      <c r="S14" s="51">
        <v>0</v>
      </c>
      <c r="T14" s="55">
        <v>0</v>
      </c>
      <c r="U14" s="14">
        <f t="shared" si="5"/>
        <v>692</v>
      </c>
      <c r="V14" s="13">
        <v>415</v>
      </c>
      <c r="W14" s="13">
        <v>277</v>
      </c>
      <c r="X14" s="15">
        <f t="shared" si="6"/>
        <v>99</v>
      </c>
      <c r="Y14" s="13">
        <v>18</v>
      </c>
      <c r="Z14" s="13">
        <v>81</v>
      </c>
      <c r="AA14" s="2"/>
    </row>
    <row r="15" spans="1:28" ht="15.75" x14ac:dyDescent="0.25">
      <c r="A15" s="43">
        <v>9</v>
      </c>
      <c r="B15" s="9" t="s">
        <v>0</v>
      </c>
      <c r="C15" s="10" t="s">
        <v>392</v>
      </c>
      <c r="D15" s="11" t="s">
        <v>384</v>
      </c>
      <c r="E15" s="12" t="s">
        <v>35</v>
      </c>
      <c r="F15" s="49">
        <f t="shared" si="0"/>
        <v>0</v>
      </c>
      <c r="G15" s="51">
        <v>0</v>
      </c>
      <c r="H15" s="55">
        <v>0</v>
      </c>
      <c r="I15" s="13">
        <f t="shared" si="1"/>
        <v>1056</v>
      </c>
      <c r="J15" s="13">
        <v>545</v>
      </c>
      <c r="K15" s="13">
        <v>511</v>
      </c>
      <c r="L15" s="58">
        <f t="shared" si="2"/>
        <v>370</v>
      </c>
      <c r="M15" s="51">
        <v>180</v>
      </c>
      <c r="N15" s="55">
        <v>190</v>
      </c>
      <c r="O15" s="13">
        <f t="shared" si="3"/>
        <v>0</v>
      </c>
      <c r="P15" s="13">
        <v>0</v>
      </c>
      <c r="Q15" s="13">
        <v>0</v>
      </c>
      <c r="R15" s="58">
        <f t="shared" si="4"/>
        <v>0</v>
      </c>
      <c r="S15" s="51">
        <v>0</v>
      </c>
      <c r="T15" s="55">
        <v>0</v>
      </c>
      <c r="U15" s="14">
        <f t="shared" si="5"/>
        <v>1426</v>
      </c>
      <c r="V15" s="13">
        <v>725</v>
      </c>
      <c r="W15" s="13">
        <v>701</v>
      </c>
      <c r="X15" s="15">
        <f t="shared" si="6"/>
        <v>115</v>
      </c>
      <c r="Y15" s="13">
        <v>12</v>
      </c>
      <c r="Z15" s="13">
        <v>103</v>
      </c>
      <c r="AA15" s="2"/>
    </row>
    <row r="16" spans="1:28" ht="15.75" x14ac:dyDescent="0.25">
      <c r="A16" s="43">
        <v>10</v>
      </c>
      <c r="B16" s="9" t="s">
        <v>0</v>
      </c>
      <c r="C16" s="10" t="s">
        <v>393</v>
      </c>
      <c r="D16" s="11" t="s">
        <v>394</v>
      </c>
      <c r="E16" s="12" t="s">
        <v>35</v>
      </c>
      <c r="F16" s="49">
        <f t="shared" si="0"/>
        <v>161</v>
      </c>
      <c r="G16" s="51">
        <v>82</v>
      </c>
      <c r="H16" s="55">
        <v>79</v>
      </c>
      <c r="I16" s="13">
        <f t="shared" si="1"/>
        <v>448</v>
      </c>
      <c r="J16" s="13">
        <v>232</v>
      </c>
      <c r="K16" s="13">
        <v>216</v>
      </c>
      <c r="L16" s="58">
        <f t="shared" si="2"/>
        <v>150</v>
      </c>
      <c r="M16" s="51">
        <v>71</v>
      </c>
      <c r="N16" s="55">
        <v>79</v>
      </c>
      <c r="O16" s="13">
        <f t="shared" si="3"/>
        <v>0</v>
      </c>
      <c r="P16" s="13">
        <v>0</v>
      </c>
      <c r="Q16" s="13">
        <v>0</v>
      </c>
      <c r="R16" s="58">
        <f t="shared" si="4"/>
        <v>0</v>
      </c>
      <c r="S16" s="51">
        <v>0</v>
      </c>
      <c r="T16" s="55">
        <v>0</v>
      </c>
      <c r="U16" s="14">
        <f t="shared" si="5"/>
        <v>759</v>
      </c>
      <c r="V16" s="13">
        <v>385</v>
      </c>
      <c r="W16" s="13">
        <v>374</v>
      </c>
      <c r="X16" s="15">
        <f t="shared" si="6"/>
        <v>87</v>
      </c>
      <c r="Y16" s="13">
        <v>10</v>
      </c>
      <c r="Z16" s="13">
        <v>77</v>
      </c>
      <c r="AA16" s="2"/>
    </row>
    <row r="17" spans="1:27" ht="15.75" x14ac:dyDescent="0.25">
      <c r="A17" s="43">
        <v>11</v>
      </c>
      <c r="B17" s="9" t="s">
        <v>0</v>
      </c>
      <c r="C17" s="10" t="s">
        <v>395</v>
      </c>
      <c r="D17" s="11" t="s">
        <v>396</v>
      </c>
      <c r="E17" s="12" t="s">
        <v>35</v>
      </c>
      <c r="F17" s="49">
        <f t="shared" si="0"/>
        <v>165</v>
      </c>
      <c r="G17" s="51">
        <v>91</v>
      </c>
      <c r="H17" s="55">
        <v>74</v>
      </c>
      <c r="I17" s="13">
        <f t="shared" si="1"/>
        <v>1020</v>
      </c>
      <c r="J17" s="13">
        <v>556</v>
      </c>
      <c r="K17" s="13">
        <v>464</v>
      </c>
      <c r="L17" s="58">
        <f t="shared" si="2"/>
        <v>393</v>
      </c>
      <c r="M17" s="51">
        <v>197</v>
      </c>
      <c r="N17" s="55">
        <v>196</v>
      </c>
      <c r="O17" s="13">
        <f t="shared" si="3"/>
        <v>0</v>
      </c>
      <c r="P17" s="13">
        <v>0</v>
      </c>
      <c r="Q17" s="13">
        <v>0</v>
      </c>
      <c r="R17" s="58">
        <f t="shared" si="4"/>
        <v>0</v>
      </c>
      <c r="S17" s="51">
        <v>0</v>
      </c>
      <c r="T17" s="55">
        <v>0</v>
      </c>
      <c r="U17" s="14">
        <f t="shared" si="5"/>
        <v>1578</v>
      </c>
      <c r="V17" s="13">
        <v>844</v>
      </c>
      <c r="W17" s="13">
        <v>734</v>
      </c>
      <c r="X17" s="15">
        <f t="shared" si="6"/>
        <v>139</v>
      </c>
      <c r="Y17" s="13">
        <v>18</v>
      </c>
      <c r="Z17" s="13">
        <v>121</v>
      </c>
      <c r="AA17" s="2"/>
    </row>
    <row r="18" spans="1:27" ht="15.75" x14ac:dyDescent="0.25">
      <c r="A18" s="43">
        <v>12</v>
      </c>
      <c r="B18" s="9" t="s">
        <v>0</v>
      </c>
      <c r="C18" s="10" t="s">
        <v>397</v>
      </c>
      <c r="D18" s="11" t="s">
        <v>384</v>
      </c>
      <c r="E18" s="12" t="s">
        <v>35</v>
      </c>
      <c r="F18" s="49">
        <f t="shared" si="0"/>
        <v>0</v>
      </c>
      <c r="G18" s="51">
        <v>0</v>
      </c>
      <c r="H18" s="55">
        <v>0</v>
      </c>
      <c r="I18" s="13">
        <f t="shared" si="1"/>
        <v>0</v>
      </c>
      <c r="J18" s="13">
        <v>0</v>
      </c>
      <c r="K18" s="13">
        <v>0</v>
      </c>
      <c r="L18" s="58">
        <f t="shared" si="2"/>
        <v>0</v>
      </c>
      <c r="M18" s="51">
        <v>0</v>
      </c>
      <c r="N18" s="55">
        <v>0</v>
      </c>
      <c r="O18" s="13">
        <f t="shared" si="3"/>
        <v>1000</v>
      </c>
      <c r="P18" s="13">
        <v>432</v>
      </c>
      <c r="Q18" s="13">
        <v>568</v>
      </c>
      <c r="R18" s="58">
        <f t="shared" si="4"/>
        <v>0</v>
      </c>
      <c r="S18" s="51">
        <v>0</v>
      </c>
      <c r="T18" s="55">
        <v>0</v>
      </c>
      <c r="U18" s="14">
        <f t="shared" si="5"/>
        <v>1000</v>
      </c>
      <c r="V18" s="13">
        <v>432</v>
      </c>
      <c r="W18" s="13">
        <v>568</v>
      </c>
      <c r="X18" s="15">
        <f t="shared" si="6"/>
        <v>95</v>
      </c>
      <c r="Y18" s="13">
        <v>23</v>
      </c>
      <c r="Z18" s="13">
        <v>72</v>
      </c>
      <c r="AA18" s="2"/>
    </row>
    <row r="19" spans="1:27" ht="15.75" x14ac:dyDescent="0.25">
      <c r="A19" s="43">
        <v>13</v>
      </c>
      <c r="B19" s="9" t="s">
        <v>0</v>
      </c>
      <c r="C19" s="10" t="s">
        <v>398</v>
      </c>
      <c r="D19" s="11" t="s">
        <v>384</v>
      </c>
      <c r="E19" s="12" t="s">
        <v>35</v>
      </c>
      <c r="F19" s="49">
        <f t="shared" si="0"/>
        <v>0</v>
      </c>
      <c r="G19" s="51">
        <v>0</v>
      </c>
      <c r="H19" s="55">
        <v>0</v>
      </c>
      <c r="I19" s="13">
        <f t="shared" si="1"/>
        <v>574</v>
      </c>
      <c r="J19" s="13">
        <v>293</v>
      </c>
      <c r="K19" s="13">
        <v>281</v>
      </c>
      <c r="L19" s="58">
        <f t="shared" si="2"/>
        <v>145</v>
      </c>
      <c r="M19" s="51">
        <v>58</v>
      </c>
      <c r="N19" s="55">
        <v>87</v>
      </c>
      <c r="O19" s="13">
        <f t="shared" si="3"/>
        <v>63</v>
      </c>
      <c r="P19" s="13">
        <v>25</v>
      </c>
      <c r="Q19" s="13">
        <v>38</v>
      </c>
      <c r="R19" s="58">
        <f t="shared" si="4"/>
        <v>0</v>
      </c>
      <c r="S19" s="51">
        <v>0</v>
      </c>
      <c r="T19" s="55">
        <v>0</v>
      </c>
      <c r="U19" s="14">
        <f t="shared" si="5"/>
        <v>782</v>
      </c>
      <c r="V19" s="13">
        <v>376</v>
      </c>
      <c r="W19" s="13">
        <v>406</v>
      </c>
      <c r="X19" s="15">
        <f t="shared" si="6"/>
        <v>119</v>
      </c>
      <c r="Y19" s="13">
        <v>25</v>
      </c>
      <c r="Z19" s="13">
        <v>94</v>
      </c>
      <c r="AA19" s="2"/>
    </row>
    <row r="20" spans="1:27" ht="15.75" x14ac:dyDescent="0.25">
      <c r="A20" s="43">
        <v>14</v>
      </c>
      <c r="B20" s="9" t="s">
        <v>0</v>
      </c>
      <c r="C20" s="10" t="s">
        <v>399</v>
      </c>
      <c r="D20" s="11" t="s">
        <v>396</v>
      </c>
      <c r="E20" s="12" t="s">
        <v>35</v>
      </c>
      <c r="F20" s="49">
        <f t="shared" si="0"/>
        <v>193</v>
      </c>
      <c r="G20" s="51">
        <v>100</v>
      </c>
      <c r="H20" s="55">
        <v>93</v>
      </c>
      <c r="I20" s="13">
        <f t="shared" si="1"/>
        <v>1371</v>
      </c>
      <c r="J20" s="13">
        <v>728</v>
      </c>
      <c r="K20" s="13">
        <v>643</v>
      </c>
      <c r="L20" s="58">
        <f t="shared" si="2"/>
        <v>431</v>
      </c>
      <c r="M20" s="51">
        <v>228</v>
      </c>
      <c r="N20" s="55">
        <v>203</v>
      </c>
      <c r="O20" s="13">
        <f t="shared" si="3"/>
        <v>0</v>
      </c>
      <c r="P20" s="13">
        <v>0</v>
      </c>
      <c r="Q20" s="13">
        <v>0</v>
      </c>
      <c r="R20" s="58">
        <f t="shared" si="4"/>
        <v>0</v>
      </c>
      <c r="S20" s="51">
        <v>0</v>
      </c>
      <c r="T20" s="55">
        <v>0</v>
      </c>
      <c r="U20" s="14">
        <f t="shared" si="5"/>
        <v>1995</v>
      </c>
      <c r="V20" s="13">
        <v>1056</v>
      </c>
      <c r="W20" s="13">
        <v>939</v>
      </c>
      <c r="X20" s="15">
        <f t="shared" si="6"/>
        <v>156</v>
      </c>
      <c r="Y20" s="13">
        <v>8</v>
      </c>
      <c r="Z20" s="13">
        <v>148</v>
      </c>
      <c r="AA20" s="2"/>
    </row>
    <row r="21" spans="1:27" ht="15.75" x14ac:dyDescent="0.25">
      <c r="A21" s="43">
        <v>15</v>
      </c>
      <c r="B21" s="9" t="s">
        <v>0</v>
      </c>
      <c r="C21" s="10" t="s">
        <v>400</v>
      </c>
      <c r="D21" s="11" t="s">
        <v>396</v>
      </c>
      <c r="E21" s="12" t="s">
        <v>35</v>
      </c>
      <c r="F21" s="49">
        <f t="shared" si="0"/>
        <v>142</v>
      </c>
      <c r="G21" s="51">
        <v>72</v>
      </c>
      <c r="H21" s="55">
        <v>70</v>
      </c>
      <c r="I21" s="13">
        <f t="shared" si="1"/>
        <v>799</v>
      </c>
      <c r="J21" s="13">
        <v>402</v>
      </c>
      <c r="K21" s="13">
        <v>397</v>
      </c>
      <c r="L21" s="58">
        <f t="shared" si="2"/>
        <v>208</v>
      </c>
      <c r="M21" s="51">
        <v>112</v>
      </c>
      <c r="N21" s="55">
        <v>96</v>
      </c>
      <c r="O21" s="13">
        <f t="shared" si="3"/>
        <v>0</v>
      </c>
      <c r="P21" s="13">
        <v>0</v>
      </c>
      <c r="Q21" s="13">
        <v>0</v>
      </c>
      <c r="R21" s="58">
        <f t="shared" si="4"/>
        <v>0</v>
      </c>
      <c r="S21" s="51">
        <v>0</v>
      </c>
      <c r="T21" s="55">
        <v>0</v>
      </c>
      <c r="U21" s="14">
        <f t="shared" si="5"/>
        <v>1149</v>
      </c>
      <c r="V21" s="13">
        <v>586</v>
      </c>
      <c r="W21" s="13">
        <v>563</v>
      </c>
      <c r="X21" s="15">
        <f t="shared" si="6"/>
        <v>100</v>
      </c>
      <c r="Y21" s="13">
        <v>3</v>
      </c>
      <c r="Z21" s="13">
        <v>97</v>
      </c>
      <c r="AA21" s="2"/>
    </row>
    <row r="22" spans="1:27" ht="15.75" x14ac:dyDescent="0.25">
      <c r="A22" s="43">
        <v>16</v>
      </c>
      <c r="B22" s="9" t="s">
        <v>0</v>
      </c>
      <c r="C22" s="10" t="s">
        <v>401</v>
      </c>
      <c r="D22" s="11" t="s">
        <v>384</v>
      </c>
      <c r="E22" s="12" t="s">
        <v>35</v>
      </c>
      <c r="F22" s="49">
        <f t="shared" si="0"/>
        <v>0</v>
      </c>
      <c r="G22" s="51">
        <v>0</v>
      </c>
      <c r="H22" s="55">
        <v>0</v>
      </c>
      <c r="I22" s="13">
        <f t="shared" si="1"/>
        <v>238</v>
      </c>
      <c r="J22" s="13">
        <v>138</v>
      </c>
      <c r="K22" s="13">
        <v>100</v>
      </c>
      <c r="L22" s="58">
        <f t="shared" si="2"/>
        <v>0</v>
      </c>
      <c r="M22" s="51">
        <v>0</v>
      </c>
      <c r="N22" s="55">
        <v>0</v>
      </c>
      <c r="O22" s="13">
        <f t="shared" si="3"/>
        <v>0</v>
      </c>
      <c r="P22" s="13">
        <v>0</v>
      </c>
      <c r="Q22" s="13">
        <v>0</v>
      </c>
      <c r="R22" s="58">
        <f t="shared" si="4"/>
        <v>0</v>
      </c>
      <c r="S22" s="51">
        <v>0</v>
      </c>
      <c r="T22" s="55">
        <v>0</v>
      </c>
      <c r="U22" s="14">
        <f t="shared" si="5"/>
        <v>238</v>
      </c>
      <c r="V22" s="13">
        <v>138</v>
      </c>
      <c r="W22" s="13">
        <v>100</v>
      </c>
      <c r="X22" s="15">
        <f t="shared" si="6"/>
        <v>30</v>
      </c>
      <c r="Y22" s="13">
        <v>0</v>
      </c>
      <c r="Z22" s="13">
        <v>30</v>
      </c>
      <c r="AA22" s="2"/>
    </row>
    <row r="23" spans="1:27" ht="15.75" x14ac:dyDescent="0.25">
      <c r="A23" s="43">
        <v>17</v>
      </c>
      <c r="B23" s="9" t="s">
        <v>0</v>
      </c>
      <c r="C23" s="16" t="s">
        <v>402</v>
      </c>
      <c r="D23" s="11" t="s">
        <v>384</v>
      </c>
      <c r="E23" s="12" t="s">
        <v>37</v>
      </c>
      <c r="F23" s="49">
        <f t="shared" si="0"/>
        <v>0</v>
      </c>
      <c r="G23" s="51">
        <v>0</v>
      </c>
      <c r="H23" s="55">
        <v>0</v>
      </c>
      <c r="I23" s="13">
        <f t="shared" si="1"/>
        <v>259</v>
      </c>
      <c r="J23" s="13">
        <v>132</v>
      </c>
      <c r="K23" s="13">
        <v>127</v>
      </c>
      <c r="L23" s="58">
        <f t="shared" si="2"/>
        <v>0</v>
      </c>
      <c r="M23" s="51">
        <v>0</v>
      </c>
      <c r="N23" s="55">
        <v>0</v>
      </c>
      <c r="O23" s="13">
        <f t="shared" si="3"/>
        <v>0</v>
      </c>
      <c r="P23" s="13">
        <v>0</v>
      </c>
      <c r="Q23" s="13">
        <v>0</v>
      </c>
      <c r="R23" s="58">
        <f t="shared" si="4"/>
        <v>0</v>
      </c>
      <c r="S23" s="51">
        <v>0</v>
      </c>
      <c r="T23" s="55">
        <v>0</v>
      </c>
      <c r="U23" s="14">
        <f t="shared" si="5"/>
        <v>259</v>
      </c>
      <c r="V23" s="13">
        <v>132</v>
      </c>
      <c r="W23" s="13">
        <v>127</v>
      </c>
      <c r="X23" s="15">
        <f t="shared" si="6"/>
        <v>23</v>
      </c>
      <c r="Y23" s="13">
        <v>9</v>
      </c>
      <c r="Z23" s="13">
        <v>14</v>
      </c>
      <c r="AA23" s="2"/>
    </row>
    <row r="24" spans="1:27" ht="15.75" x14ac:dyDescent="0.25">
      <c r="A24" s="43">
        <v>18</v>
      </c>
      <c r="B24" s="9" t="s">
        <v>0</v>
      </c>
      <c r="C24" s="16" t="s">
        <v>40</v>
      </c>
      <c r="D24" s="11" t="s">
        <v>384</v>
      </c>
      <c r="E24" s="12" t="s">
        <v>39</v>
      </c>
      <c r="F24" s="49">
        <f t="shared" si="0"/>
        <v>915</v>
      </c>
      <c r="G24" s="51">
        <v>454</v>
      </c>
      <c r="H24" s="55">
        <v>461</v>
      </c>
      <c r="I24" s="13">
        <f t="shared" si="1"/>
        <v>776</v>
      </c>
      <c r="J24" s="13">
        <v>352</v>
      </c>
      <c r="K24" s="13">
        <v>424</v>
      </c>
      <c r="L24" s="58">
        <f t="shared" si="2"/>
        <v>595</v>
      </c>
      <c r="M24" s="51">
        <v>258</v>
      </c>
      <c r="N24" s="55">
        <v>337</v>
      </c>
      <c r="O24" s="13">
        <f t="shared" si="3"/>
        <v>568</v>
      </c>
      <c r="P24" s="13">
        <v>231</v>
      </c>
      <c r="Q24" s="13">
        <v>337</v>
      </c>
      <c r="R24" s="58">
        <f t="shared" si="4"/>
        <v>0</v>
      </c>
      <c r="S24" s="51">
        <v>0</v>
      </c>
      <c r="T24" s="55">
        <v>0</v>
      </c>
      <c r="U24" s="14">
        <f t="shared" si="5"/>
        <v>2854</v>
      </c>
      <c r="V24" s="13">
        <v>1295</v>
      </c>
      <c r="W24" s="13">
        <v>1559</v>
      </c>
      <c r="X24" s="15">
        <f t="shared" si="6"/>
        <v>167</v>
      </c>
      <c r="Y24" s="13">
        <v>43</v>
      </c>
      <c r="Z24" s="13">
        <v>124</v>
      </c>
      <c r="AA24" s="2"/>
    </row>
    <row r="25" spans="1:27" ht="15.75" x14ac:dyDescent="0.25">
      <c r="A25" s="43">
        <v>19</v>
      </c>
      <c r="B25" s="9" t="s">
        <v>0</v>
      </c>
      <c r="C25" s="16" t="s">
        <v>403</v>
      </c>
      <c r="D25" s="11" t="s">
        <v>384</v>
      </c>
      <c r="E25" s="12" t="s">
        <v>39</v>
      </c>
      <c r="F25" s="49">
        <f t="shared" si="0"/>
        <v>699</v>
      </c>
      <c r="G25" s="51">
        <v>387</v>
      </c>
      <c r="H25" s="55">
        <v>312</v>
      </c>
      <c r="I25" s="13">
        <f t="shared" si="1"/>
        <v>0</v>
      </c>
      <c r="J25" s="13">
        <v>0</v>
      </c>
      <c r="K25" s="13">
        <v>0</v>
      </c>
      <c r="L25" s="58">
        <f t="shared" si="2"/>
        <v>0</v>
      </c>
      <c r="M25" s="51">
        <v>0</v>
      </c>
      <c r="N25" s="55">
        <v>0</v>
      </c>
      <c r="O25" s="13">
        <f t="shared" si="3"/>
        <v>0</v>
      </c>
      <c r="P25" s="13">
        <v>0</v>
      </c>
      <c r="Q25" s="13">
        <v>0</v>
      </c>
      <c r="R25" s="58">
        <f t="shared" si="4"/>
        <v>0</v>
      </c>
      <c r="S25" s="51">
        <v>0</v>
      </c>
      <c r="T25" s="55">
        <v>0</v>
      </c>
      <c r="U25" s="14">
        <f t="shared" si="5"/>
        <v>699</v>
      </c>
      <c r="V25" s="13">
        <v>387</v>
      </c>
      <c r="W25" s="13">
        <v>312</v>
      </c>
      <c r="X25" s="15">
        <f t="shared" si="6"/>
        <v>47</v>
      </c>
      <c r="Y25" s="13">
        <v>0</v>
      </c>
      <c r="Z25" s="13">
        <v>47</v>
      </c>
      <c r="AA25" s="2"/>
    </row>
    <row r="26" spans="1:27" ht="15.75" x14ac:dyDescent="0.25">
      <c r="A26" s="43">
        <v>20</v>
      </c>
      <c r="B26" s="9" t="s">
        <v>0</v>
      </c>
      <c r="C26" s="16" t="s">
        <v>404</v>
      </c>
      <c r="D26" s="11" t="s">
        <v>384</v>
      </c>
      <c r="E26" s="12" t="s">
        <v>39</v>
      </c>
      <c r="F26" s="49">
        <f t="shared" si="0"/>
        <v>225</v>
      </c>
      <c r="G26" s="51">
        <v>109</v>
      </c>
      <c r="H26" s="55">
        <v>116</v>
      </c>
      <c r="I26" s="13">
        <f t="shared" si="1"/>
        <v>0</v>
      </c>
      <c r="J26" s="13">
        <v>0</v>
      </c>
      <c r="K26" s="13">
        <v>0</v>
      </c>
      <c r="L26" s="58">
        <f t="shared" si="2"/>
        <v>0</v>
      </c>
      <c r="M26" s="51">
        <v>0</v>
      </c>
      <c r="N26" s="55">
        <v>0</v>
      </c>
      <c r="O26" s="13">
        <f t="shared" si="3"/>
        <v>0</v>
      </c>
      <c r="P26" s="13">
        <v>0</v>
      </c>
      <c r="Q26" s="13">
        <v>0</v>
      </c>
      <c r="R26" s="58">
        <f t="shared" si="4"/>
        <v>0</v>
      </c>
      <c r="S26" s="51">
        <v>0</v>
      </c>
      <c r="T26" s="55">
        <v>0</v>
      </c>
      <c r="U26" s="14">
        <f t="shared" si="5"/>
        <v>225</v>
      </c>
      <c r="V26" s="13">
        <v>109</v>
      </c>
      <c r="W26" s="13">
        <v>116</v>
      </c>
      <c r="X26" s="15">
        <f t="shared" si="6"/>
        <v>30</v>
      </c>
      <c r="Y26" s="13">
        <v>0</v>
      </c>
      <c r="Z26" s="13">
        <v>30</v>
      </c>
      <c r="AA26" s="2"/>
    </row>
    <row r="27" spans="1:27" ht="15.75" x14ac:dyDescent="0.25">
      <c r="A27" s="43">
        <v>21</v>
      </c>
      <c r="B27" s="9" t="s">
        <v>0</v>
      </c>
      <c r="C27" s="16" t="s">
        <v>38</v>
      </c>
      <c r="D27" s="11" t="s">
        <v>384</v>
      </c>
      <c r="E27" s="12" t="s">
        <v>37</v>
      </c>
      <c r="F27" s="49">
        <f t="shared" si="0"/>
        <v>0</v>
      </c>
      <c r="G27" s="51">
        <v>0</v>
      </c>
      <c r="H27" s="55">
        <v>0</v>
      </c>
      <c r="I27" s="13">
        <f t="shared" si="1"/>
        <v>689</v>
      </c>
      <c r="J27" s="13">
        <v>345</v>
      </c>
      <c r="K27" s="13">
        <v>344</v>
      </c>
      <c r="L27" s="58">
        <f t="shared" si="2"/>
        <v>259</v>
      </c>
      <c r="M27" s="51">
        <v>139</v>
      </c>
      <c r="N27" s="55">
        <v>120</v>
      </c>
      <c r="O27" s="13">
        <f t="shared" si="3"/>
        <v>0</v>
      </c>
      <c r="P27" s="13">
        <v>0</v>
      </c>
      <c r="Q27" s="13">
        <v>0</v>
      </c>
      <c r="R27" s="58">
        <f t="shared" si="4"/>
        <v>0</v>
      </c>
      <c r="S27" s="51">
        <v>0</v>
      </c>
      <c r="T27" s="55">
        <v>0</v>
      </c>
      <c r="U27" s="14">
        <f t="shared" si="5"/>
        <v>948</v>
      </c>
      <c r="V27" s="13">
        <v>484</v>
      </c>
      <c r="W27" s="13">
        <v>464</v>
      </c>
      <c r="X27" s="15">
        <f t="shared" si="6"/>
        <v>105</v>
      </c>
      <c r="Y27" s="13">
        <v>32</v>
      </c>
      <c r="Z27" s="13">
        <v>73</v>
      </c>
      <c r="AA27" s="2"/>
    </row>
    <row r="28" spans="1:27" ht="15.75" x14ac:dyDescent="0.25">
      <c r="A28" s="43">
        <v>22</v>
      </c>
      <c r="B28" s="9" t="s">
        <v>0</v>
      </c>
      <c r="C28" s="16" t="s">
        <v>200</v>
      </c>
      <c r="D28" s="11" t="s">
        <v>396</v>
      </c>
      <c r="E28" s="12" t="s">
        <v>37</v>
      </c>
      <c r="F28" s="49">
        <f t="shared" si="0"/>
        <v>168</v>
      </c>
      <c r="G28" s="51">
        <v>95</v>
      </c>
      <c r="H28" s="55">
        <v>73</v>
      </c>
      <c r="I28" s="13">
        <f t="shared" si="1"/>
        <v>456</v>
      </c>
      <c r="J28" s="13">
        <v>220</v>
      </c>
      <c r="K28" s="13">
        <v>236</v>
      </c>
      <c r="L28" s="58">
        <f t="shared" si="2"/>
        <v>96</v>
      </c>
      <c r="M28" s="51">
        <v>51</v>
      </c>
      <c r="N28" s="55">
        <v>45</v>
      </c>
      <c r="O28" s="13">
        <f t="shared" si="3"/>
        <v>7</v>
      </c>
      <c r="P28" s="13">
        <v>1</v>
      </c>
      <c r="Q28" s="13">
        <v>6</v>
      </c>
      <c r="R28" s="58">
        <f t="shared" si="4"/>
        <v>0</v>
      </c>
      <c r="S28" s="51">
        <v>0</v>
      </c>
      <c r="T28" s="55">
        <v>0</v>
      </c>
      <c r="U28" s="14">
        <f t="shared" si="5"/>
        <v>727</v>
      </c>
      <c r="V28" s="13">
        <v>367</v>
      </c>
      <c r="W28" s="13">
        <v>360</v>
      </c>
      <c r="X28" s="15">
        <f t="shared" si="6"/>
        <v>33</v>
      </c>
      <c r="Y28" s="13">
        <v>0</v>
      </c>
      <c r="Z28" s="13">
        <v>33</v>
      </c>
      <c r="AA28" s="2"/>
    </row>
    <row r="29" spans="1:27" ht="15.75" x14ac:dyDescent="0.25">
      <c r="A29" s="43">
        <v>23</v>
      </c>
      <c r="B29" s="9" t="s">
        <v>0</v>
      </c>
      <c r="C29" s="16" t="s">
        <v>405</v>
      </c>
      <c r="D29" s="11" t="s">
        <v>384</v>
      </c>
      <c r="E29" s="12" t="s">
        <v>37</v>
      </c>
      <c r="F29" s="49">
        <f t="shared" si="0"/>
        <v>0</v>
      </c>
      <c r="G29" s="51">
        <v>0</v>
      </c>
      <c r="H29" s="55">
        <v>0</v>
      </c>
      <c r="I29" s="13">
        <f t="shared" si="1"/>
        <v>593</v>
      </c>
      <c r="J29" s="13">
        <v>317</v>
      </c>
      <c r="K29" s="13">
        <v>276</v>
      </c>
      <c r="L29" s="58">
        <f t="shared" si="2"/>
        <v>146</v>
      </c>
      <c r="M29" s="51">
        <v>80</v>
      </c>
      <c r="N29" s="55">
        <v>66</v>
      </c>
      <c r="O29" s="13">
        <f t="shared" si="3"/>
        <v>10</v>
      </c>
      <c r="P29" s="13">
        <v>5</v>
      </c>
      <c r="Q29" s="13">
        <v>5</v>
      </c>
      <c r="R29" s="58">
        <f t="shared" si="4"/>
        <v>0</v>
      </c>
      <c r="S29" s="51">
        <v>0</v>
      </c>
      <c r="T29" s="55">
        <v>0</v>
      </c>
      <c r="U29" s="14">
        <f t="shared" si="5"/>
        <v>749</v>
      </c>
      <c r="V29" s="13">
        <v>402</v>
      </c>
      <c r="W29" s="13">
        <v>347</v>
      </c>
      <c r="X29" s="15">
        <f t="shared" si="6"/>
        <v>96</v>
      </c>
      <c r="Y29" s="13">
        <v>44</v>
      </c>
      <c r="Z29" s="13">
        <v>52</v>
      </c>
      <c r="AA29" s="2"/>
    </row>
    <row r="30" spans="1:27" ht="15.75" x14ac:dyDescent="0.25">
      <c r="A30" s="43">
        <v>24</v>
      </c>
      <c r="B30" s="9" t="s">
        <v>0</v>
      </c>
      <c r="C30" s="16" t="s">
        <v>41</v>
      </c>
      <c r="D30" s="11" t="s">
        <v>384</v>
      </c>
      <c r="E30" s="12" t="s">
        <v>37</v>
      </c>
      <c r="F30" s="49">
        <f t="shared" si="0"/>
        <v>655</v>
      </c>
      <c r="G30" s="51">
        <v>330</v>
      </c>
      <c r="H30" s="55">
        <v>325</v>
      </c>
      <c r="I30" s="13">
        <f t="shared" si="1"/>
        <v>0</v>
      </c>
      <c r="J30" s="13">
        <v>0</v>
      </c>
      <c r="K30" s="13">
        <v>0</v>
      </c>
      <c r="L30" s="58">
        <f t="shared" si="2"/>
        <v>0</v>
      </c>
      <c r="M30" s="51">
        <v>0</v>
      </c>
      <c r="N30" s="55">
        <v>0</v>
      </c>
      <c r="O30" s="13">
        <f t="shared" si="3"/>
        <v>0</v>
      </c>
      <c r="P30" s="13">
        <v>0</v>
      </c>
      <c r="Q30" s="13">
        <v>0</v>
      </c>
      <c r="R30" s="58">
        <f t="shared" si="4"/>
        <v>0</v>
      </c>
      <c r="S30" s="51">
        <v>0</v>
      </c>
      <c r="T30" s="55">
        <v>0</v>
      </c>
      <c r="U30" s="14">
        <f t="shared" si="5"/>
        <v>655</v>
      </c>
      <c r="V30" s="13">
        <v>330</v>
      </c>
      <c r="W30" s="13">
        <v>325</v>
      </c>
      <c r="X30" s="15">
        <f t="shared" si="6"/>
        <v>42</v>
      </c>
      <c r="Y30" s="13">
        <v>0</v>
      </c>
      <c r="Z30" s="13">
        <v>42</v>
      </c>
      <c r="AA30" s="2"/>
    </row>
    <row r="31" spans="1:27" ht="15.75" x14ac:dyDescent="0.25">
      <c r="A31" s="43">
        <v>25</v>
      </c>
      <c r="B31" s="9" t="s">
        <v>0</v>
      </c>
      <c r="C31" s="10" t="s">
        <v>406</v>
      </c>
      <c r="D31" s="11" t="s">
        <v>396</v>
      </c>
      <c r="E31" s="12" t="s">
        <v>37</v>
      </c>
      <c r="F31" s="49">
        <f t="shared" si="0"/>
        <v>8</v>
      </c>
      <c r="G31" s="51">
        <v>3</v>
      </c>
      <c r="H31" s="55">
        <v>5</v>
      </c>
      <c r="I31" s="13">
        <f t="shared" si="1"/>
        <v>0</v>
      </c>
      <c r="J31" s="13">
        <v>0</v>
      </c>
      <c r="K31" s="13">
        <v>0</v>
      </c>
      <c r="L31" s="58">
        <f t="shared" si="2"/>
        <v>0</v>
      </c>
      <c r="M31" s="51">
        <v>0</v>
      </c>
      <c r="N31" s="55">
        <v>0</v>
      </c>
      <c r="O31" s="13">
        <f t="shared" si="3"/>
        <v>0</v>
      </c>
      <c r="P31" s="13">
        <v>0</v>
      </c>
      <c r="Q31" s="13">
        <v>0</v>
      </c>
      <c r="R31" s="58">
        <f t="shared" si="4"/>
        <v>0</v>
      </c>
      <c r="S31" s="51">
        <v>0</v>
      </c>
      <c r="T31" s="55">
        <v>0</v>
      </c>
      <c r="U31" s="14">
        <f t="shared" si="5"/>
        <v>8</v>
      </c>
      <c r="V31" s="13">
        <v>3</v>
      </c>
      <c r="W31" s="13">
        <v>5</v>
      </c>
      <c r="X31" s="15">
        <f t="shared" si="6"/>
        <v>2</v>
      </c>
      <c r="Y31" s="13">
        <v>0</v>
      </c>
      <c r="Z31" s="13">
        <v>2</v>
      </c>
      <c r="AA31" s="2"/>
    </row>
    <row r="32" spans="1:27" ht="15.75" x14ac:dyDescent="0.25">
      <c r="A32" s="43">
        <v>26</v>
      </c>
      <c r="B32" s="9" t="s">
        <v>0</v>
      </c>
      <c r="C32" s="10" t="s">
        <v>407</v>
      </c>
      <c r="D32" s="11" t="s">
        <v>384</v>
      </c>
      <c r="E32" s="12" t="s">
        <v>37</v>
      </c>
      <c r="F32" s="49">
        <f t="shared" si="0"/>
        <v>124</v>
      </c>
      <c r="G32" s="51">
        <v>67</v>
      </c>
      <c r="H32" s="55">
        <v>57</v>
      </c>
      <c r="I32" s="13">
        <f t="shared" si="1"/>
        <v>0</v>
      </c>
      <c r="J32" s="13">
        <v>0</v>
      </c>
      <c r="K32" s="13">
        <v>0</v>
      </c>
      <c r="L32" s="58">
        <f t="shared" si="2"/>
        <v>0</v>
      </c>
      <c r="M32" s="51">
        <v>0</v>
      </c>
      <c r="N32" s="55">
        <v>0</v>
      </c>
      <c r="O32" s="13">
        <f t="shared" si="3"/>
        <v>0</v>
      </c>
      <c r="P32" s="13">
        <v>0</v>
      </c>
      <c r="Q32" s="13">
        <v>0</v>
      </c>
      <c r="R32" s="58">
        <f t="shared" si="4"/>
        <v>0</v>
      </c>
      <c r="S32" s="51">
        <v>0</v>
      </c>
      <c r="T32" s="55">
        <v>0</v>
      </c>
      <c r="U32" s="14">
        <f t="shared" si="5"/>
        <v>124</v>
      </c>
      <c r="V32" s="13">
        <v>67</v>
      </c>
      <c r="W32" s="13">
        <v>57</v>
      </c>
      <c r="X32" s="15">
        <f t="shared" si="6"/>
        <v>24</v>
      </c>
      <c r="Y32" s="13">
        <v>0</v>
      </c>
      <c r="Z32" s="13">
        <v>24</v>
      </c>
      <c r="AA32" s="2"/>
    </row>
    <row r="33" spans="1:27" ht="15.75" x14ac:dyDescent="0.25">
      <c r="A33" s="43">
        <v>27</v>
      </c>
      <c r="B33" s="9" t="s">
        <v>0</v>
      </c>
      <c r="C33" s="10" t="s">
        <v>408</v>
      </c>
      <c r="D33" s="11" t="s">
        <v>384</v>
      </c>
      <c r="E33" s="12" t="s">
        <v>37</v>
      </c>
      <c r="F33" s="49">
        <f t="shared" si="0"/>
        <v>494</v>
      </c>
      <c r="G33" s="51">
        <v>238</v>
      </c>
      <c r="H33" s="55">
        <v>256</v>
      </c>
      <c r="I33" s="13">
        <f t="shared" si="1"/>
        <v>0</v>
      </c>
      <c r="J33" s="13">
        <v>0</v>
      </c>
      <c r="K33" s="13">
        <v>0</v>
      </c>
      <c r="L33" s="58">
        <f t="shared" si="2"/>
        <v>0</v>
      </c>
      <c r="M33" s="51">
        <v>0</v>
      </c>
      <c r="N33" s="55">
        <v>0</v>
      </c>
      <c r="O33" s="13">
        <f t="shared" si="3"/>
        <v>0</v>
      </c>
      <c r="P33" s="13">
        <v>0</v>
      </c>
      <c r="Q33" s="13">
        <v>0</v>
      </c>
      <c r="R33" s="58">
        <f t="shared" si="4"/>
        <v>0</v>
      </c>
      <c r="S33" s="51">
        <v>0</v>
      </c>
      <c r="T33" s="55">
        <v>0</v>
      </c>
      <c r="U33" s="14">
        <f t="shared" si="5"/>
        <v>494</v>
      </c>
      <c r="V33" s="13">
        <v>238</v>
      </c>
      <c r="W33" s="13">
        <v>256</v>
      </c>
      <c r="X33" s="15">
        <f t="shared" si="6"/>
        <v>15</v>
      </c>
      <c r="Y33" s="13">
        <v>0</v>
      </c>
      <c r="Z33" s="13">
        <v>15</v>
      </c>
      <c r="AA33" s="2"/>
    </row>
    <row r="34" spans="1:27" ht="15.75" x14ac:dyDescent="0.25">
      <c r="A34" s="43">
        <v>28</v>
      </c>
      <c r="B34" s="9" t="s">
        <v>0</v>
      </c>
      <c r="C34" s="10" t="s">
        <v>42</v>
      </c>
      <c r="D34" s="11" t="s">
        <v>384</v>
      </c>
      <c r="E34" s="12" t="s">
        <v>37</v>
      </c>
      <c r="F34" s="49">
        <f t="shared" si="0"/>
        <v>16</v>
      </c>
      <c r="G34" s="51">
        <v>11</v>
      </c>
      <c r="H34" s="55">
        <v>5</v>
      </c>
      <c r="I34" s="13">
        <f t="shared" si="1"/>
        <v>0</v>
      </c>
      <c r="J34" s="13">
        <v>0</v>
      </c>
      <c r="K34" s="13">
        <v>0</v>
      </c>
      <c r="L34" s="58">
        <f t="shared" si="2"/>
        <v>0</v>
      </c>
      <c r="M34" s="51">
        <v>0</v>
      </c>
      <c r="N34" s="55">
        <v>0</v>
      </c>
      <c r="O34" s="13">
        <f t="shared" si="3"/>
        <v>0</v>
      </c>
      <c r="P34" s="13">
        <v>0</v>
      </c>
      <c r="Q34" s="13">
        <v>0</v>
      </c>
      <c r="R34" s="58">
        <f t="shared" si="4"/>
        <v>0</v>
      </c>
      <c r="S34" s="51">
        <v>0</v>
      </c>
      <c r="T34" s="55">
        <v>0</v>
      </c>
      <c r="U34" s="14">
        <f t="shared" si="5"/>
        <v>16</v>
      </c>
      <c r="V34" s="13">
        <v>11</v>
      </c>
      <c r="W34" s="13">
        <v>5</v>
      </c>
      <c r="X34" s="15">
        <f t="shared" si="6"/>
        <v>17</v>
      </c>
      <c r="Y34" s="13">
        <v>0</v>
      </c>
      <c r="Z34" s="13">
        <v>17</v>
      </c>
      <c r="AA34" s="2"/>
    </row>
    <row r="35" spans="1:27" ht="15.75" x14ac:dyDescent="0.25">
      <c r="A35" s="43">
        <v>29</v>
      </c>
      <c r="B35" s="9" t="s">
        <v>0</v>
      </c>
      <c r="C35" s="10" t="s">
        <v>43</v>
      </c>
      <c r="D35" s="11" t="s">
        <v>384</v>
      </c>
      <c r="E35" s="12" t="s">
        <v>37</v>
      </c>
      <c r="F35" s="49">
        <f t="shared" si="0"/>
        <v>822</v>
      </c>
      <c r="G35" s="51">
        <v>423</v>
      </c>
      <c r="H35" s="55">
        <v>399</v>
      </c>
      <c r="I35" s="13">
        <f t="shared" si="1"/>
        <v>0</v>
      </c>
      <c r="J35" s="13">
        <v>0</v>
      </c>
      <c r="K35" s="13">
        <v>0</v>
      </c>
      <c r="L35" s="58">
        <f t="shared" si="2"/>
        <v>0</v>
      </c>
      <c r="M35" s="51">
        <v>0</v>
      </c>
      <c r="N35" s="55">
        <v>0</v>
      </c>
      <c r="O35" s="13">
        <f t="shared" si="3"/>
        <v>0</v>
      </c>
      <c r="P35" s="13">
        <v>0</v>
      </c>
      <c r="Q35" s="13">
        <v>0</v>
      </c>
      <c r="R35" s="58">
        <f t="shared" si="4"/>
        <v>0</v>
      </c>
      <c r="S35" s="51">
        <v>0</v>
      </c>
      <c r="T35" s="55">
        <v>0</v>
      </c>
      <c r="U35" s="14">
        <f t="shared" si="5"/>
        <v>822</v>
      </c>
      <c r="V35" s="13">
        <v>423</v>
      </c>
      <c r="W35" s="13">
        <v>399</v>
      </c>
      <c r="X35" s="15">
        <f t="shared" si="6"/>
        <v>2</v>
      </c>
      <c r="Y35" s="13">
        <v>0</v>
      </c>
      <c r="Z35" s="13">
        <v>2</v>
      </c>
      <c r="AA35" s="2"/>
    </row>
    <row r="36" spans="1:27" ht="15.75" x14ac:dyDescent="0.25">
      <c r="A36" s="43">
        <v>30</v>
      </c>
      <c r="B36" s="9" t="s">
        <v>0</v>
      </c>
      <c r="C36" s="10" t="s">
        <v>409</v>
      </c>
      <c r="D36" s="11" t="s">
        <v>384</v>
      </c>
      <c r="E36" s="12" t="s">
        <v>37</v>
      </c>
      <c r="F36" s="49">
        <f t="shared" si="0"/>
        <v>736</v>
      </c>
      <c r="G36" s="51">
        <v>344</v>
      </c>
      <c r="H36" s="55">
        <v>392</v>
      </c>
      <c r="I36" s="13">
        <f t="shared" si="1"/>
        <v>96</v>
      </c>
      <c r="J36" s="13">
        <v>48</v>
      </c>
      <c r="K36" s="13">
        <v>48</v>
      </c>
      <c r="L36" s="58">
        <f t="shared" si="2"/>
        <v>0</v>
      </c>
      <c r="M36" s="51">
        <v>0</v>
      </c>
      <c r="N36" s="55">
        <v>0</v>
      </c>
      <c r="O36" s="13">
        <f t="shared" si="3"/>
        <v>0</v>
      </c>
      <c r="P36" s="13">
        <v>0</v>
      </c>
      <c r="Q36" s="13">
        <v>0</v>
      </c>
      <c r="R36" s="58">
        <f t="shared" si="4"/>
        <v>0</v>
      </c>
      <c r="S36" s="51">
        <v>0</v>
      </c>
      <c r="T36" s="55">
        <v>0</v>
      </c>
      <c r="U36" s="14">
        <f t="shared" si="5"/>
        <v>832</v>
      </c>
      <c r="V36" s="13">
        <v>392</v>
      </c>
      <c r="W36" s="13">
        <v>440</v>
      </c>
      <c r="X36" s="15">
        <f t="shared" si="6"/>
        <v>76</v>
      </c>
      <c r="Y36" s="13">
        <v>15</v>
      </c>
      <c r="Z36" s="13">
        <v>61</v>
      </c>
      <c r="AA36" s="2"/>
    </row>
    <row r="37" spans="1:27" ht="15.75" x14ac:dyDescent="0.25">
      <c r="A37" s="43">
        <v>31</v>
      </c>
      <c r="B37" s="9" t="s">
        <v>0</v>
      </c>
      <c r="C37" s="10" t="s">
        <v>410</v>
      </c>
      <c r="D37" s="11" t="s">
        <v>384</v>
      </c>
      <c r="E37" s="12" t="s">
        <v>37</v>
      </c>
      <c r="F37" s="49">
        <f t="shared" si="0"/>
        <v>162</v>
      </c>
      <c r="G37" s="51">
        <v>79</v>
      </c>
      <c r="H37" s="55">
        <v>83</v>
      </c>
      <c r="I37" s="13">
        <f t="shared" si="1"/>
        <v>0</v>
      </c>
      <c r="J37" s="13">
        <v>0</v>
      </c>
      <c r="K37" s="13">
        <v>0</v>
      </c>
      <c r="L37" s="58">
        <f t="shared" si="2"/>
        <v>0</v>
      </c>
      <c r="M37" s="51">
        <v>0</v>
      </c>
      <c r="N37" s="55">
        <v>0</v>
      </c>
      <c r="O37" s="13">
        <f t="shared" si="3"/>
        <v>0</v>
      </c>
      <c r="P37" s="13">
        <v>0</v>
      </c>
      <c r="Q37" s="13">
        <v>0</v>
      </c>
      <c r="R37" s="58">
        <f t="shared" si="4"/>
        <v>0</v>
      </c>
      <c r="S37" s="51">
        <v>0</v>
      </c>
      <c r="T37" s="55">
        <v>0</v>
      </c>
      <c r="U37" s="14">
        <f t="shared" si="5"/>
        <v>162</v>
      </c>
      <c r="V37" s="13">
        <v>79</v>
      </c>
      <c r="W37" s="13">
        <v>83</v>
      </c>
      <c r="X37" s="15">
        <f t="shared" si="6"/>
        <v>35</v>
      </c>
      <c r="Y37" s="13">
        <v>0</v>
      </c>
      <c r="Z37" s="13">
        <v>35</v>
      </c>
      <c r="AA37" s="2"/>
    </row>
    <row r="38" spans="1:27" ht="15.75" x14ac:dyDescent="0.25">
      <c r="A38" s="43">
        <v>32</v>
      </c>
      <c r="B38" s="9" t="s">
        <v>0</v>
      </c>
      <c r="C38" s="10" t="s">
        <v>411</v>
      </c>
      <c r="D38" s="11" t="s">
        <v>384</v>
      </c>
      <c r="E38" s="12" t="s">
        <v>37</v>
      </c>
      <c r="F38" s="49">
        <f t="shared" si="0"/>
        <v>78</v>
      </c>
      <c r="G38" s="51">
        <v>41</v>
      </c>
      <c r="H38" s="55">
        <v>37</v>
      </c>
      <c r="I38" s="13">
        <f t="shared" si="1"/>
        <v>0</v>
      </c>
      <c r="J38" s="13">
        <v>0</v>
      </c>
      <c r="K38" s="13">
        <v>0</v>
      </c>
      <c r="L38" s="58">
        <f t="shared" si="2"/>
        <v>0</v>
      </c>
      <c r="M38" s="51">
        <v>0</v>
      </c>
      <c r="N38" s="55">
        <v>0</v>
      </c>
      <c r="O38" s="13">
        <f t="shared" si="3"/>
        <v>0</v>
      </c>
      <c r="P38" s="13">
        <v>0</v>
      </c>
      <c r="Q38" s="13">
        <v>0</v>
      </c>
      <c r="R38" s="58">
        <f t="shared" si="4"/>
        <v>0</v>
      </c>
      <c r="S38" s="51">
        <v>0</v>
      </c>
      <c r="T38" s="55">
        <v>0</v>
      </c>
      <c r="U38" s="14">
        <f t="shared" si="5"/>
        <v>78</v>
      </c>
      <c r="V38" s="13">
        <v>41</v>
      </c>
      <c r="W38" s="13">
        <v>37</v>
      </c>
      <c r="X38" s="15">
        <f t="shared" si="6"/>
        <v>10</v>
      </c>
      <c r="Y38" s="13">
        <v>0</v>
      </c>
      <c r="Z38" s="13">
        <v>10</v>
      </c>
      <c r="AA38" s="2"/>
    </row>
    <row r="39" spans="1:27" ht="15.75" x14ac:dyDescent="0.25">
      <c r="A39" s="43">
        <v>33</v>
      </c>
      <c r="B39" s="9" t="s">
        <v>0</v>
      </c>
      <c r="C39" s="10" t="s">
        <v>412</v>
      </c>
      <c r="D39" s="11" t="s">
        <v>384</v>
      </c>
      <c r="E39" s="12" t="s">
        <v>37</v>
      </c>
      <c r="F39" s="49">
        <f t="shared" si="0"/>
        <v>590</v>
      </c>
      <c r="G39" s="51">
        <v>293</v>
      </c>
      <c r="H39" s="55">
        <v>297</v>
      </c>
      <c r="I39" s="13">
        <f t="shared" si="1"/>
        <v>0</v>
      </c>
      <c r="J39" s="13">
        <v>0</v>
      </c>
      <c r="K39" s="13">
        <v>0</v>
      </c>
      <c r="L39" s="58">
        <f t="shared" si="2"/>
        <v>0</v>
      </c>
      <c r="M39" s="51">
        <v>0</v>
      </c>
      <c r="N39" s="55">
        <v>0</v>
      </c>
      <c r="O39" s="13">
        <f t="shared" si="3"/>
        <v>0</v>
      </c>
      <c r="P39" s="13">
        <v>0</v>
      </c>
      <c r="Q39" s="13">
        <v>0</v>
      </c>
      <c r="R39" s="58">
        <f t="shared" si="4"/>
        <v>0</v>
      </c>
      <c r="S39" s="51">
        <v>0</v>
      </c>
      <c r="T39" s="55">
        <v>0</v>
      </c>
      <c r="U39" s="14">
        <f t="shared" si="5"/>
        <v>590</v>
      </c>
      <c r="V39" s="13">
        <v>293</v>
      </c>
      <c r="W39" s="13">
        <v>297</v>
      </c>
      <c r="X39" s="15">
        <f t="shared" si="6"/>
        <v>51</v>
      </c>
      <c r="Y39" s="13">
        <v>0</v>
      </c>
      <c r="Z39" s="13">
        <v>51</v>
      </c>
      <c r="AA39" s="2"/>
    </row>
    <row r="40" spans="1:27" ht="15.75" x14ac:dyDescent="0.25">
      <c r="A40" s="43">
        <v>34</v>
      </c>
      <c r="B40" s="9" t="s">
        <v>0</v>
      </c>
      <c r="C40" s="10" t="s">
        <v>44</v>
      </c>
      <c r="D40" s="11" t="s">
        <v>384</v>
      </c>
      <c r="E40" s="12" t="s">
        <v>37</v>
      </c>
      <c r="F40" s="49">
        <f t="shared" si="0"/>
        <v>104</v>
      </c>
      <c r="G40" s="51">
        <v>45</v>
      </c>
      <c r="H40" s="55">
        <v>59</v>
      </c>
      <c r="I40" s="13">
        <f t="shared" si="1"/>
        <v>0</v>
      </c>
      <c r="J40" s="13">
        <v>0</v>
      </c>
      <c r="K40" s="13">
        <v>0</v>
      </c>
      <c r="L40" s="58">
        <f t="shared" si="2"/>
        <v>0</v>
      </c>
      <c r="M40" s="51">
        <v>0</v>
      </c>
      <c r="N40" s="55">
        <v>0</v>
      </c>
      <c r="O40" s="13">
        <f t="shared" si="3"/>
        <v>0</v>
      </c>
      <c r="P40" s="13">
        <v>0</v>
      </c>
      <c r="Q40" s="13">
        <v>0</v>
      </c>
      <c r="R40" s="58">
        <f t="shared" si="4"/>
        <v>0</v>
      </c>
      <c r="S40" s="51">
        <v>0</v>
      </c>
      <c r="T40" s="55">
        <v>0</v>
      </c>
      <c r="U40" s="14">
        <f t="shared" si="5"/>
        <v>104</v>
      </c>
      <c r="V40" s="13">
        <v>45</v>
      </c>
      <c r="W40" s="13">
        <v>59</v>
      </c>
      <c r="X40" s="15">
        <f t="shared" si="6"/>
        <v>7</v>
      </c>
      <c r="Y40" s="13">
        <v>0</v>
      </c>
      <c r="Z40" s="13">
        <v>7</v>
      </c>
      <c r="AA40" s="2"/>
    </row>
    <row r="41" spans="1:27" ht="15.75" x14ac:dyDescent="0.25">
      <c r="A41" s="43">
        <v>35</v>
      </c>
      <c r="B41" s="9" t="s">
        <v>0</v>
      </c>
      <c r="C41" s="10" t="s">
        <v>413</v>
      </c>
      <c r="D41" s="11" t="s">
        <v>396</v>
      </c>
      <c r="E41" s="12" t="s">
        <v>37</v>
      </c>
      <c r="F41" s="49">
        <f t="shared" si="0"/>
        <v>721</v>
      </c>
      <c r="G41" s="51">
        <v>371</v>
      </c>
      <c r="H41" s="55">
        <v>350</v>
      </c>
      <c r="I41" s="13">
        <f t="shared" si="1"/>
        <v>0</v>
      </c>
      <c r="J41" s="13">
        <v>0</v>
      </c>
      <c r="K41" s="13">
        <v>0</v>
      </c>
      <c r="L41" s="58">
        <f t="shared" si="2"/>
        <v>0</v>
      </c>
      <c r="M41" s="51">
        <v>0</v>
      </c>
      <c r="N41" s="55">
        <v>0</v>
      </c>
      <c r="O41" s="13">
        <f t="shared" si="3"/>
        <v>0</v>
      </c>
      <c r="P41" s="13">
        <v>0</v>
      </c>
      <c r="Q41" s="13">
        <v>0</v>
      </c>
      <c r="R41" s="58">
        <f t="shared" si="4"/>
        <v>0</v>
      </c>
      <c r="S41" s="51">
        <v>0</v>
      </c>
      <c r="T41" s="55">
        <v>0</v>
      </c>
      <c r="U41" s="14">
        <f t="shared" si="5"/>
        <v>721</v>
      </c>
      <c r="V41" s="13">
        <v>371</v>
      </c>
      <c r="W41" s="13">
        <v>350</v>
      </c>
      <c r="X41" s="15">
        <f t="shared" si="6"/>
        <v>40</v>
      </c>
      <c r="Y41" s="13">
        <v>0</v>
      </c>
      <c r="Z41" s="13">
        <v>40</v>
      </c>
      <c r="AA41" s="2"/>
    </row>
    <row r="42" spans="1:27" ht="15.75" x14ac:dyDescent="0.25">
      <c r="A42" s="43">
        <v>36</v>
      </c>
      <c r="B42" s="9" t="s">
        <v>0</v>
      </c>
      <c r="C42" s="10" t="s">
        <v>414</v>
      </c>
      <c r="D42" s="11" t="s">
        <v>384</v>
      </c>
      <c r="E42" s="12" t="s">
        <v>37</v>
      </c>
      <c r="F42" s="49">
        <f t="shared" si="0"/>
        <v>72</v>
      </c>
      <c r="G42" s="51">
        <v>38</v>
      </c>
      <c r="H42" s="55">
        <v>34</v>
      </c>
      <c r="I42" s="13">
        <f t="shared" si="1"/>
        <v>0</v>
      </c>
      <c r="J42" s="13">
        <v>0</v>
      </c>
      <c r="K42" s="13">
        <v>0</v>
      </c>
      <c r="L42" s="58">
        <f t="shared" si="2"/>
        <v>0</v>
      </c>
      <c r="M42" s="51">
        <v>0</v>
      </c>
      <c r="N42" s="55">
        <v>0</v>
      </c>
      <c r="O42" s="13">
        <f t="shared" si="3"/>
        <v>0</v>
      </c>
      <c r="P42" s="13">
        <v>0</v>
      </c>
      <c r="Q42" s="13">
        <v>0</v>
      </c>
      <c r="R42" s="58">
        <f t="shared" si="4"/>
        <v>0</v>
      </c>
      <c r="S42" s="51">
        <v>0</v>
      </c>
      <c r="T42" s="55">
        <v>0</v>
      </c>
      <c r="U42" s="14">
        <f t="shared" si="5"/>
        <v>72</v>
      </c>
      <c r="V42" s="13">
        <v>38</v>
      </c>
      <c r="W42" s="13">
        <v>34</v>
      </c>
      <c r="X42" s="15">
        <f t="shared" si="6"/>
        <v>15</v>
      </c>
      <c r="Y42" s="13">
        <v>0</v>
      </c>
      <c r="Z42" s="13">
        <v>15</v>
      </c>
      <c r="AA42" s="2"/>
    </row>
    <row r="43" spans="1:27" ht="15.75" x14ac:dyDescent="0.25">
      <c r="A43" s="43">
        <v>37</v>
      </c>
      <c r="B43" s="9" t="s">
        <v>0</v>
      </c>
      <c r="C43" s="10" t="s">
        <v>415</v>
      </c>
      <c r="D43" s="11" t="s">
        <v>394</v>
      </c>
      <c r="E43" s="12" t="s">
        <v>37</v>
      </c>
      <c r="F43" s="49">
        <f t="shared" si="0"/>
        <v>59</v>
      </c>
      <c r="G43" s="51">
        <v>34</v>
      </c>
      <c r="H43" s="55">
        <v>25</v>
      </c>
      <c r="I43" s="13">
        <f t="shared" si="1"/>
        <v>0</v>
      </c>
      <c r="J43" s="13">
        <v>0</v>
      </c>
      <c r="K43" s="13">
        <v>0</v>
      </c>
      <c r="L43" s="58">
        <f t="shared" si="2"/>
        <v>0</v>
      </c>
      <c r="M43" s="51">
        <v>0</v>
      </c>
      <c r="N43" s="55">
        <v>0</v>
      </c>
      <c r="O43" s="13">
        <f t="shared" si="3"/>
        <v>0</v>
      </c>
      <c r="P43" s="13">
        <v>0</v>
      </c>
      <c r="Q43" s="13">
        <v>0</v>
      </c>
      <c r="R43" s="58">
        <f t="shared" si="4"/>
        <v>0</v>
      </c>
      <c r="S43" s="51">
        <v>0</v>
      </c>
      <c r="T43" s="55">
        <v>0</v>
      </c>
      <c r="U43" s="14">
        <f t="shared" si="5"/>
        <v>59</v>
      </c>
      <c r="V43" s="13">
        <v>34</v>
      </c>
      <c r="W43" s="13">
        <v>25</v>
      </c>
      <c r="X43" s="15">
        <f t="shared" si="6"/>
        <v>6</v>
      </c>
      <c r="Y43" s="13">
        <v>0</v>
      </c>
      <c r="Z43" s="13">
        <v>6</v>
      </c>
      <c r="AA43" s="2"/>
    </row>
    <row r="44" spans="1:27" ht="15.75" x14ac:dyDescent="0.25">
      <c r="A44" s="43">
        <v>38</v>
      </c>
      <c r="B44" s="9" t="s">
        <v>0</v>
      </c>
      <c r="C44" s="10" t="s">
        <v>36</v>
      </c>
      <c r="D44" s="11" t="s">
        <v>384</v>
      </c>
      <c r="E44" s="12" t="s">
        <v>37</v>
      </c>
      <c r="F44" s="49">
        <f t="shared" si="0"/>
        <v>0</v>
      </c>
      <c r="G44" s="51">
        <v>0</v>
      </c>
      <c r="H44" s="55">
        <v>0</v>
      </c>
      <c r="I44" s="13">
        <f t="shared" si="1"/>
        <v>0</v>
      </c>
      <c r="J44" s="13">
        <v>0</v>
      </c>
      <c r="K44" s="13">
        <v>0</v>
      </c>
      <c r="L44" s="58">
        <f t="shared" si="2"/>
        <v>0</v>
      </c>
      <c r="M44" s="51">
        <v>0</v>
      </c>
      <c r="N44" s="55">
        <v>0</v>
      </c>
      <c r="O44" s="13">
        <f t="shared" si="3"/>
        <v>635</v>
      </c>
      <c r="P44" s="13">
        <v>295</v>
      </c>
      <c r="Q44" s="13">
        <v>340</v>
      </c>
      <c r="R44" s="58">
        <f t="shared" si="4"/>
        <v>0</v>
      </c>
      <c r="S44" s="51">
        <v>0</v>
      </c>
      <c r="T44" s="55">
        <v>0</v>
      </c>
      <c r="U44" s="14">
        <f t="shared" si="5"/>
        <v>635</v>
      </c>
      <c r="V44" s="13">
        <v>295</v>
      </c>
      <c r="W44" s="13">
        <v>340</v>
      </c>
      <c r="X44" s="15">
        <f t="shared" si="6"/>
        <v>36</v>
      </c>
      <c r="Y44" s="13">
        <v>12</v>
      </c>
      <c r="Z44" s="13">
        <v>24</v>
      </c>
      <c r="AA44" s="2"/>
    </row>
    <row r="45" spans="1:27" ht="15.75" x14ac:dyDescent="0.25">
      <c r="A45" s="43">
        <v>39</v>
      </c>
      <c r="B45" s="9" t="s">
        <v>1</v>
      </c>
      <c r="C45" s="16" t="s">
        <v>303</v>
      </c>
      <c r="D45" s="11" t="s">
        <v>52</v>
      </c>
      <c r="E45" s="12" t="s">
        <v>35</v>
      </c>
      <c r="F45" s="49">
        <f>G45+H45</f>
        <v>47</v>
      </c>
      <c r="G45" s="51">
        <v>21</v>
      </c>
      <c r="H45" s="55">
        <v>26</v>
      </c>
      <c r="I45" s="13">
        <f>SUM(J45:K45)</f>
        <v>140</v>
      </c>
      <c r="J45" s="13">
        <v>71</v>
      </c>
      <c r="K45" s="13">
        <v>69</v>
      </c>
      <c r="L45" s="58">
        <f>SUM(M45:N45)</f>
        <v>61</v>
      </c>
      <c r="M45" s="51">
        <v>27</v>
      </c>
      <c r="N45" s="55">
        <v>34</v>
      </c>
      <c r="O45" s="13">
        <f>SUM(P45:Q45)</f>
        <v>0</v>
      </c>
      <c r="P45" s="13">
        <v>0</v>
      </c>
      <c r="Q45" s="13">
        <v>0</v>
      </c>
      <c r="R45" s="58">
        <f>SUM(S45:T45)</f>
        <v>0</v>
      </c>
      <c r="S45" s="51">
        <v>0</v>
      </c>
      <c r="T45" s="55">
        <v>0</v>
      </c>
      <c r="U45" s="14">
        <f>V45+W45</f>
        <v>248</v>
      </c>
      <c r="V45" s="13">
        <v>119</v>
      </c>
      <c r="W45" s="13">
        <v>129</v>
      </c>
      <c r="X45" s="15">
        <f>SUM(Y45:Z45)</f>
        <v>37</v>
      </c>
      <c r="Y45" s="13">
        <v>4</v>
      </c>
      <c r="Z45" s="13">
        <v>33</v>
      </c>
      <c r="AA45" s="2"/>
    </row>
    <row r="46" spans="1:27" ht="15.75" x14ac:dyDescent="0.25">
      <c r="A46" s="43">
        <v>40</v>
      </c>
      <c r="B46" s="9" t="s">
        <v>1</v>
      </c>
      <c r="C46" s="16" t="s">
        <v>304</v>
      </c>
      <c r="D46" s="11" t="s">
        <v>305</v>
      </c>
      <c r="E46" s="12" t="s">
        <v>35</v>
      </c>
      <c r="F46" s="49">
        <f>G46+H46</f>
        <v>42</v>
      </c>
      <c r="G46" s="51">
        <v>20</v>
      </c>
      <c r="H46" s="55">
        <v>22</v>
      </c>
      <c r="I46" s="13">
        <f>SUM(J46:K46)</f>
        <v>89</v>
      </c>
      <c r="J46" s="13">
        <v>42</v>
      </c>
      <c r="K46" s="13">
        <v>47</v>
      </c>
      <c r="L46" s="58">
        <f>SUM(M46:N46)</f>
        <v>27</v>
      </c>
      <c r="M46" s="51">
        <v>14</v>
      </c>
      <c r="N46" s="55">
        <v>13</v>
      </c>
      <c r="O46" s="13">
        <f>SUM(P46:Q46)</f>
        <v>0</v>
      </c>
      <c r="P46" s="13">
        <v>0</v>
      </c>
      <c r="Q46" s="13">
        <v>0</v>
      </c>
      <c r="R46" s="58">
        <f>SUM(S46:T46)</f>
        <v>0</v>
      </c>
      <c r="S46" s="51">
        <v>0</v>
      </c>
      <c r="T46" s="55">
        <v>0</v>
      </c>
      <c r="U46" s="14">
        <f>V46+W46</f>
        <v>158</v>
      </c>
      <c r="V46" s="13">
        <v>76</v>
      </c>
      <c r="W46" s="13">
        <v>82</v>
      </c>
      <c r="X46" s="15">
        <f>SUM(Y46:Z46)</f>
        <v>29</v>
      </c>
      <c r="Y46" s="13">
        <v>8</v>
      </c>
      <c r="Z46" s="13">
        <v>21</v>
      </c>
      <c r="AA46" s="2"/>
    </row>
    <row r="47" spans="1:27" ht="15.75" x14ac:dyDescent="0.25">
      <c r="A47" s="43">
        <v>41</v>
      </c>
      <c r="B47" s="9" t="s">
        <v>1</v>
      </c>
      <c r="C47" s="16" t="s">
        <v>306</v>
      </c>
      <c r="D47" s="11" t="s">
        <v>51</v>
      </c>
      <c r="E47" s="12" t="s">
        <v>35</v>
      </c>
      <c r="F47" s="49">
        <f>G47+H47</f>
        <v>7</v>
      </c>
      <c r="G47" s="51">
        <v>4</v>
      </c>
      <c r="H47" s="55">
        <v>3</v>
      </c>
      <c r="I47" s="13">
        <f>SUM(J47:K47)</f>
        <v>29</v>
      </c>
      <c r="J47" s="13">
        <v>18</v>
      </c>
      <c r="K47" s="13">
        <v>11</v>
      </c>
      <c r="L47" s="58">
        <f>SUM(M47:N47)</f>
        <v>2</v>
      </c>
      <c r="M47" s="51">
        <v>2</v>
      </c>
      <c r="N47" s="55">
        <v>0</v>
      </c>
      <c r="O47" s="13">
        <f>SUM(P47:Q47)</f>
        <v>0</v>
      </c>
      <c r="P47" s="13">
        <v>0</v>
      </c>
      <c r="Q47" s="13">
        <v>0</v>
      </c>
      <c r="R47" s="58">
        <f>SUM(S47:T47)</f>
        <v>0</v>
      </c>
      <c r="S47" s="51">
        <v>0</v>
      </c>
      <c r="T47" s="55">
        <v>0</v>
      </c>
      <c r="U47" s="14">
        <f>V47+W47</f>
        <v>38</v>
      </c>
      <c r="V47" s="13">
        <v>24</v>
      </c>
      <c r="W47" s="13">
        <v>14</v>
      </c>
      <c r="X47" s="15">
        <f>SUM(Y47:Z47)</f>
        <v>16</v>
      </c>
      <c r="Y47" s="13">
        <v>8</v>
      </c>
      <c r="Z47" s="13">
        <v>8</v>
      </c>
      <c r="AA47" s="2"/>
    </row>
    <row r="48" spans="1:27" ht="15.75" x14ac:dyDescent="0.25">
      <c r="A48" s="43">
        <v>42</v>
      </c>
      <c r="B48" s="9" t="s">
        <v>1</v>
      </c>
      <c r="C48" s="16" t="s">
        <v>307</v>
      </c>
      <c r="D48" s="11" t="s">
        <v>50</v>
      </c>
      <c r="E48" s="12" t="s">
        <v>35</v>
      </c>
      <c r="F48" s="49">
        <f>G48+H48</f>
        <v>17</v>
      </c>
      <c r="G48" s="51">
        <v>8</v>
      </c>
      <c r="H48" s="55">
        <v>9</v>
      </c>
      <c r="I48" s="13">
        <f>SUM(J48:K48)</f>
        <v>81</v>
      </c>
      <c r="J48" s="13">
        <v>40</v>
      </c>
      <c r="K48" s="13">
        <v>41</v>
      </c>
      <c r="L48" s="58">
        <f>SUM(M48:N48)</f>
        <v>24</v>
      </c>
      <c r="M48" s="51">
        <v>15</v>
      </c>
      <c r="N48" s="55">
        <v>9</v>
      </c>
      <c r="O48" s="13">
        <f>SUM(P48:Q48)</f>
        <v>0</v>
      </c>
      <c r="P48" s="13">
        <v>0</v>
      </c>
      <c r="Q48" s="13">
        <v>0</v>
      </c>
      <c r="R48" s="58">
        <f>SUM(S48:T48)</f>
        <v>0</v>
      </c>
      <c r="S48" s="51">
        <v>0</v>
      </c>
      <c r="T48" s="55">
        <v>0</v>
      </c>
      <c r="U48" s="14">
        <f>V48+W48</f>
        <v>122</v>
      </c>
      <c r="V48" s="13">
        <v>63</v>
      </c>
      <c r="W48" s="13">
        <v>59</v>
      </c>
      <c r="X48" s="15">
        <f>SUM(Y48:Z48)</f>
        <v>24</v>
      </c>
      <c r="Y48" s="13">
        <v>10</v>
      </c>
      <c r="Z48" s="13">
        <v>14</v>
      </c>
      <c r="AA48" s="2"/>
    </row>
    <row r="49" spans="1:27" ht="15.75" x14ac:dyDescent="0.25">
      <c r="A49" s="43">
        <v>43</v>
      </c>
      <c r="B49" s="9" t="s">
        <v>1</v>
      </c>
      <c r="C49" s="16" t="s">
        <v>308</v>
      </c>
      <c r="D49" s="11" t="s">
        <v>46</v>
      </c>
      <c r="E49" s="12" t="s">
        <v>35</v>
      </c>
      <c r="F49" s="49">
        <f>G49+H49</f>
        <v>172</v>
      </c>
      <c r="G49" s="51">
        <v>83</v>
      </c>
      <c r="H49" s="55">
        <v>89</v>
      </c>
      <c r="I49" s="13">
        <f>SUM(J49:K49)</f>
        <v>575</v>
      </c>
      <c r="J49" s="13">
        <v>311</v>
      </c>
      <c r="K49" s="13">
        <v>264</v>
      </c>
      <c r="L49" s="58">
        <f>SUM(M49:N49)</f>
        <v>146</v>
      </c>
      <c r="M49" s="51">
        <v>75</v>
      </c>
      <c r="N49" s="55">
        <v>71</v>
      </c>
      <c r="O49" s="13">
        <f>SUM(P49:Q49)</f>
        <v>16</v>
      </c>
      <c r="P49" s="13">
        <v>9</v>
      </c>
      <c r="Q49" s="13">
        <v>7</v>
      </c>
      <c r="R49" s="58">
        <f>SUM(S49:T49)</f>
        <v>0</v>
      </c>
      <c r="S49" s="51">
        <v>0</v>
      </c>
      <c r="T49" s="55">
        <v>0</v>
      </c>
      <c r="U49" s="14">
        <f>V49+W49</f>
        <v>909</v>
      </c>
      <c r="V49" s="13">
        <v>478</v>
      </c>
      <c r="W49" s="13">
        <v>431</v>
      </c>
      <c r="X49" s="15">
        <f>SUM(Y49:Z49)</f>
        <v>73</v>
      </c>
      <c r="Y49" s="13">
        <v>15</v>
      </c>
      <c r="Z49" s="13">
        <v>58</v>
      </c>
      <c r="AA49" s="2"/>
    </row>
    <row r="50" spans="1:27" ht="15.75" x14ac:dyDescent="0.25">
      <c r="A50" s="43">
        <v>44</v>
      </c>
      <c r="B50" s="9" t="s">
        <v>1</v>
      </c>
      <c r="C50" s="16" t="s">
        <v>309</v>
      </c>
      <c r="D50" s="11" t="s">
        <v>45</v>
      </c>
      <c r="E50" s="12" t="s">
        <v>35</v>
      </c>
      <c r="F50" s="49">
        <f>G50+H50</f>
        <v>75</v>
      </c>
      <c r="G50" s="51">
        <v>43</v>
      </c>
      <c r="H50" s="55">
        <v>32</v>
      </c>
      <c r="I50" s="13">
        <f>SUM(J50:K50)</f>
        <v>255</v>
      </c>
      <c r="J50" s="13">
        <v>130</v>
      </c>
      <c r="K50" s="13">
        <v>125</v>
      </c>
      <c r="L50" s="58">
        <f>SUM(M50:N50)</f>
        <v>81</v>
      </c>
      <c r="M50" s="51">
        <v>42</v>
      </c>
      <c r="N50" s="55">
        <v>39</v>
      </c>
      <c r="O50" s="13">
        <f>SUM(P50:Q50)</f>
        <v>6</v>
      </c>
      <c r="P50" s="13">
        <v>2</v>
      </c>
      <c r="Q50" s="13">
        <v>4</v>
      </c>
      <c r="R50" s="58">
        <f>SUM(S50:T50)</f>
        <v>0</v>
      </c>
      <c r="S50" s="51">
        <v>0</v>
      </c>
      <c r="T50" s="55">
        <v>0</v>
      </c>
      <c r="U50" s="14">
        <f>V50+W50</f>
        <v>417</v>
      </c>
      <c r="V50" s="13">
        <v>217</v>
      </c>
      <c r="W50" s="13">
        <v>200</v>
      </c>
      <c r="X50" s="15">
        <f>SUM(Y50:Z50)</f>
        <v>53</v>
      </c>
      <c r="Y50" s="13">
        <v>16</v>
      </c>
      <c r="Z50" s="13">
        <v>37</v>
      </c>
      <c r="AA50" s="2"/>
    </row>
    <row r="51" spans="1:27" ht="15.75" x14ac:dyDescent="0.25">
      <c r="A51" s="43">
        <v>45</v>
      </c>
      <c r="B51" s="9" t="s">
        <v>1</v>
      </c>
      <c r="C51" s="16" t="s">
        <v>310</v>
      </c>
      <c r="D51" s="11" t="s">
        <v>48</v>
      </c>
      <c r="E51" s="12" t="s">
        <v>35</v>
      </c>
      <c r="F51" s="49">
        <f>G51+H51</f>
        <v>162</v>
      </c>
      <c r="G51" s="51">
        <v>75</v>
      </c>
      <c r="H51" s="55">
        <v>87</v>
      </c>
      <c r="I51" s="13">
        <f>SUM(J51:K51)</f>
        <v>459</v>
      </c>
      <c r="J51" s="13">
        <v>247</v>
      </c>
      <c r="K51" s="13">
        <v>212</v>
      </c>
      <c r="L51" s="58">
        <f>SUM(M51:N51)</f>
        <v>160</v>
      </c>
      <c r="M51" s="51">
        <v>75</v>
      </c>
      <c r="N51" s="55">
        <v>85</v>
      </c>
      <c r="O51" s="13">
        <f>SUM(P51:Q51)</f>
        <v>32</v>
      </c>
      <c r="P51" s="13">
        <v>14</v>
      </c>
      <c r="Q51" s="13">
        <v>18</v>
      </c>
      <c r="R51" s="58">
        <f>SUM(S51:T51)</f>
        <v>6</v>
      </c>
      <c r="S51" s="51">
        <v>5</v>
      </c>
      <c r="T51" s="55">
        <v>1</v>
      </c>
      <c r="U51" s="14">
        <f>V51+W51</f>
        <v>819</v>
      </c>
      <c r="V51" s="13">
        <v>416</v>
      </c>
      <c r="W51" s="13">
        <v>403</v>
      </c>
      <c r="X51" s="15">
        <f>SUM(Y51:Z51)</f>
        <v>79</v>
      </c>
      <c r="Y51" s="13">
        <v>7</v>
      </c>
      <c r="Z51" s="13">
        <v>72</v>
      </c>
      <c r="AA51" s="2"/>
    </row>
    <row r="52" spans="1:27" ht="15.75" x14ac:dyDescent="0.25">
      <c r="A52" s="43">
        <v>46</v>
      </c>
      <c r="B52" s="9" t="s">
        <v>1</v>
      </c>
      <c r="C52" s="16" t="s">
        <v>311</v>
      </c>
      <c r="D52" s="11" t="s">
        <v>47</v>
      </c>
      <c r="E52" s="12" t="s">
        <v>35</v>
      </c>
      <c r="F52" s="49">
        <f>G52+H52</f>
        <v>54</v>
      </c>
      <c r="G52" s="51">
        <v>26</v>
      </c>
      <c r="H52" s="55">
        <v>28</v>
      </c>
      <c r="I52" s="13">
        <f>SUM(J52:K52)</f>
        <v>178</v>
      </c>
      <c r="J52" s="13">
        <v>95</v>
      </c>
      <c r="K52" s="13">
        <v>83</v>
      </c>
      <c r="L52" s="58">
        <f>SUM(M52:N52)</f>
        <v>57</v>
      </c>
      <c r="M52" s="51">
        <v>36</v>
      </c>
      <c r="N52" s="55">
        <v>21</v>
      </c>
      <c r="O52" s="13">
        <f>SUM(P52:Q52)</f>
        <v>0</v>
      </c>
      <c r="P52" s="13">
        <v>0</v>
      </c>
      <c r="Q52" s="13">
        <v>0</v>
      </c>
      <c r="R52" s="58">
        <f>SUM(S52:T52)</f>
        <v>0</v>
      </c>
      <c r="S52" s="51">
        <v>0</v>
      </c>
      <c r="T52" s="55">
        <v>0</v>
      </c>
      <c r="U52" s="14">
        <f>V52+W52</f>
        <v>289</v>
      </c>
      <c r="V52" s="13">
        <v>157</v>
      </c>
      <c r="W52" s="13">
        <v>132</v>
      </c>
      <c r="X52" s="15">
        <f>SUM(Y52:Z52)</f>
        <v>37</v>
      </c>
      <c r="Y52" s="13">
        <v>12</v>
      </c>
      <c r="Z52" s="13">
        <v>25</v>
      </c>
      <c r="AA52" s="2"/>
    </row>
    <row r="53" spans="1:27" ht="15.75" x14ac:dyDescent="0.25">
      <c r="A53" s="43">
        <v>47</v>
      </c>
      <c r="B53" s="9" t="s">
        <v>1</v>
      </c>
      <c r="C53" s="10" t="s">
        <v>312</v>
      </c>
      <c r="D53" s="11" t="s">
        <v>49</v>
      </c>
      <c r="E53" s="12" t="s">
        <v>35</v>
      </c>
      <c r="F53" s="49">
        <f>G53+H53</f>
        <v>48</v>
      </c>
      <c r="G53" s="51">
        <v>23</v>
      </c>
      <c r="H53" s="55">
        <v>25</v>
      </c>
      <c r="I53" s="13">
        <f>SUM(J53:K53)</f>
        <v>114</v>
      </c>
      <c r="J53" s="13">
        <v>67</v>
      </c>
      <c r="K53" s="13">
        <v>47</v>
      </c>
      <c r="L53" s="58">
        <f>SUM(M53:N53)</f>
        <v>37</v>
      </c>
      <c r="M53" s="51">
        <v>29</v>
      </c>
      <c r="N53" s="55">
        <v>8</v>
      </c>
      <c r="O53" s="13">
        <f>SUM(P53:Q53)</f>
        <v>0</v>
      </c>
      <c r="P53" s="13">
        <v>0</v>
      </c>
      <c r="Q53" s="13">
        <v>0</v>
      </c>
      <c r="R53" s="58">
        <f>SUM(S53:T53)</f>
        <v>0</v>
      </c>
      <c r="S53" s="51">
        <v>0</v>
      </c>
      <c r="T53" s="55">
        <v>0</v>
      </c>
      <c r="U53" s="14">
        <f>V53+W53</f>
        <v>199</v>
      </c>
      <c r="V53" s="13">
        <v>119</v>
      </c>
      <c r="W53" s="13">
        <v>80</v>
      </c>
      <c r="X53" s="15">
        <f>SUM(Y53:Z53)</f>
        <v>32</v>
      </c>
      <c r="Y53" s="13">
        <v>7</v>
      </c>
      <c r="Z53" s="13">
        <v>25</v>
      </c>
      <c r="AA53" s="2"/>
    </row>
    <row r="54" spans="1:27" ht="15.75" x14ac:dyDescent="0.25">
      <c r="A54" s="43">
        <v>48</v>
      </c>
      <c r="B54" s="9" t="s">
        <v>1</v>
      </c>
      <c r="C54" s="10" t="s">
        <v>313</v>
      </c>
      <c r="D54" s="11" t="s">
        <v>56</v>
      </c>
      <c r="E54" s="12" t="s">
        <v>35</v>
      </c>
      <c r="F54" s="49">
        <f>G54+H54</f>
        <v>26</v>
      </c>
      <c r="G54" s="51">
        <v>15</v>
      </c>
      <c r="H54" s="55">
        <v>11</v>
      </c>
      <c r="I54" s="13">
        <f>SUM(J54:K54)</f>
        <v>64</v>
      </c>
      <c r="J54" s="13">
        <v>28</v>
      </c>
      <c r="K54" s="13">
        <v>36</v>
      </c>
      <c r="L54" s="58">
        <f>SUM(M54:N54)</f>
        <v>23</v>
      </c>
      <c r="M54" s="51">
        <v>11</v>
      </c>
      <c r="N54" s="55">
        <v>12</v>
      </c>
      <c r="O54" s="13">
        <f>SUM(P54:Q54)</f>
        <v>0</v>
      </c>
      <c r="P54" s="13">
        <v>0</v>
      </c>
      <c r="Q54" s="13">
        <v>0</v>
      </c>
      <c r="R54" s="58">
        <f>SUM(S54:T54)</f>
        <v>0</v>
      </c>
      <c r="S54" s="51">
        <v>0</v>
      </c>
      <c r="T54" s="55">
        <v>0</v>
      </c>
      <c r="U54" s="14">
        <f>V54+W54</f>
        <v>113</v>
      </c>
      <c r="V54" s="13">
        <v>54</v>
      </c>
      <c r="W54" s="13">
        <v>59</v>
      </c>
      <c r="X54" s="15">
        <f>SUM(Y54:Z54)</f>
        <v>29</v>
      </c>
      <c r="Y54" s="13">
        <v>10</v>
      </c>
      <c r="Z54" s="13">
        <v>19</v>
      </c>
      <c r="AA54" s="2"/>
    </row>
    <row r="55" spans="1:27" ht="15.75" x14ac:dyDescent="0.25">
      <c r="A55" s="43">
        <v>49</v>
      </c>
      <c r="B55" s="9" t="s">
        <v>1</v>
      </c>
      <c r="C55" s="10" t="s">
        <v>314</v>
      </c>
      <c r="D55" s="11" t="s">
        <v>315</v>
      </c>
      <c r="E55" s="12" t="s">
        <v>35</v>
      </c>
      <c r="F55" s="49">
        <f>G55+H55</f>
        <v>6</v>
      </c>
      <c r="G55" s="51">
        <v>4</v>
      </c>
      <c r="H55" s="55">
        <v>2</v>
      </c>
      <c r="I55" s="13">
        <f>SUM(J55:K55)</f>
        <v>31</v>
      </c>
      <c r="J55" s="13">
        <v>19</v>
      </c>
      <c r="K55" s="13">
        <v>12</v>
      </c>
      <c r="L55" s="58">
        <f>SUM(M55:N55)</f>
        <v>12</v>
      </c>
      <c r="M55" s="51">
        <v>7</v>
      </c>
      <c r="N55" s="55">
        <v>5</v>
      </c>
      <c r="O55" s="13">
        <f>SUM(P55:Q55)</f>
        <v>0</v>
      </c>
      <c r="P55" s="13">
        <v>0</v>
      </c>
      <c r="Q55" s="13">
        <v>0</v>
      </c>
      <c r="R55" s="58">
        <f>SUM(S55:T55)</f>
        <v>0</v>
      </c>
      <c r="S55" s="51">
        <v>0</v>
      </c>
      <c r="T55" s="55">
        <v>0</v>
      </c>
      <c r="U55" s="14">
        <f>V55+W55</f>
        <v>49</v>
      </c>
      <c r="V55" s="13">
        <v>30</v>
      </c>
      <c r="W55" s="13">
        <v>19</v>
      </c>
      <c r="X55" s="15">
        <f>SUM(Y55:Z55)</f>
        <v>18</v>
      </c>
      <c r="Y55" s="13">
        <v>7</v>
      </c>
      <c r="Z55" s="13">
        <v>11</v>
      </c>
      <c r="AA55" s="2"/>
    </row>
    <row r="56" spans="1:27" ht="15.75" x14ac:dyDescent="0.25">
      <c r="A56" s="43">
        <v>50</v>
      </c>
      <c r="B56" s="9" t="s">
        <v>1</v>
      </c>
      <c r="C56" s="10" t="s">
        <v>316</v>
      </c>
      <c r="D56" s="11" t="s">
        <v>53</v>
      </c>
      <c r="E56" s="12" t="s">
        <v>35</v>
      </c>
      <c r="F56" s="49">
        <f>G56+H56</f>
        <v>43</v>
      </c>
      <c r="G56" s="51">
        <v>12</v>
      </c>
      <c r="H56" s="55">
        <v>31</v>
      </c>
      <c r="I56" s="13">
        <f>SUM(J56:K56)</f>
        <v>103</v>
      </c>
      <c r="J56" s="13">
        <v>60</v>
      </c>
      <c r="K56" s="13">
        <v>43</v>
      </c>
      <c r="L56" s="58">
        <f>SUM(M56:N56)</f>
        <v>23</v>
      </c>
      <c r="M56" s="51">
        <v>10</v>
      </c>
      <c r="N56" s="55">
        <v>13</v>
      </c>
      <c r="O56" s="13">
        <f>SUM(P56:Q56)</f>
        <v>0</v>
      </c>
      <c r="P56" s="13">
        <v>0</v>
      </c>
      <c r="Q56" s="13">
        <v>0</v>
      </c>
      <c r="R56" s="58">
        <f>SUM(S56:T56)</f>
        <v>0</v>
      </c>
      <c r="S56" s="51">
        <v>0</v>
      </c>
      <c r="T56" s="55">
        <v>0</v>
      </c>
      <c r="U56" s="14">
        <f>V56+W56</f>
        <v>169</v>
      </c>
      <c r="V56" s="13">
        <v>82</v>
      </c>
      <c r="W56" s="13">
        <v>87</v>
      </c>
      <c r="X56" s="15">
        <f>SUM(Y56:Z56)</f>
        <v>26</v>
      </c>
      <c r="Y56" s="13">
        <v>7</v>
      </c>
      <c r="Z56" s="13">
        <v>19</v>
      </c>
      <c r="AA56" s="2"/>
    </row>
    <row r="57" spans="1:27" ht="15.75" x14ac:dyDescent="0.25">
      <c r="A57" s="43">
        <v>51</v>
      </c>
      <c r="B57" s="9" t="s">
        <v>1</v>
      </c>
      <c r="C57" s="10" t="s">
        <v>317</v>
      </c>
      <c r="D57" s="11" t="s">
        <v>54</v>
      </c>
      <c r="E57" s="12" t="s">
        <v>35</v>
      </c>
      <c r="F57" s="49">
        <f>G57+H57</f>
        <v>17</v>
      </c>
      <c r="G57" s="51">
        <v>10</v>
      </c>
      <c r="H57" s="55">
        <v>7</v>
      </c>
      <c r="I57" s="13">
        <f>SUM(J57:K57)</f>
        <v>58</v>
      </c>
      <c r="J57" s="13">
        <v>31</v>
      </c>
      <c r="K57" s="13">
        <v>27</v>
      </c>
      <c r="L57" s="58">
        <f>SUM(M57:N57)</f>
        <v>11</v>
      </c>
      <c r="M57" s="51">
        <v>4</v>
      </c>
      <c r="N57" s="55">
        <v>7</v>
      </c>
      <c r="O57" s="13">
        <f>SUM(P57:Q57)</f>
        <v>0</v>
      </c>
      <c r="P57" s="13">
        <v>0</v>
      </c>
      <c r="Q57" s="13">
        <v>0</v>
      </c>
      <c r="R57" s="58">
        <f>SUM(S57:T57)</f>
        <v>0</v>
      </c>
      <c r="S57" s="51">
        <v>0</v>
      </c>
      <c r="T57" s="55">
        <v>0</v>
      </c>
      <c r="U57" s="14">
        <f>V57+W57</f>
        <v>86</v>
      </c>
      <c r="V57" s="13">
        <v>45</v>
      </c>
      <c r="W57" s="13">
        <v>41</v>
      </c>
      <c r="X57" s="15">
        <f>SUM(Y57:Z57)</f>
        <v>24</v>
      </c>
      <c r="Y57" s="13">
        <v>7</v>
      </c>
      <c r="Z57" s="13">
        <v>17</v>
      </c>
      <c r="AA57" s="2"/>
    </row>
    <row r="58" spans="1:27" ht="15.75" x14ac:dyDescent="0.25">
      <c r="A58" s="43">
        <v>52</v>
      </c>
      <c r="B58" s="9" t="s">
        <v>1</v>
      </c>
      <c r="C58" s="10" t="s">
        <v>318</v>
      </c>
      <c r="D58" s="11" t="s">
        <v>55</v>
      </c>
      <c r="E58" s="12" t="s">
        <v>35</v>
      </c>
      <c r="F58" s="49">
        <f>G58+H58</f>
        <v>18</v>
      </c>
      <c r="G58" s="51">
        <v>7</v>
      </c>
      <c r="H58" s="55">
        <v>11</v>
      </c>
      <c r="I58" s="13">
        <f>SUM(J58:K58)</f>
        <v>49</v>
      </c>
      <c r="J58" s="13">
        <v>22</v>
      </c>
      <c r="K58" s="13">
        <v>27</v>
      </c>
      <c r="L58" s="58">
        <f>SUM(M58:N58)</f>
        <v>10</v>
      </c>
      <c r="M58" s="51">
        <v>5</v>
      </c>
      <c r="N58" s="55">
        <v>5</v>
      </c>
      <c r="O58" s="13">
        <f>SUM(P58:Q58)</f>
        <v>0</v>
      </c>
      <c r="P58" s="13">
        <v>0</v>
      </c>
      <c r="Q58" s="13">
        <v>0</v>
      </c>
      <c r="R58" s="58">
        <f>SUM(S58:T58)</f>
        <v>0</v>
      </c>
      <c r="S58" s="51">
        <v>0</v>
      </c>
      <c r="T58" s="55">
        <v>0</v>
      </c>
      <c r="U58" s="14">
        <f>V58+W58</f>
        <v>77</v>
      </c>
      <c r="V58" s="13">
        <v>34</v>
      </c>
      <c r="W58" s="13">
        <v>43</v>
      </c>
      <c r="X58" s="15">
        <f>SUM(Y58:Z58)</f>
        <v>24</v>
      </c>
      <c r="Y58" s="13">
        <v>6</v>
      </c>
      <c r="Z58" s="13">
        <v>18</v>
      </c>
      <c r="AA58" s="2"/>
    </row>
    <row r="59" spans="1:27" ht="15.75" x14ac:dyDescent="0.25">
      <c r="A59" s="43">
        <v>53</v>
      </c>
      <c r="B59" s="9" t="s">
        <v>1</v>
      </c>
      <c r="C59" s="10" t="s">
        <v>57</v>
      </c>
      <c r="D59" s="11" t="s">
        <v>52</v>
      </c>
      <c r="E59" s="12" t="s">
        <v>39</v>
      </c>
      <c r="F59" s="49">
        <f>G59+H59</f>
        <v>16</v>
      </c>
      <c r="G59" s="51">
        <v>8</v>
      </c>
      <c r="H59" s="55">
        <v>8</v>
      </c>
      <c r="I59" s="13">
        <f>SUM(J59:K59)</f>
        <v>0</v>
      </c>
      <c r="J59" s="13">
        <v>0</v>
      </c>
      <c r="K59" s="13">
        <v>0</v>
      </c>
      <c r="L59" s="58">
        <f>SUM(M59:N59)</f>
        <v>0</v>
      </c>
      <c r="M59" s="51">
        <v>0</v>
      </c>
      <c r="N59" s="55">
        <v>0</v>
      </c>
      <c r="O59" s="13">
        <f>SUM(P59:Q59)</f>
        <v>0</v>
      </c>
      <c r="P59" s="13">
        <v>0</v>
      </c>
      <c r="Q59" s="13">
        <v>0</v>
      </c>
      <c r="R59" s="58">
        <f>SUM(S59:T59)</f>
        <v>0</v>
      </c>
      <c r="S59" s="51">
        <v>0</v>
      </c>
      <c r="T59" s="55">
        <v>0</v>
      </c>
      <c r="U59" s="14">
        <f>V59+W59</f>
        <v>16</v>
      </c>
      <c r="V59" s="13">
        <v>8</v>
      </c>
      <c r="W59" s="13">
        <v>8</v>
      </c>
      <c r="X59" s="15">
        <f>SUM(Y59:Z59)</f>
        <v>0</v>
      </c>
      <c r="Y59" s="13">
        <v>0</v>
      </c>
      <c r="Z59" s="13">
        <v>0</v>
      </c>
      <c r="AA59" s="2"/>
    </row>
    <row r="60" spans="1:27" ht="15.75" x14ac:dyDescent="0.25">
      <c r="A60" s="43">
        <v>54</v>
      </c>
      <c r="B60" s="9" t="s">
        <v>1</v>
      </c>
      <c r="C60" s="10" t="s">
        <v>195</v>
      </c>
      <c r="D60" s="11" t="s">
        <v>56</v>
      </c>
      <c r="E60" s="12" t="s">
        <v>39</v>
      </c>
      <c r="F60" s="49">
        <f>G60+H60</f>
        <v>4</v>
      </c>
      <c r="G60" s="51">
        <v>3</v>
      </c>
      <c r="H60" s="55">
        <v>1</v>
      </c>
      <c r="I60" s="13">
        <f>SUM(J60:K60)</f>
        <v>0</v>
      </c>
      <c r="J60" s="13">
        <v>0</v>
      </c>
      <c r="K60" s="13">
        <v>0</v>
      </c>
      <c r="L60" s="58">
        <f>SUM(M60:N60)</f>
        <v>0</v>
      </c>
      <c r="M60" s="51">
        <v>0</v>
      </c>
      <c r="N60" s="55">
        <v>0</v>
      </c>
      <c r="O60" s="13">
        <f>SUM(P60:Q60)</f>
        <v>0</v>
      </c>
      <c r="P60" s="13">
        <v>0</v>
      </c>
      <c r="Q60" s="13">
        <v>0</v>
      </c>
      <c r="R60" s="58">
        <f>SUM(S60:T60)</f>
        <v>0</v>
      </c>
      <c r="S60" s="51">
        <v>0</v>
      </c>
      <c r="T60" s="55">
        <v>0</v>
      </c>
      <c r="U60" s="14">
        <f>V60+W60</f>
        <v>4</v>
      </c>
      <c r="V60" s="13">
        <v>3</v>
      </c>
      <c r="W60" s="13">
        <v>1</v>
      </c>
      <c r="X60" s="15">
        <f>SUM(Y60:Z60)</f>
        <v>0</v>
      </c>
      <c r="Y60" s="13">
        <v>0</v>
      </c>
      <c r="Z60" s="13">
        <v>0</v>
      </c>
      <c r="AA60" s="2"/>
    </row>
    <row r="61" spans="1:27" ht="15.75" x14ac:dyDescent="0.25">
      <c r="A61" s="43">
        <v>55</v>
      </c>
      <c r="B61" s="9" t="s">
        <v>191</v>
      </c>
      <c r="C61" s="10" t="s">
        <v>319</v>
      </c>
      <c r="D61" s="11" t="s">
        <v>320</v>
      </c>
      <c r="E61" s="12" t="s">
        <v>35</v>
      </c>
      <c r="F61" s="49">
        <f>G61+H61</f>
        <v>188</v>
      </c>
      <c r="G61" s="51">
        <v>99</v>
      </c>
      <c r="H61" s="55">
        <v>89</v>
      </c>
      <c r="I61" s="13">
        <f>SUM(J61:K61)</f>
        <v>584</v>
      </c>
      <c r="J61" s="13">
        <v>303</v>
      </c>
      <c r="K61" s="13">
        <v>281</v>
      </c>
      <c r="L61" s="58">
        <f>SUM(M61:N61)</f>
        <v>184</v>
      </c>
      <c r="M61" s="51">
        <v>92</v>
      </c>
      <c r="N61" s="55">
        <v>92</v>
      </c>
      <c r="O61" s="13">
        <f>SUM(P61:Q61)</f>
        <v>0</v>
      </c>
      <c r="P61" s="13">
        <v>0</v>
      </c>
      <c r="Q61" s="13">
        <v>0</v>
      </c>
      <c r="R61" s="58">
        <f>SUM(S61:T61)</f>
        <v>0</v>
      </c>
      <c r="S61" s="51">
        <v>0</v>
      </c>
      <c r="T61" s="55">
        <v>0</v>
      </c>
      <c r="U61" s="14">
        <f>V61+W61</f>
        <v>956</v>
      </c>
      <c r="V61" s="13">
        <v>494</v>
      </c>
      <c r="W61" s="13">
        <v>462</v>
      </c>
      <c r="X61" s="15">
        <f>SUM(Y61:Z61)</f>
        <v>86</v>
      </c>
      <c r="Y61" s="13">
        <v>11</v>
      </c>
      <c r="Z61" s="13">
        <v>75</v>
      </c>
      <c r="AA61" s="2"/>
    </row>
    <row r="62" spans="1:27" ht="15.75" x14ac:dyDescent="0.25">
      <c r="A62" s="43">
        <v>56</v>
      </c>
      <c r="B62" s="9" t="s">
        <v>191</v>
      </c>
      <c r="C62" s="10" t="s">
        <v>321</v>
      </c>
      <c r="D62" s="11" t="s">
        <v>320</v>
      </c>
      <c r="E62" s="12" t="s">
        <v>35</v>
      </c>
      <c r="F62" s="49">
        <f>G62+H62</f>
        <v>0</v>
      </c>
      <c r="G62" s="51">
        <v>0</v>
      </c>
      <c r="H62" s="55">
        <v>0</v>
      </c>
      <c r="I62" s="13">
        <f>SUM(J62:K62)</f>
        <v>443</v>
      </c>
      <c r="J62" s="13">
        <v>226</v>
      </c>
      <c r="K62" s="13">
        <v>217</v>
      </c>
      <c r="L62" s="58">
        <f>SUM(M62:N62)</f>
        <v>190</v>
      </c>
      <c r="M62" s="51">
        <v>102</v>
      </c>
      <c r="N62" s="55">
        <v>88</v>
      </c>
      <c r="O62" s="13">
        <f>SUM(P62:Q62)</f>
        <v>83</v>
      </c>
      <c r="P62" s="13">
        <v>32</v>
      </c>
      <c r="Q62" s="13">
        <v>51</v>
      </c>
      <c r="R62" s="58">
        <f>SUM(S62:T62)</f>
        <v>0</v>
      </c>
      <c r="S62" s="51">
        <v>0</v>
      </c>
      <c r="T62" s="55">
        <v>0</v>
      </c>
      <c r="U62" s="14">
        <f>V62+W62</f>
        <v>716</v>
      </c>
      <c r="V62" s="13">
        <v>360</v>
      </c>
      <c r="W62" s="13">
        <v>356</v>
      </c>
      <c r="X62" s="15">
        <f>SUM(Y62:Z62)</f>
        <v>68</v>
      </c>
      <c r="Y62" s="13">
        <v>10</v>
      </c>
      <c r="Z62" s="13">
        <v>58</v>
      </c>
      <c r="AA62" s="2"/>
    </row>
    <row r="63" spans="1:27" ht="15.75" x14ac:dyDescent="0.25">
      <c r="A63" s="43">
        <v>57</v>
      </c>
      <c r="B63" s="9" t="s">
        <v>191</v>
      </c>
      <c r="C63" s="10" t="s">
        <v>322</v>
      </c>
      <c r="D63" s="11" t="s">
        <v>320</v>
      </c>
      <c r="E63" s="12" t="s">
        <v>35</v>
      </c>
      <c r="F63" s="49">
        <f>G63+H63</f>
        <v>273</v>
      </c>
      <c r="G63" s="51">
        <v>145</v>
      </c>
      <c r="H63" s="55">
        <v>128</v>
      </c>
      <c r="I63" s="13">
        <f>SUM(J63:K63)</f>
        <v>527</v>
      </c>
      <c r="J63" s="13">
        <v>286</v>
      </c>
      <c r="K63" s="13">
        <v>241</v>
      </c>
      <c r="L63" s="58">
        <f>SUM(M63:N63)</f>
        <v>80</v>
      </c>
      <c r="M63" s="51">
        <v>43</v>
      </c>
      <c r="N63" s="55">
        <v>37</v>
      </c>
      <c r="O63" s="13">
        <f>SUM(P63:Q63)</f>
        <v>0</v>
      </c>
      <c r="P63" s="13">
        <v>0</v>
      </c>
      <c r="Q63" s="13">
        <v>0</v>
      </c>
      <c r="R63" s="58">
        <f>SUM(S63:T63)</f>
        <v>24</v>
      </c>
      <c r="S63" s="51">
        <v>16</v>
      </c>
      <c r="T63" s="55">
        <v>8</v>
      </c>
      <c r="U63" s="14">
        <f>V63+W63</f>
        <v>904</v>
      </c>
      <c r="V63" s="13">
        <v>490</v>
      </c>
      <c r="W63" s="13">
        <v>414</v>
      </c>
      <c r="X63" s="15">
        <f>SUM(Y63:Z63)</f>
        <v>91</v>
      </c>
      <c r="Y63" s="13">
        <v>15</v>
      </c>
      <c r="Z63" s="13">
        <v>76</v>
      </c>
      <c r="AA63" s="2"/>
    </row>
    <row r="64" spans="1:27" ht="15.75" x14ac:dyDescent="0.25">
      <c r="A64" s="43">
        <v>58</v>
      </c>
      <c r="B64" s="9" t="s">
        <v>191</v>
      </c>
      <c r="C64" s="10" t="s">
        <v>323</v>
      </c>
      <c r="D64" s="11" t="s">
        <v>58</v>
      </c>
      <c r="E64" s="12" t="s">
        <v>35</v>
      </c>
      <c r="F64" s="49">
        <f>G64+H64</f>
        <v>41</v>
      </c>
      <c r="G64" s="51">
        <v>15</v>
      </c>
      <c r="H64" s="55">
        <v>26</v>
      </c>
      <c r="I64" s="13">
        <f>SUM(J64:K64)</f>
        <v>141</v>
      </c>
      <c r="J64" s="13">
        <v>74</v>
      </c>
      <c r="K64" s="13">
        <v>67</v>
      </c>
      <c r="L64" s="58">
        <f>SUM(M64:N64)</f>
        <v>46</v>
      </c>
      <c r="M64" s="51">
        <v>24</v>
      </c>
      <c r="N64" s="55">
        <v>22</v>
      </c>
      <c r="O64" s="13">
        <f>SUM(P64:Q64)</f>
        <v>0</v>
      </c>
      <c r="P64" s="13">
        <v>0</v>
      </c>
      <c r="Q64" s="13">
        <v>0</v>
      </c>
      <c r="R64" s="58">
        <f>SUM(S64:T64)</f>
        <v>0</v>
      </c>
      <c r="S64" s="51">
        <v>0</v>
      </c>
      <c r="T64" s="55">
        <v>0</v>
      </c>
      <c r="U64" s="14">
        <f>V64+W64</f>
        <v>228</v>
      </c>
      <c r="V64" s="13">
        <v>113</v>
      </c>
      <c r="W64" s="13">
        <v>115</v>
      </c>
      <c r="X64" s="15">
        <f>SUM(Y64:Z64)</f>
        <v>31</v>
      </c>
      <c r="Y64" s="13">
        <v>9</v>
      </c>
      <c r="Z64" s="13">
        <v>22</v>
      </c>
      <c r="AA64" s="2"/>
    </row>
    <row r="65" spans="1:27" ht="15.75" x14ac:dyDescent="0.25">
      <c r="A65" s="43">
        <v>59</v>
      </c>
      <c r="B65" s="9" t="s">
        <v>191</v>
      </c>
      <c r="C65" s="10" t="s">
        <v>324</v>
      </c>
      <c r="D65" s="11" t="s">
        <v>60</v>
      </c>
      <c r="E65" s="12" t="s">
        <v>35</v>
      </c>
      <c r="F65" s="49">
        <f>G65+H65</f>
        <v>101</v>
      </c>
      <c r="G65" s="51">
        <v>53</v>
      </c>
      <c r="H65" s="55">
        <v>48</v>
      </c>
      <c r="I65" s="13">
        <f>SUM(J65:K65)</f>
        <v>310</v>
      </c>
      <c r="J65" s="13">
        <v>173</v>
      </c>
      <c r="K65" s="13">
        <v>137</v>
      </c>
      <c r="L65" s="58">
        <f>SUM(M65:N65)</f>
        <v>88</v>
      </c>
      <c r="M65" s="51">
        <v>51</v>
      </c>
      <c r="N65" s="55">
        <v>37</v>
      </c>
      <c r="O65" s="13">
        <f>SUM(P65:Q65)</f>
        <v>0</v>
      </c>
      <c r="P65" s="13">
        <v>0</v>
      </c>
      <c r="Q65" s="13">
        <v>0</v>
      </c>
      <c r="R65" s="58">
        <f>SUM(S65:T65)</f>
        <v>0</v>
      </c>
      <c r="S65" s="51">
        <v>0</v>
      </c>
      <c r="T65" s="55">
        <v>0</v>
      </c>
      <c r="U65" s="14">
        <f>V65+W65</f>
        <v>499</v>
      </c>
      <c r="V65" s="13">
        <v>277</v>
      </c>
      <c r="W65" s="13">
        <v>222</v>
      </c>
      <c r="X65" s="15">
        <f>SUM(Y65:Z65)</f>
        <v>53</v>
      </c>
      <c r="Y65" s="13">
        <v>19</v>
      </c>
      <c r="Z65" s="13">
        <v>34</v>
      </c>
      <c r="AA65" s="2"/>
    </row>
    <row r="66" spans="1:27" ht="15.75" x14ac:dyDescent="0.25">
      <c r="A66" s="43">
        <v>60</v>
      </c>
      <c r="B66" s="9" t="s">
        <v>191</v>
      </c>
      <c r="C66" s="10" t="s">
        <v>325</v>
      </c>
      <c r="D66" s="11" t="s">
        <v>59</v>
      </c>
      <c r="E66" s="12" t="s">
        <v>35</v>
      </c>
      <c r="F66" s="49">
        <f>G66+H66</f>
        <v>19</v>
      </c>
      <c r="G66" s="51">
        <v>6</v>
      </c>
      <c r="H66" s="55">
        <v>13</v>
      </c>
      <c r="I66" s="13">
        <f>SUM(J66:K66)</f>
        <v>53</v>
      </c>
      <c r="J66" s="13">
        <v>25</v>
      </c>
      <c r="K66" s="13">
        <v>28</v>
      </c>
      <c r="L66" s="58">
        <f>SUM(M66:N66)</f>
        <v>18</v>
      </c>
      <c r="M66" s="51">
        <v>7</v>
      </c>
      <c r="N66" s="55">
        <v>11</v>
      </c>
      <c r="O66" s="13">
        <f>SUM(P66:Q66)</f>
        <v>0</v>
      </c>
      <c r="P66" s="13">
        <v>0</v>
      </c>
      <c r="Q66" s="13">
        <v>0</v>
      </c>
      <c r="R66" s="58">
        <f>SUM(S66:T66)</f>
        <v>0</v>
      </c>
      <c r="S66" s="51">
        <v>0</v>
      </c>
      <c r="T66" s="55">
        <v>0</v>
      </c>
      <c r="U66" s="14">
        <f>V66+W66</f>
        <v>90</v>
      </c>
      <c r="V66" s="13">
        <v>38</v>
      </c>
      <c r="W66" s="13">
        <v>52</v>
      </c>
      <c r="X66" s="15">
        <f>SUM(Y66:Z66)</f>
        <v>28</v>
      </c>
      <c r="Y66" s="13">
        <v>8</v>
      </c>
      <c r="Z66" s="13">
        <v>20</v>
      </c>
      <c r="AA66" s="2"/>
    </row>
    <row r="67" spans="1:27" ht="15.75" x14ac:dyDescent="0.25">
      <c r="A67" s="43">
        <v>61</v>
      </c>
      <c r="B67" s="9" t="s">
        <v>191</v>
      </c>
      <c r="C67" s="10" t="s">
        <v>326</v>
      </c>
      <c r="D67" s="11" t="s">
        <v>62</v>
      </c>
      <c r="E67" s="12" t="s">
        <v>35</v>
      </c>
      <c r="F67" s="49">
        <f>G67+H67</f>
        <v>45</v>
      </c>
      <c r="G67" s="51">
        <v>24</v>
      </c>
      <c r="H67" s="55">
        <v>21</v>
      </c>
      <c r="I67" s="13">
        <f>SUM(J67:K67)</f>
        <v>143</v>
      </c>
      <c r="J67" s="13">
        <v>82</v>
      </c>
      <c r="K67" s="13">
        <v>61</v>
      </c>
      <c r="L67" s="58">
        <f>SUM(M67:N67)</f>
        <v>59</v>
      </c>
      <c r="M67" s="51">
        <v>31</v>
      </c>
      <c r="N67" s="55">
        <v>28</v>
      </c>
      <c r="O67" s="13">
        <f>SUM(P67:Q67)</f>
        <v>0</v>
      </c>
      <c r="P67" s="13">
        <v>0</v>
      </c>
      <c r="Q67" s="13">
        <v>0</v>
      </c>
      <c r="R67" s="58">
        <f>SUM(S67:T67)</f>
        <v>7</v>
      </c>
      <c r="S67" s="51">
        <v>3</v>
      </c>
      <c r="T67" s="55">
        <v>4</v>
      </c>
      <c r="U67" s="14">
        <f>V67+W67</f>
        <v>254</v>
      </c>
      <c r="V67" s="13">
        <v>140</v>
      </c>
      <c r="W67" s="13">
        <v>114</v>
      </c>
      <c r="X67" s="15">
        <f>SUM(Y67:Z67)</f>
        <v>32</v>
      </c>
      <c r="Y67" s="13">
        <v>9</v>
      </c>
      <c r="Z67" s="13">
        <v>23</v>
      </c>
      <c r="AA67" s="2"/>
    </row>
    <row r="68" spans="1:27" ht="15.75" x14ac:dyDescent="0.25">
      <c r="A68" s="43">
        <v>62</v>
      </c>
      <c r="B68" s="9" t="s">
        <v>191</v>
      </c>
      <c r="C68" s="10" t="s">
        <v>327</v>
      </c>
      <c r="D68" s="11" t="s">
        <v>328</v>
      </c>
      <c r="E68" s="12" t="s">
        <v>35</v>
      </c>
      <c r="F68" s="49">
        <f>G68+H68</f>
        <v>31</v>
      </c>
      <c r="G68" s="51">
        <v>15</v>
      </c>
      <c r="H68" s="55">
        <v>16</v>
      </c>
      <c r="I68" s="13">
        <f>SUM(J68:K68)</f>
        <v>86</v>
      </c>
      <c r="J68" s="13">
        <v>44</v>
      </c>
      <c r="K68" s="13">
        <v>42</v>
      </c>
      <c r="L68" s="58">
        <f>SUM(M68:N68)</f>
        <v>26</v>
      </c>
      <c r="M68" s="51">
        <v>16</v>
      </c>
      <c r="N68" s="55">
        <v>10</v>
      </c>
      <c r="O68" s="13">
        <f>SUM(P68:Q68)</f>
        <v>0</v>
      </c>
      <c r="P68" s="13">
        <v>0</v>
      </c>
      <c r="Q68" s="13">
        <v>0</v>
      </c>
      <c r="R68" s="58">
        <f>SUM(S68:T68)</f>
        <v>0</v>
      </c>
      <c r="S68" s="51">
        <v>0</v>
      </c>
      <c r="T68" s="55">
        <v>0</v>
      </c>
      <c r="U68" s="14">
        <f>V68+W68</f>
        <v>143</v>
      </c>
      <c r="V68" s="13">
        <v>75</v>
      </c>
      <c r="W68" s="13">
        <v>68</v>
      </c>
      <c r="X68" s="15">
        <f>SUM(Y68:Z68)</f>
        <v>26</v>
      </c>
      <c r="Y68" s="13">
        <v>6</v>
      </c>
      <c r="Z68" s="13">
        <v>20</v>
      </c>
      <c r="AA68" s="2"/>
    </row>
    <row r="69" spans="1:27" ht="15.75" x14ac:dyDescent="0.25">
      <c r="A69" s="43">
        <v>63</v>
      </c>
      <c r="B69" s="9" t="s">
        <v>191</v>
      </c>
      <c r="C69" s="10" t="s">
        <v>329</v>
      </c>
      <c r="D69" s="11" t="s">
        <v>64</v>
      </c>
      <c r="E69" s="12" t="s">
        <v>35</v>
      </c>
      <c r="F69" s="49">
        <f>G69+H69</f>
        <v>25</v>
      </c>
      <c r="G69" s="51">
        <v>10</v>
      </c>
      <c r="H69" s="55">
        <v>15</v>
      </c>
      <c r="I69" s="13">
        <f>SUM(J69:K69)</f>
        <v>79</v>
      </c>
      <c r="J69" s="13">
        <v>44</v>
      </c>
      <c r="K69" s="13">
        <v>35</v>
      </c>
      <c r="L69" s="58">
        <f>SUM(M69:N69)</f>
        <v>19</v>
      </c>
      <c r="M69" s="51">
        <v>12</v>
      </c>
      <c r="N69" s="55">
        <v>7</v>
      </c>
      <c r="O69" s="13">
        <f>SUM(P69:Q69)</f>
        <v>0</v>
      </c>
      <c r="P69" s="13">
        <v>0</v>
      </c>
      <c r="Q69" s="13">
        <v>0</v>
      </c>
      <c r="R69" s="58">
        <f>SUM(S69:T69)</f>
        <v>0</v>
      </c>
      <c r="S69" s="51">
        <v>0</v>
      </c>
      <c r="T69" s="55">
        <v>0</v>
      </c>
      <c r="U69" s="14">
        <f>V69+W69</f>
        <v>123</v>
      </c>
      <c r="V69" s="13">
        <v>66</v>
      </c>
      <c r="W69" s="13">
        <v>57</v>
      </c>
      <c r="X69" s="15">
        <f>SUM(Y69:Z69)</f>
        <v>25</v>
      </c>
      <c r="Y69" s="13">
        <v>6</v>
      </c>
      <c r="Z69" s="13">
        <v>19</v>
      </c>
      <c r="AA69" s="2"/>
    </row>
    <row r="70" spans="1:27" ht="15.75" x14ac:dyDescent="0.25">
      <c r="A70" s="43">
        <v>64</v>
      </c>
      <c r="B70" s="9" t="s">
        <v>191</v>
      </c>
      <c r="C70" s="10" t="s">
        <v>330</v>
      </c>
      <c r="D70" s="11" t="s">
        <v>67</v>
      </c>
      <c r="E70" s="12" t="s">
        <v>35</v>
      </c>
      <c r="F70" s="49">
        <f>G70+H70</f>
        <v>118</v>
      </c>
      <c r="G70" s="51">
        <v>59</v>
      </c>
      <c r="H70" s="55">
        <v>59</v>
      </c>
      <c r="I70" s="13">
        <f>SUM(J70:K70)</f>
        <v>392</v>
      </c>
      <c r="J70" s="13">
        <v>204</v>
      </c>
      <c r="K70" s="13">
        <v>188</v>
      </c>
      <c r="L70" s="58">
        <f>SUM(M70:N70)</f>
        <v>121</v>
      </c>
      <c r="M70" s="51">
        <v>63</v>
      </c>
      <c r="N70" s="55">
        <v>58</v>
      </c>
      <c r="O70" s="13">
        <f>SUM(P70:Q70)</f>
        <v>0</v>
      </c>
      <c r="P70" s="13">
        <v>0</v>
      </c>
      <c r="Q70" s="13">
        <v>0</v>
      </c>
      <c r="R70" s="58">
        <f>SUM(S70:T70)</f>
        <v>0</v>
      </c>
      <c r="S70" s="51">
        <v>0</v>
      </c>
      <c r="T70" s="55">
        <v>0</v>
      </c>
      <c r="U70" s="14">
        <f>V70+W70</f>
        <v>631</v>
      </c>
      <c r="V70" s="13">
        <v>326</v>
      </c>
      <c r="W70" s="13">
        <v>305</v>
      </c>
      <c r="X70" s="15">
        <f>SUM(Y70:Z70)</f>
        <v>65</v>
      </c>
      <c r="Y70" s="13">
        <v>9</v>
      </c>
      <c r="Z70" s="13">
        <v>56</v>
      </c>
      <c r="AA70" s="2"/>
    </row>
    <row r="71" spans="1:27" ht="15.75" x14ac:dyDescent="0.25">
      <c r="A71" s="43">
        <v>65</v>
      </c>
      <c r="B71" s="9" t="s">
        <v>191</v>
      </c>
      <c r="C71" s="10" t="s">
        <v>331</v>
      </c>
      <c r="D71" s="11" t="s">
        <v>61</v>
      </c>
      <c r="E71" s="12" t="s">
        <v>35</v>
      </c>
      <c r="F71" s="49">
        <f>G71+H71</f>
        <v>20</v>
      </c>
      <c r="G71" s="51">
        <v>14</v>
      </c>
      <c r="H71" s="55">
        <v>6</v>
      </c>
      <c r="I71" s="13">
        <f>SUM(J71:K71)</f>
        <v>30</v>
      </c>
      <c r="J71" s="13">
        <v>18</v>
      </c>
      <c r="K71" s="13">
        <v>12</v>
      </c>
      <c r="L71" s="58">
        <f>SUM(M71:N71)</f>
        <v>14</v>
      </c>
      <c r="M71" s="51">
        <v>8</v>
      </c>
      <c r="N71" s="55">
        <v>6</v>
      </c>
      <c r="O71" s="13">
        <f>SUM(P71:Q71)</f>
        <v>0</v>
      </c>
      <c r="P71" s="13">
        <v>0</v>
      </c>
      <c r="Q71" s="13">
        <v>0</v>
      </c>
      <c r="R71" s="58">
        <f>SUM(S71:T71)</f>
        <v>0</v>
      </c>
      <c r="S71" s="51">
        <v>0</v>
      </c>
      <c r="T71" s="55">
        <v>0</v>
      </c>
      <c r="U71" s="14">
        <f>V71+W71</f>
        <v>64</v>
      </c>
      <c r="V71" s="13">
        <v>40</v>
      </c>
      <c r="W71" s="13">
        <v>24</v>
      </c>
      <c r="X71" s="15">
        <f>SUM(Y71:Z71)</f>
        <v>24</v>
      </c>
      <c r="Y71" s="13">
        <v>9</v>
      </c>
      <c r="Z71" s="13">
        <v>15</v>
      </c>
      <c r="AA71" s="2"/>
    </row>
    <row r="72" spans="1:27" ht="15.75" x14ac:dyDescent="0.25">
      <c r="A72" s="43">
        <v>66</v>
      </c>
      <c r="B72" s="9" t="s">
        <v>191</v>
      </c>
      <c r="C72" s="10" t="s">
        <v>332</v>
      </c>
      <c r="D72" s="11" t="s">
        <v>63</v>
      </c>
      <c r="E72" s="12" t="s">
        <v>35</v>
      </c>
      <c r="F72" s="49">
        <f>G72+H72</f>
        <v>86</v>
      </c>
      <c r="G72" s="51">
        <v>40</v>
      </c>
      <c r="H72" s="55">
        <v>46</v>
      </c>
      <c r="I72" s="13">
        <f>SUM(J72:K72)</f>
        <v>219</v>
      </c>
      <c r="J72" s="13">
        <v>107</v>
      </c>
      <c r="K72" s="13">
        <v>112</v>
      </c>
      <c r="L72" s="58">
        <f>SUM(M72:N72)</f>
        <v>68</v>
      </c>
      <c r="M72" s="51">
        <v>31</v>
      </c>
      <c r="N72" s="55">
        <v>37</v>
      </c>
      <c r="O72" s="13">
        <f>SUM(P72:Q72)</f>
        <v>0</v>
      </c>
      <c r="P72" s="13">
        <v>0</v>
      </c>
      <c r="Q72" s="13">
        <v>0</v>
      </c>
      <c r="R72" s="58">
        <f>SUM(S72:T72)</f>
        <v>0</v>
      </c>
      <c r="S72" s="51">
        <v>0</v>
      </c>
      <c r="T72" s="55">
        <v>0</v>
      </c>
      <c r="U72" s="14">
        <f>V72+W72</f>
        <v>373</v>
      </c>
      <c r="V72" s="13">
        <v>178</v>
      </c>
      <c r="W72" s="13">
        <v>195</v>
      </c>
      <c r="X72" s="15">
        <f>SUM(Y72:Z72)</f>
        <v>35</v>
      </c>
      <c r="Y72" s="13">
        <v>5</v>
      </c>
      <c r="Z72" s="13">
        <v>30</v>
      </c>
      <c r="AA72" s="2"/>
    </row>
    <row r="73" spans="1:27" ht="15.75" x14ac:dyDescent="0.25">
      <c r="A73" s="43">
        <v>67</v>
      </c>
      <c r="B73" s="9" t="s">
        <v>191</v>
      </c>
      <c r="C73" s="10" t="s">
        <v>333</v>
      </c>
      <c r="D73" s="11" t="s">
        <v>65</v>
      </c>
      <c r="E73" s="12" t="s">
        <v>35</v>
      </c>
      <c r="F73" s="49">
        <f>G73+H73</f>
        <v>49</v>
      </c>
      <c r="G73" s="51">
        <v>25</v>
      </c>
      <c r="H73" s="55">
        <v>24</v>
      </c>
      <c r="I73" s="13">
        <f>SUM(J73:K73)</f>
        <v>174</v>
      </c>
      <c r="J73" s="13">
        <v>86</v>
      </c>
      <c r="K73" s="13">
        <v>88</v>
      </c>
      <c r="L73" s="58">
        <f>SUM(M73:N73)</f>
        <v>44</v>
      </c>
      <c r="M73" s="51">
        <v>24</v>
      </c>
      <c r="N73" s="55">
        <v>20</v>
      </c>
      <c r="O73" s="13">
        <f>SUM(P73:Q73)</f>
        <v>22</v>
      </c>
      <c r="P73" s="13">
        <v>9</v>
      </c>
      <c r="Q73" s="13">
        <v>13</v>
      </c>
      <c r="R73" s="58">
        <f>SUM(S73:T73)</f>
        <v>0</v>
      </c>
      <c r="S73" s="51">
        <v>0</v>
      </c>
      <c r="T73" s="55">
        <v>0</v>
      </c>
      <c r="U73" s="14">
        <f>V73+W73</f>
        <v>289</v>
      </c>
      <c r="V73" s="13">
        <v>144</v>
      </c>
      <c r="W73" s="13">
        <v>145</v>
      </c>
      <c r="X73" s="15">
        <f>SUM(Y73:Z73)</f>
        <v>33</v>
      </c>
      <c r="Y73" s="13">
        <v>7</v>
      </c>
      <c r="Z73" s="13">
        <v>26</v>
      </c>
      <c r="AA73" s="2"/>
    </row>
    <row r="74" spans="1:27" ht="15.75" x14ac:dyDescent="0.25">
      <c r="A74" s="43">
        <v>68</v>
      </c>
      <c r="B74" s="9" t="s">
        <v>191</v>
      </c>
      <c r="C74" s="10" t="s">
        <v>334</v>
      </c>
      <c r="D74" s="11" t="s">
        <v>66</v>
      </c>
      <c r="E74" s="12" t="s">
        <v>35</v>
      </c>
      <c r="F74" s="49">
        <f>G74+H74</f>
        <v>33</v>
      </c>
      <c r="G74" s="51">
        <v>21</v>
      </c>
      <c r="H74" s="55">
        <v>12</v>
      </c>
      <c r="I74" s="13">
        <f>SUM(J74:K74)</f>
        <v>105</v>
      </c>
      <c r="J74" s="13">
        <v>53</v>
      </c>
      <c r="K74" s="13">
        <v>52</v>
      </c>
      <c r="L74" s="58">
        <f>SUM(M74:N74)</f>
        <v>27</v>
      </c>
      <c r="M74" s="51">
        <v>17</v>
      </c>
      <c r="N74" s="55">
        <v>10</v>
      </c>
      <c r="O74" s="13">
        <f>SUM(P74:Q74)</f>
        <v>0</v>
      </c>
      <c r="P74" s="13">
        <v>0</v>
      </c>
      <c r="Q74" s="13">
        <v>0</v>
      </c>
      <c r="R74" s="58">
        <f>SUM(S74:T74)</f>
        <v>0</v>
      </c>
      <c r="S74" s="51">
        <v>0</v>
      </c>
      <c r="T74" s="55">
        <v>0</v>
      </c>
      <c r="U74" s="14">
        <f>V74+W74</f>
        <v>165</v>
      </c>
      <c r="V74" s="13">
        <v>91</v>
      </c>
      <c r="W74" s="13">
        <v>74</v>
      </c>
      <c r="X74" s="15">
        <f>SUM(Y74:Z74)</f>
        <v>25</v>
      </c>
      <c r="Y74" s="13">
        <v>8</v>
      </c>
      <c r="Z74" s="13">
        <v>17</v>
      </c>
      <c r="AA74" s="2"/>
    </row>
    <row r="75" spans="1:27" ht="15.75" x14ac:dyDescent="0.25">
      <c r="A75" s="43">
        <v>69</v>
      </c>
      <c r="B75" s="9" t="s">
        <v>191</v>
      </c>
      <c r="C75" s="10" t="s">
        <v>335</v>
      </c>
      <c r="D75" s="11" t="s">
        <v>68</v>
      </c>
      <c r="E75" s="12" t="s">
        <v>35</v>
      </c>
      <c r="F75" s="49">
        <f>G75+H75</f>
        <v>71</v>
      </c>
      <c r="G75" s="51">
        <v>40</v>
      </c>
      <c r="H75" s="55">
        <v>31</v>
      </c>
      <c r="I75" s="13">
        <f>SUM(J75:K75)</f>
        <v>177</v>
      </c>
      <c r="J75" s="13">
        <v>84</v>
      </c>
      <c r="K75" s="13">
        <v>93</v>
      </c>
      <c r="L75" s="58">
        <f>SUM(M75:N75)</f>
        <v>58</v>
      </c>
      <c r="M75" s="51">
        <v>30</v>
      </c>
      <c r="N75" s="55">
        <v>28</v>
      </c>
      <c r="O75" s="13">
        <f>SUM(P75:Q75)</f>
        <v>0</v>
      </c>
      <c r="P75" s="13">
        <v>0</v>
      </c>
      <c r="Q75" s="13">
        <v>0</v>
      </c>
      <c r="R75" s="58">
        <f>SUM(S75:T75)</f>
        <v>0</v>
      </c>
      <c r="S75" s="51">
        <v>0</v>
      </c>
      <c r="T75" s="55">
        <v>0</v>
      </c>
      <c r="U75" s="14">
        <f>V75+W75</f>
        <v>306</v>
      </c>
      <c r="V75" s="13">
        <v>154</v>
      </c>
      <c r="W75" s="13">
        <v>152</v>
      </c>
      <c r="X75" s="15">
        <f>SUM(Y75:Z75)</f>
        <v>35</v>
      </c>
      <c r="Y75" s="13">
        <v>9</v>
      </c>
      <c r="Z75" s="13">
        <v>26</v>
      </c>
      <c r="AA75" s="2"/>
    </row>
    <row r="76" spans="1:27" ht="15.75" x14ac:dyDescent="0.25">
      <c r="A76" s="43">
        <v>70</v>
      </c>
      <c r="B76" s="9" t="s">
        <v>191</v>
      </c>
      <c r="C76" s="10" t="s">
        <v>336</v>
      </c>
      <c r="D76" s="11" t="s">
        <v>63</v>
      </c>
      <c r="E76" s="12" t="s">
        <v>37</v>
      </c>
      <c r="F76" s="49">
        <f>G76+H76</f>
        <v>13</v>
      </c>
      <c r="G76" s="51">
        <v>9</v>
      </c>
      <c r="H76" s="55">
        <v>4</v>
      </c>
      <c r="I76" s="13">
        <f>SUM(J76:K76)</f>
        <v>0</v>
      </c>
      <c r="J76" s="13">
        <v>0</v>
      </c>
      <c r="K76" s="13">
        <v>0</v>
      </c>
      <c r="L76" s="58">
        <f>SUM(M76:N76)</f>
        <v>0</v>
      </c>
      <c r="M76" s="51">
        <v>0</v>
      </c>
      <c r="N76" s="55">
        <v>0</v>
      </c>
      <c r="O76" s="13">
        <f>SUM(P76:Q76)</f>
        <v>0</v>
      </c>
      <c r="P76" s="13">
        <v>0</v>
      </c>
      <c r="Q76" s="13">
        <v>0</v>
      </c>
      <c r="R76" s="58">
        <f>SUM(S76:T76)</f>
        <v>0</v>
      </c>
      <c r="S76" s="51">
        <v>0</v>
      </c>
      <c r="T76" s="55">
        <v>0</v>
      </c>
      <c r="U76" s="14">
        <f>V76+W76</f>
        <v>13</v>
      </c>
      <c r="V76" s="13">
        <v>9</v>
      </c>
      <c r="W76" s="13">
        <v>4</v>
      </c>
      <c r="X76" s="15">
        <f>SUM(Y76:Z76)</f>
        <v>0</v>
      </c>
      <c r="Y76" s="13">
        <v>0</v>
      </c>
      <c r="Z76" s="13">
        <v>0</v>
      </c>
      <c r="AA76" s="2"/>
    </row>
    <row r="77" spans="1:27" ht="15.75" x14ac:dyDescent="0.25">
      <c r="A77" s="43">
        <v>71</v>
      </c>
      <c r="B77" s="9" t="s">
        <v>192</v>
      </c>
      <c r="C77" s="10" t="s">
        <v>457</v>
      </c>
      <c r="D77" s="11" t="s">
        <v>76</v>
      </c>
      <c r="E77" s="12" t="s">
        <v>35</v>
      </c>
      <c r="F77" s="49">
        <f>G77+H77</f>
        <v>20</v>
      </c>
      <c r="G77" s="51">
        <v>11</v>
      </c>
      <c r="H77" s="55">
        <v>9</v>
      </c>
      <c r="I77" s="13">
        <f>SUM(J77:K77)</f>
        <v>70</v>
      </c>
      <c r="J77" s="13">
        <v>31</v>
      </c>
      <c r="K77" s="13">
        <v>39</v>
      </c>
      <c r="L77" s="58">
        <f>SUM(M77:N77)</f>
        <v>21</v>
      </c>
      <c r="M77" s="51">
        <v>14</v>
      </c>
      <c r="N77" s="55">
        <v>7</v>
      </c>
      <c r="O77" s="13">
        <f>SUM(P77:Q77)</f>
        <v>0</v>
      </c>
      <c r="P77" s="13">
        <v>0</v>
      </c>
      <c r="Q77" s="13">
        <v>0</v>
      </c>
      <c r="R77" s="58">
        <f>SUM(S77:T77)</f>
        <v>0</v>
      </c>
      <c r="S77" s="51">
        <v>0</v>
      </c>
      <c r="T77" s="55">
        <v>0</v>
      </c>
      <c r="U77" s="14">
        <f>V77+W77</f>
        <v>111</v>
      </c>
      <c r="V77" s="13">
        <v>56</v>
      </c>
      <c r="W77" s="13">
        <v>55</v>
      </c>
      <c r="X77" s="15">
        <f>SUM(Y77:Z77)</f>
        <v>21</v>
      </c>
      <c r="Y77" s="13">
        <v>6</v>
      </c>
      <c r="Z77" s="13">
        <v>15</v>
      </c>
      <c r="AA77" s="2"/>
    </row>
    <row r="78" spans="1:27" ht="15.75" x14ac:dyDescent="0.25">
      <c r="A78" s="43">
        <v>72</v>
      </c>
      <c r="B78" s="9" t="s">
        <v>192</v>
      </c>
      <c r="C78" s="10" t="s">
        <v>458</v>
      </c>
      <c r="D78" s="11" t="s">
        <v>69</v>
      </c>
      <c r="E78" s="12" t="s">
        <v>35</v>
      </c>
      <c r="F78" s="49">
        <f>G78+H78</f>
        <v>36</v>
      </c>
      <c r="G78" s="51">
        <v>18</v>
      </c>
      <c r="H78" s="55">
        <v>18</v>
      </c>
      <c r="I78" s="13">
        <f>SUM(J78:K78)</f>
        <v>142</v>
      </c>
      <c r="J78" s="13">
        <v>79</v>
      </c>
      <c r="K78" s="13">
        <v>63</v>
      </c>
      <c r="L78" s="58">
        <f>SUM(M78:N78)</f>
        <v>43</v>
      </c>
      <c r="M78" s="51">
        <v>21</v>
      </c>
      <c r="N78" s="55">
        <v>22</v>
      </c>
      <c r="O78" s="13">
        <f>SUM(P78:Q78)</f>
        <v>17</v>
      </c>
      <c r="P78" s="13">
        <v>9</v>
      </c>
      <c r="Q78" s="13">
        <v>8</v>
      </c>
      <c r="R78" s="58">
        <f>SUM(S78:T78)</f>
        <v>0</v>
      </c>
      <c r="S78" s="51">
        <v>0</v>
      </c>
      <c r="T78" s="55">
        <v>0</v>
      </c>
      <c r="U78" s="14">
        <f>V78+W78</f>
        <v>238</v>
      </c>
      <c r="V78" s="13">
        <v>127</v>
      </c>
      <c r="W78" s="13">
        <v>111</v>
      </c>
      <c r="X78" s="15">
        <f>SUM(Y78:Z78)</f>
        <v>40</v>
      </c>
      <c r="Y78" s="13">
        <v>14</v>
      </c>
      <c r="Z78" s="13">
        <v>26</v>
      </c>
      <c r="AA78" s="2"/>
    </row>
    <row r="79" spans="1:27" ht="15.75" x14ac:dyDescent="0.25">
      <c r="A79" s="43">
        <v>73</v>
      </c>
      <c r="B79" s="9" t="s">
        <v>192</v>
      </c>
      <c r="C79" s="10" t="s">
        <v>459</v>
      </c>
      <c r="D79" s="11" t="s">
        <v>460</v>
      </c>
      <c r="E79" s="12" t="s">
        <v>35</v>
      </c>
      <c r="F79" s="49">
        <f>G79+H79</f>
        <v>73</v>
      </c>
      <c r="G79" s="51">
        <v>41</v>
      </c>
      <c r="H79" s="55">
        <v>32</v>
      </c>
      <c r="I79" s="13">
        <f>SUM(J79:K79)</f>
        <v>198</v>
      </c>
      <c r="J79" s="13">
        <v>94</v>
      </c>
      <c r="K79" s="13">
        <v>104</v>
      </c>
      <c r="L79" s="58">
        <f>SUM(M79:N79)</f>
        <v>71</v>
      </c>
      <c r="M79" s="51">
        <v>31</v>
      </c>
      <c r="N79" s="55">
        <v>40</v>
      </c>
      <c r="O79" s="13">
        <f>SUM(P79:Q79)</f>
        <v>0</v>
      </c>
      <c r="P79" s="13">
        <v>0</v>
      </c>
      <c r="Q79" s="13">
        <v>0</v>
      </c>
      <c r="R79" s="58">
        <f>SUM(S79:T79)</f>
        <v>0</v>
      </c>
      <c r="S79" s="51">
        <v>0</v>
      </c>
      <c r="T79" s="55">
        <v>0</v>
      </c>
      <c r="U79" s="14">
        <f>V79+W79</f>
        <v>342</v>
      </c>
      <c r="V79" s="13">
        <v>166</v>
      </c>
      <c r="W79" s="13">
        <v>176</v>
      </c>
      <c r="X79" s="15">
        <f>SUM(Y79:Z79)</f>
        <v>44</v>
      </c>
      <c r="Y79" s="13">
        <v>5</v>
      </c>
      <c r="Z79" s="13">
        <v>39</v>
      </c>
      <c r="AA79" s="2"/>
    </row>
    <row r="80" spans="1:27" ht="15.75" x14ac:dyDescent="0.25">
      <c r="A80" s="43">
        <v>74</v>
      </c>
      <c r="B80" s="9" t="s">
        <v>192</v>
      </c>
      <c r="C80" s="10" t="s">
        <v>461</v>
      </c>
      <c r="D80" s="11" t="s">
        <v>462</v>
      </c>
      <c r="E80" s="12" t="s">
        <v>35</v>
      </c>
      <c r="F80" s="49">
        <f>G80+H80</f>
        <v>39</v>
      </c>
      <c r="G80" s="51">
        <v>19</v>
      </c>
      <c r="H80" s="55">
        <v>20</v>
      </c>
      <c r="I80" s="13">
        <f>SUM(J80:K80)</f>
        <v>101</v>
      </c>
      <c r="J80" s="13">
        <v>46</v>
      </c>
      <c r="K80" s="13">
        <v>55</v>
      </c>
      <c r="L80" s="58">
        <f>SUM(M80:N80)</f>
        <v>35</v>
      </c>
      <c r="M80" s="51">
        <v>11</v>
      </c>
      <c r="N80" s="55">
        <v>24</v>
      </c>
      <c r="O80" s="13">
        <f>SUM(P80:Q80)</f>
        <v>0</v>
      </c>
      <c r="P80" s="13">
        <v>0</v>
      </c>
      <c r="Q80" s="13">
        <v>0</v>
      </c>
      <c r="R80" s="58">
        <f>SUM(S80:T80)</f>
        <v>0</v>
      </c>
      <c r="S80" s="51">
        <v>0</v>
      </c>
      <c r="T80" s="55">
        <v>0</v>
      </c>
      <c r="U80" s="14">
        <f>V80+W80</f>
        <v>175</v>
      </c>
      <c r="V80" s="13">
        <v>76</v>
      </c>
      <c r="W80" s="13">
        <v>99</v>
      </c>
      <c r="X80" s="15">
        <f>SUM(Y80:Z80)</f>
        <v>28</v>
      </c>
      <c r="Y80" s="13">
        <v>9</v>
      </c>
      <c r="Z80" s="13">
        <v>19</v>
      </c>
      <c r="AA80" s="2"/>
    </row>
    <row r="81" spans="1:27" ht="15.75" x14ac:dyDescent="0.25">
      <c r="A81" s="43">
        <v>75</v>
      </c>
      <c r="B81" s="9" t="s">
        <v>192</v>
      </c>
      <c r="C81" s="10" t="s">
        <v>463</v>
      </c>
      <c r="D81" s="11" t="s">
        <v>72</v>
      </c>
      <c r="E81" s="12" t="s">
        <v>35</v>
      </c>
      <c r="F81" s="49">
        <f>G81+H81</f>
        <v>82</v>
      </c>
      <c r="G81" s="51">
        <v>40</v>
      </c>
      <c r="H81" s="55">
        <v>42</v>
      </c>
      <c r="I81" s="13">
        <f>SUM(J81:K81)</f>
        <v>264</v>
      </c>
      <c r="J81" s="13">
        <v>127</v>
      </c>
      <c r="K81" s="13">
        <v>137</v>
      </c>
      <c r="L81" s="58">
        <f>SUM(M81:N81)</f>
        <v>100</v>
      </c>
      <c r="M81" s="51">
        <v>52</v>
      </c>
      <c r="N81" s="55">
        <v>48</v>
      </c>
      <c r="O81" s="13">
        <f>SUM(P81:Q81)</f>
        <v>28</v>
      </c>
      <c r="P81" s="13">
        <v>11</v>
      </c>
      <c r="Q81" s="13">
        <v>17</v>
      </c>
      <c r="R81" s="58">
        <f>SUM(S81:T81)</f>
        <v>0</v>
      </c>
      <c r="S81" s="51">
        <v>0</v>
      </c>
      <c r="T81" s="55">
        <v>0</v>
      </c>
      <c r="U81" s="14">
        <f>V81+W81</f>
        <v>474</v>
      </c>
      <c r="V81" s="13">
        <v>230</v>
      </c>
      <c r="W81" s="13">
        <v>244</v>
      </c>
      <c r="X81" s="15">
        <f>SUM(Y81:Z81)</f>
        <v>53</v>
      </c>
      <c r="Y81" s="13">
        <v>7</v>
      </c>
      <c r="Z81" s="13">
        <v>46</v>
      </c>
      <c r="AA81" s="2"/>
    </row>
    <row r="82" spans="1:27" ht="15.75" x14ac:dyDescent="0.25">
      <c r="A82" s="43">
        <v>76</v>
      </c>
      <c r="B82" s="9" t="s">
        <v>192</v>
      </c>
      <c r="C82" s="10" t="s">
        <v>464</v>
      </c>
      <c r="D82" s="11" t="s">
        <v>77</v>
      </c>
      <c r="E82" s="12" t="s">
        <v>35</v>
      </c>
      <c r="F82" s="49">
        <f>G82+H82</f>
        <v>103</v>
      </c>
      <c r="G82" s="51">
        <v>50</v>
      </c>
      <c r="H82" s="55">
        <v>53</v>
      </c>
      <c r="I82" s="13">
        <f>SUM(J82:K82)</f>
        <v>368</v>
      </c>
      <c r="J82" s="13">
        <v>208</v>
      </c>
      <c r="K82" s="13">
        <v>160</v>
      </c>
      <c r="L82" s="58">
        <f>SUM(M82:N82)</f>
        <v>106</v>
      </c>
      <c r="M82" s="51">
        <v>58</v>
      </c>
      <c r="N82" s="55">
        <v>48</v>
      </c>
      <c r="O82" s="13">
        <f>SUM(P82:Q82)</f>
        <v>24</v>
      </c>
      <c r="P82" s="13">
        <v>13</v>
      </c>
      <c r="Q82" s="13">
        <v>11</v>
      </c>
      <c r="R82" s="58">
        <f>SUM(S82:T82)</f>
        <v>0</v>
      </c>
      <c r="S82" s="51">
        <v>0</v>
      </c>
      <c r="T82" s="55">
        <v>0</v>
      </c>
      <c r="U82" s="14">
        <f>V82+W82</f>
        <v>601</v>
      </c>
      <c r="V82" s="13">
        <v>329</v>
      </c>
      <c r="W82" s="13">
        <v>272</v>
      </c>
      <c r="X82" s="15">
        <f>SUM(Y82:Z82)</f>
        <v>76</v>
      </c>
      <c r="Y82" s="13">
        <v>15</v>
      </c>
      <c r="Z82" s="13">
        <v>61</v>
      </c>
      <c r="AA82" s="2"/>
    </row>
    <row r="83" spans="1:27" ht="15.75" x14ac:dyDescent="0.25">
      <c r="A83" s="43">
        <v>77</v>
      </c>
      <c r="B83" s="9" t="s">
        <v>192</v>
      </c>
      <c r="C83" s="10" t="s">
        <v>465</v>
      </c>
      <c r="D83" s="11" t="s">
        <v>466</v>
      </c>
      <c r="E83" s="12" t="s">
        <v>35</v>
      </c>
      <c r="F83" s="49">
        <f>G83+H83</f>
        <v>34</v>
      </c>
      <c r="G83" s="51">
        <v>13</v>
      </c>
      <c r="H83" s="55">
        <v>21</v>
      </c>
      <c r="I83" s="13">
        <f>SUM(J83:K83)</f>
        <v>86</v>
      </c>
      <c r="J83" s="13">
        <v>54</v>
      </c>
      <c r="K83" s="13">
        <v>32</v>
      </c>
      <c r="L83" s="58">
        <f>SUM(M83:N83)</f>
        <v>18</v>
      </c>
      <c r="M83" s="51">
        <v>8</v>
      </c>
      <c r="N83" s="55">
        <v>10</v>
      </c>
      <c r="O83" s="13">
        <f>SUM(P83:Q83)</f>
        <v>0</v>
      </c>
      <c r="P83" s="13">
        <v>0</v>
      </c>
      <c r="Q83" s="13">
        <v>0</v>
      </c>
      <c r="R83" s="58">
        <f>SUM(S83:T83)</f>
        <v>0</v>
      </c>
      <c r="S83" s="51">
        <v>0</v>
      </c>
      <c r="T83" s="55">
        <v>0</v>
      </c>
      <c r="U83" s="14">
        <f>V83+W83</f>
        <v>138</v>
      </c>
      <c r="V83" s="13">
        <v>75</v>
      </c>
      <c r="W83" s="13">
        <v>63</v>
      </c>
      <c r="X83" s="15">
        <f>SUM(Y83:Z83)</f>
        <v>20</v>
      </c>
      <c r="Y83" s="13">
        <v>6</v>
      </c>
      <c r="Z83" s="13">
        <v>14</v>
      </c>
      <c r="AA83" s="2"/>
    </row>
    <row r="84" spans="1:27" ht="15.75" x14ac:dyDescent="0.25">
      <c r="A84" s="43">
        <v>78</v>
      </c>
      <c r="B84" s="9" t="s">
        <v>192</v>
      </c>
      <c r="C84" s="10" t="s">
        <v>467</v>
      </c>
      <c r="D84" s="11" t="s">
        <v>71</v>
      </c>
      <c r="E84" s="12" t="s">
        <v>35</v>
      </c>
      <c r="F84" s="49">
        <f>G84+H84</f>
        <v>42</v>
      </c>
      <c r="G84" s="51">
        <v>17</v>
      </c>
      <c r="H84" s="55">
        <v>25</v>
      </c>
      <c r="I84" s="13">
        <f>SUM(J84:K84)</f>
        <v>129</v>
      </c>
      <c r="J84" s="13">
        <v>66</v>
      </c>
      <c r="K84" s="13">
        <v>63</v>
      </c>
      <c r="L84" s="58">
        <f>SUM(M84:N84)</f>
        <v>46</v>
      </c>
      <c r="M84" s="51">
        <v>22</v>
      </c>
      <c r="N84" s="55">
        <v>24</v>
      </c>
      <c r="O84" s="13">
        <f>SUM(P84:Q84)</f>
        <v>0</v>
      </c>
      <c r="P84" s="13">
        <v>0</v>
      </c>
      <c r="Q84" s="13">
        <v>0</v>
      </c>
      <c r="R84" s="58">
        <f>SUM(S84:T84)</f>
        <v>0</v>
      </c>
      <c r="S84" s="51">
        <v>0</v>
      </c>
      <c r="T84" s="55">
        <v>0</v>
      </c>
      <c r="U84" s="14">
        <f>V84+W84</f>
        <v>217</v>
      </c>
      <c r="V84" s="13">
        <v>105</v>
      </c>
      <c r="W84" s="13">
        <v>112</v>
      </c>
      <c r="X84" s="15">
        <f>SUM(Y84:Z84)</f>
        <v>28</v>
      </c>
      <c r="Y84" s="13">
        <v>11</v>
      </c>
      <c r="Z84" s="13">
        <v>17</v>
      </c>
      <c r="AA84" s="2"/>
    </row>
    <row r="85" spans="1:27" ht="15.75" x14ac:dyDescent="0.25">
      <c r="A85" s="43">
        <v>79</v>
      </c>
      <c r="B85" s="9" t="s">
        <v>192</v>
      </c>
      <c r="C85" s="10" t="s">
        <v>468</v>
      </c>
      <c r="D85" s="11" t="s">
        <v>73</v>
      </c>
      <c r="E85" s="12" t="s">
        <v>35</v>
      </c>
      <c r="F85" s="49">
        <f>G85+H85</f>
        <v>21</v>
      </c>
      <c r="G85" s="51">
        <v>10</v>
      </c>
      <c r="H85" s="55">
        <v>11</v>
      </c>
      <c r="I85" s="13">
        <f>SUM(J85:K85)</f>
        <v>80</v>
      </c>
      <c r="J85" s="13">
        <v>46</v>
      </c>
      <c r="K85" s="13">
        <v>34</v>
      </c>
      <c r="L85" s="58">
        <f>SUM(M85:N85)</f>
        <v>26</v>
      </c>
      <c r="M85" s="51">
        <v>15</v>
      </c>
      <c r="N85" s="55">
        <v>11</v>
      </c>
      <c r="O85" s="13">
        <f>SUM(P85:Q85)</f>
        <v>0</v>
      </c>
      <c r="P85" s="13">
        <v>0</v>
      </c>
      <c r="Q85" s="13">
        <v>0</v>
      </c>
      <c r="R85" s="58">
        <f>SUM(S85:T85)</f>
        <v>0</v>
      </c>
      <c r="S85" s="51">
        <v>0</v>
      </c>
      <c r="T85" s="55">
        <v>0</v>
      </c>
      <c r="U85" s="14">
        <f>V85+W85</f>
        <v>127</v>
      </c>
      <c r="V85" s="13">
        <v>71</v>
      </c>
      <c r="W85" s="13">
        <v>56</v>
      </c>
      <c r="X85" s="15">
        <f>SUM(Y85:Z85)</f>
        <v>24</v>
      </c>
      <c r="Y85" s="13">
        <v>7</v>
      </c>
      <c r="Z85" s="13">
        <v>17</v>
      </c>
      <c r="AA85" s="2"/>
    </row>
    <row r="86" spans="1:27" ht="15.75" x14ac:dyDescent="0.25">
      <c r="A86" s="43">
        <v>80</v>
      </c>
      <c r="B86" s="9" t="s">
        <v>192</v>
      </c>
      <c r="C86" s="10" t="s">
        <v>469</v>
      </c>
      <c r="D86" s="11" t="s">
        <v>74</v>
      </c>
      <c r="E86" s="12" t="s">
        <v>35</v>
      </c>
      <c r="F86" s="49">
        <f>G86+H86</f>
        <v>37</v>
      </c>
      <c r="G86" s="51">
        <v>19</v>
      </c>
      <c r="H86" s="55">
        <v>18</v>
      </c>
      <c r="I86" s="13">
        <f>SUM(J86:K86)</f>
        <v>95</v>
      </c>
      <c r="J86" s="13">
        <v>55</v>
      </c>
      <c r="K86" s="13">
        <v>40</v>
      </c>
      <c r="L86" s="58">
        <f>SUM(M86:N86)</f>
        <v>37</v>
      </c>
      <c r="M86" s="51">
        <v>16</v>
      </c>
      <c r="N86" s="55">
        <v>21</v>
      </c>
      <c r="O86" s="13">
        <f>SUM(P86:Q86)</f>
        <v>0</v>
      </c>
      <c r="P86" s="13">
        <v>0</v>
      </c>
      <c r="Q86" s="13">
        <v>0</v>
      </c>
      <c r="R86" s="58">
        <f>SUM(S86:T86)</f>
        <v>0</v>
      </c>
      <c r="S86" s="51">
        <v>0</v>
      </c>
      <c r="T86" s="55">
        <v>0</v>
      </c>
      <c r="U86" s="14">
        <f>V86+W86</f>
        <v>169</v>
      </c>
      <c r="V86" s="13">
        <v>90</v>
      </c>
      <c r="W86" s="13">
        <v>79</v>
      </c>
      <c r="X86" s="15">
        <f>SUM(Y86:Z86)</f>
        <v>28</v>
      </c>
      <c r="Y86" s="13">
        <v>7</v>
      </c>
      <c r="Z86" s="13">
        <v>21</v>
      </c>
      <c r="AA86" s="2"/>
    </row>
    <row r="87" spans="1:27" ht="15.75" x14ac:dyDescent="0.25">
      <c r="A87" s="43">
        <v>81</v>
      </c>
      <c r="B87" s="9" t="s">
        <v>192</v>
      </c>
      <c r="C87" s="10" t="s">
        <v>470</v>
      </c>
      <c r="D87" s="11" t="s">
        <v>75</v>
      </c>
      <c r="E87" s="12" t="s">
        <v>35</v>
      </c>
      <c r="F87" s="49">
        <f>G87+H87</f>
        <v>27</v>
      </c>
      <c r="G87" s="51">
        <v>13</v>
      </c>
      <c r="H87" s="55">
        <v>14</v>
      </c>
      <c r="I87" s="13">
        <f>SUM(J87:K87)</f>
        <v>84</v>
      </c>
      <c r="J87" s="13">
        <v>54</v>
      </c>
      <c r="K87" s="13">
        <v>30</v>
      </c>
      <c r="L87" s="58">
        <f>SUM(M87:N87)</f>
        <v>34</v>
      </c>
      <c r="M87" s="51">
        <v>19</v>
      </c>
      <c r="N87" s="55">
        <v>15</v>
      </c>
      <c r="O87" s="13">
        <f>SUM(P87:Q87)</f>
        <v>0</v>
      </c>
      <c r="P87" s="13">
        <v>0</v>
      </c>
      <c r="Q87" s="13">
        <v>0</v>
      </c>
      <c r="R87" s="58">
        <f>SUM(S87:T87)</f>
        <v>0</v>
      </c>
      <c r="S87" s="51">
        <v>0</v>
      </c>
      <c r="T87" s="55">
        <v>0</v>
      </c>
      <c r="U87" s="14">
        <f>V87+W87</f>
        <v>145</v>
      </c>
      <c r="V87" s="13">
        <v>86</v>
      </c>
      <c r="W87" s="13">
        <v>59</v>
      </c>
      <c r="X87" s="15">
        <f>SUM(Y87:Z87)</f>
        <v>32</v>
      </c>
      <c r="Y87" s="13">
        <v>6</v>
      </c>
      <c r="Z87" s="13">
        <v>26</v>
      </c>
      <c r="AA87" s="2"/>
    </row>
    <row r="88" spans="1:27" ht="15.75" x14ac:dyDescent="0.25">
      <c r="A88" s="43">
        <v>82</v>
      </c>
      <c r="B88" s="9" t="s">
        <v>192</v>
      </c>
      <c r="C88" s="10" t="s">
        <v>471</v>
      </c>
      <c r="D88" s="11" t="s">
        <v>472</v>
      </c>
      <c r="E88" s="12" t="s">
        <v>35</v>
      </c>
      <c r="F88" s="49">
        <f>G88+H88</f>
        <v>16</v>
      </c>
      <c r="G88" s="51">
        <v>9</v>
      </c>
      <c r="H88" s="55">
        <v>7</v>
      </c>
      <c r="I88" s="13">
        <f>SUM(J88:K88)</f>
        <v>52</v>
      </c>
      <c r="J88" s="13">
        <v>32</v>
      </c>
      <c r="K88" s="13">
        <v>20</v>
      </c>
      <c r="L88" s="58">
        <f>SUM(M88:N88)</f>
        <v>15</v>
      </c>
      <c r="M88" s="51">
        <v>3</v>
      </c>
      <c r="N88" s="55">
        <v>12</v>
      </c>
      <c r="O88" s="13">
        <f>SUM(P88:Q88)</f>
        <v>0</v>
      </c>
      <c r="P88" s="13">
        <v>0</v>
      </c>
      <c r="Q88" s="13">
        <v>0</v>
      </c>
      <c r="R88" s="58">
        <f>SUM(S88:T88)</f>
        <v>0</v>
      </c>
      <c r="S88" s="51">
        <v>0</v>
      </c>
      <c r="T88" s="55">
        <v>0</v>
      </c>
      <c r="U88" s="14">
        <f>V88+W88</f>
        <v>83</v>
      </c>
      <c r="V88" s="13">
        <v>44</v>
      </c>
      <c r="W88" s="13">
        <v>39</v>
      </c>
      <c r="X88" s="15">
        <f>SUM(Y88:Z88)</f>
        <v>25</v>
      </c>
      <c r="Y88" s="13">
        <v>8</v>
      </c>
      <c r="Z88" s="13">
        <v>17</v>
      </c>
      <c r="AA88" s="2"/>
    </row>
    <row r="89" spans="1:27" ht="15.75" x14ac:dyDescent="0.25">
      <c r="A89" s="43">
        <v>83</v>
      </c>
      <c r="B89" s="9" t="s">
        <v>192</v>
      </c>
      <c r="C89" s="10" t="s">
        <v>473</v>
      </c>
      <c r="D89" s="11" t="s">
        <v>70</v>
      </c>
      <c r="E89" s="12" t="s">
        <v>35</v>
      </c>
      <c r="F89" s="49">
        <f>G89+H89</f>
        <v>107</v>
      </c>
      <c r="G89" s="51">
        <v>58</v>
      </c>
      <c r="H89" s="55">
        <v>49</v>
      </c>
      <c r="I89" s="13">
        <f>SUM(J89:K89)</f>
        <v>355</v>
      </c>
      <c r="J89" s="13">
        <v>180</v>
      </c>
      <c r="K89" s="13">
        <v>175</v>
      </c>
      <c r="L89" s="58">
        <f>SUM(M89:N89)</f>
        <v>140</v>
      </c>
      <c r="M89" s="51">
        <v>60</v>
      </c>
      <c r="N89" s="55">
        <v>80</v>
      </c>
      <c r="O89" s="13">
        <f>SUM(P89:Q89)</f>
        <v>34</v>
      </c>
      <c r="P89" s="13">
        <v>15</v>
      </c>
      <c r="Q89" s="13">
        <v>19</v>
      </c>
      <c r="R89" s="58">
        <f>SUM(S89:T89)</f>
        <v>3</v>
      </c>
      <c r="S89" s="51">
        <v>2</v>
      </c>
      <c r="T89" s="55">
        <v>1</v>
      </c>
      <c r="U89" s="14">
        <f>V89+W89</f>
        <v>639</v>
      </c>
      <c r="V89" s="13">
        <v>315</v>
      </c>
      <c r="W89" s="13">
        <v>324</v>
      </c>
      <c r="X89" s="15">
        <f>SUM(Y89:Z89)</f>
        <v>60</v>
      </c>
      <c r="Y89" s="13">
        <v>15</v>
      </c>
      <c r="Z89" s="13">
        <v>45</v>
      </c>
      <c r="AA89" s="2"/>
    </row>
    <row r="90" spans="1:27" ht="15.75" x14ac:dyDescent="0.25">
      <c r="A90" s="43">
        <v>84</v>
      </c>
      <c r="B90" s="9" t="s">
        <v>192</v>
      </c>
      <c r="C90" s="10" t="s">
        <v>474</v>
      </c>
      <c r="D90" s="11" t="s">
        <v>475</v>
      </c>
      <c r="E90" s="12" t="s">
        <v>35</v>
      </c>
      <c r="F90" s="49">
        <f>G90+H90</f>
        <v>51</v>
      </c>
      <c r="G90" s="51">
        <v>30</v>
      </c>
      <c r="H90" s="55">
        <v>21</v>
      </c>
      <c r="I90" s="13">
        <f>SUM(J90:K90)</f>
        <v>150</v>
      </c>
      <c r="J90" s="13">
        <v>73</v>
      </c>
      <c r="K90" s="13">
        <v>77</v>
      </c>
      <c r="L90" s="58">
        <f>SUM(M90:N90)</f>
        <v>53</v>
      </c>
      <c r="M90" s="51">
        <v>23</v>
      </c>
      <c r="N90" s="55">
        <v>30</v>
      </c>
      <c r="O90" s="13">
        <f>SUM(P90:Q90)</f>
        <v>0</v>
      </c>
      <c r="P90" s="13">
        <v>0</v>
      </c>
      <c r="Q90" s="13">
        <v>0</v>
      </c>
      <c r="R90" s="58">
        <f>SUM(S90:T90)</f>
        <v>0</v>
      </c>
      <c r="S90" s="51">
        <v>0</v>
      </c>
      <c r="T90" s="55">
        <v>0</v>
      </c>
      <c r="U90" s="14">
        <f>V90+W90</f>
        <v>254</v>
      </c>
      <c r="V90" s="13">
        <v>126</v>
      </c>
      <c r="W90" s="13">
        <v>128</v>
      </c>
      <c r="X90" s="15">
        <f>SUM(Y90:Z90)</f>
        <v>30</v>
      </c>
      <c r="Y90" s="13">
        <v>7</v>
      </c>
      <c r="Z90" s="13">
        <v>23</v>
      </c>
      <c r="AA90" s="2"/>
    </row>
    <row r="91" spans="1:27" ht="15.75" x14ac:dyDescent="0.25">
      <c r="A91" s="43">
        <v>85</v>
      </c>
      <c r="B91" s="9" t="s">
        <v>192</v>
      </c>
      <c r="C91" s="10" t="s">
        <v>476</v>
      </c>
      <c r="D91" s="11" t="s">
        <v>76</v>
      </c>
      <c r="E91" s="12" t="s">
        <v>39</v>
      </c>
      <c r="F91" s="49">
        <f>G91+H91</f>
        <v>1</v>
      </c>
      <c r="G91" s="51">
        <v>1</v>
      </c>
      <c r="H91" s="55">
        <v>0</v>
      </c>
      <c r="I91" s="13">
        <f>SUM(J91:K91)</f>
        <v>0</v>
      </c>
      <c r="J91" s="13">
        <v>0</v>
      </c>
      <c r="K91" s="13">
        <v>0</v>
      </c>
      <c r="L91" s="58">
        <f>SUM(M91:N91)</f>
        <v>0</v>
      </c>
      <c r="M91" s="51">
        <v>0</v>
      </c>
      <c r="N91" s="55">
        <v>0</v>
      </c>
      <c r="O91" s="13">
        <f>SUM(P91:Q91)</f>
        <v>0</v>
      </c>
      <c r="P91" s="13">
        <v>0</v>
      </c>
      <c r="Q91" s="13">
        <v>0</v>
      </c>
      <c r="R91" s="58">
        <f>SUM(S91:T91)</f>
        <v>0</v>
      </c>
      <c r="S91" s="51">
        <v>0</v>
      </c>
      <c r="T91" s="55">
        <v>0</v>
      </c>
      <c r="U91" s="14">
        <f>V91+W91</f>
        <v>1</v>
      </c>
      <c r="V91" s="13">
        <v>1</v>
      </c>
      <c r="W91" s="13">
        <v>0</v>
      </c>
      <c r="X91" s="15">
        <f>SUM(Y91:Z91)</f>
        <v>0</v>
      </c>
      <c r="Y91" s="13">
        <v>0</v>
      </c>
      <c r="Z91" s="13">
        <v>0</v>
      </c>
      <c r="AA91" s="2"/>
    </row>
    <row r="92" spans="1:27" ht="15.75" x14ac:dyDescent="0.25">
      <c r="A92" s="43">
        <v>86</v>
      </c>
      <c r="B92" s="9" t="s">
        <v>3</v>
      </c>
      <c r="C92" s="10" t="s">
        <v>416</v>
      </c>
      <c r="D92" s="11" t="s">
        <v>80</v>
      </c>
      <c r="E92" s="12" t="s">
        <v>35</v>
      </c>
      <c r="F92" s="49">
        <f>G92+H92</f>
        <v>63</v>
      </c>
      <c r="G92" s="51">
        <v>35</v>
      </c>
      <c r="H92" s="55">
        <v>28</v>
      </c>
      <c r="I92" s="13">
        <f>SUM(J92:K92)</f>
        <v>248</v>
      </c>
      <c r="J92" s="13">
        <v>128</v>
      </c>
      <c r="K92" s="13">
        <v>120</v>
      </c>
      <c r="L92" s="58">
        <f>SUM(M92:N92)</f>
        <v>79</v>
      </c>
      <c r="M92" s="51">
        <v>39</v>
      </c>
      <c r="N92" s="55">
        <v>40</v>
      </c>
      <c r="O92" s="13">
        <f>SUM(P92:Q92)</f>
        <v>0</v>
      </c>
      <c r="P92" s="13">
        <v>0</v>
      </c>
      <c r="Q92" s="13">
        <v>0</v>
      </c>
      <c r="R92" s="58">
        <f>SUM(S92:T92)</f>
        <v>0</v>
      </c>
      <c r="S92" s="51">
        <v>0</v>
      </c>
      <c r="T92" s="55">
        <v>0</v>
      </c>
      <c r="U92" s="14">
        <f>V92+W92</f>
        <v>390</v>
      </c>
      <c r="V92" s="13">
        <v>202</v>
      </c>
      <c r="W92" s="13">
        <v>188</v>
      </c>
      <c r="X92" s="15">
        <f>SUM(Y92:Z92)</f>
        <v>46</v>
      </c>
      <c r="Y92" s="13">
        <v>12</v>
      </c>
      <c r="Z92" s="13">
        <v>34</v>
      </c>
      <c r="AA92" s="2"/>
    </row>
    <row r="93" spans="1:27" ht="15.75" x14ac:dyDescent="0.25">
      <c r="A93" s="43">
        <v>87</v>
      </c>
      <c r="B93" s="9" t="s">
        <v>3</v>
      </c>
      <c r="C93" s="10" t="s">
        <v>417</v>
      </c>
      <c r="D93" s="11" t="s">
        <v>79</v>
      </c>
      <c r="E93" s="12" t="s">
        <v>35</v>
      </c>
      <c r="F93" s="49">
        <f>G93+H93</f>
        <v>65</v>
      </c>
      <c r="G93" s="51">
        <v>33</v>
      </c>
      <c r="H93" s="55">
        <v>32</v>
      </c>
      <c r="I93" s="13">
        <f>SUM(J93:K93)</f>
        <v>254</v>
      </c>
      <c r="J93" s="13">
        <v>139</v>
      </c>
      <c r="K93" s="13">
        <v>115</v>
      </c>
      <c r="L93" s="58">
        <f>SUM(M93:N93)</f>
        <v>57</v>
      </c>
      <c r="M93" s="51">
        <v>30</v>
      </c>
      <c r="N93" s="55">
        <v>27</v>
      </c>
      <c r="O93" s="13">
        <f>SUM(P93:Q93)</f>
        <v>0</v>
      </c>
      <c r="P93" s="13">
        <v>0</v>
      </c>
      <c r="Q93" s="13">
        <v>0</v>
      </c>
      <c r="R93" s="58">
        <f>SUM(S93:T93)</f>
        <v>0</v>
      </c>
      <c r="S93" s="51">
        <v>0</v>
      </c>
      <c r="T93" s="55">
        <v>0</v>
      </c>
      <c r="U93" s="14">
        <f>V93+W93</f>
        <v>376</v>
      </c>
      <c r="V93" s="13">
        <v>202</v>
      </c>
      <c r="W93" s="13">
        <v>174</v>
      </c>
      <c r="X93" s="15">
        <f>SUM(Y93:Z93)</f>
        <v>38</v>
      </c>
      <c r="Y93" s="13">
        <v>7</v>
      </c>
      <c r="Z93" s="13">
        <v>31</v>
      </c>
      <c r="AA93" s="2"/>
    </row>
    <row r="94" spans="1:27" ht="15.75" x14ac:dyDescent="0.25">
      <c r="A94" s="43">
        <v>88</v>
      </c>
      <c r="B94" s="9" t="s">
        <v>3</v>
      </c>
      <c r="C94" s="10" t="s">
        <v>418</v>
      </c>
      <c r="D94" s="11" t="s">
        <v>82</v>
      </c>
      <c r="E94" s="12" t="s">
        <v>35</v>
      </c>
      <c r="F94" s="49">
        <f>G94+H94</f>
        <v>9</v>
      </c>
      <c r="G94" s="51">
        <v>8</v>
      </c>
      <c r="H94" s="55">
        <v>1</v>
      </c>
      <c r="I94" s="13">
        <f>SUM(J94:K94)</f>
        <v>35</v>
      </c>
      <c r="J94" s="13">
        <v>22</v>
      </c>
      <c r="K94" s="13">
        <v>13</v>
      </c>
      <c r="L94" s="58">
        <f>SUM(M94:N94)</f>
        <v>14</v>
      </c>
      <c r="M94" s="51">
        <v>7</v>
      </c>
      <c r="N94" s="55">
        <v>7</v>
      </c>
      <c r="O94" s="13">
        <f>SUM(P94:Q94)</f>
        <v>0</v>
      </c>
      <c r="P94" s="13">
        <v>0</v>
      </c>
      <c r="Q94" s="13">
        <v>0</v>
      </c>
      <c r="R94" s="58">
        <f>SUM(S94:T94)</f>
        <v>0</v>
      </c>
      <c r="S94" s="51">
        <v>0</v>
      </c>
      <c r="T94" s="55">
        <v>0</v>
      </c>
      <c r="U94" s="14">
        <f>V94+W94</f>
        <v>58</v>
      </c>
      <c r="V94" s="13">
        <v>37</v>
      </c>
      <c r="W94" s="13">
        <v>21</v>
      </c>
      <c r="X94" s="15">
        <f>SUM(Y94:Z94)</f>
        <v>22</v>
      </c>
      <c r="Y94" s="13">
        <v>8</v>
      </c>
      <c r="Z94" s="13">
        <v>14</v>
      </c>
      <c r="AA94" s="2"/>
    </row>
    <row r="95" spans="1:27" ht="15.75" x14ac:dyDescent="0.25">
      <c r="A95" s="43">
        <v>89</v>
      </c>
      <c r="B95" s="17" t="s">
        <v>3</v>
      </c>
      <c r="C95" s="10" t="s">
        <v>419</v>
      </c>
      <c r="D95" s="11" t="s">
        <v>420</v>
      </c>
      <c r="E95" s="12" t="s">
        <v>35</v>
      </c>
      <c r="F95" s="49">
        <f>G95+H95</f>
        <v>24</v>
      </c>
      <c r="G95" s="51">
        <v>12</v>
      </c>
      <c r="H95" s="55">
        <v>12</v>
      </c>
      <c r="I95" s="13">
        <f>SUM(J95:K95)</f>
        <v>107</v>
      </c>
      <c r="J95" s="13">
        <v>47</v>
      </c>
      <c r="K95" s="13">
        <v>60</v>
      </c>
      <c r="L95" s="58">
        <f>SUM(M95:N95)</f>
        <v>36</v>
      </c>
      <c r="M95" s="51">
        <v>18</v>
      </c>
      <c r="N95" s="55">
        <v>18</v>
      </c>
      <c r="O95" s="13">
        <f>SUM(P95:Q95)</f>
        <v>0</v>
      </c>
      <c r="P95" s="13">
        <v>0</v>
      </c>
      <c r="Q95" s="13">
        <v>0</v>
      </c>
      <c r="R95" s="58">
        <f>SUM(S95:T95)</f>
        <v>0</v>
      </c>
      <c r="S95" s="51">
        <v>0</v>
      </c>
      <c r="T95" s="55">
        <v>0</v>
      </c>
      <c r="U95" s="14">
        <f>V95+W95</f>
        <v>167</v>
      </c>
      <c r="V95" s="13">
        <v>77</v>
      </c>
      <c r="W95" s="13">
        <v>90</v>
      </c>
      <c r="X95" s="15">
        <f>SUM(Y95:Z95)</f>
        <v>31</v>
      </c>
      <c r="Y95" s="13">
        <v>8</v>
      </c>
      <c r="Z95" s="13">
        <v>23</v>
      </c>
      <c r="AA95" s="2"/>
    </row>
    <row r="96" spans="1:27" ht="15.75" x14ac:dyDescent="0.25">
      <c r="A96" s="43">
        <v>90</v>
      </c>
      <c r="B96" s="17" t="s">
        <v>3</v>
      </c>
      <c r="C96" s="10" t="s">
        <v>421</v>
      </c>
      <c r="D96" s="11" t="s">
        <v>81</v>
      </c>
      <c r="E96" s="12" t="s">
        <v>35</v>
      </c>
      <c r="F96" s="49">
        <f>G96+H96</f>
        <v>69</v>
      </c>
      <c r="G96" s="51">
        <v>33</v>
      </c>
      <c r="H96" s="55">
        <v>36</v>
      </c>
      <c r="I96" s="13">
        <f>SUM(J96:K96)</f>
        <v>234</v>
      </c>
      <c r="J96" s="13">
        <v>109</v>
      </c>
      <c r="K96" s="13">
        <v>125</v>
      </c>
      <c r="L96" s="58">
        <f>SUM(M96:N96)</f>
        <v>67</v>
      </c>
      <c r="M96" s="51">
        <v>34</v>
      </c>
      <c r="N96" s="55">
        <v>33</v>
      </c>
      <c r="O96" s="13">
        <f>SUM(P96:Q96)</f>
        <v>33</v>
      </c>
      <c r="P96" s="13">
        <v>11</v>
      </c>
      <c r="Q96" s="13">
        <v>22</v>
      </c>
      <c r="R96" s="58">
        <f>SUM(S96:T96)</f>
        <v>0</v>
      </c>
      <c r="S96" s="51">
        <v>0</v>
      </c>
      <c r="T96" s="55">
        <v>0</v>
      </c>
      <c r="U96" s="14">
        <f>V96+W96</f>
        <v>403</v>
      </c>
      <c r="V96" s="13">
        <v>187</v>
      </c>
      <c r="W96" s="13">
        <v>216</v>
      </c>
      <c r="X96" s="15">
        <f>SUM(Y96:Z96)</f>
        <v>59</v>
      </c>
      <c r="Y96" s="13">
        <v>12</v>
      </c>
      <c r="Z96" s="13">
        <v>47</v>
      </c>
      <c r="AA96" s="2"/>
    </row>
    <row r="97" spans="1:27" ht="15.75" x14ac:dyDescent="0.25">
      <c r="A97" s="43">
        <v>91</v>
      </c>
      <c r="B97" s="17" t="s">
        <v>3</v>
      </c>
      <c r="C97" s="10" t="s">
        <v>422</v>
      </c>
      <c r="D97" s="11" t="s">
        <v>423</v>
      </c>
      <c r="E97" s="12" t="s">
        <v>35</v>
      </c>
      <c r="F97" s="49">
        <f>G97+H97</f>
        <v>78</v>
      </c>
      <c r="G97" s="51">
        <v>44</v>
      </c>
      <c r="H97" s="55">
        <v>34</v>
      </c>
      <c r="I97" s="13">
        <f>SUM(J97:K97)</f>
        <v>222</v>
      </c>
      <c r="J97" s="13">
        <v>125</v>
      </c>
      <c r="K97" s="13">
        <v>97</v>
      </c>
      <c r="L97" s="58">
        <f>SUM(M97:N97)</f>
        <v>80</v>
      </c>
      <c r="M97" s="51">
        <v>42</v>
      </c>
      <c r="N97" s="55">
        <v>38</v>
      </c>
      <c r="O97" s="13">
        <f>SUM(P97:Q97)</f>
        <v>18</v>
      </c>
      <c r="P97" s="13">
        <v>10</v>
      </c>
      <c r="Q97" s="13">
        <v>8</v>
      </c>
      <c r="R97" s="58">
        <f>SUM(S97:T97)</f>
        <v>0</v>
      </c>
      <c r="S97" s="51">
        <v>0</v>
      </c>
      <c r="T97" s="55">
        <v>0</v>
      </c>
      <c r="U97" s="14">
        <f>V97+W97</f>
        <v>398</v>
      </c>
      <c r="V97" s="13">
        <v>221</v>
      </c>
      <c r="W97" s="13">
        <v>177</v>
      </c>
      <c r="X97" s="15">
        <f>SUM(Y97:Z97)</f>
        <v>57</v>
      </c>
      <c r="Y97" s="13">
        <v>4</v>
      </c>
      <c r="Z97" s="13">
        <v>53</v>
      </c>
      <c r="AA97" s="2"/>
    </row>
    <row r="98" spans="1:27" ht="15.75" x14ac:dyDescent="0.25">
      <c r="A98" s="43">
        <v>92</v>
      </c>
      <c r="B98" s="17" t="s">
        <v>3</v>
      </c>
      <c r="C98" s="10" t="s">
        <v>424</v>
      </c>
      <c r="D98" s="11" t="s">
        <v>84</v>
      </c>
      <c r="E98" s="12" t="s">
        <v>35</v>
      </c>
      <c r="F98" s="49">
        <f>G98+H98</f>
        <v>31</v>
      </c>
      <c r="G98" s="51">
        <v>14</v>
      </c>
      <c r="H98" s="55">
        <v>17</v>
      </c>
      <c r="I98" s="13">
        <f>SUM(J98:K98)</f>
        <v>99</v>
      </c>
      <c r="J98" s="13">
        <v>54</v>
      </c>
      <c r="K98" s="13">
        <v>45</v>
      </c>
      <c r="L98" s="58">
        <f>SUM(M98:N98)</f>
        <v>26</v>
      </c>
      <c r="M98" s="51">
        <v>15</v>
      </c>
      <c r="N98" s="55">
        <v>11</v>
      </c>
      <c r="O98" s="13">
        <f>SUM(P98:Q98)</f>
        <v>2</v>
      </c>
      <c r="P98" s="13">
        <v>0</v>
      </c>
      <c r="Q98" s="13">
        <v>2</v>
      </c>
      <c r="R98" s="58">
        <f>SUM(S98:T98)</f>
        <v>0</v>
      </c>
      <c r="S98" s="51">
        <v>0</v>
      </c>
      <c r="T98" s="55">
        <v>0</v>
      </c>
      <c r="U98" s="14">
        <f>V98+W98</f>
        <v>158</v>
      </c>
      <c r="V98" s="13">
        <v>83</v>
      </c>
      <c r="W98" s="13">
        <v>75</v>
      </c>
      <c r="X98" s="15">
        <f>SUM(Y98:Z98)</f>
        <v>33</v>
      </c>
      <c r="Y98" s="13">
        <v>6</v>
      </c>
      <c r="Z98" s="13">
        <v>27</v>
      </c>
      <c r="AA98" s="2"/>
    </row>
    <row r="99" spans="1:27" ht="15.75" x14ac:dyDescent="0.25">
      <c r="A99" s="43">
        <v>93</v>
      </c>
      <c r="B99" s="17" t="s">
        <v>3</v>
      </c>
      <c r="C99" s="10" t="s">
        <v>425</v>
      </c>
      <c r="D99" s="11" t="s">
        <v>85</v>
      </c>
      <c r="E99" s="12" t="s">
        <v>35</v>
      </c>
      <c r="F99" s="49">
        <f>G99+H99</f>
        <v>38</v>
      </c>
      <c r="G99" s="51">
        <v>19</v>
      </c>
      <c r="H99" s="55">
        <v>19</v>
      </c>
      <c r="I99" s="13">
        <f>SUM(J99:K99)</f>
        <v>134</v>
      </c>
      <c r="J99" s="13">
        <v>62</v>
      </c>
      <c r="K99" s="13">
        <v>72</v>
      </c>
      <c r="L99" s="58">
        <f>SUM(M99:N99)</f>
        <v>34</v>
      </c>
      <c r="M99" s="51">
        <v>13</v>
      </c>
      <c r="N99" s="55">
        <v>21</v>
      </c>
      <c r="O99" s="13">
        <f>SUM(P99:Q99)</f>
        <v>0</v>
      </c>
      <c r="P99" s="13">
        <v>0</v>
      </c>
      <c r="Q99" s="13">
        <v>0</v>
      </c>
      <c r="R99" s="58">
        <f>SUM(S99:T99)</f>
        <v>0</v>
      </c>
      <c r="S99" s="51">
        <v>0</v>
      </c>
      <c r="T99" s="55">
        <v>0</v>
      </c>
      <c r="U99" s="14">
        <f>V99+W99</f>
        <v>206</v>
      </c>
      <c r="V99" s="13">
        <v>94</v>
      </c>
      <c r="W99" s="13">
        <v>112</v>
      </c>
      <c r="X99" s="15">
        <f>SUM(Y99:Z99)</f>
        <v>31</v>
      </c>
      <c r="Y99" s="13">
        <v>8</v>
      </c>
      <c r="Z99" s="13">
        <v>23</v>
      </c>
      <c r="AA99" s="2"/>
    </row>
    <row r="100" spans="1:27" ht="15.75" x14ac:dyDescent="0.25">
      <c r="A100" s="43">
        <v>94</v>
      </c>
      <c r="B100" s="17" t="s">
        <v>3</v>
      </c>
      <c r="C100" s="10" t="s">
        <v>426</v>
      </c>
      <c r="D100" s="11" t="s">
        <v>427</v>
      </c>
      <c r="E100" s="12" t="s">
        <v>35</v>
      </c>
      <c r="F100" s="49">
        <f>G100+H100</f>
        <v>38</v>
      </c>
      <c r="G100" s="51">
        <v>18</v>
      </c>
      <c r="H100" s="55">
        <v>20</v>
      </c>
      <c r="I100" s="13">
        <f>SUM(J100:K100)</f>
        <v>94</v>
      </c>
      <c r="J100" s="13">
        <v>47</v>
      </c>
      <c r="K100" s="13">
        <v>47</v>
      </c>
      <c r="L100" s="58">
        <f>SUM(M100:N100)</f>
        <v>27</v>
      </c>
      <c r="M100" s="51">
        <v>16</v>
      </c>
      <c r="N100" s="55">
        <v>11</v>
      </c>
      <c r="O100" s="13">
        <f>SUM(P100:Q100)</f>
        <v>0</v>
      </c>
      <c r="P100" s="13">
        <v>0</v>
      </c>
      <c r="Q100" s="13">
        <v>0</v>
      </c>
      <c r="R100" s="58">
        <f>SUM(S100:T100)</f>
        <v>0</v>
      </c>
      <c r="S100" s="51">
        <v>0</v>
      </c>
      <c r="T100" s="55">
        <v>0</v>
      </c>
      <c r="U100" s="14">
        <f>V100+W100</f>
        <v>159</v>
      </c>
      <c r="V100" s="13">
        <v>81</v>
      </c>
      <c r="W100" s="13">
        <v>78</v>
      </c>
      <c r="X100" s="15">
        <f>SUM(Y100:Z100)</f>
        <v>32</v>
      </c>
      <c r="Y100" s="13">
        <v>6</v>
      </c>
      <c r="Z100" s="13">
        <v>26</v>
      </c>
      <c r="AA100" s="2"/>
    </row>
    <row r="101" spans="1:27" ht="15.75" x14ac:dyDescent="0.25">
      <c r="A101" s="43">
        <v>95</v>
      </c>
      <c r="B101" s="17" t="s">
        <v>3</v>
      </c>
      <c r="C101" s="10" t="s">
        <v>428</v>
      </c>
      <c r="D101" s="11" t="s">
        <v>86</v>
      </c>
      <c r="E101" s="12" t="s">
        <v>35</v>
      </c>
      <c r="F101" s="49">
        <f>G101+H101</f>
        <v>45</v>
      </c>
      <c r="G101" s="51">
        <v>23</v>
      </c>
      <c r="H101" s="55">
        <v>22</v>
      </c>
      <c r="I101" s="13">
        <f>SUM(J101:K101)</f>
        <v>126</v>
      </c>
      <c r="J101" s="13">
        <v>64</v>
      </c>
      <c r="K101" s="13">
        <v>62</v>
      </c>
      <c r="L101" s="58">
        <f>SUM(M101:N101)</f>
        <v>40</v>
      </c>
      <c r="M101" s="51">
        <v>18</v>
      </c>
      <c r="N101" s="55">
        <v>22</v>
      </c>
      <c r="O101" s="13">
        <f>SUM(P101:Q101)</f>
        <v>0</v>
      </c>
      <c r="P101" s="13">
        <v>0</v>
      </c>
      <c r="Q101" s="13">
        <v>0</v>
      </c>
      <c r="R101" s="58">
        <f>SUM(S101:T101)</f>
        <v>0</v>
      </c>
      <c r="S101" s="51">
        <v>0</v>
      </c>
      <c r="T101" s="55">
        <v>0</v>
      </c>
      <c r="U101" s="14">
        <f>V101+W101</f>
        <v>211</v>
      </c>
      <c r="V101" s="13">
        <v>105</v>
      </c>
      <c r="W101" s="13">
        <v>106</v>
      </c>
      <c r="X101" s="15">
        <f>SUM(Y101:Z101)</f>
        <v>34</v>
      </c>
      <c r="Y101" s="13">
        <v>4</v>
      </c>
      <c r="Z101" s="13">
        <v>30</v>
      </c>
      <c r="AA101" s="2"/>
    </row>
    <row r="102" spans="1:27" ht="15.75" x14ac:dyDescent="0.25">
      <c r="A102" s="43">
        <v>96</v>
      </c>
      <c r="B102" s="17" t="s">
        <v>3</v>
      </c>
      <c r="C102" s="10" t="s">
        <v>429</v>
      </c>
      <c r="D102" s="11" t="s">
        <v>87</v>
      </c>
      <c r="E102" s="12" t="s">
        <v>35</v>
      </c>
      <c r="F102" s="49">
        <f>G102+H102</f>
        <v>38</v>
      </c>
      <c r="G102" s="51">
        <v>16</v>
      </c>
      <c r="H102" s="55">
        <v>22</v>
      </c>
      <c r="I102" s="13">
        <f>SUM(J102:K102)</f>
        <v>113</v>
      </c>
      <c r="J102" s="13">
        <v>56</v>
      </c>
      <c r="K102" s="13">
        <v>57</v>
      </c>
      <c r="L102" s="58">
        <f>SUM(M102:N102)</f>
        <v>33</v>
      </c>
      <c r="M102" s="51">
        <v>21</v>
      </c>
      <c r="N102" s="55">
        <v>12</v>
      </c>
      <c r="O102" s="13">
        <f>SUM(P102:Q102)</f>
        <v>0</v>
      </c>
      <c r="P102" s="13">
        <v>0</v>
      </c>
      <c r="Q102" s="13">
        <v>0</v>
      </c>
      <c r="R102" s="58">
        <f>SUM(S102:T102)</f>
        <v>0</v>
      </c>
      <c r="S102" s="51">
        <v>0</v>
      </c>
      <c r="T102" s="55">
        <v>0</v>
      </c>
      <c r="U102" s="14">
        <f>V102+W102</f>
        <v>184</v>
      </c>
      <c r="V102" s="13">
        <v>93</v>
      </c>
      <c r="W102" s="13">
        <v>91</v>
      </c>
      <c r="X102" s="15">
        <f>SUM(Y102:Z102)</f>
        <v>34</v>
      </c>
      <c r="Y102" s="13">
        <v>5</v>
      </c>
      <c r="Z102" s="13">
        <v>29</v>
      </c>
      <c r="AA102" s="2"/>
    </row>
    <row r="103" spans="1:27" ht="15.75" x14ac:dyDescent="0.25">
      <c r="A103" s="43">
        <v>97</v>
      </c>
      <c r="B103" s="17" t="s">
        <v>3</v>
      </c>
      <c r="C103" s="10" t="s">
        <v>430</v>
      </c>
      <c r="D103" s="11" t="s">
        <v>88</v>
      </c>
      <c r="E103" s="12" t="s">
        <v>35</v>
      </c>
      <c r="F103" s="49">
        <f>G103+H103</f>
        <v>19</v>
      </c>
      <c r="G103" s="51">
        <v>9</v>
      </c>
      <c r="H103" s="55">
        <v>10</v>
      </c>
      <c r="I103" s="13">
        <f>SUM(J103:K103)</f>
        <v>49</v>
      </c>
      <c r="J103" s="13">
        <v>30</v>
      </c>
      <c r="K103" s="13">
        <v>19</v>
      </c>
      <c r="L103" s="58">
        <f>SUM(M103:N103)</f>
        <v>5</v>
      </c>
      <c r="M103" s="51">
        <v>4</v>
      </c>
      <c r="N103" s="55">
        <v>1</v>
      </c>
      <c r="O103" s="13">
        <f>SUM(P103:Q103)</f>
        <v>0</v>
      </c>
      <c r="P103" s="13">
        <v>0</v>
      </c>
      <c r="Q103" s="13">
        <v>0</v>
      </c>
      <c r="R103" s="58">
        <f>SUM(S103:T103)</f>
        <v>0</v>
      </c>
      <c r="S103" s="51">
        <v>0</v>
      </c>
      <c r="T103" s="55">
        <v>0</v>
      </c>
      <c r="U103" s="14">
        <f>V103+W103</f>
        <v>73</v>
      </c>
      <c r="V103" s="13">
        <v>43</v>
      </c>
      <c r="W103" s="13">
        <v>30</v>
      </c>
      <c r="X103" s="15">
        <f>SUM(Y103:Z103)</f>
        <v>16</v>
      </c>
      <c r="Y103" s="13">
        <v>7</v>
      </c>
      <c r="Z103" s="13">
        <v>9</v>
      </c>
      <c r="AA103" s="2"/>
    </row>
    <row r="104" spans="1:27" ht="15.75" x14ac:dyDescent="0.25">
      <c r="A104" s="43">
        <v>98</v>
      </c>
      <c r="B104" s="17" t="s">
        <v>3</v>
      </c>
      <c r="C104" s="10" t="s">
        <v>431</v>
      </c>
      <c r="D104" s="11" t="s">
        <v>89</v>
      </c>
      <c r="E104" s="12" t="s">
        <v>35</v>
      </c>
      <c r="F104" s="49">
        <f>G104+H104</f>
        <v>37</v>
      </c>
      <c r="G104" s="51">
        <v>18</v>
      </c>
      <c r="H104" s="55">
        <v>19</v>
      </c>
      <c r="I104" s="13">
        <f>SUM(J104:K104)</f>
        <v>165</v>
      </c>
      <c r="J104" s="13">
        <v>79</v>
      </c>
      <c r="K104" s="13">
        <v>86</v>
      </c>
      <c r="L104" s="58">
        <f>SUM(M104:N104)</f>
        <v>52</v>
      </c>
      <c r="M104" s="51">
        <v>22</v>
      </c>
      <c r="N104" s="55">
        <v>30</v>
      </c>
      <c r="O104" s="13">
        <f>SUM(P104:Q104)</f>
        <v>0</v>
      </c>
      <c r="P104" s="13">
        <v>0</v>
      </c>
      <c r="Q104" s="13">
        <v>0</v>
      </c>
      <c r="R104" s="58">
        <f>SUM(S104:T104)</f>
        <v>0</v>
      </c>
      <c r="S104" s="51">
        <v>0</v>
      </c>
      <c r="T104" s="55">
        <v>0</v>
      </c>
      <c r="U104" s="14">
        <f>V104+W104</f>
        <v>254</v>
      </c>
      <c r="V104" s="13">
        <v>119</v>
      </c>
      <c r="W104" s="13">
        <v>135</v>
      </c>
      <c r="X104" s="15">
        <f>SUM(Y104:Z104)</f>
        <v>31</v>
      </c>
      <c r="Y104" s="13">
        <v>8</v>
      </c>
      <c r="Z104" s="13">
        <v>23</v>
      </c>
      <c r="AA104" s="2"/>
    </row>
    <row r="105" spans="1:27" ht="15.75" x14ac:dyDescent="0.25">
      <c r="A105" s="43">
        <v>99</v>
      </c>
      <c r="B105" s="17" t="s">
        <v>3</v>
      </c>
      <c r="C105" s="10" t="s">
        <v>90</v>
      </c>
      <c r="D105" s="11" t="s">
        <v>81</v>
      </c>
      <c r="E105" s="12" t="s">
        <v>39</v>
      </c>
      <c r="F105" s="49">
        <f>G105+H105</f>
        <v>15</v>
      </c>
      <c r="G105" s="51">
        <v>8</v>
      </c>
      <c r="H105" s="55">
        <v>7</v>
      </c>
      <c r="I105" s="13">
        <f>SUM(J105:K105)</f>
        <v>0</v>
      </c>
      <c r="J105" s="13">
        <v>0</v>
      </c>
      <c r="K105" s="13">
        <v>0</v>
      </c>
      <c r="L105" s="58">
        <f>SUM(M105:N105)</f>
        <v>0</v>
      </c>
      <c r="M105" s="51">
        <v>0</v>
      </c>
      <c r="N105" s="55">
        <v>0</v>
      </c>
      <c r="O105" s="13">
        <f>SUM(P105:Q105)</f>
        <v>0</v>
      </c>
      <c r="P105" s="13">
        <v>0</v>
      </c>
      <c r="Q105" s="13">
        <v>0</v>
      </c>
      <c r="R105" s="58">
        <f>SUM(S105:T105)</f>
        <v>0</v>
      </c>
      <c r="S105" s="51">
        <v>0</v>
      </c>
      <c r="T105" s="55">
        <v>0</v>
      </c>
      <c r="U105" s="14">
        <f>V105+W105</f>
        <v>15</v>
      </c>
      <c r="V105" s="13">
        <v>8</v>
      </c>
      <c r="W105" s="13">
        <v>7</v>
      </c>
      <c r="X105" s="15">
        <f>SUM(Y105:Z105)</f>
        <v>0</v>
      </c>
      <c r="Y105" s="13">
        <v>0</v>
      </c>
      <c r="Z105" s="13">
        <v>0</v>
      </c>
      <c r="AA105" s="2"/>
    </row>
    <row r="106" spans="1:27" ht="15.75" x14ac:dyDescent="0.25">
      <c r="A106" s="43">
        <v>100</v>
      </c>
      <c r="B106" s="17" t="s">
        <v>3</v>
      </c>
      <c r="C106" s="10" t="s">
        <v>196</v>
      </c>
      <c r="D106" s="11" t="s">
        <v>86</v>
      </c>
      <c r="E106" s="12" t="s">
        <v>39</v>
      </c>
      <c r="F106" s="49">
        <f>G106+H106</f>
        <v>14</v>
      </c>
      <c r="G106" s="51">
        <v>7</v>
      </c>
      <c r="H106" s="55">
        <v>7</v>
      </c>
      <c r="I106" s="13">
        <f>SUM(J106:K106)</f>
        <v>0</v>
      </c>
      <c r="J106" s="13">
        <v>0</v>
      </c>
      <c r="K106" s="13">
        <v>0</v>
      </c>
      <c r="L106" s="58">
        <f>SUM(M106:N106)</f>
        <v>0</v>
      </c>
      <c r="M106" s="51">
        <v>0</v>
      </c>
      <c r="N106" s="55">
        <v>0</v>
      </c>
      <c r="O106" s="13">
        <f>SUM(P106:Q106)</f>
        <v>0</v>
      </c>
      <c r="P106" s="13">
        <v>0</v>
      </c>
      <c r="Q106" s="13">
        <v>0</v>
      </c>
      <c r="R106" s="58">
        <f>SUM(S106:T106)</f>
        <v>0</v>
      </c>
      <c r="S106" s="51">
        <v>0</v>
      </c>
      <c r="T106" s="55">
        <v>0</v>
      </c>
      <c r="U106" s="14">
        <f>V106+W106</f>
        <v>14</v>
      </c>
      <c r="V106" s="13">
        <v>7</v>
      </c>
      <c r="W106" s="13">
        <v>7</v>
      </c>
      <c r="X106" s="15">
        <f>SUM(Y106:Z106)</f>
        <v>2</v>
      </c>
      <c r="Y106" s="13">
        <v>0</v>
      </c>
      <c r="Z106" s="13">
        <v>2</v>
      </c>
      <c r="AA106" s="2"/>
    </row>
    <row r="107" spans="1:27" ht="15.75" x14ac:dyDescent="0.25">
      <c r="A107" s="43">
        <v>101</v>
      </c>
      <c r="B107" s="17" t="s">
        <v>3</v>
      </c>
      <c r="C107" s="10" t="s">
        <v>91</v>
      </c>
      <c r="D107" s="11" t="s">
        <v>83</v>
      </c>
      <c r="E107" s="12" t="s">
        <v>39</v>
      </c>
      <c r="F107" s="49">
        <f>G107+H107</f>
        <v>15</v>
      </c>
      <c r="G107" s="51">
        <v>9</v>
      </c>
      <c r="H107" s="55">
        <v>6</v>
      </c>
      <c r="I107" s="13">
        <f>SUM(J107:K107)</f>
        <v>0</v>
      </c>
      <c r="J107" s="13">
        <v>0</v>
      </c>
      <c r="K107" s="13">
        <v>0</v>
      </c>
      <c r="L107" s="58">
        <f>SUM(M107:N107)</f>
        <v>0</v>
      </c>
      <c r="M107" s="51">
        <v>0</v>
      </c>
      <c r="N107" s="55">
        <v>0</v>
      </c>
      <c r="O107" s="13">
        <f>SUM(P107:Q107)</f>
        <v>0</v>
      </c>
      <c r="P107" s="13">
        <v>0</v>
      </c>
      <c r="Q107" s="13">
        <v>0</v>
      </c>
      <c r="R107" s="58">
        <f>SUM(S107:T107)</f>
        <v>0</v>
      </c>
      <c r="S107" s="51">
        <v>0</v>
      </c>
      <c r="T107" s="55">
        <v>0</v>
      </c>
      <c r="U107" s="14">
        <f>V107+W107</f>
        <v>15</v>
      </c>
      <c r="V107" s="13">
        <v>9</v>
      </c>
      <c r="W107" s="13">
        <v>6</v>
      </c>
      <c r="X107" s="15">
        <f>SUM(Y107:Z107)</f>
        <v>2</v>
      </c>
      <c r="Y107" s="13">
        <v>0</v>
      </c>
      <c r="Z107" s="13">
        <v>2</v>
      </c>
      <c r="AA107" s="2"/>
    </row>
    <row r="108" spans="1:27" ht="15.75" x14ac:dyDescent="0.25">
      <c r="A108" s="43">
        <v>102</v>
      </c>
      <c r="B108" s="17" t="s">
        <v>3</v>
      </c>
      <c r="C108" s="10" t="s">
        <v>92</v>
      </c>
      <c r="D108" s="11" t="s">
        <v>87</v>
      </c>
      <c r="E108" s="12" t="s">
        <v>39</v>
      </c>
      <c r="F108" s="49">
        <f>G108+H108</f>
        <v>4</v>
      </c>
      <c r="G108" s="51">
        <v>3</v>
      </c>
      <c r="H108" s="55">
        <v>1</v>
      </c>
      <c r="I108" s="13">
        <f>SUM(J108:K108)</f>
        <v>0</v>
      </c>
      <c r="J108" s="13">
        <v>0</v>
      </c>
      <c r="K108" s="13">
        <v>0</v>
      </c>
      <c r="L108" s="58">
        <f>SUM(M108:N108)</f>
        <v>0</v>
      </c>
      <c r="M108" s="51">
        <v>0</v>
      </c>
      <c r="N108" s="55">
        <v>0</v>
      </c>
      <c r="O108" s="13">
        <f>SUM(P108:Q108)</f>
        <v>0</v>
      </c>
      <c r="P108" s="13">
        <v>0</v>
      </c>
      <c r="Q108" s="13">
        <v>0</v>
      </c>
      <c r="R108" s="58">
        <f>SUM(S108:T108)</f>
        <v>0</v>
      </c>
      <c r="S108" s="51">
        <v>0</v>
      </c>
      <c r="T108" s="55">
        <v>0</v>
      </c>
      <c r="U108" s="14">
        <f>V108+W108</f>
        <v>4</v>
      </c>
      <c r="V108" s="13">
        <v>3</v>
      </c>
      <c r="W108" s="13">
        <v>1</v>
      </c>
      <c r="X108" s="15">
        <f>SUM(Y108:Z108)</f>
        <v>1</v>
      </c>
      <c r="Y108" s="13">
        <v>0</v>
      </c>
      <c r="Z108" s="13">
        <v>1</v>
      </c>
      <c r="AA108" s="2"/>
    </row>
    <row r="109" spans="1:27" ht="15.75" x14ac:dyDescent="0.25">
      <c r="A109" s="43">
        <v>103</v>
      </c>
      <c r="B109" s="17" t="s">
        <v>4</v>
      </c>
      <c r="C109" s="10" t="s">
        <v>432</v>
      </c>
      <c r="D109" s="11" t="s">
        <v>94</v>
      </c>
      <c r="E109" s="12" t="s">
        <v>35</v>
      </c>
      <c r="F109" s="49">
        <f>G109+H109</f>
        <v>81</v>
      </c>
      <c r="G109" s="51">
        <v>38</v>
      </c>
      <c r="H109" s="55">
        <v>43</v>
      </c>
      <c r="I109" s="13">
        <f>SUM(J109:K109)</f>
        <v>263</v>
      </c>
      <c r="J109" s="13">
        <v>135</v>
      </c>
      <c r="K109" s="13">
        <v>128</v>
      </c>
      <c r="L109" s="58">
        <f>SUM(M109:N109)</f>
        <v>103</v>
      </c>
      <c r="M109" s="51">
        <v>47</v>
      </c>
      <c r="N109" s="55">
        <v>56</v>
      </c>
      <c r="O109" s="13">
        <f>SUM(P109:Q109)</f>
        <v>38</v>
      </c>
      <c r="P109" s="13">
        <v>16</v>
      </c>
      <c r="Q109" s="13">
        <v>22</v>
      </c>
      <c r="R109" s="58">
        <f>SUM(S109:T109)</f>
        <v>0</v>
      </c>
      <c r="S109" s="51">
        <v>0</v>
      </c>
      <c r="T109" s="55">
        <v>0</v>
      </c>
      <c r="U109" s="14">
        <f>V109+W109</f>
        <v>485</v>
      </c>
      <c r="V109" s="13">
        <v>236</v>
      </c>
      <c r="W109" s="13">
        <v>249</v>
      </c>
      <c r="X109" s="15">
        <f>SUM(Y109:Z109)</f>
        <v>63</v>
      </c>
      <c r="Y109" s="13">
        <v>10</v>
      </c>
      <c r="Z109" s="13">
        <v>53</v>
      </c>
      <c r="AA109" s="2"/>
    </row>
    <row r="110" spans="1:27" ht="15.75" x14ac:dyDescent="0.25">
      <c r="A110" s="43">
        <v>104</v>
      </c>
      <c r="B110" s="17" t="s">
        <v>4</v>
      </c>
      <c r="C110" s="10" t="s">
        <v>433</v>
      </c>
      <c r="D110" s="11" t="s">
        <v>93</v>
      </c>
      <c r="E110" s="12" t="s">
        <v>35</v>
      </c>
      <c r="F110" s="49">
        <f>G110+H110</f>
        <v>0</v>
      </c>
      <c r="G110" s="51">
        <v>0</v>
      </c>
      <c r="H110" s="55">
        <v>0</v>
      </c>
      <c r="I110" s="13">
        <f>SUM(J110:K110)</f>
        <v>67</v>
      </c>
      <c r="J110" s="13">
        <v>39</v>
      </c>
      <c r="K110" s="13">
        <v>28</v>
      </c>
      <c r="L110" s="58">
        <f>SUM(M110:N110)</f>
        <v>183</v>
      </c>
      <c r="M110" s="51">
        <v>110</v>
      </c>
      <c r="N110" s="55">
        <v>73</v>
      </c>
      <c r="O110" s="13">
        <f>SUM(P110:Q110)</f>
        <v>4</v>
      </c>
      <c r="P110" s="13">
        <v>1</v>
      </c>
      <c r="Q110" s="13">
        <v>3</v>
      </c>
      <c r="R110" s="58">
        <f>SUM(S110:T110)</f>
        <v>0</v>
      </c>
      <c r="S110" s="51">
        <v>0</v>
      </c>
      <c r="T110" s="55">
        <v>0</v>
      </c>
      <c r="U110" s="14">
        <f>V110+W110</f>
        <v>254</v>
      </c>
      <c r="V110" s="13">
        <v>150</v>
      </c>
      <c r="W110" s="13">
        <v>104</v>
      </c>
      <c r="X110" s="15">
        <f>SUM(Y110:Z110)</f>
        <v>36</v>
      </c>
      <c r="Y110" s="13">
        <v>16</v>
      </c>
      <c r="Z110" s="13">
        <v>20</v>
      </c>
      <c r="AA110" s="2"/>
    </row>
    <row r="111" spans="1:27" ht="15.75" x14ac:dyDescent="0.25">
      <c r="A111" s="43">
        <v>105</v>
      </c>
      <c r="B111" s="17" t="s">
        <v>4</v>
      </c>
      <c r="C111" s="18" t="s">
        <v>434</v>
      </c>
      <c r="D111" s="19" t="s">
        <v>435</v>
      </c>
      <c r="E111" s="20" t="s">
        <v>35</v>
      </c>
      <c r="F111" s="49">
        <f>G111+H111</f>
        <v>19</v>
      </c>
      <c r="G111" s="51">
        <v>9</v>
      </c>
      <c r="H111" s="55">
        <v>10</v>
      </c>
      <c r="I111" s="13">
        <f>SUM(J111:K111)</f>
        <v>55</v>
      </c>
      <c r="J111" s="13">
        <v>26</v>
      </c>
      <c r="K111" s="13">
        <v>29</v>
      </c>
      <c r="L111" s="58">
        <f>SUM(M111:N111)</f>
        <v>18</v>
      </c>
      <c r="M111" s="51">
        <v>10</v>
      </c>
      <c r="N111" s="55">
        <v>8</v>
      </c>
      <c r="O111" s="13">
        <f>SUM(P111:Q111)</f>
        <v>0</v>
      </c>
      <c r="P111" s="13">
        <v>0</v>
      </c>
      <c r="Q111" s="13">
        <v>0</v>
      </c>
      <c r="R111" s="58">
        <f>SUM(S111:T111)</f>
        <v>0</v>
      </c>
      <c r="S111" s="51">
        <v>0</v>
      </c>
      <c r="T111" s="55">
        <v>0</v>
      </c>
      <c r="U111" s="14">
        <f>V111+W111</f>
        <v>92</v>
      </c>
      <c r="V111" s="13">
        <v>45</v>
      </c>
      <c r="W111" s="13">
        <v>47</v>
      </c>
      <c r="X111" s="15">
        <f>SUM(Y111:Z111)</f>
        <v>28</v>
      </c>
      <c r="Y111" s="13">
        <v>9</v>
      </c>
      <c r="Z111" s="13">
        <v>19</v>
      </c>
      <c r="AA111" s="2"/>
    </row>
    <row r="112" spans="1:27" ht="15.75" x14ac:dyDescent="0.25">
      <c r="A112" s="43">
        <v>106</v>
      </c>
      <c r="B112" s="9" t="s">
        <v>4</v>
      </c>
      <c r="C112" s="10" t="s">
        <v>436</v>
      </c>
      <c r="D112" s="11" t="s">
        <v>96</v>
      </c>
      <c r="E112" s="12" t="s">
        <v>35</v>
      </c>
      <c r="F112" s="49">
        <f>G112+H112</f>
        <v>10</v>
      </c>
      <c r="G112" s="51">
        <v>7</v>
      </c>
      <c r="H112" s="55">
        <v>3</v>
      </c>
      <c r="I112" s="13">
        <f>SUM(J112:K112)</f>
        <v>55</v>
      </c>
      <c r="J112" s="13">
        <v>33</v>
      </c>
      <c r="K112" s="13">
        <v>22</v>
      </c>
      <c r="L112" s="58">
        <f>SUM(M112:N112)</f>
        <v>20</v>
      </c>
      <c r="M112" s="51">
        <v>11</v>
      </c>
      <c r="N112" s="55">
        <v>9</v>
      </c>
      <c r="O112" s="13">
        <f>SUM(P112:Q112)</f>
        <v>0</v>
      </c>
      <c r="P112" s="13">
        <v>0</v>
      </c>
      <c r="Q112" s="13">
        <v>0</v>
      </c>
      <c r="R112" s="58">
        <f>SUM(S112:T112)</f>
        <v>0</v>
      </c>
      <c r="S112" s="51">
        <v>0</v>
      </c>
      <c r="T112" s="55">
        <v>0</v>
      </c>
      <c r="U112" s="14">
        <f>V112+W112</f>
        <v>85</v>
      </c>
      <c r="V112" s="13">
        <v>51</v>
      </c>
      <c r="W112" s="13">
        <v>34</v>
      </c>
      <c r="X112" s="15">
        <f>SUM(Y112:Z112)</f>
        <v>23</v>
      </c>
      <c r="Y112" s="13">
        <v>3</v>
      </c>
      <c r="Z112" s="13">
        <v>20</v>
      </c>
      <c r="AA112" s="2"/>
    </row>
    <row r="113" spans="1:27" ht="15.75" x14ac:dyDescent="0.25">
      <c r="A113" s="43">
        <v>107</v>
      </c>
      <c r="B113" s="9" t="s">
        <v>4</v>
      </c>
      <c r="C113" s="10" t="s">
        <v>437</v>
      </c>
      <c r="D113" s="11" t="s">
        <v>438</v>
      </c>
      <c r="E113" s="12" t="s">
        <v>35</v>
      </c>
      <c r="F113" s="49">
        <f>G113+H113</f>
        <v>85</v>
      </c>
      <c r="G113" s="51">
        <v>47</v>
      </c>
      <c r="H113" s="55">
        <v>38</v>
      </c>
      <c r="I113" s="13">
        <f>SUM(J113:K113)</f>
        <v>192</v>
      </c>
      <c r="J113" s="13">
        <v>98</v>
      </c>
      <c r="K113" s="13">
        <v>94</v>
      </c>
      <c r="L113" s="58">
        <f>SUM(M113:N113)</f>
        <v>64</v>
      </c>
      <c r="M113" s="51">
        <v>35</v>
      </c>
      <c r="N113" s="55">
        <v>29</v>
      </c>
      <c r="O113" s="13">
        <f>SUM(P113:Q113)</f>
        <v>0</v>
      </c>
      <c r="P113" s="13">
        <v>0</v>
      </c>
      <c r="Q113" s="13">
        <v>0</v>
      </c>
      <c r="R113" s="58">
        <f>SUM(S113:T113)</f>
        <v>0</v>
      </c>
      <c r="S113" s="51">
        <v>0</v>
      </c>
      <c r="T113" s="55">
        <v>0</v>
      </c>
      <c r="U113" s="14">
        <f>V113+W113</f>
        <v>341</v>
      </c>
      <c r="V113" s="13">
        <v>180</v>
      </c>
      <c r="W113" s="13">
        <v>161</v>
      </c>
      <c r="X113" s="15">
        <f>SUM(Y113:Z113)</f>
        <v>42</v>
      </c>
      <c r="Y113" s="13">
        <v>7</v>
      </c>
      <c r="Z113" s="13">
        <v>35</v>
      </c>
      <c r="AA113" s="2"/>
    </row>
    <row r="114" spans="1:27" ht="15.75" x14ac:dyDescent="0.25">
      <c r="A114" s="43">
        <v>108</v>
      </c>
      <c r="B114" s="9" t="s">
        <v>4</v>
      </c>
      <c r="C114" s="10" t="s">
        <v>439</v>
      </c>
      <c r="D114" s="11" t="s">
        <v>98</v>
      </c>
      <c r="E114" s="12" t="s">
        <v>35</v>
      </c>
      <c r="F114" s="49">
        <f>G114+H114</f>
        <v>22</v>
      </c>
      <c r="G114" s="51">
        <v>11</v>
      </c>
      <c r="H114" s="55">
        <v>11</v>
      </c>
      <c r="I114" s="13">
        <f>SUM(J114:K114)</f>
        <v>91</v>
      </c>
      <c r="J114" s="13">
        <v>45</v>
      </c>
      <c r="K114" s="13">
        <v>46</v>
      </c>
      <c r="L114" s="58">
        <f>SUM(M114:N114)</f>
        <v>24</v>
      </c>
      <c r="M114" s="51">
        <v>12</v>
      </c>
      <c r="N114" s="55">
        <v>12</v>
      </c>
      <c r="O114" s="13">
        <f>SUM(P114:Q114)</f>
        <v>0</v>
      </c>
      <c r="P114" s="13">
        <v>0</v>
      </c>
      <c r="Q114" s="13">
        <v>0</v>
      </c>
      <c r="R114" s="58">
        <f>SUM(S114:T114)</f>
        <v>0</v>
      </c>
      <c r="S114" s="51">
        <v>0</v>
      </c>
      <c r="T114" s="55">
        <v>0</v>
      </c>
      <c r="U114" s="14">
        <f>V114+W114</f>
        <v>137</v>
      </c>
      <c r="V114" s="13">
        <v>68</v>
      </c>
      <c r="W114" s="13">
        <v>69</v>
      </c>
      <c r="X114" s="15">
        <f>SUM(Y114:Z114)</f>
        <v>28</v>
      </c>
      <c r="Y114" s="13">
        <v>10</v>
      </c>
      <c r="Z114" s="13">
        <v>18</v>
      </c>
      <c r="AA114" s="2"/>
    </row>
    <row r="115" spans="1:27" ht="15.75" x14ac:dyDescent="0.25">
      <c r="A115" s="43">
        <v>109</v>
      </c>
      <c r="B115" s="9" t="s">
        <v>4</v>
      </c>
      <c r="C115" s="10" t="s">
        <v>440</v>
      </c>
      <c r="D115" s="11" t="s">
        <v>99</v>
      </c>
      <c r="E115" s="12" t="s">
        <v>35</v>
      </c>
      <c r="F115" s="49">
        <f>G115+H115</f>
        <v>40</v>
      </c>
      <c r="G115" s="51">
        <v>21</v>
      </c>
      <c r="H115" s="55">
        <v>19</v>
      </c>
      <c r="I115" s="13">
        <f>SUM(J115:K115)</f>
        <v>91</v>
      </c>
      <c r="J115" s="13">
        <v>42</v>
      </c>
      <c r="K115" s="13">
        <v>49</v>
      </c>
      <c r="L115" s="58">
        <f>SUM(M115:N115)</f>
        <v>41</v>
      </c>
      <c r="M115" s="51">
        <v>23</v>
      </c>
      <c r="N115" s="55">
        <v>18</v>
      </c>
      <c r="O115" s="13">
        <f>SUM(P115:Q115)</f>
        <v>0</v>
      </c>
      <c r="P115" s="13">
        <v>0</v>
      </c>
      <c r="Q115" s="13">
        <v>0</v>
      </c>
      <c r="R115" s="58">
        <f>SUM(S115:T115)</f>
        <v>0</v>
      </c>
      <c r="S115" s="51">
        <v>0</v>
      </c>
      <c r="T115" s="55">
        <v>0</v>
      </c>
      <c r="U115" s="14">
        <f>V115+W115</f>
        <v>172</v>
      </c>
      <c r="V115" s="13">
        <v>86</v>
      </c>
      <c r="W115" s="13">
        <v>86</v>
      </c>
      <c r="X115" s="15">
        <f>SUM(Y115:Z115)</f>
        <v>26</v>
      </c>
      <c r="Y115" s="13">
        <v>7</v>
      </c>
      <c r="Z115" s="13">
        <v>19</v>
      </c>
      <c r="AA115" s="2"/>
    </row>
    <row r="116" spans="1:27" ht="15.75" x14ac:dyDescent="0.25">
      <c r="A116" s="43">
        <v>110</v>
      </c>
      <c r="B116" s="9" t="s">
        <v>4</v>
      </c>
      <c r="C116" s="10" t="s">
        <v>441</v>
      </c>
      <c r="D116" s="11" t="s">
        <v>442</v>
      </c>
      <c r="E116" s="12" t="s">
        <v>35</v>
      </c>
      <c r="F116" s="49">
        <f>G116+H116</f>
        <v>43</v>
      </c>
      <c r="G116" s="51">
        <v>18</v>
      </c>
      <c r="H116" s="55">
        <v>25</v>
      </c>
      <c r="I116" s="13">
        <f>SUM(J116:K116)</f>
        <v>135</v>
      </c>
      <c r="J116" s="13">
        <v>68</v>
      </c>
      <c r="K116" s="13">
        <v>67</v>
      </c>
      <c r="L116" s="58">
        <f>SUM(M116:N116)</f>
        <v>48</v>
      </c>
      <c r="M116" s="51">
        <v>24</v>
      </c>
      <c r="N116" s="55">
        <v>24</v>
      </c>
      <c r="O116" s="13">
        <f>SUM(P116:Q116)</f>
        <v>0</v>
      </c>
      <c r="P116" s="13">
        <v>0</v>
      </c>
      <c r="Q116" s="13">
        <v>0</v>
      </c>
      <c r="R116" s="58">
        <f>SUM(S116:T116)</f>
        <v>0</v>
      </c>
      <c r="S116" s="51">
        <v>0</v>
      </c>
      <c r="T116" s="55">
        <v>0</v>
      </c>
      <c r="U116" s="14">
        <f>V116+W116</f>
        <v>226</v>
      </c>
      <c r="V116" s="13">
        <v>110</v>
      </c>
      <c r="W116" s="13">
        <v>116</v>
      </c>
      <c r="X116" s="15">
        <f>SUM(Y116:Z116)</f>
        <v>31</v>
      </c>
      <c r="Y116" s="13">
        <v>7</v>
      </c>
      <c r="Z116" s="13">
        <v>24</v>
      </c>
      <c r="AA116" s="2"/>
    </row>
    <row r="117" spans="1:27" ht="15.75" x14ac:dyDescent="0.25">
      <c r="A117" s="43">
        <v>111</v>
      </c>
      <c r="B117" s="9" t="s">
        <v>4</v>
      </c>
      <c r="C117" s="10" t="s">
        <v>443</v>
      </c>
      <c r="D117" s="11" t="s">
        <v>444</v>
      </c>
      <c r="E117" s="12" t="s">
        <v>35</v>
      </c>
      <c r="F117" s="49">
        <f>G117+H117</f>
        <v>25</v>
      </c>
      <c r="G117" s="51">
        <v>12</v>
      </c>
      <c r="H117" s="55">
        <v>13</v>
      </c>
      <c r="I117" s="13">
        <f>SUM(J117:K117)</f>
        <v>66</v>
      </c>
      <c r="J117" s="13">
        <v>23</v>
      </c>
      <c r="K117" s="13">
        <v>43</v>
      </c>
      <c r="L117" s="58">
        <f>SUM(M117:N117)</f>
        <v>31</v>
      </c>
      <c r="M117" s="51">
        <v>17</v>
      </c>
      <c r="N117" s="55">
        <v>14</v>
      </c>
      <c r="O117" s="13">
        <f>SUM(P117:Q117)</f>
        <v>0</v>
      </c>
      <c r="P117" s="13">
        <v>0</v>
      </c>
      <c r="Q117" s="13">
        <v>0</v>
      </c>
      <c r="R117" s="58">
        <f>SUM(S117:T117)</f>
        <v>0</v>
      </c>
      <c r="S117" s="51">
        <v>0</v>
      </c>
      <c r="T117" s="55">
        <v>0</v>
      </c>
      <c r="U117" s="14">
        <f>V117+W117</f>
        <v>122</v>
      </c>
      <c r="V117" s="13">
        <v>52</v>
      </c>
      <c r="W117" s="13">
        <v>70</v>
      </c>
      <c r="X117" s="15">
        <f>SUM(Y117:Z117)</f>
        <v>26</v>
      </c>
      <c r="Y117" s="13">
        <v>10</v>
      </c>
      <c r="Z117" s="13">
        <v>16</v>
      </c>
      <c r="AA117" s="2"/>
    </row>
    <row r="118" spans="1:27" ht="15.75" x14ac:dyDescent="0.25">
      <c r="A118" s="43">
        <v>112</v>
      </c>
      <c r="B118" s="9" t="s">
        <v>4</v>
      </c>
      <c r="C118" s="10" t="s">
        <v>445</v>
      </c>
      <c r="D118" s="11" t="s">
        <v>102</v>
      </c>
      <c r="E118" s="12" t="s">
        <v>35</v>
      </c>
      <c r="F118" s="49">
        <f>G118+H118</f>
        <v>31</v>
      </c>
      <c r="G118" s="51">
        <v>16</v>
      </c>
      <c r="H118" s="55">
        <v>15</v>
      </c>
      <c r="I118" s="13">
        <f>SUM(J118:K118)</f>
        <v>86</v>
      </c>
      <c r="J118" s="13">
        <v>44</v>
      </c>
      <c r="K118" s="13">
        <v>42</v>
      </c>
      <c r="L118" s="58">
        <f>SUM(M118:N118)</f>
        <v>21</v>
      </c>
      <c r="M118" s="51">
        <v>12</v>
      </c>
      <c r="N118" s="55">
        <v>9</v>
      </c>
      <c r="O118" s="13">
        <f>SUM(P118:Q118)</f>
        <v>0</v>
      </c>
      <c r="P118" s="13">
        <v>0</v>
      </c>
      <c r="Q118" s="13">
        <v>0</v>
      </c>
      <c r="R118" s="58">
        <f>SUM(S118:T118)</f>
        <v>0</v>
      </c>
      <c r="S118" s="51">
        <v>0</v>
      </c>
      <c r="T118" s="55">
        <v>0</v>
      </c>
      <c r="U118" s="14">
        <f>V118+W118</f>
        <v>138</v>
      </c>
      <c r="V118" s="13">
        <v>72</v>
      </c>
      <c r="W118" s="13">
        <v>66</v>
      </c>
      <c r="X118" s="15">
        <f>SUM(Y118:Z118)</f>
        <v>26</v>
      </c>
      <c r="Y118" s="13">
        <v>4</v>
      </c>
      <c r="Z118" s="13">
        <v>22</v>
      </c>
      <c r="AA118" s="2"/>
    </row>
    <row r="119" spans="1:27" ht="15.75" x14ac:dyDescent="0.25">
      <c r="A119" s="43">
        <v>113</v>
      </c>
      <c r="B119" s="9" t="s">
        <v>4</v>
      </c>
      <c r="C119" s="10" t="s">
        <v>446</v>
      </c>
      <c r="D119" s="11" t="s">
        <v>95</v>
      </c>
      <c r="E119" s="12" t="s">
        <v>35</v>
      </c>
      <c r="F119" s="49">
        <f>G119+H119</f>
        <v>68</v>
      </c>
      <c r="G119" s="51">
        <v>34</v>
      </c>
      <c r="H119" s="55">
        <v>34</v>
      </c>
      <c r="I119" s="13">
        <f>SUM(J119:K119)</f>
        <v>280</v>
      </c>
      <c r="J119" s="13">
        <v>161</v>
      </c>
      <c r="K119" s="13">
        <v>119</v>
      </c>
      <c r="L119" s="58">
        <f>SUM(M119:N119)</f>
        <v>74</v>
      </c>
      <c r="M119" s="51">
        <v>33</v>
      </c>
      <c r="N119" s="55">
        <v>41</v>
      </c>
      <c r="O119" s="13">
        <f>SUM(P119:Q119)</f>
        <v>7</v>
      </c>
      <c r="P119" s="13">
        <v>3</v>
      </c>
      <c r="Q119" s="13">
        <v>4</v>
      </c>
      <c r="R119" s="58">
        <f>SUM(S119:T119)</f>
        <v>0</v>
      </c>
      <c r="S119" s="51">
        <v>0</v>
      </c>
      <c r="T119" s="55">
        <v>0</v>
      </c>
      <c r="U119" s="14">
        <f>V119+W119</f>
        <v>429</v>
      </c>
      <c r="V119" s="13">
        <v>231</v>
      </c>
      <c r="W119" s="13">
        <v>198</v>
      </c>
      <c r="X119" s="15">
        <f>SUM(Y119:Z119)</f>
        <v>50</v>
      </c>
      <c r="Y119" s="13">
        <v>14</v>
      </c>
      <c r="Z119" s="13">
        <v>36</v>
      </c>
      <c r="AA119" s="2"/>
    </row>
    <row r="120" spans="1:27" ht="15.75" x14ac:dyDescent="0.25">
      <c r="A120" s="43">
        <v>114</v>
      </c>
      <c r="B120" s="9" t="s">
        <v>4</v>
      </c>
      <c r="C120" s="10" t="s">
        <v>447</v>
      </c>
      <c r="D120" s="11" t="s">
        <v>448</v>
      </c>
      <c r="E120" s="12" t="s">
        <v>35</v>
      </c>
      <c r="F120" s="49">
        <f>G120+H120</f>
        <v>94</v>
      </c>
      <c r="G120" s="51">
        <v>49</v>
      </c>
      <c r="H120" s="55">
        <v>45</v>
      </c>
      <c r="I120" s="13">
        <f>SUM(J120:K120)</f>
        <v>268</v>
      </c>
      <c r="J120" s="13">
        <v>131</v>
      </c>
      <c r="K120" s="13">
        <v>137</v>
      </c>
      <c r="L120" s="58">
        <f>SUM(M120:N120)</f>
        <v>73</v>
      </c>
      <c r="M120" s="51">
        <v>37</v>
      </c>
      <c r="N120" s="55">
        <v>36</v>
      </c>
      <c r="O120" s="13">
        <f>SUM(P120:Q120)</f>
        <v>0</v>
      </c>
      <c r="P120" s="13">
        <v>0</v>
      </c>
      <c r="Q120" s="13">
        <v>0</v>
      </c>
      <c r="R120" s="58">
        <f>SUM(S120:T120)</f>
        <v>0</v>
      </c>
      <c r="S120" s="51">
        <v>0</v>
      </c>
      <c r="T120" s="55">
        <v>0</v>
      </c>
      <c r="U120" s="14">
        <f>V120+W120</f>
        <v>435</v>
      </c>
      <c r="V120" s="13">
        <v>217</v>
      </c>
      <c r="W120" s="13">
        <v>218</v>
      </c>
      <c r="X120" s="15">
        <f>SUM(Y120:Z120)</f>
        <v>48</v>
      </c>
      <c r="Y120" s="13">
        <v>10</v>
      </c>
      <c r="Z120" s="13">
        <v>38</v>
      </c>
      <c r="AA120" s="2"/>
    </row>
    <row r="121" spans="1:27" ht="15.75" x14ac:dyDescent="0.25">
      <c r="A121" s="43">
        <v>115</v>
      </c>
      <c r="B121" s="9" t="s">
        <v>4</v>
      </c>
      <c r="C121" s="10" t="s">
        <v>449</v>
      </c>
      <c r="D121" s="11" t="s">
        <v>450</v>
      </c>
      <c r="E121" s="12" t="s">
        <v>35</v>
      </c>
      <c r="F121" s="49">
        <f>G121+H121</f>
        <v>41</v>
      </c>
      <c r="G121" s="51">
        <v>20</v>
      </c>
      <c r="H121" s="55">
        <v>21</v>
      </c>
      <c r="I121" s="13">
        <f>SUM(J121:K121)</f>
        <v>206</v>
      </c>
      <c r="J121" s="13">
        <v>104</v>
      </c>
      <c r="K121" s="13">
        <v>102</v>
      </c>
      <c r="L121" s="58">
        <f>SUM(M121:N121)</f>
        <v>52</v>
      </c>
      <c r="M121" s="51">
        <v>30</v>
      </c>
      <c r="N121" s="55">
        <v>22</v>
      </c>
      <c r="O121" s="13">
        <f>SUM(P121:Q121)</f>
        <v>39</v>
      </c>
      <c r="P121" s="13">
        <v>15</v>
      </c>
      <c r="Q121" s="13">
        <v>24</v>
      </c>
      <c r="R121" s="58">
        <f>SUM(S121:T121)</f>
        <v>1</v>
      </c>
      <c r="S121" s="51">
        <v>0</v>
      </c>
      <c r="T121" s="55">
        <v>1</v>
      </c>
      <c r="U121" s="14">
        <f>V121+W121</f>
        <v>339</v>
      </c>
      <c r="V121" s="13">
        <v>169</v>
      </c>
      <c r="W121" s="13">
        <v>170</v>
      </c>
      <c r="X121" s="15">
        <f>SUM(Y121:Z121)</f>
        <v>48</v>
      </c>
      <c r="Y121" s="13">
        <v>13</v>
      </c>
      <c r="Z121" s="13">
        <v>35</v>
      </c>
      <c r="AA121" s="2"/>
    </row>
    <row r="122" spans="1:27" ht="15.75" x14ac:dyDescent="0.25">
      <c r="A122" s="43">
        <v>116</v>
      </c>
      <c r="B122" s="9" t="s">
        <v>4</v>
      </c>
      <c r="C122" s="10" t="s">
        <v>451</v>
      </c>
      <c r="D122" s="11" t="s">
        <v>452</v>
      </c>
      <c r="E122" s="12" t="s">
        <v>35</v>
      </c>
      <c r="F122" s="49">
        <f>G122+H122</f>
        <v>22</v>
      </c>
      <c r="G122" s="51">
        <v>12</v>
      </c>
      <c r="H122" s="55">
        <v>10</v>
      </c>
      <c r="I122" s="13">
        <f>SUM(J122:K122)</f>
        <v>62</v>
      </c>
      <c r="J122" s="13">
        <v>36</v>
      </c>
      <c r="K122" s="13">
        <v>26</v>
      </c>
      <c r="L122" s="58">
        <f>SUM(M122:N122)</f>
        <v>23</v>
      </c>
      <c r="M122" s="51">
        <v>8</v>
      </c>
      <c r="N122" s="55">
        <v>15</v>
      </c>
      <c r="O122" s="13">
        <f>SUM(P122:Q122)</f>
        <v>0</v>
      </c>
      <c r="P122" s="13">
        <v>0</v>
      </c>
      <c r="Q122" s="13">
        <v>0</v>
      </c>
      <c r="R122" s="58">
        <f>SUM(S122:T122)</f>
        <v>0</v>
      </c>
      <c r="S122" s="51">
        <v>0</v>
      </c>
      <c r="T122" s="55">
        <v>0</v>
      </c>
      <c r="U122" s="14">
        <f>V122+W122</f>
        <v>107</v>
      </c>
      <c r="V122" s="13">
        <v>56</v>
      </c>
      <c r="W122" s="13">
        <v>51</v>
      </c>
      <c r="X122" s="15">
        <f>SUM(Y122:Z122)</f>
        <v>24</v>
      </c>
      <c r="Y122" s="13">
        <v>7</v>
      </c>
      <c r="Z122" s="13">
        <v>17</v>
      </c>
      <c r="AA122" s="2"/>
    </row>
    <row r="123" spans="1:27" ht="15.75" x14ac:dyDescent="0.25">
      <c r="A123" s="43">
        <v>117</v>
      </c>
      <c r="B123" s="9" t="s">
        <v>4</v>
      </c>
      <c r="C123" s="10" t="s">
        <v>453</v>
      </c>
      <c r="D123" s="11" t="s">
        <v>101</v>
      </c>
      <c r="E123" s="12" t="s">
        <v>35</v>
      </c>
      <c r="F123" s="49">
        <f>G123+H123</f>
        <v>87</v>
      </c>
      <c r="G123" s="51">
        <v>42</v>
      </c>
      <c r="H123" s="55">
        <v>45</v>
      </c>
      <c r="I123" s="13">
        <f>SUM(J123:K123)</f>
        <v>239</v>
      </c>
      <c r="J123" s="13">
        <v>118</v>
      </c>
      <c r="K123" s="13">
        <v>121</v>
      </c>
      <c r="L123" s="58">
        <f>SUM(M123:N123)</f>
        <v>77</v>
      </c>
      <c r="M123" s="51">
        <v>38</v>
      </c>
      <c r="N123" s="55">
        <v>39</v>
      </c>
      <c r="O123" s="13">
        <f>SUM(P123:Q123)</f>
        <v>0</v>
      </c>
      <c r="P123" s="13">
        <v>0</v>
      </c>
      <c r="Q123" s="13">
        <v>0</v>
      </c>
      <c r="R123" s="58">
        <f>SUM(S123:T123)</f>
        <v>0</v>
      </c>
      <c r="S123" s="51">
        <v>0</v>
      </c>
      <c r="T123" s="55">
        <v>0</v>
      </c>
      <c r="U123" s="14">
        <f>V123+W123</f>
        <v>403</v>
      </c>
      <c r="V123" s="13">
        <v>198</v>
      </c>
      <c r="W123" s="13">
        <v>205</v>
      </c>
      <c r="X123" s="15">
        <f>SUM(Y123:Z123)</f>
        <v>58</v>
      </c>
      <c r="Y123" s="13">
        <v>13</v>
      </c>
      <c r="Z123" s="13">
        <v>45</v>
      </c>
      <c r="AA123" s="2"/>
    </row>
    <row r="124" spans="1:27" ht="15.75" x14ac:dyDescent="0.25">
      <c r="A124" s="43">
        <v>118</v>
      </c>
      <c r="B124" s="9" t="s">
        <v>4</v>
      </c>
      <c r="C124" s="10" t="s">
        <v>454</v>
      </c>
      <c r="D124" s="11" t="s">
        <v>93</v>
      </c>
      <c r="E124" s="12" t="s">
        <v>35</v>
      </c>
      <c r="F124" s="49">
        <f>G124+H124</f>
        <v>162</v>
      </c>
      <c r="G124" s="51">
        <v>80</v>
      </c>
      <c r="H124" s="55">
        <v>82</v>
      </c>
      <c r="I124" s="13">
        <f>SUM(J124:K124)</f>
        <v>446</v>
      </c>
      <c r="J124" s="13">
        <v>232</v>
      </c>
      <c r="K124" s="13">
        <v>214</v>
      </c>
      <c r="L124" s="58">
        <f>SUM(M124:N124)</f>
        <v>0</v>
      </c>
      <c r="M124" s="51">
        <v>0</v>
      </c>
      <c r="N124" s="55">
        <v>0</v>
      </c>
      <c r="O124" s="13">
        <f>SUM(P124:Q124)</f>
        <v>0</v>
      </c>
      <c r="P124" s="13">
        <v>0</v>
      </c>
      <c r="Q124" s="13">
        <v>0</v>
      </c>
      <c r="R124" s="58">
        <f>SUM(S124:T124)</f>
        <v>3</v>
      </c>
      <c r="S124" s="51">
        <v>3</v>
      </c>
      <c r="T124" s="55">
        <v>0</v>
      </c>
      <c r="U124" s="14">
        <f>V124+W124</f>
        <v>611</v>
      </c>
      <c r="V124" s="13">
        <v>315</v>
      </c>
      <c r="W124" s="13">
        <v>296</v>
      </c>
      <c r="X124" s="15">
        <f>SUM(Y124:Z124)</f>
        <v>54</v>
      </c>
      <c r="Y124" s="13">
        <v>0</v>
      </c>
      <c r="Z124" s="13">
        <v>54</v>
      </c>
      <c r="AA124" s="2"/>
    </row>
    <row r="125" spans="1:27" ht="15.75" x14ac:dyDescent="0.25">
      <c r="A125" s="43">
        <v>119</v>
      </c>
      <c r="B125" s="9" t="s">
        <v>4</v>
      </c>
      <c r="C125" s="10" t="s">
        <v>107</v>
      </c>
      <c r="D125" s="11" t="s">
        <v>95</v>
      </c>
      <c r="E125" s="12" t="s">
        <v>39</v>
      </c>
      <c r="F125" s="49">
        <f>G125+H125</f>
        <v>26</v>
      </c>
      <c r="G125" s="51">
        <v>14</v>
      </c>
      <c r="H125" s="55">
        <v>12</v>
      </c>
      <c r="I125" s="13">
        <f>SUM(J125:K125)</f>
        <v>0</v>
      </c>
      <c r="J125" s="13">
        <v>0</v>
      </c>
      <c r="K125" s="13">
        <v>0</v>
      </c>
      <c r="L125" s="58">
        <f>SUM(M125:N125)</f>
        <v>0</v>
      </c>
      <c r="M125" s="51">
        <v>0</v>
      </c>
      <c r="N125" s="55">
        <v>0</v>
      </c>
      <c r="O125" s="13">
        <f>SUM(P125:Q125)</f>
        <v>0</v>
      </c>
      <c r="P125" s="13">
        <v>0</v>
      </c>
      <c r="Q125" s="13">
        <v>0</v>
      </c>
      <c r="R125" s="58">
        <f>SUM(S125:T125)</f>
        <v>0</v>
      </c>
      <c r="S125" s="51">
        <v>0</v>
      </c>
      <c r="T125" s="55">
        <v>0</v>
      </c>
      <c r="U125" s="14">
        <f>V125+W125</f>
        <v>26</v>
      </c>
      <c r="V125" s="13">
        <v>14</v>
      </c>
      <c r="W125" s="13">
        <v>12</v>
      </c>
      <c r="X125" s="15">
        <f>SUM(Y125:Z125)</f>
        <v>2</v>
      </c>
      <c r="Y125" s="13">
        <v>0</v>
      </c>
      <c r="Z125" s="13">
        <v>2</v>
      </c>
      <c r="AA125" s="2"/>
    </row>
    <row r="126" spans="1:27" ht="15.75" x14ac:dyDescent="0.25">
      <c r="A126" s="43">
        <v>120</v>
      </c>
      <c r="B126" s="9" t="s">
        <v>4</v>
      </c>
      <c r="C126" s="10" t="s">
        <v>455</v>
      </c>
      <c r="D126" s="11" t="s">
        <v>100</v>
      </c>
      <c r="E126" s="12" t="s">
        <v>39</v>
      </c>
      <c r="F126" s="49">
        <f>G126+H126</f>
        <v>0</v>
      </c>
      <c r="G126" s="51">
        <v>0</v>
      </c>
      <c r="H126" s="55">
        <v>0</v>
      </c>
      <c r="I126" s="13">
        <f>SUM(J126:K126)</f>
        <v>0</v>
      </c>
      <c r="J126" s="13">
        <v>0</v>
      </c>
      <c r="K126" s="13">
        <v>0</v>
      </c>
      <c r="L126" s="58">
        <f>SUM(M126:N126)</f>
        <v>0</v>
      </c>
      <c r="M126" s="51">
        <v>0</v>
      </c>
      <c r="N126" s="55">
        <v>0</v>
      </c>
      <c r="O126" s="13">
        <f>SUM(P126:Q126)</f>
        <v>0</v>
      </c>
      <c r="P126" s="13">
        <v>0</v>
      </c>
      <c r="Q126" s="13">
        <v>0</v>
      </c>
      <c r="R126" s="58">
        <f>SUM(S126:T126)</f>
        <v>0</v>
      </c>
      <c r="S126" s="51">
        <v>0</v>
      </c>
      <c r="T126" s="55">
        <v>0</v>
      </c>
      <c r="U126" s="14">
        <f>V126+W126</f>
        <v>0</v>
      </c>
      <c r="V126" s="13">
        <v>0</v>
      </c>
      <c r="W126" s="13">
        <v>0</v>
      </c>
      <c r="X126" s="15">
        <f>SUM(Y126:Z126)</f>
        <v>0</v>
      </c>
      <c r="Y126" s="13">
        <v>0</v>
      </c>
      <c r="Z126" s="13">
        <v>0</v>
      </c>
      <c r="AA126" s="2"/>
    </row>
    <row r="127" spans="1:27" ht="15.75" x14ac:dyDescent="0.25">
      <c r="A127" s="43">
        <v>121</v>
      </c>
      <c r="B127" s="9" t="s">
        <v>4</v>
      </c>
      <c r="C127" s="10" t="s">
        <v>105</v>
      </c>
      <c r="D127" s="11" t="s">
        <v>97</v>
      </c>
      <c r="E127" s="12" t="s">
        <v>39</v>
      </c>
      <c r="F127" s="49">
        <f>G127+H127</f>
        <v>8</v>
      </c>
      <c r="G127" s="51">
        <v>7</v>
      </c>
      <c r="H127" s="55">
        <v>1</v>
      </c>
      <c r="I127" s="13">
        <f>SUM(J127:K127)</f>
        <v>0</v>
      </c>
      <c r="J127" s="13">
        <v>0</v>
      </c>
      <c r="K127" s="13">
        <v>0</v>
      </c>
      <c r="L127" s="58">
        <f>SUM(M127:N127)</f>
        <v>0</v>
      </c>
      <c r="M127" s="51">
        <v>0</v>
      </c>
      <c r="N127" s="55">
        <v>0</v>
      </c>
      <c r="O127" s="13">
        <f>SUM(P127:Q127)</f>
        <v>0</v>
      </c>
      <c r="P127" s="13">
        <v>0</v>
      </c>
      <c r="Q127" s="13">
        <v>0</v>
      </c>
      <c r="R127" s="58">
        <f>SUM(S127:T127)</f>
        <v>0</v>
      </c>
      <c r="S127" s="51">
        <v>0</v>
      </c>
      <c r="T127" s="55">
        <v>0</v>
      </c>
      <c r="U127" s="14">
        <f>V127+W127</f>
        <v>8</v>
      </c>
      <c r="V127" s="13">
        <v>7</v>
      </c>
      <c r="W127" s="13">
        <v>1</v>
      </c>
      <c r="X127" s="15">
        <f>SUM(Y127:Z127)</f>
        <v>0</v>
      </c>
      <c r="Y127" s="13">
        <v>0</v>
      </c>
      <c r="Z127" s="13">
        <v>0</v>
      </c>
      <c r="AA127" s="2"/>
    </row>
    <row r="128" spans="1:27" ht="15.75" x14ac:dyDescent="0.25">
      <c r="A128" s="43">
        <v>122</v>
      </c>
      <c r="B128" s="9" t="s">
        <v>4</v>
      </c>
      <c r="C128" s="10" t="s">
        <v>456</v>
      </c>
      <c r="D128" s="11" t="s">
        <v>101</v>
      </c>
      <c r="E128" s="12" t="s">
        <v>37</v>
      </c>
      <c r="F128" s="49">
        <f>G128+H128</f>
        <v>38</v>
      </c>
      <c r="G128" s="51">
        <v>25</v>
      </c>
      <c r="H128" s="55">
        <v>13</v>
      </c>
      <c r="I128" s="13">
        <f>SUM(J128:K128)</f>
        <v>0</v>
      </c>
      <c r="J128" s="13">
        <v>0</v>
      </c>
      <c r="K128" s="13">
        <v>0</v>
      </c>
      <c r="L128" s="58">
        <f>SUM(M128:N128)</f>
        <v>0</v>
      </c>
      <c r="M128" s="51">
        <v>0</v>
      </c>
      <c r="N128" s="55">
        <v>0</v>
      </c>
      <c r="O128" s="13">
        <f>SUM(P128:Q128)</f>
        <v>0</v>
      </c>
      <c r="P128" s="13">
        <v>0</v>
      </c>
      <c r="Q128" s="13">
        <v>0</v>
      </c>
      <c r="R128" s="58">
        <f>SUM(S128:T128)</f>
        <v>0</v>
      </c>
      <c r="S128" s="51">
        <v>0</v>
      </c>
      <c r="T128" s="55">
        <v>0</v>
      </c>
      <c r="U128" s="14">
        <f>V128+W128</f>
        <v>38</v>
      </c>
      <c r="V128" s="13">
        <v>25</v>
      </c>
      <c r="W128" s="13">
        <v>13</v>
      </c>
      <c r="X128" s="15">
        <f>SUM(Y128:Z128)</f>
        <v>5</v>
      </c>
      <c r="Y128" s="13">
        <v>0</v>
      </c>
      <c r="Z128" s="13">
        <v>5</v>
      </c>
      <c r="AA128" s="2"/>
    </row>
    <row r="129" spans="1:27" ht="15.75" x14ac:dyDescent="0.25">
      <c r="A129" s="43">
        <v>123</v>
      </c>
      <c r="B129" s="9" t="s">
        <v>4</v>
      </c>
      <c r="C129" s="10" t="s">
        <v>108</v>
      </c>
      <c r="D129" s="11" t="s">
        <v>103</v>
      </c>
      <c r="E129" s="12" t="s">
        <v>37</v>
      </c>
      <c r="F129" s="49">
        <f>G129+H129</f>
        <v>18</v>
      </c>
      <c r="G129" s="51">
        <v>7</v>
      </c>
      <c r="H129" s="55">
        <v>11</v>
      </c>
      <c r="I129" s="13">
        <f>SUM(J129:K129)</f>
        <v>0</v>
      </c>
      <c r="J129" s="13">
        <v>0</v>
      </c>
      <c r="K129" s="13">
        <v>0</v>
      </c>
      <c r="L129" s="58">
        <f>SUM(M129:N129)</f>
        <v>0</v>
      </c>
      <c r="M129" s="51">
        <v>0</v>
      </c>
      <c r="N129" s="55">
        <v>0</v>
      </c>
      <c r="O129" s="13">
        <f>SUM(P129:Q129)</f>
        <v>0</v>
      </c>
      <c r="P129" s="13">
        <v>0</v>
      </c>
      <c r="Q129" s="13">
        <v>0</v>
      </c>
      <c r="R129" s="58">
        <f>SUM(S129:T129)</f>
        <v>0</v>
      </c>
      <c r="S129" s="51">
        <v>0</v>
      </c>
      <c r="T129" s="55">
        <v>0</v>
      </c>
      <c r="U129" s="14">
        <f>V129+W129</f>
        <v>18</v>
      </c>
      <c r="V129" s="13">
        <v>7</v>
      </c>
      <c r="W129" s="13">
        <v>11</v>
      </c>
      <c r="X129" s="15">
        <f>SUM(Y129:Z129)</f>
        <v>3</v>
      </c>
      <c r="Y129" s="13">
        <v>0</v>
      </c>
      <c r="Z129" s="13">
        <v>3</v>
      </c>
      <c r="AA129" s="2"/>
    </row>
    <row r="130" spans="1:27" ht="15.75" x14ac:dyDescent="0.25">
      <c r="A130" s="43">
        <v>124</v>
      </c>
      <c r="B130" s="9" t="s">
        <v>4</v>
      </c>
      <c r="C130" s="10" t="s">
        <v>106</v>
      </c>
      <c r="D130" s="11" t="s">
        <v>98</v>
      </c>
      <c r="E130" s="12" t="s">
        <v>37</v>
      </c>
      <c r="F130" s="49">
        <f>G130+H130</f>
        <v>0</v>
      </c>
      <c r="G130" s="51">
        <v>0</v>
      </c>
      <c r="H130" s="55">
        <v>0</v>
      </c>
      <c r="I130" s="13">
        <f>SUM(J130:K130)</f>
        <v>0</v>
      </c>
      <c r="J130" s="13">
        <v>0</v>
      </c>
      <c r="K130" s="13">
        <v>0</v>
      </c>
      <c r="L130" s="58">
        <f>SUM(M130:N130)</f>
        <v>0</v>
      </c>
      <c r="M130" s="51">
        <v>0</v>
      </c>
      <c r="N130" s="55">
        <v>0</v>
      </c>
      <c r="O130" s="13">
        <f>SUM(P130:Q130)</f>
        <v>0</v>
      </c>
      <c r="P130" s="13">
        <v>0</v>
      </c>
      <c r="Q130" s="13">
        <v>0</v>
      </c>
      <c r="R130" s="58">
        <f>SUM(S130:T130)</f>
        <v>0</v>
      </c>
      <c r="S130" s="51">
        <v>0</v>
      </c>
      <c r="T130" s="55">
        <v>0</v>
      </c>
      <c r="U130" s="14">
        <f>V130+W130</f>
        <v>0</v>
      </c>
      <c r="V130" s="13">
        <v>0</v>
      </c>
      <c r="W130" s="13">
        <v>0</v>
      </c>
      <c r="X130" s="15">
        <f>SUM(Y130:Z130)</f>
        <v>0</v>
      </c>
      <c r="Y130" s="13">
        <v>0</v>
      </c>
      <c r="Z130" s="13">
        <v>0</v>
      </c>
      <c r="AA130" s="2"/>
    </row>
    <row r="131" spans="1:27" ht="15.75" x14ac:dyDescent="0.25">
      <c r="A131" s="43">
        <v>125</v>
      </c>
      <c r="B131" s="9" t="s">
        <v>5</v>
      </c>
      <c r="C131" s="10" t="s">
        <v>229</v>
      </c>
      <c r="D131" s="11" t="s">
        <v>110</v>
      </c>
      <c r="E131" s="12" t="s">
        <v>35</v>
      </c>
      <c r="F131" s="49">
        <f>G131+H131</f>
        <v>103</v>
      </c>
      <c r="G131" s="51">
        <v>48</v>
      </c>
      <c r="H131" s="55">
        <v>55</v>
      </c>
      <c r="I131" s="13">
        <f>SUM(J131:K131)</f>
        <v>404</v>
      </c>
      <c r="J131" s="13">
        <v>203</v>
      </c>
      <c r="K131" s="13">
        <v>201</v>
      </c>
      <c r="L131" s="58">
        <f>SUM(M131:N131)</f>
        <v>158</v>
      </c>
      <c r="M131" s="51">
        <v>76</v>
      </c>
      <c r="N131" s="55">
        <v>82</v>
      </c>
      <c r="O131" s="13">
        <f>SUM(P131:Q131)</f>
        <v>62</v>
      </c>
      <c r="P131" s="13">
        <v>24</v>
      </c>
      <c r="Q131" s="13">
        <v>38</v>
      </c>
      <c r="R131" s="58">
        <f>SUM(S131:T131)</f>
        <v>0</v>
      </c>
      <c r="S131" s="51">
        <v>0</v>
      </c>
      <c r="T131" s="55">
        <v>0</v>
      </c>
      <c r="U131" s="14">
        <f>V131+W131</f>
        <v>727</v>
      </c>
      <c r="V131" s="13">
        <v>351</v>
      </c>
      <c r="W131" s="13">
        <v>376</v>
      </c>
      <c r="X131" s="15">
        <f>SUM(Y131:Z131)</f>
        <v>99</v>
      </c>
      <c r="Y131" s="13">
        <v>26</v>
      </c>
      <c r="Z131" s="13">
        <v>73</v>
      </c>
    </row>
    <row r="132" spans="1:27" ht="15.75" x14ac:dyDescent="0.25">
      <c r="A132" s="43">
        <v>126</v>
      </c>
      <c r="B132" s="9" t="s">
        <v>5</v>
      </c>
      <c r="C132" s="10" t="s">
        <v>230</v>
      </c>
      <c r="D132" s="11" t="s">
        <v>109</v>
      </c>
      <c r="E132" s="12" t="s">
        <v>35</v>
      </c>
      <c r="F132" s="49">
        <f>G132+H132</f>
        <v>46</v>
      </c>
      <c r="G132" s="51">
        <v>23</v>
      </c>
      <c r="H132" s="55">
        <v>23</v>
      </c>
      <c r="I132" s="13">
        <f>SUM(J132:K132)</f>
        <v>115</v>
      </c>
      <c r="J132" s="13">
        <v>65</v>
      </c>
      <c r="K132" s="13">
        <v>50</v>
      </c>
      <c r="L132" s="58">
        <f>SUM(M132:N132)</f>
        <v>33</v>
      </c>
      <c r="M132" s="51">
        <v>18</v>
      </c>
      <c r="N132" s="55">
        <v>15</v>
      </c>
      <c r="O132" s="13">
        <f>SUM(P132:Q132)</f>
        <v>2</v>
      </c>
      <c r="P132" s="13">
        <v>1</v>
      </c>
      <c r="Q132" s="13">
        <v>1</v>
      </c>
      <c r="R132" s="58">
        <f>SUM(S132:T132)</f>
        <v>0</v>
      </c>
      <c r="S132" s="51">
        <v>0</v>
      </c>
      <c r="T132" s="55">
        <v>0</v>
      </c>
      <c r="U132" s="14">
        <f>V132+W132</f>
        <v>196</v>
      </c>
      <c r="V132" s="13">
        <v>107</v>
      </c>
      <c r="W132" s="13">
        <v>89</v>
      </c>
      <c r="X132" s="15">
        <f>SUM(Y132:Z132)</f>
        <v>30</v>
      </c>
      <c r="Y132" s="13">
        <v>11</v>
      </c>
      <c r="Z132" s="13">
        <v>19</v>
      </c>
    </row>
    <row r="133" spans="1:27" ht="15.75" x14ac:dyDescent="0.25">
      <c r="A133" s="43">
        <v>127</v>
      </c>
      <c r="B133" s="9" t="s">
        <v>5</v>
      </c>
      <c r="C133" s="10" t="s">
        <v>231</v>
      </c>
      <c r="D133" s="11" t="s">
        <v>111</v>
      </c>
      <c r="E133" s="12" t="s">
        <v>35</v>
      </c>
      <c r="F133" s="49">
        <f>G133+H133</f>
        <v>20</v>
      </c>
      <c r="G133" s="51">
        <v>8</v>
      </c>
      <c r="H133" s="55">
        <v>12</v>
      </c>
      <c r="I133" s="13">
        <f>SUM(J133:K133)</f>
        <v>51</v>
      </c>
      <c r="J133" s="13">
        <v>21</v>
      </c>
      <c r="K133" s="13">
        <v>30</v>
      </c>
      <c r="L133" s="58">
        <f>SUM(M133:N133)</f>
        <v>23</v>
      </c>
      <c r="M133" s="51">
        <v>12</v>
      </c>
      <c r="N133" s="55">
        <v>11</v>
      </c>
      <c r="O133" s="13">
        <f>SUM(P133:Q133)</f>
        <v>0</v>
      </c>
      <c r="P133" s="13">
        <v>0</v>
      </c>
      <c r="Q133" s="13">
        <v>0</v>
      </c>
      <c r="R133" s="58">
        <f>SUM(S133:T133)</f>
        <v>0</v>
      </c>
      <c r="S133" s="51">
        <v>0</v>
      </c>
      <c r="T133" s="55">
        <v>0</v>
      </c>
      <c r="U133" s="14">
        <f>V133+W133</f>
        <v>94</v>
      </c>
      <c r="V133" s="13">
        <v>41</v>
      </c>
      <c r="W133" s="13">
        <v>53</v>
      </c>
      <c r="X133" s="15">
        <f>SUM(Y133:Z133)</f>
        <v>26</v>
      </c>
      <c r="Y133" s="13">
        <v>8</v>
      </c>
      <c r="Z133" s="13">
        <v>18</v>
      </c>
    </row>
    <row r="134" spans="1:27" ht="15.75" x14ac:dyDescent="0.25">
      <c r="A134" s="43">
        <v>128</v>
      </c>
      <c r="B134" s="9" t="s">
        <v>5</v>
      </c>
      <c r="C134" s="10" t="s">
        <v>232</v>
      </c>
      <c r="D134" s="11" t="s">
        <v>112</v>
      </c>
      <c r="E134" s="12" t="s">
        <v>35</v>
      </c>
      <c r="F134" s="49">
        <f>G134+H134</f>
        <v>8</v>
      </c>
      <c r="G134" s="51">
        <v>4</v>
      </c>
      <c r="H134" s="55">
        <v>4</v>
      </c>
      <c r="I134" s="13">
        <f>SUM(J134:K134)</f>
        <v>34</v>
      </c>
      <c r="J134" s="13">
        <v>16</v>
      </c>
      <c r="K134" s="13">
        <v>18</v>
      </c>
      <c r="L134" s="58">
        <f>SUM(M134:N134)</f>
        <v>4</v>
      </c>
      <c r="M134" s="51">
        <v>4</v>
      </c>
      <c r="N134" s="55">
        <v>0</v>
      </c>
      <c r="O134" s="13">
        <f>SUM(P134:Q134)</f>
        <v>0</v>
      </c>
      <c r="P134" s="13">
        <v>0</v>
      </c>
      <c r="Q134" s="13">
        <v>0</v>
      </c>
      <c r="R134" s="58">
        <f>SUM(S134:T134)</f>
        <v>0</v>
      </c>
      <c r="S134" s="51">
        <v>0</v>
      </c>
      <c r="T134" s="55">
        <v>0</v>
      </c>
      <c r="U134" s="14">
        <f>V134+W134</f>
        <v>46</v>
      </c>
      <c r="V134" s="13">
        <v>24</v>
      </c>
      <c r="W134" s="13">
        <v>22</v>
      </c>
      <c r="X134" s="15">
        <f>SUM(Y134:Z134)</f>
        <v>13</v>
      </c>
      <c r="Y134" s="13">
        <v>5</v>
      </c>
      <c r="Z134" s="13">
        <v>8</v>
      </c>
    </row>
    <row r="135" spans="1:27" ht="15.75" x14ac:dyDescent="0.25">
      <c r="A135" s="43">
        <v>129</v>
      </c>
      <c r="B135" s="9" t="s">
        <v>5</v>
      </c>
      <c r="C135" s="10" t="s">
        <v>233</v>
      </c>
      <c r="D135" s="11" t="s">
        <v>234</v>
      </c>
      <c r="E135" s="12" t="s">
        <v>35</v>
      </c>
      <c r="F135" s="49">
        <f>G135+H135</f>
        <v>30</v>
      </c>
      <c r="G135" s="51">
        <v>12</v>
      </c>
      <c r="H135" s="55">
        <v>18</v>
      </c>
      <c r="I135" s="13">
        <f>SUM(J135:K135)</f>
        <v>89</v>
      </c>
      <c r="J135" s="13">
        <v>45</v>
      </c>
      <c r="K135" s="13">
        <v>44</v>
      </c>
      <c r="L135" s="58">
        <f>SUM(M135:N135)</f>
        <v>42</v>
      </c>
      <c r="M135" s="51">
        <v>27</v>
      </c>
      <c r="N135" s="55">
        <v>15</v>
      </c>
      <c r="O135" s="13">
        <f>SUM(P135:Q135)</f>
        <v>0</v>
      </c>
      <c r="P135" s="13">
        <v>0</v>
      </c>
      <c r="Q135" s="13">
        <v>0</v>
      </c>
      <c r="R135" s="58">
        <f>SUM(S135:T135)</f>
        <v>0</v>
      </c>
      <c r="S135" s="51">
        <v>0</v>
      </c>
      <c r="T135" s="55">
        <v>0</v>
      </c>
      <c r="U135" s="14">
        <f>V135+W135</f>
        <v>161</v>
      </c>
      <c r="V135" s="13">
        <v>84</v>
      </c>
      <c r="W135" s="13">
        <v>77</v>
      </c>
      <c r="X135" s="15">
        <f>SUM(Y135:Z135)</f>
        <v>34</v>
      </c>
      <c r="Y135" s="13">
        <v>11</v>
      </c>
      <c r="Z135" s="13">
        <v>23</v>
      </c>
    </row>
    <row r="136" spans="1:27" ht="15.75" x14ac:dyDescent="0.25">
      <c r="A136" s="43">
        <v>130</v>
      </c>
      <c r="B136" s="9" t="s">
        <v>5</v>
      </c>
      <c r="C136" s="10" t="s">
        <v>235</v>
      </c>
      <c r="D136" s="11" t="s">
        <v>113</v>
      </c>
      <c r="E136" s="12" t="s">
        <v>35</v>
      </c>
      <c r="F136" s="49">
        <f>G136+H136</f>
        <v>34</v>
      </c>
      <c r="G136" s="51">
        <v>21</v>
      </c>
      <c r="H136" s="55">
        <v>13</v>
      </c>
      <c r="I136" s="13">
        <f>SUM(J136:K136)</f>
        <v>128</v>
      </c>
      <c r="J136" s="13">
        <v>76</v>
      </c>
      <c r="K136" s="13">
        <v>52</v>
      </c>
      <c r="L136" s="58">
        <f>SUM(M136:N136)</f>
        <v>40</v>
      </c>
      <c r="M136" s="51">
        <v>23</v>
      </c>
      <c r="N136" s="55">
        <v>17</v>
      </c>
      <c r="O136" s="13">
        <f>SUM(P136:Q136)</f>
        <v>0</v>
      </c>
      <c r="P136" s="13">
        <v>0</v>
      </c>
      <c r="Q136" s="13">
        <v>0</v>
      </c>
      <c r="R136" s="58">
        <f>SUM(S136:T136)</f>
        <v>0</v>
      </c>
      <c r="S136" s="51">
        <v>0</v>
      </c>
      <c r="T136" s="55">
        <v>0</v>
      </c>
      <c r="U136" s="14">
        <f>V136+W136</f>
        <v>202</v>
      </c>
      <c r="V136" s="13">
        <v>120</v>
      </c>
      <c r="W136" s="13">
        <v>82</v>
      </c>
      <c r="X136" s="15">
        <f>SUM(Y136:Z136)</f>
        <v>35</v>
      </c>
      <c r="Y136" s="13">
        <v>10</v>
      </c>
      <c r="Z136" s="13">
        <v>25</v>
      </c>
    </row>
    <row r="137" spans="1:27" ht="15.75" x14ac:dyDescent="0.25">
      <c r="A137" s="43">
        <v>131</v>
      </c>
      <c r="B137" s="9" t="s">
        <v>5</v>
      </c>
      <c r="C137" s="10" t="s">
        <v>236</v>
      </c>
      <c r="D137" s="11" t="s">
        <v>114</v>
      </c>
      <c r="E137" s="12" t="s">
        <v>35</v>
      </c>
      <c r="F137" s="49">
        <f>G137+H137</f>
        <v>7</v>
      </c>
      <c r="G137" s="51">
        <v>4</v>
      </c>
      <c r="H137" s="55">
        <v>3</v>
      </c>
      <c r="I137" s="13">
        <f>SUM(J137:K137)</f>
        <v>52</v>
      </c>
      <c r="J137" s="13">
        <v>26</v>
      </c>
      <c r="K137" s="13">
        <v>26</v>
      </c>
      <c r="L137" s="58">
        <f>SUM(M137:N137)</f>
        <v>18</v>
      </c>
      <c r="M137" s="51">
        <v>11</v>
      </c>
      <c r="N137" s="55">
        <v>7</v>
      </c>
      <c r="O137" s="13">
        <f>SUM(P137:Q137)</f>
        <v>0</v>
      </c>
      <c r="P137" s="13">
        <v>0</v>
      </c>
      <c r="Q137" s="13">
        <v>0</v>
      </c>
      <c r="R137" s="58">
        <f>SUM(S137:T137)</f>
        <v>0</v>
      </c>
      <c r="S137" s="51">
        <v>0</v>
      </c>
      <c r="T137" s="55">
        <v>0</v>
      </c>
      <c r="U137" s="14">
        <f>V137+W137</f>
        <v>77</v>
      </c>
      <c r="V137" s="13">
        <v>41</v>
      </c>
      <c r="W137" s="13">
        <v>36</v>
      </c>
      <c r="X137" s="15">
        <f>SUM(Y137:Z137)</f>
        <v>21</v>
      </c>
      <c r="Y137" s="13">
        <v>6</v>
      </c>
      <c r="Z137" s="13">
        <v>15</v>
      </c>
    </row>
    <row r="138" spans="1:27" ht="15.75" x14ac:dyDescent="0.25">
      <c r="A138" s="43">
        <v>132</v>
      </c>
      <c r="B138" s="9" t="s">
        <v>5</v>
      </c>
      <c r="C138" s="10" t="s">
        <v>237</v>
      </c>
      <c r="D138" s="11" t="s">
        <v>115</v>
      </c>
      <c r="E138" s="12" t="s">
        <v>35</v>
      </c>
      <c r="F138" s="49">
        <f>G138+H138</f>
        <v>37</v>
      </c>
      <c r="G138" s="51">
        <v>19</v>
      </c>
      <c r="H138" s="55">
        <v>18</v>
      </c>
      <c r="I138" s="13">
        <f>SUM(J138:K138)</f>
        <v>136</v>
      </c>
      <c r="J138" s="13">
        <v>73</v>
      </c>
      <c r="K138" s="13">
        <v>63</v>
      </c>
      <c r="L138" s="58">
        <f>SUM(M138:N138)</f>
        <v>46</v>
      </c>
      <c r="M138" s="51">
        <v>26</v>
      </c>
      <c r="N138" s="55">
        <v>20</v>
      </c>
      <c r="O138" s="13">
        <f>SUM(P138:Q138)</f>
        <v>0</v>
      </c>
      <c r="P138" s="13">
        <v>0</v>
      </c>
      <c r="Q138" s="13">
        <v>0</v>
      </c>
      <c r="R138" s="58">
        <f>SUM(S138:T138)</f>
        <v>0</v>
      </c>
      <c r="S138" s="51">
        <v>0</v>
      </c>
      <c r="T138" s="55">
        <v>0</v>
      </c>
      <c r="U138" s="14">
        <f>V138+W138</f>
        <v>219</v>
      </c>
      <c r="V138" s="13">
        <v>118</v>
      </c>
      <c r="W138" s="13">
        <v>101</v>
      </c>
      <c r="X138" s="15">
        <f>SUM(Y138:Z138)</f>
        <v>33</v>
      </c>
      <c r="Y138" s="13">
        <v>3</v>
      </c>
      <c r="Z138" s="13">
        <v>30</v>
      </c>
    </row>
    <row r="139" spans="1:27" ht="15.75" x14ac:dyDescent="0.25">
      <c r="A139" s="43">
        <v>133</v>
      </c>
      <c r="B139" s="9" t="s">
        <v>5</v>
      </c>
      <c r="C139" s="10" t="s">
        <v>238</v>
      </c>
      <c r="D139" s="11" t="s">
        <v>116</v>
      </c>
      <c r="E139" s="12" t="s">
        <v>35</v>
      </c>
      <c r="F139" s="49">
        <f>G139+H139</f>
        <v>18</v>
      </c>
      <c r="G139" s="51">
        <v>8</v>
      </c>
      <c r="H139" s="55">
        <v>10</v>
      </c>
      <c r="I139" s="13">
        <f>SUM(J139:K139)</f>
        <v>76</v>
      </c>
      <c r="J139" s="13">
        <v>33</v>
      </c>
      <c r="K139" s="13">
        <v>43</v>
      </c>
      <c r="L139" s="58">
        <f>SUM(M139:N139)</f>
        <v>22</v>
      </c>
      <c r="M139" s="51">
        <v>16</v>
      </c>
      <c r="N139" s="55">
        <v>6</v>
      </c>
      <c r="O139" s="13">
        <f>SUM(P139:Q139)</f>
        <v>0</v>
      </c>
      <c r="P139" s="13">
        <v>0</v>
      </c>
      <c r="Q139" s="13">
        <v>0</v>
      </c>
      <c r="R139" s="58">
        <f>SUM(S139:T139)</f>
        <v>0</v>
      </c>
      <c r="S139" s="51">
        <v>0</v>
      </c>
      <c r="T139" s="55">
        <v>0</v>
      </c>
      <c r="U139" s="14">
        <f>V139+W139</f>
        <v>116</v>
      </c>
      <c r="V139" s="13">
        <v>57</v>
      </c>
      <c r="W139" s="13">
        <v>59</v>
      </c>
      <c r="X139" s="15">
        <f>SUM(Y139:Z139)</f>
        <v>31</v>
      </c>
      <c r="Y139" s="13">
        <v>8</v>
      </c>
      <c r="Z139" s="13">
        <v>23</v>
      </c>
    </row>
    <row r="140" spans="1:27" ht="15.75" x14ac:dyDescent="0.25">
      <c r="A140" s="43">
        <v>134</v>
      </c>
      <c r="B140" s="9" t="s">
        <v>5</v>
      </c>
      <c r="C140" s="10" t="s">
        <v>239</v>
      </c>
      <c r="D140" s="11" t="s">
        <v>117</v>
      </c>
      <c r="E140" s="12" t="s">
        <v>35</v>
      </c>
      <c r="F140" s="49">
        <f>G140+H140</f>
        <v>28</v>
      </c>
      <c r="G140" s="51">
        <v>13</v>
      </c>
      <c r="H140" s="55">
        <v>15</v>
      </c>
      <c r="I140" s="13">
        <f>SUM(J140:K140)</f>
        <v>66</v>
      </c>
      <c r="J140" s="13">
        <v>31</v>
      </c>
      <c r="K140" s="13">
        <v>35</v>
      </c>
      <c r="L140" s="58">
        <f>SUM(M140:N140)</f>
        <v>19</v>
      </c>
      <c r="M140" s="51">
        <v>12</v>
      </c>
      <c r="N140" s="55">
        <v>7</v>
      </c>
      <c r="O140" s="13">
        <f>SUM(P140:Q140)</f>
        <v>0</v>
      </c>
      <c r="P140" s="13">
        <v>0</v>
      </c>
      <c r="Q140" s="13">
        <v>0</v>
      </c>
      <c r="R140" s="58">
        <f>SUM(S140:T140)</f>
        <v>0</v>
      </c>
      <c r="S140" s="51">
        <v>0</v>
      </c>
      <c r="T140" s="55">
        <v>0</v>
      </c>
      <c r="U140" s="14">
        <f>V140+W140</f>
        <v>113</v>
      </c>
      <c r="V140" s="13">
        <v>56</v>
      </c>
      <c r="W140" s="13">
        <v>57</v>
      </c>
      <c r="X140" s="15">
        <f>SUM(Y140:Z140)</f>
        <v>25</v>
      </c>
      <c r="Y140" s="13">
        <v>6</v>
      </c>
      <c r="Z140" s="13">
        <v>19</v>
      </c>
    </row>
    <row r="141" spans="1:27" ht="15.75" x14ac:dyDescent="0.25">
      <c r="A141" s="43">
        <v>135</v>
      </c>
      <c r="B141" s="9" t="s">
        <v>5</v>
      </c>
      <c r="C141" s="10" t="s">
        <v>240</v>
      </c>
      <c r="D141" s="11" t="s">
        <v>241</v>
      </c>
      <c r="E141" s="12" t="s">
        <v>35</v>
      </c>
      <c r="F141" s="49">
        <f>G141+H141</f>
        <v>26</v>
      </c>
      <c r="G141" s="51">
        <v>11</v>
      </c>
      <c r="H141" s="55">
        <v>15</v>
      </c>
      <c r="I141" s="13">
        <f>SUM(J141:K141)</f>
        <v>82</v>
      </c>
      <c r="J141" s="13">
        <v>39</v>
      </c>
      <c r="K141" s="13">
        <v>43</v>
      </c>
      <c r="L141" s="58">
        <f>SUM(M141:N141)</f>
        <v>33</v>
      </c>
      <c r="M141" s="51">
        <v>12</v>
      </c>
      <c r="N141" s="55">
        <v>21</v>
      </c>
      <c r="O141" s="13">
        <f>SUM(P141:Q141)</f>
        <v>0</v>
      </c>
      <c r="P141" s="13">
        <v>0</v>
      </c>
      <c r="Q141" s="13">
        <v>0</v>
      </c>
      <c r="R141" s="58">
        <f>SUM(S141:T141)</f>
        <v>0</v>
      </c>
      <c r="S141" s="51">
        <v>0</v>
      </c>
      <c r="T141" s="55">
        <v>0</v>
      </c>
      <c r="U141" s="14">
        <f>V141+W141</f>
        <v>141</v>
      </c>
      <c r="V141" s="13">
        <v>62</v>
      </c>
      <c r="W141" s="13">
        <v>79</v>
      </c>
      <c r="X141" s="15">
        <f>SUM(Y141:Z141)</f>
        <v>29</v>
      </c>
      <c r="Y141" s="13">
        <v>6</v>
      </c>
      <c r="Z141" s="13">
        <v>23</v>
      </c>
    </row>
    <row r="142" spans="1:27" ht="15.75" x14ac:dyDescent="0.25">
      <c r="A142" s="43">
        <v>136</v>
      </c>
      <c r="B142" s="9" t="s">
        <v>5</v>
      </c>
      <c r="C142" s="10" t="s">
        <v>242</v>
      </c>
      <c r="D142" s="11" t="s">
        <v>119</v>
      </c>
      <c r="E142" s="12" t="s">
        <v>35</v>
      </c>
      <c r="F142" s="49">
        <f>G142+H142</f>
        <v>74</v>
      </c>
      <c r="G142" s="51">
        <v>36</v>
      </c>
      <c r="H142" s="55">
        <v>38</v>
      </c>
      <c r="I142" s="13">
        <f>SUM(J142:K142)</f>
        <v>221</v>
      </c>
      <c r="J142" s="13">
        <v>116</v>
      </c>
      <c r="K142" s="13">
        <v>105</v>
      </c>
      <c r="L142" s="58">
        <f>SUM(M142:N142)</f>
        <v>84</v>
      </c>
      <c r="M142" s="51">
        <v>46</v>
      </c>
      <c r="N142" s="55">
        <v>38</v>
      </c>
      <c r="O142" s="13">
        <f>SUM(P142:Q142)</f>
        <v>0</v>
      </c>
      <c r="P142" s="13">
        <v>0</v>
      </c>
      <c r="Q142" s="13">
        <v>0</v>
      </c>
      <c r="R142" s="58">
        <f>SUM(S142:T142)</f>
        <v>0</v>
      </c>
      <c r="S142" s="51">
        <v>0</v>
      </c>
      <c r="T142" s="55">
        <v>0</v>
      </c>
      <c r="U142" s="14">
        <f>V142+W142</f>
        <v>379</v>
      </c>
      <c r="V142" s="13">
        <v>198</v>
      </c>
      <c r="W142" s="13">
        <v>181</v>
      </c>
      <c r="X142" s="15">
        <f>SUM(Y142:Z142)</f>
        <v>52</v>
      </c>
      <c r="Y142" s="13">
        <v>17</v>
      </c>
      <c r="Z142" s="13">
        <v>35</v>
      </c>
    </row>
    <row r="143" spans="1:27" ht="15.75" x14ac:dyDescent="0.25">
      <c r="A143" s="43">
        <v>137</v>
      </c>
      <c r="B143" s="9" t="s">
        <v>5</v>
      </c>
      <c r="C143" s="10" t="s">
        <v>78</v>
      </c>
      <c r="D143" s="11" t="s">
        <v>73</v>
      </c>
      <c r="E143" s="12" t="s">
        <v>39</v>
      </c>
      <c r="F143" s="49">
        <f>G143+H143</f>
        <v>8</v>
      </c>
      <c r="G143" s="51">
        <v>6</v>
      </c>
      <c r="H143" s="55">
        <v>2</v>
      </c>
      <c r="I143" s="13">
        <f>SUM(J143:K143)</f>
        <v>0</v>
      </c>
      <c r="J143" s="13">
        <v>0</v>
      </c>
      <c r="K143" s="13">
        <v>0</v>
      </c>
      <c r="L143" s="58">
        <f>SUM(M143:N143)</f>
        <v>0</v>
      </c>
      <c r="M143" s="51">
        <v>0</v>
      </c>
      <c r="N143" s="55">
        <v>0</v>
      </c>
      <c r="O143" s="13">
        <f>SUM(P143:Q143)</f>
        <v>0</v>
      </c>
      <c r="P143" s="13">
        <v>0</v>
      </c>
      <c r="Q143" s="13">
        <v>0</v>
      </c>
      <c r="R143" s="58">
        <f>SUM(S143:T143)</f>
        <v>0</v>
      </c>
      <c r="S143" s="51">
        <v>0</v>
      </c>
      <c r="T143" s="55">
        <v>0</v>
      </c>
      <c r="U143" s="14">
        <f>V143+W143</f>
        <v>8</v>
      </c>
      <c r="V143" s="13">
        <v>6</v>
      </c>
      <c r="W143" s="13">
        <v>2</v>
      </c>
      <c r="X143" s="15">
        <f>SUM(Y143:Z143)</f>
        <v>2</v>
      </c>
      <c r="Y143" s="13">
        <v>0</v>
      </c>
      <c r="Z143" s="13">
        <v>2</v>
      </c>
    </row>
    <row r="144" spans="1:27" ht="15.75" x14ac:dyDescent="0.25">
      <c r="A144" s="43">
        <v>138</v>
      </c>
      <c r="B144" s="9" t="s">
        <v>5</v>
      </c>
      <c r="C144" s="10" t="s">
        <v>243</v>
      </c>
      <c r="D144" s="11" t="s">
        <v>119</v>
      </c>
      <c r="E144" s="12" t="s">
        <v>37</v>
      </c>
      <c r="F144" s="49">
        <f>G144+H144</f>
        <v>33</v>
      </c>
      <c r="G144" s="51">
        <v>13</v>
      </c>
      <c r="H144" s="55">
        <v>20</v>
      </c>
      <c r="I144" s="13">
        <f>SUM(J144:K144)</f>
        <v>0</v>
      </c>
      <c r="J144" s="13">
        <v>0</v>
      </c>
      <c r="K144" s="13">
        <v>0</v>
      </c>
      <c r="L144" s="58">
        <f>SUM(M144:N144)</f>
        <v>0</v>
      </c>
      <c r="M144" s="51">
        <v>0</v>
      </c>
      <c r="N144" s="55">
        <v>0</v>
      </c>
      <c r="O144" s="13">
        <f>SUM(P144:Q144)</f>
        <v>0</v>
      </c>
      <c r="P144" s="13">
        <v>0</v>
      </c>
      <c r="Q144" s="13">
        <v>0</v>
      </c>
      <c r="R144" s="58">
        <f>SUM(S144:T144)</f>
        <v>0</v>
      </c>
      <c r="S144" s="51">
        <v>0</v>
      </c>
      <c r="T144" s="55">
        <v>0</v>
      </c>
      <c r="U144" s="14">
        <f>V144+W144</f>
        <v>33</v>
      </c>
      <c r="V144" s="13">
        <v>13</v>
      </c>
      <c r="W144" s="13">
        <v>20</v>
      </c>
      <c r="X144" s="15">
        <f>SUM(Y144:Z144)</f>
        <v>4</v>
      </c>
      <c r="Y144" s="13">
        <v>0</v>
      </c>
      <c r="Z144" s="13">
        <v>4</v>
      </c>
    </row>
    <row r="145" spans="1:27" ht="15.75" x14ac:dyDescent="0.25">
      <c r="A145" s="43">
        <v>139</v>
      </c>
      <c r="B145" s="9" t="s">
        <v>5</v>
      </c>
      <c r="C145" s="10" t="s">
        <v>244</v>
      </c>
      <c r="D145" s="11" t="s">
        <v>113</v>
      </c>
      <c r="E145" s="12" t="s">
        <v>37</v>
      </c>
      <c r="F145" s="49">
        <f>G145+H145</f>
        <v>9</v>
      </c>
      <c r="G145" s="51">
        <v>4</v>
      </c>
      <c r="H145" s="55">
        <v>5</v>
      </c>
      <c r="I145" s="13">
        <f>SUM(J145:K145)</f>
        <v>0</v>
      </c>
      <c r="J145" s="13">
        <v>0</v>
      </c>
      <c r="K145" s="13">
        <v>0</v>
      </c>
      <c r="L145" s="58">
        <f>SUM(M145:N145)</f>
        <v>0</v>
      </c>
      <c r="M145" s="51">
        <v>0</v>
      </c>
      <c r="N145" s="55">
        <v>0</v>
      </c>
      <c r="O145" s="13">
        <f>SUM(P145:Q145)</f>
        <v>0</v>
      </c>
      <c r="P145" s="13">
        <v>0</v>
      </c>
      <c r="Q145" s="13">
        <v>0</v>
      </c>
      <c r="R145" s="58">
        <f>SUM(S145:T145)</f>
        <v>0</v>
      </c>
      <c r="S145" s="51">
        <v>0</v>
      </c>
      <c r="T145" s="55">
        <v>0</v>
      </c>
      <c r="U145" s="14">
        <f>V145+W145</f>
        <v>9</v>
      </c>
      <c r="V145" s="13">
        <v>4</v>
      </c>
      <c r="W145" s="13">
        <v>5</v>
      </c>
      <c r="X145" s="15">
        <f>SUM(Y145:Z145)</f>
        <v>2</v>
      </c>
      <c r="Y145" s="13">
        <v>0</v>
      </c>
      <c r="Z145" s="13">
        <v>2</v>
      </c>
    </row>
    <row r="146" spans="1:27" ht="15.75" x14ac:dyDescent="0.25">
      <c r="A146" s="43">
        <v>140</v>
      </c>
      <c r="B146" s="9" t="s">
        <v>193</v>
      </c>
      <c r="C146" s="10" t="s">
        <v>367</v>
      </c>
      <c r="D146" s="11" t="s">
        <v>121</v>
      </c>
      <c r="E146" s="12" t="s">
        <v>35</v>
      </c>
      <c r="F146" s="49">
        <f>G146+H146</f>
        <v>119</v>
      </c>
      <c r="G146" s="51">
        <v>65</v>
      </c>
      <c r="H146" s="55">
        <v>54</v>
      </c>
      <c r="I146" s="13">
        <f>SUM(J146:K146)</f>
        <v>331</v>
      </c>
      <c r="J146" s="13">
        <v>166</v>
      </c>
      <c r="K146" s="13">
        <v>165</v>
      </c>
      <c r="L146" s="58">
        <f>SUM(M146:N146)</f>
        <v>101</v>
      </c>
      <c r="M146" s="51">
        <v>48</v>
      </c>
      <c r="N146" s="55">
        <v>53</v>
      </c>
      <c r="O146" s="13">
        <f>SUM(P146:Q146)</f>
        <v>2</v>
      </c>
      <c r="P146" s="13">
        <v>0</v>
      </c>
      <c r="Q146" s="13">
        <v>2</v>
      </c>
      <c r="R146" s="58">
        <f>SUM(S146:T146)</f>
        <v>0</v>
      </c>
      <c r="S146" s="51">
        <v>0</v>
      </c>
      <c r="T146" s="55">
        <v>0</v>
      </c>
      <c r="U146" s="14">
        <f>V146+W146</f>
        <v>553</v>
      </c>
      <c r="V146" s="13">
        <v>279</v>
      </c>
      <c r="W146" s="13">
        <v>274</v>
      </c>
      <c r="X146" s="15">
        <f>SUM(Y146:Z146)</f>
        <v>57</v>
      </c>
      <c r="Y146" s="13">
        <v>10</v>
      </c>
      <c r="Z146" s="13">
        <v>47</v>
      </c>
      <c r="AA146" s="2"/>
    </row>
    <row r="147" spans="1:27" ht="15.75" x14ac:dyDescent="0.25">
      <c r="A147" s="43">
        <v>141</v>
      </c>
      <c r="B147" s="9" t="s">
        <v>193</v>
      </c>
      <c r="C147" s="10" t="s">
        <v>368</v>
      </c>
      <c r="D147" s="11" t="s">
        <v>120</v>
      </c>
      <c r="E147" s="12" t="s">
        <v>35</v>
      </c>
      <c r="F147" s="49">
        <f>G147+H147</f>
        <v>55</v>
      </c>
      <c r="G147" s="51">
        <v>29</v>
      </c>
      <c r="H147" s="55">
        <v>26</v>
      </c>
      <c r="I147" s="13">
        <f>SUM(J147:K147)</f>
        <v>181</v>
      </c>
      <c r="J147" s="13">
        <v>92</v>
      </c>
      <c r="K147" s="13">
        <v>89</v>
      </c>
      <c r="L147" s="58">
        <f>SUM(M147:N147)</f>
        <v>91</v>
      </c>
      <c r="M147" s="51">
        <v>52</v>
      </c>
      <c r="N147" s="55">
        <v>39</v>
      </c>
      <c r="O147" s="13">
        <f>SUM(P147:Q147)</f>
        <v>0</v>
      </c>
      <c r="P147" s="13">
        <v>0</v>
      </c>
      <c r="Q147" s="13">
        <v>0</v>
      </c>
      <c r="R147" s="58">
        <f>SUM(S147:T147)</f>
        <v>0</v>
      </c>
      <c r="S147" s="51">
        <v>0</v>
      </c>
      <c r="T147" s="55">
        <v>0</v>
      </c>
      <c r="U147" s="14">
        <f>V147+W147</f>
        <v>327</v>
      </c>
      <c r="V147" s="13">
        <v>173</v>
      </c>
      <c r="W147" s="13">
        <v>154</v>
      </c>
      <c r="X147" s="15">
        <f>SUM(Y147:Z147)</f>
        <v>45</v>
      </c>
      <c r="Y147" s="13">
        <v>7</v>
      </c>
      <c r="Z147" s="13">
        <v>38</v>
      </c>
      <c r="AA147" s="2"/>
    </row>
    <row r="148" spans="1:27" ht="15.75" x14ac:dyDescent="0.25">
      <c r="A148" s="43">
        <v>142</v>
      </c>
      <c r="B148" s="9" t="s">
        <v>193</v>
      </c>
      <c r="C148" s="10" t="s">
        <v>369</v>
      </c>
      <c r="D148" s="11" t="s">
        <v>123</v>
      </c>
      <c r="E148" s="12" t="s">
        <v>35</v>
      </c>
      <c r="F148" s="49">
        <f>G148+H148</f>
        <v>27</v>
      </c>
      <c r="G148" s="51">
        <v>12</v>
      </c>
      <c r="H148" s="55">
        <v>15</v>
      </c>
      <c r="I148" s="13">
        <f>SUM(J148:K148)</f>
        <v>109</v>
      </c>
      <c r="J148" s="13">
        <v>54</v>
      </c>
      <c r="K148" s="13">
        <v>55</v>
      </c>
      <c r="L148" s="58">
        <f>SUM(M148:N148)</f>
        <v>35</v>
      </c>
      <c r="M148" s="51">
        <v>16</v>
      </c>
      <c r="N148" s="55">
        <v>19</v>
      </c>
      <c r="O148" s="13">
        <f>SUM(P148:Q148)</f>
        <v>9</v>
      </c>
      <c r="P148" s="13">
        <v>5</v>
      </c>
      <c r="Q148" s="13">
        <v>4</v>
      </c>
      <c r="R148" s="58">
        <f>SUM(S148:T148)</f>
        <v>0</v>
      </c>
      <c r="S148" s="51">
        <v>0</v>
      </c>
      <c r="T148" s="55">
        <v>0</v>
      </c>
      <c r="U148" s="14">
        <f>V148+W148</f>
        <v>180</v>
      </c>
      <c r="V148" s="13">
        <v>87</v>
      </c>
      <c r="W148" s="13">
        <v>93</v>
      </c>
      <c r="X148" s="15">
        <f>SUM(Y148:Z148)</f>
        <v>33</v>
      </c>
      <c r="Y148" s="13">
        <v>11</v>
      </c>
      <c r="Z148" s="13">
        <v>22</v>
      </c>
      <c r="AA148" s="2"/>
    </row>
    <row r="149" spans="1:27" ht="15.75" x14ac:dyDescent="0.25">
      <c r="A149" s="43">
        <v>143</v>
      </c>
      <c r="B149" s="9" t="s">
        <v>193</v>
      </c>
      <c r="C149" s="10" t="s">
        <v>370</v>
      </c>
      <c r="D149" s="11" t="s">
        <v>122</v>
      </c>
      <c r="E149" s="12" t="s">
        <v>35</v>
      </c>
      <c r="F149" s="49">
        <f>G149+H149</f>
        <v>177</v>
      </c>
      <c r="G149" s="51">
        <v>85</v>
      </c>
      <c r="H149" s="55">
        <v>92</v>
      </c>
      <c r="I149" s="13">
        <f>SUM(J149:K149)</f>
        <v>602</v>
      </c>
      <c r="J149" s="13">
        <v>302</v>
      </c>
      <c r="K149" s="13">
        <v>300</v>
      </c>
      <c r="L149" s="58">
        <f>SUM(M149:N149)</f>
        <v>219</v>
      </c>
      <c r="M149" s="51">
        <v>99</v>
      </c>
      <c r="N149" s="55">
        <v>120</v>
      </c>
      <c r="O149" s="13">
        <f>SUM(P149:Q149)</f>
        <v>33</v>
      </c>
      <c r="P149" s="13">
        <v>20</v>
      </c>
      <c r="Q149" s="13">
        <v>13</v>
      </c>
      <c r="R149" s="58">
        <f>SUM(S149:T149)</f>
        <v>6</v>
      </c>
      <c r="S149" s="51">
        <v>3</v>
      </c>
      <c r="T149" s="55">
        <v>3</v>
      </c>
      <c r="U149" s="14">
        <f>V149+W149</f>
        <v>1037</v>
      </c>
      <c r="V149" s="13">
        <v>509</v>
      </c>
      <c r="W149" s="13">
        <v>528</v>
      </c>
      <c r="X149" s="15">
        <f>SUM(Y149:Z149)</f>
        <v>94</v>
      </c>
      <c r="Y149" s="13">
        <v>15</v>
      </c>
      <c r="Z149" s="13">
        <v>79</v>
      </c>
      <c r="AA149" s="2"/>
    </row>
    <row r="150" spans="1:27" ht="15.75" x14ac:dyDescent="0.25">
      <c r="A150" s="43">
        <v>144</v>
      </c>
      <c r="B150" s="9" t="s">
        <v>193</v>
      </c>
      <c r="C150" s="10" t="s">
        <v>371</v>
      </c>
      <c r="D150" s="11" t="s">
        <v>120</v>
      </c>
      <c r="E150" s="12" t="s">
        <v>39</v>
      </c>
      <c r="F150" s="49">
        <f>G150+H150</f>
        <v>15</v>
      </c>
      <c r="G150" s="51">
        <v>10</v>
      </c>
      <c r="H150" s="55">
        <v>5</v>
      </c>
      <c r="I150" s="13">
        <f>SUM(J150:K150)</f>
        <v>0</v>
      </c>
      <c r="J150" s="13">
        <v>0</v>
      </c>
      <c r="K150" s="13">
        <v>0</v>
      </c>
      <c r="L150" s="58">
        <f>SUM(M150:N150)</f>
        <v>0</v>
      </c>
      <c r="M150" s="51">
        <v>0</v>
      </c>
      <c r="N150" s="55">
        <v>0</v>
      </c>
      <c r="O150" s="13">
        <f>SUM(P150:Q150)</f>
        <v>0</v>
      </c>
      <c r="P150" s="13">
        <v>0</v>
      </c>
      <c r="Q150" s="13">
        <v>0</v>
      </c>
      <c r="R150" s="58">
        <f>SUM(S150:T150)</f>
        <v>0</v>
      </c>
      <c r="S150" s="51">
        <v>0</v>
      </c>
      <c r="T150" s="55">
        <v>0</v>
      </c>
      <c r="U150" s="14">
        <f>V150+W150</f>
        <v>15</v>
      </c>
      <c r="V150" s="13">
        <v>10</v>
      </c>
      <c r="W150" s="13">
        <v>5</v>
      </c>
      <c r="X150" s="15">
        <f>SUM(Y150:Z150)</f>
        <v>2</v>
      </c>
      <c r="Y150" s="13">
        <v>0</v>
      </c>
      <c r="Z150" s="13">
        <v>2</v>
      </c>
      <c r="AA150" s="2"/>
    </row>
    <row r="151" spans="1:27" ht="15.75" x14ac:dyDescent="0.25">
      <c r="A151" s="43">
        <v>145</v>
      </c>
      <c r="B151" s="9" t="s">
        <v>193</v>
      </c>
      <c r="C151" s="10" t="s">
        <v>372</v>
      </c>
      <c r="D151" s="11" t="s">
        <v>122</v>
      </c>
      <c r="E151" s="12" t="s">
        <v>37</v>
      </c>
      <c r="F151" s="49">
        <f>G151+H151</f>
        <v>86</v>
      </c>
      <c r="G151" s="51">
        <v>39</v>
      </c>
      <c r="H151" s="55">
        <v>47</v>
      </c>
      <c r="I151" s="13">
        <f>SUM(J151:K151)</f>
        <v>0</v>
      </c>
      <c r="J151" s="13">
        <v>0</v>
      </c>
      <c r="K151" s="13">
        <v>0</v>
      </c>
      <c r="L151" s="58">
        <f>SUM(M151:N151)</f>
        <v>0</v>
      </c>
      <c r="M151" s="51">
        <v>0</v>
      </c>
      <c r="N151" s="55">
        <v>0</v>
      </c>
      <c r="O151" s="13">
        <f>SUM(P151:Q151)</f>
        <v>0</v>
      </c>
      <c r="P151" s="13">
        <v>0</v>
      </c>
      <c r="Q151" s="13">
        <v>0</v>
      </c>
      <c r="R151" s="58">
        <f>SUM(S151:T151)</f>
        <v>0</v>
      </c>
      <c r="S151" s="51">
        <v>0</v>
      </c>
      <c r="T151" s="55">
        <v>0</v>
      </c>
      <c r="U151" s="14">
        <f>V151+W151</f>
        <v>86</v>
      </c>
      <c r="V151" s="13">
        <v>39</v>
      </c>
      <c r="W151" s="13">
        <v>47</v>
      </c>
      <c r="X151" s="15">
        <f>SUM(Y151:Z151)</f>
        <v>9</v>
      </c>
      <c r="Y151" s="13">
        <v>0</v>
      </c>
      <c r="Z151" s="13">
        <v>9</v>
      </c>
      <c r="AA151" s="2"/>
    </row>
    <row r="152" spans="1:27" ht="15.75" x14ac:dyDescent="0.25">
      <c r="A152" s="43">
        <v>146</v>
      </c>
      <c r="B152" s="9" t="s">
        <v>7</v>
      </c>
      <c r="C152" s="10" t="s">
        <v>337</v>
      </c>
      <c r="D152" s="11" t="s">
        <v>125</v>
      </c>
      <c r="E152" s="12" t="s">
        <v>35</v>
      </c>
      <c r="F152" s="49">
        <f>G152+H152</f>
        <v>67</v>
      </c>
      <c r="G152" s="51">
        <v>34</v>
      </c>
      <c r="H152" s="55">
        <v>33</v>
      </c>
      <c r="I152" s="13">
        <f>SUM(J152:K152)</f>
        <v>194</v>
      </c>
      <c r="J152" s="13">
        <v>101</v>
      </c>
      <c r="K152" s="13">
        <v>93</v>
      </c>
      <c r="L152" s="58">
        <f>SUM(M152:N152)</f>
        <v>47</v>
      </c>
      <c r="M152" s="51">
        <v>19</v>
      </c>
      <c r="N152" s="55">
        <v>28</v>
      </c>
      <c r="O152" s="13">
        <f>SUM(P152:Q152)</f>
        <v>0</v>
      </c>
      <c r="P152" s="13">
        <v>0</v>
      </c>
      <c r="Q152" s="13">
        <v>0</v>
      </c>
      <c r="R152" s="58">
        <f>SUM(S152:T152)</f>
        <v>0</v>
      </c>
      <c r="S152" s="51">
        <v>0</v>
      </c>
      <c r="T152" s="55">
        <v>0</v>
      </c>
      <c r="U152" s="14">
        <f>V152+W152</f>
        <v>308</v>
      </c>
      <c r="V152" s="13">
        <v>154</v>
      </c>
      <c r="W152" s="13">
        <v>154</v>
      </c>
      <c r="X152" s="15">
        <f>SUM(Y152:Z152)</f>
        <v>45</v>
      </c>
      <c r="Y152" s="13">
        <v>17</v>
      </c>
      <c r="Z152" s="13">
        <v>28</v>
      </c>
      <c r="AA152" s="2"/>
    </row>
    <row r="153" spans="1:27" ht="15.75" x14ac:dyDescent="0.25">
      <c r="A153" s="43">
        <v>147</v>
      </c>
      <c r="B153" s="9" t="s">
        <v>7</v>
      </c>
      <c r="C153" s="10" t="s">
        <v>338</v>
      </c>
      <c r="D153" s="11" t="s">
        <v>124</v>
      </c>
      <c r="E153" s="12" t="s">
        <v>35</v>
      </c>
      <c r="F153" s="49">
        <f>G153+H153</f>
        <v>89</v>
      </c>
      <c r="G153" s="51">
        <v>49</v>
      </c>
      <c r="H153" s="55">
        <v>40</v>
      </c>
      <c r="I153" s="13">
        <f>SUM(J153:K153)</f>
        <v>296</v>
      </c>
      <c r="J153" s="13">
        <v>166</v>
      </c>
      <c r="K153" s="13">
        <v>130</v>
      </c>
      <c r="L153" s="58">
        <f>SUM(M153:N153)</f>
        <v>105</v>
      </c>
      <c r="M153" s="51">
        <v>51</v>
      </c>
      <c r="N153" s="55">
        <v>54</v>
      </c>
      <c r="O153" s="13">
        <f>SUM(P153:Q153)</f>
        <v>0</v>
      </c>
      <c r="P153" s="13">
        <v>0</v>
      </c>
      <c r="Q153" s="13">
        <v>0</v>
      </c>
      <c r="R153" s="58">
        <f>SUM(S153:T153)</f>
        <v>0</v>
      </c>
      <c r="S153" s="51">
        <v>0</v>
      </c>
      <c r="T153" s="55">
        <v>0</v>
      </c>
      <c r="U153" s="14">
        <f>V153+W153</f>
        <v>490</v>
      </c>
      <c r="V153" s="13">
        <v>266</v>
      </c>
      <c r="W153" s="13">
        <v>224</v>
      </c>
      <c r="X153" s="15">
        <f>SUM(Y153:Z153)</f>
        <v>52</v>
      </c>
      <c r="Y153" s="13">
        <v>11</v>
      </c>
      <c r="Z153" s="13">
        <v>41</v>
      </c>
      <c r="AA153" s="2"/>
    </row>
    <row r="154" spans="1:27" ht="15.75" x14ac:dyDescent="0.25">
      <c r="A154" s="43">
        <v>148</v>
      </c>
      <c r="B154" s="9" t="s">
        <v>7</v>
      </c>
      <c r="C154" s="10" t="s">
        <v>339</v>
      </c>
      <c r="D154" s="11" t="s">
        <v>132</v>
      </c>
      <c r="E154" s="12" t="s">
        <v>35</v>
      </c>
      <c r="F154" s="49">
        <f>G154+H154</f>
        <v>131</v>
      </c>
      <c r="G154" s="51">
        <v>67</v>
      </c>
      <c r="H154" s="55">
        <v>64</v>
      </c>
      <c r="I154" s="13">
        <f>SUM(J154:K154)</f>
        <v>287</v>
      </c>
      <c r="J154" s="13">
        <v>161</v>
      </c>
      <c r="K154" s="13">
        <v>126</v>
      </c>
      <c r="L154" s="58">
        <f>SUM(M154:N154)</f>
        <v>77</v>
      </c>
      <c r="M154" s="51">
        <v>36</v>
      </c>
      <c r="N154" s="55">
        <v>41</v>
      </c>
      <c r="O154" s="13">
        <f>SUM(P154:Q154)</f>
        <v>0</v>
      </c>
      <c r="P154" s="13">
        <v>0</v>
      </c>
      <c r="Q154" s="13">
        <v>0</v>
      </c>
      <c r="R154" s="58">
        <f>SUM(S154:T154)</f>
        <v>0</v>
      </c>
      <c r="S154" s="51">
        <v>0</v>
      </c>
      <c r="T154" s="55">
        <v>0</v>
      </c>
      <c r="U154" s="14">
        <f>V154+W154</f>
        <v>495</v>
      </c>
      <c r="V154" s="13">
        <v>264</v>
      </c>
      <c r="W154" s="13">
        <v>231</v>
      </c>
      <c r="X154" s="15">
        <f>SUM(Y154:Z154)</f>
        <v>56</v>
      </c>
      <c r="Y154" s="13">
        <v>13</v>
      </c>
      <c r="Z154" s="13">
        <v>43</v>
      </c>
      <c r="AA154" s="2"/>
    </row>
    <row r="155" spans="1:27" ht="15.75" x14ac:dyDescent="0.25">
      <c r="A155" s="43">
        <v>149</v>
      </c>
      <c r="B155" s="9" t="s">
        <v>7</v>
      </c>
      <c r="C155" s="10" t="s">
        <v>340</v>
      </c>
      <c r="D155" s="11" t="s">
        <v>131</v>
      </c>
      <c r="E155" s="12" t="s">
        <v>35</v>
      </c>
      <c r="F155" s="49">
        <f>G155+H155</f>
        <v>64</v>
      </c>
      <c r="G155" s="51">
        <v>30</v>
      </c>
      <c r="H155" s="55">
        <v>34</v>
      </c>
      <c r="I155" s="13">
        <f>SUM(J155:K155)</f>
        <v>168</v>
      </c>
      <c r="J155" s="13">
        <v>79</v>
      </c>
      <c r="K155" s="13">
        <v>89</v>
      </c>
      <c r="L155" s="58">
        <f>SUM(M155:N155)</f>
        <v>38</v>
      </c>
      <c r="M155" s="51">
        <v>24</v>
      </c>
      <c r="N155" s="55">
        <v>14</v>
      </c>
      <c r="O155" s="13">
        <f>SUM(P155:Q155)</f>
        <v>0</v>
      </c>
      <c r="P155" s="13">
        <v>0</v>
      </c>
      <c r="Q155" s="13">
        <v>0</v>
      </c>
      <c r="R155" s="58">
        <f>SUM(S155:T155)</f>
        <v>0</v>
      </c>
      <c r="S155" s="51">
        <v>0</v>
      </c>
      <c r="T155" s="55">
        <v>0</v>
      </c>
      <c r="U155" s="14">
        <f>V155+W155</f>
        <v>270</v>
      </c>
      <c r="V155" s="13">
        <v>133</v>
      </c>
      <c r="W155" s="13">
        <v>137</v>
      </c>
      <c r="X155" s="15">
        <f>SUM(Y155:Z155)</f>
        <v>28</v>
      </c>
      <c r="Y155" s="13">
        <v>2</v>
      </c>
      <c r="Z155" s="13">
        <v>26</v>
      </c>
      <c r="AA155" s="2"/>
    </row>
    <row r="156" spans="1:27" ht="15.75" x14ac:dyDescent="0.25">
      <c r="A156" s="43">
        <v>150</v>
      </c>
      <c r="B156" s="9" t="s">
        <v>7</v>
      </c>
      <c r="C156" s="10" t="s">
        <v>341</v>
      </c>
      <c r="D156" s="11" t="s">
        <v>130</v>
      </c>
      <c r="E156" s="12" t="s">
        <v>35</v>
      </c>
      <c r="F156" s="49">
        <f>G156+H156</f>
        <v>33</v>
      </c>
      <c r="G156" s="51">
        <v>18</v>
      </c>
      <c r="H156" s="55">
        <v>15</v>
      </c>
      <c r="I156" s="13">
        <f>SUM(J156:K156)</f>
        <v>124</v>
      </c>
      <c r="J156" s="13">
        <v>61</v>
      </c>
      <c r="K156" s="13">
        <v>63</v>
      </c>
      <c r="L156" s="58">
        <f>SUM(M156:N156)</f>
        <v>39</v>
      </c>
      <c r="M156" s="51">
        <v>20</v>
      </c>
      <c r="N156" s="55">
        <v>19</v>
      </c>
      <c r="O156" s="13">
        <f>SUM(P156:Q156)</f>
        <v>0</v>
      </c>
      <c r="P156" s="13">
        <v>0</v>
      </c>
      <c r="Q156" s="13">
        <v>0</v>
      </c>
      <c r="R156" s="58">
        <f>SUM(S156:T156)</f>
        <v>0</v>
      </c>
      <c r="S156" s="51">
        <v>0</v>
      </c>
      <c r="T156" s="55">
        <v>0</v>
      </c>
      <c r="U156" s="14">
        <f>V156+W156</f>
        <v>196</v>
      </c>
      <c r="V156" s="13">
        <v>99</v>
      </c>
      <c r="W156" s="13">
        <v>97</v>
      </c>
      <c r="X156" s="15">
        <f>SUM(Y156:Z156)</f>
        <v>30</v>
      </c>
      <c r="Y156" s="13">
        <v>8</v>
      </c>
      <c r="Z156" s="13">
        <v>22</v>
      </c>
      <c r="AA156" s="2"/>
    </row>
    <row r="157" spans="1:27" ht="15.75" x14ac:dyDescent="0.25">
      <c r="A157" s="43">
        <v>151</v>
      </c>
      <c r="B157" s="9" t="s">
        <v>7</v>
      </c>
      <c r="C157" s="10" t="s">
        <v>342</v>
      </c>
      <c r="D157" s="11" t="s">
        <v>129</v>
      </c>
      <c r="E157" s="12" t="s">
        <v>35</v>
      </c>
      <c r="F157" s="49">
        <f>G157+H157</f>
        <v>67</v>
      </c>
      <c r="G157" s="51">
        <v>31</v>
      </c>
      <c r="H157" s="55">
        <v>36</v>
      </c>
      <c r="I157" s="13">
        <f>SUM(J157:K157)</f>
        <v>225</v>
      </c>
      <c r="J157" s="13">
        <v>121</v>
      </c>
      <c r="K157" s="13">
        <v>104</v>
      </c>
      <c r="L157" s="58">
        <f>SUM(M157:N157)</f>
        <v>76</v>
      </c>
      <c r="M157" s="51">
        <v>45</v>
      </c>
      <c r="N157" s="55">
        <v>31</v>
      </c>
      <c r="O157" s="13">
        <f>SUM(P157:Q157)</f>
        <v>0</v>
      </c>
      <c r="P157" s="13">
        <v>0</v>
      </c>
      <c r="Q157" s="13">
        <v>0</v>
      </c>
      <c r="R157" s="58">
        <f>SUM(S157:T157)</f>
        <v>0</v>
      </c>
      <c r="S157" s="51">
        <v>0</v>
      </c>
      <c r="T157" s="55">
        <v>0</v>
      </c>
      <c r="U157" s="14">
        <f>V157+W157</f>
        <v>368</v>
      </c>
      <c r="V157" s="13">
        <v>197</v>
      </c>
      <c r="W157" s="13">
        <v>171</v>
      </c>
      <c r="X157" s="15">
        <f>SUM(Y157:Z157)</f>
        <v>43</v>
      </c>
      <c r="Y157" s="13">
        <v>10</v>
      </c>
      <c r="Z157" s="13">
        <v>33</v>
      </c>
      <c r="AA157" s="2"/>
    </row>
    <row r="158" spans="1:27" ht="15.75" x14ac:dyDescent="0.25">
      <c r="A158" s="43">
        <v>152</v>
      </c>
      <c r="B158" s="9" t="s">
        <v>7</v>
      </c>
      <c r="C158" s="10" t="s">
        <v>343</v>
      </c>
      <c r="D158" s="11" t="s">
        <v>127</v>
      </c>
      <c r="E158" s="12" t="s">
        <v>35</v>
      </c>
      <c r="F158" s="49">
        <f>G158+H158</f>
        <v>80</v>
      </c>
      <c r="G158" s="51">
        <v>37</v>
      </c>
      <c r="H158" s="55">
        <v>43</v>
      </c>
      <c r="I158" s="13">
        <f>SUM(J158:K158)</f>
        <v>204</v>
      </c>
      <c r="J158" s="13">
        <v>106</v>
      </c>
      <c r="K158" s="13">
        <v>98</v>
      </c>
      <c r="L158" s="58">
        <f>SUM(M158:N158)</f>
        <v>57</v>
      </c>
      <c r="M158" s="51">
        <v>32</v>
      </c>
      <c r="N158" s="55">
        <v>25</v>
      </c>
      <c r="O158" s="13">
        <f>SUM(P158:Q158)</f>
        <v>0</v>
      </c>
      <c r="P158" s="13">
        <v>0</v>
      </c>
      <c r="Q158" s="13">
        <v>0</v>
      </c>
      <c r="R158" s="58">
        <f>SUM(S158:T158)</f>
        <v>0</v>
      </c>
      <c r="S158" s="51">
        <v>0</v>
      </c>
      <c r="T158" s="55">
        <v>0</v>
      </c>
      <c r="U158" s="14">
        <f>V158+W158</f>
        <v>341</v>
      </c>
      <c r="V158" s="13">
        <v>175</v>
      </c>
      <c r="W158" s="13">
        <v>166</v>
      </c>
      <c r="X158" s="15">
        <f>SUM(Y158:Z158)</f>
        <v>40</v>
      </c>
      <c r="Y158" s="13">
        <v>4</v>
      </c>
      <c r="Z158" s="13">
        <v>36</v>
      </c>
      <c r="AA158" s="2"/>
    </row>
    <row r="159" spans="1:27" ht="15.75" x14ac:dyDescent="0.25">
      <c r="A159" s="43">
        <v>153</v>
      </c>
      <c r="B159" s="9" t="s">
        <v>7</v>
      </c>
      <c r="C159" s="10" t="s">
        <v>344</v>
      </c>
      <c r="D159" s="11" t="s">
        <v>126</v>
      </c>
      <c r="E159" s="12" t="s">
        <v>35</v>
      </c>
      <c r="F159" s="49">
        <f>G159+H159</f>
        <v>49</v>
      </c>
      <c r="G159" s="51">
        <v>27</v>
      </c>
      <c r="H159" s="55">
        <v>22</v>
      </c>
      <c r="I159" s="13">
        <f>SUM(J159:K159)</f>
        <v>153</v>
      </c>
      <c r="J159" s="13">
        <v>81</v>
      </c>
      <c r="K159" s="13">
        <v>72</v>
      </c>
      <c r="L159" s="58">
        <f>SUM(M159:N159)</f>
        <v>72</v>
      </c>
      <c r="M159" s="51">
        <v>40</v>
      </c>
      <c r="N159" s="55">
        <v>32</v>
      </c>
      <c r="O159" s="13">
        <f>SUM(P159:Q159)</f>
        <v>0</v>
      </c>
      <c r="P159" s="13">
        <v>0</v>
      </c>
      <c r="Q159" s="13">
        <v>0</v>
      </c>
      <c r="R159" s="58">
        <f>SUM(S159:T159)</f>
        <v>0</v>
      </c>
      <c r="S159" s="51">
        <v>0</v>
      </c>
      <c r="T159" s="55">
        <v>0</v>
      </c>
      <c r="U159" s="14">
        <f>V159+W159</f>
        <v>274</v>
      </c>
      <c r="V159" s="13">
        <v>148</v>
      </c>
      <c r="W159" s="13">
        <v>126</v>
      </c>
      <c r="X159" s="15">
        <f>SUM(Y159:Z159)</f>
        <v>30</v>
      </c>
      <c r="Y159" s="13">
        <v>7</v>
      </c>
      <c r="Z159" s="13">
        <v>23</v>
      </c>
      <c r="AA159" s="2"/>
    </row>
    <row r="160" spans="1:27" ht="15.75" x14ac:dyDescent="0.25">
      <c r="A160" s="43">
        <v>154</v>
      </c>
      <c r="B160" s="9" t="s">
        <v>7</v>
      </c>
      <c r="C160" s="10" t="s">
        <v>345</v>
      </c>
      <c r="D160" s="11" t="s">
        <v>128</v>
      </c>
      <c r="E160" s="12" t="s">
        <v>35</v>
      </c>
      <c r="F160" s="49">
        <f>G160+H160</f>
        <v>46</v>
      </c>
      <c r="G160" s="51">
        <v>31</v>
      </c>
      <c r="H160" s="55">
        <v>15</v>
      </c>
      <c r="I160" s="13">
        <f>SUM(J160:K160)</f>
        <v>117</v>
      </c>
      <c r="J160" s="13">
        <v>55</v>
      </c>
      <c r="K160" s="13">
        <v>62</v>
      </c>
      <c r="L160" s="58">
        <f>SUM(M160:N160)</f>
        <v>52</v>
      </c>
      <c r="M160" s="51">
        <v>24</v>
      </c>
      <c r="N160" s="55">
        <v>28</v>
      </c>
      <c r="O160" s="13">
        <f>SUM(P160:Q160)</f>
        <v>0</v>
      </c>
      <c r="P160" s="13">
        <v>0</v>
      </c>
      <c r="Q160" s="13">
        <v>0</v>
      </c>
      <c r="R160" s="58">
        <f>SUM(S160:T160)</f>
        <v>0</v>
      </c>
      <c r="S160" s="51">
        <v>0</v>
      </c>
      <c r="T160" s="55">
        <v>0</v>
      </c>
      <c r="U160" s="14">
        <f>V160+W160</f>
        <v>215</v>
      </c>
      <c r="V160" s="13">
        <v>110</v>
      </c>
      <c r="W160" s="13">
        <v>105</v>
      </c>
      <c r="X160" s="15">
        <f>SUM(Y160:Z160)</f>
        <v>26</v>
      </c>
      <c r="Y160" s="13">
        <v>4</v>
      </c>
      <c r="Z160" s="13">
        <v>22</v>
      </c>
      <c r="AA160" s="2"/>
    </row>
    <row r="161" spans="1:27" ht="15.75" x14ac:dyDescent="0.25">
      <c r="A161" s="43">
        <v>155</v>
      </c>
      <c r="B161" s="9" t="s">
        <v>7</v>
      </c>
      <c r="C161" s="10" t="s">
        <v>346</v>
      </c>
      <c r="D161" s="11" t="s">
        <v>124</v>
      </c>
      <c r="E161" s="12" t="s">
        <v>37</v>
      </c>
      <c r="F161" s="49">
        <f>G161+H161</f>
        <v>9</v>
      </c>
      <c r="G161" s="51">
        <v>5</v>
      </c>
      <c r="H161" s="55">
        <v>4</v>
      </c>
      <c r="I161" s="13">
        <f>SUM(J161:K161)</f>
        <v>0</v>
      </c>
      <c r="J161" s="13">
        <v>0</v>
      </c>
      <c r="K161" s="13">
        <v>0</v>
      </c>
      <c r="L161" s="58">
        <f>SUM(M161:N161)</f>
        <v>0</v>
      </c>
      <c r="M161" s="51">
        <v>0</v>
      </c>
      <c r="N161" s="55">
        <v>0</v>
      </c>
      <c r="O161" s="13">
        <f>SUM(P161:Q161)</f>
        <v>0</v>
      </c>
      <c r="P161" s="13">
        <v>0</v>
      </c>
      <c r="Q161" s="13">
        <v>0</v>
      </c>
      <c r="R161" s="58">
        <f>SUM(S161:T161)</f>
        <v>0</v>
      </c>
      <c r="S161" s="51">
        <v>0</v>
      </c>
      <c r="T161" s="55">
        <v>0</v>
      </c>
      <c r="U161" s="14">
        <f>V161+W161</f>
        <v>9</v>
      </c>
      <c r="V161" s="13">
        <v>5</v>
      </c>
      <c r="W161" s="13">
        <v>4</v>
      </c>
      <c r="X161" s="15">
        <f>SUM(Y161:Z161)</f>
        <v>2</v>
      </c>
      <c r="Y161" s="13">
        <v>0</v>
      </c>
      <c r="Z161" s="13">
        <v>2</v>
      </c>
      <c r="AA161" s="2"/>
    </row>
    <row r="162" spans="1:27" ht="15.75" x14ac:dyDescent="0.25">
      <c r="A162" s="43">
        <v>156</v>
      </c>
      <c r="B162" s="9" t="s">
        <v>7</v>
      </c>
      <c r="C162" s="10" t="s">
        <v>347</v>
      </c>
      <c r="D162" s="11" t="s">
        <v>124</v>
      </c>
      <c r="E162" s="12" t="s">
        <v>37</v>
      </c>
      <c r="F162" s="49">
        <f>G162+H162</f>
        <v>17</v>
      </c>
      <c r="G162" s="51">
        <v>7</v>
      </c>
      <c r="H162" s="55">
        <v>10</v>
      </c>
      <c r="I162" s="13">
        <f>SUM(J162:K162)</f>
        <v>0</v>
      </c>
      <c r="J162" s="13">
        <v>0</v>
      </c>
      <c r="K162" s="13">
        <v>0</v>
      </c>
      <c r="L162" s="58">
        <f>SUM(M162:N162)</f>
        <v>0</v>
      </c>
      <c r="M162" s="51">
        <v>0</v>
      </c>
      <c r="N162" s="55">
        <v>0</v>
      </c>
      <c r="O162" s="13">
        <f>SUM(P162:Q162)</f>
        <v>0</v>
      </c>
      <c r="P162" s="13">
        <v>0</v>
      </c>
      <c r="Q162" s="13">
        <v>0</v>
      </c>
      <c r="R162" s="58">
        <f>SUM(S162:T162)</f>
        <v>0</v>
      </c>
      <c r="S162" s="51">
        <v>0</v>
      </c>
      <c r="T162" s="55">
        <v>0</v>
      </c>
      <c r="U162" s="14">
        <f>V162+W162</f>
        <v>17</v>
      </c>
      <c r="V162" s="13">
        <v>7</v>
      </c>
      <c r="W162" s="13">
        <v>10</v>
      </c>
      <c r="X162" s="15">
        <f>SUM(Y162:Z162)</f>
        <v>3</v>
      </c>
      <c r="Y162" s="13">
        <v>0</v>
      </c>
      <c r="Z162" s="13">
        <v>3</v>
      </c>
      <c r="AA162" s="2"/>
    </row>
    <row r="163" spans="1:27" ht="15.75" x14ac:dyDescent="0.25">
      <c r="A163" s="43">
        <v>157</v>
      </c>
      <c r="B163" s="9" t="s">
        <v>8</v>
      </c>
      <c r="C163" s="10" t="s">
        <v>201</v>
      </c>
      <c r="D163" s="11" t="s">
        <v>134</v>
      </c>
      <c r="E163" s="12" t="s">
        <v>35</v>
      </c>
      <c r="F163" s="49">
        <f t="shared" ref="F163:F250" si="7">G163+H163</f>
        <v>46</v>
      </c>
      <c r="G163" s="51">
        <v>30</v>
      </c>
      <c r="H163" s="55">
        <v>16</v>
      </c>
      <c r="I163" s="13">
        <f>SUM(J163:K163)</f>
        <v>160</v>
      </c>
      <c r="J163" s="13">
        <v>86</v>
      </c>
      <c r="K163" s="13">
        <v>74</v>
      </c>
      <c r="L163" s="58">
        <f>SUM(M163:N163)</f>
        <v>52</v>
      </c>
      <c r="M163" s="51">
        <v>25</v>
      </c>
      <c r="N163" s="55">
        <v>27</v>
      </c>
      <c r="O163" s="13">
        <f>SUM(P163:Q163)</f>
        <v>0</v>
      </c>
      <c r="P163" s="13">
        <v>0</v>
      </c>
      <c r="Q163" s="13">
        <v>0</v>
      </c>
      <c r="R163" s="58">
        <f>SUM(S163:T163)</f>
        <v>0</v>
      </c>
      <c r="S163" s="51">
        <v>0</v>
      </c>
      <c r="T163" s="55">
        <v>0</v>
      </c>
      <c r="U163" s="14">
        <f>V163+W163</f>
        <v>258</v>
      </c>
      <c r="V163" s="13">
        <v>141</v>
      </c>
      <c r="W163" s="13">
        <v>117</v>
      </c>
      <c r="X163" s="15">
        <f>SUM(Y163:Z163)</f>
        <v>33</v>
      </c>
      <c r="Y163" s="13">
        <v>10</v>
      </c>
      <c r="Z163" s="13">
        <v>23</v>
      </c>
    </row>
    <row r="164" spans="1:27" ht="15.75" x14ac:dyDescent="0.25">
      <c r="A164" s="43">
        <v>158</v>
      </c>
      <c r="B164" s="9" t="s">
        <v>8</v>
      </c>
      <c r="C164" s="10" t="s">
        <v>202</v>
      </c>
      <c r="D164" s="11" t="s">
        <v>133</v>
      </c>
      <c r="E164" s="12" t="s">
        <v>35</v>
      </c>
      <c r="F164" s="49">
        <f t="shared" si="7"/>
        <v>24</v>
      </c>
      <c r="G164" s="51">
        <v>16</v>
      </c>
      <c r="H164" s="55">
        <v>8</v>
      </c>
      <c r="I164" s="13">
        <f t="shared" ref="I164:I251" si="8">SUM(J164:K164)</f>
        <v>67</v>
      </c>
      <c r="J164" s="13">
        <v>38</v>
      </c>
      <c r="K164" s="13">
        <v>29</v>
      </c>
      <c r="L164" s="58">
        <f t="shared" ref="L164:L251" si="9">SUM(M164:N164)</f>
        <v>16</v>
      </c>
      <c r="M164" s="51">
        <v>12</v>
      </c>
      <c r="N164" s="55">
        <v>4</v>
      </c>
      <c r="O164" s="13">
        <f t="shared" ref="O164:O251" si="10">SUM(P164:Q164)</f>
        <v>0</v>
      </c>
      <c r="P164" s="13">
        <v>0</v>
      </c>
      <c r="Q164" s="13">
        <v>0</v>
      </c>
      <c r="R164" s="58">
        <f t="shared" ref="R164:R251" si="11">SUM(S164:T164)</f>
        <v>0</v>
      </c>
      <c r="S164" s="51">
        <v>0</v>
      </c>
      <c r="T164" s="55">
        <v>0</v>
      </c>
      <c r="U164" s="14">
        <f t="shared" ref="U164:U251" si="12">V164+W164</f>
        <v>107</v>
      </c>
      <c r="V164" s="13">
        <v>66</v>
      </c>
      <c r="W164" s="13">
        <v>41</v>
      </c>
      <c r="X164" s="15">
        <f t="shared" ref="X164:X251" si="13">SUM(Y164:Z164)</f>
        <v>23</v>
      </c>
      <c r="Y164" s="13">
        <v>5</v>
      </c>
      <c r="Z164" s="13">
        <v>18</v>
      </c>
    </row>
    <row r="165" spans="1:27" ht="15.75" x14ac:dyDescent="0.25">
      <c r="A165" s="43">
        <v>159</v>
      </c>
      <c r="B165" s="9" t="s">
        <v>8</v>
      </c>
      <c r="C165" s="10" t="s">
        <v>203</v>
      </c>
      <c r="D165" s="11" t="s">
        <v>138</v>
      </c>
      <c r="E165" s="12" t="s">
        <v>35</v>
      </c>
      <c r="F165" s="49">
        <f t="shared" si="7"/>
        <v>49</v>
      </c>
      <c r="G165" s="51">
        <v>23</v>
      </c>
      <c r="H165" s="55">
        <v>26</v>
      </c>
      <c r="I165" s="13">
        <f t="shared" si="8"/>
        <v>220</v>
      </c>
      <c r="J165" s="13">
        <v>115</v>
      </c>
      <c r="K165" s="13">
        <v>105</v>
      </c>
      <c r="L165" s="58">
        <f t="shared" si="9"/>
        <v>67</v>
      </c>
      <c r="M165" s="51">
        <v>34</v>
      </c>
      <c r="N165" s="55">
        <v>33</v>
      </c>
      <c r="O165" s="13">
        <f t="shared" si="10"/>
        <v>19</v>
      </c>
      <c r="P165" s="13">
        <v>10</v>
      </c>
      <c r="Q165" s="13">
        <v>9</v>
      </c>
      <c r="R165" s="58">
        <f t="shared" si="11"/>
        <v>0</v>
      </c>
      <c r="S165" s="51">
        <v>0</v>
      </c>
      <c r="T165" s="55">
        <v>0</v>
      </c>
      <c r="U165" s="14">
        <f t="shared" si="12"/>
        <v>355</v>
      </c>
      <c r="V165" s="13">
        <v>182</v>
      </c>
      <c r="W165" s="13">
        <v>173</v>
      </c>
      <c r="X165" s="15">
        <f t="shared" si="13"/>
        <v>48</v>
      </c>
      <c r="Y165" s="13">
        <v>5</v>
      </c>
      <c r="Z165" s="13">
        <v>43</v>
      </c>
    </row>
    <row r="166" spans="1:27" ht="15.75" x14ac:dyDescent="0.25">
      <c r="A166" s="43">
        <v>160</v>
      </c>
      <c r="B166" s="9" t="s">
        <v>8</v>
      </c>
      <c r="C166" s="10" t="s">
        <v>204</v>
      </c>
      <c r="D166" s="11" t="s">
        <v>137</v>
      </c>
      <c r="E166" s="12" t="s">
        <v>35</v>
      </c>
      <c r="F166" s="49">
        <f t="shared" si="7"/>
        <v>85</v>
      </c>
      <c r="G166" s="51">
        <v>43</v>
      </c>
      <c r="H166" s="55">
        <v>42</v>
      </c>
      <c r="I166" s="13">
        <f t="shared" si="8"/>
        <v>240</v>
      </c>
      <c r="J166" s="13">
        <v>132</v>
      </c>
      <c r="K166" s="13">
        <v>108</v>
      </c>
      <c r="L166" s="58">
        <f t="shared" si="9"/>
        <v>82</v>
      </c>
      <c r="M166" s="51">
        <v>38</v>
      </c>
      <c r="N166" s="55">
        <v>44</v>
      </c>
      <c r="O166" s="13">
        <f t="shared" si="10"/>
        <v>0</v>
      </c>
      <c r="P166" s="13">
        <v>0</v>
      </c>
      <c r="Q166" s="13">
        <v>0</v>
      </c>
      <c r="R166" s="58">
        <f t="shared" si="11"/>
        <v>0</v>
      </c>
      <c r="S166" s="51">
        <v>0</v>
      </c>
      <c r="T166" s="55">
        <v>0</v>
      </c>
      <c r="U166" s="14">
        <f t="shared" si="12"/>
        <v>407</v>
      </c>
      <c r="V166" s="13">
        <v>213</v>
      </c>
      <c r="W166" s="13">
        <v>194</v>
      </c>
      <c r="X166" s="15">
        <f t="shared" si="13"/>
        <v>55</v>
      </c>
      <c r="Y166" s="13">
        <v>12</v>
      </c>
      <c r="Z166" s="13">
        <v>43</v>
      </c>
    </row>
    <row r="167" spans="1:27" ht="15.75" x14ac:dyDescent="0.25">
      <c r="A167" s="43">
        <v>161</v>
      </c>
      <c r="B167" s="9" t="s">
        <v>8</v>
      </c>
      <c r="C167" s="10" t="s">
        <v>205</v>
      </c>
      <c r="D167" s="11" t="s">
        <v>136</v>
      </c>
      <c r="E167" s="12" t="s">
        <v>35</v>
      </c>
      <c r="F167" s="49">
        <f t="shared" si="7"/>
        <v>41</v>
      </c>
      <c r="G167" s="51">
        <v>21</v>
      </c>
      <c r="H167" s="55">
        <v>20</v>
      </c>
      <c r="I167" s="13">
        <f t="shared" si="8"/>
        <v>123</v>
      </c>
      <c r="J167" s="13">
        <v>65</v>
      </c>
      <c r="K167" s="13">
        <v>58</v>
      </c>
      <c r="L167" s="58">
        <f t="shared" si="9"/>
        <v>54</v>
      </c>
      <c r="M167" s="51">
        <v>27</v>
      </c>
      <c r="N167" s="55">
        <v>27</v>
      </c>
      <c r="O167" s="13">
        <f t="shared" si="10"/>
        <v>0</v>
      </c>
      <c r="P167" s="13">
        <v>0</v>
      </c>
      <c r="Q167" s="13">
        <v>0</v>
      </c>
      <c r="R167" s="58">
        <f t="shared" si="11"/>
        <v>0</v>
      </c>
      <c r="S167" s="51">
        <v>0</v>
      </c>
      <c r="T167" s="55">
        <v>0</v>
      </c>
      <c r="U167" s="14">
        <f t="shared" si="12"/>
        <v>218</v>
      </c>
      <c r="V167" s="13">
        <v>113</v>
      </c>
      <c r="W167" s="13">
        <v>105</v>
      </c>
      <c r="X167" s="15">
        <f t="shared" si="13"/>
        <v>31</v>
      </c>
      <c r="Y167" s="13">
        <v>6</v>
      </c>
      <c r="Z167" s="13">
        <v>25</v>
      </c>
    </row>
    <row r="168" spans="1:27" ht="15.75" x14ac:dyDescent="0.25">
      <c r="A168" s="43">
        <v>162</v>
      </c>
      <c r="B168" s="9" t="s">
        <v>8</v>
      </c>
      <c r="C168" s="10" t="s">
        <v>206</v>
      </c>
      <c r="D168" s="11" t="s">
        <v>207</v>
      </c>
      <c r="E168" s="12" t="s">
        <v>35</v>
      </c>
      <c r="F168" s="49">
        <f t="shared" si="7"/>
        <v>39</v>
      </c>
      <c r="G168" s="51">
        <v>15</v>
      </c>
      <c r="H168" s="55">
        <v>24</v>
      </c>
      <c r="I168" s="13">
        <f t="shared" si="8"/>
        <v>114</v>
      </c>
      <c r="J168" s="13">
        <v>60</v>
      </c>
      <c r="K168" s="13">
        <v>54</v>
      </c>
      <c r="L168" s="58">
        <f t="shared" si="9"/>
        <v>36</v>
      </c>
      <c r="M168" s="51">
        <v>22</v>
      </c>
      <c r="N168" s="55">
        <v>14</v>
      </c>
      <c r="O168" s="13">
        <f t="shared" si="10"/>
        <v>0</v>
      </c>
      <c r="P168" s="13">
        <v>0</v>
      </c>
      <c r="Q168" s="13">
        <v>0</v>
      </c>
      <c r="R168" s="58">
        <f t="shared" si="11"/>
        <v>0</v>
      </c>
      <c r="S168" s="51">
        <v>0</v>
      </c>
      <c r="T168" s="55">
        <v>0</v>
      </c>
      <c r="U168" s="14">
        <f t="shared" si="12"/>
        <v>189</v>
      </c>
      <c r="V168" s="13">
        <v>97</v>
      </c>
      <c r="W168" s="13">
        <v>92</v>
      </c>
      <c r="X168" s="15">
        <f t="shared" si="13"/>
        <v>31</v>
      </c>
      <c r="Y168" s="13">
        <v>9</v>
      </c>
      <c r="Z168" s="13">
        <v>22</v>
      </c>
    </row>
    <row r="169" spans="1:27" ht="15.75" x14ac:dyDescent="0.25">
      <c r="A169" s="43">
        <v>163</v>
      </c>
      <c r="B169" s="9" t="s">
        <v>8</v>
      </c>
      <c r="C169" s="10" t="s">
        <v>208</v>
      </c>
      <c r="D169" s="11" t="s">
        <v>118</v>
      </c>
      <c r="E169" s="12" t="s">
        <v>35</v>
      </c>
      <c r="F169" s="49">
        <f t="shared" si="7"/>
        <v>19</v>
      </c>
      <c r="G169" s="51">
        <v>8</v>
      </c>
      <c r="H169" s="55">
        <v>11</v>
      </c>
      <c r="I169" s="13">
        <f t="shared" si="8"/>
        <v>80</v>
      </c>
      <c r="J169" s="13">
        <v>40</v>
      </c>
      <c r="K169" s="13">
        <v>40</v>
      </c>
      <c r="L169" s="58">
        <f t="shared" si="9"/>
        <v>6</v>
      </c>
      <c r="M169" s="51">
        <v>4</v>
      </c>
      <c r="N169" s="55">
        <v>2</v>
      </c>
      <c r="O169" s="13">
        <f t="shared" si="10"/>
        <v>0</v>
      </c>
      <c r="P169" s="13">
        <v>0</v>
      </c>
      <c r="Q169" s="13">
        <v>0</v>
      </c>
      <c r="R169" s="58">
        <f t="shared" si="11"/>
        <v>0</v>
      </c>
      <c r="S169" s="51">
        <v>0</v>
      </c>
      <c r="T169" s="55">
        <v>0</v>
      </c>
      <c r="U169" s="14">
        <f t="shared" si="12"/>
        <v>105</v>
      </c>
      <c r="V169" s="13">
        <v>52</v>
      </c>
      <c r="W169" s="13">
        <v>53</v>
      </c>
      <c r="X169" s="15">
        <f t="shared" si="13"/>
        <v>24</v>
      </c>
      <c r="Y169" s="13">
        <v>5</v>
      </c>
      <c r="Z169" s="13">
        <v>19</v>
      </c>
    </row>
    <row r="170" spans="1:27" ht="15.75" x14ac:dyDescent="0.25">
      <c r="A170" s="43">
        <v>164</v>
      </c>
      <c r="B170" s="9" t="s">
        <v>8</v>
      </c>
      <c r="C170" s="10" t="s">
        <v>209</v>
      </c>
      <c r="D170" s="11" t="s">
        <v>135</v>
      </c>
      <c r="E170" s="12" t="s">
        <v>35</v>
      </c>
      <c r="F170" s="49">
        <f t="shared" si="7"/>
        <v>39</v>
      </c>
      <c r="G170" s="51">
        <v>19</v>
      </c>
      <c r="H170" s="55">
        <v>20</v>
      </c>
      <c r="I170" s="13">
        <f t="shared" si="8"/>
        <v>163</v>
      </c>
      <c r="J170" s="13">
        <v>88</v>
      </c>
      <c r="K170" s="13">
        <v>75</v>
      </c>
      <c r="L170" s="58">
        <f t="shared" si="9"/>
        <v>46</v>
      </c>
      <c r="M170" s="51">
        <v>21</v>
      </c>
      <c r="N170" s="55">
        <v>25</v>
      </c>
      <c r="O170" s="13">
        <f t="shared" si="10"/>
        <v>0</v>
      </c>
      <c r="P170" s="13">
        <v>0</v>
      </c>
      <c r="Q170" s="13">
        <v>0</v>
      </c>
      <c r="R170" s="58">
        <f t="shared" si="11"/>
        <v>0</v>
      </c>
      <c r="S170" s="51">
        <v>0</v>
      </c>
      <c r="T170" s="55">
        <v>0</v>
      </c>
      <c r="U170" s="14">
        <f t="shared" si="12"/>
        <v>248</v>
      </c>
      <c r="V170" s="13">
        <v>128</v>
      </c>
      <c r="W170" s="13">
        <v>120</v>
      </c>
      <c r="X170" s="15">
        <f t="shared" si="13"/>
        <v>32</v>
      </c>
      <c r="Y170" s="13">
        <v>9</v>
      </c>
      <c r="Z170" s="13">
        <v>23</v>
      </c>
    </row>
    <row r="171" spans="1:27" ht="15.75" x14ac:dyDescent="0.25">
      <c r="A171" s="43">
        <v>165</v>
      </c>
      <c r="B171" s="9" t="s">
        <v>8</v>
      </c>
      <c r="C171" s="10" t="s">
        <v>210</v>
      </c>
      <c r="D171" s="11" t="s">
        <v>135</v>
      </c>
      <c r="E171" s="12" t="s">
        <v>39</v>
      </c>
      <c r="F171" s="49">
        <f t="shared" si="7"/>
        <v>6</v>
      </c>
      <c r="G171" s="51">
        <v>3</v>
      </c>
      <c r="H171" s="55">
        <v>3</v>
      </c>
      <c r="I171" s="13">
        <f t="shared" si="8"/>
        <v>0</v>
      </c>
      <c r="J171" s="13">
        <v>0</v>
      </c>
      <c r="K171" s="13">
        <v>0</v>
      </c>
      <c r="L171" s="58">
        <f t="shared" si="9"/>
        <v>0</v>
      </c>
      <c r="M171" s="51">
        <v>0</v>
      </c>
      <c r="N171" s="55">
        <v>0</v>
      </c>
      <c r="O171" s="13">
        <f t="shared" si="10"/>
        <v>0</v>
      </c>
      <c r="P171" s="13">
        <v>0</v>
      </c>
      <c r="Q171" s="13">
        <v>0</v>
      </c>
      <c r="R171" s="58">
        <f t="shared" si="11"/>
        <v>0</v>
      </c>
      <c r="S171" s="51">
        <v>0</v>
      </c>
      <c r="T171" s="55">
        <v>0</v>
      </c>
      <c r="U171" s="14">
        <f t="shared" si="12"/>
        <v>6</v>
      </c>
      <c r="V171" s="13">
        <v>3</v>
      </c>
      <c r="W171" s="13">
        <v>3</v>
      </c>
      <c r="X171" s="15">
        <f t="shared" si="13"/>
        <v>1</v>
      </c>
      <c r="Y171" s="13">
        <v>0</v>
      </c>
      <c r="Z171" s="13">
        <v>1</v>
      </c>
    </row>
    <row r="172" spans="1:27" ht="15.75" x14ac:dyDescent="0.25">
      <c r="A172" s="43">
        <v>166</v>
      </c>
      <c r="B172" s="9" t="s">
        <v>8</v>
      </c>
      <c r="C172" s="10" t="s">
        <v>211</v>
      </c>
      <c r="D172" s="11" t="s">
        <v>136</v>
      </c>
      <c r="E172" s="12" t="s">
        <v>37</v>
      </c>
      <c r="F172" s="49">
        <f t="shared" si="7"/>
        <v>21</v>
      </c>
      <c r="G172" s="51">
        <v>11</v>
      </c>
      <c r="H172" s="55">
        <v>10</v>
      </c>
      <c r="I172" s="13">
        <f t="shared" si="8"/>
        <v>0</v>
      </c>
      <c r="J172" s="13">
        <v>0</v>
      </c>
      <c r="K172" s="13">
        <v>0</v>
      </c>
      <c r="L172" s="58">
        <f t="shared" si="9"/>
        <v>0</v>
      </c>
      <c r="M172" s="51">
        <v>0</v>
      </c>
      <c r="N172" s="55">
        <v>0</v>
      </c>
      <c r="O172" s="13">
        <f t="shared" si="10"/>
        <v>0</v>
      </c>
      <c r="P172" s="13">
        <v>0</v>
      </c>
      <c r="Q172" s="13">
        <v>0</v>
      </c>
      <c r="R172" s="58">
        <f t="shared" si="11"/>
        <v>0</v>
      </c>
      <c r="S172" s="51">
        <v>0</v>
      </c>
      <c r="T172" s="55">
        <v>0</v>
      </c>
      <c r="U172" s="14">
        <f t="shared" si="12"/>
        <v>21</v>
      </c>
      <c r="V172" s="13">
        <v>11</v>
      </c>
      <c r="W172" s="13">
        <v>10</v>
      </c>
      <c r="X172" s="15">
        <f t="shared" si="13"/>
        <v>0</v>
      </c>
      <c r="Y172" s="13">
        <v>0</v>
      </c>
      <c r="Z172" s="13">
        <v>0</v>
      </c>
    </row>
    <row r="173" spans="1:27" ht="15.75" x14ac:dyDescent="0.25">
      <c r="A173" s="43">
        <v>167</v>
      </c>
      <c r="B173" s="9" t="s">
        <v>194</v>
      </c>
      <c r="C173" s="10" t="s">
        <v>212</v>
      </c>
      <c r="D173" s="11" t="s">
        <v>139</v>
      </c>
      <c r="E173" s="12" t="s">
        <v>35</v>
      </c>
      <c r="F173" s="49">
        <f t="shared" si="7"/>
        <v>118</v>
      </c>
      <c r="G173" s="51">
        <v>60</v>
      </c>
      <c r="H173" s="55">
        <v>58</v>
      </c>
      <c r="I173" s="13">
        <f t="shared" si="8"/>
        <v>339</v>
      </c>
      <c r="J173" s="13">
        <v>189</v>
      </c>
      <c r="K173" s="13">
        <v>150</v>
      </c>
      <c r="L173" s="58">
        <f t="shared" si="9"/>
        <v>111</v>
      </c>
      <c r="M173" s="51">
        <v>55</v>
      </c>
      <c r="N173" s="55">
        <v>56</v>
      </c>
      <c r="O173" s="13">
        <f t="shared" si="10"/>
        <v>0</v>
      </c>
      <c r="P173" s="13">
        <v>0</v>
      </c>
      <c r="Q173" s="13">
        <v>0</v>
      </c>
      <c r="R173" s="58">
        <f t="shared" si="11"/>
        <v>1</v>
      </c>
      <c r="S173" s="51">
        <v>0</v>
      </c>
      <c r="T173" s="55">
        <v>1</v>
      </c>
      <c r="U173" s="14">
        <f t="shared" si="12"/>
        <v>569</v>
      </c>
      <c r="V173" s="13">
        <v>304</v>
      </c>
      <c r="W173" s="13">
        <v>265</v>
      </c>
      <c r="X173" s="15">
        <f t="shared" si="13"/>
        <v>56</v>
      </c>
      <c r="Y173" s="13">
        <v>9</v>
      </c>
      <c r="Z173" s="13">
        <v>47</v>
      </c>
    </row>
    <row r="174" spans="1:27" ht="15.75" x14ac:dyDescent="0.25">
      <c r="A174" s="43">
        <v>168</v>
      </c>
      <c r="B174" s="9" t="s">
        <v>194</v>
      </c>
      <c r="C174" s="10" t="s">
        <v>213</v>
      </c>
      <c r="D174" s="11" t="s">
        <v>214</v>
      </c>
      <c r="E174" s="12" t="s">
        <v>35</v>
      </c>
      <c r="F174" s="49">
        <f t="shared" si="7"/>
        <v>153</v>
      </c>
      <c r="G174" s="51">
        <v>80</v>
      </c>
      <c r="H174" s="55">
        <v>73</v>
      </c>
      <c r="I174" s="13">
        <f t="shared" si="8"/>
        <v>340</v>
      </c>
      <c r="J174" s="13">
        <v>185</v>
      </c>
      <c r="K174" s="13">
        <v>155</v>
      </c>
      <c r="L174" s="58">
        <f t="shared" si="9"/>
        <v>124</v>
      </c>
      <c r="M174" s="51">
        <v>62</v>
      </c>
      <c r="N174" s="55">
        <v>62</v>
      </c>
      <c r="O174" s="13">
        <f t="shared" si="10"/>
        <v>0</v>
      </c>
      <c r="P174" s="13">
        <v>0</v>
      </c>
      <c r="Q174" s="13">
        <v>0</v>
      </c>
      <c r="R174" s="58">
        <f t="shared" si="11"/>
        <v>0</v>
      </c>
      <c r="S174" s="51">
        <v>0</v>
      </c>
      <c r="T174" s="55">
        <v>0</v>
      </c>
      <c r="U174" s="14">
        <f t="shared" si="12"/>
        <v>617</v>
      </c>
      <c r="V174" s="13">
        <v>327</v>
      </c>
      <c r="W174" s="13">
        <v>290</v>
      </c>
      <c r="X174" s="15">
        <f t="shared" si="13"/>
        <v>57</v>
      </c>
      <c r="Y174" s="13">
        <v>12</v>
      </c>
      <c r="Z174" s="13">
        <v>45</v>
      </c>
    </row>
    <row r="175" spans="1:27" ht="15.75" x14ac:dyDescent="0.25">
      <c r="A175" s="43">
        <v>169</v>
      </c>
      <c r="B175" s="9" t="s">
        <v>194</v>
      </c>
      <c r="C175" s="10" t="s">
        <v>215</v>
      </c>
      <c r="D175" s="11" t="s">
        <v>216</v>
      </c>
      <c r="E175" s="12" t="s">
        <v>35</v>
      </c>
      <c r="F175" s="49">
        <f t="shared" si="7"/>
        <v>22</v>
      </c>
      <c r="G175" s="51">
        <v>12</v>
      </c>
      <c r="H175" s="55">
        <v>10</v>
      </c>
      <c r="I175" s="13">
        <f t="shared" si="8"/>
        <v>76</v>
      </c>
      <c r="J175" s="13">
        <v>40</v>
      </c>
      <c r="K175" s="13">
        <v>36</v>
      </c>
      <c r="L175" s="58">
        <f t="shared" si="9"/>
        <v>22</v>
      </c>
      <c r="M175" s="51">
        <v>8</v>
      </c>
      <c r="N175" s="55">
        <v>14</v>
      </c>
      <c r="O175" s="13">
        <f t="shared" si="10"/>
        <v>0</v>
      </c>
      <c r="P175" s="13">
        <v>0</v>
      </c>
      <c r="Q175" s="13">
        <v>0</v>
      </c>
      <c r="R175" s="58">
        <f t="shared" si="11"/>
        <v>0</v>
      </c>
      <c r="S175" s="51">
        <v>0</v>
      </c>
      <c r="T175" s="55">
        <v>0</v>
      </c>
      <c r="U175" s="14">
        <f t="shared" si="12"/>
        <v>120</v>
      </c>
      <c r="V175" s="13">
        <v>60</v>
      </c>
      <c r="W175" s="13">
        <v>60</v>
      </c>
      <c r="X175" s="15">
        <f t="shared" si="13"/>
        <v>33</v>
      </c>
      <c r="Y175" s="13">
        <v>10</v>
      </c>
      <c r="Z175" s="13">
        <v>23</v>
      </c>
    </row>
    <row r="176" spans="1:27" ht="15.75" x14ac:dyDescent="0.25">
      <c r="A176" s="43">
        <v>170</v>
      </c>
      <c r="B176" s="9" t="s">
        <v>194</v>
      </c>
      <c r="C176" s="10" t="s">
        <v>217</v>
      </c>
      <c r="D176" s="11" t="s">
        <v>145</v>
      </c>
      <c r="E176" s="12" t="s">
        <v>35</v>
      </c>
      <c r="F176" s="49">
        <f t="shared" si="7"/>
        <v>58</v>
      </c>
      <c r="G176" s="51">
        <v>28</v>
      </c>
      <c r="H176" s="55">
        <v>30</v>
      </c>
      <c r="I176" s="13">
        <f t="shared" si="8"/>
        <v>144</v>
      </c>
      <c r="J176" s="13">
        <v>69</v>
      </c>
      <c r="K176" s="13">
        <v>75</v>
      </c>
      <c r="L176" s="58">
        <f t="shared" si="9"/>
        <v>33</v>
      </c>
      <c r="M176" s="51">
        <v>20</v>
      </c>
      <c r="N176" s="55">
        <v>13</v>
      </c>
      <c r="O176" s="13">
        <f t="shared" si="10"/>
        <v>0</v>
      </c>
      <c r="P176" s="13">
        <v>0</v>
      </c>
      <c r="Q176" s="13">
        <v>0</v>
      </c>
      <c r="R176" s="58">
        <f t="shared" si="11"/>
        <v>6</v>
      </c>
      <c r="S176" s="51">
        <v>1</v>
      </c>
      <c r="T176" s="55">
        <v>5</v>
      </c>
      <c r="U176" s="14">
        <f t="shared" si="12"/>
        <v>241</v>
      </c>
      <c r="V176" s="13">
        <v>118</v>
      </c>
      <c r="W176" s="13">
        <v>123</v>
      </c>
      <c r="X176" s="15">
        <f t="shared" si="13"/>
        <v>33</v>
      </c>
      <c r="Y176" s="13">
        <v>10</v>
      </c>
      <c r="Z176" s="13">
        <v>23</v>
      </c>
    </row>
    <row r="177" spans="1:27" ht="15.75" x14ac:dyDescent="0.25">
      <c r="A177" s="43">
        <v>171</v>
      </c>
      <c r="B177" s="9" t="s">
        <v>194</v>
      </c>
      <c r="C177" s="10" t="s">
        <v>218</v>
      </c>
      <c r="D177" s="11" t="s">
        <v>219</v>
      </c>
      <c r="E177" s="12" t="s">
        <v>35</v>
      </c>
      <c r="F177" s="49">
        <f t="shared" si="7"/>
        <v>21</v>
      </c>
      <c r="G177" s="51">
        <v>11</v>
      </c>
      <c r="H177" s="55">
        <v>10</v>
      </c>
      <c r="I177" s="13">
        <f t="shared" si="8"/>
        <v>85</v>
      </c>
      <c r="J177" s="13">
        <v>48</v>
      </c>
      <c r="K177" s="13">
        <v>37</v>
      </c>
      <c r="L177" s="58">
        <f t="shared" si="9"/>
        <v>22</v>
      </c>
      <c r="M177" s="51">
        <v>12</v>
      </c>
      <c r="N177" s="55">
        <v>10</v>
      </c>
      <c r="O177" s="13">
        <f t="shared" si="10"/>
        <v>0</v>
      </c>
      <c r="P177" s="13">
        <v>0</v>
      </c>
      <c r="Q177" s="13">
        <v>0</v>
      </c>
      <c r="R177" s="58">
        <f t="shared" si="11"/>
        <v>0</v>
      </c>
      <c r="S177" s="51">
        <v>0</v>
      </c>
      <c r="T177" s="55">
        <v>0</v>
      </c>
      <c r="U177" s="14">
        <f t="shared" si="12"/>
        <v>128</v>
      </c>
      <c r="V177" s="13">
        <v>71</v>
      </c>
      <c r="W177" s="13">
        <v>57</v>
      </c>
      <c r="X177" s="15">
        <f t="shared" si="13"/>
        <v>24</v>
      </c>
      <c r="Y177" s="13">
        <v>7</v>
      </c>
      <c r="Z177" s="13">
        <v>17</v>
      </c>
    </row>
    <row r="178" spans="1:27" ht="15.75" x14ac:dyDescent="0.25">
      <c r="A178" s="43">
        <v>172</v>
      </c>
      <c r="B178" s="9" t="s">
        <v>194</v>
      </c>
      <c r="C178" s="10" t="s">
        <v>220</v>
      </c>
      <c r="D178" s="11" t="s">
        <v>144</v>
      </c>
      <c r="E178" s="12" t="s">
        <v>35</v>
      </c>
      <c r="F178" s="49">
        <f t="shared" si="7"/>
        <v>19</v>
      </c>
      <c r="G178" s="51">
        <v>10</v>
      </c>
      <c r="H178" s="55">
        <v>9</v>
      </c>
      <c r="I178" s="13">
        <f t="shared" si="8"/>
        <v>34</v>
      </c>
      <c r="J178" s="13">
        <v>18</v>
      </c>
      <c r="K178" s="13">
        <v>16</v>
      </c>
      <c r="L178" s="58">
        <f t="shared" si="9"/>
        <v>16</v>
      </c>
      <c r="M178" s="51">
        <v>7</v>
      </c>
      <c r="N178" s="55">
        <v>9</v>
      </c>
      <c r="O178" s="13">
        <f t="shared" si="10"/>
        <v>0</v>
      </c>
      <c r="P178" s="13">
        <v>0</v>
      </c>
      <c r="Q178" s="13">
        <v>0</v>
      </c>
      <c r="R178" s="58">
        <f t="shared" si="11"/>
        <v>0</v>
      </c>
      <c r="S178" s="51">
        <v>0</v>
      </c>
      <c r="T178" s="55">
        <v>0</v>
      </c>
      <c r="U178" s="14">
        <f t="shared" si="12"/>
        <v>69</v>
      </c>
      <c r="V178" s="13">
        <v>35</v>
      </c>
      <c r="W178" s="13">
        <v>34</v>
      </c>
      <c r="X178" s="15">
        <f t="shared" si="13"/>
        <v>18</v>
      </c>
      <c r="Y178" s="13">
        <v>7</v>
      </c>
      <c r="Z178" s="13">
        <v>11</v>
      </c>
    </row>
    <row r="179" spans="1:27" ht="15.75" x14ac:dyDescent="0.25">
      <c r="A179" s="43">
        <v>173</v>
      </c>
      <c r="B179" s="9" t="s">
        <v>194</v>
      </c>
      <c r="C179" s="10" t="s">
        <v>221</v>
      </c>
      <c r="D179" s="11" t="s">
        <v>141</v>
      </c>
      <c r="E179" s="12" t="s">
        <v>35</v>
      </c>
      <c r="F179" s="49">
        <f t="shared" si="7"/>
        <v>46</v>
      </c>
      <c r="G179" s="51">
        <v>19</v>
      </c>
      <c r="H179" s="55">
        <v>27</v>
      </c>
      <c r="I179" s="13">
        <f t="shared" si="8"/>
        <v>115</v>
      </c>
      <c r="J179" s="13">
        <v>59</v>
      </c>
      <c r="K179" s="13">
        <v>56</v>
      </c>
      <c r="L179" s="58">
        <f t="shared" si="9"/>
        <v>33</v>
      </c>
      <c r="M179" s="51">
        <v>18</v>
      </c>
      <c r="N179" s="55">
        <v>15</v>
      </c>
      <c r="O179" s="13">
        <f t="shared" si="10"/>
        <v>0</v>
      </c>
      <c r="P179" s="13">
        <v>0</v>
      </c>
      <c r="Q179" s="13">
        <v>0</v>
      </c>
      <c r="R179" s="58">
        <f t="shared" si="11"/>
        <v>0</v>
      </c>
      <c r="S179" s="51">
        <v>0</v>
      </c>
      <c r="T179" s="55">
        <v>0</v>
      </c>
      <c r="U179" s="14">
        <f t="shared" si="12"/>
        <v>194</v>
      </c>
      <c r="V179" s="13">
        <v>96</v>
      </c>
      <c r="W179" s="13">
        <v>98</v>
      </c>
      <c r="X179" s="15">
        <f t="shared" si="13"/>
        <v>32</v>
      </c>
      <c r="Y179" s="13">
        <v>9</v>
      </c>
      <c r="Z179" s="13">
        <v>23</v>
      </c>
    </row>
    <row r="180" spans="1:27" ht="15.75" x14ac:dyDescent="0.25">
      <c r="A180" s="43">
        <v>174</v>
      </c>
      <c r="B180" s="9" t="s">
        <v>194</v>
      </c>
      <c r="C180" s="10" t="s">
        <v>222</v>
      </c>
      <c r="D180" s="11" t="s">
        <v>223</v>
      </c>
      <c r="E180" s="12" t="s">
        <v>35</v>
      </c>
      <c r="F180" s="49">
        <f t="shared" si="7"/>
        <v>7</v>
      </c>
      <c r="G180" s="51">
        <v>5</v>
      </c>
      <c r="H180" s="55">
        <v>2</v>
      </c>
      <c r="I180" s="13">
        <f t="shared" si="8"/>
        <v>16</v>
      </c>
      <c r="J180" s="13">
        <v>7</v>
      </c>
      <c r="K180" s="13">
        <v>9</v>
      </c>
      <c r="L180" s="58">
        <f t="shared" si="9"/>
        <v>0</v>
      </c>
      <c r="M180" s="51">
        <v>0</v>
      </c>
      <c r="N180" s="55">
        <v>0</v>
      </c>
      <c r="O180" s="13">
        <f t="shared" si="10"/>
        <v>0</v>
      </c>
      <c r="P180" s="13">
        <v>0</v>
      </c>
      <c r="Q180" s="13">
        <v>0</v>
      </c>
      <c r="R180" s="58">
        <f t="shared" si="11"/>
        <v>0</v>
      </c>
      <c r="S180" s="51">
        <v>0</v>
      </c>
      <c r="T180" s="55">
        <v>0</v>
      </c>
      <c r="U180" s="14">
        <f t="shared" si="12"/>
        <v>23</v>
      </c>
      <c r="V180" s="13">
        <v>12</v>
      </c>
      <c r="W180" s="13">
        <v>11</v>
      </c>
      <c r="X180" s="15">
        <f t="shared" si="13"/>
        <v>9</v>
      </c>
      <c r="Y180" s="13">
        <v>4</v>
      </c>
      <c r="Z180" s="13">
        <v>5</v>
      </c>
    </row>
    <row r="181" spans="1:27" ht="15.75" x14ac:dyDescent="0.25">
      <c r="A181" s="43">
        <v>175</v>
      </c>
      <c r="B181" s="9" t="s">
        <v>194</v>
      </c>
      <c r="C181" s="10" t="s">
        <v>224</v>
      </c>
      <c r="D181" s="11" t="s">
        <v>142</v>
      </c>
      <c r="E181" s="12" t="s">
        <v>35</v>
      </c>
      <c r="F181" s="49">
        <f t="shared" si="7"/>
        <v>21</v>
      </c>
      <c r="G181" s="51">
        <v>11</v>
      </c>
      <c r="H181" s="55">
        <v>10</v>
      </c>
      <c r="I181" s="13">
        <f t="shared" si="8"/>
        <v>69</v>
      </c>
      <c r="J181" s="13">
        <v>35</v>
      </c>
      <c r="K181" s="13">
        <v>34</v>
      </c>
      <c r="L181" s="58">
        <f t="shared" si="9"/>
        <v>20</v>
      </c>
      <c r="M181" s="51">
        <v>13</v>
      </c>
      <c r="N181" s="55">
        <v>7</v>
      </c>
      <c r="O181" s="13">
        <f t="shared" si="10"/>
        <v>0</v>
      </c>
      <c r="P181" s="13">
        <v>0</v>
      </c>
      <c r="Q181" s="13">
        <v>0</v>
      </c>
      <c r="R181" s="58">
        <f t="shared" si="11"/>
        <v>0</v>
      </c>
      <c r="S181" s="51">
        <v>0</v>
      </c>
      <c r="T181" s="55">
        <v>0</v>
      </c>
      <c r="U181" s="14">
        <f t="shared" si="12"/>
        <v>110</v>
      </c>
      <c r="V181" s="13">
        <v>59</v>
      </c>
      <c r="W181" s="13">
        <v>51</v>
      </c>
      <c r="X181" s="15">
        <f t="shared" si="13"/>
        <v>31</v>
      </c>
      <c r="Y181" s="13">
        <v>9</v>
      </c>
      <c r="Z181" s="13">
        <v>22</v>
      </c>
    </row>
    <row r="182" spans="1:27" ht="15.75" x14ac:dyDescent="0.25">
      <c r="A182" s="43">
        <v>176</v>
      </c>
      <c r="B182" s="9" t="s">
        <v>194</v>
      </c>
      <c r="C182" s="10" t="s">
        <v>225</v>
      </c>
      <c r="D182" s="11" t="s">
        <v>143</v>
      </c>
      <c r="E182" s="12" t="s">
        <v>35</v>
      </c>
      <c r="F182" s="49">
        <f t="shared" si="7"/>
        <v>53</v>
      </c>
      <c r="G182" s="51">
        <v>28</v>
      </c>
      <c r="H182" s="55">
        <v>25</v>
      </c>
      <c r="I182" s="13">
        <f t="shared" si="8"/>
        <v>155</v>
      </c>
      <c r="J182" s="13">
        <v>84</v>
      </c>
      <c r="K182" s="13">
        <v>71</v>
      </c>
      <c r="L182" s="58">
        <f t="shared" si="9"/>
        <v>29</v>
      </c>
      <c r="M182" s="51">
        <v>15</v>
      </c>
      <c r="N182" s="55">
        <v>14</v>
      </c>
      <c r="O182" s="13">
        <f t="shared" si="10"/>
        <v>0</v>
      </c>
      <c r="P182" s="13">
        <v>0</v>
      </c>
      <c r="Q182" s="13">
        <v>0</v>
      </c>
      <c r="R182" s="58">
        <f t="shared" si="11"/>
        <v>0</v>
      </c>
      <c r="S182" s="51">
        <v>0</v>
      </c>
      <c r="T182" s="55">
        <v>0</v>
      </c>
      <c r="U182" s="14">
        <f t="shared" si="12"/>
        <v>237</v>
      </c>
      <c r="V182" s="13">
        <v>127</v>
      </c>
      <c r="W182" s="13">
        <v>110</v>
      </c>
      <c r="X182" s="15">
        <f t="shared" si="13"/>
        <v>38</v>
      </c>
      <c r="Y182" s="13">
        <v>7</v>
      </c>
      <c r="Z182" s="13">
        <v>31</v>
      </c>
    </row>
    <row r="183" spans="1:27" ht="15.75" x14ac:dyDescent="0.25">
      <c r="A183" s="43">
        <v>177</v>
      </c>
      <c r="B183" s="9" t="s">
        <v>194</v>
      </c>
      <c r="C183" s="10" t="s">
        <v>226</v>
      </c>
      <c r="D183" s="11" t="s">
        <v>142</v>
      </c>
      <c r="E183" s="12" t="s">
        <v>39</v>
      </c>
      <c r="F183" s="49">
        <f t="shared" si="7"/>
        <v>2</v>
      </c>
      <c r="G183" s="51">
        <v>0</v>
      </c>
      <c r="H183" s="55">
        <v>2</v>
      </c>
      <c r="I183" s="13">
        <f t="shared" si="8"/>
        <v>0</v>
      </c>
      <c r="J183" s="13">
        <v>0</v>
      </c>
      <c r="K183" s="13">
        <v>0</v>
      </c>
      <c r="L183" s="58">
        <f t="shared" si="9"/>
        <v>0</v>
      </c>
      <c r="M183" s="51">
        <v>0</v>
      </c>
      <c r="N183" s="55">
        <v>0</v>
      </c>
      <c r="O183" s="13">
        <f t="shared" si="10"/>
        <v>0</v>
      </c>
      <c r="P183" s="13">
        <v>0</v>
      </c>
      <c r="Q183" s="13">
        <v>0</v>
      </c>
      <c r="R183" s="58">
        <f t="shared" si="11"/>
        <v>0</v>
      </c>
      <c r="S183" s="51">
        <v>0</v>
      </c>
      <c r="T183" s="55">
        <v>0</v>
      </c>
      <c r="U183" s="14">
        <f t="shared" si="12"/>
        <v>2</v>
      </c>
      <c r="V183" s="13">
        <v>0</v>
      </c>
      <c r="W183" s="13">
        <v>2</v>
      </c>
      <c r="X183" s="15">
        <f t="shared" si="13"/>
        <v>1</v>
      </c>
      <c r="Y183" s="13">
        <v>0</v>
      </c>
      <c r="Z183" s="13">
        <v>1</v>
      </c>
    </row>
    <row r="184" spans="1:27" ht="15.75" x14ac:dyDescent="0.25">
      <c r="A184" s="43">
        <v>178</v>
      </c>
      <c r="B184" s="9" t="s">
        <v>194</v>
      </c>
      <c r="C184" s="10" t="s">
        <v>227</v>
      </c>
      <c r="D184" s="11" t="s">
        <v>140</v>
      </c>
      <c r="E184" s="12" t="s">
        <v>39</v>
      </c>
      <c r="F184" s="49">
        <f t="shared" si="7"/>
        <v>27</v>
      </c>
      <c r="G184" s="51">
        <v>17</v>
      </c>
      <c r="H184" s="55">
        <v>10</v>
      </c>
      <c r="I184" s="13">
        <f t="shared" si="8"/>
        <v>0</v>
      </c>
      <c r="J184" s="13">
        <v>0</v>
      </c>
      <c r="K184" s="13">
        <v>0</v>
      </c>
      <c r="L184" s="58">
        <f t="shared" si="9"/>
        <v>0</v>
      </c>
      <c r="M184" s="51">
        <v>0</v>
      </c>
      <c r="N184" s="55">
        <v>0</v>
      </c>
      <c r="O184" s="13">
        <f t="shared" si="10"/>
        <v>0</v>
      </c>
      <c r="P184" s="13">
        <v>0</v>
      </c>
      <c r="Q184" s="13">
        <v>0</v>
      </c>
      <c r="R184" s="58">
        <f t="shared" si="11"/>
        <v>0</v>
      </c>
      <c r="S184" s="51">
        <v>0</v>
      </c>
      <c r="T184" s="55">
        <v>0</v>
      </c>
      <c r="U184" s="14">
        <f t="shared" si="12"/>
        <v>27</v>
      </c>
      <c r="V184" s="13">
        <v>17</v>
      </c>
      <c r="W184" s="13">
        <v>10</v>
      </c>
      <c r="X184" s="15">
        <f t="shared" si="13"/>
        <v>1</v>
      </c>
      <c r="Y184" s="13">
        <v>0</v>
      </c>
      <c r="Z184" s="13">
        <v>1</v>
      </c>
    </row>
    <row r="185" spans="1:27" ht="15.75" x14ac:dyDescent="0.25">
      <c r="A185" s="43">
        <v>179</v>
      </c>
      <c r="B185" s="9" t="s">
        <v>194</v>
      </c>
      <c r="C185" s="10" t="s">
        <v>228</v>
      </c>
      <c r="D185" s="11" t="s">
        <v>143</v>
      </c>
      <c r="E185" s="12" t="s">
        <v>37</v>
      </c>
      <c r="F185" s="49">
        <f t="shared" si="7"/>
        <v>10</v>
      </c>
      <c r="G185" s="51">
        <v>7</v>
      </c>
      <c r="H185" s="55">
        <v>3</v>
      </c>
      <c r="I185" s="13">
        <f t="shared" si="8"/>
        <v>0</v>
      </c>
      <c r="J185" s="13">
        <v>0</v>
      </c>
      <c r="K185" s="13">
        <v>0</v>
      </c>
      <c r="L185" s="58">
        <f t="shared" si="9"/>
        <v>0</v>
      </c>
      <c r="M185" s="51">
        <v>0</v>
      </c>
      <c r="N185" s="55">
        <v>0</v>
      </c>
      <c r="O185" s="13">
        <f t="shared" si="10"/>
        <v>0</v>
      </c>
      <c r="P185" s="13">
        <v>0</v>
      </c>
      <c r="Q185" s="13">
        <v>0</v>
      </c>
      <c r="R185" s="58">
        <f t="shared" si="11"/>
        <v>0</v>
      </c>
      <c r="S185" s="51">
        <v>0</v>
      </c>
      <c r="T185" s="55">
        <v>0</v>
      </c>
      <c r="U185" s="14">
        <f t="shared" si="12"/>
        <v>10</v>
      </c>
      <c r="V185" s="13">
        <v>7</v>
      </c>
      <c r="W185" s="13">
        <v>3</v>
      </c>
      <c r="X185" s="15">
        <f t="shared" si="13"/>
        <v>0</v>
      </c>
      <c r="Y185" s="13">
        <v>0</v>
      </c>
      <c r="Z185" s="13">
        <v>0</v>
      </c>
    </row>
    <row r="186" spans="1:27" ht="15.75" x14ac:dyDescent="0.25">
      <c r="A186" s="43">
        <v>180</v>
      </c>
      <c r="B186" s="9" t="s">
        <v>9</v>
      </c>
      <c r="C186" s="10" t="s">
        <v>509</v>
      </c>
      <c r="D186" s="11" t="s">
        <v>147</v>
      </c>
      <c r="E186" s="12" t="s">
        <v>35</v>
      </c>
      <c r="F186" s="49">
        <f>G186+H186</f>
        <v>36</v>
      </c>
      <c r="G186" s="51">
        <v>19</v>
      </c>
      <c r="H186" s="55">
        <v>17</v>
      </c>
      <c r="I186" s="13">
        <f>SUM(J186:K186)</f>
        <v>76</v>
      </c>
      <c r="J186" s="13">
        <v>42</v>
      </c>
      <c r="K186" s="13">
        <v>34</v>
      </c>
      <c r="L186" s="58">
        <f>SUM(M186:N186)</f>
        <v>17</v>
      </c>
      <c r="M186" s="51">
        <v>10</v>
      </c>
      <c r="N186" s="55">
        <v>7</v>
      </c>
      <c r="O186" s="13">
        <f>SUM(P186:Q186)</f>
        <v>0</v>
      </c>
      <c r="P186" s="13">
        <v>0</v>
      </c>
      <c r="Q186" s="13">
        <v>0</v>
      </c>
      <c r="R186" s="58">
        <f>SUM(S186:T186)</f>
        <v>0</v>
      </c>
      <c r="S186" s="51">
        <v>0</v>
      </c>
      <c r="T186" s="55">
        <v>0</v>
      </c>
      <c r="U186" s="14">
        <f>V186+W186</f>
        <v>129</v>
      </c>
      <c r="V186" s="13">
        <v>71</v>
      </c>
      <c r="W186" s="13">
        <v>58</v>
      </c>
      <c r="X186" s="15">
        <f>SUM(Y186:Z186)</f>
        <v>23</v>
      </c>
      <c r="Y186" s="13">
        <v>4</v>
      </c>
      <c r="Z186" s="13">
        <v>19</v>
      </c>
      <c r="AA186" s="2"/>
    </row>
    <row r="187" spans="1:27" ht="15.75" x14ac:dyDescent="0.25">
      <c r="A187" s="43">
        <v>181</v>
      </c>
      <c r="B187" s="9" t="s">
        <v>9</v>
      </c>
      <c r="C187" s="10" t="s">
        <v>510</v>
      </c>
      <c r="D187" s="11" t="s">
        <v>146</v>
      </c>
      <c r="E187" s="12" t="s">
        <v>35</v>
      </c>
      <c r="F187" s="49">
        <f>G187+H187</f>
        <v>13</v>
      </c>
      <c r="G187" s="51">
        <v>9</v>
      </c>
      <c r="H187" s="55">
        <v>4</v>
      </c>
      <c r="I187" s="13">
        <f>SUM(J187:K187)</f>
        <v>30</v>
      </c>
      <c r="J187" s="13">
        <v>15</v>
      </c>
      <c r="K187" s="13">
        <v>15</v>
      </c>
      <c r="L187" s="58">
        <f>SUM(M187:N187)</f>
        <v>12</v>
      </c>
      <c r="M187" s="51">
        <v>8</v>
      </c>
      <c r="N187" s="55">
        <v>4</v>
      </c>
      <c r="O187" s="13">
        <f>SUM(P187:Q187)</f>
        <v>0</v>
      </c>
      <c r="P187" s="13">
        <v>0</v>
      </c>
      <c r="Q187" s="13">
        <v>0</v>
      </c>
      <c r="R187" s="58">
        <f>SUM(S187:T187)</f>
        <v>0</v>
      </c>
      <c r="S187" s="51">
        <v>0</v>
      </c>
      <c r="T187" s="55">
        <v>0</v>
      </c>
      <c r="U187" s="14">
        <f>V187+W187</f>
        <v>55</v>
      </c>
      <c r="V187" s="13">
        <v>32</v>
      </c>
      <c r="W187" s="13">
        <v>23</v>
      </c>
      <c r="X187" s="15">
        <f>SUM(Y187:Z187)</f>
        <v>22</v>
      </c>
      <c r="Y187" s="13">
        <v>7</v>
      </c>
      <c r="Z187" s="13">
        <v>15</v>
      </c>
      <c r="AA187" s="2"/>
    </row>
    <row r="188" spans="1:27" ht="15.75" x14ac:dyDescent="0.25">
      <c r="A188" s="43">
        <v>182</v>
      </c>
      <c r="B188" s="21" t="s">
        <v>9</v>
      </c>
      <c r="C188" s="22" t="s">
        <v>511</v>
      </c>
      <c r="D188" s="23" t="s">
        <v>148</v>
      </c>
      <c r="E188" s="24" t="s">
        <v>35</v>
      </c>
      <c r="F188" s="49">
        <f>G188+H188</f>
        <v>37</v>
      </c>
      <c r="G188" s="51">
        <v>12</v>
      </c>
      <c r="H188" s="55">
        <v>25</v>
      </c>
      <c r="I188" s="13">
        <f>SUM(J188:K188)</f>
        <v>124</v>
      </c>
      <c r="J188" s="13">
        <v>64</v>
      </c>
      <c r="K188" s="13">
        <v>60</v>
      </c>
      <c r="L188" s="58">
        <f>SUM(M188:N188)</f>
        <v>38</v>
      </c>
      <c r="M188" s="51">
        <v>20</v>
      </c>
      <c r="N188" s="55">
        <v>18</v>
      </c>
      <c r="O188" s="13">
        <f>SUM(P188:Q188)</f>
        <v>0</v>
      </c>
      <c r="P188" s="13">
        <v>0</v>
      </c>
      <c r="Q188" s="13">
        <v>0</v>
      </c>
      <c r="R188" s="58">
        <f>SUM(S188:T188)</f>
        <v>0</v>
      </c>
      <c r="S188" s="51">
        <v>0</v>
      </c>
      <c r="T188" s="55">
        <v>0</v>
      </c>
      <c r="U188" s="14">
        <f>V188+W188</f>
        <v>199</v>
      </c>
      <c r="V188" s="13">
        <v>96</v>
      </c>
      <c r="W188" s="13">
        <v>103</v>
      </c>
      <c r="X188" s="15">
        <f>SUM(Y188:Z188)</f>
        <v>32</v>
      </c>
      <c r="Y188" s="13">
        <v>6</v>
      </c>
      <c r="Z188" s="13">
        <v>26</v>
      </c>
      <c r="AA188" s="2"/>
    </row>
    <row r="189" spans="1:27" ht="15" customHeight="1" x14ac:dyDescent="0.25">
      <c r="A189" s="43">
        <v>183</v>
      </c>
      <c r="B189" s="9" t="s">
        <v>10</v>
      </c>
      <c r="C189" s="10" t="s">
        <v>373</v>
      </c>
      <c r="D189" s="11" t="s">
        <v>150</v>
      </c>
      <c r="E189" s="12" t="s">
        <v>35</v>
      </c>
      <c r="F189" s="49">
        <f>G189+H189</f>
        <v>40</v>
      </c>
      <c r="G189" s="51">
        <v>21</v>
      </c>
      <c r="H189" s="55">
        <v>19</v>
      </c>
      <c r="I189" s="13">
        <f>SUM(J189:K189)</f>
        <v>137</v>
      </c>
      <c r="J189" s="13">
        <v>74</v>
      </c>
      <c r="K189" s="13">
        <v>63</v>
      </c>
      <c r="L189" s="58">
        <f>SUM(M189:N189)</f>
        <v>63</v>
      </c>
      <c r="M189" s="51">
        <v>28</v>
      </c>
      <c r="N189" s="55">
        <v>35</v>
      </c>
      <c r="O189" s="13">
        <f>SUM(P189:Q189)</f>
        <v>14</v>
      </c>
      <c r="P189" s="13">
        <v>6</v>
      </c>
      <c r="Q189" s="13">
        <v>8</v>
      </c>
      <c r="R189" s="58">
        <f>SUM(S189:T189)</f>
        <v>0</v>
      </c>
      <c r="S189" s="51">
        <v>0</v>
      </c>
      <c r="T189" s="55">
        <v>0</v>
      </c>
      <c r="U189" s="14">
        <f>V189+W189</f>
        <v>254</v>
      </c>
      <c r="V189" s="13">
        <v>129</v>
      </c>
      <c r="W189" s="13">
        <v>125</v>
      </c>
      <c r="X189" s="15">
        <f>SUM(Y189:Z189)</f>
        <v>38</v>
      </c>
      <c r="Y189" s="13">
        <v>10</v>
      </c>
      <c r="Z189" s="13">
        <v>28</v>
      </c>
      <c r="AA189" s="2"/>
    </row>
    <row r="190" spans="1:27" ht="15.75" x14ac:dyDescent="0.25">
      <c r="A190" s="43">
        <v>184</v>
      </c>
      <c r="B190" s="9" t="s">
        <v>10</v>
      </c>
      <c r="C190" s="10" t="s">
        <v>374</v>
      </c>
      <c r="D190" s="11" t="s">
        <v>149</v>
      </c>
      <c r="E190" s="12" t="s">
        <v>35</v>
      </c>
      <c r="F190" s="49">
        <f>G190+H190</f>
        <v>41</v>
      </c>
      <c r="G190" s="51">
        <v>19</v>
      </c>
      <c r="H190" s="55">
        <v>22</v>
      </c>
      <c r="I190" s="13">
        <f>SUM(J190:K190)</f>
        <v>129</v>
      </c>
      <c r="J190" s="13">
        <v>67</v>
      </c>
      <c r="K190" s="13">
        <v>62</v>
      </c>
      <c r="L190" s="58">
        <f>SUM(M190:N190)</f>
        <v>41</v>
      </c>
      <c r="M190" s="51">
        <v>21</v>
      </c>
      <c r="N190" s="55">
        <v>20</v>
      </c>
      <c r="O190" s="13">
        <f>SUM(P190:Q190)</f>
        <v>0</v>
      </c>
      <c r="P190" s="13">
        <v>0</v>
      </c>
      <c r="Q190" s="13">
        <v>0</v>
      </c>
      <c r="R190" s="58">
        <f>SUM(S190:T190)</f>
        <v>0</v>
      </c>
      <c r="S190" s="51">
        <v>0</v>
      </c>
      <c r="T190" s="55">
        <v>0</v>
      </c>
      <c r="U190" s="14">
        <f>V190+W190</f>
        <v>211</v>
      </c>
      <c r="V190" s="13">
        <v>107</v>
      </c>
      <c r="W190" s="13">
        <v>104</v>
      </c>
      <c r="X190" s="15">
        <f>SUM(Y190:Z190)</f>
        <v>31</v>
      </c>
      <c r="Y190" s="13">
        <v>7</v>
      </c>
      <c r="Z190" s="13">
        <v>24</v>
      </c>
      <c r="AA190" s="2"/>
    </row>
    <row r="191" spans="1:27" ht="15.75" x14ac:dyDescent="0.25">
      <c r="A191" s="43">
        <v>185</v>
      </c>
      <c r="B191" s="9" t="s">
        <v>10</v>
      </c>
      <c r="C191" s="10" t="s">
        <v>375</v>
      </c>
      <c r="D191" s="11" t="s">
        <v>152</v>
      </c>
      <c r="E191" s="12" t="s">
        <v>35</v>
      </c>
      <c r="F191" s="49">
        <f>G191+H191</f>
        <v>57</v>
      </c>
      <c r="G191" s="51">
        <v>30</v>
      </c>
      <c r="H191" s="55">
        <v>27</v>
      </c>
      <c r="I191" s="13">
        <f>SUM(J191:K191)</f>
        <v>197</v>
      </c>
      <c r="J191" s="13">
        <v>101</v>
      </c>
      <c r="K191" s="13">
        <v>96</v>
      </c>
      <c r="L191" s="58">
        <f>SUM(M191:N191)</f>
        <v>75</v>
      </c>
      <c r="M191" s="51">
        <v>33</v>
      </c>
      <c r="N191" s="55">
        <v>42</v>
      </c>
      <c r="O191" s="13">
        <f>SUM(P191:Q191)</f>
        <v>0</v>
      </c>
      <c r="P191" s="13">
        <v>0</v>
      </c>
      <c r="Q191" s="13">
        <v>0</v>
      </c>
      <c r="R191" s="58">
        <f>SUM(S191:T191)</f>
        <v>0</v>
      </c>
      <c r="S191" s="51">
        <v>0</v>
      </c>
      <c r="T191" s="55">
        <v>0</v>
      </c>
      <c r="U191" s="14">
        <f>V191+W191</f>
        <v>329</v>
      </c>
      <c r="V191" s="13">
        <v>164</v>
      </c>
      <c r="W191" s="13">
        <v>165</v>
      </c>
      <c r="X191" s="15">
        <f>SUM(Y191:Z191)</f>
        <v>41</v>
      </c>
      <c r="Y191" s="13">
        <v>10</v>
      </c>
      <c r="Z191" s="13">
        <v>31</v>
      </c>
      <c r="AA191" s="2"/>
    </row>
    <row r="192" spans="1:27" ht="15.75" x14ac:dyDescent="0.25">
      <c r="A192" s="43">
        <v>186</v>
      </c>
      <c r="B192" s="9" t="s">
        <v>10</v>
      </c>
      <c r="C192" s="10" t="s">
        <v>376</v>
      </c>
      <c r="D192" s="11" t="s">
        <v>151</v>
      </c>
      <c r="E192" s="12" t="s">
        <v>35</v>
      </c>
      <c r="F192" s="49">
        <f>G192+H192</f>
        <v>45</v>
      </c>
      <c r="G192" s="51">
        <v>28</v>
      </c>
      <c r="H192" s="55">
        <v>17</v>
      </c>
      <c r="I192" s="13">
        <f>SUM(J192:K192)</f>
        <v>154</v>
      </c>
      <c r="J192" s="13">
        <v>73</v>
      </c>
      <c r="K192" s="13">
        <v>81</v>
      </c>
      <c r="L192" s="58">
        <f>SUM(M192:N192)</f>
        <v>46</v>
      </c>
      <c r="M192" s="51">
        <v>20</v>
      </c>
      <c r="N192" s="55">
        <v>26</v>
      </c>
      <c r="O192" s="13">
        <f>SUM(P192:Q192)</f>
        <v>10</v>
      </c>
      <c r="P192" s="13">
        <v>7</v>
      </c>
      <c r="Q192" s="13">
        <v>3</v>
      </c>
      <c r="R192" s="58">
        <f>SUM(S192:T192)</f>
        <v>0</v>
      </c>
      <c r="S192" s="51">
        <v>0</v>
      </c>
      <c r="T192" s="55">
        <v>0</v>
      </c>
      <c r="U192" s="14">
        <f>V192+W192</f>
        <v>255</v>
      </c>
      <c r="V192" s="13">
        <v>128</v>
      </c>
      <c r="W192" s="13">
        <v>127</v>
      </c>
      <c r="X192" s="15">
        <f>SUM(Y192:Z192)</f>
        <v>33</v>
      </c>
      <c r="Y192" s="13">
        <v>8</v>
      </c>
      <c r="Z192" s="13">
        <v>25</v>
      </c>
      <c r="AA192" s="2"/>
    </row>
    <row r="193" spans="1:27" ht="15.75" x14ac:dyDescent="0.25">
      <c r="A193" s="43">
        <v>187</v>
      </c>
      <c r="B193" s="9" t="s">
        <v>10</v>
      </c>
      <c r="C193" s="10" t="s">
        <v>377</v>
      </c>
      <c r="D193" s="11" t="s">
        <v>154</v>
      </c>
      <c r="E193" s="12" t="s">
        <v>35</v>
      </c>
      <c r="F193" s="49">
        <f>G193+H193</f>
        <v>3</v>
      </c>
      <c r="G193" s="51">
        <v>0</v>
      </c>
      <c r="H193" s="55">
        <v>3</v>
      </c>
      <c r="I193" s="13">
        <f>SUM(J193:K193)</f>
        <v>8</v>
      </c>
      <c r="J193" s="13">
        <v>6</v>
      </c>
      <c r="K193" s="13">
        <v>2</v>
      </c>
      <c r="L193" s="58">
        <f>SUM(M193:N193)</f>
        <v>0</v>
      </c>
      <c r="M193" s="51">
        <v>0</v>
      </c>
      <c r="N193" s="55">
        <v>0</v>
      </c>
      <c r="O193" s="13">
        <f>SUM(P193:Q193)</f>
        <v>0</v>
      </c>
      <c r="P193" s="13">
        <v>0</v>
      </c>
      <c r="Q193" s="13">
        <v>0</v>
      </c>
      <c r="R193" s="58">
        <f>SUM(S193:T193)</f>
        <v>0</v>
      </c>
      <c r="S193" s="51">
        <v>0</v>
      </c>
      <c r="T193" s="55">
        <v>0</v>
      </c>
      <c r="U193" s="14">
        <f>V193+W193</f>
        <v>11</v>
      </c>
      <c r="V193" s="13">
        <v>6</v>
      </c>
      <c r="W193" s="13">
        <v>5</v>
      </c>
      <c r="X193" s="15">
        <f>SUM(Y193:Z193)</f>
        <v>8</v>
      </c>
      <c r="Y193" s="13">
        <v>4</v>
      </c>
      <c r="Z193" s="13">
        <v>4</v>
      </c>
      <c r="AA193" s="2"/>
    </row>
    <row r="194" spans="1:27" ht="15.75" x14ac:dyDescent="0.25">
      <c r="A194" s="43">
        <v>188</v>
      </c>
      <c r="B194" s="9" t="s">
        <v>10</v>
      </c>
      <c r="C194" s="10" t="s">
        <v>378</v>
      </c>
      <c r="D194" s="11" t="s">
        <v>379</v>
      </c>
      <c r="E194" s="12" t="s">
        <v>35</v>
      </c>
      <c r="F194" s="49">
        <f>G194+H194</f>
        <v>11</v>
      </c>
      <c r="G194" s="51">
        <v>7</v>
      </c>
      <c r="H194" s="55">
        <v>4</v>
      </c>
      <c r="I194" s="13">
        <f>SUM(J194:K194)</f>
        <v>36</v>
      </c>
      <c r="J194" s="13">
        <v>25</v>
      </c>
      <c r="K194" s="13">
        <v>11</v>
      </c>
      <c r="L194" s="58">
        <f>SUM(M194:N194)</f>
        <v>0</v>
      </c>
      <c r="M194" s="51">
        <v>0</v>
      </c>
      <c r="N194" s="55">
        <v>0</v>
      </c>
      <c r="O194" s="13">
        <f>SUM(P194:Q194)</f>
        <v>0</v>
      </c>
      <c r="P194" s="13">
        <v>0</v>
      </c>
      <c r="Q194" s="13">
        <v>0</v>
      </c>
      <c r="R194" s="58">
        <f>SUM(S194:T194)</f>
        <v>0</v>
      </c>
      <c r="S194" s="51">
        <v>0</v>
      </c>
      <c r="T194" s="55">
        <v>0</v>
      </c>
      <c r="U194" s="14">
        <f>V194+W194</f>
        <v>47</v>
      </c>
      <c r="V194" s="13">
        <v>32</v>
      </c>
      <c r="W194" s="13">
        <v>15</v>
      </c>
      <c r="X194" s="15">
        <f>SUM(Y194:Z194)</f>
        <v>12</v>
      </c>
      <c r="Y194" s="13">
        <v>0</v>
      </c>
      <c r="Z194" s="13">
        <v>12</v>
      </c>
      <c r="AA194" s="2"/>
    </row>
    <row r="195" spans="1:27" ht="15.75" x14ac:dyDescent="0.25">
      <c r="A195" s="43">
        <v>189</v>
      </c>
      <c r="B195" s="9" t="s">
        <v>10</v>
      </c>
      <c r="C195" s="10" t="s">
        <v>380</v>
      </c>
      <c r="D195" s="11" t="s">
        <v>153</v>
      </c>
      <c r="E195" s="12" t="s">
        <v>35</v>
      </c>
      <c r="F195" s="49">
        <f>G195+H195</f>
        <v>13</v>
      </c>
      <c r="G195" s="51">
        <v>6</v>
      </c>
      <c r="H195" s="55">
        <v>7</v>
      </c>
      <c r="I195" s="13">
        <f>SUM(J195:K195)</f>
        <v>50</v>
      </c>
      <c r="J195" s="13">
        <v>26</v>
      </c>
      <c r="K195" s="13">
        <v>24</v>
      </c>
      <c r="L195" s="58">
        <f>SUM(M195:N195)</f>
        <v>0</v>
      </c>
      <c r="M195" s="51">
        <v>0</v>
      </c>
      <c r="N195" s="55">
        <v>0</v>
      </c>
      <c r="O195" s="13">
        <f>SUM(P195:Q195)</f>
        <v>0</v>
      </c>
      <c r="P195" s="13">
        <v>0</v>
      </c>
      <c r="Q195" s="13">
        <v>0</v>
      </c>
      <c r="R195" s="58">
        <f>SUM(S195:T195)</f>
        <v>0</v>
      </c>
      <c r="S195" s="51">
        <v>0</v>
      </c>
      <c r="T195" s="55">
        <v>0</v>
      </c>
      <c r="U195" s="14">
        <f>V195+W195</f>
        <v>63</v>
      </c>
      <c r="V195" s="13">
        <v>32</v>
      </c>
      <c r="W195" s="13">
        <v>31</v>
      </c>
      <c r="X195" s="15">
        <f>SUM(Y195:Z195)</f>
        <v>11</v>
      </c>
      <c r="Y195" s="13">
        <v>2</v>
      </c>
      <c r="Z195" s="13">
        <v>9</v>
      </c>
      <c r="AA195" s="2"/>
    </row>
    <row r="196" spans="1:27" ht="15.75" x14ac:dyDescent="0.25">
      <c r="A196" s="43">
        <v>190</v>
      </c>
      <c r="B196" s="9" t="s">
        <v>10</v>
      </c>
      <c r="C196" s="10" t="s">
        <v>381</v>
      </c>
      <c r="D196" s="11" t="s">
        <v>382</v>
      </c>
      <c r="E196" s="12" t="s">
        <v>35</v>
      </c>
      <c r="F196" s="49">
        <f>G196+H196</f>
        <v>9</v>
      </c>
      <c r="G196" s="51">
        <v>5</v>
      </c>
      <c r="H196" s="55">
        <v>4</v>
      </c>
      <c r="I196" s="13">
        <f>SUM(J196:K196)</f>
        <v>40</v>
      </c>
      <c r="J196" s="13">
        <v>24</v>
      </c>
      <c r="K196" s="13">
        <v>16</v>
      </c>
      <c r="L196" s="58">
        <f>SUM(M196:N196)</f>
        <v>13</v>
      </c>
      <c r="M196" s="51">
        <v>8</v>
      </c>
      <c r="N196" s="55">
        <v>5</v>
      </c>
      <c r="O196" s="13">
        <f>SUM(P196:Q196)</f>
        <v>0</v>
      </c>
      <c r="P196" s="13">
        <v>0</v>
      </c>
      <c r="Q196" s="13">
        <v>0</v>
      </c>
      <c r="R196" s="58">
        <f>SUM(S196:T196)</f>
        <v>0</v>
      </c>
      <c r="S196" s="51">
        <v>0</v>
      </c>
      <c r="T196" s="55">
        <v>0</v>
      </c>
      <c r="U196" s="14">
        <f>V196+W196</f>
        <v>62</v>
      </c>
      <c r="V196" s="13">
        <v>37</v>
      </c>
      <c r="W196" s="13">
        <v>25</v>
      </c>
      <c r="X196" s="15">
        <f>SUM(Y196:Z196)</f>
        <v>23</v>
      </c>
      <c r="Y196" s="13">
        <v>8</v>
      </c>
      <c r="Z196" s="13">
        <v>15</v>
      </c>
      <c r="AA196" s="2"/>
    </row>
    <row r="197" spans="1:27" ht="15.75" x14ac:dyDescent="0.25">
      <c r="A197" s="43">
        <v>191</v>
      </c>
      <c r="B197" s="9" t="s">
        <v>11</v>
      </c>
      <c r="C197" s="10" t="s">
        <v>256</v>
      </c>
      <c r="D197" s="11" t="s">
        <v>257</v>
      </c>
      <c r="E197" s="12" t="s">
        <v>35</v>
      </c>
      <c r="F197" s="49">
        <f t="shared" si="7"/>
        <v>102</v>
      </c>
      <c r="G197" s="51">
        <v>62</v>
      </c>
      <c r="H197" s="55">
        <v>40</v>
      </c>
      <c r="I197" s="13">
        <f t="shared" si="8"/>
        <v>290</v>
      </c>
      <c r="J197" s="13">
        <v>158</v>
      </c>
      <c r="K197" s="13">
        <v>132</v>
      </c>
      <c r="L197" s="58">
        <f t="shared" si="9"/>
        <v>119</v>
      </c>
      <c r="M197" s="51">
        <v>60</v>
      </c>
      <c r="N197" s="55">
        <v>59</v>
      </c>
      <c r="O197" s="13">
        <f t="shared" si="10"/>
        <v>56</v>
      </c>
      <c r="P197" s="13">
        <v>23</v>
      </c>
      <c r="Q197" s="13">
        <v>33</v>
      </c>
      <c r="R197" s="58">
        <f t="shared" si="11"/>
        <v>0</v>
      </c>
      <c r="S197" s="51">
        <v>0</v>
      </c>
      <c r="T197" s="55">
        <v>0</v>
      </c>
      <c r="U197" s="14">
        <f t="shared" si="12"/>
        <v>567</v>
      </c>
      <c r="V197" s="13">
        <v>303</v>
      </c>
      <c r="W197" s="13">
        <v>264</v>
      </c>
      <c r="X197" s="15">
        <f t="shared" si="13"/>
        <v>64</v>
      </c>
      <c r="Y197" s="13">
        <v>8</v>
      </c>
      <c r="Z197" s="13">
        <v>56</v>
      </c>
      <c r="AA197" s="2"/>
    </row>
    <row r="198" spans="1:27" ht="15.75" x14ac:dyDescent="0.25">
      <c r="A198" s="43">
        <v>192</v>
      </c>
      <c r="B198" s="9" t="s">
        <v>11</v>
      </c>
      <c r="C198" s="10" t="s">
        <v>258</v>
      </c>
      <c r="D198" s="11" t="s">
        <v>155</v>
      </c>
      <c r="E198" s="12" t="s">
        <v>35</v>
      </c>
      <c r="F198" s="49">
        <f t="shared" si="7"/>
        <v>73</v>
      </c>
      <c r="G198" s="51">
        <v>38</v>
      </c>
      <c r="H198" s="55">
        <v>35</v>
      </c>
      <c r="I198" s="13">
        <f t="shared" si="8"/>
        <v>167</v>
      </c>
      <c r="J198" s="13">
        <v>75</v>
      </c>
      <c r="K198" s="13">
        <v>92</v>
      </c>
      <c r="L198" s="58">
        <f t="shared" si="9"/>
        <v>56</v>
      </c>
      <c r="M198" s="51">
        <v>25</v>
      </c>
      <c r="N198" s="55">
        <v>31</v>
      </c>
      <c r="O198" s="13">
        <f t="shared" si="10"/>
        <v>0</v>
      </c>
      <c r="P198" s="13">
        <v>0</v>
      </c>
      <c r="Q198" s="13">
        <v>0</v>
      </c>
      <c r="R198" s="58">
        <f t="shared" si="11"/>
        <v>0</v>
      </c>
      <c r="S198" s="51">
        <v>0</v>
      </c>
      <c r="T198" s="55">
        <v>0</v>
      </c>
      <c r="U198" s="14">
        <f t="shared" si="12"/>
        <v>296</v>
      </c>
      <c r="V198" s="13">
        <v>138</v>
      </c>
      <c r="W198" s="13">
        <v>158</v>
      </c>
      <c r="X198" s="15">
        <f t="shared" si="13"/>
        <v>34</v>
      </c>
      <c r="Y198" s="13">
        <v>8</v>
      </c>
      <c r="Z198" s="13">
        <v>26</v>
      </c>
      <c r="AA198" s="2"/>
    </row>
    <row r="199" spans="1:27" ht="15.75" x14ac:dyDescent="0.25">
      <c r="A199" s="43">
        <v>193</v>
      </c>
      <c r="B199" s="9" t="s">
        <v>11</v>
      </c>
      <c r="C199" s="10" t="s">
        <v>259</v>
      </c>
      <c r="D199" s="11" t="s">
        <v>260</v>
      </c>
      <c r="E199" s="12" t="s">
        <v>35</v>
      </c>
      <c r="F199" s="49">
        <f t="shared" si="7"/>
        <v>41</v>
      </c>
      <c r="G199" s="51">
        <v>21</v>
      </c>
      <c r="H199" s="55">
        <v>20</v>
      </c>
      <c r="I199" s="13">
        <f t="shared" si="8"/>
        <v>110</v>
      </c>
      <c r="J199" s="13">
        <v>58</v>
      </c>
      <c r="K199" s="13">
        <v>52</v>
      </c>
      <c r="L199" s="58">
        <f t="shared" si="9"/>
        <v>29</v>
      </c>
      <c r="M199" s="51">
        <v>17</v>
      </c>
      <c r="N199" s="55">
        <v>12</v>
      </c>
      <c r="O199" s="13">
        <f t="shared" si="10"/>
        <v>0</v>
      </c>
      <c r="P199" s="13">
        <v>0</v>
      </c>
      <c r="Q199" s="13">
        <v>0</v>
      </c>
      <c r="R199" s="58">
        <f t="shared" si="11"/>
        <v>0</v>
      </c>
      <c r="S199" s="51">
        <v>0</v>
      </c>
      <c r="T199" s="55">
        <v>0</v>
      </c>
      <c r="U199" s="14">
        <f t="shared" si="12"/>
        <v>180</v>
      </c>
      <c r="V199" s="13">
        <v>96</v>
      </c>
      <c r="W199" s="13">
        <v>84</v>
      </c>
      <c r="X199" s="15">
        <f t="shared" si="13"/>
        <v>30</v>
      </c>
      <c r="Y199" s="13">
        <v>5</v>
      </c>
      <c r="Z199" s="13">
        <v>25</v>
      </c>
      <c r="AA199" s="2"/>
    </row>
    <row r="200" spans="1:27" ht="15.75" x14ac:dyDescent="0.25">
      <c r="A200" s="43">
        <v>194</v>
      </c>
      <c r="B200" s="9" t="s">
        <v>11</v>
      </c>
      <c r="C200" s="10" t="s">
        <v>261</v>
      </c>
      <c r="D200" s="11" t="s">
        <v>262</v>
      </c>
      <c r="E200" s="12" t="s">
        <v>35</v>
      </c>
      <c r="F200" s="49">
        <f t="shared" si="7"/>
        <v>62</v>
      </c>
      <c r="G200" s="51">
        <v>30</v>
      </c>
      <c r="H200" s="55">
        <v>32</v>
      </c>
      <c r="I200" s="13">
        <f t="shared" si="8"/>
        <v>150</v>
      </c>
      <c r="J200" s="13">
        <v>79</v>
      </c>
      <c r="K200" s="13">
        <v>71</v>
      </c>
      <c r="L200" s="58">
        <f t="shared" si="9"/>
        <v>47</v>
      </c>
      <c r="M200" s="51">
        <v>25</v>
      </c>
      <c r="N200" s="55">
        <v>22</v>
      </c>
      <c r="O200" s="13">
        <f t="shared" si="10"/>
        <v>4</v>
      </c>
      <c r="P200" s="13">
        <v>2</v>
      </c>
      <c r="Q200" s="13">
        <v>2</v>
      </c>
      <c r="R200" s="58">
        <f t="shared" si="11"/>
        <v>0</v>
      </c>
      <c r="S200" s="51">
        <v>0</v>
      </c>
      <c r="T200" s="55">
        <v>0</v>
      </c>
      <c r="U200" s="14">
        <f t="shared" si="12"/>
        <v>263</v>
      </c>
      <c r="V200" s="13">
        <v>136</v>
      </c>
      <c r="W200" s="13">
        <v>127</v>
      </c>
      <c r="X200" s="15">
        <f t="shared" si="13"/>
        <v>33</v>
      </c>
      <c r="Y200" s="13">
        <v>5</v>
      </c>
      <c r="Z200" s="13">
        <v>28</v>
      </c>
      <c r="AA200" s="2"/>
    </row>
    <row r="201" spans="1:27" ht="15.75" x14ac:dyDescent="0.25">
      <c r="A201" s="43">
        <v>195</v>
      </c>
      <c r="B201" s="9" t="s">
        <v>11</v>
      </c>
      <c r="C201" s="10" t="s">
        <v>263</v>
      </c>
      <c r="D201" s="11" t="s">
        <v>264</v>
      </c>
      <c r="E201" s="12" t="s">
        <v>35</v>
      </c>
      <c r="F201" s="49">
        <f t="shared" si="7"/>
        <v>29</v>
      </c>
      <c r="G201" s="51">
        <v>16</v>
      </c>
      <c r="H201" s="55">
        <v>13</v>
      </c>
      <c r="I201" s="13">
        <f t="shared" si="8"/>
        <v>81</v>
      </c>
      <c r="J201" s="13">
        <v>46</v>
      </c>
      <c r="K201" s="13">
        <v>35</v>
      </c>
      <c r="L201" s="58">
        <f t="shared" si="9"/>
        <v>21</v>
      </c>
      <c r="M201" s="51">
        <v>14</v>
      </c>
      <c r="N201" s="55">
        <v>7</v>
      </c>
      <c r="O201" s="13">
        <f t="shared" si="10"/>
        <v>0</v>
      </c>
      <c r="P201" s="13">
        <v>0</v>
      </c>
      <c r="Q201" s="13">
        <v>0</v>
      </c>
      <c r="R201" s="58">
        <f t="shared" si="11"/>
        <v>0</v>
      </c>
      <c r="S201" s="51">
        <v>0</v>
      </c>
      <c r="T201" s="55">
        <v>0</v>
      </c>
      <c r="U201" s="14">
        <f t="shared" si="12"/>
        <v>131</v>
      </c>
      <c r="V201" s="13">
        <v>76</v>
      </c>
      <c r="W201" s="13">
        <v>55</v>
      </c>
      <c r="X201" s="15">
        <f t="shared" si="13"/>
        <v>20</v>
      </c>
      <c r="Y201" s="13">
        <v>4</v>
      </c>
      <c r="Z201" s="13">
        <v>16</v>
      </c>
      <c r="AA201" s="2"/>
    </row>
    <row r="202" spans="1:27" ht="15.75" x14ac:dyDescent="0.25">
      <c r="A202" s="43">
        <v>196</v>
      </c>
      <c r="B202" s="9" t="s">
        <v>12</v>
      </c>
      <c r="C202" s="10" t="s">
        <v>245</v>
      </c>
      <c r="D202" s="11" t="s">
        <v>157</v>
      </c>
      <c r="E202" s="12" t="s">
        <v>35</v>
      </c>
      <c r="F202" s="49">
        <f>G202+H202</f>
        <v>140</v>
      </c>
      <c r="G202" s="51">
        <v>67</v>
      </c>
      <c r="H202" s="55">
        <v>73</v>
      </c>
      <c r="I202" s="13">
        <f>SUM(J202:K202)</f>
        <v>467</v>
      </c>
      <c r="J202" s="13">
        <v>233</v>
      </c>
      <c r="K202" s="13">
        <v>234</v>
      </c>
      <c r="L202" s="58">
        <f>SUM(M202:N202)</f>
        <v>155</v>
      </c>
      <c r="M202" s="51">
        <v>63</v>
      </c>
      <c r="N202" s="55">
        <v>92</v>
      </c>
      <c r="O202" s="13">
        <f>SUM(P202:Q202)</f>
        <v>25</v>
      </c>
      <c r="P202" s="13">
        <v>9</v>
      </c>
      <c r="Q202" s="13">
        <v>16</v>
      </c>
      <c r="R202" s="58">
        <f>SUM(S202:T202)</f>
        <v>0</v>
      </c>
      <c r="S202" s="51">
        <v>0</v>
      </c>
      <c r="T202" s="55">
        <v>0</v>
      </c>
      <c r="U202" s="14">
        <f>V202+W202</f>
        <v>787</v>
      </c>
      <c r="V202" s="13">
        <v>372</v>
      </c>
      <c r="W202" s="13">
        <v>415</v>
      </c>
      <c r="X202" s="15">
        <f>SUM(Y202:Z202)</f>
        <v>91</v>
      </c>
      <c r="Y202" s="13">
        <v>16</v>
      </c>
      <c r="Z202" s="13">
        <v>75</v>
      </c>
      <c r="AA202" s="2"/>
    </row>
    <row r="203" spans="1:27" ht="15.75" x14ac:dyDescent="0.25">
      <c r="A203" s="43">
        <v>197</v>
      </c>
      <c r="B203" s="9" t="s">
        <v>12</v>
      </c>
      <c r="C203" s="10" t="s">
        <v>246</v>
      </c>
      <c r="D203" s="11" t="s">
        <v>247</v>
      </c>
      <c r="E203" s="12" t="s">
        <v>35</v>
      </c>
      <c r="F203" s="49">
        <f>G203+H203</f>
        <v>28</v>
      </c>
      <c r="G203" s="51">
        <v>16</v>
      </c>
      <c r="H203" s="55">
        <v>12</v>
      </c>
      <c r="I203" s="13">
        <f>SUM(J203:K203)</f>
        <v>138</v>
      </c>
      <c r="J203" s="13">
        <v>78</v>
      </c>
      <c r="K203" s="13">
        <v>60</v>
      </c>
      <c r="L203" s="58">
        <f>SUM(M203:N203)</f>
        <v>48</v>
      </c>
      <c r="M203" s="51">
        <v>26</v>
      </c>
      <c r="N203" s="55">
        <v>22</v>
      </c>
      <c r="O203" s="13">
        <f>SUM(P203:Q203)</f>
        <v>14</v>
      </c>
      <c r="P203" s="13">
        <v>7</v>
      </c>
      <c r="Q203" s="13">
        <v>7</v>
      </c>
      <c r="R203" s="58">
        <f>SUM(S203:T203)</f>
        <v>0</v>
      </c>
      <c r="S203" s="51">
        <v>0</v>
      </c>
      <c r="T203" s="55">
        <v>0</v>
      </c>
      <c r="U203" s="14">
        <f>V203+W203</f>
        <v>228</v>
      </c>
      <c r="V203" s="13">
        <v>127</v>
      </c>
      <c r="W203" s="13">
        <v>101</v>
      </c>
      <c r="X203" s="15">
        <f>SUM(Y203:Z203)</f>
        <v>37</v>
      </c>
      <c r="Y203" s="13">
        <v>7</v>
      </c>
      <c r="Z203" s="13">
        <v>30</v>
      </c>
      <c r="AA203" s="2"/>
    </row>
    <row r="204" spans="1:27" ht="15.75" x14ac:dyDescent="0.25">
      <c r="A204" s="43">
        <v>198</v>
      </c>
      <c r="B204" s="9" t="s">
        <v>12</v>
      </c>
      <c r="C204" s="10" t="s">
        <v>248</v>
      </c>
      <c r="D204" s="11" t="s">
        <v>158</v>
      </c>
      <c r="E204" s="12" t="s">
        <v>35</v>
      </c>
      <c r="F204" s="49">
        <f>G204+H204</f>
        <v>48</v>
      </c>
      <c r="G204" s="51">
        <v>22</v>
      </c>
      <c r="H204" s="55">
        <v>26</v>
      </c>
      <c r="I204" s="13">
        <f>SUM(J204:K204)</f>
        <v>114</v>
      </c>
      <c r="J204" s="13">
        <v>59</v>
      </c>
      <c r="K204" s="13">
        <v>55</v>
      </c>
      <c r="L204" s="58">
        <f>SUM(M204:N204)</f>
        <v>36</v>
      </c>
      <c r="M204" s="51">
        <v>23</v>
      </c>
      <c r="N204" s="55">
        <v>13</v>
      </c>
      <c r="O204" s="13">
        <f>SUM(P204:Q204)</f>
        <v>0</v>
      </c>
      <c r="P204" s="13">
        <v>0</v>
      </c>
      <c r="Q204" s="13">
        <v>0</v>
      </c>
      <c r="R204" s="58">
        <f>SUM(S204:T204)</f>
        <v>0</v>
      </c>
      <c r="S204" s="51">
        <v>0</v>
      </c>
      <c r="T204" s="55">
        <v>0</v>
      </c>
      <c r="U204" s="14">
        <f>V204+W204</f>
        <v>198</v>
      </c>
      <c r="V204" s="13">
        <v>104</v>
      </c>
      <c r="W204" s="13">
        <v>94</v>
      </c>
      <c r="X204" s="15">
        <f>SUM(Y204:Z204)</f>
        <v>36</v>
      </c>
      <c r="Y204" s="13">
        <v>5</v>
      </c>
      <c r="Z204" s="13">
        <v>31</v>
      </c>
      <c r="AA204" s="2"/>
    </row>
    <row r="205" spans="1:27" ht="15.75" x14ac:dyDescent="0.25">
      <c r="A205" s="43">
        <v>199</v>
      </c>
      <c r="B205" s="9" t="s">
        <v>12</v>
      </c>
      <c r="C205" s="10" t="s">
        <v>249</v>
      </c>
      <c r="D205" s="11" t="s">
        <v>250</v>
      </c>
      <c r="E205" s="12" t="s">
        <v>35</v>
      </c>
      <c r="F205" s="49">
        <f>G205+H205</f>
        <v>14</v>
      </c>
      <c r="G205" s="51">
        <v>2</v>
      </c>
      <c r="H205" s="55">
        <v>12</v>
      </c>
      <c r="I205" s="13">
        <f>SUM(J205:K205)</f>
        <v>46</v>
      </c>
      <c r="J205" s="13">
        <v>23</v>
      </c>
      <c r="K205" s="13">
        <v>23</v>
      </c>
      <c r="L205" s="58">
        <f>SUM(M205:N205)</f>
        <v>13</v>
      </c>
      <c r="M205" s="51">
        <v>10</v>
      </c>
      <c r="N205" s="55">
        <v>3</v>
      </c>
      <c r="O205" s="13">
        <f>SUM(P205:Q205)</f>
        <v>0</v>
      </c>
      <c r="P205" s="13">
        <v>0</v>
      </c>
      <c r="Q205" s="13">
        <v>0</v>
      </c>
      <c r="R205" s="58">
        <f>SUM(S205:T205)</f>
        <v>0</v>
      </c>
      <c r="S205" s="51">
        <v>0</v>
      </c>
      <c r="T205" s="55">
        <v>0</v>
      </c>
      <c r="U205" s="14">
        <f>V205+W205</f>
        <v>73</v>
      </c>
      <c r="V205" s="13">
        <v>35</v>
      </c>
      <c r="W205" s="13">
        <v>38</v>
      </c>
      <c r="X205" s="15">
        <f>SUM(Y205:Z205)</f>
        <v>23</v>
      </c>
      <c r="Y205" s="13">
        <v>7</v>
      </c>
      <c r="Z205" s="13">
        <v>16</v>
      </c>
      <c r="AA205" s="2"/>
    </row>
    <row r="206" spans="1:27" ht="15.75" x14ac:dyDescent="0.25">
      <c r="A206" s="43">
        <v>200</v>
      </c>
      <c r="B206" s="9" t="s">
        <v>12</v>
      </c>
      <c r="C206" s="10" t="s">
        <v>251</v>
      </c>
      <c r="D206" s="11" t="s">
        <v>252</v>
      </c>
      <c r="E206" s="12" t="s">
        <v>35</v>
      </c>
      <c r="F206" s="49">
        <f>G206+H206</f>
        <v>40</v>
      </c>
      <c r="G206" s="51">
        <v>18</v>
      </c>
      <c r="H206" s="55">
        <v>22</v>
      </c>
      <c r="I206" s="13">
        <f>SUM(J206:K206)</f>
        <v>110</v>
      </c>
      <c r="J206" s="13">
        <v>54</v>
      </c>
      <c r="K206" s="13">
        <v>56</v>
      </c>
      <c r="L206" s="58">
        <f>SUM(M206:N206)</f>
        <v>24</v>
      </c>
      <c r="M206" s="51">
        <v>13</v>
      </c>
      <c r="N206" s="55">
        <v>11</v>
      </c>
      <c r="O206" s="13">
        <f>SUM(P206:Q206)</f>
        <v>0</v>
      </c>
      <c r="P206" s="13">
        <v>0</v>
      </c>
      <c r="Q206" s="13">
        <v>0</v>
      </c>
      <c r="R206" s="58">
        <f>SUM(S206:T206)</f>
        <v>0</v>
      </c>
      <c r="S206" s="51">
        <v>0</v>
      </c>
      <c r="T206" s="55">
        <v>0</v>
      </c>
      <c r="U206" s="14">
        <f>V206+W206</f>
        <v>174</v>
      </c>
      <c r="V206" s="13">
        <v>85</v>
      </c>
      <c r="W206" s="13">
        <v>89</v>
      </c>
      <c r="X206" s="15">
        <f>SUM(Y206:Z206)</f>
        <v>33</v>
      </c>
      <c r="Y206" s="13">
        <v>4</v>
      </c>
      <c r="Z206" s="13">
        <v>29</v>
      </c>
      <c r="AA206" s="2"/>
    </row>
    <row r="207" spans="1:27" ht="15.75" x14ac:dyDescent="0.25">
      <c r="A207" s="43">
        <v>201</v>
      </c>
      <c r="B207" s="9" t="s">
        <v>12</v>
      </c>
      <c r="C207" s="10" t="s">
        <v>253</v>
      </c>
      <c r="D207" s="11" t="s">
        <v>254</v>
      </c>
      <c r="E207" s="12" t="s">
        <v>35</v>
      </c>
      <c r="F207" s="49">
        <f>G207+H207</f>
        <v>27</v>
      </c>
      <c r="G207" s="51">
        <v>18</v>
      </c>
      <c r="H207" s="55">
        <v>9</v>
      </c>
      <c r="I207" s="13">
        <f>SUM(J207:K207)</f>
        <v>92</v>
      </c>
      <c r="J207" s="13">
        <v>38</v>
      </c>
      <c r="K207" s="13">
        <v>54</v>
      </c>
      <c r="L207" s="58">
        <f>SUM(M207:N207)</f>
        <v>36</v>
      </c>
      <c r="M207" s="51">
        <v>16</v>
      </c>
      <c r="N207" s="55">
        <v>20</v>
      </c>
      <c r="O207" s="13">
        <f>SUM(P207:Q207)</f>
        <v>0</v>
      </c>
      <c r="P207" s="13">
        <v>0</v>
      </c>
      <c r="Q207" s="13">
        <v>0</v>
      </c>
      <c r="R207" s="58">
        <f>SUM(S207:T207)</f>
        <v>0</v>
      </c>
      <c r="S207" s="51">
        <v>0</v>
      </c>
      <c r="T207" s="55">
        <v>0</v>
      </c>
      <c r="U207" s="14">
        <f>V207+W207</f>
        <v>155</v>
      </c>
      <c r="V207" s="13">
        <v>72</v>
      </c>
      <c r="W207" s="13">
        <v>83</v>
      </c>
      <c r="X207" s="15">
        <f>SUM(Y207:Z207)</f>
        <v>30</v>
      </c>
      <c r="Y207" s="13">
        <v>5</v>
      </c>
      <c r="Z207" s="13">
        <v>25</v>
      </c>
      <c r="AA207" s="2"/>
    </row>
    <row r="208" spans="1:27" ht="15.75" x14ac:dyDescent="0.25">
      <c r="A208" s="43">
        <v>202</v>
      </c>
      <c r="B208" s="9" t="s">
        <v>197</v>
      </c>
      <c r="C208" s="10" t="s">
        <v>255</v>
      </c>
      <c r="D208" s="11" t="s">
        <v>157</v>
      </c>
      <c r="E208" s="12" t="s">
        <v>39</v>
      </c>
      <c r="F208" s="49">
        <f>G208+H208</f>
        <v>13</v>
      </c>
      <c r="G208" s="51">
        <v>6</v>
      </c>
      <c r="H208" s="55">
        <v>7</v>
      </c>
      <c r="I208" s="13">
        <f>SUM(J208:K208)</f>
        <v>0</v>
      </c>
      <c r="J208" s="13">
        <v>0</v>
      </c>
      <c r="K208" s="13">
        <v>0</v>
      </c>
      <c r="L208" s="58">
        <f>SUM(M208:N208)</f>
        <v>0</v>
      </c>
      <c r="M208" s="51">
        <v>0</v>
      </c>
      <c r="N208" s="55">
        <v>0</v>
      </c>
      <c r="O208" s="13">
        <f>SUM(P208:Q208)</f>
        <v>0</v>
      </c>
      <c r="P208" s="13">
        <v>0</v>
      </c>
      <c r="Q208" s="13">
        <v>0</v>
      </c>
      <c r="R208" s="58">
        <f>SUM(S208:T208)</f>
        <v>0</v>
      </c>
      <c r="S208" s="51">
        <v>0</v>
      </c>
      <c r="T208" s="55">
        <v>0</v>
      </c>
      <c r="U208" s="14">
        <f>V208+W208</f>
        <v>13</v>
      </c>
      <c r="V208" s="13">
        <v>6</v>
      </c>
      <c r="W208" s="13">
        <v>7</v>
      </c>
      <c r="X208" s="15">
        <f>SUM(Y208:Z208)</f>
        <v>5</v>
      </c>
      <c r="Y208" s="13">
        <v>0</v>
      </c>
      <c r="Z208" s="13">
        <v>5</v>
      </c>
      <c r="AA208" s="2"/>
    </row>
    <row r="209" spans="1:27" ht="15.75" x14ac:dyDescent="0.25">
      <c r="A209" s="43">
        <v>203</v>
      </c>
      <c r="B209" s="9" t="s">
        <v>197</v>
      </c>
      <c r="C209" s="10" t="s">
        <v>159</v>
      </c>
      <c r="D209" s="11" t="s">
        <v>158</v>
      </c>
      <c r="E209" s="12" t="s">
        <v>39</v>
      </c>
      <c r="F209" s="49">
        <f>G209+H209</f>
        <v>7</v>
      </c>
      <c r="G209" s="51">
        <v>2</v>
      </c>
      <c r="H209" s="55">
        <v>5</v>
      </c>
      <c r="I209" s="13">
        <f>SUM(J209:K209)</f>
        <v>0</v>
      </c>
      <c r="J209" s="13">
        <v>0</v>
      </c>
      <c r="K209" s="13">
        <v>0</v>
      </c>
      <c r="L209" s="58">
        <f>SUM(M209:N209)</f>
        <v>0</v>
      </c>
      <c r="M209" s="51">
        <v>0</v>
      </c>
      <c r="N209" s="55">
        <v>0</v>
      </c>
      <c r="O209" s="13">
        <f>SUM(P209:Q209)</f>
        <v>0</v>
      </c>
      <c r="P209" s="13">
        <v>0</v>
      </c>
      <c r="Q209" s="13">
        <v>0</v>
      </c>
      <c r="R209" s="58">
        <f>SUM(S209:T209)</f>
        <v>0</v>
      </c>
      <c r="S209" s="51">
        <v>0</v>
      </c>
      <c r="T209" s="55">
        <v>0</v>
      </c>
      <c r="U209" s="14">
        <f>V209+W209</f>
        <v>7</v>
      </c>
      <c r="V209" s="13">
        <v>2</v>
      </c>
      <c r="W209" s="13">
        <v>5</v>
      </c>
      <c r="X209" s="15">
        <f>SUM(Y209:Z209)</f>
        <v>1</v>
      </c>
      <c r="Y209" s="13">
        <v>0</v>
      </c>
      <c r="Z209" s="13">
        <v>1</v>
      </c>
      <c r="AA209" s="2"/>
    </row>
    <row r="210" spans="1:27" ht="15.75" x14ac:dyDescent="0.25">
      <c r="A210" s="43">
        <v>204</v>
      </c>
      <c r="B210" s="9" t="s">
        <v>13</v>
      </c>
      <c r="C210" s="10" t="s">
        <v>491</v>
      </c>
      <c r="D210" s="11" t="s">
        <v>160</v>
      </c>
      <c r="E210" s="12" t="s">
        <v>35</v>
      </c>
      <c r="F210" s="49">
        <f>G210+H210</f>
        <v>60</v>
      </c>
      <c r="G210" s="51">
        <v>26</v>
      </c>
      <c r="H210" s="55">
        <v>34</v>
      </c>
      <c r="I210" s="13">
        <f>SUM(J210:K210)</f>
        <v>164</v>
      </c>
      <c r="J210" s="13">
        <v>79</v>
      </c>
      <c r="K210" s="13">
        <v>85</v>
      </c>
      <c r="L210" s="58">
        <f>SUM(M210:N210)</f>
        <v>47</v>
      </c>
      <c r="M210" s="51">
        <v>22</v>
      </c>
      <c r="N210" s="55">
        <v>25</v>
      </c>
      <c r="O210" s="13">
        <f>SUM(P210:Q210)</f>
        <v>0</v>
      </c>
      <c r="P210" s="13">
        <v>0</v>
      </c>
      <c r="Q210" s="13">
        <v>0</v>
      </c>
      <c r="R210" s="58">
        <f>SUM(S210:T210)</f>
        <v>0</v>
      </c>
      <c r="S210" s="51">
        <v>0</v>
      </c>
      <c r="T210" s="55">
        <v>0</v>
      </c>
      <c r="U210" s="14">
        <f>V210+W210</f>
        <v>271</v>
      </c>
      <c r="V210" s="13">
        <v>127</v>
      </c>
      <c r="W210" s="13">
        <v>144</v>
      </c>
      <c r="X210" s="15">
        <f>SUM(Y210:Z210)</f>
        <v>40</v>
      </c>
      <c r="Y210" s="13">
        <v>8</v>
      </c>
      <c r="Z210" s="13">
        <v>32</v>
      </c>
      <c r="AA210" s="2"/>
    </row>
    <row r="211" spans="1:27" ht="15.75" x14ac:dyDescent="0.25">
      <c r="A211" s="43">
        <v>205</v>
      </c>
      <c r="B211" s="9" t="s">
        <v>13</v>
      </c>
      <c r="C211" s="10" t="s">
        <v>492</v>
      </c>
      <c r="D211" s="11" t="s">
        <v>493</v>
      </c>
      <c r="E211" s="12" t="s">
        <v>35</v>
      </c>
      <c r="F211" s="49">
        <f>G211+H211</f>
        <v>66</v>
      </c>
      <c r="G211" s="51">
        <v>34</v>
      </c>
      <c r="H211" s="55">
        <v>32</v>
      </c>
      <c r="I211" s="13">
        <f>SUM(J211:K211)</f>
        <v>216</v>
      </c>
      <c r="J211" s="13">
        <v>113</v>
      </c>
      <c r="K211" s="13">
        <v>103</v>
      </c>
      <c r="L211" s="58">
        <f>SUM(M211:N211)</f>
        <v>62</v>
      </c>
      <c r="M211" s="51">
        <v>30</v>
      </c>
      <c r="N211" s="55">
        <v>32</v>
      </c>
      <c r="O211" s="13">
        <f>SUM(P211:Q211)</f>
        <v>25</v>
      </c>
      <c r="P211" s="13">
        <v>13</v>
      </c>
      <c r="Q211" s="13">
        <v>12</v>
      </c>
      <c r="R211" s="58">
        <f>SUM(S211:T211)</f>
        <v>0</v>
      </c>
      <c r="S211" s="51">
        <v>0</v>
      </c>
      <c r="T211" s="55">
        <v>0</v>
      </c>
      <c r="U211" s="14">
        <f>V211+W211</f>
        <v>369</v>
      </c>
      <c r="V211" s="13">
        <v>190</v>
      </c>
      <c r="W211" s="13">
        <v>179</v>
      </c>
      <c r="X211" s="15">
        <f>SUM(Y211:Z211)</f>
        <v>58</v>
      </c>
      <c r="Y211" s="13">
        <v>11</v>
      </c>
      <c r="Z211" s="13">
        <v>47</v>
      </c>
      <c r="AA211" s="2"/>
    </row>
    <row r="212" spans="1:27" ht="15.75" x14ac:dyDescent="0.25">
      <c r="A212" s="43">
        <v>206</v>
      </c>
      <c r="B212" s="9" t="s">
        <v>13</v>
      </c>
      <c r="C212" s="10" t="s">
        <v>494</v>
      </c>
      <c r="D212" s="11" t="s">
        <v>161</v>
      </c>
      <c r="E212" s="12" t="s">
        <v>35</v>
      </c>
      <c r="F212" s="49">
        <f>G212+H212</f>
        <v>24</v>
      </c>
      <c r="G212" s="51">
        <v>12</v>
      </c>
      <c r="H212" s="55">
        <v>12</v>
      </c>
      <c r="I212" s="13">
        <f>SUM(J212:K212)</f>
        <v>124</v>
      </c>
      <c r="J212" s="13">
        <v>61</v>
      </c>
      <c r="K212" s="13">
        <v>63</v>
      </c>
      <c r="L212" s="58">
        <f>SUM(M212:N212)</f>
        <v>27</v>
      </c>
      <c r="M212" s="51">
        <v>11</v>
      </c>
      <c r="N212" s="55">
        <v>16</v>
      </c>
      <c r="O212" s="13">
        <f>SUM(P212:Q212)</f>
        <v>0</v>
      </c>
      <c r="P212" s="13">
        <v>0</v>
      </c>
      <c r="Q212" s="13">
        <v>0</v>
      </c>
      <c r="R212" s="58">
        <f>SUM(S212:T212)</f>
        <v>0</v>
      </c>
      <c r="S212" s="51">
        <v>0</v>
      </c>
      <c r="T212" s="55">
        <v>0</v>
      </c>
      <c r="U212" s="14">
        <f>V212+W212</f>
        <v>175</v>
      </c>
      <c r="V212" s="13">
        <v>84</v>
      </c>
      <c r="W212" s="13">
        <v>91</v>
      </c>
      <c r="X212" s="15">
        <f>SUM(Y212:Z212)</f>
        <v>30</v>
      </c>
      <c r="Y212" s="13">
        <v>5</v>
      </c>
      <c r="Z212" s="13">
        <v>25</v>
      </c>
      <c r="AA212" s="2"/>
    </row>
    <row r="213" spans="1:27" ht="15.75" x14ac:dyDescent="0.25">
      <c r="A213" s="43">
        <v>207</v>
      </c>
      <c r="B213" s="9" t="s">
        <v>13</v>
      </c>
      <c r="C213" s="10" t="s">
        <v>495</v>
      </c>
      <c r="D213" s="11" t="s">
        <v>496</v>
      </c>
      <c r="E213" s="12" t="s">
        <v>35</v>
      </c>
      <c r="F213" s="49">
        <f>G213+H213</f>
        <v>55</v>
      </c>
      <c r="G213" s="51">
        <v>26</v>
      </c>
      <c r="H213" s="55">
        <v>29</v>
      </c>
      <c r="I213" s="13">
        <f>SUM(J213:K213)</f>
        <v>145</v>
      </c>
      <c r="J213" s="13">
        <v>78</v>
      </c>
      <c r="K213" s="13">
        <v>67</v>
      </c>
      <c r="L213" s="58">
        <f>SUM(M213:N213)</f>
        <v>46</v>
      </c>
      <c r="M213" s="51">
        <v>26</v>
      </c>
      <c r="N213" s="55">
        <v>20</v>
      </c>
      <c r="O213" s="13">
        <f>SUM(P213:Q213)</f>
        <v>0</v>
      </c>
      <c r="P213" s="13">
        <v>0</v>
      </c>
      <c r="Q213" s="13">
        <v>0</v>
      </c>
      <c r="R213" s="58">
        <f>SUM(S213:T213)</f>
        <v>0</v>
      </c>
      <c r="S213" s="51">
        <v>0</v>
      </c>
      <c r="T213" s="55">
        <v>0</v>
      </c>
      <c r="U213" s="14">
        <f>V213+W213</f>
        <v>246</v>
      </c>
      <c r="V213" s="13">
        <v>130</v>
      </c>
      <c r="W213" s="13">
        <v>116</v>
      </c>
      <c r="X213" s="15">
        <f>SUM(Y213:Z213)</f>
        <v>35</v>
      </c>
      <c r="Y213" s="13">
        <v>5</v>
      </c>
      <c r="Z213" s="13">
        <v>30</v>
      </c>
      <c r="AA213" s="2"/>
    </row>
    <row r="214" spans="1:27" ht="30" customHeight="1" x14ac:dyDescent="0.25">
      <c r="A214" s="43">
        <v>208</v>
      </c>
      <c r="B214" s="9" t="s">
        <v>13</v>
      </c>
      <c r="C214" s="10" t="s">
        <v>497</v>
      </c>
      <c r="D214" s="11" t="s">
        <v>167</v>
      </c>
      <c r="E214" s="12" t="s">
        <v>35</v>
      </c>
      <c r="F214" s="49">
        <f>G214+H214</f>
        <v>53</v>
      </c>
      <c r="G214" s="51">
        <v>26</v>
      </c>
      <c r="H214" s="55">
        <v>27</v>
      </c>
      <c r="I214" s="13">
        <f>SUM(J214:K214)</f>
        <v>209</v>
      </c>
      <c r="J214" s="13">
        <v>113</v>
      </c>
      <c r="K214" s="13">
        <v>96</v>
      </c>
      <c r="L214" s="58">
        <f>SUM(M214:N214)</f>
        <v>62</v>
      </c>
      <c r="M214" s="51">
        <v>27</v>
      </c>
      <c r="N214" s="55">
        <v>35</v>
      </c>
      <c r="O214" s="13">
        <f>SUM(P214:Q214)</f>
        <v>17</v>
      </c>
      <c r="P214" s="13">
        <v>11</v>
      </c>
      <c r="Q214" s="13">
        <v>6</v>
      </c>
      <c r="R214" s="58">
        <f>SUM(S214:T214)</f>
        <v>0</v>
      </c>
      <c r="S214" s="51">
        <v>0</v>
      </c>
      <c r="T214" s="55">
        <v>0</v>
      </c>
      <c r="U214" s="14">
        <f>V214+W214</f>
        <v>341</v>
      </c>
      <c r="V214" s="13">
        <v>177</v>
      </c>
      <c r="W214" s="13">
        <v>164</v>
      </c>
      <c r="X214" s="15">
        <f>SUM(Y214:Z214)</f>
        <v>40</v>
      </c>
      <c r="Y214" s="13">
        <v>10</v>
      </c>
      <c r="Z214" s="13">
        <v>30</v>
      </c>
      <c r="AA214" s="2"/>
    </row>
    <row r="215" spans="1:27" ht="15.75" x14ac:dyDescent="0.25">
      <c r="A215" s="43">
        <v>209</v>
      </c>
      <c r="B215" s="9" t="s">
        <v>13</v>
      </c>
      <c r="C215" s="10" t="s">
        <v>498</v>
      </c>
      <c r="D215" s="11" t="s">
        <v>163</v>
      </c>
      <c r="E215" s="12" t="s">
        <v>35</v>
      </c>
      <c r="F215" s="49">
        <f>G215+H215</f>
        <v>42</v>
      </c>
      <c r="G215" s="51">
        <v>25</v>
      </c>
      <c r="H215" s="55">
        <v>17</v>
      </c>
      <c r="I215" s="13">
        <f>SUM(J215:K215)</f>
        <v>163</v>
      </c>
      <c r="J215" s="13">
        <v>94</v>
      </c>
      <c r="K215" s="13">
        <v>69</v>
      </c>
      <c r="L215" s="58">
        <f>SUM(M215:N215)</f>
        <v>58</v>
      </c>
      <c r="M215" s="51">
        <v>33</v>
      </c>
      <c r="N215" s="55">
        <v>25</v>
      </c>
      <c r="O215" s="13">
        <f>SUM(P215:Q215)</f>
        <v>0</v>
      </c>
      <c r="P215" s="13">
        <v>0</v>
      </c>
      <c r="Q215" s="13">
        <v>0</v>
      </c>
      <c r="R215" s="58">
        <f>SUM(S215:T215)</f>
        <v>0</v>
      </c>
      <c r="S215" s="51">
        <v>0</v>
      </c>
      <c r="T215" s="55">
        <v>0</v>
      </c>
      <c r="U215" s="14">
        <f>V215+W215</f>
        <v>263</v>
      </c>
      <c r="V215" s="13">
        <v>152</v>
      </c>
      <c r="W215" s="13">
        <v>111</v>
      </c>
      <c r="X215" s="15">
        <f>SUM(Y215:Z215)</f>
        <v>36</v>
      </c>
      <c r="Y215" s="13">
        <v>4</v>
      </c>
      <c r="Z215" s="13">
        <v>32</v>
      </c>
      <c r="AA215" s="2"/>
    </row>
    <row r="216" spans="1:27" ht="15.75" x14ac:dyDescent="0.25">
      <c r="A216" s="43">
        <v>210</v>
      </c>
      <c r="B216" s="9" t="s">
        <v>13</v>
      </c>
      <c r="C216" s="10" t="s">
        <v>499</v>
      </c>
      <c r="D216" s="11" t="s">
        <v>164</v>
      </c>
      <c r="E216" s="12" t="s">
        <v>35</v>
      </c>
      <c r="F216" s="49">
        <f>G216+H216</f>
        <v>41</v>
      </c>
      <c r="G216" s="51">
        <v>19</v>
      </c>
      <c r="H216" s="55">
        <v>22</v>
      </c>
      <c r="I216" s="13">
        <f>SUM(J216:K216)</f>
        <v>174</v>
      </c>
      <c r="J216" s="13">
        <v>89</v>
      </c>
      <c r="K216" s="13">
        <v>85</v>
      </c>
      <c r="L216" s="58">
        <f>SUM(M216:N216)</f>
        <v>39</v>
      </c>
      <c r="M216" s="51">
        <v>15</v>
      </c>
      <c r="N216" s="55">
        <v>24</v>
      </c>
      <c r="O216" s="13">
        <f>SUM(P216:Q216)</f>
        <v>7</v>
      </c>
      <c r="P216" s="13">
        <v>5</v>
      </c>
      <c r="Q216" s="13">
        <v>2</v>
      </c>
      <c r="R216" s="58">
        <f>SUM(S216:T216)</f>
        <v>0</v>
      </c>
      <c r="S216" s="51">
        <v>0</v>
      </c>
      <c r="T216" s="55">
        <v>0</v>
      </c>
      <c r="U216" s="14">
        <f>V216+W216</f>
        <v>261</v>
      </c>
      <c r="V216" s="13">
        <v>128</v>
      </c>
      <c r="W216" s="13">
        <v>133</v>
      </c>
      <c r="X216" s="15">
        <f>SUM(Y216:Z216)</f>
        <v>35</v>
      </c>
      <c r="Y216" s="13">
        <v>6</v>
      </c>
      <c r="Z216" s="13">
        <v>29</v>
      </c>
      <c r="AA216" s="2"/>
    </row>
    <row r="217" spans="1:27" ht="15.75" x14ac:dyDescent="0.25">
      <c r="A217" s="43">
        <v>211</v>
      </c>
      <c r="B217" s="9" t="s">
        <v>13</v>
      </c>
      <c r="C217" s="10" t="s">
        <v>500</v>
      </c>
      <c r="D217" s="11" t="s">
        <v>501</v>
      </c>
      <c r="E217" s="12" t="s">
        <v>35</v>
      </c>
      <c r="F217" s="49">
        <f>G217+H217</f>
        <v>22</v>
      </c>
      <c r="G217" s="51">
        <v>10</v>
      </c>
      <c r="H217" s="55">
        <v>12</v>
      </c>
      <c r="I217" s="13">
        <f>SUM(J217:K217)</f>
        <v>66</v>
      </c>
      <c r="J217" s="13">
        <v>29</v>
      </c>
      <c r="K217" s="13">
        <v>37</v>
      </c>
      <c r="L217" s="58">
        <f>SUM(M217:N217)</f>
        <v>13</v>
      </c>
      <c r="M217" s="51">
        <v>8</v>
      </c>
      <c r="N217" s="55">
        <v>5</v>
      </c>
      <c r="O217" s="13">
        <f>SUM(P217:Q217)</f>
        <v>0</v>
      </c>
      <c r="P217" s="13">
        <v>0</v>
      </c>
      <c r="Q217" s="13">
        <v>0</v>
      </c>
      <c r="R217" s="58">
        <f>SUM(S217:T217)</f>
        <v>0</v>
      </c>
      <c r="S217" s="51">
        <v>0</v>
      </c>
      <c r="T217" s="55">
        <v>0</v>
      </c>
      <c r="U217" s="14">
        <f>V217+W217</f>
        <v>101</v>
      </c>
      <c r="V217" s="13">
        <v>47</v>
      </c>
      <c r="W217" s="13">
        <v>54</v>
      </c>
      <c r="X217" s="15">
        <f>SUM(Y217:Z217)</f>
        <v>25</v>
      </c>
      <c r="Y217" s="13">
        <v>9</v>
      </c>
      <c r="Z217" s="13">
        <v>16</v>
      </c>
      <c r="AA217" s="2"/>
    </row>
    <row r="218" spans="1:27" ht="15.75" x14ac:dyDescent="0.25">
      <c r="A218" s="43">
        <v>212</v>
      </c>
      <c r="B218" s="9" t="s">
        <v>13</v>
      </c>
      <c r="C218" s="10" t="s">
        <v>502</v>
      </c>
      <c r="D218" s="11" t="s">
        <v>503</v>
      </c>
      <c r="E218" s="12" t="s">
        <v>35</v>
      </c>
      <c r="F218" s="49">
        <f>G218+H218</f>
        <v>18</v>
      </c>
      <c r="G218" s="51">
        <v>8</v>
      </c>
      <c r="H218" s="55">
        <v>10</v>
      </c>
      <c r="I218" s="13">
        <f>SUM(J218:K218)</f>
        <v>81</v>
      </c>
      <c r="J218" s="13">
        <v>47</v>
      </c>
      <c r="K218" s="13">
        <v>34</v>
      </c>
      <c r="L218" s="58">
        <f>SUM(M218:N218)</f>
        <v>17</v>
      </c>
      <c r="M218" s="51">
        <v>9</v>
      </c>
      <c r="N218" s="55">
        <v>8</v>
      </c>
      <c r="O218" s="13">
        <f>SUM(P218:Q218)</f>
        <v>0</v>
      </c>
      <c r="P218" s="13">
        <v>0</v>
      </c>
      <c r="Q218" s="13">
        <v>0</v>
      </c>
      <c r="R218" s="58">
        <f>SUM(S218:T218)</f>
        <v>0</v>
      </c>
      <c r="S218" s="51">
        <v>0</v>
      </c>
      <c r="T218" s="55">
        <v>0</v>
      </c>
      <c r="U218" s="14">
        <f>V218+W218</f>
        <v>116</v>
      </c>
      <c r="V218" s="13">
        <v>64</v>
      </c>
      <c r="W218" s="13">
        <v>52</v>
      </c>
      <c r="X218" s="15">
        <f>SUM(Y218:Z218)</f>
        <v>33</v>
      </c>
      <c r="Y218" s="13">
        <v>11</v>
      </c>
      <c r="Z218" s="13">
        <v>22</v>
      </c>
      <c r="AA218" s="2"/>
    </row>
    <row r="219" spans="1:27" ht="15.75" x14ac:dyDescent="0.25">
      <c r="A219" s="43">
        <v>213</v>
      </c>
      <c r="B219" s="9" t="s">
        <v>13</v>
      </c>
      <c r="C219" s="10" t="s">
        <v>504</v>
      </c>
      <c r="D219" s="11" t="s">
        <v>166</v>
      </c>
      <c r="E219" s="12" t="s">
        <v>35</v>
      </c>
      <c r="F219" s="49">
        <f>G219+H219</f>
        <v>8</v>
      </c>
      <c r="G219" s="51">
        <v>6</v>
      </c>
      <c r="H219" s="55">
        <v>2</v>
      </c>
      <c r="I219" s="13">
        <f>SUM(J219:K219)</f>
        <v>43</v>
      </c>
      <c r="J219" s="13">
        <v>21</v>
      </c>
      <c r="K219" s="13">
        <v>22</v>
      </c>
      <c r="L219" s="58">
        <f>SUM(M219:N219)</f>
        <v>18</v>
      </c>
      <c r="M219" s="51">
        <v>10</v>
      </c>
      <c r="N219" s="55">
        <v>8</v>
      </c>
      <c r="O219" s="13">
        <f>SUM(P219:Q219)</f>
        <v>0</v>
      </c>
      <c r="P219" s="13">
        <v>0</v>
      </c>
      <c r="Q219" s="13">
        <v>0</v>
      </c>
      <c r="R219" s="58">
        <f>SUM(S219:T219)</f>
        <v>0</v>
      </c>
      <c r="S219" s="51">
        <v>0</v>
      </c>
      <c r="T219" s="55">
        <v>0</v>
      </c>
      <c r="U219" s="14">
        <f>V219+W219</f>
        <v>69</v>
      </c>
      <c r="V219" s="13">
        <v>37</v>
      </c>
      <c r="W219" s="13">
        <v>32</v>
      </c>
      <c r="X219" s="15">
        <f>SUM(Y219:Z219)</f>
        <v>19</v>
      </c>
      <c r="Y219" s="13">
        <v>8</v>
      </c>
      <c r="Z219" s="13">
        <v>11</v>
      </c>
      <c r="AA219" s="2"/>
    </row>
    <row r="220" spans="1:27" ht="15.75" x14ac:dyDescent="0.25">
      <c r="A220" s="43">
        <v>214</v>
      </c>
      <c r="B220" s="9" t="s">
        <v>13</v>
      </c>
      <c r="C220" s="10" t="s">
        <v>505</v>
      </c>
      <c r="D220" s="11" t="s">
        <v>165</v>
      </c>
      <c r="E220" s="12" t="s">
        <v>35</v>
      </c>
      <c r="F220" s="49">
        <f>G220+H220</f>
        <v>47</v>
      </c>
      <c r="G220" s="51">
        <v>25</v>
      </c>
      <c r="H220" s="55">
        <v>22</v>
      </c>
      <c r="I220" s="13">
        <f>SUM(J220:K220)</f>
        <v>142</v>
      </c>
      <c r="J220" s="13">
        <v>60</v>
      </c>
      <c r="K220" s="13">
        <v>82</v>
      </c>
      <c r="L220" s="58">
        <f>SUM(M220:N220)</f>
        <v>36</v>
      </c>
      <c r="M220" s="51">
        <v>22</v>
      </c>
      <c r="N220" s="55">
        <v>14</v>
      </c>
      <c r="O220" s="13">
        <f>SUM(P220:Q220)</f>
        <v>0</v>
      </c>
      <c r="P220" s="13">
        <v>0</v>
      </c>
      <c r="Q220" s="13">
        <v>0</v>
      </c>
      <c r="R220" s="58">
        <f>SUM(S220:T220)</f>
        <v>0</v>
      </c>
      <c r="S220" s="51">
        <v>0</v>
      </c>
      <c r="T220" s="55">
        <v>0</v>
      </c>
      <c r="U220" s="14">
        <f>V220+W220</f>
        <v>225</v>
      </c>
      <c r="V220" s="13">
        <v>107</v>
      </c>
      <c r="W220" s="13">
        <v>118</v>
      </c>
      <c r="X220" s="15">
        <f>SUM(Y220:Z220)</f>
        <v>34</v>
      </c>
      <c r="Y220" s="13">
        <v>12</v>
      </c>
      <c r="Z220" s="13">
        <v>22</v>
      </c>
      <c r="AA220" s="2"/>
    </row>
    <row r="221" spans="1:27" ht="15.75" x14ac:dyDescent="0.25">
      <c r="A221" s="43">
        <v>215</v>
      </c>
      <c r="B221" s="9" t="s">
        <v>13</v>
      </c>
      <c r="C221" s="10" t="s">
        <v>506</v>
      </c>
      <c r="D221" s="11" t="s">
        <v>507</v>
      </c>
      <c r="E221" s="12" t="s">
        <v>35</v>
      </c>
      <c r="F221" s="49">
        <f>G221+H221</f>
        <v>10</v>
      </c>
      <c r="G221" s="51">
        <v>4</v>
      </c>
      <c r="H221" s="55">
        <v>6</v>
      </c>
      <c r="I221" s="13">
        <f>SUM(J221:K221)</f>
        <v>61</v>
      </c>
      <c r="J221" s="13">
        <v>34</v>
      </c>
      <c r="K221" s="13">
        <v>27</v>
      </c>
      <c r="L221" s="58">
        <f>SUM(M221:N221)</f>
        <v>25</v>
      </c>
      <c r="M221" s="51">
        <v>12</v>
      </c>
      <c r="N221" s="55">
        <v>13</v>
      </c>
      <c r="O221" s="13">
        <f>SUM(P221:Q221)</f>
        <v>0</v>
      </c>
      <c r="P221" s="13">
        <v>0</v>
      </c>
      <c r="Q221" s="13">
        <v>0</v>
      </c>
      <c r="R221" s="58">
        <f>SUM(S221:T221)</f>
        <v>0</v>
      </c>
      <c r="S221" s="51">
        <v>0</v>
      </c>
      <c r="T221" s="55">
        <v>0</v>
      </c>
      <c r="U221" s="14">
        <f>V221+W221</f>
        <v>96</v>
      </c>
      <c r="V221" s="13">
        <v>50</v>
      </c>
      <c r="W221" s="13">
        <v>46</v>
      </c>
      <c r="X221" s="15">
        <f>SUM(Y221:Z221)</f>
        <v>24</v>
      </c>
      <c r="Y221" s="13">
        <v>9</v>
      </c>
      <c r="Z221" s="13">
        <v>15</v>
      </c>
      <c r="AA221" s="2"/>
    </row>
    <row r="222" spans="1:27" ht="15.75" x14ac:dyDescent="0.25">
      <c r="A222" s="43">
        <v>216</v>
      </c>
      <c r="B222" s="9" t="s">
        <v>13</v>
      </c>
      <c r="C222" s="10" t="s">
        <v>508</v>
      </c>
      <c r="D222" s="11" t="s">
        <v>162</v>
      </c>
      <c r="E222" s="12" t="s">
        <v>35</v>
      </c>
      <c r="F222" s="49">
        <f>G222+H222</f>
        <v>16</v>
      </c>
      <c r="G222" s="51">
        <v>7</v>
      </c>
      <c r="H222" s="55">
        <v>9</v>
      </c>
      <c r="I222" s="13">
        <f>SUM(J222:K222)</f>
        <v>43</v>
      </c>
      <c r="J222" s="13">
        <v>19</v>
      </c>
      <c r="K222" s="13">
        <v>24</v>
      </c>
      <c r="L222" s="58">
        <f>SUM(M222:N222)</f>
        <v>12</v>
      </c>
      <c r="M222" s="51">
        <v>4</v>
      </c>
      <c r="N222" s="55">
        <v>8</v>
      </c>
      <c r="O222" s="13">
        <f>SUM(P222:Q222)</f>
        <v>0</v>
      </c>
      <c r="P222" s="13">
        <v>0</v>
      </c>
      <c r="Q222" s="13">
        <v>0</v>
      </c>
      <c r="R222" s="58">
        <f>SUM(S222:T222)</f>
        <v>0</v>
      </c>
      <c r="S222" s="51">
        <v>0</v>
      </c>
      <c r="T222" s="55">
        <v>0</v>
      </c>
      <c r="U222" s="14">
        <f>V222+W222</f>
        <v>71</v>
      </c>
      <c r="V222" s="13">
        <v>30</v>
      </c>
      <c r="W222" s="13">
        <v>41</v>
      </c>
      <c r="X222" s="15">
        <f>SUM(Y222:Z222)</f>
        <v>24</v>
      </c>
      <c r="Y222" s="13">
        <v>9</v>
      </c>
      <c r="Z222" s="13">
        <v>15</v>
      </c>
      <c r="AA222" s="2"/>
    </row>
    <row r="223" spans="1:27" ht="15.75" x14ac:dyDescent="0.25">
      <c r="A223" s="43">
        <v>217</v>
      </c>
      <c r="B223" s="9" t="s">
        <v>198</v>
      </c>
      <c r="C223" s="10" t="s">
        <v>168</v>
      </c>
      <c r="D223" s="11" t="s">
        <v>163</v>
      </c>
      <c r="E223" s="12" t="s">
        <v>39</v>
      </c>
      <c r="F223" s="49">
        <f>G223+H223</f>
        <v>10</v>
      </c>
      <c r="G223" s="51">
        <v>4</v>
      </c>
      <c r="H223" s="55">
        <v>6</v>
      </c>
      <c r="I223" s="13">
        <f>SUM(J223:K223)</f>
        <v>0</v>
      </c>
      <c r="J223" s="13">
        <v>0</v>
      </c>
      <c r="K223" s="13">
        <v>0</v>
      </c>
      <c r="L223" s="58">
        <f>SUM(M223:N223)</f>
        <v>0</v>
      </c>
      <c r="M223" s="51">
        <v>0</v>
      </c>
      <c r="N223" s="55">
        <v>0</v>
      </c>
      <c r="O223" s="13">
        <f>SUM(P223:Q223)</f>
        <v>0</v>
      </c>
      <c r="P223" s="13">
        <v>0</v>
      </c>
      <c r="Q223" s="13">
        <v>0</v>
      </c>
      <c r="R223" s="58">
        <f>SUM(S223:T223)</f>
        <v>0</v>
      </c>
      <c r="S223" s="51">
        <v>0</v>
      </c>
      <c r="T223" s="55">
        <v>0</v>
      </c>
      <c r="U223" s="14">
        <f>V223+W223</f>
        <v>10</v>
      </c>
      <c r="V223" s="13">
        <v>4</v>
      </c>
      <c r="W223" s="13">
        <v>6</v>
      </c>
      <c r="X223" s="15">
        <f>SUM(Y223:Z223)</f>
        <v>0</v>
      </c>
      <c r="Y223" s="13">
        <v>0</v>
      </c>
      <c r="Z223" s="13">
        <v>0</v>
      </c>
      <c r="AA223" s="2"/>
    </row>
    <row r="224" spans="1:27" ht="15.75" x14ac:dyDescent="0.25">
      <c r="A224" s="43">
        <v>218</v>
      </c>
      <c r="B224" s="9" t="s">
        <v>6</v>
      </c>
      <c r="C224" s="10" t="s">
        <v>348</v>
      </c>
      <c r="D224" s="11" t="s">
        <v>170</v>
      </c>
      <c r="E224" s="12" t="s">
        <v>35</v>
      </c>
      <c r="F224" s="49">
        <f>G224+H224</f>
        <v>141</v>
      </c>
      <c r="G224" s="51">
        <v>70</v>
      </c>
      <c r="H224" s="55">
        <v>71</v>
      </c>
      <c r="I224" s="13">
        <f>SUM(J224:K224)</f>
        <v>418</v>
      </c>
      <c r="J224" s="13">
        <v>222</v>
      </c>
      <c r="K224" s="13">
        <v>196</v>
      </c>
      <c r="L224" s="58">
        <f>SUM(M224:N224)</f>
        <v>131</v>
      </c>
      <c r="M224" s="51">
        <v>77</v>
      </c>
      <c r="N224" s="55">
        <v>54</v>
      </c>
      <c r="O224" s="13">
        <f>SUM(P224:Q224)</f>
        <v>23</v>
      </c>
      <c r="P224" s="13">
        <v>10</v>
      </c>
      <c r="Q224" s="13">
        <v>13</v>
      </c>
      <c r="R224" s="58">
        <f>SUM(S224:T224)</f>
        <v>0</v>
      </c>
      <c r="S224" s="51">
        <v>0</v>
      </c>
      <c r="T224" s="55">
        <v>0</v>
      </c>
      <c r="U224" s="14">
        <f>V224+W224</f>
        <v>713</v>
      </c>
      <c r="V224" s="13">
        <v>379</v>
      </c>
      <c r="W224" s="13">
        <v>334</v>
      </c>
      <c r="X224" s="15">
        <f>SUM(Y224:Z224)</f>
        <v>67</v>
      </c>
      <c r="Y224" s="13">
        <v>7</v>
      </c>
      <c r="Z224" s="13">
        <v>60</v>
      </c>
      <c r="AA224" s="2"/>
    </row>
    <row r="225" spans="1:27" ht="15.75" x14ac:dyDescent="0.25">
      <c r="A225" s="43">
        <v>219</v>
      </c>
      <c r="B225" s="9" t="s">
        <v>6</v>
      </c>
      <c r="C225" s="10" t="s">
        <v>349</v>
      </c>
      <c r="D225" s="11" t="s">
        <v>169</v>
      </c>
      <c r="E225" s="12" t="s">
        <v>35</v>
      </c>
      <c r="F225" s="49">
        <f>G225+H225</f>
        <v>22</v>
      </c>
      <c r="G225" s="51">
        <v>12</v>
      </c>
      <c r="H225" s="55">
        <v>10</v>
      </c>
      <c r="I225" s="13">
        <f>SUM(J225:K225)</f>
        <v>92</v>
      </c>
      <c r="J225" s="13">
        <v>49</v>
      </c>
      <c r="K225" s="13">
        <v>43</v>
      </c>
      <c r="L225" s="58">
        <f>SUM(M225:N225)</f>
        <v>36</v>
      </c>
      <c r="M225" s="51">
        <v>16</v>
      </c>
      <c r="N225" s="55">
        <v>20</v>
      </c>
      <c r="O225" s="13">
        <f>SUM(P225:Q225)</f>
        <v>0</v>
      </c>
      <c r="P225" s="13">
        <v>0</v>
      </c>
      <c r="Q225" s="13">
        <v>0</v>
      </c>
      <c r="R225" s="58">
        <f>SUM(S225:T225)</f>
        <v>0</v>
      </c>
      <c r="S225" s="51">
        <v>0</v>
      </c>
      <c r="T225" s="55">
        <v>0</v>
      </c>
      <c r="U225" s="14">
        <f>V225+W225</f>
        <v>150</v>
      </c>
      <c r="V225" s="13">
        <v>77</v>
      </c>
      <c r="W225" s="13">
        <v>73</v>
      </c>
      <c r="X225" s="15">
        <f>SUM(Y225:Z225)</f>
        <v>31</v>
      </c>
      <c r="Y225" s="13">
        <v>9</v>
      </c>
      <c r="Z225" s="13">
        <v>22</v>
      </c>
      <c r="AA225" s="2"/>
    </row>
    <row r="226" spans="1:27" ht="15.75" x14ac:dyDescent="0.25">
      <c r="A226" s="43">
        <v>220</v>
      </c>
      <c r="B226" s="9" t="s">
        <v>6</v>
      </c>
      <c r="C226" s="10" t="s">
        <v>350</v>
      </c>
      <c r="D226" s="11" t="s">
        <v>351</v>
      </c>
      <c r="E226" s="12" t="s">
        <v>35</v>
      </c>
      <c r="F226" s="49">
        <f>G226+H226</f>
        <v>72</v>
      </c>
      <c r="G226" s="51">
        <v>43</v>
      </c>
      <c r="H226" s="55">
        <v>29</v>
      </c>
      <c r="I226" s="13">
        <f>SUM(J226:K226)</f>
        <v>215</v>
      </c>
      <c r="J226" s="13">
        <v>121</v>
      </c>
      <c r="K226" s="13">
        <v>94</v>
      </c>
      <c r="L226" s="58">
        <f>SUM(M226:N226)</f>
        <v>84</v>
      </c>
      <c r="M226" s="51">
        <v>51</v>
      </c>
      <c r="N226" s="55">
        <v>33</v>
      </c>
      <c r="O226" s="13">
        <f>SUM(P226:Q226)</f>
        <v>0</v>
      </c>
      <c r="P226" s="13">
        <v>0</v>
      </c>
      <c r="Q226" s="13">
        <v>0</v>
      </c>
      <c r="R226" s="58">
        <f>SUM(S226:T226)</f>
        <v>0</v>
      </c>
      <c r="S226" s="51">
        <v>0</v>
      </c>
      <c r="T226" s="55">
        <v>0</v>
      </c>
      <c r="U226" s="14">
        <f>V226+W226</f>
        <v>371</v>
      </c>
      <c r="V226" s="13">
        <v>215</v>
      </c>
      <c r="W226" s="13">
        <v>156</v>
      </c>
      <c r="X226" s="15">
        <f>SUM(Y226:Z226)</f>
        <v>54</v>
      </c>
      <c r="Y226" s="13">
        <v>12</v>
      </c>
      <c r="Z226" s="13">
        <v>42</v>
      </c>
      <c r="AA226" s="2"/>
    </row>
    <row r="227" spans="1:27" ht="15.75" x14ac:dyDescent="0.25">
      <c r="A227" s="43">
        <v>221</v>
      </c>
      <c r="B227" s="9" t="s">
        <v>6</v>
      </c>
      <c r="C227" s="10" t="s">
        <v>352</v>
      </c>
      <c r="D227" s="11" t="s">
        <v>175</v>
      </c>
      <c r="E227" s="12" t="s">
        <v>35</v>
      </c>
      <c r="F227" s="49">
        <f>G227+H227</f>
        <v>96</v>
      </c>
      <c r="G227" s="51">
        <v>49</v>
      </c>
      <c r="H227" s="55">
        <v>47</v>
      </c>
      <c r="I227" s="13">
        <f>SUM(J227:K227)</f>
        <v>339</v>
      </c>
      <c r="J227" s="13">
        <v>171</v>
      </c>
      <c r="K227" s="13">
        <v>168</v>
      </c>
      <c r="L227" s="58">
        <f>SUM(M227:N227)</f>
        <v>137</v>
      </c>
      <c r="M227" s="51">
        <v>62</v>
      </c>
      <c r="N227" s="55">
        <v>75</v>
      </c>
      <c r="O227" s="13">
        <f>SUM(P227:Q227)</f>
        <v>31</v>
      </c>
      <c r="P227" s="13">
        <v>12</v>
      </c>
      <c r="Q227" s="13">
        <v>19</v>
      </c>
      <c r="R227" s="58">
        <f>SUM(S227:T227)</f>
        <v>0</v>
      </c>
      <c r="S227" s="51">
        <v>0</v>
      </c>
      <c r="T227" s="55">
        <v>0</v>
      </c>
      <c r="U227" s="14">
        <f>V227+W227</f>
        <v>603</v>
      </c>
      <c r="V227" s="13">
        <v>294</v>
      </c>
      <c r="W227" s="13">
        <v>309</v>
      </c>
      <c r="X227" s="15">
        <f>SUM(Y227:Z227)</f>
        <v>67</v>
      </c>
      <c r="Y227" s="13">
        <v>22</v>
      </c>
      <c r="Z227" s="13">
        <v>45</v>
      </c>
      <c r="AA227" s="2"/>
    </row>
    <row r="228" spans="1:27" ht="15.75" x14ac:dyDescent="0.25">
      <c r="A228" s="43">
        <v>222</v>
      </c>
      <c r="B228" s="9" t="s">
        <v>6</v>
      </c>
      <c r="C228" s="10" t="s">
        <v>353</v>
      </c>
      <c r="D228" s="11" t="s">
        <v>354</v>
      </c>
      <c r="E228" s="12" t="s">
        <v>35</v>
      </c>
      <c r="F228" s="49">
        <f>G228+H228</f>
        <v>61</v>
      </c>
      <c r="G228" s="51">
        <v>27</v>
      </c>
      <c r="H228" s="55">
        <v>34</v>
      </c>
      <c r="I228" s="13">
        <f>SUM(J228:K228)</f>
        <v>156</v>
      </c>
      <c r="J228" s="13">
        <v>74</v>
      </c>
      <c r="K228" s="13">
        <v>82</v>
      </c>
      <c r="L228" s="58">
        <f>SUM(M228:N228)</f>
        <v>64</v>
      </c>
      <c r="M228" s="51">
        <v>30</v>
      </c>
      <c r="N228" s="55">
        <v>34</v>
      </c>
      <c r="O228" s="13">
        <f>SUM(P228:Q228)</f>
        <v>0</v>
      </c>
      <c r="P228" s="13">
        <v>0</v>
      </c>
      <c r="Q228" s="13">
        <v>0</v>
      </c>
      <c r="R228" s="58">
        <f>SUM(S228:T228)</f>
        <v>0</v>
      </c>
      <c r="S228" s="51">
        <v>0</v>
      </c>
      <c r="T228" s="55">
        <v>0</v>
      </c>
      <c r="U228" s="14">
        <f>V228+W228</f>
        <v>281</v>
      </c>
      <c r="V228" s="13">
        <v>131</v>
      </c>
      <c r="W228" s="13">
        <v>150</v>
      </c>
      <c r="X228" s="15">
        <f>SUM(Y228:Z228)</f>
        <v>32</v>
      </c>
      <c r="Y228" s="13">
        <v>7</v>
      </c>
      <c r="Z228" s="13">
        <v>25</v>
      </c>
      <c r="AA228" s="2"/>
    </row>
    <row r="229" spans="1:27" ht="15.75" x14ac:dyDescent="0.25">
      <c r="A229" s="43">
        <v>223</v>
      </c>
      <c r="B229" s="9" t="s">
        <v>6</v>
      </c>
      <c r="C229" s="10" t="s">
        <v>355</v>
      </c>
      <c r="D229" s="11" t="s">
        <v>173</v>
      </c>
      <c r="E229" s="12" t="s">
        <v>35</v>
      </c>
      <c r="F229" s="49">
        <f>G229+H229</f>
        <v>30</v>
      </c>
      <c r="G229" s="51">
        <v>15</v>
      </c>
      <c r="H229" s="55">
        <v>15</v>
      </c>
      <c r="I229" s="13">
        <f>SUM(J229:K229)</f>
        <v>91</v>
      </c>
      <c r="J229" s="13">
        <v>51</v>
      </c>
      <c r="K229" s="13">
        <v>40</v>
      </c>
      <c r="L229" s="58">
        <f>SUM(M229:N229)</f>
        <v>35</v>
      </c>
      <c r="M229" s="51">
        <v>20</v>
      </c>
      <c r="N229" s="55">
        <v>15</v>
      </c>
      <c r="O229" s="13">
        <f>SUM(P229:Q229)</f>
        <v>4</v>
      </c>
      <c r="P229" s="13">
        <v>2</v>
      </c>
      <c r="Q229" s="13">
        <v>2</v>
      </c>
      <c r="R229" s="58">
        <f>SUM(S229:T229)</f>
        <v>0</v>
      </c>
      <c r="S229" s="51">
        <v>0</v>
      </c>
      <c r="T229" s="55">
        <v>0</v>
      </c>
      <c r="U229" s="14">
        <f>V229+W229</f>
        <v>160</v>
      </c>
      <c r="V229" s="13">
        <v>88</v>
      </c>
      <c r="W229" s="13">
        <v>72</v>
      </c>
      <c r="X229" s="15">
        <f>SUM(Y229:Z229)</f>
        <v>28</v>
      </c>
      <c r="Y229" s="13">
        <v>10</v>
      </c>
      <c r="Z229" s="13">
        <v>18</v>
      </c>
      <c r="AA229" s="2"/>
    </row>
    <row r="230" spans="1:27" ht="15.75" x14ac:dyDescent="0.25">
      <c r="A230" s="43">
        <v>224</v>
      </c>
      <c r="B230" s="9" t="s">
        <v>6</v>
      </c>
      <c r="C230" s="10" t="s">
        <v>356</v>
      </c>
      <c r="D230" s="11" t="s">
        <v>172</v>
      </c>
      <c r="E230" s="12" t="s">
        <v>35</v>
      </c>
      <c r="F230" s="49">
        <f>G230+H230</f>
        <v>54</v>
      </c>
      <c r="G230" s="51">
        <v>32</v>
      </c>
      <c r="H230" s="55">
        <v>22</v>
      </c>
      <c r="I230" s="13">
        <f>SUM(J230:K230)</f>
        <v>144</v>
      </c>
      <c r="J230" s="13">
        <v>87</v>
      </c>
      <c r="K230" s="13">
        <v>57</v>
      </c>
      <c r="L230" s="58">
        <f>SUM(M230:N230)</f>
        <v>37</v>
      </c>
      <c r="M230" s="51">
        <v>20</v>
      </c>
      <c r="N230" s="55">
        <v>17</v>
      </c>
      <c r="O230" s="13">
        <f>SUM(P230:Q230)</f>
        <v>4</v>
      </c>
      <c r="P230" s="13">
        <v>3</v>
      </c>
      <c r="Q230" s="13">
        <v>1</v>
      </c>
      <c r="R230" s="58">
        <f>SUM(S230:T230)</f>
        <v>0</v>
      </c>
      <c r="S230" s="51">
        <v>0</v>
      </c>
      <c r="T230" s="55">
        <v>0</v>
      </c>
      <c r="U230" s="14">
        <f>V230+W230</f>
        <v>239</v>
      </c>
      <c r="V230" s="13">
        <v>142</v>
      </c>
      <c r="W230" s="13">
        <v>97</v>
      </c>
      <c r="X230" s="15">
        <f>SUM(Y230:Z230)</f>
        <v>45</v>
      </c>
      <c r="Y230" s="13">
        <v>14</v>
      </c>
      <c r="Z230" s="13">
        <v>31</v>
      </c>
      <c r="AA230" s="2"/>
    </row>
    <row r="231" spans="1:27" ht="15.75" x14ac:dyDescent="0.25">
      <c r="A231" s="43">
        <v>225</v>
      </c>
      <c r="B231" s="9" t="s">
        <v>6</v>
      </c>
      <c r="C231" s="10" t="s">
        <v>357</v>
      </c>
      <c r="D231" s="11" t="s">
        <v>358</v>
      </c>
      <c r="E231" s="12" t="s">
        <v>35</v>
      </c>
      <c r="F231" s="49">
        <f>G231+H231</f>
        <v>21</v>
      </c>
      <c r="G231" s="51">
        <v>12</v>
      </c>
      <c r="H231" s="55">
        <v>9</v>
      </c>
      <c r="I231" s="13">
        <f>SUM(J231:K231)</f>
        <v>96</v>
      </c>
      <c r="J231" s="13">
        <v>55</v>
      </c>
      <c r="K231" s="13">
        <v>41</v>
      </c>
      <c r="L231" s="58">
        <f>SUM(M231:N231)</f>
        <v>34</v>
      </c>
      <c r="M231" s="51">
        <v>17</v>
      </c>
      <c r="N231" s="55">
        <v>17</v>
      </c>
      <c r="O231" s="13">
        <f>SUM(P231:Q231)</f>
        <v>0</v>
      </c>
      <c r="P231" s="13">
        <v>0</v>
      </c>
      <c r="Q231" s="13">
        <v>0</v>
      </c>
      <c r="R231" s="58">
        <f>SUM(S231:T231)</f>
        <v>0</v>
      </c>
      <c r="S231" s="51">
        <v>0</v>
      </c>
      <c r="T231" s="55">
        <v>0</v>
      </c>
      <c r="U231" s="14">
        <f>V231+W231</f>
        <v>151</v>
      </c>
      <c r="V231" s="13">
        <v>84</v>
      </c>
      <c r="W231" s="13">
        <v>67</v>
      </c>
      <c r="X231" s="15">
        <f>SUM(Y231:Z231)</f>
        <v>27</v>
      </c>
      <c r="Y231" s="13">
        <v>8</v>
      </c>
      <c r="Z231" s="13">
        <v>19</v>
      </c>
      <c r="AA231" s="2"/>
    </row>
    <row r="232" spans="1:27" ht="15.75" x14ac:dyDescent="0.25">
      <c r="A232" s="43">
        <v>226</v>
      </c>
      <c r="B232" s="9" t="s">
        <v>6</v>
      </c>
      <c r="C232" s="10" t="s">
        <v>359</v>
      </c>
      <c r="D232" s="11" t="s">
        <v>176</v>
      </c>
      <c r="E232" s="12" t="s">
        <v>35</v>
      </c>
      <c r="F232" s="49">
        <f>G232+H232</f>
        <v>7</v>
      </c>
      <c r="G232" s="51">
        <v>4</v>
      </c>
      <c r="H232" s="55">
        <v>3</v>
      </c>
      <c r="I232" s="13">
        <f>SUM(J232:K232)</f>
        <v>19</v>
      </c>
      <c r="J232" s="13">
        <v>8</v>
      </c>
      <c r="K232" s="13">
        <v>11</v>
      </c>
      <c r="L232" s="58">
        <f>SUM(M232:N232)</f>
        <v>9</v>
      </c>
      <c r="M232" s="51">
        <v>7</v>
      </c>
      <c r="N232" s="55">
        <v>2</v>
      </c>
      <c r="O232" s="13">
        <f>SUM(P232:Q232)</f>
        <v>0</v>
      </c>
      <c r="P232" s="13">
        <v>0</v>
      </c>
      <c r="Q232" s="13">
        <v>0</v>
      </c>
      <c r="R232" s="58">
        <f>SUM(S232:T232)</f>
        <v>0</v>
      </c>
      <c r="S232" s="51">
        <v>0</v>
      </c>
      <c r="T232" s="55">
        <v>0</v>
      </c>
      <c r="U232" s="14">
        <f>V232+W232</f>
        <v>35</v>
      </c>
      <c r="V232" s="13">
        <v>19</v>
      </c>
      <c r="W232" s="13">
        <v>16</v>
      </c>
      <c r="X232" s="15">
        <f>SUM(Y232:Z232)</f>
        <v>12</v>
      </c>
      <c r="Y232" s="13">
        <v>4</v>
      </c>
      <c r="Z232" s="13">
        <v>8</v>
      </c>
      <c r="AA232" s="2"/>
    </row>
    <row r="233" spans="1:27" ht="15.75" x14ac:dyDescent="0.25">
      <c r="A233" s="43">
        <v>227</v>
      </c>
      <c r="B233" s="9" t="s">
        <v>6</v>
      </c>
      <c r="C233" s="10" t="s">
        <v>360</v>
      </c>
      <c r="D233" s="11" t="s">
        <v>361</v>
      </c>
      <c r="E233" s="12" t="s">
        <v>35</v>
      </c>
      <c r="F233" s="49">
        <f>G233+H233</f>
        <v>44</v>
      </c>
      <c r="G233" s="51">
        <v>23</v>
      </c>
      <c r="H233" s="55">
        <v>21</v>
      </c>
      <c r="I233" s="13">
        <f>SUM(J233:K233)</f>
        <v>120</v>
      </c>
      <c r="J233" s="13">
        <v>59</v>
      </c>
      <c r="K233" s="13">
        <v>61</v>
      </c>
      <c r="L233" s="58">
        <f>SUM(M233:N233)</f>
        <v>35</v>
      </c>
      <c r="M233" s="51">
        <v>18</v>
      </c>
      <c r="N233" s="55">
        <v>17</v>
      </c>
      <c r="O233" s="13">
        <f>SUM(P233:Q233)</f>
        <v>0</v>
      </c>
      <c r="P233" s="13">
        <v>0</v>
      </c>
      <c r="Q233" s="13">
        <v>0</v>
      </c>
      <c r="R233" s="58">
        <f>SUM(S233:T233)</f>
        <v>0</v>
      </c>
      <c r="S233" s="51">
        <v>0</v>
      </c>
      <c r="T233" s="55">
        <v>0</v>
      </c>
      <c r="U233" s="14">
        <f>V233+W233</f>
        <v>199</v>
      </c>
      <c r="V233" s="13">
        <v>100</v>
      </c>
      <c r="W233" s="13">
        <v>99</v>
      </c>
      <c r="X233" s="15">
        <f>SUM(Y233:Z233)</f>
        <v>30</v>
      </c>
      <c r="Y233" s="13">
        <v>6</v>
      </c>
      <c r="Z233" s="13">
        <v>24</v>
      </c>
      <c r="AA233" s="2"/>
    </row>
    <row r="234" spans="1:27" ht="15.75" x14ac:dyDescent="0.25">
      <c r="A234" s="43">
        <v>228</v>
      </c>
      <c r="B234" s="9" t="s">
        <v>6</v>
      </c>
      <c r="C234" s="10" t="s">
        <v>362</v>
      </c>
      <c r="D234" s="11" t="s">
        <v>363</v>
      </c>
      <c r="E234" s="12" t="s">
        <v>35</v>
      </c>
      <c r="F234" s="49">
        <f>G234+H234</f>
        <v>39</v>
      </c>
      <c r="G234" s="51">
        <v>15</v>
      </c>
      <c r="H234" s="55">
        <v>24</v>
      </c>
      <c r="I234" s="13">
        <f>SUM(J234:K234)</f>
        <v>81</v>
      </c>
      <c r="J234" s="13">
        <v>51</v>
      </c>
      <c r="K234" s="13">
        <v>30</v>
      </c>
      <c r="L234" s="58">
        <f>SUM(M234:N234)</f>
        <v>26</v>
      </c>
      <c r="M234" s="51">
        <v>17</v>
      </c>
      <c r="N234" s="55">
        <v>9</v>
      </c>
      <c r="O234" s="13">
        <f>SUM(P234:Q234)</f>
        <v>0</v>
      </c>
      <c r="P234" s="13">
        <v>0</v>
      </c>
      <c r="Q234" s="13">
        <v>0</v>
      </c>
      <c r="R234" s="58">
        <f>SUM(S234:T234)</f>
        <v>0</v>
      </c>
      <c r="S234" s="51">
        <v>0</v>
      </c>
      <c r="T234" s="55">
        <v>0</v>
      </c>
      <c r="U234" s="14">
        <f>V234+W234</f>
        <v>146</v>
      </c>
      <c r="V234" s="13">
        <v>83</v>
      </c>
      <c r="W234" s="13">
        <v>63</v>
      </c>
      <c r="X234" s="15">
        <f>SUM(Y234:Z234)</f>
        <v>27</v>
      </c>
      <c r="Y234" s="13">
        <v>5</v>
      </c>
      <c r="Z234" s="13">
        <v>22</v>
      </c>
      <c r="AA234" s="2"/>
    </row>
    <row r="235" spans="1:27" ht="15.75" x14ac:dyDescent="0.25">
      <c r="A235" s="43">
        <v>229</v>
      </c>
      <c r="B235" s="9" t="s">
        <v>6</v>
      </c>
      <c r="C235" s="10" t="s">
        <v>364</v>
      </c>
      <c r="D235" s="11" t="s">
        <v>175</v>
      </c>
      <c r="E235" s="12" t="s">
        <v>35</v>
      </c>
      <c r="F235" s="49">
        <f>G235+H235</f>
        <v>24</v>
      </c>
      <c r="G235" s="51">
        <v>11</v>
      </c>
      <c r="H235" s="55">
        <v>13</v>
      </c>
      <c r="I235" s="13">
        <f>SUM(J235:K235)</f>
        <v>49</v>
      </c>
      <c r="J235" s="13">
        <v>25</v>
      </c>
      <c r="K235" s="13">
        <v>24</v>
      </c>
      <c r="L235" s="58">
        <f>SUM(M235:N235)</f>
        <v>0</v>
      </c>
      <c r="M235" s="51">
        <v>0</v>
      </c>
      <c r="N235" s="55">
        <v>0</v>
      </c>
      <c r="O235" s="13">
        <f>SUM(P235:Q235)</f>
        <v>0</v>
      </c>
      <c r="P235" s="13">
        <v>0</v>
      </c>
      <c r="Q235" s="13">
        <v>0</v>
      </c>
      <c r="R235" s="58">
        <f>SUM(S235:T235)</f>
        <v>0</v>
      </c>
      <c r="S235" s="51">
        <v>0</v>
      </c>
      <c r="T235" s="55">
        <v>0</v>
      </c>
      <c r="U235" s="14">
        <f>V235+W235</f>
        <v>73</v>
      </c>
      <c r="V235" s="13">
        <v>36</v>
      </c>
      <c r="W235" s="13">
        <v>37</v>
      </c>
      <c r="X235" s="15">
        <f>SUM(Y235:Z235)</f>
        <v>17</v>
      </c>
      <c r="Y235" s="13">
        <v>1</v>
      </c>
      <c r="Z235" s="13">
        <v>16</v>
      </c>
      <c r="AA235" s="2"/>
    </row>
    <row r="236" spans="1:27" ht="15.75" x14ac:dyDescent="0.25">
      <c r="A236" s="43">
        <v>230</v>
      </c>
      <c r="B236" s="9" t="s">
        <v>6</v>
      </c>
      <c r="C236" s="10" t="s">
        <v>365</v>
      </c>
      <c r="D236" s="11" t="s">
        <v>175</v>
      </c>
      <c r="E236" s="12" t="s">
        <v>35</v>
      </c>
      <c r="F236" s="49">
        <f>G236+H236</f>
        <v>93</v>
      </c>
      <c r="G236" s="51">
        <v>51</v>
      </c>
      <c r="H236" s="55">
        <v>42</v>
      </c>
      <c r="I236" s="13">
        <f>SUM(J236:K236)</f>
        <v>267</v>
      </c>
      <c r="J236" s="13">
        <v>149</v>
      </c>
      <c r="K236" s="13">
        <v>118</v>
      </c>
      <c r="L236" s="58">
        <f>SUM(M236:N236)</f>
        <v>64</v>
      </c>
      <c r="M236" s="51">
        <v>27</v>
      </c>
      <c r="N236" s="55">
        <v>37</v>
      </c>
      <c r="O236" s="13">
        <f>SUM(P236:Q236)</f>
        <v>0</v>
      </c>
      <c r="P236" s="13">
        <v>0</v>
      </c>
      <c r="Q236" s="13">
        <v>0</v>
      </c>
      <c r="R236" s="58">
        <f>SUM(S236:T236)</f>
        <v>4</v>
      </c>
      <c r="S236" s="51">
        <v>0</v>
      </c>
      <c r="T236" s="55">
        <v>4</v>
      </c>
      <c r="U236" s="14">
        <f>V236+W236</f>
        <v>428</v>
      </c>
      <c r="V236" s="13">
        <v>227</v>
      </c>
      <c r="W236" s="13">
        <v>201</v>
      </c>
      <c r="X236" s="15">
        <f>SUM(Y236:Z236)</f>
        <v>51</v>
      </c>
      <c r="Y236" s="13">
        <v>12</v>
      </c>
      <c r="Z236" s="13">
        <v>39</v>
      </c>
      <c r="AA236" s="2"/>
    </row>
    <row r="237" spans="1:27" ht="15.75" x14ac:dyDescent="0.25">
      <c r="A237" s="43">
        <v>231</v>
      </c>
      <c r="B237" s="9" t="s">
        <v>6</v>
      </c>
      <c r="C237" s="10" t="s">
        <v>366</v>
      </c>
      <c r="D237" s="11" t="s">
        <v>351</v>
      </c>
      <c r="E237" s="12" t="s">
        <v>37</v>
      </c>
      <c r="F237" s="49">
        <f>G237+H237</f>
        <v>10</v>
      </c>
      <c r="G237" s="51">
        <v>5</v>
      </c>
      <c r="H237" s="55">
        <v>5</v>
      </c>
      <c r="I237" s="13">
        <f>SUM(J237:K237)</f>
        <v>0</v>
      </c>
      <c r="J237" s="13">
        <v>0</v>
      </c>
      <c r="K237" s="13">
        <v>0</v>
      </c>
      <c r="L237" s="58">
        <f>SUM(M237:N237)</f>
        <v>0</v>
      </c>
      <c r="M237" s="51">
        <v>0</v>
      </c>
      <c r="N237" s="55">
        <v>0</v>
      </c>
      <c r="O237" s="13">
        <f>SUM(P237:Q237)</f>
        <v>0</v>
      </c>
      <c r="P237" s="13">
        <v>0</v>
      </c>
      <c r="Q237" s="13">
        <v>0</v>
      </c>
      <c r="R237" s="58">
        <f>SUM(S237:T237)</f>
        <v>0</v>
      </c>
      <c r="S237" s="51">
        <v>0</v>
      </c>
      <c r="T237" s="55">
        <v>0</v>
      </c>
      <c r="U237" s="14">
        <f>V237+W237</f>
        <v>10</v>
      </c>
      <c r="V237" s="13">
        <v>5</v>
      </c>
      <c r="W237" s="13">
        <v>5</v>
      </c>
      <c r="X237" s="15">
        <f>SUM(Y237:Z237)</f>
        <v>2</v>
      </c>
      <c r="Y237" s="13">
        <v>0</v>
      </c>
      <c r="Z237" s="13">
        <v>2</v>
      </c>
      <c r="AA237" s="2"/>
    </row>
    <row r="238" spans="1:27" ht="15.75" x14ac:dyDescent="0.25">
      <c r="A238" s="43">
        <v>232</v>
      </c>
      <c r="B238" s="9" t="s">
        <v>14</v>
      </c>
      <c r="C238" s="10" t="s">
        <v>265</v>
      </c>
      <c r="D238" s="11" t="s">
        <v>266</v>
      </c>
      <c r="E238" s="12" t="s">
        <v>35</v>
      </c>
      <c r="F238" s="49">
        <f t="shared" si="7"/>
        <v>79</v>
      </c>
      <c r="G238" s="51">
        <v>45</v>
      </c>
      <c r="H238" s="55">
        <v>34</v>
      </c>
      <c r="I238" s="13">
        <f t="shared" si="8"/>
        <v>385</v>
      </c>
      <c r="J238" s="13">
        <v>194</v>
      </c>
      <c r="K238" s="13">
        <v>191</v>
      </c>
      <c r="L238" s="58">
        <f t="shared" si="9"/>
        <v>123</v>
      </c>
      <c r="M238" s="51">
        <v>57</v>
      </c>
      <c r="N238" s="55">
        <v>66</v>
      </c>
      <c r="O238" s="13">
        <f t="shared" si="10"/>
        <v>21</v>
      </c>
      <c r="P238" s="13">
        <v>7</v>
      </c>
      <c r="Q238" s="13">
        <v>14</v>
      </c>
      <c r="R238" s="58">
        <f t="shared" si="11"/>
        <v>0</v>
      </c>
      <c r="S238" s="51">
        <v>0</v>
      </c>
      <c r="T238" s="55">
        <v>0</v>
      </c>
      <c r="U238" s="14">
        <f t="shared" si="12"/>
        <v>608</v>
      </c>
      <c r="V238" s="13">
        <v>303</v>
      </c>
      <c r="W238" s="13">
        <v>305</v>
      </c>
      <c r="X238" s="15">
        <f t="shared" si="13"/>
        <v>75</v>
      </c>
      <c r="Y238" s="13">
        <v>16</v>
      </c>
      <c r="Z238" s="13">
        <v>59</v>
      </c>
      <c r="AA238" s="2"/>
    </row>
    <row r="239" spans="1:27" ht="15.75" x14ac:dyDescent="0.25">
      <c r="A239" s="43">
        <v>233</v>
      </c>
      <c r="B239" s="9" t="s">
        <v>14</v>
      </c>
      <c r="C239" s="10" t="s">
        <v>267</v>
      </c>
      <c r="D239" s="11" t="s">
        <v>268</v>
      </c>
      <c r="E239" s="12" t="s">
        <v>35</v>
      </c>
      <c r="F239" s="49">
        <f t="shared" si="7"/>
        <v>21</v>
      </c>
      <c r="G239" s="51">
        <v>9</v>
      </c>
      <c r="H239" s="55">
        <v>12</v>
      </c>
      <c r="I239" s="13">
        <f t="shared" si="8"/>
        <v>86</v>
      </c>
      <c r="J239" s="13">
        <v>47</v>
      </c>
      <c r="K239" s="13">
        <v>39</v>
      </c>
      <c r="L239" s="58">
        <f t="shared" si="9"/>
        <v>41</v>
      </c>
      <c r="M239" s="51">
        <v>20</v>
      </c>
      <c r="N239" s="55">
        <v>21</v>
      </c>
      <c r="O239" s="13">
        <f t="shared" si="10"/>
        <v>0</v>
      </c>
      <c r="P239" s="13">
        <v>0</v>
      </c>
      <c r="Q239" s="13">
        <v>0</v>
      </c>
      <c r="R239" s="58">
        <f t="shared" si="11"/>
        <v>0</v>
      </c>
      <c r="S239" s="51">
        <v>0</v>
      </c>
      <c r="T239" s="55">
        <v>0</v>
      </c>
      <c r="U239" s="14">
        <f t="shared" si="12"/>
        <v>148</v>
      </c>
      <c r="V239" s="13">
        <v>76</v>
      </c>
      <c r="W239" s="13">
        <v>72</v>
      </c>
      <c r="X239" s="15">
        <f t="shared" si="13"/>
        <v>23</v>
      </c>
      <c r="Y239" s="13">
        <v>11</v>
      </c>
      <c r="Z239" s="13">
        <v>12</v>
      </c>
      <c r="AA239" s="2"/>
    </row>
    <row r="240" spans="1:27" ht="15.75" x14ac:dyDescent="0.25">
      <c r="A240" s="43">
        <v>234</v>
      </c>
      <c r="B240" s="9" t="s">
        <v>14</v>
      </c>
      <c r="C240" s="10" t="s">
        <v>269</v>
      </c>
      <c r="D240" s="11" t="s">
        <v>156</v>
      </c>
      <c r="E240" s="12" t="s">
        <v>35</v>
      </c>
      <c r="F240" s="49">
        <f t="shared" si="7"/>
        <v>24</v>
      </c>
      <c r="G240" s="51">
        <v>14</v>
      </c>
      <c r="H240" s="55">
        <v>10</v>
      </c>
      <c r="I240" s="13">
        <f t="shared" si="8"/>
        <v>65</v>
      </c>
      <c r="J240" s="13">
        <v>29</v>
      </c>
      <c r="K240" s="13">
        <v>36</v>
      </c>
      <c r="L240" s="58">
        <f t="shared" si="9"/>
        <v>35</v>
      </c>
      <c r="M240" s="51">
        <v>20</v>
      </c>
      <c r="N240" s="55">
        <v>15</v>
      </c>
      <c r="O240" s="13">
        <f t="shared" si="10"/>
        <v>0</v>
      </c>
      <c r="P240" s="13">
        <v>0</v>
      </c>
      <c r="Q240" s="13">
        <v>0</v>
      </c>
      <c r="R240" s="58">
        <f t="shared" si="11"/>
        <v>0</v>
      </c>
      <c r="S240" s="51">
        <v>0</v>
      </c>
      <c r="T240" s="55">
        <v>0</v>
      </c>
      <c r="U240" s="14">
        <f t="shared" si="12"/>
        <v>124</v>
      </c>
      <c r="V240" s="13">
        <v>63</v>
      </c>
      <c r="W240" s="13">
        <v>61</v>
      </c>
      <c r="X240" s="15">
        <f t="shared" si="13"/>
        <v>24</v>
      </c>
      <c r="Y240" s="13">
        <v>7</v>
      </c>
      <c r="Z240" s="13">
        <v>17</v>
      </c>
      <c r="AA240" s="2"/>
    </row>
    <row r="241" spans="1:27" ht="15.75" x14ac:dyDescent="0.25">
      <c r="A241" s="43">
        <v>235</v>
      </c>
      <c r="B241" s="9" t="s">
        <v>14</v>
      </c>
      <c r="C241" s="10" t="s">
        <v>270</v>
      </c>
      <c r="D241" s="11" t="s">
        <v>271</v>
      </c>
      <c r="E241" s="12" t="s">
        <v>35</v>
      </c>
      <c r="F241" s="49">
        <f t="shared" si="7"/>
        <v>10</v>
      </c>
      <c r="G241" s="51">
        <v>7</v>
      </c>
      <c r="H241" s="55">
        <v>3</v>
      </c>
      <c r="I241" s="13">
        <f t="shared" si="8"/>
        <v>34</v>
      </c>
      <c r="J241" s="13">
        <v>18</v>
      </c>
      <c r="K241" s="13">
        <v>16</v>
      </c>
      <c r="L241" s="58">
        <f t="shared" si="9"/>
        <v>3</v>
      </c>
      <c r="M241" s="51">
        <v>1</v>
      </c>
      <c r="N241" s="55">
        <v>2</v>
      </c>
      <c r="O241" s="13">
        <f t="shared" si="10"/>
        <v>0</v>
      </c>
      <c r="P241" s="13">
        <v>0</v>
      </c>
      <c r="Q241" s="13">
        <v>0</v>
      </c>
      <c r="R241" s="58">
        <f t="shared" si="11"/>
        <v>0</v>
      </c>
      <c r="S241" s="51">
        <v>0</v>
      </c>
      <c r="T241" s="55">
        <v>0</v>
      </c>
      <c r="U241" s="14">
        <f t="shared" si="12"/>
        <v>47</v>
      </c>
      <c r="V241" s="13">
        <v>26</v>
      </c>
      <c r="W241" s="13">
        <v>21</v>
      </c>
      <c r="X241" s="15">
        <f t="shared" si="13"/>
        <v>13</v>
      </c>
      <c r="Y241" s="13">
        <v>6</v>
      </c>
      <c r="Z241" s="13">
        <v>7</v>
      </c>
      <c r="AA241" s="2"/>
    </row>
    <row r="242" spans="1:27" ht="15.75" x14ac:dyDescent="0.25">
      <c r="A242" s="43">
        <v>236</v>
      </c>
      <c r="B242" s="9" t="s">
        <v>14</v>
      </c>
      <c r="C242" s="10" t="s">
        <v>272</v>
      </c>
      <c r="D242" s="11" t="s">
        <v>273</v>
      </c>
      <c r="E242" s="12" t="s">
        <v>35</v>
      </c>
      <c r="F242" s="49">
        <f t="shared" si="7"/>
        <v>33</v>
      </c>
      <c r="G242" s="51">
        <v>17</v>
      </c>
      <c r="H242" s="55">
        <v>16</v>
      </c>
      <c r="I242" s="13">
        <f t="shared" si="8"/>
        <v>78</v>
      </c>
      <c r="J242" s="13">
        <v>35</v>
      </c>
      <c r="K242" s="13">
        <v>43</v>
      </c>
      <c r="L242" s="58">
        <f t="shared" si="9"/>
        <v>24</v>
      </c>
      <c r="M242" s="51">
        <v>10</v>
      </c>
      <c r="N242" s="55">
        <v>14</v>
      </c>
      <c r="O242" s="13">
        <f t="shared" si="10"/>
        <v>0</v>
      </c>
      <c r="P242" s="13">
        <v>0</v>
      </c>
      <c r="Q242" s="13">
        <v>0</v>
      </c>
      <c r="R242" s="58">
        <f t="shared" si="11"/>
        <v>0</v>
      </c>
      <c r="S242" s="51">
        <v>0</v>
      </c>
      <c r="T242" s="55">
        <v>0</v>
      </c>
      <c r="U242" s="14">
        <f t="shared" si="12"/>
        <v>135</v>
      </c>
      <c r="V242" s="13">
        <v>62</v>
      </c>
      <c r="W242" s="13">
        <v>73</v>
      </c>
      <c r="X242" s="15">
        <f t="shared" si="13"/>
        <v>27</v>
      </c>
      <c r="Y242" s="13">
        <v>7</v>
      </c>
      <c r="Z242" s="13">
        <v>20</v>
      </c>
      <c r="AA242" s="2"/>
    </row>
    <row r="243" spans="1:27" ht="15.75" x14ac:dyDescent="0.25">
      <c r="A243" s="43">
        <v>237</v>
      </c>
      <c r="B243" s="9" t="s">
        <v>14</v>
      </c>
      <c r="C243" s="10" t="s">
        <v>274</v>
      </c>
      <c r="D243" s="11" t="s">
        <v>174</v>
      </c>
      <c r="E243" s="12" t="s">
        <v>35</v>
      </c>
      <c r="F243" s="49">
        <f t="shared" si="7"/>
        <v>55</v>
      </c>
      <c r="G243" s="51">
        <v>25</v>
      </c>
      <c r="H243" s="55">
        <v>30</v>
      </c>
      <c r="I243" s="13">
        <f t="shared" si="8"/>
        <v>150</v>
      </c>
      <c r="J243" s="13">
        <v>87</v>
      </c>
      <c r="K243" s="13">
        <v>63</v>
      </c>
      <c r="L243" s="58">
        <f t="shared" si="9"/>
        <v>67</v>
      </c>
      <c r="M243" s="51">
        <v>42</v>
      </c>
      <c r="N243" s="55">
        <v>25</v>
      </c>
      <c r="O243" s="13">
        <f t="shared" si="10"/>
        <v>0</v>
      </c>
      <c r="P243" s="13">
        <v>0</v>
      </c>
      <c r="Q243" s="13">
        <v>0</v>
      </c>
      <c r="R243" s="58">
        <f t="shared" si="11"/>
        <v>0</v>
      </c>
      <c r="S243" s="51">
        <v>0</v>
      </c>
      <c r="T243" s="55">
        <v>0</v>
      </c>
      <c r="U243" s="14">
        <f t="shared" si="12"/>
        <v>272</v>
      </c>
      <c r="V243" s="13">
        <v>154</v>
      </c>
      <c r="W243" s="13">
        <v>118</v>
      </c>
      <c r="X243" s="15">
        <f t="shared" si="13"/>
        <v>41</v>
      </c>
      <c r="Y243" s="13">
        <v>9</v>
      </c>
      <c r="Z243" s="13">
        <v>32</v>
      </c>
      <c r="AA243" s="2"/>
    </row>
    <row r="244" spans="1:27" ht="15.75" x14ac:dyDescent="0.25">
      <c r="A244" s="43">
        <v>238</v>
      </c>
      <c r="B244" s="9" t="s">
        <v>14</v>
      </c>
      <c r="C244" s="10" t="s">
        <v>275</v>
      </c>
      <c r="D244" s="11" t="s">
        <v>178</v>
      </c>
      <c r="E244" s="12" t="s">
        <v>35</v>
      </c>
      <c r="F244" s="49">
        <f t="shared" si="7"/>
        <v>34</v>
      </c>
      <c r="G244" s="51">
        <v>15</v>
      </c>
      <c r="H244" s="55">
        <v>19</v>
      </c>
      <c r="I244" s="13">
        <f t="shared" si="8"/>
        <v>140</v>
      </c>
      <c r="J244" s="13">
        <v>79</v>
      </c>
      <c r="K244" s="13">
        <v>61</v>
      </c>
      <c r="L244" s="58">
        <f t="shared" si="9"/>
        <v>82</v>
      </c>
      <c r="M244" s="51">
        <v>43</v>
      </c>
      <c r="N244" s="55">
        <v>39</v>
      </c>
      <c r="O244" s="13">
        <f t="shared" si="10"/>
        <v>0</v>
      </c>
      <c r="P244" s="13">
        <v>0</v>
      </c>
      <c r="Q244" s="13">
        <v>0</v>
      </c>
      <c r="R244" s="58">
        <f t="shared" si="11"/>
        <v>0</v>
      </c>
      <c r="S244" s="51">
        <v>0</v>
      </c>
      <c r="T244" s="55">
        <v>0</v>
      </c>
      <c r="U244" s="14">
        <f t="shared" si="12"/>
        <v>256</v>
      </c>
      <c r="V244" s="13">
        <v>137</v>
      </c>
      <c r="W244" s="13">
        <v>119</v>
      </c>
      <c r="X244" s="15">
        <f t="shared" si="13"/>
        <v>34</v>
      </c>
      <c r="Y244" s="13">
        <v>12</v>
      </c>
      <c r="Z244" s="13">
        <v>22</v>
      </c>
      <c r="AA244" s="2"/>
    </row>
    <row r="245" spans="1:27" ht="15.75" x14ac:dyDescent="0.25">
      <c r="A245" s="43">
        <v>239</v>
      </c>
      <c r="B245" s="9" t="s">
        <v>14</v>
      </c>
      <c r="C245" s="10" t="s">
        <v>276</v>
      </c>
      <c r="D245" s="11" t="s">
        <v>179</v>
      </c>
      <c r="E245" s="12" t="s">
        <v>35</v>
      </c>
      <c r="F245" s="49">
        <f t="shared" si="7"/>
        <v>23</v>
      </c>
      <c r="G245" s="51">
        <v>12</v>
      </c>
      <c r="H245" s="55">
        <v>11</v>
      </c>
      <c r="I245" s="13">
        <f t="shared" si="8"/>
        <v>57</v>
      </c>
      <c r="J245" s="13">
        <v>29</v>
      </c>
      <c r="K245" s="13">
        <v>28</v>
      </c>
      <c r="L245" s="58">
        <f t="shared" si="9"/>
        <v>21</v>
      </c>
      <c r="M245" s="51">
        <v>10</v>
      </c>
      <c r="N245" s="55">
        <v>11</v>
      </c>
      <c r="O245" s="13">
        <f t="shared" si="10"/>
        <v>0</v>
      </c>
      <c r="P245" s="13">
        <v>0</v>
      </c>
      <c r="Q245" s="13">
        <v>0</v>
      </c>
      <c r="R245" s="58">
        <f t="shared" si="11"/>
        <v>0</v>
      </c>
      <c r="S245" s="51">
        <v>0</v>
      </c>
      <c r="T245" s="55">
        <v>0</v>
      </c>
      <c r="U245" s="14">
        <f t="shared" si="12"/>
        <v>101</v>
      </c>
      <c r="V245" s="13">
        <v>51</v>
      </c>
      <c r="W245" s="13">
        <v>50</v>
      </c>
      <c r="X245" s="15">
        <f t="shared" si="13"/>
        <v>19</v>
      </c>
      <c r="Y245" s="13">
        <v>8</v>
      </c>
      <c r="Z245" s="13">
        <v>11</v>
      </c>
      <c r="AA245" s="2"/>
    </row>
    <row r="246" spans="1:27" ht="15.75" x14ac:dyDescent="0.25">
      <c r="A246" s="43">
        <v>240</v>
      </c>
      <c r="B246" s="9" t="s">
        <v>14</v>
      </c>
      <c r="C246" s="10" t="s">
        <v>277</v>
      </c>
      <c r="D246" s="11" t="s">
        <v>180</v>
      </c>
      <c r="E246" s="12" t="s">
        <v>35</v>
      </c>
      <c r="F246" s="49">
        <f t="shared" si="7"/>
        <v>74</v>
      </c>
      <c r="G246" s="51">
        <v>35</v>
      </c>
      <c r="H246" s="55">
        <v>39</v>
      </c>
      <c r="I246" s="13">
        <f t="shared" si="8"/>
        <v>213</v>
      </c>
      <c r="J246" s="13">
        <v>119</v>
      </c>
      <c r="K246" s="13">
        <v>94</v>
      </c>
      <c r="L246" s="58">
        <f t="shared" si="9"/>
        <v>75</v>
      </c>
      <c r="M246" s="51">
        <v>34</v>
      </c>
      <c r="N246" s="55">
        <v>41</v>
      </c>
      <c r="O246" s="13">
        <f t="shared" si="10"/>
        <v>0</v>
      </c>
      <c r="P246" s="13">
        <v>0</v>
      </c>
      <c r="Q246" s="13">
        <v>0</v>
      </c>
      <c r="R246" s="58">
        <f t="shared" si="11"/>
        <v>0</v>
      </c>
      <c r="S246" s="51">
        <v>0</v>
      </c>
      <c r="T246" s="55">
        <v>0</v>
      </c>
      <c r="U246" s="14">
        <f t="shared" si="12"/>
        <v>362</v>
      </c>
      <c r="V246" s="13">
        <v>188</v>
      </c>
      <c r="W246" s="13">
        <v>174</v>
      </c>
      <c r="X246" s="15">
        <f t="shared" si="13"/>
        <v>43</v>
      </c>
      <c r="Y246" s="13">
        <v>1</v>
      </c>
      <c r="Z246" s="13">
        <v>42</v>
      </c>
      <c r="AA246" s="2"/>
    </row>
    <row r="247" spans="1:27" ht="15.75" x14ac:dyDescent="0.25">
      <c r="A247" s="43">
        <v>241</v>
      </c>
      <c r="B247" s="9" t="s">
        <v>14</v>
      </c>
      <c r="C247" s="10" t="s">
        <v>278</v>
      </c>
      <c r="D247" s="11" t="s">
        <v>177</v>
      </c>
      <c r="E247" s="12" t="s">
        <v>37</v>
      </c>
      <c r="F247" s="49">
        <f t="shared" si="7"/>
        <v>21</v>
      </c>
      <c r="G247" s="51">
        <v>12</v>
      </c>
      <c r="H247" s="55">
        <v>9</v>
      </c>
      <c r="I247" s="13">
        <f t="shared" si="8"/>
        <v>0</v>
      </c>
      <c r="J247" s="13">
        <v>0</v>
      </c>
      <c r="K247" s="13">
        <v>0</v>
      </c>
      <c r="L247" s="58">
        <f t="shared" si="9"/>
        <v>0</v>
      </c>
      <c r="M247" s="51">
        <v>0</v>
      </c>
      <c r="N247" s="55">
        <v>0</v>
      </c>
      <c r="O247" s="13">
        <f t="shared" si="10"/>
        <v>0</v>
      </c>
      <c r="P247" s="13">
        <v>0</v>
      </c>
      <c r="Q247" s="13">
        <v>0</v>
      </c>
      <c r="R247" s="58">
        <f t="shared" si="11"/>
        <v>0</v>
      </c>
      <c r="S247" s="51">
        <v>0</v>
      </c>
      <c r="T247" s="55">
        <v>0</v>
      </c>
      <c r="U247" s="14">
        <f t="shared" si="12"/>
        <v>21</v>
      </c>
      <c r="V247" s="13">
        <v>12</v>
      </c>
      <c r="W247" s="13">
        <v>9</v>
      </c>
      <c r="X247" s="15">
        <f t="shared" si="13"/>
        <v>0</v>
      </c>
      <c r="Y247" s="13">
        <v>0</v>
      </c>
      <c r="Z247" s="13">
        <v>0</v>
      </c>
      <c r="AA247" s="2"/>
    </row>
    <row r="248" spans="1:27" ht="15.75" x14ac:dyDescent="0.25">
      <c r="A248" s="43">
        <v>242</v>
      </c>
      <c r="B248" s="9" t="s">
        <v>14</v>
      </c>
      <c r="C248" s="10" t="s">
        <v>181</v>
      </c>
      <c r="D248" s="11" t="s">
        <v>180</v>
      </c>
      <c r="E248" s="12" t="s">
        <v>37</v>
      </c>
      <c r="F248" s="49">
        <f t="shared" si="7"/>
        <v>22</v>
      </c>
      <c r="G248" s="51">
        <v>12</v>
      </c>
      <c r="H248" s="55">
        <v>10</v>
      </c>
      <c r="I248" s="13">
        <f t="shared" si="8"/>
        <v>0</v>
      </c>
      <c r="J248" s="13">
        <v>0</v>
      </c>
      <c r="K248" s="13">
        <v>0</v>
      </c>
      <c r="L248" s="58">
        <f t="shared" si="9"/>
        <v>0</v>
      </c>
      <c r="M248" s="51">
        <v>0</v>
      </c>
      <c r="N248" s="55">
        <v>0</v>
      </c>
      <c r="O248" s="13">
        <f t="shared" si="10"/>
        <v>0</v>
      </c>
      <c r="P248" s="13">
        <v>0</v>
      </c>
      <c r="Q248" s="13">
        <v>0</v>
      </c>
      <c r="R248" s="58">
        <f t="shared" si="11"/>
        <v>0</v>
      </c>
      <c r="S248" s="51">
        <v>0</v>
      </c>
      <c r="T248" s="55">
        <v>0</v>
      </c>
      <c r="U248" s="14">
        <f t="shared" si="12"/>
        <v>22</v>
      </c>
      <c r="V248" s="13">
        <v>12</v>
      </c>
      <c r="W248" s="13">
        <v>10</v>
      </c>
      <c r="X248" s="15">
        <f t="shared" si="13"/>
        <v>0</v>
      </c>
      <c r="Y248" s="13">
        <v>0</v>
      </c>
      <c r="Z248" s="13">
        <v>0</v>
      </c>
      <c r="AA248" s="2"/>
    </row>
    <row r="249" spans="1:27" ht="15.75" x14ac:dyDescent="0.25">
      <c r="A249" s="43">
        <v>243</v>
      </c>
      <c r="B249" s="9" t="s">
        <v>199</v>
      </c>
      <c r="C249" s="10" t="s">
        <v>279</v>
      </c>
      <c r="D249" s="11" t="s">
        <v>183</v>
      </c>
      <c r="E249" s="12" t="s">
        <v>35</v>
      </c>
      <c r="F249" s="49">
        <f t="shared" si="7"/>
        <v>0</v>
      </c>
      <c r="G249" s="51">
        <v>0</v>
      </c>
      <c r="H249" s="55">
        <v>0</v>
      </c>
      <c r="I249" s="13">
        <f t="shared" si="8"/>
        <v>110</v>
      </c>
      <c r="J249" s="13">
        <v>54</v>
      </c>
      <c r="K249" s="13">
        <v>56</v>
      </c>
      <c r="L249" s="58">
        <f t="shared" si="9"/>
        <v>284</v>
      </c>
      <c r="M249" s="51">
        <v>147</v>
      </c>
      <c r="N249" s="55">
        <v>137</v>
      </c>
      <c r="O249" s="13">
        <f t="shared" si="10"/>
        <v>51</v>
      </c>
      <c r="P249" s="13">
        <v>23</v>
      </c>
      <c r="Q249" s="13">
        <v>28</v>
      </c>
      <c r="R249" s="58">
        <f t="shared" si="11"/>
        <v>0</v>
      </c>
      <c r="S249" s="51">
        <v>0</v>
      </c>
      <c r="T249" s="55">
        <v>0</v>
      </c>
      <c r="U249" s="14">
        <f t="shared" si="12"/>
        <v>445</v>
      </c>
      <c r="V249" s="13">
        <v>224</v>
      </c>
      <c r="W249" s="13">
        <v>221</v>
      </c>
      <c r="X249" s="15">
        <f t="shared" si="13"/>
        <v>61</v>
      </c>
      <c r="Y249" s="13">
        <v>30</v>
      </c>
      <c r="Z249" s="13">
        <v>31</v>
      </c>
      <c r="AA249" s="2"/>
    </row>
    <row r="250" spans="1:27" ht="15.75" x14ac:dyDescent="0.25">
      <c r="A250" s="43">
        <v>244</v>
      </c>
      <c r="B250" s="9" t="s">
        <v>199</v>
      </c>
      <c r="C250" s="10" t="s">
        <v>280</v>
      </c>
      <c r="D250" s="11" t="s">
        <v>182</v>
      </c>
      <c r="E250" s="12" t="s">
        <v>35</v>
      </c>
      <c r="F250" s="49">
        <f t="shared" si="7"/>
        <v>68</v>
      </c>
      <c r="G250" s="51">
        <v>36</v>
      </c>
      <c r="H250" s="55">
        <v>32</v>
      </c>
      <c r="I250" s="13">
        <f t="shared" si="8"/>
        <v>178</v>
      </c>
      <c r="J250" s="13">
        <v>97</v>
      </c>
      <c r="K250" s="13">
        <v>81</v>
      </c>
      <c r="L250" s="58">
        <f t="shared" si="9"/>
        <v>72</v>
      </c>
      <c r="M250" s="51">
        <v>43</v>
      </c>
      <c r="N250" s="55">
        <v>29</v>
      </c>
      <c r="O250" s="13">
        <f t="shared" si="10"/>
        <v>0</v>
      </c>
      <c r="P250" s="13">
        <v>0</v>
      </c>
      <c r="Q250" s="13">
        <v>0</v>
      </c>
      <c r="R250" s="58">
        <f t="shared" si="11"/>
        <v>0</v>
      </c>
      <c r="S250" s="51">
        <v>0</v>
      </c>
      <c r="T250" s="55">
        <v>0</v>
      </c>
      <c r="U250" s="14">
        <f t="shared" si="12"/>
        <v>318</v>
      </c>
      <c r="V250" s="13">
        <v>176</v>
      </c>
      <c r="W250" s="13">
        <v>142</v>
      </c>
      <c r="X250" s="15">
        <f t="shared" si="13"/>
        <v>40</v>
      </c>
      <c r="Y250" s="13">
        <v>11</v>
      </c>
      <c r="Z250" s="13">
        <v>29</v>
      </c>
      <c r="AA250" s="2"/>
    </row>
    <row r="251" spans="1:27" ht="15.75" x14ac:dyDescent="0.25">
      <c r="A251" s="43">
        <v>245</v>
      </c>
      <c r="B251" s="9" t="s">
        <v>199</v>
      </c>
      <c r="C251" s="10" t="s">
        <v>281</v>
      </c>
      <c r="D251" s="11" t="s">
        <v>183</v>
      </c>
      <c r="E251" s="12" t="s">
        <v>35</v>
      </c>
      <c r="F251" s="49">
        <f t="shared" ref="F251:F269" si="14">G251+H251</f>
        <v>83</v>
      </c>
      <c r="G251" s="51">
        <v>42</v>
      </c>
      <c r="H251" s="55">
        <v>41</v>
      </c>
      <c r="I251" s="13">
        <f t="shared" si="8"/>
        <v>356</v>
      </c>
      <c r="J251" s="13">
        <v>190</v>
      </c>
      <c r="K251" s="13">
        <v>166</v>
      </c>
      <c r="L251" s="58">
        <f t="shared" si="9"/>
        <v>0</v>
      </c>
      <c r="M251" s="51">
        <v>0</v>
      </c>
      <c r="N251" s="55">
        <v>0</v>
      </c>
      <c r="O251" s="13">
        <f t="shared" si="10"/>
        <v>0</v>
      </c>
      <c r="P251" s="13">
        <v>0</v>
      </c>
      <c r="Q251" s="13">
        <v>0</v>
      </c>
      <c r="R251" s="58">
        <f t="shared" si="11"/>
        <v>1</v>
      </c>
      <c r="S251" s="51">
        <v>1</v>
      </c>
      <c r="T251" s="55">
        <v>0</v>
      </c>
      <c r="U251" s="14">
        <f t="shared" si="12"/>
        <v>440</v>
      </c>
      <c r="V251" s="13">
        <v>233</v>
      </c>
      <c r="W251" s="13">
        <v>207</v>
      </c>
      <c r="X251" s="15">
        <f t="shared" si="13"/>
        <v>50</v>
      </c>
      <c r="Y251" s="13">
        <v>0</v>
      </c>
      <c r="Z251" s="13">
        <v>50</v>
      </c>
      <c r="AA251" s="2"/>
    </row>
    <row r="252" spans="1:27" ht="15.75" x14ac:dyDescent="0.25">
      <c r="A252" s="43">
        <v>246</v>
      </c>
      <c r="B252" s="9" t="s">
        <v>199</v>
      </c>
      <c r="C252" s="10" t="s">
        <v>282</v>
      </c>
      <c r="D252" s="11" t="s">
        <v>283</v>
      </c>
      <c r="E252" s="12" t="s">
        <v>35</v>
      </c>
      <c r="F252" s="49">
        <f t="shared" si="14"/>
        <v>46</v>
      </c>
      <c r="G252" s="51">
        <v>22</v>
      </c>
      <c r="H252" s="55">
        <v>24</v>
      </c>
      <c r="I252" s="13">
        <f t="shared" ref="I252:I269" si="15">SUM(J252:K252)</f>
        <v>157</v>
      </c>
      <c r="J252" s="13">
        <v>93</v>
      </c>
      <c r="K252" s="13">
        <v>64</v>
      </c>
      <c r="L252" s="58">
        <f t="shared" ref="L252:L269" si="16">SUM(M252:N252)</f>
        <v>50</v>
      </c>
      <c r="M252" s="51">
        <v>28</v>
      </c>
      <c r="N252" s="55">
        <v>22</v>
      </c>
      <c r="O252" s="13">
        <f t="shared" ref="O252:O269" si="17">SUM(P252:Q252)</f>
        <v>0</v>
      </c>
      <c r="P252" s="13">
        <v>0</v>
      </c>
      <c r="Q252" s="13">
        <v>0</v>
      </c>
      <c r="R252" s="58">
        <f t="shared" ref="R252:R269" si="18">SUM(S252:T252)</f>
        <v>0</v>
      </c>
      <c r="S252" s="51">
        <v>0</v>
      </c>
      <c r="T252" s="55">
        <v>0</v>
      </c>
      <c r="U252" s="14">
        <f t="shared" ref="U252:U269" si="19">V252+W252</f>
        <v>253</v>
      </c>
      <c r="V252" s="13">
        <v>143</v>
      </c>
      <c r="W252" s="13">
        <v>110</v>
      </c>
      <c r="X252" s="15">
        <f t="shared" ref="X252:X269" si="20">SUM(Y252:Z252)</f>
        <v>35</v>
      </c>
      <c r="Y252" s="13">
        <v>11</v>
      </c>
      <c r="Z252" s="13">
        <v>24</v>
      </c>
      <c r="AA252" s="2"/>
    </row>
    <row r="253" spans="1:27" ht="15.75" x14ac:dyDescent="0.25">
      <c r="A253" s="43">
        <v>247</v>
      </c>
      <c r="B253" s="9" t="s">
        <v>199</v>
      </c>
      <c r="C253" s="10" t="s">
        <v>284</v>
      </c>
      <c r="D253" s="11" t="s">
        <v>285</v>
      </c>
      <c r="E253" s="12" t="s">
        <v>35</v>
      </c>
      <c r="F253" s="49">
        <f t="shared" si="14"/>
        <v>38</v>
      </c>
      <c r="G253" s="51">
        <v>23</v>
      </c>
      <c r="H253" s="55">
        <v>15</v>
      </c>
      <c r="I253" s="13">
        <f t="shared" si="15"/>
        <v>88</v>
      </c>
      <c r="J253" s="13">
        <v>48</v>
      </c>
      <c r="K253" s="13">
        <v>40</v>
      </c>
      <c r="L253" s="58">
        <f t="shared" si="16"/>
        <v>43</v>
      </c>
      <c r="M253" s="51">
        <v>24</v>
      </c>
      <c r="N253" s="55">
        <v>19</v>
      </c>
      <c r="O253" s="13">
        <f t="shared" si="17"/>
        <v>0</v>
      </c>
      <c r="P253" s="13">
        <v>0</v>
      </c>
      <c r="Q253" s="13">
        <v>0</v>
      </c>
      <c r="R253" s="58">
        <f t="shared" si="18"/>
        <v>0</v>
      </c>
      <c r="S253" s="51">
        <v>0</v>
      </c>
      <c r="T253" s="55">
        <v>0</v>
      </c>
      <c r="U253" s="14">
        <f t="shared" si="19"/>
        <v>169</v>
      </c>
      <c r="V253" s="13">
        <v>95</v>
      </c>
      <c r="W253" s="13">
        <v>74</v>
      </c>
      <c r="X253" s="15">
        <f t="shared" si="20"/>
        <v>27</v>
      </c>
      <c r="Y253" s="13">
        <v>8</v>
      </c>
      <c r="Z253" s="13">
        <v>19</v>
      </c>
      <c r="AA253" s="2"/>
    </row>
    <row r="254" spans="1:27" ht="15.75" x14ac:dyDescent="0.25">
      <c r="A254" s="43">
        <v>248</v>
      </c>
      <c r="B254" s="9" t="s">
        <v>199</v>
      </c>
      <c r="C254" s="10" t="s">
        <v>286</v>
      </c>
      <c r="D254" s="11" t="s">
        <v>185</v>
      </c>
      <c r="E254" s="12" t="s">
        <v>35</v>
      </c>
      <c r="F254" s="49">
        <f t="shared" si="14"/>
        <v>21</v>
      </c>
      <c r="G254" s="51">
        <v>12</v>
      </c>
      <c r="H254" s="55">
        <v>9</v>
      </c>
      <c r="I254" s="13">
        <f t="shared" si="15"/>
        <v>62</v>
      </c>
      <c r="J254" s="13">
        <v>35</v>
      </c>
      <c r="K254" s="13">
        <v>27</v>
      </c>
      <c r="L254" s="58">
        <f t="shared" si="16"/>
        <v>16</v>
      </c>
      <c r="M254" s="51">
        <v>11</v>
      </c>
      <c r="N254" s="55">
        <v>5</v>
      </c>
      <c r="O254" s="13">
        <f t="shared" si="17"/>
        <v>0</v>
      </c>
      <c r="P254" s="13">
        <v>0</v>
      </c>
      <c r="Q254" s="13">
        <v>0</v>
      </c>
      <c r="R254" s="58">
        <f t="shared" si="18"/>
        <v>1</v>
      </c>
      <c r="S254" s="51">
        <v>1</v>
      </c>
      <c r="T254" s="55">
        <v>0</v>
      </c>
      <c r="U254" s="14">
        <f t="shared" si="19"/>
        <v>100</v>
      </c>
      <c r="V254" s="13">
        <v>59</v>
      </c>
      <c r="W254" s="13">
        <v>41</v>
      </c>
      <c r="X254" s="15">
        <f t="shared" si="20"/>
        <v>14</v>
      </c>
      <c r="Y254" s="13">
        <v>1</v>
      </c>
      <c r="Z254" s="13">
        <v>13</v>
      </c>
      <c r="AA254" s="2"/>
    </row>
    <row r="255" spans="1:27" ht="15.75" x14ac:dyDescent="0.25">
      <c r="A255" s="43">
        <v>249</v>
      </c>
      <c r="B255" s="9" t="s">
        <v>199</v>
      </c>
      <c r="C255" s="10" t="s">
        <v>287</v>
      </c>
      <c r="D255" s="11" t="s">
        <v>104</v>
      </c>
      <c r="E255" s="12" t="s">
        <v>35</v>
      </c>
      <c r="F255" s="49">
        <f t="shared" si="14"/>
        <v>24</v>
      </c>
      <c r="G255" s="51">
        <v>15</v>
      </c>
      <c r="H255" s="55">
        <v>9</v>
      </c>
      <c r="I255" s="13">
        <f t="shared" si="15"/>
        <v>82</v>
      </c>
      <c r="J255" s="13">
        <v>45</v>
      </c>
      <c r="K255" s="13">
        <v>37</v>
      </c>
      <c r="L255" s="58">
        <f t="shared" si="16"/>
        <v>36</v>
      </c>
      <c r="M255" s="51">
        <v>21</v>
      </c>
      <c r="N255" s="55">
        <v>15</v>
      </c>
      <c r="O255" s="13">
        <f t="shared" si="17"/>
        <v>0</v>
      </c>
      <c r="P255" s="13">
        <v>0</v>
      </c>
      <c r="Q255" s="13">
        <v>0</v>
      </c>
      <c r="R255" s="58">
        <f t="shared" si="18"/>
        <v>0</v>
      </c>
      <c r="S255" s="51">
        <v>0</v>
      </c>
      <c r="T255" s="55">
        <v>0</v>
      </c>
      <c r="U255" s="14">
        <f t="shared" si="19"/>
        <v>142</v>
      </c>
      <c r="V255" s="13">
        <v>81</v>
      </c>
      <c r="W255" s="13">
        <v>61</v>
      </c>
      <c r="X255" s="15">
        <f t="shared" si="20"/>
        <v>23</v>
      </c>
      <c r="Y255" s="13">
        <v>9</v>
      </c>
      <c r="Z255" s="13">
        <v>14</v>
      </c>
      <c r="AA255" s="2"/>
    </row>
    <row r="256" spans="1:27" ht="15.75" x14ac:dyDescent="0.25">
      <c r="A256" s="43">
        <v>250</v>
      </c>
      <c r="B256" s="9" t="s">
        <v>199</v>
      </c>
      <c r="C256" s="10" t="s">
        <v>288</v>
      </c>
      <c r="D256" s="11" t="s">
        <v>184</v>
      </c>
      <c r="E256" s="12" t="s">
        <v>35</v>
      </c>
      <c r="F256" s="49">
        <f t="shared" si="14"/>
        <v>53</v>
      </c>
      <c r="G256" s="51">
        <v>30</v>
      </c>
      <c r="H256" s="55">
        <v>23</v>
      </c>
      <c r="I256" s="13">
        <f t="shared" si="15"/>
        <v>209</v>
      </c>
      <c r="J256" s="13">
        <v>100</v>
      </c>
      <c r="K256" s="13">
        <v>109</v>
      </c>
      <c r="L256" s="58">
        <f t="shared" si="16"/>
        <v>71</v>
      </c>
      <c r="M256" s="51">
        <v>37</v>
      </c>
      <c r="N256" s="55">
        <v>34</v>
      </c>
      <c r="O256" s="13">
        <f t="shared" si="17"/>
        <v>0</v>
      </c>
      <c r="P256" s="13">
        <v>0</v>
      </c>
      <c r="Q256" s="13">
        <v>0</v>
      </c>
      <c r="R256" s="58">
        <f t="shared" si="18"/>
        <v>0</v>
      </c>
      <c r="S256" s="51">
        <v>0</v>
      </c>
      <c r="T256" s="55">
        <v>0</v>
      </c>
      <c r="U256" s="14">
        <f t="shared" si="19"/>
        <v>333</v>
      </c>
      <c r="V256" s="13">
        <v>167</v>
      </c>
      <c r="W256" s="13">
        <v>166</v>
      </c>
      <c r="X256" s="15">
        <f t="shared" si="20"/>
        <v>42</v>
      </c>
      <c r="Y256" s="13">
        <v>6</v>
      </c>
      <c r="Z256" s="13">
        <v>36</v>
      </c>
      <c r="AA256" s="2"/>
    </row>
    <row r="257" spans="1:27" ht="15.75" x14ac:dyDescent="0.25">
      <c r="A257" s="43">
        <v>251</v>
      </c>
      <c r="B257" s="9" t="s">
        <v>199</v>
      </c>
      <c r="C257" s="10" t="s">
        <v>289</v>
      </c>
      <c r="D257" s="11" t="s">
        <v>290</v>
      </c>
      <c r="E257" s="12" t="s">
        <v>35</v>
      </c>
      <c r="F257" s="49">
        <f t="shared" si="14"/>
        <v>50</v>
      </c>
      <c r="G257" s="51">
        <v>23</v>
      </c>
      <c r="H257" s="55">
        <v>27</v>
      </c>
      <c r="I257" s="13">
        <f t="shared" si="15"/>
        <v>117</v>
      </c>
      <c r="J257" s="13">
        <v>60</v>
      </c>
      <c r="K257" s="13">
        <v>57</v>
      </c>
      <c r="L257" s="58">
        <f t="shared" si="16"/>
        <v>51</v>
      </c>
      <c r="M257" s="51">
        <v>31</v>
      </c>
      <c r="N257" s="55">
        <v>20</v>
      </c>
      <c r="O257" s="13">
        <f t="shared" si="17"/>
        <v>0</v>
      </c>
      <c r="P257" s="13">
        <v>0</v>
      </c>
      <c r="Q257" s="13">
        <v>0</v>
      </c>
      <c r="R257" s="58">
        <f t="shared" si="18"/>
        <v>3</v>
      </c>
      <c r="S257" s="51">
        <v>2</v>
      </c>
      <c r="T257" s="55">
        <v>1</v>
      </c>
      <c r="U257" s="14">
        <f t="shared" si="19"/>
        <v>221</v>
      </c>
      <c r="V257" s="13">
        <v>116</v>
      </c>
      <c r="W257" s="13">
        <v>105</v>
      </c>
      <c r="X257" s="15">
        <f t="shared" si="20"/>
        <v>29</v>
      </c>
      <c r="Y257" s="13">
        <v>8</v>
      </c>
      <c r="Z257" s="13">
        <v>21</v>
      </c>
      <c r="AA257" s="2"/>
    </row>
    <row r="258" spans="1:27" ht="15.75" x14ac:dyDescent="0.25">
      <c r="A258" s="43">
        <v>252</v>
      </c>
      <c r="B258" s="9" t="s">
        <v>199</v>
      </c>
      <c r="C258" s="10" t="s">
        <v>291</v>
      </c>
      <c r="D258" s="11" t="s">
        <v>292</v>
      </c>
      <c r="E258" s="12" t="s">
        <v>35</v>
      </c>
      <c r="F258" s="49">
        <f t="shared" si="14"/>
        <v>32</v>
      </c>
      <c r="G258" s="51">
        <v>19</v>
      </c>
      <c r="H258" s="55">
        <v>13</v>
      </c>
      <c r="I258" s="13">
        <f t="shared" si="15"/>
        <v>94</v>
      </c>
      <c r="J258" s="13">
        <v>55</v>
      </c>
      <c r="K258" s="13">
        <v>39</v>
      </c>
      <c r="L258" s="58">
        <f t="shared" si="16"/>
        <v>42</v>
      </c>
      <c r="M258" s="51">
        <v>23</v>
      </c>
      <c r="N258" s="55">
        <v>19</v>
      </c>
      <c r="O258" s="13">
        <f t="shared" si="17"/>
        <v>0</v>
      </c>
      <c r="P258" s="13">
        <v>0</v>
      </c>
      <c r="Q258" s="13">
        <v>0</v>
      </c>
      <c r="R258" s="58">
        <f t="shared" si="18"/>
        <v>0</v>
      </c>
      <c r="S258" s="51">
        <v>0</v>
      </c>
      <c r="T258" s="55">
        <v>0</v>
      </c>
      <c r="U258" s="14">
        <f t="shared" si="19"/>
        <v>168</v>
      </c>
      <c r="V258" s="13">
        <v>97</v>
      </c>
      <c r="W258" s="13">
        <v>71</v>
      </c>
      <c r="X258" s="15">
        <f t="shared" si="20"/>
        <v>27</v>
      </c>
      <c r="Y258" s="13">
        <v>9</v>
      </c>
      <c r="Z258" s="13">
        <v>18</v>
      </c>
      <c r="AA258" s="2"/>
    </row>
    <row r="259" spans="1:27" ht="15.75" x14ac:dyDescent="0.25">
      <c r="A259" s="43">
        <v>253</v>
      </c>
      <c r="B259" s="9" t="s">
        <v>199</v>
      </c>
      <c r="C259" s="10" t="s">
        <v>293</v>
      </c>
      <c r="D259" s="11" t="s">
        <v>183</v>
      </c>
      <c r="E259" s="12" t="s">
        <v>35</v>
      </c>
      <c r="F259" s="49">
        <f t="shared" si="14"/>
        <v>83</v>
      </c>
      <c r="G259" s="51">
        <v>49</v>
      </c>
      <c r="H259" s="55">
        <v>34</v>
      </c>
      <c r="I259" s="13">
        <f t="shared" si="15"/>
        <v>336</v>
      </c>
      <c r="J259" s="13">
        <v>178</v>
      </c>
      <c r="K259" s="13">
        <v>158</v>
      </c>
      <c r="L259" s="58">
        <f t="shared" si="16"/>
        <v>0</v>
      </c>
      <c r="M259" s="51">
        <v>0</v>
      </c>
      <c r="N259" s="55">
        <v>0</v>
      </c>
      <c r="O259" s="13">
        <f t="shared" si="17"/>
        <v>0</v>
      </c>
      <c r="P259" s="13">
        <v>0</v>
      </c>
      <c r="Q259" s="13">
        <v>0</v>
      </c>
      <c r="R259" s="58">
        <f t="shared" si="18"/>
        <v>0</v>
      </c>
      <c r="S259" s="51">
        <v>0</v>
      </c>
      <c r="T259" s="55">
        <v>0</v>
      </c>
      <c r="U259" s="14">
        <f t="shared" si="19"/>
        <v>419</v>
      </c>
      <c r="V259" s="13">
        <v>227</v>
      </c>
      <c r="W259" s="13">
        <v>192</v>
      </c>
      <c r="X259" s="15">
        <f t="shared" si="20"/>
        <v>82</v>
      </c>
      <c r="Y259" s="13">
        <v>3</v>
      </c>
      <c r="Z259" s="13">
        <v>79</v>
      </c>
      <c r="AA259" s="2"/>
    </row>
    <row r="260" spans="1:27" ht="15.75" x14ac:dyDescent="0.25">
      <c r="A260" s="43">
        <v>254</v>
      </c>
      <c r="B260" s="9" t="s">
        <v>199</v>
      </c>
      <c r="C260" s="10" t="s">
        <v>294</v>
      </c>
      <c r="D260" s="11" t="s">
        <v>183</v>
      </c>
      <c r="E260" s="12" t="s">
        <v>37</v>
      </c>
      <c r="F260" s="49">
        <f t="shared" si="14"/>
        <v>83</v>
      </c>
      <c r="G260" s="51">
        <v>37</v>
      </c>
      <c r="H260" s="55">
        <v>46</v>
      </c>
      <c r="I260" s="13">
        <f t="shared" si="15"/>
        <v>9</v>
      </c>
      <c r="J260" s="13">
        <v>7</v>
      </c>
      <c r="K260" s="13">
        <v>2</v>
      </c>
      <c r="L260" s="58">
        <f t="shared" si="16"/>
        <v>0</v>
      </c>
      <c r="M260" s="51">
        <v>0</v>
      </c>
      <c r="N260" s="55">
        <v>0</v>
      </c>
      <c r="O260" s="13">
        <f t="shared" si="17"/>
        <v>0</v>
      </c>
      <c r="P260" s="13">
        <v>0</v>
      </c>
      <c r="Q260" s="13">
        <v>0</v>
      </c>
      <c r="R260" s="58">
        <f t="shared" si="18"/>
        <v>0</v>
      </c>
      <c r="S260" s="51">
        <v>0</v>
      </c>
      <c r="T260" s="55">
        <v>0</v>
      </c>
      <c r="U260" s="14">
        <f t="shared" si="19"/>
        <v>92</v>
      </c>
      <c r="V260" s="13">
        <v>44</v>
      </c>
      <c r="W260" s="13">
        <v>48</v>
      </c>
      <c r="X260" s="15">
        <f t="shared" si="20"/>
        <v>0</v>
      </c>
      <c r="Y260" s="13">
        <v>0</v>
      </c>
      <c r="Z260" s="13">
        <v>0</v>
      </c>
      <c r="AA260" s="2"/>
    </row>
    <row r="261" spans="1:27" ht="15.75" x14ac:dyDescent="0.25">
      <c r="A261" s="43">
        <v>255</v>
      </c>
      <c r="B261" s="9" t="s">
        <v>199</v>
      </c>
      <c r="C261" s="10" t="s">
        <v>295</v>
      </c>
      <c r="D261" s="11" t="s">
        <v>183</v>
      </c>
      <c r="E261" s="12" t="s">
        <v>37</v>
      </c>
      <c r="F261" s="49">
        <f t="shared" si="14"/>
        <v>32</v>
      </c>
      <c r="G261" s="51">
        <v>14</v>
      </c>
      <c r="H261" s="55">
        <v>18</v>
      </c>
      <c r="I261" s="13">
        <f t="shared" si="15"/>
        <v>0</v>
      </c>
      <c r="J261" s="13">
        <v>0</v>
      </c>
      <c r="K261" s="13">
        <v>0</v>
      </c>
      <c r="L261" s="58">
        <f t="shared" si="16"/>
        <v>0</v>
      </c>
      <c r="M261" s="51">
        <v>0</v>
      </c>
      <c r="N261" s="55">
        <v>0</v>
      </c>
      <c r="O261" s="13">
        <f t="shared" si="17"/>
        <v>0</v>
      </c>
      <c r="P261" s="13">
        <v>0</v>
      </c>
      <c r="Q261" s="13">
        <v>0</v>
      </c>
      <c r="R261" s="58">
        <f t="shared" si="18"/>
        <v>0</v>
      </c>
      <c r="S261" s="51">
        <v>0</v>
      </c>
      <c r="T261" s="55">
        <v>0</v>
      </c>
      <c r="U261" s="14">
        <f t="shared" si="19"/>
        <v>32</v>
      </c>
      <c r="V261" s="13">
        <v>14</v>
      </c>
      <c r="W261" s="13">
        <v>18</v>
      </c>
      <c r="X261" s="15">
        <f t="shared" si="20"/>
        <v>0</v>
      </c>
      <c r="Y261" s="13">
        <v>0</v>
      </c>
      <c r="Z261" s="13">
        <v>0</v>
      </c>
      <c r="AA261" s="2"/>
    </row>
    <row r="262" spans="1:27" ht="15.75" x14ac:dyDescent="0.25">
      <c r="A262" s="43">
        <v>256</v>
      </c>
      <c r="B262" s="9" t="s">
        <v>15</v>
      </c>
      <c r="C262" s="10" t="s">
        <v>296</v>
      </c>
      <c r="D262" s="11" t="s">
        <v>297</v>
      </c>
      <c r="E262" s="12" t="s">
        <v>35</v>
      </c>
      <c r="F262" s="49">
        <f t="shared" si="14"/>
        <v>0</v>
      </c>
      <c r="G262" s="51">
        <v>0</v>
      </c>
      <c r="H262" s="55">
        <v>0</v>
      </c>
      <c r="I262" s="13">
        <f t="shared" si="15"/>
        <v>82</v>
      </c>
      <c r="J262" s="13">
        <v>38</v>
      </c>
      <c r="K262" s="13">
        <v>44</v>
      </c>
      <c r="L262" s="58">
        <f t="shared" si="16"/>
        <v>215</v>
      </c>
      <c r="M262" s="51">
        <v>102</v>
      </c>
      <c r="N262" s="55">
        <v>113</v>
      </c>
      <c r="O262" s="13">
        <f t="shared" si="17"/>
        <v>75</v>
      </c>
      <c r="P262" s="13">
        <v>22</v>
      </c>
      <c r="Q262" s="13">
        <v>53</v>
      </c>
      <c r="R262" s="58">
        <f t="shared" si="18"/>
        <v>0</v>
      </c>
      <c r="S262" s="51">
        <v>0</v>
      </c>
      <c r="T262" s="55">
        <v>0</v>
      </c>
      <c r="U262" s="14">
        <f t="shared" si="19"/>
        <v>372</v>
      </c>
      <c r="V262" s="13">
        <v>162</v>
      </c>
      <c r="W262" s="13">
        <v>210</v>
      </c>
      <c r="X262" s="15">
        <f t="shared" si="20"/>
        <v>79</v>
      </c>
      <c r="Y262" s="13">
        <v>21</v>
      </c>
      <c r="Z262" s="13">
        <v>58</v>
      </c>
      <c r="AA262" s="2"/>
    </row>
    <row r="263" spans="1:27" ht="15.75" x14ac:dyDescent="0.25">
      <c r="A263" s="43">
        <v>257</v>
      </c>
      <c r="B263" s="9" t="s">
        <v>15</v>
      </c>
      <c r="C263" s="10" t="s">
        <v>298</v>
      </c>
      <c r="D263" s="11" t="s">
        <v>297</v>
      </c>
      <c r="E263" s="12" t="s">
        <v>35</v>
      </c>
      <c r="F263" s="49">
        <f t="shared" si="14"/>
        <v>50</v>
      </c>
      <c r="G263" s="51">
        <v>20</v>
      </c>
      <c r="H263" s="55">
        <v>30</v>
      </c>
      <c r="I263" s="13">
        <f t="shared" si="15"/>
        <v>210</v>
      </c>
      <c r="J263" s="13">
        <v>113</v>
      </c>
      <c r="K263" s="13">
        <v>97</v>
      </c>
      <c r="L263" s="58">
        <f t="shared" si="16"/>
        <v>49</v>
      </c>
      <c r="M263" s="51">
        <v>22</v>
      </c>
      <c r="N263" s="55">
        <v>27</v>
      </c>
      <c r="O263" s="13">
        <f t="shared" si="17"/>
        <v>0</v>
      </c>
      <c r="P263" s="13">
        <v>0</v>
      </c>
      <c r="Q263" s="13">
        <v>0</v>
      </c>
      <c r="R263" s="58">
        <f t="shared" si="18"/>
        <v>9</v>
      </c>
      <c r="S263" s="51">
        <v>5</v>
      </c>
      <c r="T263" s="55">
        <v>4</v>
      </c>
      <c r="U263" s="14">
        <f t="shared" si="19"/>
        <v>318</v>
      </c>
      <c r="V263" s="13">
        <v>160</v>
      </c>
      <c r="W263" s="13">
        <v>158</v>
      </c>
      <c r="X263" s="15">
        <f t="shared" si="20"/>
        <v>46</v>
      </c>
      <c r="Y263" s="13">
        <v>3</v>
      </c>
      <c r="Z263" s="13">
        <v>43</v>
      </c>
      <c r="AA263" s="2"/>
    </row>
    <row r="264" spans="1:27" ht="15.75" x14ac:dyDescent="0.25">
      <c r="A264" s="43">
        <v>258</v>
      </c>
      <c r="B264" s="9" t="s">
        <v>15</v>
      </c>
      <c r="C264" s="10" t="s">
        <v>299</v>
      </c>
      <c r="D264" s="11" t="s">
        <v>297</v>
      </c>
      <c r="E264" s="12" t="s">
        <v>35</v>
      </c>
      <c r="F264" s="49">
        <f t="shared" si="14"/>
        <v>105</v>
      </c>
      <c r="G264" s="51">
        <v>47</v>
      </c>
      <c r="H264" s="55">
        <v>58</v>
      </c>
      <c r="I264" s="13">
        <f t="shared" si="15"/>
        <v>485</v>
      </c>
      <c r="J264" s="13">
        <v>245</v>
      </c>
      <c r="K264" s="13">
        <v>240</v>
      </c>
      <c r="L264" s="58">
        <f t="shared" si="16"/>
        <v>104</v>
      </c>
      <c r="M264" s="51">
        <v>54</v>
      </c>
      <c r="N264" s="55">
        <v>50</v>
      </c>
      <c r="O264" s="13">
        <f t="shared" si="17"/>
        <v>0</v>
      </c>
      <c r="P264" s="13">
        <v>0</v>
      </c>
      <c r="Q264" s="13">
        <v>0</v>
      </c>
      <c r="R264" s="58">
        <f t="shared" si="18"/>
        <v>3</v>
      </c>
      <c r="S264" s="51">
        <v>2</v>
      </c>
      <c r="T264" s="55">
        <v>1</v>
      </c>
      <c r="U264" s="14">
        <f t="shared" si="19"/>
        <v>697</v>
      </c>
      <c r="V264" s="13">
        <v>348</v>
      </c>
      <c r="W264" s="13">
        <v>349</v>
      </c>
      <c r="X264" s="15">
        <f t="shared" si="20"/>
        <v>74</v>
      </c>
      <c r="Y264" s="13">
        <v>7</v>
      </c>
      <c r="Z264" s="13">
        <v>67</v>
      </c>
      <c r="AA264" s="2"/>
    </row>
    <row r="265" spans="1:27" ht="15.75" x14ac:dyDescent="0.25">
      <c r="A265" s="43">
        <v>259</v>
      </c>
      <c r="B265" s="9" t="s">
        <v>15</v>
      </c>
      <c r="C265" s="10" t="s">
        <v>300</v>
      </c>
      <c r="D265" s="11" t="s">
        <v>297</v>
      </c>
      <c r="E265" s="12" t="s">
        <v>35</v>
      </c>
      <c r="F265" s="49">
        <f t="shared" si="14"/>
        <v>68</v>
      </c>
      <c r="G265" s="51">
        <v>39</v>
      </c>
      <c r="H265" s="55">
        <v>29</v>
      </c>
      <c r="I265" s="13">
        <f t="shared" si="15"/>
        <v>525</v>
      </c>
      <c r="J265" s="13">
        <v>279</v>
      </c>
      <c r="K265" s="13">
        <v>246</v>
      </c>
      <c r="L265" s="58">
        <f t="shared" si="16"/>
        <v>80</v>
      </c>
      <c r="M265" s="51">
        <v>36</v>
      </c>
      <c r="N265" s="55">
        <v>44</v>
      </c>
      <c r="O265" s="13">
        <f t="shared" si="17"/>
        <v>0</v>
      </c>
      <c r="P265" s="13">
        <v>0</v>
      </c>
      <c r="Q265" s="13">
        <v>0</v>
      </c>
      <c r="R265" s="58">
        <f t="shared" si="18"/>
        <v>2</v>
      </c>
      <c r="S265" s="51">
        <v>2</v>
      </c>
      <c r="T265" s="55">
        <v>0</v>
      </c>
      <c r="U265" s="14">
        <f t="shared" si="19"/>
        <v>675</v>
      </c>
      <c r="V265" s="13">
        <v>356</v>
      </c>
      <c r="W265" s="13">
        <v>319</v>
      </c>
      <c r="X265" s="15">
        <f t="shared" si="20"/>
        <v>78</v>
      </c>
      <c r="Y265" s="13">
        <v>12</v>
      </c>
      <c r="Z265" s="13">
        <v>66</v>
      </c>
      <c r="AA265" s="2"/>
    </row>
    <row r="266" spans="1:27" ht="15.75" x14ac:dyDescent="0.25">
      <c r="A266" s="43">
        <v>260</v>
      </c>
      <c r="B266" s="9" t="s">
        <v>15</v>
      </c>
      <c r="C266" s="10" t="s">
        <v>301</v>
      </c>
      <c r="D266" s="11" t="s">
        <v>297</v>
      </c>
      <c r="E266" s="12" t="s">
        <v>37</v>
      </c>
      <c r="F266" s="49">
        <f t="shared" si="14"/>
        <v>40</v>
      </c>
      <c r="G266" s="51">
        <v>24</v>
      </c>
      <c r="H266" s="55">
        <v>16</v>
      </c>
      <c r="I266" s="13">
        <f t="shared" si="15"/>
        <v>22</v>
      </c>
      <c r="J266" s="13">
        <v>15</v>
      </c>
      <c r="K266" s="13">
        <v>7</v>
      </c>
      <c r="L266" s="58">
        <f t="shared" si="16"/>
        <v>0</v>
      </c>
      <c r="M266" s="51">
        <v>0</v>
      </c>
      <c r="N266" s="55">
        <v>0</v>
      </c>
      <c r="O266" s="13">
        <f t="shared" si="17"/>
        <v>0</v>
      </c>
      <c r="P266" s="13">
        <v>0</v>
      </c>
      <c r="Q266" s="13">
        <v>0</v>
      </c>
      <c r="R266" s="58">
        <f t="shared" si="18"/>
        <v>0</v>
      </c>
      <c r="S266" s="51">
        <v>0</v>
      </c>
      <c r="T266" s="55">
        <v>0</v>
      </c>
      <c r="U266" s="14">
        <f t="shared" si="19"/>
        <v>62</v>
      </c>
      <c r="V266" s="13">
        <v>39</v>
      </c>
      <c r="W266" s="13">
        <v>23</v>
      </c>
      <c r="X266" s="15">
        <f t="shared" si="20"/>
        <v>11</v>
      </c>
      <c r="Y266" s="13">
        <v>0</v>
      </c>
      <c r="Z266" s="13">
        <v>11</v>
      </c>
      <c r="AA266" s="2"/>
    </row>
    <row r="267" spans="1:27" ht="15.75" x14ac:dyDescent="0.25">
      <c r="A267" s="43">
        <v>261</v>
      </c>
      <c r="B267" s="9" t="s">
        <v>15</v>
      </c>
      <c r="C267" s="10" t="s">
        <v>186</v>
      </c>
      <c r="D267" s="11" t="s">
        <v>297</v>
      </c>
      <c r="E267" s="12" t="s">
        <v>37</v>
      </c>
      <c r="F267" s="49">
        <f t="shared" si="14"/>
        <v>162</v>
      </c>
      <c r="G267" s="51">
        <v>87</v>
      </c>
      <c r="H267" s="55">
        <v>75</v>
      </c>
      <c r="I267" s="13">
        <f t="shared" si="15"/>
        <v>0</v>
      </c>
      <c r="J267" s="13">
        <v>0</v>
      </c>
      <c r="K267" s="13">
        <v>0</v>
      </c>
      <c r="L267" s="58">
        <f t="shared" si="16"/>
        <v>0</v>
      </c>
      <c r="M267" s="51">
        <v>0</v>
      </c>
      <c r="N267" s="55">
        <v>0</v>
      </c>
      <c r="O267" s="13">
        <f t="shared" si="17"/>
        <v>0</v>
      </c>
      <c r="P267" s="13">
        <v>0</v>
      </c>
      <c r="Q267" s="13">
        <v>0</v>
      </c>
      <c r="R267" s="58">
        <f t="shared" si="18"/>
        <v>0</v>
      </c>
      <c r="S267" s="51">
        <v>0</v>
      </c>
      <c r="T267" s="55">
        <v>0</v>
      </c>
      <c r="U267" s="14">
        <f t="shared" si="19"/>
        <v>162</v>
      </c>
      <c r="V267" s="13">
        <v>87</v>
      </c>
      <c r="W267" s="13">
        <v>75</v>
      </c>
      <c r="X267" s="15">
        <f t="shared" si="20"/>
        <v>17</v>
      </c>
      <c r="Y267" s="13">
        <v>1</v>
      </c>
      <c r="Z267" s="13">
        <v>16</v>
      </c>
      <c r="AA267" s="2"/>
    </row>
    <row r="268" spans="1:27" ht="15.75" x14ac:dyDescent="0.25">
      <c r="A268" s="43">
        <v>262</v>
      </c>
      <c r="B268" s="9" t="s">
        <v>15</v>
      </c>
      <c r="C268" s="10" t="s">
        <v>187</v>
      </c>
      <c r="D268" s="11" t="s">
        <v>297</v>
      </c>
      <c r="E268" s="12" t="s">
        <v>37</v>
      </c>
      <c r="F268" s="49">
        <f t="shared" si="14"/>
        <v>111</v>
      </c>
      <c r="G268" s="51">
        <v>59</v>
      </c>
      <c r="H268" s="55">
        <v>52</v>
      </c>
      <c r="I268" s="13">
        <f t="shared" si="15"/>
        <v>0</v>
      </c>
      <c r="J268" s="13">
        <v>0</v>
      </c>
      <c r="K268" s="13">
        <v>0</v>
      </c>
      <c r="L268" s="58">
        <f t="shared" si="16"/>
        <v>0</v>
      </c>
      <c r="M268" s="51">
        <v>0</v>
      </c>
      <c r="N268" s="55">
        <v>0</v>
      </c>
      <c r="O268" s="13">
        <f t="shared" si="17"/>
        <v>0</v>
      </c>
      <c r="P268" s="13">
        <v>0</v>
      </c>
      <c r="Q268" s="13">
        <v>0</v>
      </c>
      <c r="R268" s="58">
        <f t="shared" si="18"/>
        <v>0</v>
      </c>
      <c r="S268" s="51">
        <v>0</v>
      </c>
      <c r="T268" s="55">
        <v>0</v>
      </c>
      <c r="U268" s="14">
        <f t="shared" si="19"/>
        <v>111</v>
      </c>
      <c r="V268" s="13">
        <v>59</v>
      </c>
      <c r="W268" s="13">
        <v>52</v>
      </c>
      <c r="X268" s="15">
        <f t="shared" si="20"/>
        <v>3</v>
      </c>
      <c r="Y268" s="13">
        <v>0</v>
      </c>
      <c r="Z268" s="13">
        <v>3</v>
      </c>
      <c r="AA268" s="2"/>
    </row>
    <row r="269" spans="1:27" ht="15.75" x14ac:dyDescent="0.25">
      <c r="A269" s="43">
        <v>263</v>
      </c>
      <c r="B269" s="9" t="s">
        <v>15</v>
      </c>
      <c r="C269" s="10" t="s">
        <v>302</v>
      </c>
      <c r="D269" s="11" t="s">
        <v>297</v>
      </c>
      <c r="E269" s="12" t="s">
        <v>37</v>
      </c>
      <c r="F269" s="49">
        <f t="shared" si="14"/>
        <v>0</v>
      </c>
      <c r="G269" s="51">
        <v>0</v>
      </c>
      <c r="H269" s="55">
        <v>0</v>
      </c>
      <c r="I269" s="13">
        <f t="shared" si="15"/>
        <v>119</v>
      </c>
      <c r="J269" s="13">
        <v>61</v>
      </c>
      <c r="K269" s="13">
        <v>58</v>
      </c>
      <c r="L269" s="58">
        <f t="shared" si="16"/>
        <v>0</v>
      </c>
      <c r="M269" s="51">
        <v>0</v>
      </c>
      <c r="N269" s="55">
        <v>0</v>
      </c>
      <c r="O269" s="13">
        <f t="shared" si="17"/>
        <v>0</v>
      </c>
      <c r="P269" s="13">
        <v>0</v>
      </c>
      <c r="Q269" s="13">
        <v>0</v>
      </c>
      <c r="R269" s="58">
        <f t="shared" si="18"/>
        <v>0</v>
      </c>
      <c r="S269" s="51">
        <v>0</v>
      </c>
      <c r="T269" s="55">
        <v>0</v>
      </c>
      <c r="U269" s="14">
        <f t="shared" si="19"/>
        <v>119</v>
      </c>
      <c r="V269" s="13">
        <v>61</v>
      </c>
      <c r="W269" s="13">
        <v>58</v>
      </c>
      <c r="X269" s="15">
        <f t="shared" si="20"/>
        <v>1</v>
      </c>
      <c r="Y269" s="13">
        <v>0</v>
      </c>
      <c r="Z269" s="13">
        <v>1</v>
      </c>
      <c r="AA269" s="2"/>
    </row>
    <row r="270" spans="1:27" ht="15.75" x14ac:dyDescent="0.25">
      <c r="A270" s="43">
        <v>264</v>
      </c>
      <c r="B270" s="9" t="s">
        <v>2</v>
      </c>
      <c r="C270" s="10" t="s">
        <v>477</v>
      </c>
      <c r="D270" s="11" t="s">
        <v>171</v>
      </c>
      <c r="E270" s="12" t="s">
        <v>35</v>
      </c>
      <c r="F270" s="49">
        <f t="shared" ref="F270:F279" si="21">G270+H270</f>
        <v>139</v>
      </c>
      <c r="G270" s="51">
        <v>70</v>
      </c>
      <c r="H270" s="55">
        <v>69</v>
      </c>
      <c r="I270" s="13">
        <f t="shared" ref="I270:I280" si="22">SUM(J270:K270)</f>
        <v>615</v>
      </c>
      <c r="J270" s="13">
        <v>329</v>
      </c>
      <c r="K270" s="13">
        <v>286</v>
      </c>
      <c r="L270" s="58">
        <f t="shared" ref="L270:L280" si="23">SUM(M270:N270)</f>
        <v>357</v>
      </c>
      <c r="M270" s="51">
        <v>189</v>
      </c>
      <c r="N270" s="55">
        <v>168</v>
      </c>
      <c r="O270" s="13">
        <f t="shared" ref="O270:O280" si="24">SUM(P270:Q270)</f>
        <v>0</v>
      </c>
      <c r="P270" s="13">
        <v>0</v>
      </c>
      <c r="Q270" s="13">
        <v>0</v>
      </c>
      <c r="R270" s="58">
        <f t="shared" ref="R270:R280" si="25">SUM(S270:T270)</f>
        <v>0</v>
      </c>
      <c r="S270" s="51">
        <v>0</v>
      </c>
      <c r="T270" s="55">
        <v>0</v>
      </c>
      <c r="U270" s="14">
        <f t="shared" ref="U270:U280" si="26">V270+W270</f>
        <v>1111</v>
      </c>
      <c r="V270" s="13">
        <v>588</v>
      </c>
      <c r="W270" s="13">
        <v>523</v>
      </c>
      <c r="X270" s="15">
        <f t="shared" ref="X270:X280" si="27">SUM(Y270:Z270)</f>
        <v>127</v>
      </c>
      <c r="Y270" s="13">
        <v>29</v>
      </c>
      <c r="Z270" s="13">
        <v>98</v>
      </c>
      <c r="AA270" s="2"/>
    </row>
    <row r="271" spans="1:27" ht="15.75" x14ac:dyDescent="0.25">
      <c r="A271" s="43">
        <v>265</v>
      </c>
      <c r="B271" s="9" t="s">
        <v>2</v>
      </c>
      <c r="C271" s="10" t="s">
        <v>478</v>
      </c>
      <c r="D271" s="11" t="s">
        <v>171</v>
      </c>
      <c r="E271" s="12" t="s">
        <v>35</v>
      </c>
      <c r="F271" s="49">
        <f t="shared" si="21"/>
        <v>147</v>
      </c>
      <c r="G271" s="51">
        <v>80</v>
      </c>
      <c r="H271" s="55">
        <v>67</v>
      </c>
      <c r="I271" s="13">
        <f t="shared" si="22"/>
        <v>656</v>
      </c>
      <c r="J271" s="13">
        <v>323</v>
      </c>
      <c r="K271" s="13">
        <v>333</v>
      </c>
      <c r="L271" s="58">
        <f t="shared" si="23"/>
        <v>237</v>
      </c>
      <c r="M271" s="51">
        <v>116</v>
      </c>
      <c r="N271" s="55">
        <v>121</v>
      </c>
      <c r="O271" s="13">
        <f t="shared" si="24"/>
        <v>0</v>
      </c>
      <c r="P271" s="13">
        <v>0</v>
      </c>
      <c r="Q271" s="13">
        <v>0</v>
      </c>
      <c r="R271" s="58">
        <f t="shared" si="25"/>
        <v>0</v>
      </c>
      <c r="S271" s="51">
        <v>0</v>
      </c>
      <c r="T271" s="55">
        <v>0</v>
      </c>
      <c r="U271" s="14">
        <f t="shared" si="26"/>
        <v>1040</v>
      </c>
      <c r="V271" s="13">
        <v>519</v>
      </c>
      <c r="W271" s="13">
        <v>521</v>
      </c>
      <c r="X271" s="15">
        <f t="shared" si="27"/>
        <v>101</v>
      </c>
      <c r="Y271" s="13">
        <v>21</v>
      </c>
      <c r="Z271" s="13">
        <v>80</v>
      </c>
      <c r="AA271" s="2"/>
    </row>
    <row r="272" spans="1:27" ht="15.75" x14ac:dyDescent="0.25">
      <c r="A272" s="43">
        <v>266</v>
      </c>
      <c r="B272" s="9" t="s">
        <v>2</v>
      </c>
      <c r="C272" s="10" t="s">
        <v>479</v>
      </c>
      <c r="D272" s="11" t="s">
        <v>171</v>
      </c>
      <c r="E272" s="12" t="s">
        <v>35</v>
      </c>
      <c r="F272" s="49">
        <f t="shared" si="21"/>
        <v>54</v>
      </c>
      <c r="G272" s="51">
        <v>23</v>
      </c>
      <c r="H272" s="55">
        <v>31</v>
      </c>
      <c r="I272" s="13">
        <f t="shared" si="22"/>
        <v>149</v>
      </c>
      <c r="J272" s="13">
        <v>75</v>
      </c>
      <c r="K272" s="13">
        <v>74</v>
      </c>
      <c r="L272" s="58">
        <f t="shared" si="23"/>
        <v>12</v>
      </c>
      <c r="M272" s="51">
        <v>4</v>
      </c>
      <c r="N272" s="55">
        <v>8</v>
      </c>
      <c r="O272" s="13">
        <f t="shared" si="24"/>
        <v>0</v>
      </c>
      <c r="P272" s="13">
        <v>0</v>
      </c>
      <c r="Q272" s="13">
        <v>0</v>
      </c>
      <c r="R272" s="58">
        <f t="shared" si="25"/>
        <v>0</v>
      </c>
      <c r="S272" s="51">
        <v>0</v>
      </c>
      <c r="T272" s="55">
        <v>0</v>
      </c>
      <c r="U272" s="14">
        <f t="shared" si="26"/>
        <v>215</v>
      </c>
      <c r="V272" s="13">
        <v>102</v>
      </c>
      <c r="W272" s="13">
        <v>113</v>
      </c>
      <c r="X272" s="15">
        <f t="shared" si="27"/>
        <v>30</v>
      </c>
      <c r="Y272" s="13">
        <v>7</v>
      </c>
      <c r="Z272" s="13">
        <v>23</v>
      </c>
      <c r="AA272" s="2"/>
    </row>
    <row r="273" spans="1:27" ht="15.75" x14ac:dyDescent="0.25">
      <c r="A273" s="43">
        <v>267</v>
      </c>
      <c r="B273" s="9" t="s">
        <v>2</v>
      </c>
      <c r="C273" s="10" t="s">
        <v>480</v>
      </c>
      <c r="D273" s="11" t="s">
        <v>171</v>
      </c>
      <c r="E273" s="12" t="s">
        <v>35</v>
      </c>
      <c r="F273" s="49">
        <f t="shared" si="21"/>
        <v>0</v>
      </c>
      <c r="G273" s="51">
        <v>0</v>
      </c>
      <c r="H273" s="55">
        <v>0</v>
      </c>
      <c r="I273" s="13">
        <f t="shared" si="22"/>
        <v>0</v>
      </c>
      <c r="J273" s="13">
        <v>0</v>
      </c>
      <c r="K273" s="13">
        <v>0</v>
      </c>
      <c r="L273" s="58">
        <f t="shared" si="23"/>
        <v>0</v>
      </c>
      <c r="M273" s="51">
        <v>0</v>
      </c>
      <c r="N273" s="55">
        <v>0</v>
      </c>
      <c r="O273" s="13">
        <f t="shared" si="24"/>
        <v>355</v>
      </c>
      <c r="P273" s="13">
        <v>164</v>
      </c>
      <c r="Q273" s="13">
        <v>191</v>
      </c>
      <c r="R273" s="58">
        <f t="shared" si="25"/>
        <v>0</v>
      </c>
      <c r="S273" s="51">
        <v>0</v>
      </c>
      <c r="T273" s="55">
        <v>0</v>
      </c>
      <c r="U273" s="14">
        <f t="shared" si="26"/>
        <v>355</v>
      </c>
      <c r="V273" s="13">
        <v>164</v>
      </c>
      <c r="W273" s="13">
        <v>191</v>
      </c>
      <c r="X273" s="15">
        <f t="shared" si="27"/>
        <v>73</v>
      </c>
      <c r="Y273" s="13">
        <v>38</v>
      </c>
      <c r="Z273" s="13">
        <v>35</v>
      </c>
      <c r="AA273" s="2"/>
    </row>
    <row r="274" spans="1:27" ht="15.75" x14ac:dyDescent="0.25">
      <c r="A274" s="43">
        <v>268</v>
      </c>
      <c r="B274" s="9" t="s">
        <v>2</v>
      </c>
      <c r="C274" s="10" t="s">
        <v>481</v>
      </c>
      <c r="D274" s="11" t="s">
        <v>189</v>
      </c>
      <c r="E274" s="12" t="s">
        <v>35</v>
      </c>
      <c r="F274" s="49">
        <f t="shared" si="21"/>
        <v>80</v>
      </c>
      <c r="G274" s="51">
        <v>43</v>
      </c>
      <c r="H274" s="55">
        <v>37</v>
      </c>
      <c r="I274" s="13">
        <f t="shared" si="22"/>
        <v>261</v>
      </c>
      <c r="J274" s="13">
        <v>131</v>
      </c>
      <c r="K274" s="13">
        <v>130</v>
      </c>
      <c r="L274" s="58">
        <f t="shared" si="23"/>
        <v>32</v>
      </c>
      <c r="M274" s="51">
        <v>16</v>
      </c>
      <c r="N274" s="55">
        <v>16</v>
      </c>
      <c r="O274" s="13">
        <f t="shared" si="24"/>
        <v>0</v>
      </c>
      <c r="P274" s="13">
        <v>0</v>
      </c>
      <c r="Q274" s="13">
        <v>0</v>
      </c>
      <c r="R274" s="58">
        <f t="shared" si="25"/>
        <v>0</v>
      </c>
      <c r="S274" s="51">
        <v>0</v>
      </c>
      <c r="T274" s="55">
        <v>0</v>
      </c>
      <c r="U274" s="14">
        <f t="shared" si="26"/>
        <v>373</v>
      </c>
      <c r="V274" s="13">
        <v>190</v>
      </c>
      <c r="W274" s="13">
        <v>183</v>
      </c>
      <c r="X274" s="15">
        <f t="shared" si="27"/>
        <v>50</v>
      </c>
      <c r="Y274" s="13">
        <v>5</v>
      </c>
      <c r="Z274" s="13">
        <v>45</v>
      </c>
      <c r="AA274" s="2"/>
    </row>
    <row r="275" spans="1:27" ht="15.75" x14ac:dyDescent="0.25">
      <c r="A275" s="43">
        <v>269</v>
      </c>
      <c r="B275" s="9" t="s">
        <v>2</v>
      </c>
      <c r="C275" s="10" t="s">
        <v>482</v>
      </c>
      <c r="D275" s="11" t="s">
        <v>188</v>
      </c>
      <c r="E275" s="12" t="s">
        <v>35</v>
      </c>
      <c r="F275" s="49">
        <f t="shared" si="21"/>
        <v>29</v>
      </c>
      <c r="G275" s="51">
        <v>14</v>
      </c>
      <c r="H275" s="55">
        <v>15</v>
      </c>
      <c r="I275" s="13">
        <f t="shared" si="22"/>
        <v>113</v>
      </c>
      <c r="J275" s="13">
        <v>42</v>
      </c>
      <c r="K275" s="13">
        <v>71</v>
      </c>
      <c r="L275" s="58">
        <f t="shared" si="23"/>
        <v>1</v>
      </c>
      <c r="M275" s="51">
        <v>1</v>
      </c>
      <c r="N275" s="55">
        <v>0</v>
      </c>
      <c r="O275" s="13">
        <f t="shared" si="24"/>
        <v>0</v>
      </c>
      <c r="P275" s="13">
        <v>0</v>
      </c>
      <c r="Q275" s="13">
        <v>0</v>
      </c>
      <c r="R275" s="58">
        <f t="shared" si="25"/>
        <v>0</v>
      </c>
      <c r="S275" s="51">
        <v>0</v>
      </c>
      <c r="T275" s="55">
        <v>0</v>
      </c>
      <c r="U275" s="14">
        <f t="shared" si="26"/>
        <v>143</v>
      </c>
      <c r="V275" s="13">
        <v>57</v>
      </c>
      <c r="W275" s="13">
        <v>86</v>
      </c>
      <c r="X275" s="15">
        <f t="shared" si="27"/>
        <v>19</v>
      </c>
      <c r="Y275" s="13">
        <v>2</v>
      </c>
      <c r="Z275" s="13">
        <v>17</v>
      </c>
      <c r="AA275" s="2"/>
    </row>
    <row r="276" spans="1:27" ht="15.75" x14ac:dyDescent="0.25">
      <c r="A276" s="43">
        <v>270</v>
      </c>
      <c r="B276" s="9" t="s">
        <v>2</v>
      </c>
      <c r="C276" s="10" t="s">
        <v>483</v>
      </c>
      <c r="D276" s="11" t="s">
        <v>189</v>
      </c>
      <c r="E276" s="12" t="s">
        <v>35</v>
      </c>
      <c r="F276" s="49">
        <f t="shared" si="21"/>
        <v>0</v>
      </c>
      <c r="G276" s="51">
        <v>0</v>
      </c>
      <c r="H276" s="55">
        <v>0</v>
      </c>
      <c r="I276" s="13">
        <f t="shared" si="22"/>
        <v>24</v>
      </c>
      <c r="J276" s="13">
        <v>12</v>
      </c>
      <c r="K276" s="13">
        <v>12</v>
      </c>
      <c r="L276" s="58">
        <f t="shared" si="23"/>
        <v>114</v>
      </c>
      <c r="M276" s="51">
        <v>44</v>
      </c>
      <c r="N276" s="55">
        <v>70</v>
      </c>
      <c r="O276" s="13">
        <f t="shared" si="24"/>
        <v>0</v>
      </c>
      <c r="P276" s="13">
        <v>0</v>
      </c>
      <c r="Q276" s="13">
        <v>0</v>
      </c>
      <c r="R276" s="58">
        <f t="shared" si="25"/>
        <v>0</v>
      </c>
      <c r="S276" s="51">
        <v>0</v>
      </c>
      <c r="T276" s="55">
        <v>0</v>
      </c>
      <c r="U276" s="14">
        <f t="shared" si="26"/>
        <v>138</v>
      </c>
      <c r="V276" s="13">
        <v>56</v>
      </c>
      <c r="W276" s="13">
        <v>82</v>
      </c>
      <c r="X276" s="15">
        <f t="shared" si="27"/>
        <v>34</v>
      </c>
      <c r="Y276" s="13">
        <v>19</v>
      </c>
      <c r="Z276" s="13">
        <v>15</v>
      </c>
      <c r="AA276" s="2"/>
    </row>
    <row r="277" spans="1:27" ht="15.75" x14ac:dyDescent="0.25">
      <c r="A277" s="43">
        <v>271</v>
      </c>
      <c r="B277" s="9" t="s">
        <v>2</v>
      </c>
      <c r="C277" s="10" t="s">
        <v>484</v>
      </c>
      <c r="D277" s="11" t="s">
        <v>485</v>
      </c>
      <c r="E277" s="12" t="s">
        <v>35</v>
      </c>
      <c r="F277" s="49">
        <f t="shared" si="21"/>
        <v>102</v>
      </c>
      <c r="G277" s="51">
        <v>50</v>
      </c>
      <c r="H277" s="55">
        <v>52</v>
      </c>
      <c r="I277" s="13">
        <f t="shared" si="22"/>
        <v>380</v>
      </c>
      <c r="J277" s="13">
        <v>209</v>
      </c>
      <c r="K277" s="13">
        <v>171</v>
      </c>
      <c r="L277" s="58">
        <f t="shared" si="23"/>
        <v>139</v>
      </c>
      <c r="M277" s="51">
        <v>63</v>
      </c>
      <c r="N277" s="55">
        <v>76</v>
      </c>
      <c r="O277" s="13">
        <f t="shared" si="24"/>
        <v>0</v>
      </c>
      <c r="P277" s="13">
        <v>0</v>
      </c>
      <c r="Q277" s="13">
        <v>0</v>
      </c>
      <c r="R277" s="58">
        <f t="shared" si="25"/>
        <v>2</v>
      </c>
      <c r="S277" s="51">
        <v>1</v>
      </c>
      <c r="T277" s="55">
        <v>1</v>
      </c>
      <c r="U277" s="14">
        <f t="shared" si="26"/>
        <v>623</v>
      </c>
      <c r="V277" s="13">
        <v>323</v>
      </c>
      <c r="W277" s="13">
        <v>300</v>
      </c>
      <c r="X277" s="15">
        <f t="shared" si="27"/>
        <v>69</v>
      </c>
      <c r="Y277" s="13">
        <v>15</v>
      </c>
      <c r="Z277" s="13">
        <v>54</v>
      </c>
      <c r="AA277" s="2"/>
    </row>
    <row r="278" spans="1:27" ht="15.75" x14ac:dyDescent="0.25">
      <c r="A278" s="43">
        <v>272</v>
      </c>
      <c r="B278" s="9" t="s">
        <v>2</v>
      </c>
      <c r="C278" s="10" t="s">
        <v>486</v>
      </c>
      <c r="D278" s="11" t="s">
        <v>487</v>
      </c>
      <c r="E278" s="12" t="s">
        <v>35</v>
      </c>
      <c r="F278" s="49">
        <f t="shared" si="21"/>
        <v>57</v>
      </c>
      <c r="G278" s="51">
        <v>23</v>
      </c>
      <c r="H278" s="55">
        <v>34</v>
      </c>
      <c r="I278" s="13">
        <f t="shared" si="22"/>
        <v>388</v>
      </c>
      <c r="J278" s="13">
        <v>203</v>
      </c>
      <c r="K278" s="13">
        <v>185</v>
      </c>
      <c r="L278" s="58">
        <f t="shared" si="23"/>
        <v>156</v>
      </c>
      <c r="M278" s="51">
        <v>83</v>
      </c>
      <c r="N278" s="55">
        <v>73</v>
      </c>
      <c r="O278" s="13">
        <f t="shared" si="24"/>
        <v>16</v>
      </c>
      <c r="P278" s="13">
        <v>7</v>
      </c>
      <c r="Q278" s="13">
        <v>9</v>
      </c>
      <c r="R278" s="58">
        <f t="shared" si="25"/>
        <v>0</v>
      </c>
      <c r="S278" s="51">
        <v>0</v>
      </c>
      <c r="T278" s="55">
        <v>0</v>
      </c>
      <c r="U278" s="14">
        <f t="shared" si="26"/>
        <v>617</v>
      </c>
      <c r="V278" s="13">
        <v>316</v>
      </c>
      <c r="W278" s="13">
        <v>301</v>
      </c>
      <c r="X278" s="15">
        <f t="shared" si="27"/>
        <v>70</v>
      </c>
      <c r="Y278" s="13">
        <v>13</v>
      </c>
      <c r="Z278" s="13">
        <v>57</v>
      </c>
      <c r="AA278" s="2"/>
    </row>
    <row r="279" spans="1:27" ht="15.75" x14ac:dyDescent="0.25">
      <c r="A279" s="43">
        <v>273</v>
      </c>
      <c r="B279" s="9" t="s">
        <v>2</v>
      </c>
      <c r="C279" s="10" t="s">
        <v>488</v>
      </c>
      <c r="D279" s="11" t="s">
        <v>189</v>
      </c>
      <c r="E279" s="12" t="s">
        <v>37</v>
      </c>
      <c r="F279" s="49">
        <f t="shared" si="21"/>
        <v>29</v>
      </c>
      <c r="G279" s="51">
        <v>12</v>
      </c>
      <c r="H279" s="55">
        <v>17</v>
      </c>
      <c r="I279" s="13">
        <f t="shared" si="22"/>
        <v>0</v>
      </c>
      <c r="J279" s="13">
        <v>0</v>
      </c>
      <c r="K279" s="13">
        <v>0</v>
      </c>
      <c r="L279" s="58">
        <f t="shared" si="23"/>
        <v>0</v>
      </c>
      <c r="M279" s="51">
        <v>0</v>
      </c>
      <c r="N279" s="55">
        <v>0</v>
      </c>
      <c r="O279" s="13">
        <f t="shared" si="24"/>
        <v>0</v>
      </c>
      <c r="P279" s="13">
        <v>0</v>
      </c>
      <c r="Q279" s="13">
        <v>0</v>
      </c>
      <c r="R279" s="58">
        <f t="shared" si="25"/>
        <v>0</v>
      </c>
      <c r="S279" s="51">
        <v>0</v>
      </c>
      <c r="T279" s="55">
        <v>0</v>
      </c>
      <c r="U279" s="14">
        <f t="shared" si="26"/>
        <v>29</v>
      </c>
      <c r="V279" s="13">
        <v>12</v>
      </c>
      <c r="W279" s="13">
        <v>17</v>
      </c>
      <c r="X279" s="15">
        <f t="shared" si="27"/>
        <v>0</v>
      </c>
      <c r="Y279" s="13">
        <v>0</v>
      </c>
      <c r="Z279" s="13">
        <v>0</v>
      </c>
      <c r="AA279" s="2"/>
    </row>
    <row r="280" spans="1:27" ht="15.75" x14ac:dyDescent="0.25">
      <c r="A280" s="43">
        <v>274</v>
      </c>
      <c r="B280" s="9" t="s">
        <v>2</v>
      </c>
      <c r="C280" s="10" t="s">
        <v>190</v>
      </c>
      <c r="D280" s="11" t="s">
        <v>171</v>
      </c>
      <c r="E280" s="12" t="s">
        <v>37</v>
      </c>
      <c r="F280" s="49">
        <f t="shared" ref="F280:F282" si="28">G280+H280</f>
        <v>206</v>
      </c>
      <c r="G280" s="51">
        <v>104</v>
      </c>
      <c r="H280" s="55">
        <v>102</v>
      </c>
      <c r="I280" s="13">
        <f t="shared" si="22"/>
        <v>226</v>
      </c>
      <c r="J280" s="13">
        <v>117</v>
      </c>
      <c r="K280" s="13">
        <v>109</v>
      </c>
      <c r="L280" s="58">
        <f t="shared" si="23"/>
        <v>22</v>
      </c>
      <c r="M280" s="51">
        <v>10</v>
      </c>
      <c r="N280" s="55">
        <v>12</v>
      </c>
      <c r="O280" s="13">
        <f t="shared" si="24"/>
        <v>0</v>
      </c>
      <c r="P280" s="13">
        <v>0</v>
      </c>
      <c r="Q280" s="13">
        <v>0</v>
      </c>
      <c r="R280" s="58">
        <f t="shared" si="25"/>
        <v>0</v>
      </c>
      <c r="S280" s="51">
        <v>0</v>
      </c>
      <c r="T280" s="55">
        <v>0</v>
      </c>
      <c r="U280" s="14">
        <f t="shared" si="26"/>
        <v>454</v>
      </c>
      <c r="V280" s="13">
        <v>231</v>
      </c>
      <c r="W280" s="13">
        <v>223</v>
      </c>
      <c r="X280" s="15">
        <f t="shared" si="27"/>
        <v>44</v>
      </c>
      <c r="Y280" s="13">
        <v>2</v>
      </c>
      <c r="Z280" s="13">
        <v>42</v>
      </c>
      <c r="AA280" s="2"/>
    </row>
    <row r="281" spans="1:27" ht="15.75" x14ac:dyDescent="0.25">
      <c r="A281" s="43">
        <v>275</v>
      </c>
      <c r="B281" s="9" t="s">
        <v>2</v>
      </c>
      <c r="C281" s="10" t="s">
        <v>489</v>
      </c>
      <c r="D281" s="11" t="s">
        <v>171</v>
      </c>
      <c r="E281" s="12" t="s">
        <v>37</v>
      </c>
      <c r="F281" s="49">
        <f t="shared" si="28"/>
        <v>147</v>
      </c>
      <c r="G281" s="51">
        <v>71</v>
      </c>
      <c r="H281" s="55">
        <v>76</v>
      </c>
      <c r="I281" s="13">
        <f t="shared" ref="I281:I282" si="29">SUM(J281:K281)</f>
        <v>169</v>
      </c>
      <c r="J281" s="13">
        <v>101</v>
      </c>
      <c r="K281" s="13">
        <v>68</v>
      </c>
      <c r="L281" s="58">
        <f t="shared" ref="L281:L282" si="30">SUM(M281:N281)</f>
        <v>5</v>
      </c>
      <c r="M281" s="51">
        <v>3</v>
      </c>
      <c r="N281" s="55">
        <v>2</v>
      </c>
      <c r="O281" s="13">
        <f t="shared" ref="O281:O282" si="31">SUM(P281:Q281)</f>
        <v>0</v>
      </c>
      <c r="P281" s="13">
        <v>0</v>
      </c>
      <c r="Q281" s="13">
        <v>0</v>
      </c>
      <c r="R281" s="58">
        <f t="shared" ref="R281:R282" si="32">SUM(S281:T281)</f>
        <v>0</v>
      </c>
      <c r="S281" s="51">
        <v>0</v>
      </c>
      <c r="T281" s="55">
        <v>0</v>
      </c>
      <c r="U281" s="14">
        <f t="shared" ref="U281:U282" si="33">V281+W281</f>
        <v>321</v>
      </c>
      <c r="V281" s="13">
        <v>175</v>
      </c>
      <c r="W281" s="13">
        <v>146</v>
      </c>
      <c r="X281" s="15">
        <f t="shared" ref="X281:X282" si="34">SUM(Y281:Z281)</f>
        <v>0</v>
      </c>
      <c r="Y281" s="13">
        <v>0</v>
      </c>
      <c r="Z281" s="13">
        <v>0</v>
      </c>
      <c r="AA281" s="2"/>
    </row>
    <row r="282" spans="1:27" ht="15.75" x14ac:dyDescent="0.25">
      <c r="A282" s="44">
        <v>276</v>
      </c>
      <c r="B282" s="21" t="s">
        <v>2</v>
      </c>
      <c r="C282" s="22" t="s">
        <v>490</v>
      </c>
      <c r="D282" s="23" t="s">
        <v>171</v>
      </c>
      <c r="E282" s="24" t="s">
        <v>37</v>
      </c>
      <c r="F282" s="52">
        <f t="shared" si="28"/>
        <v>74</v>
      </c>
      <c r="G282" s="53">
        <v>36</v>
      </c>
      <c r="H282" s="56">
        <v>38</v>
      </c>
      <c r="I282" s="28">
        <f t="shared" si="29"/>
        <v>16</v>
      </c>
      <c r="J282" s="28">
        <v>11</v>
      </c>
      <c r="K282" s="28">
        <v>5</v>
      </c>
      <c r="L282" s="59">
        <f t="shared" si="30"/>
        <v>0</v>
      </c>
      <c r="M282" s="53">
        <v>0</v>
      </c>
      <c r="N282" s="56">
        <v>0</v>
      </c>
      <c r="O282" s="28">
        <f t="shared" si="31"/>
        <v>0</v>
      </c>
      <c r="P282" s="28">
        <v>0</v>
      </c>
      <c r="Q282" s="28">
        <v>0</v>
      </c>
      <c r="R282" s="59">
        <f t="shared" si="32"/>
        <v>0</v>
      </c>
      <c r="S282" s="53">
        <v>0</v>
      </c>
      <c r="T282" s="56">
        <v>0</v>
      </c>
      <c r="U282" s="29">
        <f t="shared" si="33"/>
        <v>90</v>
      </c>
      <c r="V282" s="28">
        <v>47</v>
      </c>
      <c r="W282" s="28">
        <v>43</v>
      </c>
      <c r="X282" s="30">
        <f t="shared" si="34"/>
        <v>14</v>
      </c>
      <c r="Y282" s="28">
        <v>2</v>
      </c>
      <c r="Z282" s="28">
        <v>12</v>
      </c>
      <c r="AA282" s="2"/>
    </row>
  </sheetData>
  <mergeCells count="14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62">
    <cfRule type="duplicateValues" dxfId="13" priority="3"/>
  </conditionalFormatting>
  <conditionalFormatting sqref="C157">
    <cfRule type="duplicateValues" dxfId="12" priority="2"/>
  </conditionalFormatting>
  <conditionalFormatting sqref="C160">
    <cfRule type="duplicateValues" dxfId="11" priority="1"/>
  </conditionalFormatting>
  <conditionalFormatting sqref="C247">
    <cfRule type="duplicateValues" dxfId="10" priority="11"/>
  </conditionalFormatting>
  <conditionalFormatting sqref="C200">
    <cfRule type="duplicateValues" dxfId="9" priority="10"/>
  </conditionalFormatting>
  <conditionalFormatting sqref="C209">
    <cfRule type="duplicateValues" dxfId="8" priority="9"/>
  </conditionalFormatting>
  <conditionalFormatting sqref="C198">
    <cfRule type="duplicateValues" dxfId="7" priority="8"/>
  </conditionalFormatting>
  <conditionalFormatting sqref="C201">
    <cfRule type="duplicateValues" dxfId="6" priority="7"/>
  </conditionalFormatting>
  <conditionalFormatting sqref="C243">
    <cfRule type="duplicateValues" dxfId="5" priority="6"/>
  </conditionalFormatting>
  <conditionalFormatting sqref="C257">
    <cfRule type="duplicateValues" dxfId="4" priority="5"/>
  </conditionalFormatting>
  <conditionalFormatting sqref="C255">
    <cfRule type="duplicateValues" dxfId="3" priority="4"/>
  </conditionalFormatting>
  <pageMargins left="0.7" right="0.7" top="0.75" bottom="0.75" header="0.3" footer="0.3"/>
  <pageSetup scale="31" orientation="portrait" horizontalDpi="4294967295" verticalDpi="4294967295" r:id="rId1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7.14</vt:lpstr>
      <vt:lpstr>'7.14'!Print_Area</vt:lpstr>
      <vt:lpstr>'7.14'!Print_Titles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2021-07-12T04:10:17Z</cp:lastPrinted>
  <dcterms:created xsi:type="dcterms:W3CDTF">2019-02-28T08:20:57Z</dcterms:created>
  <dcterms:modified xsi:type="dcterms:W3CDTF">2021-07-12T04:10:51Z</dcterms:modified>
</cp:coreProperties>
</file>