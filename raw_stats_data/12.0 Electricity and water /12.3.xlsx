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3" sheetId="1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7" l="1"/>
  <c r="B38" i="17"/>
  <c r="B39" i="17"/>
  <c r="B40" i="17"/>
  <c r="B41" i="17"/>
  <c r="C10" i="17" l="1"/>
  <c r="C6" i="17" s="1"/>
  <c r="B42" i="17" l="1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N10" i="17"/>
  <c r="M10" i="17"/>
  <c r="L10" i="17"/>
  <c r="K10" i="17"/>
  <c r="J10" i="17"/>
  <c r="I10" i="17"/>
  <c r="H10" i="17"/>
  <c r="G10" i="17"/>
  <c r="F10" i="17"/>
  <c r="E10" i="17"/>
  <c r="D10" i="17"/>
  <c r="B9" i="17"/>
  <c r="B8" i="17"/>
  <c r="B7" i="17"/>
  <c r="K6" i="17" l="1"/>
  <c r="E6" i="17"/>
  <c r="M6" i="17"/>
  <c r="D6" i="17"/>
  <c r="F6" i="17"/>
  <c r="N6" i="17"/>
  <c r="G6" i="17"/>
  <c r="H6" i="17"/>
  <c r="I6" i="17"/>
  <c r="L6" i="17"/>
  <c r="J6" i="17"/>
  <c r="B10" i="17"/>
  <c r="B6" i="17" l="1"/>
</calcChain>
</file>

<file path=xl/sharedStrings.xml><?xml version="1.0" encoding="utf-8"?>
<sst xmlns="http://schemas.openxmlformats.org/spreadsheetml/2006/main" count="94" uniqueCount="93">
  <si>
    <t>wlcmuj</t>
  </si>
  <si>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</si>
  <si>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</si>
  <si>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</si>
  <si>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</si>
  <si>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</si>
  <si>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</si>
  <si>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</si>
  <si>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</si>
  <si>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</si>
  <si>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</si>
  <si>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</si>
  <si>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</si>
  <si>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</si>
  <si>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</si>
  <si>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</si>
  <si>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</si>
  <si>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</si>
  <si>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</si>
  <si>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</si>
  <si>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</si>
  <si>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</si>
  <si>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</si>
  <si>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</si>
  <si>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</si>
  <si>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</si>
  <si>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</si>
  <si>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</si>
  <si>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</si>
  <si>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</si>
  <si>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</si>
  <si>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</si>
  <si>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</si>
  <si>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</si>
  <si>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</si>
  <si>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</si>
  <si>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</si>
  <si>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</si>
  <si>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</si>
  <si>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</si>
  <si>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</si>
  <si>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</si>
  <si>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</si>
  <si>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</si>
  <si>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</si>
  <si>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</si>
  <si>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</si>
  <si>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</si>
  <si>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</si>
  <si>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</si>
  <si>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</si>
  <si>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</si>
  <si>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</si>
  <si>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</si>
  <si>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</si>
  <si>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</si>
  <si>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</si>
  <si>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</si>
  <si>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</si>
  <si>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</si>
  <si>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</si>
  <si>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</si>
  <si>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</si>
  <si>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</si>
  <si>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</si>
  <si>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</si>
  <si>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</si>
  <si>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</si>
  <si>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</si>
  <si>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</si>
  <si>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</si>
  <si>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</si>
  <si>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</si>
  <si>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</si>
  <si>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</si>
  <si>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</si>
  <si>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</si>
  <si>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</si>
  <si>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</si>
  <si>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</si>
  <si>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</si>
  <si>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</si>
  <si>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</si>
  <si>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</si>
  <si>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</si>
  <si>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</si>
  <si>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</si>
  <si>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</si>
  <si>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</si>
  <si>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</si>
  <si>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</si>
  <si>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2020</t>
  </si>
  <si>
    <t>Table  12.3 :   MONTHLY CONSUMPTION OF FUEL FOR ELECTRICITY GENERATION IN SELECTED LOCALITIES BY PUBLIC SECTOR,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</si>
</sst>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1"/>
      <color theme="1"/>
      <name val="A_Faseyha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1"/>
      <color theme="1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2" fillId="2" borderId="5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right" vertical="center"/>
    </xf>
    <xf numFmtId="0" fontId="17" fillId="2" borderId="4" xfId="2" applyFont="1" applyFill="1" applyBorder="1" applyAlignment="1">
      <alignment vertical="center"/>
    </xf>
    <xf numFmtId="0" fontId="5" fillId="2" borderId="3" xfId="2" applyFont="1" applyFill="1" applyBorder="1" applyAlignment="1" applyProtection="1">
      <alignment vertical="center"/>
    </xf>
    <xf numFmtId="164" fontId="5" fillId="2" borderId="3" xfId="1" applyNumberFormat="1" applyFont="1" applyFill="1" applyBorder="1" applyAlignment="1" applyProtection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165" fontId="2" fillId="2" borderId="7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165" fontId="2" fillId="2" borderId="9" xfId="0" applyNumberFormat="1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165" fontId="5" fillId="2" borderId="9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165" fontId="2" fillId="2" borderId="8" xfId="0" applyNumberFormat="1" applyFont="1" applyFill="1" applyBorder="1" applyAlignment="1">
      <alignment horizontal="right" vertical="center"/>
    </xf>
    <xf numFmtId="0" fontId="8" fillId="2" borderId="2" xfId="2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165" fontId="3" fillId="2" borderId="9" xfId="0" applyNumberFormat="1" applyFont="1" applyFill="1" applyBorder="1" applyAlignment="1">
      <alignment horizontal="right" vertical="center"/>
    </xf>
    <xf numFmtId="165" fontId="3" fillId="2" borderId="8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/>
    </xf>
    <xf numFmtId="0" fontId="12" fillId="2" borderId="9" xfId="2" applyFont="1" applyFill="1" applyBorder="1" applyAlignment="1" applyProtection="1">
      <alignment horizontal="center" vertical="center"/>
    </xf>
    <xf numFmtId="0" fontId="12" fillId="2" borderId="10" xfId="2" applyFont="1" applyFill="1" applyBorder="1" applyAlignment="1" applyProtection="1">
      <alignment horizontal="center" vertical="center"/>
    </xf>
    <xf numFmtId="0" fontId="12" fillId="2" borderId="5" xfId="2" applyFont="1" applyFill="1" applyBorder="1" applyAlignment="1" applyProtection="1">
      <alignment horizontal="center" vertical="center"/>
    </xf>
    <xf numFmtId="0" fontId="16" fillId="2" borderId="9" xfId="2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0" fontId="12" fillId="2" borderId="8" xfId="2" applyFont="1" applyFill="1" applyBorder="1" applyAlignment="1" applyProtection="1">
      <alignment horizontal="center" vertical="top"/>
    </xf>
    <xf numFmtId="0" fontId="12" fillId="2" borderId="11" xfId="2" applyFont="1" applyFill="1" applyBorder="1" applyAlignment="1" applyProtection="1">
      <alignment horizontal="center" vertical="top"/>
    </xf>
    <xf numFmtId="0" fontId="12" fillId="2" borderId="6" xfId="2" applyFont="1" applyFill="1" applyBorder="1" applyAlignment="1" applyProtection="1">
      <alignment horizontal="center" vertical="top"/>
    </xf>
  </cellXfs>
  <cellStyles count="5">
    <cellStyle name="Comma 2" xfId="1"/>
    <cellStyle name="Comma 4" xfId="3"/>
    <cellStyle name="Normal" xfId="0" builtinId="0"/>
    <cellStyle name="Normal 2" xfId="2"/>
    <cellStyle name="Normal 2 2" xfId="4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43"/>
  <sheetViews>
    <sheetView tabSelected="1" zoomScaleNormal="100" workbookViewId="0">
      <selection activeCell="R13" sqref="R13"/>
    </sheetView>
  </sheetViews>
  <sheetFormatPr defaultColWidth="11.140625" defaultRowHeight="15" x14ac:dyDescent="0.25"/>
  <cols>
    <col min="1" max="1" width="16.7109375" style="3" customWidth="1"/>
    <col min="2" max="2" width="12" style="3" customWidth="1"/>
    <col min="3" max="14" width="11.28515625" style="3" customWidth="1"/>
    <col min="15" max="15" width="15.42578125" style="3" customWidth="1"/>
    <col min="16" max="16" width="1.85546875" style="3" customWidth="1"/>
    <col min="17" max="16384" width="11.140625" style="3"/>
  </cols>
  <sheetData>
    <row r="1" spans="1:15" ht="21.75" x14ac:dyDescent="0.25">
      <c r="A1" s="30" t="s">
        <v>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15" x14ac:dyDescent="0.25">
      <c r="A2" s="27" t="s">
        <v>92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1:15" ht="16.5" x14ac:dyDescent="0.4">
      <c r="A3" s="26" t="s">
        <v>89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x14ac:dyDescent="0.2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5"/>
    </row>
    <row r="5" spans="1:15" ht="15.75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6" t="s">
        <v>1</v>
      </c>
    </row>
    <row r="6" spans="1:15" ht="18" x14ac:dyDescent="0.25">
      <c r="A6" s="1" t="s">
        <v>5</v>
      </c>
      <c r="B6" s="7">
        <f>SUM(C6:N6)</f>
        <v>143682.58012843766</v>
      </c>
      <c r="C6" s="8">
        <f>SUM(C7:C10)</f>
        <v>12241.477513937492</v>
      </c>
      <c r="D6" s="8">
        <f t="shared" ref="D6:N6" si="0">SUM(D7:D10)</f>
        <v>12241.304000000002</v>
      </c>
      <c r="E6" s="8">
        <f t="shared" si="0"/>
        <v>13234.323</v>
      </c>
      <c r="F6" s="8">
        <f t="shared" si="0"/>
        <v>12128.143409074453</v>
      </c>
      <c r="G6" s="8">
        <f t="shared" si="0"/>
        <v>11855.377999999997</v>
      </c>
      <c r="H6" s="8">
        <f t="shared" si="0"/>
        <v>11759.525000000001</v>
      </c>
      <c r="I6" s="8">
        <f t="shared" si="0"/>
        <v>11899.957000000002</v>
      </c>
      <c r="J6" s="8">
        <f t="shared" si="0"/>
        <v>12134.186805425741</v>
      </c>
      <c r="K6" s="8">
        <f t="shared" si="0"/>
        <v>11267.477999999999</v>
      </c>
      <c r="L6" s="8">
        <f t="shared" si="0"/>
        <v>11736.79715</v>
      </c>
      <c r="M6" s="8">
        <f t="shared" si="0"/>
        <v>11423.123250000001</v>
      </c>
      <c r="N6" s="8">
        <f t="shared" si="0"/>
        <v>11760.886999999999</v>
      </c>
      <c r="O6" s="9" t="s">
        <v>0</v>
      </c>
    </row>
    <row r="7" spans="1:15" ht="21" x14ac:dyDescent="0.25">
      <c r="A7" s="22" t="s">
        <v>18</v>
      </c>
      <c r="B7" s="10">
        <f>SUM(C7:N7)</f>
        <v>97608.073999999993</v>
      </c>
      <c r="C7" s="24">
        <v>8379.0810000000001</v>
      </c>
      <c r="D7" s="20">
        <v>8399.27</v>
      </c>
      <c r="E7" s="20">
        <v>9030.8950000000004</v>
      </c>
      <c r="F7" s="20">
        <v>8171.027</v>
      </c>
      <c r="G7" s="20">
        <v>7894.9579999999996</v>
      </c>
      <c r="H7" s="20">
        <v>7968.93</v>
      </c>
      <c r="I7" s="20">
        <v>8143.384</v>
      </c>
      <c r="J7" s="20">
        <v>8227.1440000000002</v>
      </c>
      <c r="K7" s="20">
        <v>7659.549</v>
      </c>
      <c r="L7" s="20">
        <v>7981.0339999999997</v>
      </c>
      <c r="M7" s="20">
        <v>7767.5839999999998</v>
      </c>
      <c r="N7" s="20">
        <v>7985.2179999999998</v>
      </c>
      <c r="O7" s="11" t="s">
        <v>19</v>
      </c>
    </row>
    <row r="8" spans="1:15" ht="21" x14ac:dyDescent="0.25">
      <c r="A8" s="22" t="s">
        <v>20</v>
      </c>
      <c r="B8" s="12">
        <f>SUM(C8:N8)</f>
        <v>4000.7059999999997</v>
      </c>
      <c r="C8" s="24">
        <v>358.86399999999998</v>
      </c>
      <c r="D8" s="20">
        <v>347.59300000000002</v>
      </c>
      <c r="E8" s="20">
        <v>367.76499999999999</v>
      </c>
      <c r="F8" s="20">
        <v>347.08</v>
      </c>
      <c r="G8" s="20">
        <v>357.77800000000002</v>
      </c>
      <c r="H8" s="20">
        <v>336.20100000000002</v>
      </c>
      <c r="I8" s="20">
        <v>332.15499999999997</v>
      </c>
      <c r="J8" s="20">
        <v>326.22399999999999</v>
      </c>
      <c r="K8" s="20">
        <v>295.53500000000003</v>
      </c>
      <c r="L8" s="20">
        <v>310.75700000000001</v>
      </c>
      <c r="M8" s="20">
        <v>310.142</v>
      </c>
      <c r="N8" s="20">
        <v>310.61200000000002</v>
      </c>
      <c r="O8" s="11" t="s">
        <v>21</v>
      </c>
    </row>
    <row r="9" spans="1:15" ht="21" x14ac:dyDescent="0.25">
      <c r="A9" s="22" t="s">
        <v>22</v>
      </c>
      <c r="B9" s="10">
        <f>SUM(C9:N9)</f>
        <v>21787.966128437685</v>
      </c>
      <c r="C9" s="24">
        <v>1716.2435139374927</v>
      </c>
      <c r="D9" s="20">
        <v>1729.018</v>
      </c>
      <c r="E9" s="20">
        <v>1933.806</v>
      </c>
      <c r="F9" s="20">
        <v>1844.0304090744542</v>
      </c>
      <c r="G9" s="20">
        <v>1886.3620000000001</v>
      </c>
      <c r="H9" s="20">
        <v>1782.579</v>
      </c>
      <c r="I9" s="20">
        <v>1800.039</v>
      </c>
      <c r="J9" s="20">
        <v>1874.4848054257391</v>
      </c>
      <c r="K9" s="20">
        <v>1758.0509999999999</v>
      </c>
      <c r="L9" s="20">
        <v>1836.5741499999999</v>
      </c>
      <c r="M9" s="20">
        <v>1775.26125</v>
      </c>
      <c r="N9" s="20">
        <v>1851.5170000000001</v>
      </c>
      <c r="O9" s="11" t="s">
        <v>23</v>
      </c>
    </row>
    <row r="10" spans="1:15" ht="21" x14ac:dyDescent="0.25">
      <c r="A10" s="1" t="s">
        <v>24</v>
      </c>
      <c r="B10" s="10">
        <f>SUM(B11:B42)</f>
        <v>20285.834000000003</v>
      </c>
      <c r="C10" s="8">
        <f>SUM(C11:C42)</f>
        <v>1787.2890000000002</v>
      </c>
      <c r="D10" s="8">
        <f t="shared" ref="D10:N10" si="1">SUM(D11:D42)</f>
        <v>1765.423</v>
      </c>
      <c r="E10" s="8">
        <f t="shared" si="1"/>
        <v>1901.8570000000004</v>
      </c>
      <c r="F10" s="8">
        <f t="shared" si="1"/>
        <v>1766.0060000000001</v>
      </c>
      <c r="G10" s="8">
        <f t="shared" si="1"/>
        <v>1716.2799999999995</v>
      </c>
      <c r="H10" s="8">
        <f t="shared" si="1"/>
        <v>1671.8149999999998</v>
      </c>
      <c r="I10" s="8">
        <f t="shared" si="1"/>
        <v>1624.3789999999999</v>
      </c>
      <c r="J10" s="8">
        <f t="shared" si="1"/>
        <v>1706.3340000000001</v>
      </c>
      <c r="K10" s="8">
        <f t="shared" si="1"/>
        <v>1554.3429999999998</v>
      </c>
      <c r="L10" s="8">
        <f t="shared" si="1"/>
        <v>1608.4320000000002</v>
      </c>
      <c r="M10" s="8">
        <f t="shared" si="1"/>
        <v>1570.1359999999997</v>
      </c>
      <c r="N10" s="8">
        <f t="shared" si="1"/>
        <v>1613.54</v>
      </c>
      <c r="O10" s="13" t="s">
        <v>25</v>
      </c>
    </row>
    <row r="11" spans="1:15" ht="21" x14ac:dyDescent="0.25">
      <c r="A11" s="22" t="s">
        <v>26</v>
      </c>
      <c r="B11" s="10">
        <f t="shared" ref="B11:B42" si="2">SUM(C11:N11)</f>
        <v>1002.6410000000001</v>
      </c>
      <c r="C11" s="24">
        <v>76.188999999999993</v>
      </c>
      <c r="D11" s="20">
        <v>74.516999999999996</v>
      </c>
      <c r="E11" s="20">
        <v>85.751000000000005</v>
      </c>
      <c r="F11" s="20">
        <v>91.174999999999997</v>
      </c>
      <c r="G11" s="20">
        <v>90.224000000000004</v>
      </c>
      <c r="H11" s="20">
        <v>85.489000000000004</v>
      </c>
      <c r="I11" s="20">
        <v>82.593999999999994</v>
      </c>
      <c r="J11" s="20">
        <v>88.658000000000001</v>
      </c>
      <c r="K11" s="20">
        <v>78.352999999999994</v>
      </c>
      <c r="L11" s="20">
        <v>87.694999999999993</v>
      </c>
      <c r="M11" s="20">
        <v>80.19</v>
      </c>
      <c r="N11" s="20">
        <v>81.805999999999997</v>
      </c>
      <c r="O11" s="11" t="s">
        <v>27</v>
      </c>
    </row>
    <row r="12" spans="1:15" ht="21" x14ac:dyDescent="0.25">
      <c r="A12" s="22" t="s">
        <v>28</v>
      </c>
      <c r="B12" s="10">
        <f t="shared" si="2"/>
        <v>628.81499999999994</v>
      </c>
      <c r="C12" s="24">
        <v>50.36</v>
      </c>
      <c r="D12" s="20">
        <v>48.183999999999997</v>
      </c>
      <c r="E12" s="20">
        <v>57.045999999999999</v>
      </c>
      <c r="F12" s="20">
        <v>59.069000000000003</v>
      </c>
      <c r="G12" s="20">
        <v>57.912999999999997</v>
      </c>
      <c r="H12" s="20">
        <v>53.064999999999998</v>
      </c>
      <c r="I12" s="20">
        <v>52.661000000000001</v>
      </c>
      <c r="J12" s="20">
        <v>54.762</v>
      </c>
      <c r="K12" s="20">
        <v>47.606000000000002</v>
      </c>
      <c r="L12" s="20">
        <v>49.286999999999999</v>
      </c>
      <c r="M12" s="20">
        <v>48.533000000000001</v>
      </c>
      <c r="N12" s="20">
        <v>50.329000000000001</v>
      </c>
      <c r="O12" s="11" t="s">
        <v>29</v>
      </c>
    </row>
    <row r="13" spans="1:15" ht="21" x14ac:dyDescent="0.25">
      <c r="A13" s="22" t="s">
        <v>30</v>
      </c>
      <c r="B13" s="10">
        <f t="shared" si="2"/>
        <v>615.01199999999983</v>
      </c>
      <c r="C13" s="24">
        <v>62.777000000000001</v>
      </c>
      <c r="D13" s="20">
        <v>60.421999999999997</v>
      </c>
      <c r="E13" s="20">
        <v>64.162999999999997</v>
      </c>
      <c r="F13" s="20">
        <v>57.561999999999998</v>
      </c>
      <c r="G13" s="20">
        <v>53.179000000000002</v>
      </c>
      <c r="H13" s="20">
        <v>48.927999999999997</v>
      </c>
      <c r="I13" s="20">
        <v>46.734000000000002</v>
      </c>
      <c r="J13" s="20">
        <v>47.293999999999997</v>
      </c>
      <c r="K13" s="20">
        <v>42.969000000000001</v>
      </c>
      <c r="L13" s="20">
        <v>43.939</v>
      </c>
      <c r="M13" s="20">
        <v>41.478000000000002</v>
      </c>
      <c r="N13" s="20">
        <v>45.567</v>
      </c>
      <c r="O13" s="11" t="s">
        <v>31</v>
      </c>
    </row>
    <row r="14" spans="1:15" ht="21" x14ac:dyDescent="0.25">
      <c r="A14" s="22" t="s">
        <v>32</v>
      </c>
      <c r="B14" s="10">
        <f t="shared" si="2"/>
        <v>970.47399999999993</v>
      </c>
      <c r="C14" s="24">
        <v>93.677999999999997</v>
      </c>
      <c r="D14" s="20">
        <v>92.884</v>
      </c>
      <c r="E14" s="20">
        <v>100.67100000000001</v>
      </c>
      <c r="F14" s="20">
        <v>87.456000000000003</v>
      </c>
      <c r="G14" s="20">
        <v>82.585999999999999</v>
      </c>
      <c r="H14" s="20">
        <v>78.734999999999999</v>
      </c>
      <c r="I14" s="20">
        <v>73.938999999999993</v>
      </c>
      <c r="J14" s="20">
        <v>76.923000000000002</v>
      </c>
      <c r="K14" s="20">
        <v>69.167000000000002</v>
      </c>
      <c r="L14" s="20">
        <v>72.674999999999997</v>
      </c>
      <c r="M14" s="20">
        <v>69.257999999999996</v>
      </c>
      <c r="N14" s="20">
        <v>72.501999999999995</v>
      </c>
      <c r="O14" s="11" t="s">
        <v>33</v>
      </c>
    </row>
    <row r="15" spans="1:15" ht="21" x14ac:dyDescent="0.25">
      <c r="A15" s="22" t="s">
        <v>34</v>
      </c>
      <c r="B15" s="10">
        <f t="shared" si="2"/>
        <v>1033.125</v>
      </c>
      <c r="C15" s="24">
        <v>82.096000000000004</v>
      </c>
      <c r="D15" s="20">
        <v>82.691999999999993</v>
      </c>
      <c r="E15" s="20">
        <v>94.653000000000006</v>
      </c>
      <c r="F15" s="20">
        <v>94.771000000000001</v>
      </c>
      <c r="G15" s="20">
        <v>89.647999999999996</v>
      </c>
      <c r="H15" s="20">
        <v>87.034000000000006</v>
      </c>
      <c r="I15" s="20">
        <v>82.734999999999999</v>
      </c>
      <c r="J15" s="20">
        <v>88.563000000000002</v>
      </c>
      <c r="K15" s="20">
        <v>80.507000000000005</v>
      </c>
      <c r="L15" s="20">
        <v>83.564999999999998</v>
      </c>
      <c r="M15" s="20">
        <v>83.281000000000006</v>
      </c>
      <c r="N15" s="20">
        <v>83.58</v>
      </c>
      <c r="O15" s="11" t="s">
        <v>35</v>
      </c>
    </row>
    <row r="16" spans="1:15" ht="21" x14ac:dyDescent="0.25">
      <c r="A16" s="22" t="s">
        <v>36</v>
      </c>
      <c r="B16" s="10">
        <f t="shared" si="2"/>
        <v>2026.9600000000003</v>
      </c>
      <c r="C16" s="24">
        <v>163.05799999999999</v>
      </c>
      <c r="D16" s="20">
        <v>162.023</v>
      </c>
      <c r="E16" s="20">
        <v>183.49799999999999</v>
      </c>
      <c r="F16" s="20">
        <v>166.26499999999999</v>
      </c>
      <c r="G16" s="20">
        <v>162.02799999999999</v>
      </c>
      <c r="H16" s="20">
        <v>170.40899999999999</v>
      </c>
      <c r="I16" s="20">
        <v>163.27999999999997</v>
      </c>
      <c r="J16" s="20">
        <v>179.505</v>
      </c>
      <c r="K16" s="20">
        <v>169.63499999999999</v>
      </c>
      <c r="L16" s="20">
        <v>174.46100000000001</v>
      </c>
      <c r="M16" s="20">
        <v>165.76300000000001</v>
      </c>
      <c r="N16" s="20">
        <v>167.035</v>
      </c>
      <c r="O16" s="11" t="s">
        <v>37</v>
      </c>
    </row>
    <row r="17" spans="1:15" ht="21" x14ac:dyDescent="0.25">
      <c r="A17" s="22" t="s">
        <v>38</v>
      </c>
      <c r="B17" s="10">
        <f t="shared" si="2"/>
        <v>226.398</v>
      </c>
      <c r="C17" s="24">
        <v>16.739999999999998</v>
      </c>
      <c r="D17" s="20">
        <v>15.635999999999999</v>
      </c>
      <c r="E17" s="20">
        <v>17.417000000000002</v>
      </c>
      <c r="F17" s="20">
        <v>18.763999999999999</v>
      </c>
      <c r="G17" s="20">
        <v>21.622</v>
      </c>
      <c r="H17" s="20">
        <v>22.425999999999998</v>
      </c>
      <c r="I17" s="20">
        <v>21.812999999999999</v>
      </c>
      <c r="J17" s="20">
        <v>18.811</v>
      </c>
      <c r="K17" s="20">
        <v>18.143000000000001</v>
      </c>
      <c r="L17" s="20">
        <v>17.841999999999999</v>
      </c>
      <c r="M17" s="20">
        <v>18.510000000000002</v>
      </c>
      <c r="N17" s="20">
        <v>18.673999999999999</v>
      </c>
      <c r="O17" s="11" t="s">
        <v>39</v>
      </c>
    </row>
    <row r="18" spans="1:15" ht="21" x14ac:dyDescent="0.25">
      <c r="A18" s="22" t="s">
        <v>40</v>
      </c>
      <c r="B18" s="10">
        <f t="shared" si="2"/>
        <v>460.863</v>
      </c>
      <c r="C18" s="24">
        <v>38.545999999999999</v>
      </c>
      <c r="D18" s="20">
        <v>37.74</v>
      </c>
      <c r="E18" s="20">
        <v>43.692999999999998</v>
      </c>
      <c r="F18" s="20">
        <v>41.518000000000001</v>
      </c>
      <c r="G18" s="20">
        <v>40.414999999999999</v>
      </c>
      <c r="H18" s="20">
        <v>38.488</v>
      </c>
      <c r="I18" s="20">
        <v>37.097000000000001</v>
      </c>
      <c r="J18" s="20">
        <v>39.628</v>
      </c>
      <c r="K18" s="20">
        <v>35.737000000000002</v>
      </c>
      <c r="L18" s="20">
        <v>36.927999999999997</v>
      </c>
      <c r="M18" s="20">
        <v>35.228999999999999</v>
      </c>
      <c r="N18" s="20">
        <v>35.844000000000001</v>
      </c>
      <c r="O18" s="11" t="s">
        <v>41</v>
      </c>
    </row>
    <row r="19" spans="1:15" ht="21" x14ac:dyDescent="0.25">
      <c r="A19" s="22" t="s">
        <v>42</v>
      </c>
      <c r="B19" s="10">
        <f t="shared" si="2"/>
        <v>2517.7840000000001</v>
      </c>
      <c r="C19" s="24">
        <v>270.21800000000002</v>
      </c>
      <c r="D19" s="20">
        <v>270.96699999999998</v>
      </c>
      <c r="E19" s="20">
        <v>264.87299999999999</v>
      </c>
      <c r="F19" s="20">
        <v>205.36</v>
      </c>
      <c r="G19" s="20">
        <v>194.315</v>
      </c>
      <c r="H19" s="20">
        <v>190.34200000000001</v>
      </c>
      <c r="I19" s="20">
        <v>182.137</v>
      </c>
      <c r="J19" s="20">
        <v>190.755</v>
      </c>
      <c r="K19" s="20">
        <v>175.82</v>
      </c>
      <c r="L19" s="20">
        <v>185.678</v>
      </c>
      <c r="M19" s="20">
        <v>188.565</v>
      </c>
      <c r="N19" s="20">
        <v>198.75399999999999</v>
      </c>
      <c r="O19" s="11" t="s">
        <v>43</v>
      </c>
    </row>
    <row r="20" spans="1:15" ht="21" x14ac:dyDescent="0.25">
      <c r="A20" s="22" t="s">
        <v>44</v>
      </c>
      <c r="B20" s="10">
        <f t="shared" si="2"/>
        <v>1067.5400000000002</v>
      </c>
      <c r="C20" s="24">
        <v>88.933000000000007</v>
      </c>
      <c r="D20" s="20">
        <v>89.37</v>
      </c>
      <c r="E20" s="20">
        <v>93.513999999999996</v>
      </c>
      <c r="F20" s="20">
        <v>92.561000000000007</v>
      </c>
      <c r="G20" s="20">
        <v>90.884</v>
      </c>
      <c r="H20" s="20">
        <v>87.694999999999993</v>
      </c>
      <c r="I20" s="20">
        <v>86.691000000000003</v>
      </c>
      <c r="J20" s="20">
        <v>90.010999999999996</v>
      </c>
      <c r="K20" s="20">
        <v>84.866</v>
      </c>
      <c r="L20" s="20">
        <v>87.2</v>
      </c>
      <c r="M20" s="20">
        <v>86.18</v>
      </c>
      <c r="N20" s="20">
        <v>89.635000000000005</v>
      </c>
      <c r="O20" s="11" t="s">
        <v>45</v>
      </c>
    </row>
    <row r="21" spans="1:15" ht="21" x14ac:dyDescent="0.25">
      <c r="A21" s="22" t="s">
        <v>46</v>
      </c>
      <c r="B21" s="10">
        <f t="shared" si="2"/>
        <v>744.26900000000001</v>
      </c>
      <c r="C21" s="24">
        <v>72.44</v>
      </c>
      <c r="D21" s="20">
        <v>72.956999999999994</v>
      </c>
      <c r="E21" s="20">
        <v>75.241</v>
      </c>
      <c r="F21" s="20">
        <v>65.022999999999996</v>
      </c>
      <c r="G21" s="20">
        <v>61.524999999999999</v>
      </c>
      <c r="H21" s="20">
        <v>58.768000000000001</v>
      </c>
      <c r="I21" s="20">
        <v>57.996000000000002</v>
      </c>
      <c r="J21" s="20">
        <v>59.856999999999999</v>
      </c>
      <c r="K21" s="20">
        <v>52.899000000000001</v>
      </c>
      <c r="L21" s="20">
        <v>55.238</v>
      </c>
      <c r="M21" s="20">
        <v>54.98</v>
      </c>
      <c r="N21" s="20">
        <v>57.344999999999999</v>
      </c>
      <c r="O21" s="11" t="s">
        <v>47</v>
      </c>
    </row>
    <row r="22" spans="1:15" ht="21" x14ac:dyDescent="0.25">
      <c r="A22" s="22" t="s">
        <v>48</v>
      </c>
      <c r="B22" s="10">
        <f t="shared" si="2"/>
        <v>474.91300000000001</v>
      </c>
      <c r="C22" s="24">
        <v>39.61</v>
      </c>
      <c r="D22" s="20">
        <v>39.634</v>
      </c>
      <c r="E22" s="20">
        <v>45.323999999999998</v>
      </c>
      <c r="F22" s="20">
        <v>43.597000000000001</v>
      </c>
      <c r="G22" s="20">
        <v>40.270000000000003</v>
      </c>
      <c r="H22" s="20">
        <v>38.683</v>
      </c>
      <c r="I22" s="20">
        <v>37.978999999999999</v>
      </c>
      <c r="J22" s="20">
        <v>39.787999999999997</v>
      </c>
      <c r="K22" s="20">
        <v>36.115000000000002</v>
      </c>
      <c r="L22" s="20">
        <v>39.484000000000002</v>
      </c>
      <c r="M22" s="20">
        <v>36.720999999999997</v>
      </c>
      <c r="N22" s="20">
        <v>37.707999999999998</v>
      </c>
      <c r="O22" s="11" t="s">
        <v>49</v>
      </c>
    </row>
    <row r="23" spans="1:15" ht="21" x14ac:dyDescent="0.25">
      <c r="A23" s="22" t="s">
        <v>50</v>
      </c>
      <c r="B23" s="10">
        <f t="shared" si="2"/>
        <v>307.35700000000003</v>
      </c>
      <c r="C23" s="24">
        <v>26.568000000000001</v>
      </c>
      <c r="D23" s="20">
        <v>24.347000000000001</v>
      </c>
      <c r="E23" s="20">
        <v>27.940999999999999</v>
      </c>
      <c r="F23" s="20">
        <v>27.669</v>
      </c>
      <c r="G23" s="20">
        <v>26.526</v>
      </c>
      <c r="H23" s="20">
        <v>25.798999999999999</v>
      </c>
      <c r="I23" s="20">
        <v>25.434000000000001</v>
      </c>
      <c r="J23" s="20">
        <v>27.187000000000001</v>
      </c>
      <c r="K23" s="20">
        <v>24.094999999999999</v>
      </c>
      <c r="L23" s="20">
        <v>24.75</v>
      </c>
      <c r="M23" s="20">
        <v>23.763000000000002</v>
      </c>
      <c r="N23" s="20">
        <v>23.277999999999999</v>
      </c>
      <c r="O23" s="11" t="s">
        <v>51</v>
      </c>
    </row>
    <row r="24" spans="1:15" ht="21" x14ac:dyDescent="0.25">
      <c r="A24" s="22" t="s">
        <v>52</v>
      </c>
      <c r="B24" s="10">
        <f t="shared" si="2"/>
        <v>283.60000000000002</v>
      </c>
      <c r="C24" s="24">
        <v>24.516999999999999</v>
      </c>
      <c r="D24" s="20">
        <v>23.177</v>
      </c>
      <c r="E24" s="20">
        <v>25.189</v>
      </c>
      <c r="F24" s="20">
        <v>25.404</v>
      </c>
      <c r="G24" s="20">
        <v>24.960999999999999</v>
      </c>
      <c r="H24" s="20">
        <v>23.588000000000001</v>
      </c>
      <c r="I24" s="20">
        <v>23.611999999999998</v>
      </c>
      <c r="J24" s="20">
        <v>24.605</v>
      </c>
      <c r="K24" s="20">
        <v>22.254999999999999</v>
      </c>
      <c r="L24" s="20">
        <v>22.460999999999999</v>
      </c>
      <c r="M24" s="20">
        <v>21.774000000000001</v>
      </c>
      <c r="N24" s="20">
        <v>22.056999999999999</v>
      </c>
      <c r="O24" s="11" t="s">
        <v>53</v>
      </c>
    </row>
    <row r="25" spans="1:15" ht="21" x14ac:dyDescent="0.25">
      <c r="A25" s="22" t="s">
        <v>54</v>
      </c>
      <c r="B25" s="10">
        <f t="shared" si="2"/>
        <v>235.381</v>
      </c>
      <c r="C25" s="24">
        <v>17.581</v>
      </c>
      <c r="D25" s="20">
        <v>17.442</v>
      </c>
      <c r="E25" s="20">
        <v>20.323</v>
      </c>
      <c r="F25" s="20">
        <v>23.550999999999998</v>
      </c>
      <c r="G25" s="20">
        <v>21.969000000000001</v>
      </c>
      <c r="H25" s="20">
        <v>21.186</v>
      </c>
      <c r="I25" s="20">
        <v>19.978000000000002</v>
      </c>
      <c r="J25" s="20">
        <v>21.207000000000001</v>
      </c>
      <c r="K25" s="20">
        <v>18.521999999999998</v>
      </c>
      <c r="L25" s="20">
        <v>18.282</v>
      </c>
      <c r="M25" s="20">
        <v>17.597999999999999</v>
      </c>
      <c r="N25" s="20">
        <v>17.742000000000001</v>
      </c>
      <c r="O25" s="11" t="s">
        <v>55</v>
      </c>
    </row>
    <row r="26" spans="1:15" ht="21" x14ac:dyDescent="0.25">
      <c r="A26" s="22" t="s">
        <v>56</v>
      </c>
      <c r="B26" s="10">
        <f t="shared" si="2"/>
        <v>405.44799999999998</v>
      </c>
      <c r="C26" s="24">
        <v>33.094999999999999</v>
      </c>
      <c r="D26" s="20">
        <v>28.212</v>
      </c>
      <c r="E26" s="20">
        <v>36.381999999999998</v>
      </c>
      <c r="F26" s="20">
        <v>38.624000000000002</v>
      </c>
      <c r="G26" s="20">
        <v>37.347000000000001</v>
      </c>
      <c r="H26" s="20">
        <v>35.265000000000001</v>
      </c>
      <c r="I26" s="20">
        <v>33.143000000000001</v>
      </c>
      <c r="J26" s="20">
        <v>35.276000000000003</v>
      </c>
      <c r="K26" s="20">
        <v>32.72</v>
      </c>
      <c r="L26" s="20">
        <v>32.460999999999999</v>
      </c>
      <c r="M26" s="20">
        <v>31.158000000000001</v>
      </c>
      <c r="N26" s="20">
        <v>31.765000000000001</v>
      </c>
      <c r="O26" s="11" t="s">
        <v>57</v>
      </c>
    </row>
    <row r="27" spans="1:15" ht="21" x14ac:dyDescent="0.25">
      <c r="A27" s="22" t="s">
        <v>58</v>
      </c>
      <c r="B27" s="10">
        <f t="shared" si="2"/>
        <v>983.62599999999998</v>
      </c>
      <c r="C27" s="24">
        <v>77.894000000000005</v>
      </c>
      <c r="D27" s="20">
        <v>80.207999999999998</v>
      </c>
      <c r="E27" s="20">
        <v>86.512</v>
      </c>
      <c r="F27" s="20">
        <v>79.423000000000002</v>
      </c>
      <c r="G27" s="20">
        <v>86.182000000000002</v>
      </c>
      <c r="H27" s="20">
        <v>84.725999999999999</v>
      </c>
      <c r="I27" s="20">
        <v>81.677000000000007</v>
      </c>
      <c r="J27" s="20">
        <v>89.049000000000007</v>
      </c>
      <c r="K27" s="20">
        <v>80.775000000000006</v>
      </c>
      <c r="L27" s="20">
        <v>83.433999999999997</v>
      </c>
      <c r="M27" s="20">
        <v>77.349999999999994</v>
      </c>
      <c r="N27" s="20">
        <v>76.396000000000001</v>
      </c>
      <c r="O27" s="11" t="s">
        <v>59</v>
      </c>
    </row>
    <row r="28" spans="1:15" ht="21" x14ac:dyDescent="0.25">
      <c r="A28" s="22" t="s">
        <v>60</v>
      </c>
      <c r="B28" s="10">
        <f t="shared" si="2"/>
        <v>883.11</v>
      </c>
      <c r="C28" s="24">
        <v>83.49</v>
      </c>
      <c r="D28" s="20">
        <v>83.016000000000005</v>
      </c>
      <c r="E28" s="20">
        <v>85.448999999999998</v>
      </c>
      <c r="F28" s="20">
        <v>74.382999999999996</v>
      </c>
      <c r="G28" s="20">
        <v>72.885999999999996</v>
      </c>
      <c r="H28" s="20">
        <v>70.494</v>
      </c>
      <c r="I28" s="20">
        <v>69.171999999999997</v>
      </c>
      <c r="J28" s="20">
        <v>73.103999999999999</v>
      </c>
      <c r="K28" s="20">
        <v>65.811999999999998</v>
      </c>
      <c r="L28" s="20">
        <v>68.040999999999997</v>
      </c>
      <c r="M28" s="20">
        <v>67.007999999999996</v>
      </c>
      <c r="N28" s="20">
        <v>70.254999999999995</v>
      </c>
      <c r="O28" s="11" t="s">
        <v>61</v>
      </c>
    </row>
    <row r="29" spans="1:15" ht="21" x14ac:dyDescent="0.25">
      <c r="A29" s="22" t="s">
        <v>62</v>
      </c>
      <c r="B29" s="10">
        <f t="shared" si="2"/>
        <v>353.98200000000003</v>
      </c>
      <c r="C29" s="24">
        <v>27.452000000000002</v>
      </c>
      <c r="D29" s="20">
        <v>27.132999999999999</v>
      </c>
      <c r="E29" s="20">
        <v>31.79</v>
      </c>
      <c r="F29" s="20">
        <v>31.34</v>
      </c>
      <c r="G29" s="20">
        <v>33.808</v>
      </c>
      <c r="H29" s="20">
        <v>32.012999999999998</v>
      </c>
      <c r="I29" s="20">
        <v>31.408999999999999</v>
      </c>
      <c r="J29" s="20">
        <v>32.256</v>
      </c>
      <c r="K29" s="20">
        <v>29.832999999999998</v>
      </c>
      <c r="L29" s="20">
        <v>25.681999999999999</v>
      </c>
      <c r="M29" s="20">
        <v>25.425000000000001</v>
      </c>
      <c r="N29" s="20">
        <v>25.841000000000001</v>
      </c>
      <c r="O29" s="11" t="s">
        <v>63</v>
      </c>
    </row>
    <row r="30" spans="1:15" ht="21" x14ac:dyDescent="0.25">
      <c r="A30" s="22" t="s">
        <v>64</v>
      </c>
      <c r="B30" s="10">
        <f t="shared" si="2"/>
        <v>234.786</v>
      </c>
      <c r="C30" s="24">
        <v>18.375</v>
      </c>
      <c r="D30" s="20">
        <v>19.885999999999999</v>
      </c>
      <c r="E30" s="20">
        <v>20.100000000000001</v>
      </c>
      <c r="F30" s="20">
        <v>20.286000000000001</v>
      </c>
      <c r="G30" s="20">
        <v>20.012</v>
      </c>
      <c r="H30" s="20">
        <v>19.425999999999998</v>
      </c>
      <c r="I30" s="20">
        <v>19.515000000000001</v>
      </c>
      <c r="J30" s="20">
        <v>20.696999999999999</v>
      </c>
      <c r="K30" s="20">
        <v>19.431000000000001</v>
      </c>
      <c r="L30" s="20">
        <v>19.02</v>
      </c>
      <c r="M30" s="20">
        <v>19.175999999999998</v>
      </c>
      <c r="N30" s="20">
        <v>18.861999999999998</v>
      </c>
      <c r="O30" s="11" t="s">
        <v>65</v>
      </c>
    </row>
    <row r="31" spans="1:15" ht="21" x14ac:dyDescent="0.25">
      <c r="A31" s="22" t="s">
        <v>66</v>
      </c>
      <c r="B31" s="10">
        <f t="shared" si="2"/>
        <v>553.32899999999995</v>
      </c>
      <c r="C31" s="24">
        <v>60.515000000000001</v>
      </c>
      <c r="D31" s="20">
        <v>56.64</v>
      </c>
      <c r="E31" s="20">
        <v>59.100999999999999</v>
      </c>
      <c r="F31" s="20">
        <v>45.228999999999999</v>
      </c>
      <c r="G31" s="20">
        <v>46.347000000000001</v>
      </c>
      <c r="H31" s="20">
        <v>41.55</v>
      </c>
      <c r="I31" s="20">
        <v>40.954999999999998</v>
      </c>
      <c r="J31" s="20">
        <v>42.777999999999999</v>
      </c>
      <c r="K31" s="20">
        <v>39.216000000000001</v>
      </c>
      <c r="L31" s="20">
        <v>40.493000000000002</v>
      </c>
      <c r="M31" s="20">
        <v>37.954999999999998</v>
      </c>
      <c r="N31" s="20">
        <v>42.55</v>
      </c>
      <c r="O31" s="11" t="s">
        <v>67</v>
      </c>
    </row>
    <row r="32" spans="1:15" ht="21" x14ac:dyDescent="0.25">
      <c r="A32" s="22" t="s">
        <v>68</v>
      </c>
      <c r="B32" s="10">
        <f t="shared" si="2"/>
        <v>453.33000000000004</v>
      </c>
      <c r="C32" s="24">
        <v>34.174999999999997</v>
      </c>
      <c r="D32" s="20">
        <v>33.97</v>
      </c>
      <c r="E32" s="20">
        <v>40.012</v>
      </c>
      <c r="F32" s="20">
        <v>39.753999999999998</v>
      </c>
      <c r="G32" s="20">
        <v>38.871000000000002</v>
      </c>
      <c r="H32" s="20">
        <v>39.286000000000001</v>
      </c>
      <c r="I32" s="20">
        <v>39.014000000000003</v>
      </c>
      <c r="J32" s="20">
        <v>41.694000000000003</v>
      </c>
      <c r="K32" s="20">
        <v>36.606000000000002</v>
      </c>
      <c r="L32" s="20">
        <v>37.186999999999998</v>
      </c>
      <c r="M32" s="20">
        <v>35.290999999999997</v>
      </c>
      <c r="N32" s="20">
        <v>37.47</v>
      </c>
      <c r="O32" s="11" t="s">
        <v>69</v>
      </c>
    </row>
    <row r="33" spans="1:15" ht="21" x14ac:dyDescent="0.25">
      <c r="A33" s="22" t="s">
        <v>90</v>
      </c>
      <c r="B33" s="10">
        <f t="shared" si="2"/>
        <v>1253.2239999999999</v>
      </c>
      <c r="C33" s="24">
        <v>98.92</v>
      </c>
      <c r="D33" s="20">
        <v>95.488</v>
      </c>
      <c r="E33" s="20">
        <v>106.328</v>
      </c>
      <c r="F33" s="20">
        <v>111.794</v>
      </c>
      <c r="G33" s="20">
        <v>107.649</v>
      </c>
      <c r="H33" s="20">
        <v>107.131</v>
      </c>
      <c r="I33" s="20">
        <v>105.669</v>
      </c>
      <c r="J33" s="20">
        <v>109.017</v>
      </c>
      <c r="K33" s="20">
        <v>97.807000000000002</v>
      </c>
      <c r="L33" s="20">
        <v>101.768</v>
      </c>
      <c r="M33" s="20">
        <v>108.453</v>
      </c>
      <c r="N33" s="20">
        <v>103.2</v>
      </c>
      <c r="O33" s="11" t="s">
        <v>70</v>
      </c>
    </row>
    <row r="34" spans="1:15" ht="21" x14ac:dyDescent="0.25">
      <c r="A34" s="22" t="s">
        <v>71</v>
      </c>
      <c r="B34" s="10">
        <f t="shared" si="2"/>
        <v>282.32499999999999</v>
      </c>
      <c r="C34" s="24">
        <v>24.055</v>
      </c>
      <c r="D34" s="20">
        <v>23.940999999999999</v>
      </c>
      <c r="E34" s="20">
        <v>24.564</v>
      </c>
      <c r="F34" s="20">
        <v>25.724</v>
      </c>
      <c r="G34" s="20">
        <v>24.942</v>
      </c>
      <c r="H34" s="20">
        <v>24.169</v>
      </c>
      <c r="I34" s="20">
        <v>24.917000000000002</v>
      </c>
      <c r="J34" s="20">
        <v>24.645</v>
      </c>
      <c r="K34" s="20">
        <v>21.986999999999998</v>
      </c>
      <c r="L34" s="20">
        <v>22.146999999999998</v>
      </c>
      <c r="M34" s="20">
        <v>21.113</v>
      </c>
      <c r="N34" s="20">
        <v>20.120999999999999</v>
      </c>
      <c r="O34" s="11" t="s">
        <v>72</v>
      </c>
    </row>
    <row r="35" spans="1:15" ht="21" x14ac:dyDescent="0.25">
      <c r="A35" s="22" t="s">
        <v>73</v>
      </c>
      <c r="B35" s="10">
        <f t="shared" si="2"/>
        <v>105.328</v>
      </c>
      <c r="C35" s="24">
        <v>7.2569999999999997</v>
      </c>
      <c r="D35" s="20">
        <v>6.7050000000000001</v>
      </c>
      <c r="E35" s="20">
        <v>8.3339999999999996</v>
      </c>
      <c r="F35" s="20">
        <v>10.57</v>
      </c>
      <c r="G35" s="20">
        <v>9.5510000000000002</v>
      </c>
      <c r="H35" s="20">
        <v>9.32</v>
      </c>
      <c r="I35" s="20">
        <v>9.3079999999999998</v>
      </c>
      <c r="J35" s="20">
        <v>9.7170000000000005</v>
      </c>
      <c r="K35" s="20">
        <v>8.9239999999999995</v>
      </c>
      <c r="L35" s="20">
        <v>8.8000000000000007</v>
      </c>
      <c r="M35" s="20">
        <v>8.4269999999999996</v>
      </c>
      <c r="N35" s="20">
        <v>8.4149999999999991</v>
      </c>
      <c r="O35" s="11" t="s">
        <v>74</v>
      </c>
    </row>
    <row r="36" spans="1:15" ht="21" x14ac:dyDescent="0.25">
      <c r="A36" s="22" t="s">
        <v>75</v>
      </c>
      <c r="B36" s="10">
        <f t="shared" si="2"/>
        <v>211.27</v>
      </c>
      <c r="C36" s="24">
        <v>15.763999999999999</v>
      </c>
      <c r="D36" s="20">
        <v>15.157</v>
      </c>
      <c r="E36" s="20">
        <v>16.96</v>
      </c>
      <c r="F36" s="20">
        <v>18.465</v>
      </c>
      <c r="G36" s="20">
        <v>18.108000000000001</v>
      </c>
      <c r="H36" s="20">
        <v>18.349</v>
      </c>
      <c r="I36" s="20">
        <v>17.818999999999999</v>
      </c>
      <c r="J36" s="20">
        <v>18.686</v>
      </c>
      <c r="K36" s="20">
        <v>17.605</v>
      </c>
      <c r="L36" s="20">
        <v>17.940000000000001</v>
      </c>
      <c r="M36" s="20">
        <v>17.626000000000001</v>
      </c>
      <c r="N36" s="20">
        <v>18.791</v>
      </c>
      <c r="O36" s="11" t="s">
        <v>76</v>
      </c>
    </row>
    <row r="37" spans="1:15" ht="21" x14ac:dyDescent="0.25">
      <c r="A37" s="22" t="s">
        <v>77</v>
      </c>
      <c r="B37" s="10">
        <f t="shared" si="2"/>
        <v>593.62999999999988</v>
      </c>
      <c r="C37" s="24">
        <v>49.116999999999997</v>
      </c>
      <c r="D37" s="20">
        <v>48.786999999999999</v>
      </c>
      <c r="E37" s="20">
        <v>53.497</v>
      </c>
      <c r="F37" s="20">
        <v>52.594000000000001</v>
      </c>
      <c r="G37" s="20">
        <v>51.926000000000002</v>
      </c>
      <c r="H37" s="20">
        <v>50.454999999999998</v>
      </c>
      <c r="I37" s="20">
        <v>49.500999999999998</v>
      </c>
      <c r="J37" s="20">
        <v>53.167999999999999</v>
      </c>
      <c r="K37" s="20">
        <v>46.250999999999998</v>
      </c>
      <c r="L37" s="20">
        <v>47.043999999999997</v>
      </c>
      <c r="M37" s="20">
        <v>45.154000000000003</v>
      </c>
      <c r="N37" s="20">
        <v>46.136000000000003</v>
      </c>
      <c r="O37" s="11" t="s">
        <v>78</v>
      </c>
    </row>
    <row r="38" spans="1:15" ht="21" x14ac:dyDescent="0.25">
      <c r="A38" s="22" t="s">
        <v>79</v>
      </c>
      <c r="B38" s="10">
        <f t="shared" si="2"/>
        <v>377.90500000000003</v>
      </c>
      <c r="C38" s="24">
        <v>31.806999999999999</v>
      </c>
      <c r="D38" s="20">
        <v>31.17</v>
      </c>
      <c r="E38" s="20">
        <v>33.924999999999997</v>
      </c>
      <c r="F38" s="20">
        <v>33.707000000000001</v>
      </c>
      <c r="G38" s="20">
        <v>32.868000000000002</v>
      </c>
      <c r="H38" s="20">
        <v>32.601999999999997</v>
      </c>
      <c r="I38" s="20">
        <v>32.055</v>
      </c>
      <c r="J38" s="20">
        <v>32.639000000000003</v>
      </c>
      <c r="K38" s="20">
        <v>30.616</v>
      </c>
      <c r="L38" s="20">
        <v>30.736999999999998</v>
      </c>
      <c r="M38" s="20">
        <v>28.841000000000001</v>
      </c>
      <c r="N38" s="20">
        <v>26.937999999999999</v>
      </c>
      <c r="O38" s="11" t="s">
        <v>80</v>
      </c>
    </row>
    <row r="39" spans="1:15" ht="21" x14ac:dyDescent="0.25">
      <c r="A39" s="22" t="s">
        <v>81</v>
      </c>
      <c r="B39" s="10">
        <f t="shared" si="2"/>
        <v>295.964</v>
      </c>
      <c r="C39" s="24">
        <v>29.901</v>
      </c>
      <c r="D39" s="20">
        <v>29.298999999999999</v>
      </c>
      <c r="E39" s="20">
        <v>29.349</v>
      </c>
      <c r="F39" s="20">
        <v>25.867999999999999</v>
      </c>
      <c r="G39" s="20">
        <v>23.742000000000001</v>
      </c>
      <c r="H39" s="20">
        <v>23.658000000000001</v>
      </c>
      <c r="I39" s="20">
        <v>22.617000000000001</v>
      </c>
      <c r="J39" s="20">
        <v>22.474</v>
      </c>
      <c r="K39" s="20">
        <v>19.902000000000001</v>
      </c>
      <c r="L39" s="20">
        <v>21.55</v>
      </c>
      <c r="M39" s="20">
        <v>22.937999999999999</v>
      </c>
      <c r="N39" s="20">
        <v>24.666</v>
      </c>
      <c r="O39" s="11" t="s">
        <v>82</v>
      </c>
    </row>
    <row r="40" spans="1:15" ht="21" x14ac:dyDescent="0.25">
      <c r="A40" s="22" t="s">
        <v>83</v>
      </c>
      <c r="B40" s="10">
        <f t="shared" si="2"/>
        <v>240.46400000000003</v>
      </c>
      <c r="C40" s="24">
        <v>31.866</v>
      </c>
      <c r="D40" s="20">
        <v>32.798999999999999</v>
      </c>
      <c r="E40" s="20">
        <v>26.681999999999999</v>
      </c>
      <c r="F40" s="20">
        <v>16.709</v>
      </c>
      <c r="G40" s="20">
        <v>15.933</v>
      </c>
      <c r="H40" s="20">
        <v>14.763999999999999</v>
      </c>
      <c r="I40" s="20">
        <v>15.076000000000001</v>
      </c>
      <c r="J40" s="20">
        <v>15.162000000000001</v>
      </c>
      <c r="K40" s="20">
        <v>14.62</v>
      </c>
      <c r="L40" s="20">
        <v>15.977</v>
      </c>
      <c r="M40" s="20">
        <v>17.155999999999999</v>
      </c>
      <c r="N40" s="20">
        <v>23.72</v>
      </c>
      <c r="O40" s="11" t="s">
        <v>84</v>
      </c>
    </row>
    <row r="41" spans="1:15" ht="21" x14ac:dyDescent="0.25">
      <c r="A41" s="22" t="s">
        <v>85</v>
      </c>
      <c r="B41" s="10">
        <f t="shared" si="2"/>
        <v>380.92299999999994</v>
      </c>
      <c r="C41" s="24">
        <v>33.509</v>
      </c>
      <c r="D41" s="20">
        <v>34.686</v>
      </c>
      <c r="E41" s="20">
        <v>36.511000000000003</v>
      </c>
      <c r="F41" s="20">
        <v>34.646000000000001</v>
      </c>
      <c r="G41" s="20">
        <v>31.375</v>
      </c>
      <c r="H41" s="20">
        <v>31</v>
      </c>
      <c r="I41" s="20">
        <v>30.914000000000001</v>
      </c>
      <c r="J41" s="20">
        <v>31.651</v>
      </c>
      <c r="K41" s="20">
        <v>29.209</v>
      </c>
      <c r="L41" s="20">
        <v>29.841999999999999</v>
      </c>
      <c r="M41" s="20">
        <v>28.625</v>
      </c>
      <c r="N41" s="20">
        <v>28.954999999999998</v>
      </c>
      <c r="O41" s="11" t="s">
        <v>86</v>
      </c>
    </row>
    <row r="42" spans="1:15" ht="21" x14ac:dyDescent="0.25">
      <c r="A42" s="23" t="s">
        <v>87</v>
      </c>
      <c r="B42" s="14">
        <f t="shared" si="2"/>
        <v>82.058000000000007</v>
      </c>
      <c r="C42" s="25">
        <v>6.7859999999999996</v>
      </c>
      <c r="D42" s="21">
        <v>6.3339999999999996</v>
      </c>
      <c r="E42" s="21">
        <v>7.0640000000000001</v>
      </c>
      <c r="F42" s="21">
        <v>7.1449999999999996</v>
      </c>
      <c r="G42" s="21">
        <v>6.6680000000000001</v>
      </c>
      <c r="H42" s="21">
        <v>6.9720000000000004</v>
      </c>
      <c r="I42" s="21">
        <v>6.9379999999999997</v>
      </c>
      <c r="J42" s="21">
        <v>6.7670000000000003</v>
      </c>
      <c r="K42" s="21">
        <v>6.34</v>
      </c>
      <c r="L42" s="21">
        <v>6.8239999999999998</v>
      </c>
      <c r="M42" s="21">
        <v>6.617</v>
      </c>
      <c r="N42" s="21">
        <v>7.6029999999999998</v>
      </c>
      <c r="O42" s="2" t="s">
        <v>88</v>
      </c>
    </row>
    <row r="43" spans="1:15" x14ac:dyDescent="0.25">
      <c r="A43" s="15" t="s">
        <v>2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9" t="s">
        <v>3</v>
      </c>
    </row>
  </sheetData>
  <mergeCells count="4">
    <mergeCell ref="A2:O2"/>
    <mergeCell ref="A1:O1"/>
    <mergeCell ref="A3:O3"/>
    <mergeCell ref="A4:O4"/>
  </mergeCells>
  <pageMargins left="0.7" right="0.7" top="0.75" bottom="0.75" header="0.3" footer="0.3"/>
  <pageSetup paperSize="9" scale="48"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581BFE61-94AE-4DAC-9073-59ECF2B7200D}">
            <xm:f>VLOOKUP(CONCATENATE($A9,$C9),Male,COLUMN('D:\#final\[All in one 2015(150094).xlsm]Entry2015 (for other Islands) '!#REF!),FALSE)&lt;3</xm:f>
            <x14:dxf>
              <fill>
                <patternFill>
                  <bgColor theme="5" tint="0.79998168889431442"/>
                </patternFill>
              </fill>
            </x14:dxf>
          </x14:cfRule>
          <xm:sqref>J8:K8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2021-08-22T03:24:51Z</cp:lastPrinted>
  <dcterms:created xsi:type="dcterms:W3CDTF">2019-05-21T05:57:01Z</dcterms:created>
  <dcterms:modified xsi:type="dcterms:W3CDTF">2021-08-22T03:25:03Z</dcterms:modified>
</cp:coreProperties>
</file>