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605"/>
  </bookViews>
  <sheets>
    <sheet name="12.1" sheetId="15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'12.1'!$A$1:$O$38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5" l="1"/>
  <c r="M7" i="15"/>
  <c r="M9" i="15" l="1"/>
  <c r="M6" i="15"/>
  <c r="M19" i="15" l="1"/>
  <c r="M18" i="15"/>
  <c r="M17" i="15"/>
  <c r="M16" i="15"/>
  <c r="M5" i="15"/>
  <c r="M15" i="15" s="1"/>
  <c r="M11" i="15" l="1"/>
  <c r="M13" i="15"/>
  <c r="M14" i="15"/>
  <c r="M10" i="15"/>
  <c r="M12" i="15"/>
  <c r="H18" i="15" l="1"/>
  <c r="H16" i="15"/>
  <c r="H13" i="15"/>
  <c r="K9" i="15"/>
  <c r="J9" i="15"/>
  <c r="J19" i="15" s="1"/>
  <c r="I9" i="15"/>
  <c r="I19" i="15" s="1"/>
  <c r="H9" i="15"/>
  <c r="H19" i="15" s="1"/>
  <c r="F9" i="15"/>
  <c r="E9" i="15"/>
  <c r="E19" i="15" s="1"/>
  <c r="D9" i="15"/>
  <c r="D19" i="15" s="1"/>
  <c r="K8" i="15"/>
  <c r="K5" i="15" s="1"/>
  <c r="J8" i="15"/>
  <c r="I8" i="15"/>
  <c r="H8" i="15"/>
  <c r="I18" i="15" s="1"/>
  <c r="F8" i="15"/>
  <c r="G18" i="15" s="1"/>
  <c r="E8" i="15"/>
  <c r="D8" i="15"/>
  <c r="D18" i="15" s="1"/>
  <c r="K7" i="15"/>
  <c r="J7" i="15"/>
  <c r="I7" i="15"/>
  <c r="H7" i="15"/>
  <c r="H17" i="15" s="1"/>
  <c r="F7" i="15"/>
  <c r="G17" i="15" s="1"/>
  <c r="E7" i="15"/>
  <c r="D7" i="15"/>
  <c r="K6" i="15"/>
  <c r="L16" i="15" s="1"/>
  <c r="J6" i="15"/>
  <c r="I6" i="15"/>
  <c r="I16" i="15" s="1"/>
  <c r="F6" i="15"/>
  <c r="E6" i="15"/>
  <c r="E16" i="15" s="1"/>
  <c r="D6" i="15"/>
  <c r="D16" i="15" s="1"/>
  <c r="L5" i="15"/>
  <c r="L12" i="15" s="1"/>
  <c r="H5" i="15"/>
  <c r="G5" i="15"/>
  <c r="K17" i="15" l="1"/>
  <c r="L17" i="15"/>
  <c r="H12" i="15"/>
  <c r="L13" i="15"/>
  <c r="K11" i="15"/>
  <c r="K10" i="15"/>
  <c r="F5" i="15"/>
  <c r="G16" i="15"/>
  <c r="F16" i="15"/>
  <c r="D5" i="15"/>
  <c r="D11" i="15" s="1"/>
  <c r="D17" i="15"/>
  <c r="I17" i="15"/>
  <c r="E18" i="15"/>
  <c r="J18" i="15"/>
  <c r="K18" i="15"/>
  <c r="G19" i="15"/>
  <c r="F19" i="15"/>
  <c r="L19" i="15"/>
  <c r="K19" i="15"/>
  <c r="K14" i="15"/>
  <c r="E5" i="15"/>
  <c r="E13" i="15" s="1"/>
  <c r="J17" i="15"/>
  <c r="F18" i="15"/>
  <c r="K13" i="15"/>
  <c r="G13" i="15"/>
  <c r="G12" i="15"/>
  <c r="G11" i="15"/>
  <c r="G14" i="15"/>
  <c r="G10" i="15"/>
  <c r="J5" i="15"/>
  <c r="J13" i="15" s="1"/>
  <c r="H15" i="15"/>
  <c r="E11" i="15"/>
  <c r="H10" i="15"/>
  <c r="L10" i="15"/>
  <c r="H14" i="15"/>
  <c r="L14" i="15"/>
  <c r="J16" i="15"/>
  <c r="E17" i="15"/>
  <c r="L18" i="15"/>
  <c r="I5" i="15"/>
  <c r="I12" i="15" s="1"/>
  <c r="H11" i="15"/>
  <c r="L11" i="15"/>
  <c r="K12" i="15"/>
  <c r="F13" i="15"/>
  <c r="L15" i="15"/>
  <c r="K16" i="15"/>
  <c r="F17" i="15"/>
  <c r="D12" i="15" l="1"/>
  <c r="I11" i="15"/>
  <c r="F10" i="15"/>
  <c r="F12" i="15"/>
  <c r="F15" i="15"/>
  <c r="I15" i="15"/>
  <c r="I10" i="15"/>
  <c r="I13" i="15"/>
  <c r="J10" i="15"/>
  <c r="J15" i="15"/>
  <c r="J11" i="15"/>
  <c r="G15" i="15"/>
  <c r="F11" i="15"/>
  <c r="J14" i="15"/>
  <c r="F14" i="15"/>
  <c r="I14" i="15"/>
  <c r="J12" i="15"/>
  <c r="E15" i="15"/>
  <c r="E14" i="15"/>
  <c r="E10" i="15"/>
  <c r="E12" i="15"/>
  <c r="D15" i="15"/>
  <c r="D14" i="15"/>
  <c r="D10" i="15"/>
  <c r="D13" i="15"/>
  <c r="K15" i="15"/>
</calcChain>
</file>

<file path=xl/sharedStrings.xml><?xml version="1.0" encoding="utf-8"?>
<sst xmlns="http://schemas.openxmlformats.org/spreadsheetml/2006/main" count="37" uniqueCount="22">
  <si>
    <t xml:space="preserve"> % cnutogWviawfiheb</t>
  </si>
  <si>
    <t>% change over previous year</t>
  </si>
  <si>
    <t xml:space="preserve"> % urwvcnim ivurutia eruvcSwrwhwa Iruk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</si>
  <si>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</si>
  <si>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</si>
  <si>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</si>
  <si>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</si>
  <si>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</si>
  <si>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</si>
  <si>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</si>
  <si>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</si>
  <si>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</si>
  <si>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</si>
  <si>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r>
      <t>Public Places and  Schools</t>
    </r>
    <r>
      <rPr>
        <vertAlign val="superscript"/>
        <sz val="10"/>
        <rFont val="Calibri"/>
        <family val="2"/>
        <scheme val="minor"/>
      </rPr>
      <t>1_/</t>
    </r>
  </si>
  <si>
    <t xml:space="preserve"> cawtclUkcs iaWnwtcnwt wncnuh cSwmunEb umcaWA</t>
  </si>
  <si>
    <t>%  share</t>
  </si>
  <si>
    <t>Public Places and  Schools</t>
  </si>
  <si>
    <t>Note: 1_/ -  The increase of  electricity utilization in Public Places and schools in 2017 and 2018 is  is due to  Includes TERTIARY HOSPITAL</t>
  </si>
  <si>
    <t>Source: State Electric Company Limited</t>
  </si>
  <si>
    <t>cDeTimil Inepcmok ckircTckeliacTETcs :ctWrwf ivcaedutWmUluAwm</t>
  </si>
  <si>
    <t>Table 12.1 :   ELECTRICITY UTILIZATION IN MALE', 2010 - 2020</t>
  </si>
  <si>
    <t>2020 - 2010 ,ctogEveruk cnunEb cTcnwrwk iawgElWm : 12.1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</si>
</sst>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_Faseyh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2" fillId="2" borderId="4" xfId="0" applyFont="1" applyFill="1" applyBorder="1" applyAlignment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>
      <alignment vertical="center"/>
    </xf>
    <xf numFmtId="0" fontId="3" fillId="2" borderId="8" xfId="0" applyFont="1" applyFill="1" applyBorder="1" applyAlignment="1" applyProtection="1">
      <alignment vertical="center"/>
    </xf>
    <xf numFmtId="0" fontId="3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vertical="center"/>
    </xf>
    <xf numFmtId="0" fontId="3" fillId="2" borderId="12" xfId="0" applyFont="1" applyFill="1" applyBorder="1" applyAlignment="1" applyProtection="1">
      <alignment horizontal="left" vertical="center"/>
    </xf>
    <xf numFmtId="3" fontId="3" fillId="2" borderId="7" xfId="0" applyNumberFormat="1" applyFont="1" applyFill="1" applyBorder="1" applyAlignment="1" applyProtection="1">
      <alignment horizontal="right" vertical="center"/>
    </xf>
    <xf numFmtId="164" fontId="3" fillId="2" borderId="7" xfId="1" applyNumberFormat="1" applyFont="1" applyFill="1" applyBorder="1" applyAlignment="1" applyProtection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7" fillId="2" borderId="13" xfId="0" applyFont="1" applyFill="1" applyBorder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right" vertical="center"/>
    </xf>
    <xf numFmtId="164" fontId="7" fillId="2" borderId="11" xfId="1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164" fontId="7" fillId="2" borderId="4" xfId="1" applyNumberFormat="1" applyFont="1" applyFill="1" applyBorder="1" applyAlignment="1">
      <alignment vertical="center"/>
    </xf>
    <xf numFmtId="0" fontId="7" fillId="2" borderId="14" xfId="0" applyFont="1" applyFill="1" applyBorder="1" applyAlignment="1" applyProtection="1">
      <alignment horizontal="left" vertical="center"/>
    </xf>
    <xf numFmtId="0" fontId="8" fillId="2" borderId="4" xfId="0" applyFont="1" applyFill="1" applyBorder="1" applyAlignment="1">
      <alignment horizontal="right" vertical="center"/>
    </xf>
    <xf numFmtId="3" fontId="3" fillId="2" borderId="15" xfId="0" applyNumberFormat="1" applyFont="1" applyFill="1" applyBorder="1" applyAlignment="1" applyProtection="1">
      <alignment horizontal="right" vertical="center"/>
    </xf>
    <xf numFmtId="1" fontId="3" fillId="2" borderId="15" xfId="1" applyNumberFormat="1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1" fontId="7" fillId="2" borderId="11" xfId="1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 applyProtection="1">
      <alignment vertical="center"/>
      <protection locked="0"/>
    </xf>
    <xf numFmtId="1" fontId="7" fillId="2" borderId="4" xfId="0" applyNumberFormat="1" applyFont="1" applyFill="1" applyBorder="1" applyAlignment="1">
      <alignment vertical="center"/>
    </xf>
    <xf numFmtId="3" fontId="7" fillId="2" borderId="16" xfId="0" applyNumberFormat="1" applyFont="1" applyFill="1" applyBorder="1" applyAlignment="1" applyProtection="1">
      <alignment vertical="center"/>
      <protection locked="0"/>
    </xf>
    <xf numFmtId="1" fontId="7" fillId="2" borderId="16" xfId="0" applyNumberFormat="1" applyFont="1" applyFill="1" applyBorder="1" applyAlignment="1">
      <alignment vertical="center"/>
    </xf>
    <xf numFmtId="0" fontId="8" fillId="2" borderId="16" xfId="0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1" fontId="3" fillId="2" borderId="7" xfId="1" applyNumberFormat="1" applyFont="1" applyFill="1" applyBorder="1" applyAlignment="1">
      <alignment horizontal="right" vertical="center"/>
    </xf>
    <xf numFmtId="3" fontId="7" fillId="2" borderId="4" xfId="1" applyNumberFormat="1" applyFont="1" applyFill="1" applyBorder="1" applyAlignment="1">
      <alignment vertical="center"/>
    </xf>
    <xf numFmtId="0" fontId="7" fillId="2" borderId="17" xfId="0" applyFont="1" applyFill="1" applyBorder="1" applyAlignment="1" applyProtection="1">
      <alignment horizontal="left" vertical="center"/>
    </xf>
    <xf numFmtId="3" fontId="7" fillId="2" borderId="18" xfId="1" applyNumberFormat="1" applyFont="1" applyFill="1" applyBorder="1" applyAlignment="1">
      <alignment vertical="center"/>
    </xf>
    <xf numFmtId="1" fontId="7" fillId="2" borderId="18" xfId="1" applyNumberFormat="1" applyFont="1" applyFill="1" applyBorder="1" applyAlignment="1">
      <alignment vertical="center"/>
    </xf>
    <xf numFmtId="0" fontId="8" fillId="2" borderId="18" xfId="0" applyFont="1" applyFill="1" applyBorder="1" applyAlignment="1">
      <alignment horizontal="right" vertical="center"/>
    </xf>
    <xf numFmtId="0" fontId="9" fillId="2" borderId="12" xfId="0" applyFont="1" applyFill="1" applyBorder="1" applyAlignment="1" applyProtection="1">
      <alignment horizontal="left" vertical="center"/>
    </xf>
    <xf numFmtId="3" fontId="10" fillId="2" borderId="7" xfId="1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/>
    </xf>
    <xf numFmtId="0" fontId="6" fillId="2" borderId="13" xfId="0" applyFont="1" applyFill="1" applyBorder="1" applyAlignment="1" applyProtection="1">
      <alignment horizontal="left" vertical="center"/>
    </xf>
    <xf numFmtId="3" fontId="6" fillId="2" borderId="11" xfId="1" applyNumberFormat="1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vertical="center"/>
    </xf>
    <xf numFmtId="0" fontId="6" fillId="2" borderId="11" xfId="0" applyFont="1" applyFill="1" applyBorder="1" applyAlignment="1" applyProtection="1">
      <alignment horizontal="left" vertical="center"/>
    </xf>
    <xf numFmtId="0" fontId="6" fillId="2" borderId="13" xfId="0" applyFont="1" applyFill="1" applyBorder="1" applyAlignment="1">
      <alignment vertical="center"/>
    </xf>
    <xf numFmtId="0" fontId="0" fillId="2" borderId="11" xfId="0" applyFill="1" applyBorder="1"/>
    <xf numFmtId="0" fontId="13" fillId="2" borderId="11" xfId="0" applyFont="1" applyFill="1" applyBorder="1" applyAlignment="1">
      <alignment horizontal="right"/>
    </xf>
    <xf numFmtId="1" fontId="6" fillId="2" borderId="11" xfId="0" applyNumberFormat="1" applyFont="1" applyFill="1" applyBorder="1"/>
    <xf numFmtId="0" fontId="6" fillId="2" borderId="11" xfId="0" applyFont="1" applyFill="1" applyBorder="1"/>
    <xf numFmtId="3" fontId="0" fillId="2" borderId="11" xfId="0" applyNumberFormat="1" applyFill="1" applyBorder="1"/>
    <xf numFmtId="1" fontId="0" fillId="2" borderId="11" xfId="0" applyNumberFormat="1" applyFill="1" applyBorder="1"/>
    <xf numFmtId="164" fontId="6" fillId="2" borderId="11" xfId="2" applyNumberFormat="1" applyFont="1" applyFill="1" applyBorder="1" applyAlignment="1" applyProtection="1">
      <alignment horizontal="right" vertical="center"/>
      <protection locked="0"/>
    </xf>
    <xf numFmtId="3" fontId="14" fillId="2" borderId="7" xfId="0" applyNumberFormat="1" applyFont="1" applyFill="1" applyBorder="1" applyAlignment="1" applyProtection="1">
      <alignment horizontal="right" vertical="center"/>
    </xf>
    <xf numFmtId="164" fontId="14" fillId="2" borderId="7" xfId="1" applyNumberFormat="1" applyFont="1" applyFill="1" applyBorder="1" applyAlignment="1" applyProtection="1">
      <alignment horizontal="right" vertical="center"/>
    </xf>
    <xf numFmtId="165" fontId="6" fillId="2" borderId="11" xfId="0" applyNumberFormat="1" applyFont="1" applyFill="1" applyBorder="1"/>
    <xf numFmtId="0" fontId="0" fillId="2" borderId="13" xfId="0" applyFill="1" applyBorder="1"/>
    <xf numFmtId="3" fontId="7" fillId="2" borderId="10" xfId="1" applyNumberFormat="1" applyFont="1" applyFill="1" applyBorder="1" applyAlignment="1">
      <alignment vertical="center"/>
    </xf>
    <xf numFmtId="1" fontId="7" fillId="2" borderId="10" xfId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/>
    </xf>
    <xf numFmtId="0" fontId="18" fillId="2" borderId="6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5" fillId="2" borderId="0" xfId="0" applyFont="1" applyFill="1" applyBorder="1" applyAlignment="1" applyProtection="1">
      <alignment horizontal="center" vertic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 2 2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12.1:  Electricity utilization in Male', 2009 - 2020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4911783693106584"/>
          <c:y val="4.6344891099138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0924525367902"/>
          <c:y val="0.19432888597258677"/>
          <c:w val="0.84735454746792194"/>
          <c:h val="0.69827172645086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'12.1'!$C$4:$M$4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'12.1'!$C$5:$M$5</c:f>
              <c:numCache>
                <c:formatCode>_(* #,##0_);_(* \(#,##0\);_(* "-"??_);_(@_)</c:formatCode>
                <c:ptCount val="11"/>
                <c:pt idx="0" formatCode="#,##0">
                  <c:v>195722.55800000002</c:v>
                </c:pt>
                <c:pt idx="1">
                  <c:v>211889.32699999999</c:v>
                </c:pt>
                <c:pt idx="2" formatCode="#,##0">
                  <c:v>219663.37332000001</c:v>
                </c:pt>
                <c:pt idx="3" formatCode="#,##0">
                  <c:v>232023.39200000002</c:v>
                </c:pt>
                <c:pt idx="4" formatCode="#,##0">
                  <c:v>239067</c:v>
                </c:pt>
                <c:pt idx="5" formatCode="#,##0">
                  <c:v>260445.08562</c:v>
                </c:pt>
                <c:pt idx="6" formatCode="#,##0">
                  <c:v>271814.04891000001</c:v>
                </c:pt>
                <c:pt idx="7" formatCode="#,##0">
                  <c:v>304527.45199199999</c:v>
                </c:pt>
                <c:pt idx="8" formatCode="#,##0">
                  <c:v>318850.96300000005</c:v>
                </c:pt>
                <c:pt idx="9" formatCode="#,##0">
                  <c:v>356353.60600000003</c:v>
                </c:pt>
                <c:pt idx="10" formatCode="#,##0">
                  <c:v>349092.49200000003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1-44FE-BCF6-B969F127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overlap val="-27"/>
        <c:axId val="462056392"/>
        <c:axId val="462054040"/>
      </c:barChart>
      <c:catAx>
        <c:axId val="46205639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4040"/>
        <c:crosses val="autoZero"/>
        <c:auto val="1"/>
        <c:lblAlgn val="ctr"/>
        <c:lblOffset val="100"/>
        <c:noMultiLvlLbl val="0"/>
      </c:catAx>
      <c:valAx>
        <c:axId val="4620540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5639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12.2:  Percentage of Electricity utilization in  Male' by type, 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050313626050981"/>
          <c:y val="4.2007275406363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75603049618798E-2"/>
          <c:y val="0.29610819480898221"/>
          <c:w val="0.82511364650847219"/>
          <c:h val="0.6674595363079615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2CE-4A48-82B4-13F9D016B9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CE-4A48-82B4-13F9D016B9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CE-4A48-82B4-13F9D016B9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2CE-4A48-82B4-13F9D016B919}"/>
              </c:ext>
            </c:extLst>
          </c:dPt>
          <c:dLbls>
            <c:dLbl>
              <c:idx val="0"/>
              <c:layout>
                <c:manualLayout>
                  <c:x val="-0.19781190757220232"/>
                  <c:y val="-0.120620724923264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2CE-4A48-82B4-13F9D016B919}"/>
                </c:ext>
              </c:extLst>
            </c:dLbl>
            <c:dLbl>
              <c:idx val="2"/>
              <c:layout>
                <c:manualLayout>
                  <c:x val="3.3112843164909839E-2"/>
                  <c:y val="-1.84070447501976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2CE-4A48-82B4-13F9D016B919}"/>
                </c:ext>
              </c:extLst>
            </c:dLbl>
            <c:dLbl>
              <c:idx val="3"/>
              <c:layout>
                <c:manualLayout>
                  <c:x val="7.8644233663372573E-2"/>
                  <c:y val="7.20889429794056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52283038462204"/>
                      <c:h val="0.18390699201677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2CE-4A48-82B4-13F9D016B9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'12.1'!$A$11:$A$14</c:f>
              <c:strCache>
                <c:ptCount val="4"/>
                <c:pt idx="0">
                  <c:v>Residential </c:v>
                </c:pt>
                <c:pt idx="1">
                  <c:v>Manufacturing and  Commercial</c:v>
                </c:pt>
                <c:pt idx="2">
                  <c:v>Government Buildings</c:v>
                </c:pt>
                <c:pt idx="3">
                  <c:v>Public Places and  Schools</c:v>
                </c:pt>
              </c:strCache>
            </c:strRef>
          </c:cat>
          <c:val>
            <c:numRef>
              <c:f>'12.1'!$M$11:$M$14</c:f>
              <c:numCache>
                <c:formatCode>0</c:formatCode>
                <c:ptCount val="4"/>
                <c:pt idx="0">
                  <c:v>57.865616027055658</c:v>
                </c:pt>
                <c:pt idx="1">
                  <c:v>28.929402755531047</c:v>
                </c:pt>
                <c:pt idx="2">
                  <c:v>8.5212866737907369</c:v>
                </c:pt>
                <c:pt idx="3">
                  <c:v>4.6836945436225532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A48-82B4-13F9D016B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21</xdr:row>
      <xdr:rowOff>161925</xdr:rowOff>
    </xdr:from>
    <xdr:to>
      <xdr:col>6</xdr:col>
      <xdr:colOff>676274</xdr:colOff>
      <xdr:row>36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141266</xdr:colOff>
      <xdr:row>27</xdr:row>
      <xdr:rowOff>117295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-112926" y="5800737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7</xdr:col>
      <xdr:colOff>133350</xdr:colOff>
      <xdr:row>21</xdr:row>
      <xdr:rowOff>180975</xdr:rowOff>
    </xdr:from>
    <xdr:to>
      <xdr:col>13</xdr:col>
      <xdr:colOff>2038350</xdr:colOff>
      <xdr:row>36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61"/>
  <sheetViews>
    <sheetView tabSelected="1" zoomScale="98" zoomScaleNormal="98" workbookViewId="0">
      <selection activeCell="Q14" sqref="Q14"/>
    </sheetView>
  </sheetViews>
  <sheetFormatPr defaultColWidth="11.140625" defaultRowHeight="12.75" x14ac:dyDescent="0.25"/>
  <cols>
    <col min="1" max="1" width="26.5703125" style="51" customWidth="1"/>
    <col min="2" max="2" width="11.140625" style="22" hidden="1" customWidth="1"/>
    <col min="3" max="13" width="11.140625" style="22" customWidth="1"/>
    <col min="14" max="14" width="34.5703125" style="22" customWidth="1"/>
    <col min="15" max="15" width="6.85546875" style="22" customWidth="1"/>
    <col min="16" max="18" width="22.5703125" style="22" customWidth="1"/>
    <col min="19" max="19" width="25" style="22" customWidth="1"/>
    <col min="20" max="20" width="9.28515625" style="22" customWidth="1"/>
    <col min="21" max="31" width="8.5703125" style="22" customWidth="1"/>
    <col min="32" max="32" width="10" style="22" customWidth="1"/>
    <col min="33" max="35" width="11.140625" style="22"/>
    <col min="36" max="36" width="12.42578125" style="22" bestFit="1" customWidth="1"/>
    <col min="37" max="16384" width="11.140625" style="22"/>
  </cols>
  <sheetData>
    <row r="1" spans="1:19" s="1" customFormat="1" ht="18.75" x14ac:dyDescent="0.45">
      <c r="A1" s="70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  <c r="O1" s="68"/>
      <c r="P1" s="68"/>
      <c r="Q1" s="68"/>
      <c r="R1" s="68"/>
    </row>
    <row r="2" spans="1:19" s="3" customFormat="1" ht="15.75" x14ac:dyDescent="0.25">
      <c r="A2" s="72" t="s">
        <v>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"/>
      <c r="P2" s="2"/>
      <c r="Q2" s="2"/>
      <c r="R2" s="2"/>
    </row>
    <row r="3" spans="1:19" s="7" customForma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6"/>
      <c r="P3" s="6"/>
      <c r="Q3" s="6"/>
      <c r="R3" s="6"/>
    </row>
    <row r="4" spans="1:19" s="12" customFormat="1" ht="15.75" x14ac:dyDescent="0.25">
      <c r="A4" s="8" t="s">
        <v>3</v>
      </c>
      <c r="B4" s="9">
        <v>2009</v>
      </c>
      <c r="C4" s="9">
        <v>2010</v>
      </c>
      <c r="D4" s="9">
        <v>2011</v>
      </c>
      <c r="E4" s="9">
        <v>2012</v>
      </c>
      <c r="F4" s="9">
        <v>2013</v>
      </c>
      <c r="G4" s="9">
        <v>2014</v>
      </c>
      <c r="H4" s="9">
        <v>2015</v>
      </c>
      <c r="I4" s="9">
        <v>2016</v>
      </c>
      <c r="J4" s="9">
        <v>2017</v>
      </c>
      <c r="K4" s="9">
        <v>2018</v>
      </c>
      <c r="L4" s="9">
        <v>2019</v>
      </c>
      <c r="M4" s="9">
        <v>2020</v>
      </c>
      <c r="N4" s="10" t="s">
        <v>4</v>
      </c>
      <c r="O4" s="11"/>
      <c r="P4" s="11"/>
      <c r="Q4" s="11"/>
      <c r="R4" s="11"/>
    </row>
    <row r="5" spans="1:19" s="17" customFormat="1" ht="15.75" x14ac:dyDescent="0.25">
      <c r="A5" s="13" t="s">
        <v>5</v>
      </c>
      <c r="B5" s="14">
        <v>187110.266</v>
      </c>
      <c r="C5" s="14">
        <v>195722.55800000002</v>
      </c>
      <c r="D5" s="15">
        <f t="shared" ref="D5:L5" si="0">SUM(D6:D9)</f>
        <v>211889.32699999999</v>
      </c>
      <c r="E5" s="14">
        <f t="shared" si="0"/>
        <v>219663.37332000001</v>
      </c>
      <c r="F5" s="14">
        <f t="shared" si="0"/>
        <v>232023.39200000002</v>
      </c>
      <c r="G5" s="14">
        <f t="shared" si="0"/>
        <v>239067</v>
      </c>
      <c r="H5" s="14">
        <f t="shared" si="0"/>
        <v>260445.08562</v>
      </c>
      <c r="I5" s="14">
        <f t="shared" si="0"/>
        <v>271814.04891000001</v>
      </c>
      <c r="J5" s="14">
        <f t="shared" si="0"/>
        <v>304527.45199199999</v>
      </c>
      <c r="K5" s="14">
        <f t="shared" si="0"/>
        <v>318850.96300000005</v>
      </c>
      <c r="L5" s="14">
        <f t="shared" si="0"/>
        <v>356353.60600000003</v>
      </c>
      <c r="M5" s="14">
        <f t="shared" ref="M5" si="1">SUM(M6:M9)</f>
        <v>349092.49200000003</v>
      </c>
      <c r="N5" s="16" t="s">
        <v>6</v>
      </c>
      <c r="O5" s="16"/>
      <c r="P5" s="16"/>
      <c r="Q5" s="16"/>
      <c r="R5" s="16"/>
    </row>
    <row r="6" spans="1:19" ht="15.75" x14ac:dyDescent="0.25">
      <c r="A6" s="18" t="s">
        <v>7</v>
      </c>
      <c r="B6" s="19">
        <v>88944.971999999994</v>
      </c>
      <c r="C6" s="19">
        <v>95038.9</v>
      </c>
      <c r="D6" s="20">
        <f>103656318/1000</f>
        <v>103656.318</v>
      </c>
      <c r="E6" s="19">
        <f>111363653/1000</f>
        <v>111363.65300000001</v>
      </c>
      <c r="F6" s="19">
        <f>119971440/1000</f>
        <v>119971.44</v>
      </c>
      <c r="G6" s="19">
        <v>123902</v>
      </c>
      <c r="H6" s="19">
        <v>137096</v>
      </c>
      <c r="I6" s="19">
        <f>137727445.83/1000</f>
        <v>137727.44583000001</v>
      </c>
      <c r="J6" s="19">
        <f>158915802.98/1000</f>
        <v>158915.80297999998</v>
      </c>
      <c r="K6" s="19">
        <f>166585834/1000</f>
        <v>166585.834</v>
      </c>
      <c r="L6" s="19">
        <v>189659.94099999999</v>
      </c>
      <c r="M6" s="19">
        <f>202004521/1000</f>
        <v>202004.52100000001</v>
      </c>
      <c r="N6" s="21" t="s">
        <v>8</v>
      </c>
      <c r="O6" s="16"/>
      <c r="P6" s="21"/>
      <c r="Q6" s="21"/>
      <c r="R6" s="21"/>
      <c r="S6" s="17"/>
    </row>
    <row r="7" spans="1:19" ht="15.75" x14ac:dyDescent="0.25">
      <c r="A7" s="18" t="s">
        <v>9</v>
      </c>
      <c r="B7" s="23">
        <v>65606.008000000002</v>
      </c>
      <c r="C7" s="23">
        <v>71403.343999999997</v>
      </c>
      <c r="D7" s="24">
        <f>77813511/1000</f>
        <v>77813.510999999999</v>
      </c>
      <c r="E7" s="23">
        <f>79364129.32/1000</f>
        <v>79364.129319999993</v>
      </c>
      <c r="F7" s="23">
        <f>82565573/1000</f>
        <v>82565.573000000004</v>
      </c>
      <c r="G7" s="23">
        <v>85616</v>
      </c>
      <c r="H7" s="23">
        <f>91503609/1000</f>
        <v>91503.608999999997</v>
      </c>
      <c r="I7" s="23">
        <f>100920014.08/1000</f>
        <v>100920.01407999999</v>
      </c>
      <c r="J7" s="23">
        <f>104096665.01/1000</f>
        <v>104096.66501000001</v>
      </c>
      <c r="K7" s="23">
        <f>109946317/1000</f>
        <v>109946.317</v>
      </c>
      <c r="L7" s="23">
        <v>118499.515</v>
      </c>
      <c r="M7" s="23">
        <f>100990373/1000</f>
        <v>100990.37300000001</v>
      </c>
      <c r="N7" s="21" t="s">
        <v>10</v>
      </c>
      <c r="O7" s="16"/>
      <c r="P7" s="21"/>
      <c r="Q7" s="21"/>
      <c r="R7" s="21"/>
      <c r="S7" s="17"/>
    </row>
    <row r="8" spans="1:19" ht="15.75" x14ac:dyDescent="0.25">
      <c r="A8" s="18" t="s">
        <v>11</v>
      </c>
      <c r="B8" s="19">
        <v>29244.899000000001</v>
      </c>
      <c r="C8" s="19">
        <v>25529.73</v>
      </c>
      <c r="D8" s="20">
        <f>26612399/1000</f>
        <v>26612.399000000001</v>
      </c>
      <c r="E8" s="19">
        <f>25667565/1000</f>
        <v>25667.564999999999</v>
      </c>
      <c r="F8" s="19">
        <f>26271621/1000</f>
        <v>26271.620999999999</v>
      </c>
      <c r="G8" s="19">
        <v>26534</v>
      </c>
      <c r="H8" s="19">
        <f>28589806.62/1000</f>
        <v>28589.806619999999</v>
      </c>
      <c r="I8" s="19">
        <f>30685177/1000</f>
        <v>30685.177</v>
      </c>
      <c r="J8" s="19">
        <f>31176746.002/1000</f>
        <v>31176.746002</v>
      </c>
      <c r="K8" s="19">
        <f>29469195/1000</f>
        <v>29469.195</v>
      </c>
      <c r="L8" s="19">
        <v>32819.432999999997</v>
      </c>
      <c r="M8" s="19">
        <f>29747172/1000</f>
        <v>29747.171999999999</v>
      </c>
      <c r="N8" s="21" t="s">
        <v>12</v>
      </c>
      <c r="O8" s="16"/>
      <c r="P8" s="21"/>
      <c r="Q8" s="21"/>
      <c r="R8" s="21"/>
      <c r="S8" s="17"/>
    </row>
    <row r="9" spans="1:19" ht="15.75" x14ac:dyDescent="0.25">
      <c r="A9" s="25" t="s">
        <v>13</v>
      </c>
      <c r="B9" s="23">
        <v>3314.3870000000002</v>
      </c>
      <c r="C9" s="23">
        <v>3750.5839999999998</v>
      </c>
      <c r="D9" s="24">
        <f>3807099/1000</f>
        <v>3807.0990000000002</v>
      </c>
      <c r="E9" s="23">
        <f>3268026/1000</f>
        <v>3268.0259999999998</v>
      </c>
      <c r="F9" s="23">
        <f>3214758/1000</f>
        <v>3214.7579999999998</v>
      </c>
      <c r="G9" s="23">
        <v>3015</v>
      </c>
      <c r="H9" s="23">
        <f>3255670/1000</f>
        <v>3255.67</v>
      </c>
      <c r="I9" s="23">
        <f>2481412/1000</f>
        <v>2481.4119999999998</v>
      </c>
      <c r="J9" s="23">
        <f>10338238/1000</f>
        <v>10338.237999999999</v>
      </c>
      <c r="K9" s="23">
        <f>12849617/1000</f>
        <v>12849.617</v>
      </c>
      <c r="L9" s="23">
        <v>15374.717000000001</v>
      </c>
      <c r="M9" s="23">
        <f>16350426/1000</f>
        <v>16350.425999999999</v>
      </c>
      <c r="N9" s="26" t="s">
        <v>14</v>
      </c>
      <c r="O9" s="16"/>
      <c r="P9" s="26"/>
      <c r="Q9" s="26"/>
      <c r="R9" s="26"/>
      <c r="S9" s="17"/>
    </row>
    <row r="10" spans="1:19" s="17" customFormat="1" ht="15.75" x14ac:dyDescent="0.25">
      <c r="A10" s="13" t="s">
        <v>15</v>
      </c>
      <c r="B10" s="27">
        <v>100</v>
      </c>
      <c r="C10" s="27">
        <v>100</v>
      </c>
      <c r="D10" s="28">
        <f t="shared" ref="D10:L10" si="2">D5/D5*100</f>
        <v>100</v>
      </c>
      <c r="E10" s="28">
        <f t="shared" si="2"/>
        <v>100</v>
      </c>
      <c r="F10" s="28">
        <f t="shared" si="2"/>
        <v>100</v>
      </c>
      <c r="G10" s="28">
        <f t="shared" si="2"/>
        <v>100</v>
      </c>
      <c r="H10" s="28">
        <f t="shared" si="2"/>
        <v>100</v>
      </c>
      <c r="I10" s="28">
        <f t="shared" si="2"/>
        <v>100</v>
      </c>
      <c r="J10" s="28">
        <f t="shared" si="2"/>
        <v>100</v>
      </c>
      <c r="K10" s="28">
        <f t="shared" si="2"/>
        <v>100</v>
      </c>
      <c r="L10" s="28">
        <f t="shared" si="2"/>
        <v>100</v>
      </c>
      <c r="M10" s="28">
        <f t="shared" ref="M10" si="3">M5/M5*100</f>
        <v>100</v>
      </c>
      <c r="N10" s="29" t="s">
        <v>0</v>
      </c>
      <c r="O10" s="16"/>
      <c r="P10" s="16"/>
      <c r="Q10" s="16"/>
      <c r="R10" s="16"/>
    </row>
    <row r="11" spans="1:19" ht="15.75" x14ac:dyDescent="0.25">
      <c r="A11" s="18" t="s">
        <v>7</v>
      </c>
      <c r="B11" s="30">
        <v>47.536126104379498</v>
      </c>
      <c r="C11" s="30">
        <v>48.557969490670558</v>
      </c>
      <c r="D11" s="31">
        <f t="shared" ref="D11:G11" si="4">D6/D5*100</f>
        <v>48.920027954027148</v>
      </c>
      <c r="E11" s="31">
        <f t="shared" si="4"/>
        <v>50.697415466605023</v>
      </c>
      <c r="F11" s="31">
        <f t="shared" si="4"/>
        <v>51.706614133112915</v>
      </c>
      <c r="G11" s="31">
        <f t="shared" si="4"/>
        <v>51.827312008767414</v>
      </c>
      <c r="H11" s="31">
        <f t="shared" ref="H11:M11" si="5">H6/H5*100</f>
        <v>52.639119557060354</v>
      </c>
      <c r="I11" s="31">
        <f t="shared" si="5"/>
        <v>50.669730421330343</v>
      </c>
      <c r="J11" s="31">
        <f t="shared" si="5"/>
        <v>52.184393210033079</v>
      </c>
      <c r="K11" s="31">
        <f t="shared" si="5"/>
        <v>52.245673788352335</v>
      </c>
      <c r="L11" s="31">
        <f t="shared" si="5"/>
        <v>53.222399831699754</v>
      </c>
      <c r="M11" s="31">
        <f t="shared" si="5"/>
        <v>57.865616027055658</v>
      </c>
      <c r="N11" s="21" t="s">
        <v>8</v>
      </c>
      <c r="O11" s="16"/>
      <c r="P11" s="21"/>
      <c r="Q11" s="21"/>
      <c r="R11" s="21"/>
      <c r="S11" s="17"/>
    </row>
    <row r="12" spans="1:19" ht="15.75" x14ac:dyDescent="0.25">
      <c r="A12" s="18" t="s">
        <v>9</v>
      </c>
      <c r="B12" s="32">
        <v>35.062751714542486</v>
      </c>
      <c r="C12" s="32">
        <v>36.481918451116904</v>
      </c>
      <c r="D12" s="33">
        <f t="shared" ref="D12:J12" si="6">D7/D5*100</f>
        <v>36.723657629060291</v>
      </c>
      <c r="E12" s="33">
        <f t="shared" si="6"/>
        <v>36.129887345572328</v>
      </c>
      <c r="F12" s="33">
        <f t="shared" si="6"/>
        <v>35.585021099941507</v>
      </c>
      <c r="G12" s="33">
        <f t="shared" si="6"/>
        <v>35.812554639494365</v>
      </c>
      <c r="H12" s="33">
        <f t="shared" si="6"/>
        <v>35.133551774329689</v>
      </c>
      <c r="I12" s="33">
        <f t="shared" si="6"/>
        <v>37.128328901577667</v>
      </c>
      <c r="J12" s="33">
        <f t="shared" si="6"/>
        <v>34.18301513675511</v>
      </c>
      <c r="K12" s="33">
        <f>K7/K5*100</f>
        <v>34.482040124809025</v>
      </c>
      <c r="L12" s="33">
        <f>L7/L5*100</f>
        <v>33.253350886534875</v>
      </c>
      <c r="M12" s="33">
        <f>M7/M5*100</f>
        <v>28.929402755531047</v>
      </c>
      <c r="N12" s="21" t="s">
        <v>10</v>
      </c>
      <c r="O12" s="16"/>
      <c r="P12" s="21"/>
      <c r="Q12" s="21"/>
      <c r="R12" s="21"/>
      <c r="S12" s="17"/>
    </row>
    <row r="13" spans="1:19" ht="15.75" x14ac:dyDescent="0.25">
      <c r="A13" s="18" t="s">
        <v>11</v>
      </c>
      <c r="B13" s="19">
        <v>15.629767209031709</v>
      </c>
      <c r="C13" s="19">
        <v>13.043836265414024</v>
      </c>
      <c r="D13" s="31">
        <f t="shared" ref="D13:I13" si="7">D8/D5*100</f>
        <v>12.559575027580319</v>
      </c>
      <c r="E13" s="31">
        <f t="shared" si="7"/>
        <v>11.684954397294147</v>
      </c>
      <c r="F13" s="31">
        <f t="shared" si="7"/>
        <v>11.322832915053667</v>
      </c>
      <c r="G13" s="31">
        <f t="shared" si="7"/>
        <v>11.098980620495508</v>
      </c>
      <c r="H13" s="31">
        <f t="shared" si="7"/>
        <v>10.977287804045453</v>
      </c>
      <c r="I13" s="31">
        <f t="shared" si="7"/>
        <v>11.289032749797318</v>
      </c>
      <c r="J13" s="31">
        <f>J8/J5*100</f>
        <v>10.237745660716007</v>
      </c>
      <c r="K13" s="31">
        <f>K8/K5*100</f>
        <v>9.242310176118238</v>
      </c>
      <c r="L13" s="31">
        <f>L8/L5*100</f>
        <v>9.2097939932169499</v>
      </c>
      <c r="M13" s="31">
        <f>M8/M5*100</f>
        <v>8.5212866737907369</v>
      </c>
      <c r="N13" s="21" t="s">
        <v>12</v>
      </c>
      <c r="O13" s="16"/>
      <c r="P13" s="21"/>
      <c r="Q13" s="21"/>
      <c r="R13" s="21"/>
      <c r="S13" s="17"/>
    </row>
    <row r="14" spans="1:19" ht="15.75" x14ac:dyDescent="0.25">
      <c r="A14" s="25" t="s">
        <v>16</v>
      </c>
      <c r="B14" s="34">
        <v>1.7713549720462696</v>
      </c>
      <c r="C14" s="34">
        <v>1.9162757927984977</v>
      </c>
      <c r="D14" s="35">
        <f t="shared" ref="D14:J14" si="8">D9/D5*100</f>
        <v>1.7967393893322434</v>
      </c>
      <c r="E14" s="35">
        <f t="shared" si="8"/>
        <v>1.4877427905284977</v>
      </c>
      <c r="F14" s="35">
        <f t="shared" si="8"/>
        <v>1.3855318518918986</v>
      </c>
      <c r="G14" s="35">
        <f t="shared" si="8"/>
        <v>1.261152731242706</v>
      </c>
      <c r="H14" s="35">
        <f t="shared" si="8"/>
        <v>1.2500408645644998</v>
      </c>
      <c r="I14" s="35">
        <f t="shared" si="8"/>
        <v>0.9129079272946693</v>
      </c>
      <c r="J14" s="35">
        <f t="shared" si="8"/>
        <v>3.3948459924958057</v>
      </c>
      <c r="K14" s="35">
        <f>K9/K5*100</f>
        <v>4.0299759107203945</v>
      </c>
      <c r="L14" s="35">
        <f>L9/L5*100</f>
        <v>4.3144552885484195</v>
      </c>
      <c r="M14" s="35">
        <f>M9/M5*100</f>
        <v>4.6836945436225532</v>
      </c>
      <c r="N14" s="36" t="s">
        <v>14</v>
      </c>
      <c r="O14" s="16"/>
      <c r="P14" s="26"/>
      <c r="Q14" s="26"/>
      <c r="R14" s="26"/>
      <c r="S14" s="17"/>
    </row>
    <row r="15" spans="1:19" s="17" customFormat="1" ht="15.75" x14ac:dyDescent="0.25">
      <c r="A15" s="13" t="s">
        <v>1</v>
      </c>
      <c r="B15" s="37">
        <v>7.9248571813147315</v>
      </c>
      <c r="C15" s="37">
        <v>4.6027896726949482</v>
      </c>
      <c r="D15" s="38">
        <f t="shared" ref="D15:M19" si="9">(D5-C5)/C5*100</f>
        <v>8.2600437911709541</v>
      </c>
      <c r="E15" s="38">
        <f t="shared" si="9"/>
        <v>3.6689183122470457</v>
      </c>
      <c r="F15" s="38">
        <f t="shared" si="9"/>
        <v>5.6267999954613499</v>
      </c>
      <c r="G15" s="38">
        <f t="shared" si="9"/>
        <v>3.0357318455201181</v>
      </c>
      <c r="H15" s="38">
        <f t="shared" si="9"/>
        <v>8.9422988618253463</v>
      </c>
      <c r="I15" s="38">
        <f t="shared" si="9"/>
        <v>4.3652055338021603</v>
      </c>
      <c r="J15" s="38">
        <f t="shared" si="9"/>
        <v>12.035214225748746</v>
      </c>
      <c r="K15" s="38">
        <f t="shared" si="9"/>
        <v>4.7035204590935669</v>
      </c>
      <c r="L15" s="38">
        <f t="shared" si="9"/>
        <v>11.76180954485622</v>
      </c>
      <c r="M15" s="38">
        <f t="shared" si="9"/>
        <v>-2.0376148515808765</v>
      </c>
      <c r="N15" s="16" t="s">
        <v>2</v>
      </c>
      <c r="O15" s="16"/>
      <c r="P15" s="16"/>
      <c r="Q15" s="16"/>
      <c r="R15" s="16"/>
    </row>
    <row r="16" spans="1:19" ht="15.75" x14ac:dyDescent="0.25">
      <c r="A16" s="18" t="s">
        <v>7</v>
      </c>
      <c r="B16" s="30">
        <v>12.642419505982822</v>
      </c>
      <c r="C16" s="30">
        <v>6.8513462458563712</v>
      </c>
      <c r="D16" s="31">
        <f t="shared" si="9"/>
        <v>9.0672535140873958</v>
      </c>
      <c r="E16" s="31">
        <f t="shared" si="9"/>
        <v>7.4354705518287902</v>
      </c>
      <c r="F16" s="31">
        <f t="shared" si="9"/>
        <v>7.729440233071375</v>
      </c>
      <c r="G16" s="31">
        <f t="shared" si="9"/>
        <v>3.2762464133130331</v>
      </c>
      <c r="H16" s="31">
        <f>(H6-G6)/G6*100</f>
        <v>10.648738519152232</v>
      </c>
      <c r="I16" s="31">
        <f>(I6-H6)/H6*100</f>
        <v>0.46058661813620488</v>
      </c>
      <c r="J16" s="31">
        <f t="shared" si="9"/>
        <v>15.38426638373387</v>
      </c>
      <c r="K16" s="31">
        <f t="shared" si="9"/>
        <v>4.8264746967709184</v>
      </c>
      <c r="L16" s="31">
        <f t="shared" si="9"/>
        <v>13.851181967849671</v>
      </c>
      <c r="M16" s="31">
        <f t="shared" si="9"/>
        <v>6.5087967100021489</v>
      </c>
      <c r="N16" s="21" t="s">
        <v>8</v>
      </c>
      <c r="O16" s="16"/>
      <c r="P16" s="21"/>
      <c r="Q16" s="21"/>
      <c r="R16" s="21"/>
      <c r="S16" s="17"/>
    </row>
    <row r="17" spans="1:45" ht="18.75" customHeight="1" x14ac:dyDescent="0.25">
      <c r="A17" s="18" t="s">
        <v>9</v>
      </c>
      <c r="B17" s="39">
        <v>6.9122912404791865</v>
      </c>
      <c r="C17" s="39">
        <v>8.8365931364090855</v>
      </c>
      <c r="D17" s="33">
        <f t="shared" si="9"/>
        <v>8.9774044756223201</v>
      </c>
      <c r="E17" s="33">
        <f t="shared" si="9"/>
        <v>1.9927366084278013</v>
      </c>
      <c r="F17" s="33">
        <f t="shared" si="9"/>
        <v>4.0338673244831247</v>
      </c>
      <c r="G17" s="33">
        <f t="shared" si="9"/>
        <v>3.6945507542229445</v>
      </c>
      <c r="H17" s="33">
        <f t="shared" si="9"/>
        <v>6.8767625210241032</v>
      </c>
      <c r="I17" s="33">
        <f>(I7-H7)/H7*100</f>
        <v>10.290747198834525</v>
      </c>
      <c r="J17" s="33">
        <f t="shared" si="9"/>
        <v>3.1476917229538479</v>
      </c>
      <c r="K17" s="33">
        <f t="shared" si="9"/>
        <v>5.6194422649736557</v>
      </c>
      <c r="L17" s="33">
        <f t="shared" si="9"/>
        <v>7.7794311200074153</v>
      </c>
      <c r="M17" s="33">
        <f t="shared" si="9"/>
        <v>-14.775707731799571</v>
      </c>
      <c r="N17" s="21" t="s">
        <v>10</v>
      </c>
      <c r="O17" s="16"/>
      <c r="P17" s="21"/>
      <c r="Q17" s="21"/>
      <c r="R17" s="21"/>
      <c r="S17" s="17"/>
    </row>
    <row r="18" spans="1:45" ht="18.75" customHeight="1" x14ac:dyDescent="0.25">
      <c r="A18" s="18" t="s">
        <v>11</v>
      </c>
      <c r="B18" s="30">
        <v>-2.0756976724640546</v>
      </c>
      <c r="C18" s="30">
        <v>-12.703647907965083</v>
      </c>
      <c r="D18" s="31">
        <f t="shared" si="9"/>
        <v>4.2408164912045754</v>
      </c>
      <c r="E18" s="31">
        <f t="shared" si="9"/>
        <v>-3.5503526006806165</v>
      </c>
      <c r="F18" s="31">
        <f t="shared" si="9"/>
        <v>2.3533825666751036</v>
      </c>
      <c r="G18" s="31">
        <f t="shared" si="9"/>
        <v>0.99871644768322754</v>
      </c>
      <c r="H18" s="31">
        <f t="shared" si="9"/>
        <v>7.7478202306474691</v>
      </c>
      <c r="I18" s="31">
        <f>(I8-H8)/H8*100</f>
        <v>7.3290820321050516</v>
      </c>
      <c r="J18" s="31">
        <f t="shared" si="9"/>
        <v>1.6019754489276703</v>
      </c>
      <c r="K18" s="31">
        <f t="shared" si="9"/>
        <v>-5.4770019997932433</v>
      </c>
      <c r="L18" s="31">
        <f t="shared" si="9"/>
        <v>11.368610510059735</v>
      </c>
      <c r="M18" s="31">
        <f t="shared" si="9"/>
        <v>-9.3611032219843615</v>
      </c>
      <c r="N18" s="21" t="s">
        <v>12</v>
      </c>
      <c r="O18" s="21"/>
      <c r="P18" s="21"/>
      <c r="Q18" s="21"/>
      <c r="R18" s="21"/>
      <c r="S18" s="17"/>
    </row>
    <row r="19" spans="1:45" ht="18.75" customHeight="1" x14ac:dyDescent="0.25">
      <c r="A19" s="40" t="s">
        <v>16</v>
      </c>
      <c r="B19" s="41">
        <v>4.2421343176365767</v>
      </c>
      <c r="C19" s="41">
        <v>13.160714183346714</v>
      </c>
      <c r="D19" s="42">
        <f t="shared" si="9"/>
        <v>1.5068320026961224</v>
      </c>
      <c r="E19" s="42">
        <f t="shared" si="9"/>
        <v>-14.159679062719416</v>
      </c>
      <c r="F19" s="42">
        <f t="shared" si="9"/>
        <v>-1.6299747921222179</v>
      </c>
      <c r="G19" s="42">
        <f t="shared" si="9"/>
        <v>-6.2137803218780334</v>
      </c>
      <c r="H19" s="42">
        <f t="shared" si="9"/>
        <v>7.9824212271973494</v>
      </c>
      <c r="I19" s="42">
        <f>(I9-H9)/H9*100</f>
        <v>-23.781832925327208</v>
      </c>
      <c r="J19" s="42">
        <f t="shared" si="9"/>
        <v>316.627226756379</v>
      </c>
      <c r="K19" s="42">
        <f t="shared" si="9"/>
        <v>24.292137596367979</v>
      </c>
      <c r="L19" s="42">
        <f t="shared" si="9"/>
        <v>19.651169369483934</v>
      </c>
      <c r="M19" s="42">
        <f t="shared" si="9"/>
        <v>6.3461916079495886</v>
      </c>
      <c r="N19" s="43" t="s">
        <v>14</v>
      </c>
      <c r="O19" s="26"/>
      <c r="P19" s="26"/>
      <c r="Q19" s="26"/>
      <c r="R19" s="26"/>
      <c r="S19" s="17"/>
    </row>
    <row r="20" spans="1:45" ht="18.75" customHeight="1" x14ac:dyDescent="0.25">
      <c r="A20" s="69" t="s">
        <v>17</v>
      </c>
      <c r="B20" s="65"/>
      <c r="C20" s="65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7"/>
      <c r="O20" s="67"/>
      <c r="P20" s="67"/>
      <c r="Q20" s="67"/>
      <c r="R20" s="67"/>
      <c r="S20" s="17"/>
    </row>
    <row r="21" spans="1:45" ht="15.75" customHeight="1" x14ac:dyDescent="0.35">
      <c r="A21" s="44" t="s">
        <v>18</v>
      </c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 t="s">
        <v>19</v>
      </c>
      <c r="O21" s="47"/>
      <c r="P21" s="47"/>
      <c r="Q21" s="47"/>
      <c r="R21" s="47"/>
    </row>
    <row r="22" spans="1:45" ht="15" x14ac:dyDescent="0.25">
      <c r="A22" s="48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45" x14ac:dyDescent="0.25">
      <c r="S23" s="52"/>
    </row>
    <row r="24" spans="1:45" s="12" customFormat="1" ht="15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</row>
    <row r="25" spans="1:45" s="12" customFormat="1" ht="15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</row>
    <row r="26" spans="1:45" s="12" customFormat="1" ht="15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7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45" s="12" customFormat="1" ht="15" x14ac:dyDescent="0.25">
      <c r="A27" s="5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 spans="1:45" s="12" customFormat="1" ht="15" x14ac:dyDescent="0.25">
      <c r="A28" s="53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</row>
    <row r="29" spans="1:45" s="12" customFormat="1" ht="15" x14ac:dyDescent="0.25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 spans="1:45" s="12" customFormat="1" ht="15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G30" s="56"/>
    </row>
    <row r="31" spans="1:45" s="12" customFormat="1" ht="15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15"/>
      <c r="AM31" s="56"/>
      <c r="AN31" s="56"/>
      <c r="AO31" s="56"/>
      <c r="AP31" s="56"/>
      <c r="AQ31" s="56"/>
      <c r="AR31" s="56"/>
      <c r="AS31" s="56"/>
    </row>
    <row r="32" spans="1:45" s="12" customFormat="1" ht="15" x14ac:dyDescent="0.25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AC32" s="61"/>
      <c r="AD32" s="61"/>
      <c r="AE32" s="61"/>
      <c r="AF32" s="61"/>
      <c r="AG32" s="61"/>
      <c r="AH32" s="62"/>
      <c r="AI32" s="62"/>
      <c r="AJ32" s="62"/>
    </row>
    <row r="33" spans="1:36" s="12" customFormat="1" ht="15" x14ac:dyDescent="0.25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36" s="12" customFormat="1" ht="15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AJ34" s="63"/>
    </row>
    <row r="35" spans="1:36" s="12" customFormat="1" ht="15" x14ac:dyDescent="0.25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36" s="12" customFormat="1" ht="15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</row>
    <row r="37" spans="1:36" s="12" customFormat="1" ht="15" x14ac:dyDescent="0.25">
      <c r="A37" s="6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</row>
    <row r="38" spans="1:36" s="12" customFormat="1" ht="15" x14ac:dyDescent="0.25">
      <c r="A38" s="6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</row>
    <row r="39" spans="1:36" s="12" customFormat="1" ht="15" x14ac:dyDescent="0.25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</row>
    <row r="40" spans="1:36" s="12" customFormat="1" ht="15" x14ac:dyDescent="0.25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</row>
    <row r="41" spans="1:36" s="12" customFormat="1" ht="12" x14ac:dyDescent="0.25">
      <c r="A41" s="53"/>
    </row>
    <row r="42" spans="1:36" s="12" customFormat="1" ht="12" x14ac:dyDescent="0.25">
      <c r="A42" s="53"/>
    </row>
    <row r="43" spans="1:36" s="12" customFormat="1" ht="12" x14ac:dyDescent="0.25">
      <c r="A43" s="53"/>
    </row>
    <row r="44" spans="1:36" s="12" customFormat="1" ht="12" x14ac:dyDescent="0.25">
      <c r="A44" s="53"/>
    </row>
    <row r="45" spans="1:36" s="12" customFormat="1" ht="15" x14ac:dyDescent="0.25">
      <c r="A45" s="64"/>
    </row>
    <row r="46" spans="1:36" s="12" customFormat="1" ht="12" x14ac:dyDescent="0.25">
      <c r="A46" s="53"/>
    </row>
    <row r="47" spans="1:36" s="12" customFormat="1" ht="12" x14ac:dyDescent="0.25">
      <c r="A47" s="53"/>
    </row>
    <row r="48" spans="1:36" s="12" customFormat="1" ht="12" x14ac:dyDescent="0.25">
      <c r="A48" s="53"/>
    </row>
    <row r="49" spans="1:1" s="12" customFormat="1" ht="12" x14ac:dyDescent="0.25">
      <c r="A49" s="53"/>
    </row>
    <row r="50" spans="1:1" s="12" customFormat="1" ht="12" x14ac:dyDescent="0.25">
      <c r="A50" s="53"/>
    </row>
    <row r="51" spans="1:1" s="12" customFormat="1" ht="12" x14ac:dyDescent="0.25">
      <c r="A51" s="53"/>
    </row>
    <row r="52" spans="1:1" s="12" customFormat="1" ht="12" x14ac:dyDescent="0.25">
      <c r="A52" s="53"/>
    </row>
    <row r="53" spans="1:1" s="12" customFormat="1" ht="12" x14ac:dyDescent="0.25">
      <c r="A53" s="53"/>
    </row>
    <row r="54" spans="1:1" s="12" customFormat="1" ht="12" x14ac:dyDescent="0.25">
      <c r="A54" s="53"/>
    </row>
    <row r="55" spans="1:1" s="12" customFormat="1" ht="12" x14ac:dyDescent="0.25">
      <c r="A55" s="53"/>
    </row>
    <row r="56" spans="1:1" s="12" customFormat="1" ht="12" x14ac:dyDescent="0.25">
      <c r="A56" s="53"/>
    </row>
    <row r="57" spans="1:1" s="12" customFormat="1" ht="12" x14ac:dyDescent="0.25">
      <c r="A57" s="53"/>
    </row>
    <row r="58" spans="1:1" s="12" customFormat="1" ht="12" x14ac:dyDescent="0.25">
      <c r="A58" s="53"/>
    </row>
    <row r="59" spans="1:1" s="12" customFormat="1" ht="12" x14ac:dyDescent="0.25">
      <c r="A59" s="53"/>
    </row>
    <row r="60" spans="1:1" s="12" customFormat="1" ht="12" x14ac:dyDescent="0.25">
      <c r="A60" s="53"/>
    </row>
    <row r="61" spans="1:1" s="12" customFormat="1" ht="12" x14ac:dyDescent="0.25">
      <c r="A61" s="53"/>
    </row>
  </sheetData>
  <mergeCells count="2">
    <mergeCell ref="A1:N1"/>
    <mergeCell ref="A2:N2"/>
  </mergeCells>
  <pageMargins left="0.7" right="0.7" top="0.75" bottom="0.75" header="0.3" footer="0.3"/>
  <pageSetup paperSize="9" scale="4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2021-08-22T03:21:13Z</cp:lastPrinted>
  <dcterms:created xsi:type="dcterms:W3CDTF">2019-05-21T05:57:01Z</dcterms:created>
  <dcterms:modified xsi:type="dcterms:W3CDTF">2021-08-22T03:22:12Z</dcterms:modified>
</cp:coreProperties>
</file>