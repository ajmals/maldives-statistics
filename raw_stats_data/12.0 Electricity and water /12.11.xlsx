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1" sheetId="11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'12.11'!$A$1:$N$38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1" l="1"/>
  <c r="K6" i="11" l="1"/>
  <c r="B18" i="11" l="1"/>
  <c r="B17" i="11"/>
  <c r="B16" i="11"/>
  <c r="B15" i="11"/>
  <c r="B14" i="11"/>
  <c r="B13" i="11"/>
  <c r="B12" i="11"/>
  <c r="B11" i="11"/>
  <c r="B10" i="11"/>
  <c r="B9" i="11"/>
  <c r="B8" i="11"/>
  <c r="B7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<sst xmlns="http://schemas.openxmlformats.org/spreadsheetml/2006/main" count="33" uniqueCount="33">
  <si>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</si>
  <si>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</si>
  <si>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</si>
  <si>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</si>
  <si>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</si>
  <si>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</si>
  <si>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</si>
  <si>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</si>
  <si>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</si>
  <si>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</si>
  <si>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</si>
  <si>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</si>
  <si>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</si>
  <si>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</si>
  <si>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</si>
  <si>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</si>
  <si>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</si>
  <si>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</si>
  <si>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</si>
  <si>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</si>
  <si>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</si>
  <si>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</si>
  <si>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</si>
  <si>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</si>
  <si>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</si>
  <si>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</si>
  <si>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</si>
  <si>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</si>
  <si>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</si>
  <si>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</si>
  <si>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</si>
  <si>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2010 - 2020                                   </t>
  </si>
  <si>
    <t>2020- 2010 ,urwvcnim unuverukcnunEb cnef ހުޅުމާލޭގައި cnutog eguhwmcswm  : 12.11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</si>
</sst>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0"/>
      <name val="A_Randhoo A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  <xf numFmtId="0" fontId="1" fillId="0" borderId="0"/>
  </cellStyleXfs>
  <cellXfs count="35">
    <xf numFmtId="0" fontId="0" fillId="0" borderId="0" xfId="0"/>
    <xf numFmtId="0" fontId="10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5" fillId="2" borderId="0" xfId="2" applyFont="1" applyFill="1"/>
    <xf numFmtId="0" fontId="5" fillId="2" borderId="0" xfId="2" applyFont="1" applyFill="1" applyAlignment="1">
      <alignment vertical="center"/>
    </xf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16" fillId="2" borderId="0" xfId="2" applyFont="1" applyFill="1" applyAlignment="1">
      <alignment vertical="center"/>
    </xf>
    <xf numFmtId="0" fontId="5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13" fillId="2" borderId="0" xfId="2" applyFont="1" applyFill="1" applyBorder="1" applyAlignment="1">
      <alignment vertical="center" wrapText="1"/>
    </xf>
    <xf numFmtId="165" fontId="11" fillId="2" borderId="0" xfId="2" applyNumberFormat="1" applyFont="1" applyFill="1" applyAlignment="1">
      <alignment horizontal="right" vertical="center"/>
    </xf>
    <xf numFmtId="0" fontId="12" fillId="2" borderId="0" xfId="4" applyFont="1" applyFill="1" applyBorder="1" applyAlignment="1">
      <alignment horizontal="left" vertical="center" indent="1"/>
    </xf>
    <xf numFmtId="0" fontId="6" fillId="2" borderId="0" xfId="4" applyFont="1" applyFill="1" applyBorder="1" applyAlignment="1">
      <alignment horizontal="right" vertical="center" indent="1"/>
    </xf>
    <xf numFmtId="0" fontId="11" fillId="2" borderId="0" xfId="4" applyFont="1" applyFill="1" applyBorder="1" applyAlignment="1">
      <alignment vertical="center"/>
    </xf>
    <xf numFmtId="0" fontId="12" fillId="2" borderId="1" xfId="4" applyFont="1" applyFill="1" applyBorder="1" applyAlignment="1">
      <alignment horizontal="left" vertical="center" indent="1"/>
    </xf>
    <xf numFmtId="0" fontId="6" fillId="2" borderId="1" xfId="4" applyFont="1" applyFill="1" applyBorder="1" applyAlignment="1">
      <alignment horizontal="right" vertical="center" indent="1"/>
    </xf>
    <xf numFmtId="0" fontId="7" fillId="2" borderId="0" xfId="4" applyFont="1" applyFill="1" applyAlignment="1">
      <alignment horizontal="left"/>
    </xf>
    <xf numFmtId="0" fontId="11" fillId="2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right" vertical="center"/>
    </xf>
    <xf numFmtId="166" fontId="11" fillId="2" borderId="0" xfId="2" applyNumberFormat="1" applyFont="1" applyFill="1" applyAlignment="1">
      <alignment horizontal="right" vertical="center"/>
    </xf>
    <xf numFmtId="166" fontId="11" fillId="2" borderId="0" xfId="3" applyNumberFormat="1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0" xfId="3" applyNumberFormat="1" applyFont="1" applyFill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166" fontId="12" fillId="2" borderId="1" xfId="3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166" fontId="5" fillId="2" borderId="0" xfId="3" applyNumberFormat="1" applyFont="1" applyFill="1" applyAlignment="1">
      <alignment horizontal="right" vertical="center"/>
    </xf>
    <xf numFmtId="166" fontId="5" fillId="2" borderId="1" xfId="3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 wrapText="1"/>
    </xf>
  </cellXfs>
  <cellStyles count="6">
    <cellStyle name="Comma 2" xfId="1"/>
    <cellStyle name="Comma 4" xfId="3"/>
    <cellStyle name="Normal" xfId="0" builtinId="0"/>
    <cellStyle name="Normal 2" xfId="2"/>
    <cellStyle name="Normal 2 2" xfId="5"/>
    <cellStyle name="Normal_X-5 (Electricity)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12.8: Water Distribution in Hulhumale, 2010  - 2020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'12.11'!$B$5:$L$5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'12.11'!$B$6:$L$6</c:f>
              <c:numCache>
                <c:formatCode>0.0</c:formatCode>
                <c:ptCount val="11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1-4813-94BE-E9A751AD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414337</xdr:colOff>
      <xdr:row>20</xdr:row>
      <xdr:rowOff>133350</xdr:rowOff>
    </xdr:from>
    <xdr:to>
      <xdr:col>8</xdr:col>
      <xdr:colOff>781050</xdr:colOff>
      <xdr:row>37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1"/>
  <sheetViews>
    <sheetView tabSelected="1" zoomScale="93" zoomScaleNormal="93" workbookViewId="0">
      <selection activeCell="W9" sqref="W9"/>
    </sheetView>
  </sheetViews>
  <sheetFormatPr defaultColWidth="9.140625" defaultRowHeight="12.75" x14ac:dyDescent="0.2"/>
  <cols>
    <col min="1" max="1" width="11.42578125" style="4" customWidth="1"/>
    <col min="2" max="12" width="11.28515625" style="4" customWidth="1"/>
    <col min="13" max="13" width="15.28515625" style="4" customWidth="1"/>
    <col min="14" max="16384" width="9.140625" style="4"/>
  </cols>
  <sheetData>
    <row r="1" spans="1:25" ht="15.75" x14ac:dyDescent="0.2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25" s="10" customFormat="1" x14ac:dyDescent="0.2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25" s="3" customFormat="1" ht="16.5" x14ac:dyDescent="0.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1"/>
      <c r="O3" s="11"/>
      <c r="P3" s="12"/>
      <c r="Q3" s="12"/>
      <c r="R3" s="12"/>
      <c r="S3" s="12"/>
      <c r="T3" s="12"/>
      <c r="U3" s="1"/>
      <c r="V3" s="1"/>
      <c r="W3" s="1"/>
      <c r="X3" s="1"/>
      <c r="Y3" s="2"/>
    </row>
    <row r="4" spans="1:25" s="3" customFormat="1" ht="16.5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8"/>
      <c r="N4" s="11"/>
      <c r="O4" s="11"/>
      <c r="P4" s="12"/>
      <c r="Q4" s="12"/>
      <c r="R4" s="12"/>
      <c r="S4" s="12"/>
      <c r="T4" s="12"/>
      <c r="U4" s="1"/>
      <c r="V4" s="1"/>
      <c r="W4" s="1"/>
      <c r="X4" s="1"/>
      <c r="Y4" s="2"/>
    </row>
    <row r="5" spans="1:25" s="5" customFormat="1" ht="15.75" x14ac:dyDescent="0.4">
      <c r="A5" s="20" t="s">
        <v>8</v>
      </c>
      <c r="B5" s="21">
        <v>2010</v>
      </c>
      <c r="C5" s="21">
        <v>2011</v>
      </c>
      <c r="D5" s="21">
        <v>2012</v>
      </c>
      <c r="E5" s="21">
        <v>2013</v>
      </c>
      <c r="F5" s="21">
        <v>2014</v>
      </c>
      <c r="G5" s="21">
        <v>2015</v>
      </c>
      <c r="H5" s="21">
        <v>2016</v>
      </c>
      <c r="I5" s="21">
        <v>2017</v>
      </c>
      <c r="J5" s="21">
        <v>2018</v>
      </c>
      <c r="K5" s="21">
        <v>2019</v>
      </c>
      <c r="L5" s="21">
        <v>2020</v>
      </c>
      <c r="M5" s="6" t="s">
        <v>9</v>
      </c>
    </row>
    <row r="6" spans="1:25" ht="15.75" x14ac:dyDescent="0.4">
      <c r="A6" s="16" t="s">
        <v>10</v>
      </c>
      <c r="B6" s="22">
        <f t="shared" ref="B6:H6" si="0">SUM(B7:B18)</f>
        <v>195.63159999999999</v>
      </c>
      <c r="C6" s="22">
        <f t="shared" si="0"/>
        <v>260.71799999999996</v>
      </c>
      <c r="D6" s="23">
        <f t="shared" si="0"/>
        <v>398.70199999999994</v>
      </c>
      <c r="E6" s="23">
        <f t="shared" si="0"/>
        <v>422.67500000000001</v>
      </c>
      <c r="F6" s="23">
        <f t="shared" si="0"/>
        <v>622.2589999999999</v>
      </c>
      <c r="G6" s="23">
        <f t="shared" si="0"/>
        <v>771.779</v>
      </c>
      <c r="H6" s="23">
        <f t="shared" si="0"/>
        <v>968.56299999999999</v>
      </c>
      <c r="I6" s="13">
        <f>SUM(I7:I18)</f>
        <v>1176.5320000000002</v>
      </c>
      <c r="J6" s="13">
        <f>SUM(J7:J18)</f>
        <v>1510.0730000000001</v>
      </c>
      <c r="K6" s="13">
        <f>SUM(K7:K18)</f>
        <v>1819.587</v>
      </c>
      <c r="L6" s="13">
        <f>SUM(L7:L18)</f>
        <v>1984.9509999999998</v>
      </c>
      <c r="M6" s="7" t="s">
        <v>0</v>
      </c>
    </row>
    <row r="7" spans="1:25" ht="15.75" x14ac:dyDescent="0.2">
      <c r="A7" s="14" t="s">
        <v>11</v>
      </c>
      <c r="B7" s="24">
        <f>16473.3/1000</f>
        <v>16.473299999999998</v>
      </c>
      <c r="C7" s="24">
        <v>16.818999999999999</v>
      </c>
      <c r="D7" s="25">
        <v>28.876000000000001</v>
      </c>
      <c r="E7" s="25">
        <v>35.198999999999998</v>
      </c>
      <c r="F7" s="25">
        <v>49.603999999999999</v>
      </c>
      <c r="G7" s="25">
        <v>60.088000000000001</v>
      </c>
      <c r="H7" s="25">
        <v>73.575000000000003</v>
      </c>
      <c r="I7" s="25">
        <v>89.88</v>
      </c>
      <c r="J7" s="25">
        <v>115.749</v>
      </c>
      <c r="K7" s="25">
        <v>153.19300000000001</v>
      </c>
      <c r="L7" s="30">
        <v>166.35499999999999</v>
      </c>
      <c r="M7" s="15" t="s">
        <v>12</v>
      </c>
    </row>
    <row r="8" spans="1:25" ht="15.75" x14ac:dyDescent="0.2">
      <c r="A8" s="14" t="s">
        <v>13</v>
      </c>
      <c r="B8" s="24">
        <f>15613.3/1000</f>
        <v>15.613299999999999</v>
      </c>
      <c r="C8" s="24">
        <v>15.41</v>
      </c>
      <c r="D8" s="25">
        <v>27.745999999999999</v>
      </c>
      <c r="E8" s="25">
        <v>32.840000000000003</v>
      </c>
      <c r="F8" s="25">
        <v>45.359000000000002</v>
      </c>
      <c r="G8" s="25">
        <v>56.396000000000001</v>
      </c>
      <c r="H8" s="25">
        <v>75.344999999999999</v>
      </c>
      <c r="I8" s="25">
        <v>84.846999999999994</v>
      </c>
      <c r="J8" s="25">
        <v>110.367</v>
      </c>
      <c r="K8" s="25">
        <v>138.864</v>
      </c>
      <c r="L8" s="30">
        <v>158.06899999999999</v>
      </c>
      <c r="M8" s="15" t="s">
        <v>14</v>
      </c>
    </row>
    <row r="9" spans="1:25" ht="15.75" x14ac:dyDescent="0.2">
      <c r="A9" s="14" t="s">
        <v>15</v>
      </c>
      <c r="B9" s="24">
        <f>17038.5/1000</f>
        <v>17.038499999999999</v>
      </c>
      <c r="C9" s="24">
        <v>19.492999999999999</v>
      </c>
      <c r="D9" s="25">
        <v>30.925999999999998</v>
      </c>
      <c r="E9" s="25">
        <v>35.325000000000003</v>
      </c>
      <c r="F9" s="25">
        <v>49.375</v>
      </c>
      <c r="G9" s="25">
        <v>64.724999999999994</v>
      </c>
      <c r="H9" s="25">
        <v>87.936000000000007</v>
      </c>
      <c r="I9" s="25">
        <v>96.578999999999994</v>
      </c>
      <c r="J9" s="25">
        <v>125.089</v>
      </c>
      <c r="K9" s="25">
        <v>158.08099999999999</v>
      </c>
      <c r="L9" s="30">
        <v>173.65</v>
      </c>
      <c r="M9" s="15" t="s">
        <v>1</v>
      </c>
    </row>
    <row r="10" spans="1:25" ht="15.75" x14ac:dyDescent="0.2">
      <c r="A10" s="14" t="s">
        <v>16</v>
      </c>
      <c r="B10" s="24">
        <f>16484.3/1000</f>
        <v>16.484299999999998</v>
      </c>
      <c r="C10" s="24">
        <v>19.390999999999998</v>
      </c>
      <c r="D10" s="25">
        <v>32.526000000000003</v>
      </c>
      <c r="E10" s="25">
        <v>32.479999999999997</v>
      </c>
      <c r="F10" s="25">
        <v>50.628999999999998</v>
      </c>
      <c r="G10" s="25">
        <v>64.364000000000004</v>
      </c>
      <c r="H10" s="25">
        <v>82.372</v>
      </c>
      <c r="I10" s="25">
        <v>97.728999999999999</v>
      </c>
      <c r="J10" s="25">
        <v>120.625</v>
      </c>
      <c r="K10" s="25">
        <v>155.32499999999999</v>
      </c>
      <c r="L10" s="30">
        <v>159.667</v>
      </c>
      <c r="M10" s="15" t="s">
        <v>17</v>
      </c>
    </row>
    <row r="11" spans="1:25" ht="15.75" x14ac:dyDescent="0.2">
      <c r="A11" s="14" t="s">
        <v>18</v>
      </c>
      <c r="B11" s="24">
        <f>15456.1/1000</f>
        <v>15.456100000000001</v>
      </c>
      <c r="C11" s="24">
        <v>21.202000000000002</v>
      </c>
      <c r="D11" s="25">
        <v>35.826000000000001</v>
      </c>
      <c r="E11" s="25">
        <v>31.451000000000001</v>
      </c>
      <c r="F11" s="25">
        <v>51.429000000000002</v>
      </c>
      <c r="G11" s="25">
        <v>66.656999999999996</v>
      </c>
      <c r="H11" s="25">
        <v>80.177000000000007</v>
      </c>
      <c r="I11" s="25">
        <v>96.448999999999998</v>
      </c>
      <c r="J11" s="25">
        <v>120.619</v>
      </c>
      <c r="K11" s="25">
        <v>159.46600000000001</v>
      </c>
      <c r="L11" s="30">
        <v>166.44200000000001</v>
      </c>
      <c r="M11" s="15" t="s">
        <v>2</v>
      </c>
    </row>
    <row r="12" spans="1:25" ht="15.75" x14ac:dyDescent="0.2">
      <c r="A12" s="14" t="s">
        <v>19</v>
      </c>
      <c r="B12" s="24">
        <f>15278.5/1000</f>
        <v>15.278499999999999</v>
      </c>
      <c r="C12" s="24">
        <v>20.731999999999999</v>
      </c>
      <c r="D12" s="25">
        <v>36.28</v>
      </c>
      <c r="E12" s="25">
        <v>31.388999999999999</v>
      </c>
      <c r="F12" s="25">
        <v>52.448999999999998</v>
      </c>
      <c r="G12" s="25">
        <v>67.182000000000002</v>
      </c>
      <c r="H12" s="25">
        <v>76.599000000000004</v>
      </c>
      <c r="I12" s="25">
        <v>93.299000000000007</v>
      </c>
      <c r="J12" s="25">
        <v>117.56699999999999</v>
      </c>
      <c r="K12" s="25">
        <v>147.38499999999999</v>
      </c>
      <c r="L12" s="30">
        <v>161.92400000000001</v>
      </c>
      <c r="M12" s="15" t="s">
        <v>3</v>
      </c>
    </row>
    <row r="13" spans="1:25" ht="15.75" x14ac:dyDescent="0.2">
      <c r="A13" s="14" t="s">
        <v>20</v>
      </c>
      <c r="B13" s="24">
        <f>15662.1/1000</f>
        <v>15.662100000000001</v>
      </c>
      <c r="C13" s="24">
        <v>22.3</v>
      </c>
      <c r="D13" s="25">
        <v>39.279000000000003</v>
      </c>
      <c r="E13" s="25">
        <v>34.36</v>
      </c>
      <c r="F13" s="25">
        <v>52.813000000000002</v>
      </c>
      <c r="G13" s="25">
        <v>64.546000000000006</v>
      </c>
      <c r="H13" s="25">
        <v>77.701999999999998</v>
      </c>
      <c r="I13" s="25">
        <v>101.212</v>
      </c>
      <c r="J13" s="25">
        <v>125.96599999999999</v>
      </c>
      <c r="K13" s="25">
        <v>153.505</v>
      </c>
      <c r="L13" s="30">
        <v>168.06299999999999</v>
      </c>
      <c r="M13" s="15" t="s">
        <v>4</v>
      </c>
    </row>
    <row r="14" spans="1:25" ht="15.75" x14ac:dyDescent="0.2">
      <c r="A14" s="14" t="s">
        <v>21</v>
      </c>
      <c r="B14" s="24">
        <f>16729/1000</f>
        <v>16.728999999999999</v>
      </c>
      <c r="C14" s="24">
        <v>24.875</v>
      </c>
      <c r="D14" s="25">
        <v>37.287999999999997</v>
      </c>
      <c r="E14" s="25">
        <v>33.33</v>
      </c>
      <c r="F14" s="25">
        <v>53.771999999999998</v>
      </c>
      <c r="G14" s="25">
        <v>67.123999999999995</v>
      </c>
      <c r="H14" s="25">
        <v>81.769000000000005</v>
      </c>
      <c r="I14" s="25">
        <v>104.381</v>
      </c>
      <c r="J14" s="25">
        <v>126.453</v>
      </c>
      <c r="K14" s="25">
        <v>154.851</v>
      </c>
      <c r="L14" s="30">
        <v>173.38800000000001</v>
      </c>
      <c r="M14" s="15" t="s">
        <v>22</v>
      </c>
    </row>
    <row r="15" spans="1:25" ht="15.75" x14ac:dyDescent="0.2">
      <c r="A15" s="14" t="s">
        <v>23</v>
      </c>
      <c r="B15" s="24">
        <f>16091.8/1000</f>
        <v>16.091799999999999</v>
      </c>
      <c r="C15" s="24">
        <v>23.678000000000001</v>
      </c>
      <c r="D15" s="25">
        <v>34.450000000000003</v>
      </c>
      <c r="E15" s="25">
        <v>35.142000000000003</v>
      </c>
      <c r="F15" s="25">
        <v>51.92</v>
      </c>
      <c r="G15" s="25">
        <v>60.133000000000003</v>
      </c>
      <c r="H15" s="25">
        <v>79.206999999999994</v>
      </c>
      <c r="I15" s="25">
        <v>94.138000000000005</v>
      </c>
      <c r="J15" s="25">
        <v>127.758</v>
      </c>
      <c r="K15" s="25">
        <v>147.07300000000001</v>
      </c>
      <c r="L15" s="30">
        <v>165.12200000000001</v>
      </c>
      <c r="M15" s="15" t="s">
        <v>24</v>
      </c>
    </row>
    <row r="16" spans="1:25" ht="15.75" x14ac:dyDescent="0.2">
      <c r="A16" s="14" t="s">
        <v>25</v>
      </c>
      <c r="B16" s="24">
        <f>18183/1000</f>
        <v>18.183</v>
      </c>
      <c r="C16" s="24">
        <v>26.515999999999998</v>
      </c>
      <c r="D16" s="25">
        <v>32.64</v>
      </c>
      <c r="E16" s="25">
        <v>38.256999999999998</v>
      </c>
      <c r="F16" s="25">
        <v>52.387</v>
      </c>
      <c r="G16" s="25">
        <v>66.266000000000005</v>
      </c>
      <c r="H16" s="25">
        <v>86.495000000000005</v>
      </c>
      <c r="I16" s="25">
        <v>105.005</v>
      </c>
      <c r="J16" s="25">
        <v>133.58000000000001</v>
      </c>
      <c r="K16" s="25">
        <v>149.947</v>
      </c>
      <c r="L16" s="30">
        <v>163.072</v>
      </c>
      <c r="M16" s="15" t="s">
        <v>26</v>
      </c>
    </row>
    <row r="17" spans="1:16" ht="15.75" x14ac:dyDescent="0.2">
      <c r="A17" s="14" t="s">
        <v>27</v>
      </c>
      <c r="B17" s="24">
        <f>16258.8/1000</f>
        <v>16.258800000000001</v>
      </c>
      <c r="C17" s="24">
        <v>23.587</v>
      </c>
      <c r="D17" s="25">
        <v>31.102</v>
      </c>
      <c r="E17" s="25">
        <v>39.124000000000002</v>
      </c>
      <c r="F17" s="25">
        <v>52.207999999999998</v>
      </c>
      <c r="G17" s="25">
        <v>65.510000000000005</v>
      </c>
      <c r="H17" s="25">
        <v>82.668000000000006</v>
      </c>
      <c r="I17" s="25">
        <v>101.669</v>
      </c>
      <c r="J17" s="25">
        <v>140.12</v>
      </c>
      <c r="K17" s="25">
        <v>148.67400000000001</v>
      </c>
      <c r="L17" s="30">
        <v>162.196</v>
      </c>
      <c r="M17" s="15" t="s">
        <v>28</v>
      </c>
    </row>
    <row r="18" spans="1:16" ht="15.75" x14ac:dyDescent="0.2">
      <c r="A18" s="17" t="s">
        <v>29</v>
      </c>
      <c r="B18" s="26">
        <f>16362.9/1000</f>
        <v>16.3629</v>
      </c>
      <c r="C18" s="26">
        <v>26.715</v>
      </c>
      <c r="D18" s="27">
        <v>31.763000000000002</v>
      </c>
      <c r="E18" s="27">
        <v>43.777999999999999</v>
      </c>
      <c r="F18" s="27">
        <v>60.314</v>
      </c>
      <c r="G18" s="27">
        <v>68.787999999999997</v>
      </c>
      <c r="H18" s="27">
        <v>84.718000000000004</v>
      </c>
      <c r="I18" s="27">
        <v>111.34399999999999</v>
      </c>
      <c r="J18" s="27">
        <v>146.18</v>
      </c>
      <c r="K18" s="27">
        <v>153.22300000000001</v>
      </c>
      <c r="L18" s="31">
        <v>167.00299999999999</v>
      </c>
      <c r="M18" s="18" t="s">
        <v>30</v>
      </c>
    </row>
    <row r="19" spans="1:16" ht="15" x14ac:dyDescent="0.35">
      <c r="A19" s="19" t="s">
        <v>6</v>
      </c>
      <c r="M19" s="8" t="s">
        <v>5</v>
      </c>
    </row>
    <row r="21" spans="1:16" ht="15.75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</sheetData>
  <mergeCells count="3">
    <mergeCell ref="A1:M1"/>
    <mergeCell ref="A2:M2"/>
    <mergeCell ref="A3:M3"/>
  </mergeCells>
  <pageMargins left="0.7" right="0.7" top="0.75" bottom="0.75" header="0.3" footer="0.3"/>
  <pageSetup paperSize="9" scale="5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2021-08-22T04:10:29Z</cp:lastPrinted>
  <dcterms:created xsi:type="dcterms:W3CDTF">2019-05-21T05:57:01Z</dcterms:created>
  <dcterms:modified xsi:type="dcterms:W3CDTF">2021-08-22T04:11:21Z</dcterms:modified>
</cp:coreProperties>
</file>