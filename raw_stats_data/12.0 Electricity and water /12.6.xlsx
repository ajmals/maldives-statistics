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908"/>
  </bookViews>
  <sheets>
    <sheet name="12.6" sheetId="6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'12.6'!$A$1:$N$56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6" l="1"/>
  <c r="L18" i="6"/>
  <c r="L17" i="6"/>
  <c r="L6" i="6"/>
  <c r="L12" i="6" l="1"/>
  <c r="L13" i="6"/>
  <c r="L14" i="6"/>
  <c r="L15" i="6"/>
  <c r="L11" i="6" l="1"/>
  <c r="L20" i="6" s="1"/>
  <c r="K19" i="6" l="1"/>
  <c r="K18" i="6"/>
  <c r="K17" i="6"/>
  <c r="K6" i="6"/>
  <c r="L16" i="6" s="1"/>
  <c r="K12" i="6" l="1"/>
  <c r="K13" i="6"/>
  <c r="K14" i="6"/>
  <c r="K15" i="6"/>
  <c r="K11" i="6" l="1"/>
  <c r="K20" i="6" s="1"/>
  <c r="J19" i="6" l="1"/>
  <c r="I19" i="6"/>
  <c r="H19" i="6"/>
  <c r="G19" i="6"/>
  <c r="J18" i="6"/>
  <c r="I18" i="6"/>
  <c r="H18" i="6"/>
  <c r="G18" i="6"/>
  <c r="D18" i="6"/>
  <c r="C18" i="6"/>
  <c r="J17" i="6"/>
  <c r="I17" i="6"/>
  <c r="H17" i="6"/>
  <c r="G17" i="6"/>
  <c r="D17" i="6"/>
  <c r="C17" i="6"/>
  <c r="E10" i="6"/>
  <c r="E20" i="6" s="1"/>
  <c r="C10" i="6"/>
  <c r="E9" i="6"/>
  <c r="E19" i="6" s="1"/>
  <c r="C9" i="6"/>
  <c r="D19" i="6" s="1"/>
  <c r="E8" i="6"/>
  <c r="E7" i="6"/>
  <c r="F17" i="6" s="1"/>
  <c r="J6" i="6"/>
  <c r="I6" i="6"/>
  <c r="I15" i="6" s="1"/>
  <c r="H6" i="6"/>
  <c r="H15" i="6" s="1"/>
  <c r="G6" i="6"/>
  <c r="G13" i="6" s="1"/>
  <c r="F6" i="6"/>
  <c r="D6" i="6"/>
  <c r="D14" i="6" s="1"/>
  <c r="B6" i="6"/>
  <c r="B12" i="6" s="1"/>
  <c r="C6" i="6" l="1"/>
  <c r="C14" i="6" s="1"/>
  <c r="B14" i="6"/>
  <c r="H14" i="6"/>
  <c r="J12" i="6"/>
  <c r="K16" i="6"/>
  <c r="J16" i="6"/>
  <c r="J13" i="6"/>
  <c r="I14" i="6"/>
  <c r="B15" i="6"/>
  <c r="H13" i="6"/>
  <c r="F20" i="6"/>
  <c r="I13" i="6"/>
  <c r="F19" i="6"/>
  <c r="J14" i="6"/>
  <c r="J15" i="6"/>
  <c r="C16" i="6"/>
  <c r="C12" i="6"/>
  <c r="G16" i="6"/>
  <c r="C20" i="6"/>
  <c r="D12" i="6"/>
  <c r="F14" i="6"/>
  <c r="C15" i="6"/>
  <c r="H16" i="6"/>
  <c r="E17" i="6"/>
  <c r="D20" i="6"/>
  <c r="E6" i="6"/>
  <c r="E12" i="6" s="1"/>
  <c r="B13" i="6"/>
  <c r="G14" i="6"/>
  <c r="D15" i="6"/>
  <c r="I16" i="6"/>
  <c r="F12" i="6"/>
  <c r="F15" i="6"/>
  <c r="E18" i="6"/>
  <c r="D13" i="6"/>
  <c r="H12" i="6"/>
  <c r="G15" i="6"/>
  <c r="D16" i="6"/>
  <c r="F18" i="6"/>
  <c r="C19" i="6"/>
  <c r="I12" i="6"/>
  <c r="F13" i="6"/>
  <c r="G12" i="6"/>
  <c r="C13" i="6" l="1"/>
  <c r="C11" i="6" s="1"/>
  <c r="B11" i="6"/>
  <c r="G11" i="6"/>
  <c r="H11" i="6"/>
  <c r="H20" i="6" s="1"/>
  <c r="E13" i="6"/>
  <c r="D11" i="6"/>
  <c r="I11" i="6"/>
  <c r="I20" i="6" s="1"/>
  <c r="J11" i="6"/>
  <c r="J20" i="6" s="1"/>
  <c r="F11" i="6"/>
  <c r="E16" i="6"/>
  <c r="E15" i="6"/>
  <c r="E14" i="6"/>
  <c r="F16" i="6"/>
  <c r="G20" i="6"/>
  <c r="E11" i="6" l="1"/>
</calcChain>
</file>

<file path=xl/sharedStrings.xml><?xml version="1.0" encoding="utf-8"?>
<sst xmlns="http://schemas.openxmlformats.org/spreadsheetml/2006/main" count="38" uniqueCount="23">
  <si>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</si>
  <si>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</si>
  <si>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</si>
  <si>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</si>
  <si>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</si>
  <si>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</si>
  <si>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</si>
  <si>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</si>
  <si>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</si>
  <si>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</si>
  <si>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</si>
  <si>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</si>
  <si>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</si>
  <si>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</si>
  <si>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</si>
  <si>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</si>
  <si>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</si>
  <si>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Percentage  share</t>
  </si>
  <si>
    <t xml:space="preserve"> Commercial</t>
  </si>
  <si>
    <t>Source: Male' Water &amp; Sewerage Company  Limited</t>
  </si>
  <si>
    <t>cDeTimil Inepcmok cjErevcs cDcnea rwTOv ElWm :ctWrwf ivcaedutWmUluawm</t>
  </si>
  <si>
    <t>Table 12.6 : BILLED WATER CONSUMPTION IN MALE',   2010 - 2020</t>
  </si>
  <si>
    <t>2020 - 2010  ,urwvcnim unuverukcnunEb iawgElWm cnef Everukclib  : 12.6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</si>
</sst>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6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_Faseyha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_Faseyha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A_Faseyha"/>
    </font>
    <font>
      <b/>
      <sz val="12"/>
      <color theme="1"/>
      <name val="Calibri"/>
      <family val="2"/>
      <scheme val="minor"/>
    </font>
    <font>
      <b/>
      <sz val="9"/>
      <name val="A_Funa"/>
    </font>
    <font>
      <b/>
      <sz val="9"/>
      <color theme="1"/>
      <name val="A_Faseyha"/>
    </font>
    <font>
      <sz val="10"/>
      <name val="Garamond"/>
      <family val="1"/>
    </font>
    <font>
      <sz val="9"/>
      <color theme="1"/>
      <name val="Garamond"/>
      <family val="1"/>
    </font>
    <font>
      <sz val="10"/>
      <color theme="1"/>
      <name val="A_Faseyha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8" fillId="0" borderId="0"/>
    <xf numFmtId="0" fontId="2" fillId="0" borderId="0"/>
  </cellStyleXfs>
  <cellXfs count="51">
    <xf numFmtId="0" fontId="0" fillId="0" borderId="0" xfId="0"/>
    <xf numFmtId="0" fontId="0" fillId="2" borderId="0" xfId="0" applyFont="1" applyFill="1"/>
    <xf numFmtId="0" fontId="0" fillId="2" borderId="0" xfId="0" applyFont="1" applyFill="1" applyBorder="1"/>
    <xf numFmtId="0" fontId="4" fillId="2" borderId="0" xfId="3" applyFont="1" applyFill="1" applyBorder="1" applyAlignment="1">
      <alignment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2" fillId="2" borderId="0" xfId="3" applyFont="1" applyFill="1" applyBorder="1"/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17" fillId="2" borderId="2" xfId="0" applyFont="1" applyFill="1" applyBorder="1" applyAlignment="1">
      <alignment horizontal="right" vertical="center"/>
    </xf>
    <xf numFmtId="0" fontId="9" fillId="2" borderId="0" xfId="0" applyFont="1" applyFill="1"/>
    <xf numFmtId="0" fontId="13" fillId="2" borderId="0" xfId="5" applyFont="1" applyFill="1" applyBorder="1" applyAlignment="1">
      <alignment horizontal="right"/>
    </xf>
    <xf numFmtId="0" fontId="9" fillId="2" borderId="0" xfId="0" applyFont="1" applyFill="1" applyBorder="1"/>
    <xf numFmtId="0" fontId="7" fillId="2" borderId="0" xfId="0" applyFont="1" applyFill="1" applyAlignment="1">
      <alignment vertical="center"/>
    </xf>
    <xf numFmtId="0" fontId="10" fillId="2" borderId="0" xfId="0" applyFont="1" applyFill="1"/>
    <xf numFmtId="0" fontId="8" fillId="2" borderId="0" xfId="5" applyFont="1" applyFill="1"/>
    <xf numFmtId="0" fontId="11" fillId="2" borderId="0" xfId="5" applyFont="1" applyFill="1" applyAlignment="1">
      <alignment horizontal="right"/>
    </xf>
    <xf numFmtId="0" fontId="19" fillId="2" borderId="0" xfId="5" applyFont="1" applyFill="1"/>
    <xf numFmtId="0" fontId="19" fillId="2" borderId="0" xfId="5" applyFont="1" applyFill="1" applyAlignment="1">
      <alignment vertical="center"/>
    </xf>
    <xf numFmtId="0" fontId="12" fillId="2" borderId="0" xfId="0" applyFont="1" applyFill="1" applyAlignment="1"/>
    <xf numFmtId="0" fontId="0" fillId="2" borderId="0" xfId="0" applyFont="1" applyFill="1" applyAlignment="1">
      <alignment vertical="center"/>
    </xf>
    <xf numFmtId="1" fontId="0" fillId="2" borderId="0" xfId="0" applyNumberFormat="1" applyFont="1" applyFill="1"/>
    <xf numFmtId="0" fontId="12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22" fillId="2" borderId="0" xfId="0" applyFont="1" applyFill="1"/>
    <xf numFmtId="0" fontId="22" fillId="2" borderId="0" xfId="0" applyFont="1" applyFill="1" applyBorder="1"/>
    <xf numFmtId="0" fontId="23" fillId="2" borderId="0" xfId="0" applyFont="1" applyFill="1"/>
    <xf numFmtId="166" fontId="23" fillId="2" borderId="0" xfId="0" applyNumberFormat="1" applyFont="1" applyFill="1" applyBorder="1"/>
    <xf numFmtId="0" fontId="23" fillId="2" borderId="0" xfId="0" applyFont="1" applyFill="1" applyBorder="1"/>
    <xf numFmtId="0" fontId="0" fillId="2" borderId="3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left" vertical="center"/>
    </xf>
    <xf numFmtId="164" fontId="21" fillId="2" borderId="0" xfId="1" applyNumberFormat="1" applyFont="1" applyFill="1" applyBorder="1" applyAlignment="1">
      <alignment horizontal="right" vertical="center"/>
    </xf>
    <xf numFmtId="164" fontId="0" fillId="2" borderId="0" xfId="1" applyNumberFormat="1" applyFont="1" applyFill="1" applyAlignment="1">
      <alignment horizontal="right" vertical="center"/>
    </xf>
    <xf numFmtId="166" fontId="23" fillId="2" borderId="0" xfId="0" applyNumberFormat="1" applyFont="1" applyFill="1"/>
    <xf numFmtId="164" fontId="0" fillId="2" borderId="3" xfId="1" applyNumberFormat="1" applyFont="1" applyFill="1" applyBorder="1" applyAlignment="1">
      <alignment horizontal="right" vertical="center"/>
    </xf>
    <xf numFmtId="37" fontId="0" fillId="2" borderId="3" xfId="1" applyNumberFormat="1" applyFont="1" applyFill="1" applyBorder="1" applyAlignment="1">
      <alignment horizontal="right" vertical="center"/>
    </xf>
    <xf numFmtId="0" fontId="21" fillId="2" borderId="0" xfId="0" applyFont="1" applyFill="1" applyBorder="1" applyAlignment="1" applyProtection="1">
      <alignment horizontal="left" vertical="center"/>
    </xf>
    <xf numFmtId="0" fontId="0" fillId="2" borderId="1" xfId="0" applyFont="1" applyFill="1" applyBorder="1" applyAlignment="1">
      <alignment vertical="center"/>
    </xf>
    <xf numFmtId="0" fontId="20" fillId="2" borderId="0" xfId="0" applyFont="1" applyFill="1" applyAlignment="1">
      <alignment horizontal="right" vertical="center"/>
    </xf>
    <xf numFmtId="0" fontId="20" fillId="2" borderId="3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164" fontId="21" fillId="2" borderId="0" xfId="1" applyNumberFormat="1" applyFont="1" applyFill="1" applyAlignment="1">
      <alignment horizontal="right" vertical="center"/>
    </xf>
    <xf numFmtId="164" fontId="0" fillId="2" borderId="4" xfId="1" applyNumberFormat="1" applyFont="1" applyFill="1" applyBorder="1" applyAlignment="1">
      <alignment horizontal="right" vertical="center"/>
    </xf>
    <xf numFmtId="3" fontId="21" fillId="2" borderId="0" xfId="1" applyNumberFormat="1" applyFont="1" applyFill="1" applyBorder="1" applyAlignment="1">
      <alignment horizontal="right" vertical="center"/>
    </xf>
    <xf numFmtId="3" fontId="0" fillId="2" borderId="0" xfId="1" applyNumberFormat="1" applyFont="1" applyFill="1" applyAlignment="1">
      <alignment horizontal="right" vertical="center"/>
    </xf>
    <xf numFmtId="3" fontId="0" fillId="2" borderId="1" xfId="1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3" fillId="2" borderId="1" xfId="3" applyFont="1" applyFill="1" applyBorder="1" applyAlignment="1">
      <alignment horizontal="right" vertical="center" wrapText="1"/>
    </xf>
    <xf numFmtId="0" fontId="16" fillId="2" borderId="1" xfId="3" applyFont="1" applyFill="1" applyBorder="1" applyAlignment="1">
      <alignment horizontal="left" vertical="center"/>
    </xf>
  </cellXfs>
  <cellStyles count="7">
    <cellStyle name="Comma" xfId="1" builtinId="3"/>
    <cellStyle name="Comma 2" xfId="2"/>
    <cellStyle name="Comma 4" xfId="4"/>
    <cellStyle name="Normal" xfId="0" builtinId="0"/>
    <cellStyle name="Normal 2" xfId="3"/>
    <cellStyle name="Normal 2 2" xfId="6"/>
    <cellStyle name="Normal_X-5 (Electricity)" xfId="5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172E-2"/>
          <c:y val="0.17376292539326452"/>
          <c:w val="0.87957481900865109"/>
          <c:h val="0.651440481022281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2B8-48DD-A513-EF5629055382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2B8-48DD-A513-EF56290553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F2B8-48DD-A513-EF5629055382}"/>
              </c:ext>
            </c:extLst>
          </c:dPt>
          <c:cat>
            <c:strRef>
              <c:f>'[4]12.8'!$A$7:$A$9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'[4]12.8'!$K$7:$K$9</c:f>
              <c:numCache>
                <c:formatCode>General</c:formatCode>
                <c:ptCount val="3"/>
                <c:pt idx="0">
                  <c:v>4915.2939800000004</c:v>
                </c:pt>
                <c:pt idx="1">
                  <c:v>616.09299999999996</c:v>
                </c:pt>
                <c:pt idx="2">
                  <c:v>767.10302000000001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B8-48DD-A513-EF5629055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2060312"/>
        <c:axId val="462061096"/>
      </c:barChart>
      <c:catAx>
        <c:axId val="462060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2061096"/>
        <c:crosses val="autoZero"/>
        <c:auto val="1"/>
        <c:lblAlgn val="ctr"/>
        <c:lblOffset val="100"/>
        <c:noMultiLvlLbl val="0"/>
      </c:catAx>
      <c:valAx>
        <c:axId val="462061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2060312"/>
        <c:crosses val="autoZero"/>
        <c:crossBetween val="between"/>
      </c:valAx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172E-2"/>
          <c:y val="0.17376292539326452"/>
          <c:w val="0.87957481900865109"/>
          <c:h val="0.651440481022281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347-4623-AAE4-536561098CB0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347-4623-AAE4-536561098CB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5347-4623-AAE4-536561098CB0}"/>
              </c:ext>
            </c:extLst>
          </c:dPt>
          <c:cat>
            <c:strRef>
              <c:f>'[4]12.8'!$A$7:$A$9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'[4]12.8'!$K$7:$K$9</c:f>
              <c:numCache>
                <c:formatCode>General</c:formatCode>
                <c:ptCount val="3"/>
                <c:pt idx="0">
                  <c:v>4915.2939800000004</c:v>
                </c:pt>
                <c:pt idx="1">
                  <c:v>616.09299999999996</c:v>
                </c:pt>
                <c:pt idx="2">
                  <c:v>767.10302000000001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47-4623-AAE4-536561098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3355488"/>
        <c:axId val="463359800"/>
      </c:barChart>
      <c:catAx>
        <c:axId val="46335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3359800"/>
        <c:crosses val="autoZero"/>
        <c:auto val="1"/>
        <c:lblAlgn val="ctr"/>
        <c:lblOffset val="100"/>
        <c:noMultiLvlLbl val="0"/>
      </c:catAx>
      <c:valAx>
        <c:axId val="463359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355488"/>
        <c:crosses val="autoZero"/>
        <c:crossBetween val="between"/>
      </c:valAx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765587458667368"/>
          <c:y val="0.17376292539326452"/>
          <c:w val="0.3786486507917628"/>
          <c:h val="0.78849002212974617"/>
        </c:manualLayout>
      </c:layout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0A44-407F-9F69-8AB38D7E9372}"/>
              </c:ext>
            </c:extLst>
          </c:dPt>
          <c:dPt>
            <c:idx val="1"/>
            <c:bubble3D val="0"/>
            <c:spPr>
              <a:solidFill>
                <a:srgbClr val="C7F2F1"/>
              </a:solidFill>
            </c:spPr>
            <c:extLst>
              <c:ext xmlns:c16="http://schemas.microsoft.com/office/drawing/2014/chart" uri="{C3380CC4-5D6E-409C-BE32-E72D297353CC}">
                <c16:uniqueId val="{00000003-0A44-407F-9F69-8AB38D7E9372}"/>
              </c:ext>
            </c:extLst>
          </c:dPt>
          <c:dPt>
            <c:idx val="2"/>
            <c:bubble3D val="0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5-0A44-407F-9F69-8AB38D7E9372}"/>
              </c:ext>
            </c:extLst>
          </c:dPt>
          <c:dLbls>
            <c:dLbl>
              <c:idx val="0"/>
              <c:layout>
                <c:manualLayout>
                  <c:x val="-0.11926332784951287"/>
                  <c:y val="-0.2466708854344486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A44-407F-9F69-8AB38D7E937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'12.6'!$A$12:$A$14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'12.6'!$L$12:$L$14</c:f>
              <c:numCache>
                <c:formatCode>_(* #,##0_);_(* \(#,##0\);_(* "-"??_);_(@_)</c:formatCode>
                <c:ptCount val="3"/>
                <c:pt idx="0">
                  <c:v>79.607192626018104</c:v>
                </c:pt>
                <c:pt idx="1">
                  <c:v>9.0850920200925049</c:v>
                </c:pt>
                <c:pt idx="2">
                  <c:v>11.307715353889387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44-407F-9F69-8AB38D7E9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>
          <a:noFill/>
        </a:ln>
      </c:spPr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12.5: Percentage share of </a:t>
            </a:r>
            <a:r>
              <a:rPr lang="en-US" sz="1050" b="1" i="0" baseline="0">
                <a:effectLst/>
              </a:rPr>
              <a:t>water</a:t>
            </a:r>
            <a:r>
              <a:rPr lang="en-US" sz="1200" b="1" i="0" baseline="0">
                <a:effectLst/>
              </a:rPr>
              <a:t> consumption in Male', 2020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1605390131310367"/>
          <c:y val="2.5157232704402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811275302915902E-2"/>
          <c:y val="0.12003236245954693"/>
          <c:w val="0.93109740049617085"/>
          <c:h val="0.7316735306626633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'12.6'!$A$12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numRef>
              <c:f>'12.6'!$B$5:$L$5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'12.6'!$B$12:$L$12</c:f>
              <c:numCache>
                <c:formatCode>_(* #,##0_);_(* \(#,##0\);_(* "-"??_);_(@_)</c:formatCode>
                <c:ptCount val="11"/>
                <c:pt idx="0">
                  <c:v>80.356260074400723</c:v>
                </c:pt>
                <c:pt idx="1">
                  <c:v>79.909854988124479</c:v>
                </c:pt>
                <c:pt idx="2">
                  <c:v>81.575217913353299</c:v>
                </c:pt>
                <c:pt idx="3">
                  <c:v>81.434627477763883</c:v>
                </c:pt>
                <c:pt idx="4">
                  <c:v>81.622250460351694</c:v>
                </c:pt>
                <c:pt idx="5">
                  <c:v>80.455612260492032</c:v>
                </c:pt>
                <c:pt idx="6">
                  <c:v>79.666147431903866</c:v>
                </c:pt>
                <c:pt idx="7">
                  <c:v>78.03924400927842</c:v>
                </c:pt>
                <c:pt idx="8">
                  <c:v>77.366574155349696</c:v>
                </c:pt>
                <c:pt idx="9">
                  <c:v>77.465989037351534</c:v>
                </c:pt>
                <c:pt idx="10">
                  <c:v>79.607192626018104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5-463E-9211-AE1E4FC386A1}"/>
            </c:ext>
          </c:extLst>
        </c:ser>
        <c:ser>
          <c:idx val="1"/>
          <c:order val="1"/>
          <c:tx>
            <c:strRef>
              <c:f>'12.6'!$A$13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'12.6'!$B$5:$L$5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'12.6'!$B$13:$L$13</c:f>
              <c:numCache>
                <c:formatCode>_(* #,##0_);_(* \(#,##0\);_(* "-"??_);_(@_)</c:formatCode>
                <c:ptCount val="11"/>
                <c:pt idx="0">
                  <c:v>9.6012597792971395</c:v>
                </c:pt>
                <c:pt idx="1">
                  <c:v>8.2734249061250207</c:v>
                </c:pt>
                <c:pt idx="2">
                  <c:v>8.6585503819099223</c:v>
                </c:pt>
                <c:pt idx="3">
                  <c:v>8.6110823719206468</c:v>
                </c:pt>
                <c:pt idx="4">
                  <c:v>7.9657282579766413</c:v>
                </c:pt>
                <c:pt idx="5">
                  <c:v>8.974758486056313</c:v>
                </c:pt>
                <c:pt idx="6">
                  <c:v>9.2327248667262634</c:v>
                </c:pt>
                <c:pt idx="7">
                  <c:v>9.7815984466118078</c:v>
                </c:pt>
                <c:pt idx="8">
                  <c:v>10.023382223811055</c:v>
                </c:pt>
                <c:pt idx="9">
                  <c:v>9.3947708160982177</c:v>
                </c:pt>
                <c:pt idx="10">
                  <c:v>9.0850920200925049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5-463E-9211-AE1E4FC386A1}"/>
            </c:ext>
          </c:extLst>
        </c:ser>
        <c:ser>
          <c:idx val="2"/>
          <c:order val="2"/>
          <c:tx>
            <c:strRef>
              <c:f>'12.6'!$A$14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'12.6'!$B$5:$L$5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'12.6'!$B$14:$L$14</c:f>
              <c:numCache>
                <c:formatCode>_(* #,##0_);_(* \(#,##0\);_(* "-"??_);_(@_)</c:formatCode>
                <c:ptCount val="11"/>
                <c:pt idx="0">
                  <c:v>9.5945295948963185</c:v>
                </c:pt>
                <c:pt idx="1">
                  <c:v>11.695455640524797</c:v>
                </c:pt>
                <c:pt idx="2">
                  <c:v>9.735177337275406</c:v>
                </c:pt>
                <c:pt idx="3">
                  <c:v>9.9011593689189166</c:v>
                </c:pt>
                <c:pt idx="4">
                  <c:v>10.346710397478317</c:v>
                </c:pt>
                <c:pt idx="5">
                  <c:v>10.569629253451659</c:v>
                </c:pt>
                <c:pt idx="6">
                  <c:v>11.101127701369871</c:v>
                </c:pt>
                <c:pt idx="7">
                  <c:v>12.179157544109779</c:v>
                </c:pt>
                <c:pt idx="8">
                  <c:v>12.610043620839242</c:v>
                </c:pt>
                <c:pt idx="9">
                  <c:v>13.139240146550243</c:v>
                </c:pt>
                <c:pt idx="10">
                  <c:v>11.307715353889387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5-463E-9211-AE1E4FC386A1}"/>
            </c:ext>
          </c:extLst>
        </c:ser>
        <c:ser>
          <c:idx val="3"/>
          <c:order val="3"/>
          <c:tx>
            <c:strRef>
              <c:f>'12.6'!$A$15</c:f>
              <c:strCache>
                <c:ptCount val="1"/>
                <c:pt idx="0">
                  <c:v>Tap Bays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'12.6'!$B$5:$L$5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'12.6'!$B$15:$L$15</c:f>
              <c:numCache>
                <c:formatCode>_(* #,##0_);_(* \(#,##0\);_(* "-"??_);_(@_)</c:formatCode>
                <c:ptCount val="11"/>
                <c:pt idx="0">
                  <c:v>0.44795055140582801</c:v>
                </c:pt>
                <c:pt idx="1">
                  <c:v>0.12126446522570183</c:v>
                </c:pt>
                <c:pt idx="2">
                  <c:v>3.1054367461371937E-2</c:v>
                </c:pt>
                <c:pt idx="3">
                  <c:v>5.3130781396563576E-2</c:v>
                </c:pt>
                <c:pt idx="4">
                  <c:v>6.5310884193338331E-2</c:v>
                </c:pt>
                <c:pt idx="5" formatCode="#,##0_);\(#,##0\)">
                  <c:v>0</c:v>
                </c:pt>
                <c:pt idx="6" formatCode="#,##0_);\(#,##0\)">
                  <c:v>0</c:v>
                </c:pt>
                <c:pt idx="7" formatCode="#,##0_);\(#,##0\)">
                  <c:v>0</c:v>
                </c:pt>
                <c:pt idx="8" formatCode="#,##0_);\(#,##0\)">
                  <c:v>0</c:v>
                </c:pt>
                <c:pt idx="9" formatCode="#,##0_);\(#,##0\)">
                  <c:v>0</c:v>
                </c:pt>
                <c:pt idx="10" formatCode="#,##0_);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4-495F-A9B4-8B9DD3301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360584"/>
        <c:axId val="463361368"/>
      </c:barChart>
      <c:catAx>
        <c:axId val="46336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1368"/>
        <c:crosses val="autoZero"/>
        <c:auto val="1"/>
        <c:lblAlgn val="ctr"/>
        <c:lblOffset val="100"/>
        <c:noMultiLvlLbl val="0"/>
      </c:catAx>
      <c:valAx>
        <c:axId val="463361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rgbClr val="C7F2F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0584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9711173087698328"/>
          <c:y val="0.926842779605066"/>
          <c:w val="0.40070664025627645"/>
          <c:h val="7.075521220224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22</xdr:row>
      <xdr:rowOff>86624</xdr:rowOff>
    </xdr:from>
    <xdr:to>
      <xdr:col>12</xdr:col>
      <xdr:colOff>600076</xdr:colOff>
      <xdr:row>38</xdr:row>
      <xdr:rowOff>66675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8</xdr:col>
      <xdr:colOff>267556</xdr:colOff>
      <xdr:row>24</xdr:row>
      <xdr:rowOff>51027</xdr:rowOff>
    </xdr:to>
    <xdr:sp macro="" textlink="">
      <xdr:nvSpPr>
        <xdr:cNvPr id="3" name="TextBox 7"/>
        <xdr:cNvSpPr txBox="1"/>
      </xdr:nvSpPr>
      <xdr:spPr>
        <a:xfrm>
          <a:off x="988004" y="5437653"/>
          <a:ext cx="4251602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1071412</xdr:colOff>
      <xdr:row>24</xdr:row>
      <xdr:rowOff>21072</xdr:rowOff>
    </xdr:from>
    <xdr:to>
      <xdr:col>8</xdr:col>
      <xdr:colOff>240232</xdr:colOff>
      <xdr:row>24</xdr:row>
      <xdr:rowOff>42327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071412" y="5669397"/>
          <a:ext cx="4140870" cy="2125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0</xdr:col>
      <xdr:colOff>409576</xdr:colOff>
      <xdr:row>22</xdr:row>
      <xdr:rowOff>86624</xdr:rowOff>
    </xdr:from>
    <xdr:to>
      <xdr:col>12</xdr:col>
      <xdr:colOff>600076</xdr:colOff>
      <xdr:row>38</xdr:row>
      <xdr:rowOff>66675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8</xdr:col>
      <xdr:colOff>267556</xdr:colOff>
      <xdr:row>24</xdr:row>
      <xdr:rowOff>51027</xdr:rowOff>
    </xdr:to>
    <xdr:sp macro="" textlink="">
      <xdr:nvSpPr>
        <xdr:cNvPr id="6" name="TextBox 7"/>
        <xdr:cNvSpPr txBox="1"/>
      </xdr:nvSpPr>
      <xdr:spPr>
        <a:xfrm>
          <a:off x="988004" y="5437653"/>
          <a:ext cx="4251602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1071412</xdr:colOff>
      <xdr:row>24</xdr:row>
      <xdr:rowOff>21072</xdr:rowOff>
    </xdr:from>
    <xdr:to>
      <xdr:col>8</xdr:col>
      <xdr:colOff>240232</xdr:colOff>
      <xdr:row>24</xdr:row>
      <xdr:rowOff>42327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071412" y="5669397"/>
          <a:ext cx="4140870" cy="2125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0</xdr:col>
      <xdr:colOff>409576</xdr:colOff>
      <xdr:row>22</xdr:row>
      <xdr:rowOff>86624</xdr:rowOff>
    </xdr:from>
    <xdr:to>
      <xdr:col>12</xdr:col>
      <xdr:colOff>600076</xdr:colOff>
      <xdr:row>38</xdr:row>
      <xdr:rowOff>66675</xdr:rowOff>
    </xdr:to>
    <xdr:graphicFrame macro="">
      <xdr:nvGraphicFramePr>
        <xdr:cNvPr id="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911804</xdr:colOff>
      <xdr:row>23</xdr:row>
      <xdr:rowOff>36978</xdr:rowOff>
    </xdr:from>
    <xdr:to>
      <xdr:col>12</xdr:col>
      <xdr:colOff>209550</xdr:colOff>
      <xdr:row>24</xdr:row>
      <xdr:rowOff>108177</xdr:rowOff>
    </xdr:to>
    <xdr:sp macro="" textlink="">
      <xdr:nvSpPr>
        <xdr:cNvPr id="9" name="TextBox 7"/>
        <xdr:cNvSpPr txBox="1"/>
      </xdr:nvSpPr>
      <xdr:spPr>
        <a:xfrm>
          <a:off x="911804" y="4361328"/>
          <a:ext cx="5412796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tx1">
                  <a:lumMod val="65000"/>
                  <a:lumOff val="3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12.5: Percentage share of water consumption in Male', 2020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419099</xdr:colOff>
      <xdr:row>39</xdr:row>
      <xdr:rowOff>28575</xdr:rowOff>
    </xdr:from>
    <xdr:to>
      <xdr:col>12</xdr:col>
      <xdr:colOff>609600</xdr:colOff>
      <xdr:row>55</xdr:row>
      <xdr:rowOff>9525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C35"/>
  <sheetViews>
    <sheetView tabSelected="1" zoomScale="106" zoomScaleNormal="106" workbookViewId="0">
      <selection activeCell="Q11" sqref="Q11"/>
    </sheetView>
  </sheetViews>
  <sheetFormatPr defaultColWidth="9.140625" defaultRowHeight="15" x14ac:dyDescent="0.25"/>
  <cols>
    <col min="1" max="1" width="27.140625" style="1" customWidth="1"/>
    <col min="2" max="2" width="7.42578125" style="19" customWidth="1"/>
    <col min="3" max="12" width="8.5703125" style="19" customWidth="1"/>
    <col min="13" max="13" width="37.42578125" style="1" customWidth="1"/>
    <col min="14" max="14" width="2.42578125" style="1" customWidth="1"/>
    <col min="15" max="16384" width="9.140625" style="1"/>
  </cols>
  <sheetData>
    <row r="2" spans="1:24" ht="18.75" x14ac:dyDescent="0.25">
      <c r="A2" s="47" t="s">
        <v>22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24" ht="15.75" x14ac:dyDescent="0.25">
      <c r="A3" s="48" t="s">
        <v>21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P3" s="2"/>
      <c r="Q3" s="2"/>
      <c r="R3" s="2"/>
      <c r="S3" s="2"/>
      <c r="T3" s="2"/>
      <c r="U3" s="2"/>
      <c r="V3" s="2"/>
      <c r="W3" s="2"/>
      <c r="X3" s="2"/>
    </row>
    <row r="4" spans="1:24" s="5" customFormat="1" ht="16.5" customHeight="1" x14ac:dyDescent="0.2">
      <c r="A4" s="49" t="s">
        <v>4</v>
      </c>
      <c r="B4" s="49"/>
      <c r="C4" s="49"/>
      <c r="D4" s="49"/>
      <c r="E4" s="49"/>
      <c r="F4" s="49"/>
      <c r="G4" s="49"/>
      <c r="H4" s="50" t="s">
        <v>5</v>
      </c>
      <c r="I4" s="50"/>
      <c r="J4" s="50"/>
      <c r="K4" s="50"/>
      <c r="L4" s="50"/>
      <c r="M4" s="50"/>
      <c r="N4" s="3"/>
      <c r="O4" s="3"/>
      <c r="P4" s="3"/>
      <c r="Q4" s="3"/>
      <c r="R4" s="4"/>
    </row>
    <row r="5" spans="1:24" s="9" customFormat="1" ht="18" customHeight="1" x14ac:dyDescent="0.25">
      <c r="A5" s="6" t="s">
        <v>6</v>
      </c>
      <c r="B5" s="7">
        <v>2010</v>
      </c>
      <c r="C5" s="7">
        <v>2011</v>
      </c>
      <c r="D5" s="7">
        <v>2012</v>
      </c>
      <c r="E5" s="7">
        <v>2013</v>
      </c>
      <c r="F5" s="7">
        <v>2014</v>
      </c>
      <c r="G5" s="7">
        <v>2015</v>
      </c>
      <c r="H5" s="7">
        <v>2016</v>
      </c>
      <c r="I5" s="7">
        <v>2017</v>
      </c>
      <c r="J5" s="7">
        <v>2018</v>
      </c>
      <c r="K5" s="7">
        <v>2019</v>
      </c>
      <c r="L5" s="7">
        <v>2020</v>
      </c>
      <c r="M5" s="8" t="s">
        <v>3</v>
      </c>
      <c r="P5" s="10"/>
      <c r="Q5" s="10"/>
      <c r="R5" s="10"/>
      <c r="S5" s="10"/>
      <c r="T5" s="10"/>
      <c r="U5" s="10"/>
      <c r="V5" s="10"/>
      <c r="W5" s="10"/>
      <c r="X5" s="11"/>
    </row>
    <row r="6" spans="1:24" s="24" customFormat="1" ht="18" x14ac:dyDescent="0.25">
      <c r="A6" s="22" t="s">
        <v>7</v>
      </c>
      <c r="B6" s="42">
        <f t="shared" ref="B6:G6" si="0">SUM(B7:B10)</f>
        <v>3466.9183800000001</v>
      </c>
      <c r="C6" s="42">
        <f t="shared" si="0"/>
        <v>3852.5548200000003</v>
      </c>
      <c r="D6" s="42">
        <f t="shared" si="0"/>
        <v>4240.0155199999999</v>
      </c>
      <c r="E6" s="42">
        <f t="shared" si="0"/>
        <v>4509.2316299999993</v>
      </c>
      <c r="F6" s="42">
        <f t="shared" si="0"/>
        <v>4914.9541300000001</v>
      </c>
      <c r="G6" s="42">
        <f t="shared" si="0"/>
        <v>5700.0994599999995</v>
      </c>
      <c r="H6" s="42">
        <f>SUM(H7:H10)</f>
        <v>5805.4536200000002</v>
      </c>
      <c r="I6" s="42">
        <f>SUM(I7:I10)</f>
        <v>6298.49</v>
      </c>
      <c r="J6" s="42">
        <f>SUM(J7:J10)</f>
        <v>6492.5390000000007</v>
      </c>
      <c r="K6" s="42">
        <f>SUM(K7:K10)</f>
        <v>6812.9047799999971</v>
      </c>
      <c r="L6" s="42">
        <f>SUM(L7:L10)</f>
        <v>6768.7456400000083</v>
      </c>
      <c r="M6" s="23" t="s">
        <v>8</v>
      </c>
      <c r="P6" s="25"/>
      <c r="Q6" s="25"/>
      <c r="R6" s="25"/>
      <c r="S6" s="25"/>
      <c r="T6" s="25"/>
      <c r="U6" s="25"/>
      <c r="V6" s="25"/>
      <c r="W6" s="25"/>
      <c r="X6" s="25"/>
    </row>
    <row r="7" spans="1:24" s="26" customFormat="1" ht="15.75" x14ac:dyDescent="0.2">
      <c r="A7" s="19" t="s">
        <v>9</v>
      </c>
      <c r="B7" s="32">
        <v>2785.8859500000003</v>
      </c>
      <c r="C7" s="32">
        <v>3078.5709700000002</v>
      </c>
      <c r="D7" s="32">
        <v>3458.8018999999999</v>
      </c>
      <c r="E7" s="32">
        <f>3672075.98/1000</f>
        <v>3672.0759800000001</v>
      </c>
      <c r="F7" s="32">
        <v>4011.6961699999997</v>
      </c>
      <c r="G7" s="32">
        <v>4586.0499199999995</v>
      </c>
      <c r="H7" s="32">
        <v>4624.9812400000001</v>
      </c>
      <c r="I7" s="32">
        <v>4915.2939800000004</v>
      </c>
      <c r="J7" s="32">
        <v>5023.0550000000003</v>
      </c>
      <c r="K7" s="32">
        <v>5277.6840699999966</v>
      </c>
      <c r="L7" s="32">
        <v>5388.4083800000089</v>
      </c>
      <c r="M7" s="38" t="s">
        <v>10</v>
      </c>
      <c r="P7" s="27"/>
      <c r="Q7" s="27"/>
      <c r="R7" s="27"/>
      <c r="S7" s="27"/>
      <c r="T7" s="27"/>
      <c r="U7" s="27"/>
      <c r="V7" s="27"/>
      <c r="W7" s="27"/>
      <c r="X7" s="28"/>
    </row>
    <row r="8" spans="1:24" s="26" customFormat="1" ht="15.75" x14ac:dyDescent="0.2">
      <c r="A8" s="19" t="s">
        <v>11</v>
      </c>
      <c r="B8" s="32">
        <v>332.86784</v>
      </c>
      <c r="C8" s="32">
        <v>318.73822999999999</v>
      </c>
      <c r="D8" s="32">
        <v>367.12387999999999</v>
      </c>
      <c r="E8" s="32">
        <f>388293.65/1000</f>
        <v>388.29365000000001</v>
      </c>
      <c r="F8" s="32">
        <v>391.51188999999999</v>
      </c>
      <c r="G8" s="32">
        <v>511.57015999999999</v>
      </c>
      <c r="H8" s="32">
        <v>536.00156000000004</v>
      </c>
      <c r="I8" s="32">
        <v>616.09299999999996</v>
      </c>
      <c r="J8" s="32">
        <v>650.77200000000005</v>
      </c>
      <c r="K8" s="32">
        <v>640.05679000000021</v>
      </c>
      <c r="L8" s="32">
        <v>614.94677000000001</v>
      </c>
      <c r="M8" s="38" t="s">
        <v>12</v>
      </c>
      <c r="P8" s="27"/>
      <c r="Q8" s="28"/>
      <c r="R8" s="28"/>
      <c r="S8" s="28"/>
      <c r="T8" s="28"/>
      <c r="U8" s="28"/>
      <c r="V8" s="28"/>
      <c r="W8" s="28"/>
      <c r="X8" s="28"/>
    </row>
    <row r="9" spans="1:24" s="26" customFormat="1" ht="15.75" x14ac:dyDescent="0.2">
      <c r="A9" s="19" t="s">
        <v>13</v>
      </c>
      <c r="B9" s="32">
        <v>332.63451000000003</v>
      </c>
      <c r="C9" s="32">
        <f>383.40205+67.17179</f>
        <v>450.57383999999996</v>
      </c>
      <c r="D9" s="32">
        <v>412.77303000000001</v>
      </c>
      <c r="E9" s="32">
        <f>446466.21/1000</f>
        <v>446.46621000000005</v>
      </c>
      <c r="F9" s="32">
        <v>508.53606999999994</v>
      </c>
      <c r="G9" s="32">
        <v>602.47937999999999</v>
      </c>
      <c r="H9" s="32">
        <v>644.47082</v>
      </c>
      <c r="I9" s="32">
        <v>767.10302000000001</v>
      </c>
      <c r="J9" s="32">
        <v>818.71199999999999</v>
      </c>
      <c r="K9" s="32">
        <v>895.16392000000019</v>
      </c>
      <c r="L9" s="32">
        <v>765.39048999999943</v>
      </c>
      <c r="M9" s="38" t="s">
        <v>14</v>
      </c>
      <c r="P9" s="27"/>
      <c r="Q9" s="28"/>
      <c r="R9" s="28"/>
      <c r="S9" s="28"/>
      <c r="T9" s="28"/>
      <c r="U9" s="28"/>
      <c r="V9" s="28"/>
      <c r="W9" s="28"/>
      <c r="X9" s="28"/>
    </row>
    <row r="10" spans="1:24" s="26" customFormat="1" ht="15.75" x14ac:dyDescent="0.2">
      <c r="A10" s="29" t="s">
        <v>15</v>
      </c>
      <c r="B10" s="34">
        <v>15.53008</v>
      </c>
      <c r="C10" s="34">
        <f>4.67178</f>
        <v>4.67178</v>
      </c>
      <c r="D10" s="34">
        <v>1.31671</v>
      </c>
      <c r="E10" s="34">
        <f>2395.79/1000</f>
        <v>2.3957899999999999</v>
      </c>
      <c r="F10" s="43">
        <v>3.21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39" t="s">
        <v>16</v>
      </c>
      <c r="P10" s="27"/>
      <c r="Q10" s="28"/>
      <c r="R10" s="28"/>
      <c r="S10" s="28"/>
      <c r="T10" s="28"/>
      <c r="U10" s="28"/>
      <c r="V10" s="28"/>
      <c r="W10" s="28"/>
      <c r="X10" s="28"/>
    </row>
    <row r="11" spans="1:24" s="25" customFormat="1" ht="18" x14ac:dyDescent="0.25">
      <c r="A11" s="30" t="s">
        <v>17</v>
      </c>
      <c r="B11" s="31">
        <f t="shared" ref="B11:G11" si="1">SUM(B12:B15)</f>
        <v>100</v>
      </c>
      <c r="C11" s="31">
        <f t="shared" si="1"/>
        <v>100</v>
      </c>
      <c r="D11" s="31">
        <f t="shared" si="1"/>
        <v>99.999999999999986</v>
      </c>
      <c r="E11" s="31">
        <f t="shared" si="1"/>
        <v>100</v>
      </c>
      <c r="F11" s="31">
        <f t="shared" si="1"/>
        <v>99.999999999999986</v>
      </c>
      <c r="G11" s="31">
        <f t="shared" si="1"/>
        <v>100</v>
      </c>
      <c r="H11" s="31">
        <f>SUM(H12:H15)</f>
        <v>100</v>
      </c>
      <c r="I11" s="31">
        <f>SUM(I12:I15)</f>
        <v>100.00000000000001</v>
      </c>
      <c r="J11" s="31">
        <f>SUM(J12:J15)</f>
        <v>100</v>
      </c>
      <c r="K11" s="31">
        <f>SUM(K12:K15)</f>
        <v>100</v>
      </c>
      <c r="L11" s="31">
        <f>SUM(L12:L15)</f>
        <v>100</v>
      </c>
      <c r="M11" s="23" t="s">
        <v>0</v>
      </c>
      <c r="P11" s="27"/>
    </row>
    <row r="12" spans="1:24" s="26" customFormat="1" ht="15.75" x14ac:dyDescent="0.2">
      <c r="A12" s="19" t="s">
        <v>9</v>
      </c>
      <c r="B12" s="32">
        <f t="shared" ref="B12:J12" si="2">B7/B6*100</f>
        <v>80.356260074400723</v>
      </c>
      <c r="C12" s="32">
        <f t="shared" si="2"/>
        <v>79.909854988124479</v>
      </c>
      <c r="D12" s="32">
        <f t="shared" si="2"/>
        <v>81.575217913353299</v>
      </c>
      <c r="E12" s="32">
        <f t="shared" si="2"/>
        <v>81.434627477763883</v>
      </c>
      <c r="F12" s="32">
        <f t="shared" si="2"/>
        <v>81.622250460351694</v>
      </c>
      <c r="G12" s="32">
        <f t="shared" si="2"/>
        <v>80.455612260492032</v>
      </c>
      <c r="H12" s="32">
        <f t="shared" si="2"/>
        <v>79.666147431903866</v>
      </c>
      <c r="I12" s="32">
        <f t="shared" si="2"/>
        <v>78.03924400927842</v>
      </c>
      <c r="J12" s="32">
        <f t="shared" si="2"/>
        <v>77.366574155349696</v>
      </c>
      <c r="K12" s="32">
        <f>K7/K6*100</f>
        <v>77.465989037351534</v>
      </c>
      <c r="L12" s="32">
        <f t="shared" ref="L12" si="3">L7/L6*100</f>
        <v>79.607192626018104</v>
      </c>
      <c r="M12" s="38" t="s">
        <v>10</v>
      </c>
      <c r="P12" s="33"/>
    </row>
    <row r="13" spans="1:24" s="26" customFormat="1" ht="15.75" x14ac:dyDescent="0.2">
      <c r="A13" s="19" t="s">
        <v>11</v>
      </c>
      <c r="B13" s="32">
        <f t="shared" ref="B13:I13" si="4">B8/B6*100</f>
        <v>9.6012597792971395</v>
      </c>
      <c r="C13" s="32">
        <f t="shared" si="4"/>
        <v>8.2734249061250207</v>
      </c>
      <c r="D13" s="32">
        <f t="shared" si="4"/>
        <v>8.6585503819099223</v>
      </c>
      <c r="E13" s="32">
        <f t="shared" si="4"/>
        <v>8.6110823719206468</v>
      </c>
      <c r="F13" s="32">
        <f t="shared" si="4"/>
        <v>7.9657282579766413</v>
      </c>
      <c r="G13" s="32">
        <f t="shared" si="4"/>
        <v>8.974758486056313</v>
      </c>
      <c r="H13" s="32">
        <f t="shared" si="4"/>
        <v>9.2327248667262634</v>
      </c>
      <c r="I13" s="32">
        <f t="shared" si="4"/>
        <v>9.7815984466118078</v>
      </c>
      <c r="J13" s="32">
        <f>J8/J6*100</f>
        <v>10.023382223811055</v>
      </c>
      <c r="K13" s="32">
        <f>K8/K6*100</f>
        <v>9.3947708160982177</v>
      </c>
      <c r="L13" s="32">
        <f>L8/L6*100</f>
        <v>9.0850920200925049</v>
      </c>
      <c r="M13" s="38" t="s">
        <v>12</v>
      </c>
      <c r="P13" s="33"/>
    </row>
    <row r="14" spans="1:24" s="26" customFormat="1" ht="15.75" x14ac:dyDescent="0.2">
      <c r="A14" s="19" t="s">
        <v>13</v>
      </c>
      <c r="B14" s="32">
        <f t="shared" ref="B14:F14" si="5">B9/B6*100</f>
        <v>9.5945295948963185</v>
      </c>
      <c r="C14" s="32">
        <f t="shared" si="5"/>
        <v>11.695455640524797</v>
      </c>
      <c r="D14" s="32">
        <f t="shared" si="5"/>
        <v>9.735177337275406</v>
      </c>
      <c r="E14" s="32">
        <f t="shared" si="5"/>
        <v>9.9011593689189166</v>
      </c>
      <c r="F14" s="32">
        <f t="shared" si="5"/>
        <v>10.346710397478317</v>
      </c>
      <c r="G14" s="32">
        <f t="shared" ref="G14:L14" si="6">G9/G6*100</f>
        <v>10.569629253451659</v>
      </c>
      <c r="H14" s="32">
        <f t="shared" si="6"/>
        <v>11.101127701369871</v>
      </c>
      <c r="I14" s="32">
        <f t="shared" si="6"/>
        <v>12.179157544109779</v>
      </c>
      <c r="J14" s="32">
        <f t="shared" si="6"/>
        <v>12.610043620839242</v>
      </c>
      <c r="K14" s="32">
        <f>K9/K6*100</f>
        <v>13.139240146550243</v>
      </c>
      <c r="L14" s="32">
        <f t="shared" si="6"/>
        <v>11.307715353889387</v>
      </c>
      <c r="M14" s="38" t="s">
        <v>14</v>
      </c>
      <c r="P14" s="33"/>
    </row>
    <row r="15" spans="1:24" s="26" customFormat="1" ht="15.75" x14ac:dyDescent="0.2">
      <c r="A15" s="29" t="s">
        <v>15</v>
      </c>
      <c r="B15" s="34">
        <f t="shared" ref="B15:J15" si="7">B10/B6*100</f>
        <v>0.44795055140582801</v>
      </c>
      <c r="C15" s="34">
        <f t="shared" si="7"/>
        <v>0.12126446522570183</v>
      </c>
      <c r="D15" s="34">
        <f t="shared" si="7"/>
        <v>3.1054367461371937E-2</v>
      </c>
      <c r="E15" s="34">
        <f t="shared" si="7"/>
        <v>5.3130781396563576E-2</v>
      </c>
      <c r="F15" s="34">
        <f t="shared" si="7"/>
        <v>6.5310884193338331E-2</v>
      </c>
      <c r="G15" s="35">
        <f t="shared" si="7"/>
        <v>0</v>
      </c>
      <c r="H15" s="35">
        <f t="shared" si="7"/>
        <v>0</v>
      </c>
      <c r="I15" s="35">
        <f t="shared" si="7"/>
        <v>0</v>
      </c>
      <c r="J15" s="35">
        <f t="shared" si="7"/>
        <v>0</v>
      </c>
      <c r="K15" s="35">
        <f t="shared" ref="K15:L15" si="8">K10/K6*100</f>
        <v>0</v>
      </c>
      <c r="L15" s="35">
        <f t="shared" si="8"/>
        <v>0</v>
      </c>
      <c r="M15" s="39" t="s">
        <v>16</v>
      </c>
      <c r="P15" s="33"/>
    </row>
    <row r="16" spans="1:24" s="25" customFormat="1" ht="18" x14ac:dyDescent="0.25">
      <c r="A16" s="36" t="s">
        <v>1</v>
      </c>
      <c r="B16" s="44">
        <v>11.036399786569373</v>
      </c>
      <c r="C16" s="44">
        <f t="shared" ref="C16:J20" si="9">(C6-B6)/B6*100</f>
        <v>11.123320416905811</v>
      </c>
      <c r="D16" s="44">
        <f t="shared" si="9"/>
        <v>10.057240405472013</v>
      </c>
      <c r="E16" s="44">
        <f t="shared" si="9"/>
        <v>6.3494133153550196</v>
      </c>
      <c r="F16" s="44">
        <f t="shared" si="9"/>
        <v>8.9975972247848528</v>
      </c>
      <c r="G16" s="44">
        <f t="shared" si="9"/>
        <v>15.974621720426907</v>
      </c>
      <c r="H16" s="44">
        <f>(H6-G6)/G6*100</f>
        <v>1.8482863455158163</v>
      </c>
      <c r="I16" s="44">
        <f>(I6-H6)/H6*100</f>
        <v>8.4926417860177406</v>
      </c>
      <c r="J16" s="44">
        <f>(J6-I6)/I6*100</f>
        <v>3.0808812905950616</v>
      </c>
      <c r="K16" s="44">
        <f>(K6-J6)/J6*100</f>
        <v>4.9343682032560201</v>
      </c>
      <c r="L16" s="44">
        <f>(L6-K6)/K6*100</f>
        <v>-0.64816904721203017</v>
      </c>
      <c r="M16" s="23" t="s">
        <v>2</v>
      </c>
      <c r="P16" s="33"/>
    </row>
    <row r="17" spans="1:29" s="26" customFormat="1" ht="15.75" x14ac:dyDescent="0.2">
      <c r="A17" s="19" t="s">
        <v>9</v>
      </c>
      <c r="B17" s="45">
        <v>13.092331124843874</v>
      </c>
      <c r="C17" s="45">
        <f>(C7-B7)/B7*100</f>
        <v>10.50599433189287</v>
      </c>
      <c r="D17" s="45">
        <f t="shared" si="9"/>
        <v>12.350890517232406</v>
      </c>
      <c r="E17" s="45">
        <f t="shared" si="9"/>
        <v>6.1661259061989115</v>
      </c>
      <c r="F17" s="45">
        <f t="shared" si="9"/>
        <v>9.2487244776454656</v>
      </c>
      <c r="G17" s="45">
        <f t="shared" si="9"/>
        <v>14.316980291156989</v>
      </c>
      <c r="H17" s="45">
        <f t="shared" si="9"/>
        <v>0.84890746239414261</v>
      </c>
      <c r="I17" s="45">
        <f t="shared" si="9"/>
        <v>6.2770576773193625</v>
      </c>
      <c r="J17" s="45">
        <f t="shared" si="9"/>
        <v>2.1923616458847066</v>
      </c>
      <c r="K17" s="45">
        <f t="shared" ref="K17:L19" si="10">(K7-J7)/J7*100</f>
        <v>5.0692072852078329</v>
      </c>
      <c r="L17" s="45">
        <f t="shared" si="10"/>
        <v>2.0979715445531095</v>
      </c>
      <c r="M17" s="38" t="s">
        <v>10</v>
      </c>
      <c r="P17" s="33"/>
    </row>
    <row r="18" spans="1:29" s="26" customFormat="1" ht="15.75" x14ac:dyDescent="0.2">
      <c r="A18" s="19" t="s">
        <v>11</v>
      </c>
      <c r="B18" s="45">
        <v>2.4183527790085231</v>
      </c>
      <c r="C18" s="45">
        <f t="shared" si="9"/>
        <v>-4.2448107933767387</v>
      </c>
      <c r="D18" s="45">
        <f>(D8-C8)/C8*100</f>
        <v>15.180372307394691</v>
      </c>
      <c r="E18" s="45">
        <f t="shared" si="9"/>
        <v>5.7663832709547602</v>
      </c>
      <c r="F18" s="45">
        <f t="shared" si="9"/>
        <v>0.82881602622138684</v>
      </c>
      <c r="G18" s="45">
        <f t="shared" si="9"/>
        <v>30.665293460180738</v>
      </c>
      <c r="H18" s="45">
        <f t="shared" si="9"/>
        <v>4.7757672183225175</v>
      </c>
      <c r="I18" s="45">
        <f t="shared" si="9"/>
        <v>14.942389346777258</v>
      </c>
      <c r="J18" s="45">
        <f t="shared" si="9"/>
        <v>5.6288579808568011</v>
      </c>
      <c r="K18" s="45">
        <f t="shared" si="10"/>
        <v>-1.6465382653217782</v>
      </c>
      <c r="L18" s="45">
        <f t="shared" si="10"/>
        <v>-3.9230925118379236</v>
      </c>
      <c r="M18" s="38" t="s">
        <v>12</v>
      </c>
    </row>
    <row r="19" spans="1:29" s="26" customFormat="1" ht="15.75" x14ac:dyDescent="0.2">
      <c r="A19" s="19" t="s">
        <v>18</v>
      </c>
      <c r="B19" s="45">
        <v>12.945448186642858</v>
      </c>
      <c r="C19" s="45">
        <f t="shared" si="9"/>
        <v>35.456131716459581</v>
      </c>
      <c r="D19" s="45">
        <f t="shared" si="9"/>
        <v>-8.389481732894204</v>
      </c>
      <c r="E19" s="45">
        <f t="shared" si="9"/>
        <v>8.1626408585851742</v>
      </c>
      <c r="F19" s="45">
        <f t="shared" si="9"/>
        <v>13.902476516643866</v>
      </c>
      <c r="G19" s="45">
        <f t="shared" si="9"/>
        <v>18.473283517529065</v>
      </c>
      <c r="H19" s="45">
        <f t="shared" si="9"/>
        <v>6.969772143903084</v>
      </c>
      <c r="I19" s="45">
        <f t="shared" si="9"/>
        <v>19.028355698090412</v>
      </c>
      <c r="J19" s="45">
        <f t="shared" si="9"/>
        <v>6.7277769288406617</v>
      </c>
      <c r="K19" s="45">
        <f t="shared" si="10"/>
        <v>9.3380724845855685</v>
      </c>
      <c r="L19" s="45">
        <f t="shared" si="10"/>
        <v>-14.497169412279343</v>
      </c>
      <c r="M19" s="38" t="s">
        <v>14</v>
      </c>
    </row>
    <row r="20" spans="1:29" s="26" customFormat="1" ht="15.75" x14ac:dyDescent="0.2">
      <c r="A20" s="37" t="s">
        <v>15</v>
      </c>
      <c r="B20" s="46">
        <v>-60.619535449842786</v>
      </c>
      <c r="C20" s="46">
        <f t="shared" si="9"/>
        <v>-69.917862625305219</v>
      </c>
      <c r="D20" s="46">
        <f t="shared" si="9"/>
        <v>-71.815667689831287</v>
      </c>
      <c r="E20" s="46">
        <f t="shared" si="9"/>
        <v>81.952745858997034</v>
      </c>
      <c r="F20" s="46">
        <f t="shared" si="9"/>
        <v>33.98503207710192</v>
      </c>
      <c r="G20" s="46">
        <f t="shared" ref="G20:J20" si="11">G15/G11*100</f>
        <v>0</v>
      </c>
      <c r="H20" s="46">
        <f t="shared" si="11"/>
        <v>0</v>
      </c>
      <c r="I20" s="46">
        <f t="shared" si="11"/>
        <v>0</v>
      </c>
      <c r="J20" s="46">
        <f t="shared" si="11"/>
        <v>0</v>
      </c>
      <c r="K20" s="46">
        <f t="shared" ref="K20:L20" si="12">K15/K11*100</f>
        <v>0</v>
      </c>
      <c r="L20" s="46">
        <f t="shared" si="12"/>
        <v>0</v>
      </c>
      <c r="M20" s="40" t="s">
        <v>16</v>
      </c>
    </row>
    <row r="21" spans="1:29" s="13" customFormat="1" ht="14.25" x14ac:dyDescent="0.35">
      <c r="A21" s="14" t="s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41"/>
      <c r="M21" s="15" t="s">
        <v>20</v>
      </c>
    </row>
    <row r="22" spans="1:29" s="16" customFormat="1" ht="12.75" x14ac:dyDescent="0.2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N22" s="18"/>
      <c r="O22" s="13"/>
      <c r="P22" s="13"/>
      <c r="Q22" s="13"/>
      <c r="R22" s="13"/>
      <c r="S22" s="13"/>
      <c r="T22" s="13"/>
      <c r="U22" s="13"/>
      <c r="X22" s="13"/>
      <c r="Y22" s="13"/>
      <c r="Z22" s="13"/>
      <c r="AA22" s="13"/>
      <c r="AB22" s="13"/>
      <c r="AC22" s="13"/>
    </row>
    <row r="23" spans="1:29" s="16" customFormat="1" x14ac:dyDescent="0.25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N23" s="1"/>
      <c r="O23" s="13"/>
      <c r="P23" s="13"/>
      <c r="Q23" s="13"/>
      <c r="R23" s="13"/>
      <c r="S23" s="13"/>
      <c r="T23" s="13"/>
      <c r="U23" s="13"/>
      <c r="X23" s="13"/>
      <c r="Y23" s="13"/>
      <c r="Z23" s="13"/>
      <c r="AA23" s="13"/>
      <c r="AB23" s="13"/>
      <c r="AC23" s="13"/>
    </row>
    <row r="24" spans="1:29" s="16" customFormat="1" x14ac:dyDescent="0.25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N24" s="1"/>
      <c r="O24" s="13"/>
      <c r="P24" s="13"/>
      <c r="Q24" s="13"/>
      <c r="R24" s="13"/>
      <c r="S24" s="13"/>
      <c r="T24" s="13"/>
      <c r="U24" s="13"/>
      <c r="X24" s="13"/>
      <c r="Y24" s="13"/>
      <c r="Z24" s="13"/>
      <c r="AA24" s="13"/>
      <c r="AB24" s="13"/>
      <c r="AC24" s="13"/>
    </row>
    <row r="25" spans="1:29" x14ac:dyDescent="0.25">
      <c r="M25" s="16"/>
      <c r="O25" s="13"/>
      <c r="P25" s="13"/>
      <c r="Q25" s="13"/>
      <c r="R25" s="13"/>
      <c r="S25" s="13"/>
      <c r="T25" s="13"/>
      <c r="U25" s="13"/>
      <c r="X25" s="13"/>
      <c r="Y25" s="13"/>
      <c r="Z25" s="13"/>
      <c r="AA25" s="13"/>
      <c r="AB25" s="13"/>
      <c r="AC25" s="13"/>
    </row>
    <row r="26" spans="1:29" x14ac:dyDescent="0.25">
      <c r="M26" s="16"/>
      <c r="O26" s="13"/>
      <c r="P26" s="13"/>
      <c r="Q26" s="13"/>
      <c r="R26" s="13"/>
      <c r="S26" s="13"/>
      <c r="T26" s="13"/>
      <c r="U26" s="13"/>
    </row>
    <row r="27" spans="1:29" x14ac:dyDescent="0.25">
      <c r="M27" s="16"/>
      <c r="O27" s="13"/>
      <c r="P27" s="13"/>
      <c r="Q27" s="13"/>
      <c r="R27" s="13"/>
      <c r="S27" s="13"/>
      <c r="T27" s="13"/>
      <c r="U27" s="13"/>
    </row>
    <row r="28" spans="1:29" x14ac:dyDescent="0.25">
      <c r="M28" s="16"/>
      <c r="O28" s="13"/>
      <c r="P28" s="13"/>
      <c r="Q28" s="13"/>
      <c r="R28" s="13"/>
      <c r="S28" s="13"/>
      <c r="T28" s="13"/>
      <c r="U28" s="13"/>
      <c r="Y28" s="20"/>
    </row>
    <row r="29" spans="1:29" x14ac:dyDescent="0.25">
      <c r="M29" s="16"/>
      <c r="O29" s="13"/>
      <c r="P29" s="13"/>
      <c r="Q29" s="13"/>
      <c r="R29" s="13"/>
      <c r="S29" s="13"/>
      <c r="T29" s="13"/>
      <c r="U29" s="13"/>
      <c r="Y29" s="20"/>
    </row>
    <row r="30" spans="1:29" x14ac:dyDescent="0.25">
      <c r="M30" s="16"/>
      <c r="O30" s="13"/>
      <c r="Y30" s="20"/>
    </row>
    <row r="31" spans="1:29" x14ac:dyDescent="0.25">
      <c r="Y31" s="20"/>
    </row>
    <row r="35" spans="2:12" x14ac:dyDescent="0.25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</sheetData>
  <mergeCells count="4">
    <mergeCell ref="A2:M2"/>
    <mergeCell ref="A3:M3"/>
    <mergeCell ref="A4:G4"/>
    <mergeCell ref="H4:M4"/>
  </mergeCells>
  <pageMargins left="0.7" right="0.7" top="0.75" bottom="0.75" header="0.3" footer="0.3"/>
  <pageSetup paperSize="9" scale="54" orientation="portrait" horizontalDpi="4294967295" verticalDpi="4294967295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12.6</vt:lpstr>
      <vt:lpstr>'12.6'!Print_Area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2021-08-22T03:58:50Z</cp:lastPrinted>
  <dcterms:created xsi:type="dcterms:W3CDTF">2019-05-21T05:57:01Z</dcterms:created>
  <dcterms:modified xsi:type="dcterms:W3CDTF">2021-08-22T03:59:04Z</dcterms:modified>
</cp:coreProperties>
</file>