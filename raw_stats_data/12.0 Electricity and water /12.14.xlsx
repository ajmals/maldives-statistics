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4" sheetId="14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'12.14'!$A$1:$N$17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4" l="1"/>
  <c r="L15" i="14"/>
  <c r="L14" i="14"/>
  <c r="L5" i="14"/>
  <c r="L11" i="14" l="1"/>
  <c r="L10" i="14"/>
  <c r="L12" i="14"/>
  <c r="L9" i="14" l="1"/>
  <c r="K16" i="14" l="1"/>
  <c r="K15" i="14"/>
  <c r="K14" i="14"/>
  <c r="K5" i="14"/>
  <c r="K11" i="14" l="1"/>
  <c r="L13" i="14"/>
  <c r="K12" i="14"/>
  <c r="K10" i="14"/>
  <c r="I16" i="14"/>
  <c r="J16" i="14"/>
  <c r="K9" i="14" l="1"/>
  <c r="H16" i="14" l="1"/>
  <c r="G16" i="14"/>
  <c r="F16" i="14"/>
  <c r="E16" i="14"/>
  <c r="D16" i="14"/>
  <c r="C16" i="14"/>
  <c r="J15" i="14"/>
  <c r="I15" i="14"/>
  <c r="H15" i="14"/>
  <c r="G15" i="14"/>
  <c r="F15" i="14"/>
  <c r="E15" i="14"/>
  <c r="D15" i="14"/>
  <c r="C15" i="14"/>
  <c r="J14" i="14"/>
  <c r="I14" i="14"/>
  <c r="H14" i="14"/>
  <c r="G14" i="14"/>
  <c r="F14" i="14"/>
  <c r="E14" i="14"/>
  <c r="D14" i="14"/>
  <c r="C14" i="14"/>
  <c r="I13" i="14"/>
  <c r="J5" i="14"/>
  <c r="I5" i="14"/>
  <c r="I11" i="14" s="1"/>
  <c r="H5" i="14"/>
  <c r="H12" i="14" s="1"/>
  <c r="G5" i="14"/>
  <c r="F5" i="14"/>
  <c r="F12" i="14" s="1"/>
  <c r="E5" i="14"/>
  <c r="E12" i="14" s="1"/>
  <c r="D5" i="14"/>
  <c r="D10" i="14" s="1"/>
  <c r="C5" i="14"/>
  <c r="B5" i="14"/>
  <c r="B11" i="14" s="1"/>
  <c r="G13" i="14" l="1"/>
  <c r="G11" i="14"/>
  <c r="H11" i="14"/>
  <c r="J11" i="14"/>
  <c r="K13" i="14"/>
  <c r="C13" i="14"/>
  <c r="H13" i="14"/>
  <c r="G10" i="14"/>
  <c r="H10" i="14"/>
  <c r="H9" i="14" s="1"/>
  <c r="D11" i="14"/>
  <c r="E13" i="14"/>
  <c r="C10" i="14"/>
  <c r="C11" i="14"/>
  <c r="G12" i="14"/>
  <c r="I10" i="14"/>
  <c r="E11" i="14"/>
  <c r="I12" i="14"/>
  <c r="F13" i="14"/>
  <c r="D13" i="14"/>
  <c r="B10" i="14"/>
  <c r="J10" i="14"/>
  <c r="F11" i="14"/>
  <c r="B12" i="14"/>
  <c r="J12" i="14"/>
  <c r="D12" i="14"/>
  <c r="E10" i="14"/>
  <c r="E9" i="14" s="1"/>
  <c r="J13" i="14"/>
  <c r="C12" i="14"/>
  <c r="F10" i="14"/>
  <c r="F9" i="14" l="1"/>
  <c r="D9" i="14"/>
  <c r="C9" i="14"/>
  <c r="I9" i="14"/>
  <c r="J9" i="14"/>
  <c r="G9" i="14"/>
  <c r="B9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<sst xmlns="http://schemas.openxmlformats.org/spreadsheetml/2006/main" count="30" uniqueCount="18">
  <si>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</si>
  <si>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</si>
  <si>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</si>
  <si>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</si>
  <si>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</si>
  <si>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</si>
  <si>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</si>
  <si>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</si>
  <si>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</si>
  <si>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</si>
  <si>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</si>
  <si>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</si>
  <si>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</si>
  <si>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</si>
  <si>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</si>
  <si>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</si>
  <si>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ތާވަލު 12.14: ތަނުގެ ގޮތުން ހުޅުމާލޭގައި ފެން ބޭނުންކުރާ ފަރާތްތަކުގެ އަދަދު، 2010 - 2020</t>
  </si>
  <si>
    <t>Table 12.14 : NUMBER OF CUSTOMERS USING WATER IN HULHUMALE' BY TYPE,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</si>
</sst>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b/>
      <sz val="9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2" fillId="0" borderId="0"/>
  </cellStyleXfs>
  <cellXfs count="27">
    <xf numFmtId="0" fontId="0" fillId="0" borderId="0" xfId="0"/>
    <xf numFmtId="0" fontId="3" fillId="2" borderId="0" xfId="3" applyFont="1" applyFill="1"/>
    <xf numFmtId="0" fontId="4" fillId="2" borderId="0" xfId="5" applyFont="1" applyFill="1"/>
    <xf numFmtId="0" fontId="3" fillId="2" borderId="0" xfId="3" applyFont="1" applyFill="1" applyBorder="1"/>
    <xf numFmtId="0" fontId="7" fillId="2" borderId="2" xfId="3" applyFont="1" applyFill="1" applyBorder="1" applyAlignment="1">
      <alignment vertical="center"/>
    </xf>
    <xf numFmtId="164" fontId="8" fillId="2" borderId="0" xfId="1" applyNumberFormat="1" applyFont="1" applyFill="1" applyBorder="1" applyAlignment="1">
      <alignment horizontal="right" vertical="center"/>
    </xf>
    <xf numFmtId="1" fontId="8" fillId="2" borderId="0" xfId="3" applyNumberFormat="1" applyFont="1" applyFill="1" applyBorder="1" applyAlignment="1"/>
    <xf numFmtId="0" fontId="2" fillId="2" borderId="0" xfId="3" applyFill="1"/>
    <xf numFmtId="3" fontId="7" fillId="2" borderId="0" xfId="3" applyNumberFormat="1" applyFont="1" applyFill="1" applyAlignment="1">
      <alignment horizontal="right" vertical="center"/>
    </xf>
    <xf numFmtId="3" fontId="8" fillId="2" borderId="0" xfId="3" applyNumberFormat="1" applyFont="1" applyFill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" fontId="7" fillId="2" borderId="4" xfId="3" applyNumberFormat="1" applyFont="1" applyFill="1" applyBorder="1" applyAlignment="1"/>
    <xf numFmtId="1" fontId="8" fillId="2" borderId="3" xfId="3" applyNumberFormat="1" applyFont="1" applyFill="1" applyBorder="1" applyAlignment="1"/>
    <xf numFmtId="1" fontId="7" fillId="2" borderId="0" xfId="3" applyNumberFormat="1" applyFont="1" applyFill="1" applyBorder="1" applyAlignment="1"/>
    <xf numFmtId="1" fontId="8" fillId="2" borderId="1" xfId="3" applyNumberFormat="1" applyFont="1" applyFill="1" applyBorder="1" applyAlignment="1"/>
    <xf numFmtId="0" fontId="7" fillId="2" borderId="1" xfId="3" applyFont="1" applyFill="1" applyBorder="1" applyAlignment="1">
      <alignment horizontal="center" vertical="center"/>
    </xf>
    <xf numFmtId="0" fontId="8" fillId="2" borderId="0" xfId="3" applyFont="1" applyFill="1" applyBorder="1" applyAlignment="1">
      <alignment horizontal="left" vertical="center" indent="1"/>
    </xf>
    <xf numFmtId="0" fontId="8" fillId="2" borderId="1" xfId="3" applyFont="1" applyFill="1" applyBorder="1" applyAlignment="1">
      <alignment horizontal="left" vertical="center" indent="1"/>
    </xf>
    <xf numFmtId="0" fontId="8" fillId="2" borderId="0" xfId="3" applyFont="1" applyFill="1" applyAlignment="1">
      <alignment horizontal="left" vertical="center" indent="1"/>
    </xf>
    <xf numFmtId="0" fontId="8" fillId="2" borderId="3" xfId="3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right" vertical="center" indent="1"/>
    </xf>
    <xf numFmtId="0" fontId="5" fillId="2" borderId="3" xfId="0" applyFont="1" applyFill="1" applyBorder="1" applyAlignment="1">
      <alignment horizontal="right" vertical="center" indent="1"/>
    </xf>
    <xf numFmtId="0" fontId="11" fillId="2" borderId="0" xfId="5" applyFont="1" applyFill="1" applyAlignment="1">
      <alignment horizontal="right" vertical="center"/>
    </xf>
    <xf numFmtId="0" fontId="7" fillId="2" borderId="0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</cellXfs>
  <cellStyles count="7">
    <cellStyle name="Comma" xfId="1" builtinId="3"/>
    <cellStyle name="Comma 2" xfId="2"/>
    <cellStyle name="Comma 4" xfId="4"/>
    <cellStyle name="Normal" xfId="0" builtinId="0"/>
    <cellStyle name="Normal 2" xfId="3"/>
    <cellStyle name="Normal 2 2" xfId="6"/>
    <cellStyle name="Normal_X-5 (Electricity)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7"/>
  <sheetViews>
    <sheetView tabSelected="1" zoomScaleNormal="100" workbookViewId="0">
      <selection activeCell="Q13" sqref="Q13"/>
    </sheetView>
  </sheetViews>
  <sheetFormatPr defaultColWidth="9.140625" defaultRowHeight="12.75" x14ac:dyDescent="0.2"/>
  <cols>
    <col min="1" max="1" width="26.7109375" style="1" customWidth="1"/>
    <col min="2" max="12" width="10.5703125" style="1" customWidth="1"/>
    <col min="13" max="13" width="32" style="1" customWidth="1"/>
    <col min="14" max="16384" width="9.140625" style="1"/>
  </cols>
  <sheetData>
    <row r="1" spans="1:13" s="7" customFormat="1" ht="21" x14ac:dyDescent="0.2">
      <c r="A1" s="26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3" customFormat="1" ht="15" x14ac:dyDescent="0.2">
      <c r="A2" s="25" t="s">
        <v>17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s="3" customFormat="1" ht="15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s="3" customFormat="1" ht="15" x14ac:dyDescent="0.2">
      <c r="A4" s="4" t="s">
        <v>4</v>
      </c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  <c r="M4" s="10" t="s">
        <v>3</v>
      </c>
    </row>
    <row r="5" spans="1:13" s="3" customFormat="1" ht="21" customHeight="1" x14ac:dyDescent="0.2">
      <c r="A5" s="11" t="s">
        <v>13</v>
      </c>
      <c r="B5" s="8">
        <f>SUM(B6:B8)</f>
        <v>1632</v>
      </c>
      <c r="C5" s="8">
        <f t="shared" ref="C5" si="0">SUM(C6:C8)</f>
        <v>1915</v>
      </c>
      <c r="D5" s="8">
        <f t="shared" ref="D5:J5" si="1">SUM(D6:D8)</f>
        <v>2258</v>
      </c>
      <c r="E5" s="8">
        <f t="shared" si="1"/>
        <v>3537</v>
      </c>
      <c r="F5" s="8">
        <f t="shared" si="1"/>
        <v>4049</v>
      </c>
      <c r="G5" s="8">
        <f t="shared" si="1"/>
        <v>4449</v>
      </c>
      <c r="H5" s="8">
        <f t="shared" si="1"/>
        <v>4559</v>
      </c>
      <c r="I5" s="8">
        <f t="shared" si="1"/>
        <v>6023</v>
      </c>
      <c r="J5" s="8">
        <f t="shared" si="1"/>
        <v>6848</v>
      </c>
      <c r="K5" s="8">
        <f t="shared" ref="K5:L5" si="2">SUM(K6:K8)</f>
        <v>7884</v>
      </c>
      <c r="L5" s="8">
        <f t="shared" si="2"/>
        <v>8839</v>
      </c>
      <c r="M5" s="12" t="s">
        <v>15</v>
      </c>
    </row>
    <row r="6" spans="1:13" s="3" customFormat="1" ht="21" customHeight="1" x14ac:dyDescent="0.2">
      <c r="A6" s="20" t="s">
        <v>5</v>
      </c>
      <c r="B6" s="9">
        <v>1501</v>
      </c>
      <c r="C6" s="9">
        <v>1761</v>
      </c>
      <c r="D6" s="9">
        <v>2072</v>
      </c>
      <c r="E6" s="9">
        <v>3280</v>
      </c>
      <c r="F6" s="9">
        <v>3732</v>
      </c>
      <c r="G6" s="9">
        <v>3980</v>
      </c>
      <c r="H6" s="9">
        <v>4035</v>
      </c>
      <c r="I6" s="9">
        <v>5369</v>
      </c>
      <c r="J6" s="9">
        <v>6046</v>
      </c>
      <c r="K6" s="5">
        <v>6763</v>
      </c>
      <c r="L6" s="5">
        <v>7575</v>
      </c>
      <c r="M6" s="22" t="s">
        <v>6</v>
      </c>
    </row>
    <row r="7" spans="1:13" s="3" customFormat="1" ht="21" customHeight="1" x14ac:dyDescent="0.2">
      <c r="A7" s="20" t="s">
        <v>7</v>
      </c>
      <c r="B7" s="9">
        <v>22</v>
      </c>
      <c r="C7" s="9">
        <v>21</v>
      </c>
      <c r="D7" s="9">
        <v>22</v>
      </c>
      <c r="E7" s="9">
        <v>26</v>
      </c>
      <c r="F7" s="9">
        <v>26</v>
      </c>
      <c r="G7" s="9">
        <v>38</v>
      </c>
      <c r="H7" s="9">
        <v>38</v>
      </c>
      <c r="I7" s="9">
        <v>45</v>
      </c>
      <c r="J7" s="9">
        <v>49</v>
      </c>
      <c r="K7" s="5">
        <v>50</v>
      </c>
      <c r="L7" s="5">
        <v>60</v>
      </c>
      <c r="M7" s="22" t="s">
        <v>8</v>
      </c>
    </row>
    <row r="8" spans="1:13" s="3" customFormat="1" ht="21" customHeight="1" x14ac:dyDescent="0.2">
      <c r="A8" s="21" t="s">
        <v>9</v>
      </c>
      <c r="B8" s="9">
        <v>109</v>
      </c>
      <c r="C8" s="9">
        <v>133</v>
      </c>
      <c r="D8" s="9">
        <v>164</v>
      </c>
      <c r="E8" s="9">
        <v>231</v>
      </c>
      <c r="F8" s="9">
        <v>291</v>
      </c>
      <c r="G8" s="9">
        <v>431</v>
      </c>
      <c r="H8" s="9">
        <v>486</v>
      </c>
      <c r="I8" s="9">
        <v>609</v>
      </c>
      <c r="J8" s="9">
        <v>753</v>
      </c>
      <c r="K8" s="5">
        <v>1071</v>
      </c>
      <c r="L8" s="5">
        <v>1204</v>
      </c>
      <c r="M8" s="23" t="s">
        <v>10</v>
      </c>
    </row>
    <row r="9" spans="1:13" s="3" customFormat="1" ht="21" customHeight="1" x14ac:dyDescent="0.25">
      <c r="A9" s="11" t="s">
        <v>14</v>
      </c>
      <c r="B9" s="13">
        <f t="shared" ref="B9:J9" si="3">SUM(B10:B12)</f>
        <v>99.999999999999986</v>
      </c>
      <c r="C9" s="13">
        <f t="shared" si="3"/>
        <v>99.999999999999986</v>
      </c>
      <c r="D9" s="13">
        <f t="shared" si="3"/>
        <v>100</v>
      </c>
      <c r="E9" s="13">
        <f t="shared" si="3"/>
        <v>100</v>
      </c>
      <c r="F9" s="13">
        <f t="shared" si="3"/>
        <v>100</v>
      </c>
      <c r="G9" s="13">
        <f t="shared" si="3"/>
        <v>100</v>
      </c>
      <c r="H9" s="13">
        <f t="shared" si="3"/>
        <v>100</v>
      </c>
      <c r="I9" s="13">
        <f t="shared" si="3"/>
        <v>100</v>
      </c>
      <c r="J9" s="13">
        <f t="shared" si="3"/>
        <v>100.00000000000001</v>
      </c>
      <c r="K9" s="13">
        <f t="shared" ref="K9:L9" si="4">SUM(K10:K12)</f>
        <v>100</v>
      </c>
      <c r="L9" s="13">
        <f t="shared" si="4"/>
        <v>100</v>
      </c>
      <c r="M9" s="12" t="s">
        <v>0</v>
      </c>
    </row>
    <row r="10" spans="1:13" ht="21" customHeight="1" x14ac:dyDescent="0.25">
      <c r="A10" s="20" t="s">
        <v>5</v>
      </c>
      <c r="B10" s="6">
        <f t="shared" ref="B10:I10" si="5">B6/B5*100</f>
        <v>91.973039215686271</v>
      </c>
      <c r="C10" s="6">
        <f t="shared" si="5"/>
        <v>91.958224543080931</v>
      </c>
      <c r="D10" s="6">
        <f t="shared" si="5"/>
        <v>91.762621789193972</v>
      </c>
      <c r="E10" s="6">
        <f t="shared" si="5"/>
        <v>92.733955329375178</v>
      </c>
      <c r="F10" s="6">
        <f t="shared" si="5"/>
        <v>92.170906396641143</v>
      </c>
      <c r="G10" s="6">
        <f t="shared" si="5"/>
        <v>89.458305237131938</v>
      </c>
      <c r="H10" s="6">
        <f t="shared" si="5"/>
        <v>88.506251370914683</v>
      </c>
      <c r="I10" s="6">
        <f t="shared" si="5"/>
        <v>89.141623775527151</v>
      </c>
      <c r="J10" s="6">
        <f>J6/J5*100</f>
        <v>88.288551401869171</v>
      </c>
      <c r="K10" s="6">
        <f>K6/K5*100</f>
        <v>85.781329274479958</v>
      </c>
      <c r="L10" s="6">
        <f>L6/L5*100</f>
        <v>85.699739789568952</v>
      </c>
      <c r="M10" s="22" t="s">
        <v>6</v>
      </c>
    </row>
    <row r="11" spans="1:13" ht="21" customHeight="1" x14ac:dyDescent="0.25">
      <c r="A11" s="20" t="s">
        <v>7</v>
      </c>
      <c r="B11" s="6">
        <f t="shared" ref="B11:J11" si="6">B7/B5*100</f>
        <v>1.3480392156862746</v>
      </c>
      <c r="C11" s="6">
        <f t="shared" si="6"/>
        <v>1.0966057441253265</v>
      </c>
      <c r="D11" s="6">
        <f t="shared" si="6"/>
        <v>0.97431355181576607</v>
      </c>
      <c r="E11" s="6">
        <f t="shared" si="6"/>
        <v>0.7350862312694374</v>
      </c>
      <c r="F11" s="6">
        <f t="shared" si="6"/>
        <v>0.64213386021239816</v>
      </c>
      <c r="G11" s="6">
        <f t="shared" si="6"/>
        <v>0.85412452236457626</v>
      </c>
      <c r="H11" s="6">
        <f t="shared" si="6"/>
        <v>0.83351612195656943</v>
      </c>
      <c r="I11" s="6">
        <f t="shared" si="6"/>
        <v>0.7471359787481322</v>
      </c>
      <c r="J11" s="6">
        <f t="shared" si="6"/>
        <v>0.7155373831775701</v>
      </c>
      <c r="K11" s="6">
        <f t="shared" ref="K11:L11" si="7">K7/K5*100</f>
        <v>0.63419583967529169</v>
      </c>
      <c r="L11" s="6">
        <f t="shared" si="7"/>
        <v>0.6788098201153977</v>
      </c>
      <c r="M11" s="22" t="s">
        <v>8</v>
      </c>
    </row>
    <row r="12" spans="1:13" ht="21" customHeight="1" x14ac:dyDescent="0.25">
      <c r="A12" s="21" t="s">
        <v>9</v>
      </c>
      <c r="B12" s="14">
        <f t="shared" ref="B12:J12" si="8">B8/B5*100</f>
        <v>6.6789215686274508</v>
      </c>
      <c r="C12" s="14">
        <f t="shared" si="8"/>
        <v>6.9451697127937333</v>
      </c>
      <c r="D12" s="14">
        <f t="shared" si="8"/>
        <v>7.2630646589902561</v>
      </c>
      <c r="E12" s="14">
        <f t="shared" si="8"/>
        <v>6.5309584393553859</v>
      </c>
      <c r="F12" s="14">
        <f t="shared" si="8"/>
        <v>7.1869597431464562</v>
      </c>
      <c r="G12" s="14">
        <f t="shared" si="8"/>
        <v>9.6875702405034829</v>
      </c>
      <c r="H12" s="14">
        <f t="shared" si="8"/>
        <v>10.660232507128756</v>
      </c>
      <c r="I12" s="14">
        <f t="shared" si="8"/>
        <v>10.111240245724721</v>
      </c>
      <c r="J12" s="14">
        <f t="shared" si="8"/>
        <v>10.995911214953271</v>
      </c>
      <c r="K12" s="14">
        <f t="shared" ref="K12:L12" si="9">K8/K5*100</f>
        <v>13.584474885844749</v>
      </c>
      <c r="L12" s="14">
        <f t="shared" si="9"/>
        <v>13.621450390315646</v>
      </c>
      <c r="M12" s="23" t="s">
        <v>10</v>
      </c>
    </row>
    <row r="13" spans="1:13" ht="21" customHeight="1" x14ac:dyDescent="0.25">
      <c r="A13" s="11" t="s">
        <v>1</v>
      </c>
      <c r="B13" s="15">
        <v>8.1510934393638177</v>
      </c>
      <c r="C13" s="15">
        <f t="shared" ref="C13:L16" si="10">(C5-B5)/B5*100</f>
        <v>17.340686274509803</v>
      </c>
      <c r="D13" s="15">
        <f t="shared" si="10"/>
        <v>17.911227154046998</v>
      </c>
      <c r="E13" s="15">
        <f t="shared" si="10"/>
        <v>56.643046944198403</v>
      </c>
      <c r="F13" s="15">
        <f t="shared" si="10"/>
        <v>14.475544246536613</v>
      </c>
      <c r="G13" s="15">
        <f t="shared" si="10"/>
        <v>9.8789824648061249</v>
      </c>
      <c r="H13" s="15">
        <f t="shared" si="10"/>
        <v>2.4724657226342996</v>
      </c>
      <c r="I13" s="15">
        <f t="shared" si="10"/>
        <v>32.11230533011625</v>
      </c>
      <c r="J13" s="15">
        <f t="shared" si="10"/>
        <v>13.697492943715755</v>
      </c>
      <c r="K13" s="15">
        <f t="shared" si="10"/>
        <v>15.128504672897197</v>
      </c>
      <c r="L13" s="15">
        <f t="shared" si="10"/>
        <v>12.113140537798071</v>
      </c>
      <c r="M13" s="12" t="s">
        <v>2</v>
      </c>
    </row>
    <row r="14" spans="1:13" ht="21" customHeight="1" x14ac:dyDescent="0.25">
      <c r="A14" s="18" t="s">
        <v>5</v>
      </c>
      <c r="B14" s="6">
        <v>7.5214899713467052</v>
      </c>
      <c r="C14" s="6">
        <f t="shared" si="10"/>
        <v>17.321785476349099</v>
      </c>
      <c r="D14" s="6">
        <f>(D6-C6)/C6*100</f>
        <v>17.660420215786484</v>
      </c>
      <c r="E14" s="6">
        <f t="shared" si="10"/>
        <v>58.301158301158296</v>
      </c>
      <c r="F14" s="6">
        <f t="shared" si="10"/>
        <v>13.780487804878049</v>
      </c>
      <c r="G14" s="6">
        <f t="shared" si="10"/>
        <v>6.645230439442658</v>
      </c>
      <c r="H14" s="6">
        <f t="shared" si="10"/>
        <v>1.3819095477386936</v>
      </c>
      <c r="I14" s="6">
        <f t="shared" si="10"/>
        <v>33.06071871127633</v>
      </c>
      <c r="J14" s="6">
        <f t="shared" si="10"/>
        <v>12.609424473831254</v>
      </c>
      <c r="K14" s="6">
        <f t="shared" si="10"/>
        <v>11.859080383724777</v>
      </c>
      <c r="L14" s="6">
        <f t="shared" si="10"/>
        <v>12.006505988466657</v>
      </c>
      <c r="M14" s="22" t="s">
        <v>6</v>
      </c>
    </row>
    <row r="15" spans="1:13" ht="21" customHeight="1" x14ac:dyDescent="0.25">
      <c r="A15" s="18" t="s">
        <v>7</v>
      </c>
      <c r="B15" s="6">
        <v>-8.3333333333333321</v>
      </c>
      <c r="C15" s="6">
        <f t="shared" si="10"/>
        <v>-4.5454545454545459</v>
      </c>
      <c r="D15" s="6">
        <f>(D7-C7)/C7*100</f>
        <v>4.7619047619047619</v>
      </c>
      <c r="E15" s="6">
        <f t="shared" si="10"/>
        <v>18.181818181818183</v>
      </c>
      <c r="F15" s="6">
        <f t="shared" si="10"/>
        <v>0</v>
      </c>
      <c r="G15" s="6">
        <f t="shared" si="10"/>
        <v>46.153846153846153</v>
      </c>
      <c r="H15" s="6">
        <f t="shared" si="10"/>
        <v>0</v>
      </c>
      <c r="I15" s="6">
        <f t="shared" si="10"/>
        <v>18.421052631578945</v>
      </c>
      <c r="J15" s="6">
        <f t="shared" si="10"/>
        <v>8.8888888888888893</v>
      </c>
      <c r="K15" s="6">
        <f t="shared" si="10"/>
        <v>2.0408163265306123</v>
      </c>
      <c r="L15" s="6">
        <f t="shared" si="10"/>
        <v>20</v>
      </c>
      <c r="M15" s="22" t="s">
        <v>8</v>
      </c>
    </row>
    <row r="16" spans="1:13" ht="21" customHeight="1" x14ac:dyDescent="0.25">
      <c r="A16" s="19" t="s">
        <v>9</v>
      </c>
      <c r="B16" s="16">
        <v>22.471910112359549</v>
      </c>
      <c r="C16" s="16">
        <f t="shared" si="10"/>
        <v>22.018348623853214</v>
      </c>
      <c r="D16" s="16">
        <f>(D8-C8)/C8*100</f>
        <v>23.308270676691727</v>
      </c>
      <c r="E16" s="16">
        <f t="shared" si="10"/>
        <v>40.853658536585364</v>
      </c>
      <c r="F16" s="16">
        <f t="shared" si="10"/>
        <v>25.97402597402597</v>
      </c>
      <c r="G16" s="16">
        <f t="shared" si="10"/>
        <v>48.109965635738831</v>
      </c>
      <c r="H16" s="16">
        <f t="shared" si="10"/>
        <v>12.761020881670534</v>
      </c>
      <c r="I16" s="16">
        <f>(I8-H8)/H8*100</f>
        <v>25.308641975308642</v>
      </c>
      <c r="J16" s="16">
        <f>(J8-I8)/I8*100</f>
        <v>23.645320197044335</v>
      </c>
      <c r="K16" s="16">
        <f>(K8-J8)/J8*100</f>
        <v>42.231075697211153</v>
      </c>
      <c r="L16" s="16">
        <f>(L8-K8)/K8*100</f>
        <v>12.418300653594772</v>
      </c>
      <c r="M16" s="23" t="s">
        <v>10</v>
      </c>
    </row>
    <row r="17" spans="1:13" ht="13.5" x14ac:dyDescent="0.2">
      <c r="A17" s="2" t="s">
        <v>12</v>
      </c>
      <c r="M17" s="24" t="s">
        <v>11</v>
      </c>
    </row>
  </sheetData>
  <mergeCells count="2">
    <mergeCell ref="A1:M1"/>
    <mergeCell ref="A2:M2"/>
  </mergeCells>
  <pageMargins left="0.7" right="0.7" top="0.75" bottom="0.75" header="0.3" footer="0.3"/>
  <pageSetup paperSize="9" scale="47" orientation="portrait" horizontalDpi="4294967295" verticalDpi="4294967295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2021-08-22T04:17:40Z</cp:lastPrinted>
  <dcterms:created xsi:type="dcterms:W3CDTF">2019-05-21T05:57:01Z</dcterms:created>
  <dcterms:modified xsi:type="dcterms:W3CDTF">2021-08-22T04:17:50Z</dcterms:modified>
</cp:coreProperties>
</file>