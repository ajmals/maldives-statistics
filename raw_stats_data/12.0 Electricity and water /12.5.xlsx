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805"/>
  </bookViews>
  <sheets>
    <sheet name="12.5" sheetId="19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'12.5'!$A$1:$H$64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9" l="1"/>
  <c r="D34" i="19"/>
  <c r="D35" i="19" s="1"/>
  <c r="F35" i="19" s="1"/>
  <c r="C32" i="19"/>
  <c r="E32" i="19" s="1"/>
  <c r="D31" i="19"/>
  <c r="C29" i="19"/>
  <c r="E26" i="19" s="1"/>
  <c r="D28" i="19"/>
  <c r="D27" i="19"/>
  <c r="D26" i="19"/>
  <c r="D25" i="19"/>
  <c r="D24" i="19"/>
  <c r="D23" i="19"/>
  <c r="D22" i="19"/>
  <c r="C20" i="19"/>
  <c r="E20" i="19" s="1"/>
  <c r="D19" i="19"/>
  <c r="D18" i="19"/>
  <c r="D17" i="19"/>
  <c r="D16" i="19"/>
  <c r="D15" i="19"/>
  <c r="C13" i="19"/>
  <c r="E12" i="19" s="1"/>
  <c r="D12" i="19"/>
  <c r="E11" i="19"/>
  <c r="D11" i="19"/>
  <c r="D10" i="19"/>
  <c r="D9" i="19"/>
  <c r="D8" i="19"/>
  <c r="D7" i="19"/>
  <c r="D6" i="19"/>
  <c r="E6" i="19" l="1"/>
  <c r="E28" i="19"/>
  <c r="D29" i="19"/>
  <c r="F27" i="19" s="1"/>
  <c r="E9" i="19"/>
  <c r="Y15" i="19"/>
  <c r="D32" i="19"/>
  <c r="F32" i="19" s="1"/>
  <c r="E35" i="19"/>
  <c r="Y19" i="19"/>
  <c r="D20" i="19"/>
  <c r="F20" i="19" s="1"/>
  <c r="E23" i="19"/>
  <c r="E8" i="19"/>
  <c r="E13" i="19"/>
  <c r="E10" i="19"/>
  <c r="F34" i="19"/>
  <c r="E18" i="19"/>
  <c r="E24" i="19"/>
  <c r="E29" i="19"/>
  <c r="E7" i="19"/>
  <c r="E27" i="19"/>
  <c r="E16" i="19"/>
  <c r="E22" i="19"/>
  <c r="E34" i="19"/>
  <c r="D13" i="19"/>
  <c r="F6" i="19" s="1"/>
  <c r="E19" i="19"/>
  <c r="E25" i="19"/>
  <c r="E31" i="19"/>
  <c r="E17" i="19"/>
  <c r="E15" i="19"/>
  <c r="F22" i="19" l="1"/>
  <c r="F26" i="19"/>
  <c r="F29" i="19"/>
  <c r="F25" i="19"/>
  <c r="F28" i="19"/>
  <c r="F24" i="19"/>
  <c r="F23" i="19"/>
  <c r="F19" i="19"/>
  <c r="F18" i="19"/>
  <c r="F15" i="19"/>
  <c r="F31" i="19"/>
  <c r="F9" i="19"/>
  <c r="F7" i="19"/>
  <c r="F16" i="19"/>
  <c r="F17" i="19"/>
  <c r="F11" i="19"/>
  <c r="F13" i="19"/>
  <c r="F8" i="19"/>
  <c r="F12" i="19"/>
  <c r="F10" i="19"/>
  <c r="Z18" i="19" l="1"/>
  <c r="Y18" i="19" l="1"/>
  <c r="Y17" i="19"/>
  <c r="Y16" i="19"/>
  <c r="Z15" i="19"/>
  <c r="Z16" i="19" l="1"/>
  <c r="Z17" i="19"/>
  <c r="Z19" i="19"/>
</calcChain>
</file>

<file path=xl/sharedStrings.xml><?xml version="1.0" encoding="utf-8"?>
<sst xmlns="http://schemas.openxmlformats.org/spreadsheetml/2006/main" count="81" uniqueCount="50">
  <si>
    <t xml:space="preserve"> % cnutogWviawfiheb</t>
  </si>
  <si>
    <t>ޖުމްލަ</t>
  </si>
  <si>
    <t>Source: State Electric Company Limited</t>
  </si>
  <si>
    <t>Bands</t>
  </si>
  <si>
    <t>ރޭޓް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</si>
  <si>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</si>
  <si>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</si>
  <si>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</si>
  <si>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</si>
  <si>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</si>
  <si>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</si>
  <si>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</si>
  <si>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Domestic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</si>
  <si>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</si>
  <si>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</si>
  <si>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</si>
  <si>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</si>
  <si>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</si>
  <si>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</si>
  <si>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</si>
  <si>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</si>
  <si>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</si>
  <si>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</si>
  <si>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</si>
  <si>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</si>
  <si>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</si>
  <si>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</si>
  <si>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</si>
  <si>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</si>
  <si>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</si>
  <si>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Government</t>
  </si>
  <si>
    <t>އޮފީސް އަދި އެހެނިހެން</t>
  </si>
  <si>
    <t>101-300</t>
  </si>
  <si>
    <t>300 - 101</t>
  </si>
  <si>
    <t>301 -500</t>
  </si>
  <si>
    <t>500 - 301</t>
  </si>
  <si>
    <t>Business</t>
  </si>
  <si>
    <t>Special Tariff</t>
  </si>
  <si>
    <t>Tertiary Hospital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</si>
  <si>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</si>
  <si>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</si>
  <si>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</si>
  <si>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</si>
  <si>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</si>
  <si>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</si>
  <si>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</si>
  <si>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</si>
  <si>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cDeTimil Inepcmok ckircTckeliacTETcs :ctWrwfivcaedutWmUluAwm</t>
  </si>
  <si>
    <t>TABLE 12.5 ELECTRICITY CONSUMPTION IN MALE',  2020</t>
  </si>
  <si>
    <t>2020 ,urwvcnim unuverukcnunEb cTcnwrwk iawgElWm :12.5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</si>
</sst>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8" formatCode="General_)"/>
    <numFmt numFmtId="169" formatCode="_(* #,##0.0_);_(* \(#,##0.0\);_(* &quot;-&quot;??_);_(@_)"/>
    <numFmt numFmtId="170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1"/>
      <name val="Faruma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12" fillId="2" borderId="14" xfId="3" applyFont="1" applyFill="1" applyBorder="1" applyAlignment="1">
      <alignment vertical="center"/>
    </xf>
    <xf numFmtId="0" fontId="11" fillId="2" borderId="4" xfId="0" applyFont="1" applyFill="1" applyBorder="1"/>
    <xf numFmtId="0" fontId="4" fillId="2" borderId="4" xfId="0" applyFont="1" applyFill="1" applyBorder="1"/>
    <xf numFmtId="168" fontId="9" fillId="2" borderId="15" xfId="3" applyNumberFormat="1" applyFont="1" applyFill="1" applyBorder="1" applyAlignment="1">
      <alignment vertical="top" wrapText="1"/>
    </xf>
    <xf numFmtId="168" fontId="9" fillId="2" borderId="16" xfId="3" applyNumberFormat="1" applyFont="1" applyFill="1" applyBorder="1" applyAlignment="1">
      <alignment vertical="top" wrapText="1"/>
    </xf>
    <xf numFmtId="168" fontId="10" fillId="2" borderId="18" xfId="3" applyNumberFormat="1" applyFont="1" applyFill="1" applyBorder="1" applyAlignment="1">
      <alignment horizontal="right" vertical="center"/>
    </xf>
    <xf numFmtId="168" fontId="17" fillId="2" borderId="3" xfId="0" applyNumberFormat="1" applyFont="1" applyFill="1" applyBorder="1"/>
    <xf numFmtId="43" fontId="11" fillId="2" borderId="4" xfId="4" applyFont="1" applyFill="1" applyBorder="1"/>
    <xf numFmtId="164" fontId="11" fillId="2" borderId="4" xfId="4" applyNumberFormat="1" applyFont="1" applyFill="1" applyBorder="1"/>
    <xf numFmtId="43" fontId="11" fillId="2" borderId="19" xfId="4" applyFont="1" applyFill="1" applyBorder="1"/>
    <xf numFmtId="43" fontId="13" fillId="2" borderId="19" xfId="4" applyFont="1" applyFill="1" applyBorder="1" applyAlignment="1">
      <alignment vertical="center" textRotation="90"/>
    </xf>
    <xf numFmtId="164" fontId="9" fillId="2" borderId="4" xfId="4" applyNumberFormat="1" applyFont="1" applyFill="1" applyBorder="1" applyAlignment="1">
      <alignment horizontal="right" vertical="center"/>
    </xf>
    <xf numFmtId="168" fontId="11" fillId="2" borderId="4" xfId="3" applyNumberFormat="1" applyFont="1" applyFill="1" applyBorder="1" applyAlignment="1" applyProtection="1">
      <alignment horizontal="left" vertical="center"/>
    </xf>
    <xf numFmtId="43" fontId="11" fillId="2" borderId="4" xfId="4" applyFont="1" applyFill="1" applyBorder="1" applyAlignment="1" applyProtection="1">
      <alignment horizontal="right" vertical="center"/>
    </xf>
    <xf numFmtId="164" fontId="16" fillId="2" borderId="4" xfId="4" applyNumberFormat="1" applyFont="1" applyFill="1" applyBorder="1" applyAlignment="1">
      <alignment horizontal="right" vertical="center"/>
    </xf>
    <xf numFmtId="0" fontId="4" fillId="2" borderId="10" xfId="0" applyFont="1" applyFill="1" applyBorder="1"/>
    <xf numFmtId="0" fontId="4" fillId="2" borderId="6" xfId="0" applyFont="1" applyFill="1" applyBorder="1"/>
    <xf numFmtId="0" fontId="4" fillId="2" borderId="11" xfId="0" applyFont="1" applyFill="1" applyBorder="1"/>
    <xf numFmtId="168" fontId="10" fillId="2" borderId="4" xfId="3" applyNumberFormat="1" applyFont="1" applyFill="1" applyBorder="1" applyAlignment="1" applyProtection="1">
      <alignment horizontal="left" vertical="center"/>
    </xf>
    <xf numFmtId="43" fontId="14" fillId="2" borderId="4" xfId="4" applyFont="1" applyFill="1" applyBorder="1" applyAlignment="1">
      <alignment horizontal="right" vertical="center"/>
    </xf>
    <xf numFmtId="164" fontId="10" fillId="2" borderId="4" xfId="4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/>
    <xf numFmtId="168" fontId="18" fillId="2" borderId="4" xfId="3" applyNumberFormat="1" applyFont="1" applyFill="1" applyBorder="1" applyAlignment="1" applyProtection="1">
      <alignment horizontal="left" vertical="center"/>
    </xf>
    <xf numFmtId="43" fontId="11" fillId="2" borderId="4" xfId="4" applyFont="1" applyFill="1" applyBorder="1" applyAlignment="1">
      <alignment horizontal="right" vertical="center"/>
    </xf>
    <xf numFmtId="164" fontId="11" fillId="2" borderId="4" xfId="4" applyNumberFormat="1" applyFont="1" applyFill="1" applyBorder="1" applyAlignment="1">
      <alignment horizontal="right" vertical="center"/>
    </xf>
    <xf numFmtId="169" fontId="11" fillId="2" borderId="19" xfId="4" applyNumberFormat="1" applyFont="1" applyFill="1" applyBorder="1" applyAlignment="1">
      <alignment horizontal="left" vertical="center" indent="7"/>
    </xf>
    <xf numFmtId="169" fontId="13" fillId="2" borderId="19" xfId="4" applyNumberFormat="1" applyFont="1" applyFill="1" applyBorder="1" applyAlignment="1">
      <alignment horizontal="left" vertical="center" indent="7"/>
    </xf>
    <xf numFmtId="43" fontId="4" fillId="2" borderId="4" xfId="1" applyFont="1" applyFill="1" applyBorder="1"/>
    <xf numFmtId="168" fontId="18" fillId="2" borderId="1" xfId="3" applyNumberFormat="1" applyFont="1" applyFill="1" applyBorder="1" applyAlignment="1" applyProtection="1">
      <alignment horizontal="left" vertical="center"/>
    </xf>
    <xf numFmtId="43" fontId="11" fillId="2" borderId="1" xfId="4" applyFont="1" applyFill="1" applyBorder="1" applyAlignment="1">
      <alignment horizontal="right" vertical="center"/>
    </xf>
    <xf numFmtId="164" fontId="11" fillId="2" borderId="1" xfId="4" applyNumberFormat="1" applyFont="1" applyFill="1" applyBorder="1" applyAlignment="1">
      <alignment horizontal="right" vertical="center"/>
    </xf>
    <xf numFmtId="164" fontId="9" fillId="2" borderId="1" xfId="4" applyNumberFormat="1" applyFont="1" applyFill="1" applyBorder="1" applyAlignment="1">
      <alignment horizontal="right" vertical="center"/>
    </xf>
    <xf numFmtId="168" fontId="10" fillId="2" borderId="8" xfId="3" applyNumberFormat="1" applyFont="1" applyFill="1" applyBorder="1" applyAlignment="1" applyProtection="1">
      <alignment horizontal="left" vertical="center"/>
    </xf>
    <xf numFmtId="43" fontId="14" fillId="2" borderId="8" xfId="4" applyFont="1" applyFill="1" applyBorder="1" applyAlignment="1">
      <alignment horizontal="right" vertical="center"/>
    </xf>
    <xf numFmtId="164" fontId="10" fillId="2" borderId="8" xfId="4" applyNumberFormat="1" applyFont="1" applyFill="1" applyBorder="1" applyAlignment="1">
      <alignment horizontal="right" vertical="center"/>
    </xf>
    <xf numFmtId="164" fontId="9" fillId="2" borderId="8" xfId="4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 applyProtection="1">
      <alignment horizontal="left" vertical="top"/>
    </xf>
    <xf numFmtId="43" fontId="14" fillId="2" borderId="0" xfId="4" applyFont="1" applyFill="1" applyBorder="1"/>
    <xf numFmtId="43" fontId="10" fillId="2" borderId="0" xfId="4" applyFont="1" applyFill="1" applyBorder="1"/>
    <xf numFmtId="0" fontId="7" fillId="2" borderId="0" xfId="0" applyFont="1" applyFill="1" applyBorder="1" applyAlignment="1">
      <alignment horizontal="right" vertical="top"/>
    </xf>
    <xf numFmtId="0" fontId="4" fillId="2" borderId="14" xfId="0" applyFont="1" applyFill="1" applyBorder="1"/>
    <xf numFmtId="43" fontId="4" fillId="2" borderId="4" xfId="4" applyFont="1" applyFill="1" applyBorder="1"/>
    <xf numFmtId="0" fontId="5" fillId="2" borderId="14" xfId="0" applyFont="1" applyFill="1" applyBorder="1" applyAlignment="1" applyProtection="1">
      <alignment horizontal="left" vertical="top"/>
    </xf>
    <xf numFmtId="164" fontId="11" fillId="2" borderId="19" xfId="4" applyNumberFormat="1" applyFont="1" applyFill="1" applyBorder="1" applyAlignment="1">
      <alignment horizontal="left" vertical="center" indent="7"/>
    </xf>
    <xf numFmtId="164" fontId="13" fillId="2" borderId="19" xfId="4" applyNumberFormat="1" applyFont="1" applyFill="1" applyBorder="1" applyAlignment="1">
      <alignment horizontal="left" vertical="center" indent="7"/>
    </xf>
    <xf numFmtId="170" fontId="11" fillId="2" borderId="4" xfId="4" applyNumberFormat="1" applyFont="1" applyFill="1" applyBorder="1" applyAlignment="1">
      <alignment horizontal="right" vertical="center" indent="3"/>
    </xf>
    <xf numFmtId="170" fontId="10" fillId="2" borderId="4" xfId="4" applyNumberFormat="1" applyFont="1" applyFill="1" applyBorder="1" applyAlignment="1">
      <alignment horizontal="right" vertical="center" indent="3"/>
    </xf>
    <xf numFmtId="170" fontId="11" fillId="2" borderId="8" xfId="4" applyNumberFormat="1" applyFont="1" applyFill="1" applyBorder="1" applyAlignment="1">
      <alignment horizontal="right" vertical="center" indent="3"/>
    </xf>
    <xf numFmtId="170" fontId="10" fillId="2" borderId="8" xfId="4" applyNumberFormat="1" applyFont="1" applyFill="1" applyBorder="1" applyAlignment="1">
      <alignment horizontal="right" vertical="center" indent="3"/>
    </xf>
    <xf numFmtId="168" fontId="3" fillId="2" borderId="16" xfId="3" applyNumberFormat="1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right" vertical="top"/>
    </xf>
    <xf numFmtId="0" fontId="15" fillId="2" borderId="14" xfId="3" applyFont="1" applyFill="1" applyBorder="1" applyAlignment="1">
      <alignment horizontal="center" vertical="center"/>
    </xf>
    <xf numFmtId="168" fontId="8" fillId="2" borderId="9" xfId="3" applyNumberFormat="1" applyFont="1" applyFill="1" applyBorder="1" applyAlignment="1">
      <alignment horizontal="center" vertical="top" wrapText="1"/>
    </xf>
    <xf numFmtId="168" fontId="8" fillId="2" borderId="12" xfId="3" applyNumberFormat="1" applyFont="1" applyFill="1" applyBorder="1" applyAlignment="1">
      <alignment horizontal="center" vertical="top" wrapText="1"/>
    </xf>
    <xf numFmtId="168" fontId="8" fillId="2" borderId="7" xfId="3" applyNumberFormat="1" applyFont="1" applyFill="1" applyBorder="1" applyAlignment="1">
      <alignment horizontal="center" vertical="top" wrapText="1"/>
    </xf>
    <xf numFmtId="168" fontId="10" fillId="2" borderId="13" xfId="3" applyNumberFormat="1" applyFont="1" applyFill="1" applyBorder="1" applyAlignment="1">
      <alignment horizontal="left" vertical="center"/>
    </xf>
    <xf numFmtId="168" fontId="10" fillId="2" borderId="18" xfId="3" applyNumberFormat="1" applyFont="1" applyFill="1" applyBorder="1" applyAlignment="1">
      <alignment horizontal="left" vertical="center"/>
    </xf>
    <xf numFmtId="168" fontId="9" fillId="2" borderId="17" xfId="3" applyNumberFormat="1" applyFont="1" applyFill="1" applyBorder="1" applyAlignment="1">
      <alignment horizontal="right" vertical="center" wrapText="1"/>
    </xf>
    <xf numFmtId="168" fontId="9" fillId="2" borderId="2" xfId="3" applyNumberFormat="1" applyFont="1" applyFill="1" applyBorder="1" applyAlignment="1">
      <alignment horizontal="right" vertical="center" wrapText="1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 2 2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12.4:  Electricity consumption in Male' by type,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937005675488139"/>
          <c:y val="1.5595591973468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v>Unit (Kwh)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'[2]12.5'!$T$15:$T$18</c:f>
              <c:numCache>
                <c:formatCode>General</c:formatCode>
                <c:ptCount val="4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'[2]12.5'!$U$14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'[2]12.5'!$U$15:$U$18</c:f>
              <c:numCache>
                <c:formatCode>General</c:formatCode>
                <c:ptCount val="4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0512"/>
        <c:axId val="462050904"/>
      </c:barChart>
      <c:catAx>
        <c:axId val="4620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904"/>
        <c:crosses val="autoZero"/>
        <c:auto val="1"/>
        <c:lblAlgn val="ctr"/>
        <c:lblOffset val="100"/>
        <c:noMultiLvlLbl val="0"/>
      </c:catAx>
      <c:valAx>
        <c:axId val="46205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5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343026214833315"/>
          <c:y val="0.1256547973454441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829400975225554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'[3]12.5'!$T$14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'[3]12.5'!$T$15:$T$19</c:f>
              <c:numCache>
                <c:formatCode>General</c:formatCode>
                <c:ptCount val="5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  <c:pt idx="4">
                  <c:v>8390390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A-4EDD-BFB9-D49AF9340A4D}"/>
            </c:ext>
          </c:extLst>
        </c:ser>
        <c:ser>
          <c:idx val="1"/>
          <c:order val="1"/>
          <c:tx>
            <c:strRef>
              <c:f>'[3]12.5'!$U$14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'[3]12.5'!$U$15:$U$19</c:f>
              <c:numCache>
                <c:formatCode>General</c:formatCode>
                <c:ptCount val="5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  <c:pt idx="4">
                  <c:v>35659157.5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A-4EDD-BFB9-D49AF934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8352"/>
        <c:axId val="462061488"/>
      </c:barChart>
      <c:catAx>
        <c:axId val="4620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61488"/>
        <c:crosses val="autoZero"/>
        <c:auto val="1"/>
        <c:lblAlgn val="ctr"/>
        <c:lblOffset val="100"/>
        <c:noMultiLvlLbl val="0"/>
      </c:catAx>
      <c:valAx>
        <c:axId val="4620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835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250229765915658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'12.5'!$Y$14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'12.5'!$X$15:$X$19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'12.5'!$Y$15:$Y$19</c:f>
              <c:numCache>
                <c:formatCode>_(* #,##0_);_(* \(#,##0\);_(* "-"??_);_(@_)</c:formatCode>
                <c:ptCount val="5"/>
                <c:pt idx="0">
                  <c:v>202004521.00000003</c:v>
                </c:pt>
                <c:pt idx="1">
                  <c:v>31440273</c:v>
                </c:pt>
                <c:pt idx="2">
                  <c:v>100990373</c:v>
                </c:pt>
                <c:pt idx="3">
                  <c:v>10412</c:v>
                </c:pt>
                <c:pt idx="4">
                  <c:v>14646913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'12.5'!$Z$14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'12.5'!$X$15:$X$19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'12.5'!$Z$15:$Z$19</c:f>
              <c:numCache>
                <c:formatCode>_(* #,##0_);_(* \(#,##0\);_(* "-"??_);_(@_)</c:formatCode>
                <c:ptCount val="5"/>
                <c:pt idx="0">
                  <c:v>533853285.01900005</c:v>
                </c:pt>
                <c:pt idx="1">
                  <c:v>133398071.67399999</c:v>
                </c:pt>
                <c:pt idx="2">
                  <c:v>450748403.66049999</c:v>
                </c:pt>
                <c:pt idx="3">
                  <c:v>35400.799999999996</c:v>
                </c:pt>
                <c:pt idx="4">
                  <c:v>62249380.25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4432"/>
        <c:axId val="462055216"/>
      </c:barChart>
      <c:catAx>
        <c:axId val="4620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5216"/>
        <c:crosses val="autoZero"/>
        <c:auto val="1"/>
        <c:lblAlgn val="ctr"/>
        <c:lblOffset val="100"/>
        <c:noMultiLvlLbl val="0"/>
      </c:catAx>
      <c:valAx>
        <c:axId val="462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4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(Domestic)  by quantity and value,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860957737965454"/>
          <c:y val="2.4825052559163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'12.5'!$E$4</c:f>
              <c:strCache>
                <c:ptCount val="1"/>
                <c:pt idx="0">
                  <c:v>% Share of Quantity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'12.5'!$E$6:$E$12</c:f>
              <c:numCache>
                <c:formatCode>#,##0.0_);\(#,##0.0\)</c:formatCode>
                <c:ptCount val="7"/>
                <c:pt idx="0">
                  <c:v>18.187355579036769</c:v>
                </c:pt>
                <c:pt idx="1">
                  <c:v>16.54514466040094</c:v>
                </c:pt>
                <c:pt idx="2">
                  <c:v>14.492230616957333</c:v>
                </c:pt>
                <c:pt idx="3">
                  <c:v>12.094633099820571</c:v>
                </c:pt>
                <c:pt idx="4">
                  <c:v>9.645536700636514</c:v>
                </c:pt>
                <c:pt idx="5">
                  <c:v>7.4364728054774565</c:v>
                </c:pt>
                <c:pt idx="6">
                  <c:v>21.598626537670416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F-4BC7-97C0-E554E4CC773F}"/>
            </c:ext>
          </c:extLst>
        </c:ser>
        <c:ser>
          <c:idx val="1"/>
          <c:order val="1"/>
          <c:tx>
            <c:strRef>
              <c:f>'12.5'!$F$4</c:f>
              <c:strCache>
                <c:ptCount val="1"/>
                <c:pt idx="0">
                  <c:v>% Share of Value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'12.5'!$F$6:$F$12</c:f>
              <c:numCache>
                <c:formatCode>#,##0.0_);\(#,##0.0\)</c:formatCode>
                <c:ptCount val="7"/>
                <c:pt idx="0">
                  <c:v>10.322858794067111</c:v>
                </c:pt>
                <c:pt idx="1">
                  <c:v>10.955893131371923</c:v>
                </c:pt>
                <c:pt idx="2">
                  <c:v>11.789974512147079</c:v>
                </c:pt>
                <c:pt idx="3">
                  <c:v>11.441207886887156</c:v>
                </c:pt>
                <c:pt idx="4">
                  <c:v>10.766823251345976</c:v>
                </c:pt>
                <c:pt idx="5">
                  <c:v>9.9892876011059908</c:v>
                </c:pt>
                <c:pt idx="6">
                  <c:v>34.733954823074768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F-4BC7-97C0-E554E4C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462059136"/>
        <c:axId val="462049336"/>
      </c:barChart>
      <c:catAx>
        <c:axId val="4620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49336"/>
        <c:crosses val="autoZero"/>
        <c:auto val="1"/>
        <c:lblAlgn val="ctr"/>
        <c:lblOffset val="100"/>
        <c:noMultiLvlLbl val="0"/>
      </c:catAx>
      <c:valAx>
        <c:axId val="462049336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9136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565964210714794"/>
          <c:y val="0.18475084030554317"/>
          <c:w val="0.36077467844076772"/>
          <c:h val="7.01662341347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308811</xdr:colOff>
      <xdr:row>36</xdr:row>
      <xdr:rowOff>53639</xdr:rowOff>
    </xdr:from>
    <xdr:to>
      <xdr:col>6</xdr:col>
      <xdr:colOff>880310</xdr:colOff>
      <xdr:row>48</xdr:row>
      <xdr:rowOff>242134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64"/>
  <sheetViews>
    <sheetView tabSelected="1" zoomScale="95" zoomScaleNormal="95" workbookViewId="0">
      <selection activeCell="R1" sqref="R1:R1048576"/>
    </sheetView>
  </sheetViews>
  <sheetFormatPr defaultColWidth="9.140625" defaultRowHeight="12.75" x14ac:dyDescent="0.2"/>
  <cols>
    <col min="1" max="1" width="15" style="3" bestFit="1" customWidth="1"/>
    <col min="2" max="2" width="12.85546875" style="3" customWidth="1"/>
    <col min="3" max="3" width="15.7109375" style="3" customWidth="1"/>
    <col min="4" max="4" width="16.5703125" style="3" customWidth="1"/>
    <col min="5" max="5" width="18.7109375" style="3" customWidth="1"/>
    <col min="6" max="6" width="18.5703125" style="3" customWidth="1"/>
    <col min="7" max="7" width="19.28515625" style="3" customWidth="1"/>
    <col min="8" max="8" width="2" style="3" customWidth="1"/>
    <col min="9" max="9" width="12.28515625" style="3" bestFit="1" customWidth="1"/>
    <col min="10" max="10" width="18.5703125" style="3" customWidth="1"/>
    <col min="11" max="11" width="13.5703125" style="3" bestFit="1" customWidth="1"/>
    <col min="12" max="12" width="14.5703125" style="3" bestFit="1" customWidth="1"/>
    <col min="13" max="13" width="15" style="3" bestFit="1" customWidth="1"/>
    <col min="14" max="14" width="13.5703125" style="3" bestFit="1" customWidth="1"/>
    <col min="15" max="19" width="13.5703125" style="3" customWidth="1"/>
    <col min="20" max="22" width="13.5703125" style="3" bestFit="1" customWidth="1"/>
    <col min="23" max="24" width="9.140625" style="3"/>
    <col min="25" max="26" width="18" style="3" bestFit="1" customWidth="1"/>
    <col min="27" max="16384" width="9.140625" style="3"/>
  </cols>
  <sheetData>
    <row r="1" spans="1:36" s="2" customFormat="1" ht="18" x14ac:dyDescent="0.25">
      <c r="A1" s="52" t="s">
        <v>49</v>
      </c>
      <c r="B1" s="52"/>
      <c r="C1" s="52"/>
      <c r="D1" s="52"/>
      <c r="E1" s="52"/>
      <c r="F1" s="52"/>
      <c r="G1" s="52"/>
      <c r="H1" s="1"/>
    </row>
    <row r="2" spans="1:36" ht="15.75" customHeight="1" x14ac:dyDescent="0.25">
      <c r="A2" s="53" t="s">
        <v>48</v>
      </c>
      <c r="B2" s="54"/>
      <c r="C2" s="54"/>
      <c r="D2" s="54"/>
      <c r="E2" s="54"/>
      <c r="F2" s="54"/>
      <c r="G2" s="55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6" ht="21" x14ac:dyDescent="0.25">
      <c r="A3" s="56" t="s">
        <v>3</v>
      </c>
      <c r="B3" s="4" t="s">
        <v>4</v>
      </c>
      <c r="C3" s="5" t="s">
        <v>1</v>
      </c>
      <c r="D3" s="5" t="s">
        <v>5</v>
      </c>
      <c r="E3" s="50" t="s">
        <v>0</v>
      </c>
      <c r="F3" s="50" t="s">
        <v>0</v>
      </c>
      <c r="G3" s="58" t="s">
        <v>6</v>
      </c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6" ht="15" customHeight="1" x14ac:dyDescent="0.25">
      <c r="A4" s="57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9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6" ht="21" x14ac:dyDescent="0.25">
      <c r="A5" s="7" t="s">
        <v>12</v>
      </c>
      <c r="B5" s="8"/>
      <c r="C5" s="9"/>
      <c r="D5" s="9"/>
      <c r="E5" s="10"/>
      <c r="F5" s="11"/>
      <c r="G5" s="12" t="s">
        <v>13</v>
      </c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6" ht="21" x14ac:dyDescent="0.25">
      <c r="A6" s="13" t="s">
        <v>14</v>
      </c>
      <c r="B6" s="14">
        <v>1.5</v>
      </c>
      <c r="C6" s="25">
        <v>36739280.520000003</v>
      </c>
      <c r="D6" s="25">
        <f>C6*B6</f>
        <v>55108920.780000001</v>
      </c>
      <c r="E6" s="46">
        <f>(C6/C13)*100</f>
        <v>18.187355579036769</v>
      </c>
      <c r="F6" s="46">
        <f>(D6/D13)*100</f>
        <v>10.322858794067111</v>
      </c>
      <c r="G6" s="15" t="s">
        <v>15</v>
      </c>
      <c r="H6" s="16"/>
      <c r="I6" s="17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1" x14ac:dyDescent="0.25">
      <c r="A7" s="13" t="s">
        <v>16</v>
      </c>
      <c r="B7" s="14">
        <v>1.75</v>
      </c>
      <c r="C7" s="25">
        <v>33421940.220000003</v>
      </c>
      <c r="D7" s="25">
        <f t="shared" ref="D7:D12" si="0">C7*B7</f>
        <v>58488395.385000005</v>
      </c>
      <c r="E7" s="46">
        <f>(C7/C13)*100</f>
        <v>16.54514466040094</v>
      </c>
      <c r="F7" s="46">
        <f>(D7/D13)*100</f>
        <v>10.955893131371923</v>
      </c>
      <c r="G7" s="15" t="s">
        <v>17</v>
      </c>
      <c r="H7" s="18"/>
      <c r="I7" s="17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6" ht="21" x14ac:dyDescent="0.25">
      <c r="A8" s="13" t="s">
        <v>18</v>
      </c>
      <c r="B8" s="14">
        <v>2.15</v>
      </c>
      <c r="C8" s="25">
        <v>29274961.040000007</v>
      </c>
      <c r="D8" s="25">
        <f t="shared" si="0"/>
        <v>62941166.236000009</v>
      </c>
      <c r="E8" s="46">
        <f>(C8/C13)*100</f>
        <v>14.492230616957333</v>
      </c>
      <c r="F8" s="46">
        <f>(D8/D13)*100</f>
        <v>11.789974512147079</v>
      </c>
      <c r="G8" s="15" t="s">
        <v>19</v>
      </c>
      <c r="H8" s="18"/>
      <c r="I8" s="17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6" ht="21" x14ac:dyDescent="0.25">
      <c r="A9" s="13" t="s">
        <v>20</v>
      </c>
      <c r="B9" s="14">
        <v>2.5</v>
      </c>
      <c r="C9" s="25">
        <v>24431705.66</v>
      </c>
      <c r="D9" s="25">
        <f t="shared" si="0"/>
        <v>61079264.149999999</v>
      </c>
      <c r="E9" s="46">
        <f>(C9/C13)*100</f>
        <v>12.094633099820571</v>
      </c>
      <c r="F9" s="46">
        <f>(D9/D13)*100</f>
        <v>11.441207886887156</v>
      </c>
      <c r="G9" s="15" t="s">
        <v>21</v>
      </c>
      <c r="H9" s="18"/>
      <c r="I9" s="17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6" ht="21" x14ac:dyDescent="0.25">
      <c r="A10" s="13" t="s">
        <v>22</v>
      </c>
      <c r="B10" s="14">
        <v>2.95</v>
      </c>
      <c r="C10" s="25">
        <v>19484420.209999997</v>
      </c>
      <c r="D10" s="25">
        <f t="shared" si="0"/>
        <v>57479039.619499996</v>
      </c>
      <c r="E10" s="46">
        <f>(C10/C13)*100</f>
        <v>9.645536700636514</v>
      </c>
      <c r="F10" s="46">
        <f>(D10/D13)*100</f>
        <v>10.766823251345976</v>
      </c>
      <c r="G10" s="15" t="s">
        <v>23</v>
      </c>
      <c r="H10" s="18"/>
      <c r="I10" s="17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6" ht="21" x14ac:dyDescent="0.2">
      <c r="A11" s="13" t="s">
        <v>24</v>
      </c>
      <c r="B11" s="14">
        <v>3.55</v>
      </c>
      <c r="C11" s="25">
        <v>15022011.27</v>
      </c>
      <c r="D11" s="25">
        <f t="shared" si="0"/>
        <v>53328140.008499995</v>
      </c>
      <c r="E11" s="46">
        <f>(C11/C13)*100</f>
        <v>7.4364728054774565</v>
      </c>
      <c r="F11" s="46">
        <f>(D11/D13)*100</f>
        <v>9.9892876011059908</v>
      </c>
      <c r="G11" s="15" t="s">
        <v>25</v>
      </c>
      <c r="H11" s="17"/>
      <c r="Z11" s="13"/>
    </row>
    <row r="12" spans="1:36" ht="21" x14ac:dyDescent="0.2">
      <c r="A12" s="13" t="s">
        <v>26</v>
      </c>
      <c r="B12" s="14">
        <v>4.25</v>
      </c>
      <c r="C12" s="25">
        <v>43630202.080000013</v>
      </c>
      <c r="D12" s="25">
        <f t="shared" si="0"/>
        <v>185428358.84000006</v>
      </c>
      <c r="E12" s="46">
        <f>(C12/C13)*100</f>
        <v>21.598626537670416</v>
      </c>
      <c r="F12" s="46">
        <f>(D12/D13)*100</f>
        <v>34.733954823074768</v>
      </c>
      <c r="G12" s="15" t="s">
        <v>27</v>
      </c>
      <c r="H12" s="17"/>
      <c r="X12" s="13"/>
    </row>
    <row r="13" spans="1:36" ht="21" x14ac:dyDescent="0.2">
      <c r="A13" s="19" t="s">
        <v>28</v>
      </c>
      <c r="B13" s="20"/>
      <c r="C13" s="21">
        <f>SUM(C6:C12)</f>
        <v>202004521.00000003</v>
      </c>
      <c r="D13" s="21">
        <f>SUM(D6:D12)</f>
        <v>533853285.01900005</v>
      </c>
      <c r="E13" s="47">
        <f>(C13/C13)*100</f>
        <v>100</v>
      </c>
      <c r="F13" s="47">
        <f>(D13/D13)*100</f>
        <v>100</v>
      </c>
      <c r="G13" s="12" t="s">
        <v>29</v>
      </c>
      <c r="H13" s="17"/>
      <c r="J13" s="22"/>
    </row>
    <row r="14" spans="1:36" ht="21" x14ac:dyDescent="0.2">
      <c r="A14" s="23" t="s">
        <v>30</v>
      </c>
      <c r="B14" s="24"/>
      <c r="C14" s="25"/>
      <c r="D14" s="25"/>
      <c r="E14" s="26"/>
      <c r="F14" s="27"/>
      <c r="G14" s="12" t="s">
        <v>31</v>
      </c>
      <c r="H14" s="17"/>
      <c r="J14" s="22"/>
      <c r="Y14" s="6" t="s">
        <v>8</v>
      </c>
      <c r="Z14" s="6" t="s">
        <v>9</v>
      </c>
    </row>
    <row r="15" spans="1:36" ht="21" x14ac:dyDescent="0.25">
      <c r="A15" s="13" t="s">
        <v>14</v>
      </c>
      <c r="B15" s="14">
        <v>3.3</v>
      </c>
      <c r="C15" s="25">
        <v>842894.71000000008</v>
      </c>
      <c r="D15" s="25">
        <f>C15*B15</f>
        <v>2781552.5430000001</v>
      </c>
      <c r="E15" s="46">
        <f>(C15/C20)*100</f>
        <v>2.6809395389155815</v>
      </c>
      <c r="F15" s="46">
        <f>(D15/D20)*100</f>
        <v>2.0851519876521123</v>
      </c>
      <c r="G15" s="15" t="s">
        <v>15</v>
      </c>
      <c r="H15" s="1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X15" s="7" t="s">
        <v>12</v>
      </c>
      <c r="Y15" s="22">
        <f>C13</f>
        <v>202004521.00000003</v>
      </c>
      <c r="Z15" s="22">
        <f>D13</f>
        <v>533853285.01900005</v>
      </c>
    </row>
    <row r="16" spans="1:36" ht="21" x14ac:dyDescent="0.2">
      <c r="A16" s="13" t="s">
        <v>32</v>
      </c>
      <c r="B16" s="14">
        <v>3.35</v>
      </c>
      <c r="C16" s="25">
        <v>1434018.29</v>
      </c>
      <c r="D16" s="25">
        <f t="shared" ref="D16:D19" si="1">C16*B16</f>
        <v>4803961.2714999998</v>
      </c>
      <c r="E16" s="46">
        <f>(C16/C20)*100</f>
        <v>4.5610872717294786</v>
      </c>
      <c r="F16" s="46">
        <f>(D16/D20)*100</f>
        <v>3.6012224248938058</v>
      </c>
      <c r="G16" s="15" t="s">
        <v>33</v>
      </c>
      <c r="H16" s="17"/>
      <c r="X16" s="23" t="s">
        <v>30</v>
      </c>
      <c r="Y16" s="22">
        <f>C20</f>
        <v>31440273</v>
      </c>
      <c r="Z16" s="22">
        <f>D20</f>
        <v>133398071.67399999</v>
      </c>
    </row>
    <row r="17" spans="1:26" ht="21" x14ac:dyDescent="0.2">
      <c r="A17" s="13" t="s">
        <v>34</v>
      </c>
      <c r="B17" s="14">
        <v>3.65</v>
      </c>
      <c r="C17" s="25">
        <v>1222709.8300000003</v>
      </c>
      <c r="D17" s="25">
        <f t="shared" si="1"/>
        <v>4462890.8795000007</v>
      </c>
      <c r="E17" s="46">
        <f>(C17/C20)*100</f>
        <v>3.8889924079221587</v>
      </c>
      <c r="F17" s="46">
        <f>(D17/D20)*100</f>
        <v>3.3455437724815642</v>
      </c>
      <c r="G17" s="15" t="s">
        <v>35</v>
      </c>
      <c r="H17" s="17"/>
      <c r="X17" s="23" t="s">
        <v>36</v>
      </c>
      <c r="Y17" s="22">
        <f>C29</f>
        <v>100990373</v>
      </c>
      <c r="Z17" s="22">
        <f>D29</f>
        <v>450748403.66049999</v>
      </c>
    </row>
    <row r="18" spans="1:26" ht="21" x14ac:dyDescent="0.2">
      <c r="A18" s="13" t="s">
        <v>24</v>
      </c>
      <c r="B18" s="14">
        <v>4</v>
      </c>
      <c r="C18" s="25">
        <v>549032.17000000004</v>
      </c>
      <c r="D18" s="25">
        <f t="shared" si="1"/>
        <v>2196128.6800000002</v>
      </c>
      <c r="E18" s="46">
        <f>(C18/C20)*100</f>
        <v>1.7462703647643265</v>
      </c>
      <c r="F18" s="46">
        <f>(D18/D20)*100</f>
        <v>1.6462971708968395</v>
      </c>
      <c r="G18" s="15" t="s">
        <v>25</v>
      </c>
      <c r="H18" s="17"/>
      <c r="X18" s="23" t="s">
        <v>37</v>
      </c>
      <c r="Y18" s="22">
        <f>C32</f>
        <v>10412</v>
      </c>
      <c r="Z18" s="22">
        <f>D32</f>
        <v>35400.799999999996</v>
      </c>
    </row>
    <row r="19" spans="1:26" ht="21" x14ac:dyDescent="0.2">
      <c r="A19" s="13" t="s">
        <v>26</v>
      </c>
      <c r="B19" s="14">
        <v>4.3499999999999996</v>
      </c>
      <c r="C19" s="25">
        <v>27391618</v>
      </c>
      <c r="D19" s="25">
        <f t="shared" si="1"/>
        <v>119153538.3</v>
      </c>
      <c r="E19" s="46">
        <f>(C19/C20)*100</f>
        <v>87.122710416668454</v>
      </c>
      <c r="F19" s="46">
        <f>(D19/D20)*100</f>
        <v>89.321784644075677</v>
      </c>
      <c r="G19" s="15" t="s">
        <v>27</v>
      </c>
      <c r="H19" s="17"/>
      <c r="X19" s="23" t="s">
        <v>38</v>
      </c>
      <c r="Y19" s="22">
        <f>C35</f>
        <v>14646913</v>
      </c>
      <c r="Z19" s="22">
        <f>D35</f>
        <v>62249380.25</v>
      </c>
    </row>
    <row r="20" spans="1:26" ht="21" x14ac:dyDescent="0.2">
      <c r="A20" s="19" t="s">
        <v>28</v>
      </c>
      <c r="B20" s="20"/>
      <c r="C20" s="21">
        <f>SUM(C15:C19)</f>
        <v>31440273</v>
      </c>
      <c r="D20" s="21">
        <f>SUM(D15:D19)</f>
        <v>133398071.67399999</v>
      </c>
      <c r="E20" s="47">
        <f>(C20/C20)*100</f>
        <v>100</v>
      </c>
      <c r="F20" s="47">
        <f>(D20/D20)*100</f>
        <v>100</v>
      </c>
      <c r="G20" s="12" t="s">
        <v>29</v>
      </c>
      <c r="H20" s="17"/>
    </row>
    <row r="21" spans="1:26" ht="21" x14ac:dyDescent="0.2">
      <c r="A21" s="23" t="s">
        <v>36</v>
      </c>
      <c r="B21" s="24"/>
      <c r="C21" s="25"/>
      <c r="D21" s="25"/>
      <c r="E21" s="26"/>
      <c r="F21" s="27"/>
      <c r="G21" s="12" t="s">
        <v>31</v>
      </c>
      <c r="H21" s="17"/>
    </row>
    <row r="22" spans="1:26" ht="21" x14ac:dyDescent="0.2">
      <c r="A22" s="13" t="s">
        <v>14</v>
      </c>
      <c r="B22" s="14">
        <v>3.3</v>
      </c>
      <c r="C22" s="25">
        <v>9284254.2700000014</v>
      </c>
      <c r="D22" s="25">
        <f>C22*B22</f>
        <v>30638039.091000002</v>
      </c>
      <c r="E22" s="46">
        <f>(C22/C29)*100</f>
        <v>9.1932072277820005</v>
      </c>
      <c r="F22" s="46">
        <f>(D22/D29)*100</f>
        <v>6.7971486625776985</v>
      </c>
      <c r="G22" s="15" t="s">
        <v>15</v>
      </c>
      <c r="H22" s="17"/>
    </row>
    <row r="23" spans="1:26" ht="21" x14ac:dyDescent="0.2">
      <c r="A23" s="13" t="s">
        <v>32</v>
      </c>
      <c r="B23" s="14">
        <v>3.35</v>
      </c>
      <c r="C23" s="25">
        <v>14419784.73</v>
      </c>
      <c r="D23" s="25">
        <f t="shared" ref="D23:D28" si="2">C23*B23</f>
        <v>48306278.8455</v>
      </c>
      <c r="E23" s="46">
        <f>(C23/C29)*100</f>
        <v>14.278375553677774</v>
      </c>
      <c r="F23" s="46">
        <f>(D23/D29)*100</f>
        <v>10.716905141140309</v>
      </c>
      <c r="G23" s="15" t="s">
        <v>33</v>
      </c>
      <c r="H23" s="17"/>
    </row>
    <row r="24" spans="1:26" ht="21" x14ac:dyDescent="0.2">
      <c r="A24" s="13" t="s">
        <v>34</v>
      </c>
      <c r="B24" s="14">
        <v>3.65</v>
      </c>
      <c r="C24" s="25">
        <v>10897691</v>
      </c>
      <c r="D24" s="25">
        <f t="shared" si="2"/>
        <v>39776572.149999999</v>
      </c>
      <c r="E24" s="46">
        <f>(C24/C29)*100</f>
        <v>10.790821616234648</v>
      </c>
      <c r="F24" s="46">
        <f>(D24/D29)*100</f>
        <v>8.8245619567317171</v>
      </c>
      <c r="G24" s="15" t="s">
        <v>35</v>
      </c>
      <c r="H24" s="17"/>
    </row>
    <row r="25" spans="1:26" ht="21" x14ac:dyDescent="0.2">
      <c r="A25" s="13" t="s">
        <v>24</v>
      </c>
      <c r="B25" s="14">
        <v>4</v>
      </c>
      <c r="C25" s="25">
        <v>4445358</v>
      </c>
      <c r="D25" s="25">
        <f t="shared" si="2"/>
        <v>17781432</v>
      </c>
      <c r="E25" s="46">
        <f>(C25/C29)*100</f>
        <v>4.4017641166648627</v>
      </c>
      <c r="F25" s="46">
        <f>(D25/D29)*100</f>
        <v>3.9448685465324087</v>
      </c>
      <c r="G25" s="15" t="s">
        <v>39</v>
      </c>
      <c r="H25" s="17"/>
    </row>
    <row r="26" spans="1:26" ht="21" x14ac:dyDescent="0.2">
      <c r="A26" s="13" t="s">
        <v>40</v>
      </c>
      <c r="B26" s="14">
        <v>4.3499999999999996</v>
      </c>
      <c r="C26" s="25">
        <v>36708359</v>
      </c>
      <c r="D26" s="25">
        <f t="shared" si="2"/>
        <v>159681361.64999998</v>
      </c>
      <c r="E26" s="46">
        <f>(C26/C29)*100</f>
        <v>36.348374512885499</v>
      </c>
      <c r="F26" s="46">
        <f>(D26/D29)*100</f>
        <v>35.425829654245582</v>
      </c>
      <c r="G26" s="15" t="s">
        <v>40</v>
      </c>
      <c r="H26" s="17"/>
    </row>
    <row r="27" spans="1:26" ht="21" x14ac:dyDescent="0.2">
      <c r="A27" s="13" t="s">
        <v>41</v>
      </c>
      <c r="B27" s="14">
        <v>5.75</v>
      </c>
      <c r="C27" s="25">
        <v>14719486.640000001</v>
      </c>
      <c r="D27" s="25">
        <f t="shared" si="2"/>
        <v>84637048.180000007</v>
      </c>
      <c r="E27" s="46">
        <f>(C27/C29)*100</f>
        <v>14.575138404528914</v>
      </c>
      <c r="F27" s="46">
        <f>(D27/D29)*100</f>
        <v>18.777004531279037</v>
      </c>
      <c r="G27" s="15" t="s">
        <v>42</v>
      </c>
      <c r="H27" s="17"/>
    </row>
    <row r="28" spans="1:26" ht="21" x14ac:dyDescent="0.2">
      <c r="A28" s="13" t="s">
        <v>43</v>
      </c>
      <c r="B28" s="14">
        <v>6.65</v>
      </c>
      <c r="C28" s="25">
        <v>10515439.359999999</v>
      </c>
      <c r="D28" s="25">
        <f t="shared" si="2"/>
        <v>69927671.744000003</v>
      </c>
      <c r="E28" s="46">
        <f>(C28/C29)*100</f>
        <v>10.412318568226299</v>
      </c>
      <c r="F28" s="46">
        <f>(D28/D29)*100</f>
        <v>15.513681507493246</v>
      </c>
      <c r="G28" s="15" t="s">
        <v>44</v>
      </c>
      <c r="H28" s="17"/>
    </row>
    <row r="29" spans="1:26" ht="21" x14ac:dyDescent="0.2">
      <c r="A29" s="19" t="s">
        <v>28</v>
      </c>
      <c r="B29" s="20"/>
      <c r="C29" s="21">
        <f>SUM(C22:C28)</f>
        <v>100990373</v>
      </c>
      <c r="D29" s="21">
        <f>SUM(D22:D28)</f>
        <v>450748403.66049999</v>
      </c>
      <c r="E29" s="47">
        <f>(C29/C29)*100</f>
        <v>100</v>
      </c>
      <c r="F29" s="47">
        <f>(D29/D29)*100</f>
        <v>100</v>
      </c>
      <c r="G29" s="12" t="s">
        <v>29</v>
      </c>
      <c r="H29" s="17"/>
    </row>
    <row r="30" spans="1:26" ht="21" x14ac:dyDescent="0.2">
      <c r="A30" s="23" t="s">
        <v>37</v>
      </c>
      <c r="C30" s="25"/>
      <c r="D30" s="25"/>
      <c r="E30" s="46"/>
      <c r="F30" s="46"/>
      <c r="G30" s="12" t="s">
        <v>31</v>
      </c>
      <c r="H30" s="17"/>
      <c r="J30" s="22"/>
    </row>
    <row r="31" spans="1:26" ht="21" x14ac:dyDescent="0.2">
      <c r="A31" s="29"/>
      <c r="B31" s="30">
        <v>3.4</v>
      </c>
      <c r="C31" s="25">
        <v>10412</v>
      </c>
      <c r="D31" s="31">
        <f>C31*B31</f>
        <v>35400.799999999996</v>
      </c>
      <c r="E31" s="46">
        <f>(C31/C32)*100</f>
        <v>100</v>
      </c>
      <c r="F31" s="46">
        <f>(D31/D32)*100</f>
        <v>100</v>
      </c>
      <c r="G31" s="32"/>
      <c r="H31" s="17"/>
      <c r="J31" s="22"/>
    </row>
    <row r="32" spans="1:26" ht="21" x14ac:dyDescent="0.2">
      <c r="A32" s="33" t="s">
        <v>28</v>
      </c>
      <c r="B32" s="34"/>
      <c r="C32" s="35">
        <f>SUM(C31)</f>
        <v>10412</v>
      </c>
      <c r="D32" s="35">
        <f>SUM(D31)</f>
        <v>35400.799999999996</v>
      </c>
      <c r="E32" s="48">
        <f>(C32/C32)*100</f>
        <v>100</v>
      </c>
      <c r="F32" s="48">
        <f>(D32/D32)*100</f>
        <v>100</v>
      </c>
      <c r="G32" s="36" t="s">
        <v>29</v>
      </c>
    </row>
    <row r="33" spans="1:13" ht="21" x14ac:dyDescent="0.2">
      <c r="A33" s="23" t="s">
        <v>45</v>
      </c>
      <c r="C33" s="25"/>
      <c r="D33" s="25"/>
      <c r="E33" s="44"/>
      <c r="F33" s="45"/>
      <c r="G33" s="12" t="s">
        <v>46</v>
      </c>
      <c r="H33" s="17"/>
      <c r="J33" s="22"/>
    </row>
    <row r="34" spans="1:13" ht="21" x14ac:dyDescent="0.2">
      <c r="A34" s="29"/>
      <c r="B34" s="30">
        <v>4.25</v>
      </c>
      <c r="C34" s="25">
        <v>14646913</v>
      </c>
      <c r="D34" s="31">
        <f>C34*B34</f>
        <v>62249380.25</v>
      </c>
      <c r="E34" s="46">
        <f>(C34/C35)*100</f>
        <v>100</v>
      </c>
      <c r="F34" s="46">
        <f>(D34/D35)*100</f>
        <v>100</v>
      </c>
      <c r="G34" s="32"/>
      <c r="H34" s="17"/>
      <c r="J34" s="22"/>
    </row>
    <row r="35" spans="1:13" ht="21" x14ac:dyDescent="0.2">
      <c r="A35" s="33" t="s">
        <v>28</v>
      </c>
      <c r="B35" s="34"/>
      <c r="C35" s="35">
        <f>SUM(C34)</f>
        <v>14646913</v>
      </c>
      <c r="D35" s="35">
        <f>SUM(D34)</f>
        <v>62249380.25</v>
      </c>
      <c r="E35" s="49">
        <f>(C35/C35)*100</f>
        <v>100</v>
      </c>
      <c r="F35" s="49">
        <f>(D35/D35)*100</f>
        <v>100</v>
      </c>
      <c r="G35" s="36" t="s">
        <v>29</v>
      </c>
    </row>
    <row r="36" spans="1:13" ht="21.75" customHeight="1" x14ac:dyDescent="0.25">
      <c r="A36" s="37" t="s">
        <v>2</v>
      </c>
      <c r="B36" s="38"/>
      <c r="C36" s="38"/>
      <c r="D36" s="38"/>
      <c r="E36" s="39"/>
      <c r="F36" s="39"/>
      <c r="G36" s="51" t="s">
        <v>47</v>
      </c>
      <c r="H36" s="41"/>
      <c r="M36" s="42"/>
    </row>
    <row r="37" spans="1:13" ht="21.75" customHeight="1" x14ac:dyDescent="0.25">
      <c r="A37" s="43"/>
      <c r="B37" s="38"/>
      <c r="C37" s="38"/>
      <c r="D37" s="38"/>
      <c r="E37" s="39"/>
      <c r="F37" s="39"/>
      <c r="G37" s="40"/>
      <c r="H37" s="41"/>
      <c r="M37" s="42"/>
    </row>
    <row r="38" spans="1:13" ht="21.75" customHeight="1" x14ac:dyDescent="0.25">
      <c r="A38" s="43"/>
      <c r="B38" s="38"/>
      <c r="C38" s="38"/>
      <c r="D38" s="38"/>
      <c r="E38" s="39"/>
      <c r="F38" s="39"/>
      <c r="G38" s="40"/>
      <c r="H38" s="41"/>
      <c r="M38" s="42"/>
    </row>
    <row r="39" spans="1:13" ht="21.75" customHeight="1" x14ac:dyDescent="0.25">
      <c r="A39" s="43"/>
      <c r="B39" s="38"/>
      <c r="C39" s="38"/>
      <c r="D39" s="38"/>
      <c r="E39" s="39"/>
      <c r="F39" s="39"/>
      <c r="G39" s="40"/>
      <c r="H39" s="41"/>
      <c r="M39" s="42"/>
    </row>
    <row r="40" spans="1:13" ht="21.75" customHeight="1" x14ac:dyDescent="0.25">
      <c r="A40" s="43"/>
      <c r="B40" s="38"/>
      <c r="C40" s="38"/>
      <c r="D40" s="38"/>
      <c r="E40" s="39"/>
      <c r="F40" s="39"/>
      <c r="G40" s="40"/>
      <c r="H40" s="41"/>
      <c r="M40" s="42"/>
    </row>
    <row r="41" spans="1:13" ht="21.75" customHeight="1" x14ac:dyDescent="0.25">
      <c r="A41" s="43"/>
      <c r="B41" s="38"/>
      <c r="C41" s="38"/>
      <c r="D41" s="38"/>
      <c r="E41" s="39"/>
      <c r="F41" s="39"/>
      <c r="G41" s="40"/>
      <c r="H41" s="41"/>
      <c r="M41" s="42"/>
    </row>
    <row r="42" spans="1:13" ht="21.75" customHeight="1" x14ac:dyDescent="0.25">
      <c r="A42" s="43"/>
      <c r="B42" s="38"/>
      <c r="C42" s="38"/>
      <c r="D42" s="38"/>
      <c r="E42" s="39"/>
      <c r="F42" s="39"/>
      <c r="G42" s="40"/>
      <c r="H42" s="41"/>
      <c r="M42" s="42"/>
    </row>
    <row r="43" spans="1:13" ht="21.75" customHeight="1" x14ac:dyDescent="0.25">
      <c r="A43" s="43"/>
      <c r="B43" s="38"/>
      <c r="C43" s="38"/>
      <c r="D43" s="38"/>
      <c r="E43" s="39"/>
      <c r="F43" s="39"/>
      <c r="G43" s="40"/>
      <c r="H43" s="41"/>
      <c r="M43" s="42"/>
    </row>
    <row r="44" spans="1:13" ht="21.75" customHeight="1" x14ac:dyDescent="0.25">
      <c r="A44" s="43"/>
      <c r="B44" s="38"/>
      <c r="C44" s="38"/>
      <c r="D44" s="38"/>
      <c r="E44" s="39"/>
      <c r="F44" s="39"/>
      <c r="G44" s="40"/>
      <c r="H44" s="41"/>
      <c r="M44" s="42"/>
    </row>
    <row r="45" spans="1:13" ht="21.75" customHeight="1" x14ac:dyDescent="0.25">
      <c r="A45" s="43"/>
      <c r="B45" s="38"/>
      <c r="C45" s="38"/>
      <c r="D45" s="38"/>
      <c r="E45" s="39"/>
      <c r="F45" s="39"/>
      <c r="G45" s="40"/>
      <c r="H45" s="41"/>
      <c r="M45" s="42"/>
    </row>
    <row r="46" spans="1:13" ht="21.75" customHeight="1" x14ac:dyDescent="0.25">
      <c r="A46" s="43"/>
      <c r="B46" s="38"/>
      <c r="C46" s="38"/>
      <c r="D46" s="38"/>
      <c r="E46" s="39"/>
      <c r="F46" s="39"/>
      <c r="G46" s="40"/>
      <c r="H46" s="41"/>
      <c r="M46" s="42"/>
    </row>
    <row r="47" spans="1:13" ht="21.75" customHeight="1" x14ac:dyDescent="0.25">
      <c r="A47" s="43"/>
      <c r="B47" s="38"/>
      <c r="C47" s="38"/>
      <c r="D47" s="38"/>
      <c r="E47" s="39"/>
      <c r="F47" s="39"/>
      <c r="G47" s="40"/>
      <c r="H47" s="41"/>
      <c r="M47" s="42"/>
    </row>
    <row r="48" spans="1:13" ht="21.75" customHeight="1" x14ac:dyDescent="0.25">
      <c r="A48" s="43"/>
      <c r="B48" s="38"/>
      <c r="C48" s="38"/>
      <c r="D48" s="38"/>
      <c r="E48" s="39"/>
      <c r="F48" s="39"/>
      <c r="G48" s="40"/>
      <c r="H48" s="41"/>
      <c r="M48" s="42"/>
    </row>
    <row r="49" spans="1:13" ht="21.75" customHeight="1" x14ac:dyDescent="0.25">
      <c r="A49" s="43"/>
      <c r="B49" s="38"/>
      <c r="C49" s="38"/>
      <c r="D49" s="38"/>
      <c r="E49" s="39"/>
      <c r="F49" s="39"/>
      <c r="G49" s="40"/>
      <c r="H49" s="41"/>
      <c r="M49" s="42"/>
    </row>
    <row r="50" spans="1:13" ht="21.75" customHeight="1" x14ac:dyDescent="0.25">
      <c r="A50" s="43"/>
      <c r="B50" s="38"/>
      <c r="C50" s="38"/>
      <c r="D50" s="38"/>
      <c r="E50" s="39"/>
      <c r="F50" s="39"/>
      <c r="G50" s="40"/>
      <c r="H50" s="41"/>
      <c r="M50" s="42"/>
    </row>
    <row r="51" spans="1:13" ht="21.75" customHeight="1" x14ac:dyDescent="0.25">
      <c r="A51" s="43"/>
      <c r="B51" s="38"/>
      <c r="C51" s="38"/>
      <c r="D51" s="38"/>
      <c r="E51" s="39"/>
      <c r="F51" s="39"/>
      <c r="G51" s="40"/>
      <c r="H51" s="41"/>
      <c r="M51" s="42"/>
    </row>
    <row r="52" spans="1:13" ht="21.75" customHeight="1" x14ac:dyDescent="0.25">
      <c r="A52" s="43"/>
      <c r="B52" s="38"/>
      <c r="C52" s="38"/>
      <c r="D52" s="38"/>
      <c r="E52" s="39"/>
      <c r="F52" s="39"/>
      <c r="G52" s="40"/>
      <c r="H52" s="41"/>
      <c r="M52" s="42"/>
    </row>
    <row r="53" spans="1:13" ht="21.75" customHeight="1" x14ac:dyDescent="0.25">
      <c r="A53" s="43"/>
      <c r="B53" s="38"/>
      <c r="C53" s="38"/>
      <c r="D53" s="38"/>
      <c r="E53" s="39"/>
      <c r="F53" s="39"/>
      <c r="G53" s="40"/>
      <c r="H53" s="41"/>
      <c r="M53" s="42"/>
    </row>
    <row r="54" spans="1:13" ht="21.75" customHeight="1" x14ac:dyDescent="0.25">
      <c r="A54" s="43"/>
      <c r="B54" s="38"/>
      <c r="C54" s="38"/>
      <c r="D54" s="38"/>
      <c r="E54" s="39"/>
      <c r="F54" s="39"/>
      <c r="G54" s="40"/>
      <c r="H54" s="41"/>
      <c r="M54" s="42"/>
    </row>
    <row r="55" spans="1:13" ht="21.75" customHeight="1" x14ac:dyDescent="0.25">
      <c r="A55" s="43"/>
      <c r="B55" s="38"/>
      <c r="C55" s="38"/>
      <c r="D55" s="38"/>
      <c r="E55" s="39"/>
      <c r="F55" s="39"/>
      <c r="G55" s="40"/>
      <c r="H55" s="41"/>
      <c r="M55" s="42"/>
    </row>
    <row r="56" spans="1:13" ht="21.75" customHeight="1" x14ac:dyDescent="0.25">
      <c r="A56" s="43"/>
      <c r="B56" s="38"/>
      <c r="C56" s="38"/>
      <c r="D56" s="38"/>
      <c r="E56" s="39"/>
      <c r="F56" s="39"/>
      <c r="G56" s="40"/>
      <c r="H56" s="41"/>
      <c r="M56" s="42"/>
    </row>
    <row r="57" spans="1:13" ht="21.75" customHeight="1" x14ac:dyDescent="0.25">
      <c r="A57" s="43"/>
      <c r="B57" s="38"/>
      <c r="C57" s="38"/>
      <c r="D57" s="38"/>
      <c r="E57" s="39"/>
      <c r="F57" s="39"/>
      <c r="G57" s="40"/>
      <c r="H57" s="41"/>
      <c r="M57" s="42"/>
    </row>
    <row r="58" spans="1:13" ht="21.75" customHeight="1" x14ac:dyDescent="0.25">
      <c r="A58" s="43"/>
      <c r="B58" s="38"/>
      <c r="C58" s="38"/>
      <c r="D58" s="38"/>
      <c r="E58" s="39"/>
      <c r="F58" s="39"/>
      <c r="G58" s="40"/>
      <c r="H58" s="41"/>
      <c r="M58" s="42"/>
    </row>
    <row r="59" spans="1:13" ht="21.75" customHeight="1" x14ac:dyDescent="0.25">
      <c r="A59" s="43"/>
      <c r="B59" s="38"/>
      <c r="C59" s="38"/>
      <c r="D59" s="38"/>
      <c r="E59" s="39"/>
      <c r="F59" s="39"/>
      <c r="G59" s="40"/>
      <c r="H59" s="41"/>
      <c r="M59" s="42"/>
    </row>
    <row r="60" spans="1:13" ht="21.75" customHeight="1" x14ac:dyDescent="0.25">
      <c r="A60" s="43"/>
      <c r="B60" s="38"/>
      <c r="C60" s="38"/>
      <c r="D60" s="38"/>
      <c r="E60" s="39"/>
      <c r="F60" s="39"/>
      <c r="G60" s="40"/>
      <c r="H60" s="41"/>
      <c r="M60" s="42"/>
    </row>
    <row r="61" spans="1:13" ht="21.75" customHeight="1" x14ac:dyDescent="0.25">
      <c r="A61" s="43"/>
      <c r="B61" s="38"/>
      <c r="C61" s="38"/>
      <c r="D61" s="38"/>
      <c r="E61" s="39"/>
      <c r="F61" s="39"/>
      <c r="G61" s="40"/>
      <c r="H61" s="41"/>
      <c r="M61" s="42"/>
    </row>
    <row r="62" spans="1:13" ht="21.75" customHeight="1" x14ac:dyDescent="0.25">
      <c r="A62" s="43"/>
      <c r="B62" s="38"/>
      <c r="C62" s="38"/>
      <c r="D62" s="38"/>
      <c r="E62" s="39"/>
      <c r="F62" s="39"/>
      <c r="G62" s="40"/>
      <c r="H62" s="41"/>
      <c r="M62" s="42"/>
    </row>
    <row r="63" spans="1:13" ht="21.75" customHeight="1" x14ac:dyDescent="0.25">
      <c r="A63" s="43"/>
      <c r="B63" s="38"/>
      <c r="C63" s="38"/>
      <c r="D63" s="38"/>
      <c r="E63" s="39"/>
      <c r="F63" s="39"/>
      <c r="G63" s="40"/>
      <c r="H63" s="41"/>
      <c r="M63" s="42"/>
    </row>
    <row r="64" spans="1:13" ht="21.75" customHeight="1" x14ac:dyDescent="0.25">
      <c r="A64" s="43"/>
      <c r="B64" s="38"/>
      <c r="C64" s="38"/>
      <c r="D64" s="38"/>
      <c r="E64" s="39"/>
      <c r="F64" s="39"/>
      <c r="G64" s="40"/>
      <c r="H64" s="41"/>
      <c r="M64" s="42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2021-08-22T03:56:04Z</cp:lastPrinted>
  <dcterms:created xsi:type="dcterms:W3CDTF">2019-05-21T05:57:01Z</dcterms:created>
  <dcterms:modified xsi:type="dcterms:W3CDTF">2021-08-22T03:56:28Z</dcterms:modified>
</cp:coreProperties>
</file>