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2.Electricity and Water\"/>
    </mc:Choice>
  </mc:AlternateContent>
  <bookViews>
    <workbookView xWindow="0" yWindow="0" windowWidth="28800" windowHeight="12330" tabRatio="862"/>
  </bookViews>
  <sheets>
    <sheet name="12.4" sheetId="18" r:id="rId1"/>
  </sheets>
  <externalReferences>
    <externalReference r:id="rId2"/>
    <externalReference r:id="rId3"/>
    <externalReference r:id="rId4"/>
    <externalReference r:id="rId5"/>
  </externalReferences>
  <definedNames>
    <definedName name="Male">'[1]Entry2015 (for male region)'!$A$8:$AAA$67</definedName>
    <definedName name="_xlnm.Print_Area" localSheetId="0">'12.4'!$A$1:$P$45</definedName>
  </definedNames>
  <calcPr calcId="162913" refMode="R1C1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1" i="18" l="1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N9" i="18"/>
  <c r="M9" i="18"/>
  <c r="M5" i="18" s="1"/>
  <c r="L9" i="18"/>
  <c r="K9" i="18"/>
  <c r="J9" i="18"/>
  <c r="I9" i="18"/>
  <c r="H9" i="18"/>
  <c r="G9" i="18"/>
  <c r="F9" i="18"/>
  <c r="E9" i="18"/>
  <c r="D9" i="18"/>
  <c r="C9" i="18"/>
  <c r="B8" i="18"/>
  <c r="B7" i="18"/>
  <c r="B6" i="18"/>
  <c r="G5" i="18" l="1"/>
  <c r="H5" i="18"/>
  <c r="I5" i="18"/>
  <c r="C5" i="18"/>
  <c r="K5" i="18"/>
  <c r="D5" i="18"/>
  <c r="L5" i="18"/>
  <c r="E5" i="18"/>
  <c r="J5" i="18"/>
  <c r="F5" i="18"/>
  <c r="N5" i="18"/>
  <c r="B9" i="18"/>
  <c r="B5" i="18" l="1"/>
</calcChain>
</file>

<file path=xl/sharedStrings.xml><?xml version="1.0" encoding="utf-8"?>
<sst xmlns="http://schemas.openxmlformats.org/spreadsheetml/2006/main" count="93" uniqueCount="92">
  <si>
    <t>wlcmuj</t>
  </si>
  <si>
    <t>Source: State Electric Company Limited</t>
  </si>
  <si>
    <t>cDeTimil Inepcmok ckircTckeliacTETcs :ctWrwf ivcaedutWmUluAwm</t>
  </si>
  <si>
    <t>Locality</t>
  </si>
  <si>
    <t>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</si>
  <si>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</si>
  <si>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</si>
  <si>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</si>
  <si>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</si>
  <si>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</si>
  <si>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</si>
  <si>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</si>
  <si>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</si>
  <si>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</si>
  <si>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</si>
  <si>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</si>
  <si>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</si>
  <si>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K.Male'</t>
  </si>
  <si>
    <t>ކ. މާލެ</t>
  </si>
  <si>
    <t>K.Vilimale'</t>
  </si>
  <si>
    <t>ކ. ވިލިނގިލި</t>
  </si>
  <si>
    <t>K.Hulhumale</t>
  </si>
  <si>
    <t>ކ. ހުޅުމާލެ</t>
  </si>
  <si>
    <t xml:space="preserve">Atoll </t>
  </si>
  <si>
    <t>އަތޮޅުތައް</t>
  </si>
  <si>
    <t>K.Kaashidhoo</t>
  </si>
  <si>
    <t>ކ. ކާށިދޫ</t>
  </si>
  <si>
    <t>K.Gaafaru</t>
  </si>
  <si>
    <t>ކ. ގާފަރު</t>
  </si>
  <si>
    <t>K.Dhiffushi</t>
  </si>
  <si>
    <t>ކ. ދިއްފުށި</t>
  </si>
  <si>
    <t>K.Thulusdhoo</t>
  </si>
  <si>
    <t>ކ. ތުލުސްދޫ</t>
  </si>
  <si>
    <t>K.Himmafushi</t>
  </si>
  <si>
    <t>ކ. ހިންމަފުށި</t>
  </si>
  <si>
    <t>K.Thilafushi</t>
  </si>
  <si>
    <t>ކ. ތިލަފުށި</t>
  </si>
  <si>
    <t>K.Gulhifalhu</t>
  </si>
  <si>
    <t>ކ. ގުޅިފަޅު</t>
  </si>
  <si>
    <t>K.Gulhi</t>
  </si>
  <si>
    <t>ކ. ގުޅި</t>
  </si>
  <si>
    <t>K.Maafushi</t>
  </si>
  <si>
    <t>ކ. މާފުށި</t>
  </si>
  <si>
    <t>K.Guraidhoo</t>
  </si>
  <si>
    <t>ކ. ގުރައިދޫ</t>
  </si>
  <si>
    <t>AA.Ukulhas</t>
  </si>
  <si>
    <t>އއ.އުކުޅަސް</t>
  </si>
  <si>
    <t>AA.Mathiveri</t>
  </si>
  <si>
    <t>އއ.މަތިވެރި</t>
  </si>
  <si>
    <t>AA.Bodufolhudhoo</t>
  </si>
  <si>
    <t>އއ.ބޮޑުފުޅަދޫ</t>
  </si>
  <si>
    <t>AA.Feridhoo</t>
  </si>
  <si>
    <t>އއ.ފެރިދޫ</t>
  </si>
  <si>
    <t>AA.Maalhos</t>
  </si>
  <si>
    <t>އއ.މާޅޮސް</t>
  </si>
  <si>
    <t>AA.Himandhoo</t>
  </si>
  <si>
    <t>އއ.ހިމަންދޫ</t>
  </si>
  <si>
    <t>AA.Rasdhoo</t>
  </si>
  <si>
    <t>އއ.ރަސްދޫ</t>
  </si>
  <si>
    <t>AA.Thoddoo</t>
  </si>
  <si>
    <t>އއ.ތޮއްޑޫ</t>
  </si>
  <si>
    <t>ADh.Omadhoo</t>
  </si>
  <si>
    <t>އދ.އޮމަދޫ</t>
  </si>
  <si>
    <t>ADh.Kunburudhoo</t>
  </si>
  <si>
    <t>އދ.ކުނބުރުދޫ</t>
  </si>
  <si>
    <t>ADh.Dhigurah</t>
  </si>
  <si>
    <t>އދ.ދިގުރަށް</t>
  </si>
  <si>
    <t>ADh.Fenfushi</t>
  </si>
  <si>
    <t>އދ.ފެންފުށި</t>
  </si>
  <si>
    <t>ADh.Mahibadhoo</t>
  </si>
  <si>
    <t>އދ.މަހިބަދޫ</t>
  </si>
  <si>
    <t>ADh.Hangnameedhoo</t>
  </si>
  <si>
    <t>އދ.ހަންޏާމީދޫ</t>
  </si>
  <si>
    <t>ADh.Dhihdhoo</t>
  </si>
  <si>
    <t>އދ.ދިއްދޫ</t>
  </si>
  <si>
    <t>ADh.Mandhoo</t>
  </si>
  <si>
    <t>އދ.މަންދޫ</t>
  </si>
  <si>
    <t>ADh.Dhangethi</t>
  </si>
  <si>
    <t>އދ.ދަނގެތި</t>
  </si>
  <si>
    <t>V.Felidhoo</t>
  </si>
  <si>
    <t>ވ.ފެލިދޫ</t>
  </si>
  <si>
    <t>V.Fulidhoo</t>
  </si>
  <si>
    <t>ވ.ފުލިދޫ</t>
  </si>
  <si>
    <t>V.Thinadhoo</t>
  </si>
  <si>
    <t>ވ.ތިނަދޫ</t>
  </si>
  <si>
    <t>V.Keyodhoo</t>
  </si>
  <si>
    <t>ވ.ކެޔޮދޫ</t>
  </si>
  <si>
    <t>V.Rakeedhoo</t>
  </si>
  <si>
    <t>ވ.ރަކީދޫ</t>
  </si>
  <si>
    <t>(In '000 litres)</t>
  </si>
  <si>
    <t>ތާވަލު 12.4: މާލެއާއި އަތޮޅުތަކުގައި ސަރުކާރުގެ ފަރާތުން ސަރުކާރުގެ ފަރާތުން އެކިމަސްމަހު ކަރަންޓް އުފެއްދުމަށްޓަކާ އަޑީތެޔޮ ބޭނުންކުރެވިފައިވާ މިންވަރު، 2020</t>
  </si>
  <si>
    <t>Table  12.4 :   MONTHLY CONSUMPTION OF LUBRICATION OIL FOR ELECTRICITY GENERATION IN SELECTED LOCALITIES BY PUBLIC SECTOR,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</si>
</sst>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#,##0.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Faruma"/>
    </font>
    <font>
      <b/>
      <sz val="10"/>
      <color theme="1"/>
      <name val="Calibri"/>
      <family val="2"/>
      <scheme val="minor"/>
    </font>
    <font>
      <b/>
      <sz val="11"/>
      <color theme="1"/>
      <name val="A_Faseyha"/>
    </font>
    <font>
      <i/>
      <sz val="9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_Faseyha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name val="Faruma"/>
    </font>
    <font>
      <b/>
      <sz val="12"/>
      <color theme="1"/>
      <name val="Faruma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Faruma"/>
    </font>
    <font>
      <i/>
      <sz val="10"/>
      <color theme="1"/>
      <name val="Arial"/>
      <family val="2"/>
    </font>
    <font>
      <b/>
      <sz val="9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</cellStyleXfs>
  <cellXfs count="49">
    <xf numFmtId="0" fontId="0" fillId="0" borderId="0" xfId="0"/>
    <xf numFmtId="0" fontId="2" fillId="2" borderId="7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right" vertical="center"/>
    </xf>
    <xf numFmtId="0" fontId="4" fillId="2" borderId="13" xfId="0" applyFont="1" applyFill="1" applyBorder="1" applyAlignment="1">
      <alignment horizontal="right" vertical="center"/>
    </xf>
    <xf numFmtId="0" fontId="12" fillId="2" borderId="8" xfId="0" applyFont="1" applyFill="1" applyBorder="1" applyAlignment="1">
      <alignment horizontal="right" vertical="center"/>
    </xf>
    <xf numFmtId="0" fontId="14" fillId="2" borderId="6" xfId="2" applyFont="1" applyFill="1" applyBorder="1" applyAlignment="1">
      <alignment vertical="center"/>
    </xf>
    <xf numFmtId="0" fontId="15" fillId="2" borderId="6" xfId="2" applyFont="1" applyFill="1" applyBorder="1" applyAlignment="1">
      <alignment vertical="center"/>
    </xf>
    <xf numFmtId="165" fontId="2" fillId="2" borderId="9" xfId="0" applyNumberFormat="1" applyFont="1" applyFill="1" applyBorder="1" applyAlignment="1">
      <alignment horizontal="right" vertical="center"/>
    </xf>
    <xf numFmtId="165" fontId="2" fillId="2" borderId="0" xfId="0" applyNumberFormat="1" applyFont="1" applyFill="1" applyBorder="1" applyAlignment="1">
      <alignment horizontal="right" vertical="center"/>
    </xf>
    <xf numFmtId="165" fontId="2" fillId="2" borderId="12" xfId="0" applyNumberFormat="1" applyFont="1" applyFill="1" applyBorder="1" applyAlignment="1">
      <alignment horizontal="right" vertical="center"/>
    </xf>
    <xf numFmtId="0" fontId="16" fillId="2" borderId="12" xfId="0" applyFont="1" applyFill="1" applyBorder="1" applyAlignment="1">
      <alignment horizontal="right" vertical="center"/>
    </xf>
    <xf numFmtId="0" fontId="11" fillId="2" borderId="0" xfId="0" applyFont="1" applyFill="1" applyAlignment="1">
      <alignment horizontal="right" vertical="center"/>
    </xf>
    <xf numFmtId="165" fontId="2" fillId="2" borderId="10" xfId="0" applyNumberFormat="1" applyFont="1" applyFill="1" applyBorder="1" applyAlignment="1">
      <alignment horizontal="right" vertical="center"/>
    </xf>
    <xf numFmtId="165" fontId="3" fillId="2" borderId="0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2" borderId="5" xfId="2" applyFont="1" applyFill="1" applyBorder="1" applyAlignment="1">
      <alignment vertical="center"/>
    </xf>
    <xf numFmtId="0" fontId="5" fillId="2" borderId="15" xfId="2" applyFont="1" applyFill="1" applyBorder="1" applyAlignment="1">
      <alignment horizontal="right" vertical="center"/>
    </xf>
    <xf numFmtId="0" fontId="5" fillId="2" borderId="5" xfId="2" applyFont="1" applyFill="1" applyBorder="1" applyAlignment="1" applyProtection="1">
      <alignment horizontal="right" vertical="center"/>
    </xf>
    <xf numFmtId="0" fontId="10" fillId="2" borderId="5" xfId="2" applyFont="1" applyFill="1" applyBorder="1" applyAlignment="1">
      <alignment vertical="center"/>
    </xf>
    <xf numFmtId="0" fontId="10" fillId="2" borderId="6" xfId="2" applyFont="1" applyFill="1" applyBorder="1" applyAlignment="1">
      <alignment vertical="center"/>
    </xf>
    <xf numFmtId="0" fontId="6" fillId="2" borderId="11" xfId="0" applyFont="1" applyFill="1" applyBorder="1" applyAlignment="1">
      <alignment horizontal="right" vertical="center"/>
    </xf>
    <xf numFmtId="0" fontId="16" fillId="2" borderId="13" xfId="0" applyFont="1" applyFill="1" applyBorder="1" applyAlignment="1">
      <alignment horizontal="right" vertical="center"/>
    </xf>
    <xf numFmtId="0" fontId="19" fillId="2" borderId="6" xfId="2" applyFont="1" applyFill="1" applyBorder="1" applyAlignment="1">
      <alignment vertical="center"/>
    </xf>
    <xf numFmtId="0" fontId="1" fillId="2" borderId="6" xfId="2" applyFont="1" applyFill="1" applyBorder="1" applyAlignment="1">
      <alignment vertical="center"/>
    </xf>
    <xf numFmtId="0" fontId="12" fillId="2" borderId="2" xfId="0" applyFont="1" applyFill="1" applyBorder="1" applyAlignment="1">
      <alignment horizontal="right" vertical="center"/>
    </xf>
    <xf numFmtId="0" fontId="1" fillId="2" borderId="3" xfId="2" applyFont="1" applyFill="1" applyBorder="1" applyAlignment="1">
      <alignment vertical="center"/>
    </xf>
    <xf numFmtId="0" fontId="12" fillId="2" borderId="0" xfId="0" applyFont="1" applyFill="1" applyBorder="1" applyAlignment="1">
      <alignment horizontal="right" vertical="center"/>
    </xf>
    <xf numFmtId="0" fontId="1" fillId="2" borderId="0" xfId="2" applyFont="1" applyFill="1" applyBorder="1" applyAlignment="1">
      <alignment vertical="center"/>
    </xf>
    <xf numFmtId="0" fontId="3" fillId="2" borderId="0" xfId="0" applyFont="1" applyFill="1" applyBorder="1" applyAlignment="1">
      <alignment horizontal="left" vertical="center"/>
    </xf>
    <xf numFmtId="0" fontId="16" fillId="2" borderId="0" xfId="0" applyFont="1" applyFill="1" applyBorder="1" applyAlignment="1">
      <alignment horizontal="right" vertical="center"/>
    </xf>
    <xf numFmtId="0" fontId="19" fillId="2" borderId="0" xfId="2" applyFont="1" applyFill="1" applyBorder="1" applyAlignment="1">
      <alignment vertical="center"/>
    </xf>
    <xf numFmtId="0" fontId="17" fillId="2" borderId="0" xfId="2" applyFont="1" applyFill="1" applyBorder="1" applyAlignment="1">
      <alignment vertical="center"/>
    </xf>
    <xf numFmtId="0" fontId="8" fillId="2" borderId="0" xfId="2" applyFont="1" applyFill="1" applyBorder="1" applyAlignment="1">
      <alignment vertical="center"/>
    </xf>
    <xf numFmtId="0" fontId="7" fillId="2" borderId="4" xfId="2" applyFont="1" applyFill="1" applyBorder="1" applyAlignment="1" applyProtection="1">
      <alignment horizontal="left" vertical="top"/>
    </xf>
    <xf numFmtId="0" fontId="8" fillId="2" borderId="4" xfId="2" applyFont="1" applyFill="1" applyBorder="1" applyAlignment="1">
      <alignment vertical="center"/>
    </xf>
    <xf numFmtId="0" fontId="9" fillId="2" borderId="0" xfId="0" applyFont="1" applyFill="1" applyBorder="1" applyAlignment="1">
      <alignment horizontal="right" vertical="top"/>
    </xf>
    <xf numFmtId="0" fontId="14" fillId="2" borderId="0" xfId="2" applyFont="1" applyFill="1" applyBorder="1" applyAlignment="1">
      <alignment vertical="center"/>
    </xf>
    <xf numFmtId="43" fontId="14" fillId="2" borderId="0" xfId="2" applyNumberFormat="1" applyFont="1" applyFill="1" applyBorder="1" applyAlignment="1">
      <alignment vertical="center"/>
    </xf>
    <xf numFmtId="0" fontId="3" fillId="2" borderId="7" xfId="0" applyFont="1" applyFill="1" applyBorder="1" applyAlignment="1">
      <alignment horizontal="left" vertical="center" indent="1"/>
    </xf>
    <xf numFmtId="0" fontId="3" fillId="2" borderId="8" xfId="0" applyFont="1" applyFill="1" applyBorder="1" applyAlignment="1">
      <alignment horizontal="left" vertical="center" indent="1"/>
    </xf>
    <xf numFmtId="0" fontId="11" fillId="2" borderId="12" xfId="2" applyFont="1" applyFill="1" applyBorder="1" applyAlignment="1" applyProtection="1">
      <alignment horizontal="center" vertical="center"/>
    </xf>
    <xf numFmtId="0" fontId="11" fillId="2" borderId="13" xfId="2" applyFont="1" applyFill="1" applyBorder="1" applyAlignment="1" applyProtection="1">
      <alignment horizontal="center" vertical="center"/>
    </xf>
    <xf numFmtId="0" fontId="11" fillId="2" borderId="7" xfId="2" applyFont="1" applyFill="1" applyBorder="1" applyAlignment="1" applyProtection="1">
      <alignment horizontal="center" vertical="center"/>
    </xf>
    <xf numFmtId="0" fontId="13" fillId="2" borderId="12" xfId="2" applyFont="1" applyFill="1" applyBorder="1" applyAlignment="1">
      <alignment horizontal="center" vertical="center"/>
    </xf>
    <xf numFmtId="0" fontId="13" fillId="2" borderId="13" xfId="2" applyFont="1" applyFill="1" applyBorder="1" applyAlignment="1">
      <alignment horizontal="center" vertical="center"/>
    </xf>
    <xf numFmtId="0" fontId="13" fillId="2" borderId="7" xfId="2" applyFont="1" applyFill="1" applyBorder="1" applyAlignment="1">
      <alignment horizontal="center" vertical="center"/>
    </xf>
    <xf numFmtId="0" fontId="18" fillId="2" borderId="10" xfId="2" applyFont="1" applyFill="1" applyBorder="1" applyAlignment="1" applyProtection="1">
      <alignment horizontal="center" vertical="center"/>
    </xf>
    <xf numFmtId="0" fontId="18" fillId="2" borderId="14" xfId="2" applyFont="1" applyFill="1" applyBorder="1" applyAlignment="1" applyProtection="1">
      <alignment horizontal="center" vertical="center"/>
    </xf>
    <xf numFmtId="0" fontId="18" fillId="2" borderId="8" xfId="2" applyFont="1" applyFill="1" applyBorder="1" applyAlignment="1" applyProtection="1">
      <alignment horizontal="center" vertical="center"/>
    </xf>
  </cellXfs>
  <cellStyles count="5">
    <cellStyle name="Comma 2" xfId="1"/>
    <cellStyle name="Comma 4" xfId="3"/>
    <cellStyle name="Normal" xfId="0" builtinId="0"/>
    <cellStyle name="Normal 2" xfId="2"/>
    <cellStyle name="Normal 2 2" xfId="4"/>
  </cellStyles>
  <dxfs count="0"/>
  <tableStyles count="0" defaultTableStyle="TableStyleMedium2" defaultPivotStyle="PivotStyleLight16"/>
  <colors>
    <mruColors>
      <color rgb="FFC7F2F1"/>
      <color rgb="FFEAFAFA"/>
      <color rgb="FF33CCCC"/>
      <color rgb="FF249390"/>
      <color rgb="FFFF9933"/>
      <color rgb="FFFF9900"/>
      <color rgb="FF196563"/>
      <color rgb="FFF5EADF"/>
      <color rgb="FFDAB48E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4\Dissemination\Publications\Statistical%20Year%20Book\YEARBOOK%202017\RECEIVED\All%20in%20one%202015(150094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ohamed\Desktop\yearbook%202020%20=update\12.%20%20ELECTRICITY%20and%20%20WATER..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web\12.%20%20ELECTRICITY%20and%20%20WATER\12.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RECEIVED\12.%20%20%20WATER%20-%20MWS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>
            <v>0</v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>
            <v>0</v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>
            <v>0</v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>
            <v>0</v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>
            <v>0</v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>
            <v>0</v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>
            <v>0</v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>
            <v>0</v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>
            <v>0</v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>
            <v>0</v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>
            <v>0</v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>
            <v>0</v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>
            <v>0</v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>
            <v>0</v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>
            <v>0</v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>
            <v>0</v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>
            <v>0</v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>
            <v>0</v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>
            <v>0</v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>
            <v>0</v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>
            <v>0</v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>
            <v>0</v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>
            <v>0</v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>
            <v>0</v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>
            <v>0</v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>
            <v>0</v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>
            <v>0</v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>
            <v>0</v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>
            <v>0</v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>
            <v>0</v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>
            <v>0</v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1"/>
      <sheetName val="12.2"/>
      <sheetName val="12.3"/>
      <sheetName val="12.4"/>
      <sheetName val="12.5"/>
      <sheetName val="12.6"/>
      <sheetName val="12.7"/>
      <sheetName val="12.8"/>
      <sheetName val="12.9"/>
      <sheetName val="12.10"/>
      <sheetName val="12.11"/>
      <sheetName val="12.12"/>
      <sheetName val="12.13"/>
      <sheetName val="12.14"/>
    </sheetNames>
    <sheetDataSet>
      <sheetData sheetId="0">
        <row r="4">
          <cell r="B4">
            <v>2009</v>
          </cell>
        </row>
      </sheetData>
      <sheetData sheetId="1" refreshError="1"/>
      <sheetData sheetId="2" refreshError="1"/>
      <sheetData sheetId="3" refreshError="1"/>
      <sheetData sheetId="4">
        <row r="4">
          <cell r="D4" t="str">
            <v>Value (MVR)</v>
          </cell>
        </row>
        <row r="14"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5"/>
    </sheetNames>
    <sheetDataSet>
      <sheetData sheetId="0">
        <row r="14">
          <cell r="T14" t="str">
            <v>Total (Kwh)</v>
          </cell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  <row r="19">
          <cell r="S19" t="str">
            <v>Tertiary Hospital</v>
          </cell>
          <cell r="T19">
            <v>8390390</v>
          </cell>
          <cell r="U19">
            <v>35659157.5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8"/>
      <sheetName val="12.9"/>
      <sheetName val="12.10"/>
      <sheetName val="12.11"/>
      <sheetName val="12.12"/>
      <sheetName val="12.13"/>
      <sheetName val="12.14"/>
      <sheetName val="12.15"/>
      <sheetName val="12.16"/>
    </sheetNames>
    <sheetDataSet>
      <sheetData sheetId="0">
        <row r="7">
          <cell r="A7" t="str">
            <v>Residential</v>
          </cell>
          <cell r="K7">
            <v>4915.2939800000004</v>
          </cell>
        </row>
        <row r="8">
          <cell r="A8" t="str">
            <v>Institution</v>
          </cell>
          <cell r="K8">
            <v>616.09299999999996</v>
          </cell>
        </row>
        <row r="9">
          <cell r="A9" t="str">
            <v>Commercial</v>
          </cell>
          <cell r="K9">
            <v>767.10302000000001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Q45"/>
  <sheetViews>
    <sheetView tabSelected="1" zoomScaleNormal="100" workbookViewId="0">
      <selection activeCell="V43" sqref="V43"/>
    </sheetView>
  </sheetViews>
  <sheetFormatPr defaultColWidth="9.140625" defaultRowHeight="15" x14ac:dyDescent="0.25"/>
  <cols>
    <col min="1" max="1" width="18.7109375" style="5" customWidth="1"/>
    <col min="2" max="2" width="10.7109375" style="5" customWidth="1"/>
    <col min="3" max="14" width="11.140625" style="5" customWidth="1"/>
    <col min="15" max="15" width="13.7109375" style="5" customWidth="1"/>
    <col min="16" max="16" width="3.5703125" style="5" customWidth="1"/>
    <col min="17" max="16384" width="9.140625" style="5"/>
  </cols>
  <sheetData>
    <row r="1" spans="1:16" ht="21.75" x14ac:dyDescent="0.25">
      <c r="A1" s="43" t="s">
        <v>90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5"/>
    </row>
    <row r="2" spans="1:16" s="6" customFormat="1" ht="15.75" x14ac:dyDescent="0.25">
      <c r="A2" s="40" t="s">
        <v>91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2"/>
      <c r="P2" s="5"/>
    </row>
    <row r="3" spans="1:16" s="6" customFormat="1" ht="15.75" x14ac:dyDescent="0.25">
      <c r="A3" s="46" t="s">
        <v>89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8"/>
      <c r="P3" s="5"/>
    </row>
    <row r="4" spans="1:16" s="19" customFormat="1" ht="12.75" x14ac:dyDescent="0.25">
      <c r="A4" s="15" t="s">
        <v>3</v>
      </c>
      <c r="B4" s="16" t="s">
        <v>4</v>
      </c>
      <c r="C4" s="17" t="s">
        <v>5</v>
      </c>
      <c r="D4" s="17" t="s">
        <v>6</v>
      </c>
      <c r="E4" s="17" t="s">
        <v>7</v>
      </c>
      <c r="F4" s="17" t="s">
        <v>8</v>
      </c>
      <c r="G4" s="17" t="s">
        <v>9</v>
      </c>
      <c r="H4" s="17" t="s">
        <v>10</v>
      </c>
      <c r="I4" s="17" t="s">
        <v>11</v>
      </c>
      <c r="J4" s="17" t="s">
        <v>12</v>
      </c>
      <c r="K4" s="17" t="s">
        <v>13</v>
      </c>
      <c r="L4" s="17" t="s">
        <v>14</v>
      </c>
      <c r="M4" s="17" t="s">
        <v>15</v>
      </c>
      <c r="N4" s="17" t="s">
        <v>16</v>
      </c>
      <c r="O4" s="18"/>
    </row>
    <row r="5" spans="1:16" s="19" customFormat="1" ht="18" x14ac:dyDescent="0.25">
      <c r="A5" s="1" t="s">
        <v>4</v>
      </c>
      <c r="B5" s="7">
        <f>SUM(C5:N5)</f>
        <v>406.62559999999996</v>
      </c>
      <c r="C5" s="8">
        <f t="shared" ref="C5:N5" si="0">C6+C7+C8+C9</f>
        <v>33.3078</v>
      </c>
      <c r="D5" s="8">
        <f t="shared" si="0"/>
        <v>33.755199999999995</v>
      </c>
      <c r="E5" s="8">
        <f t="shared" si="0"/>
        <v>38.60915</v>
      </c>
      <c r="F5" s="8">
        <f t="shared" si="0"/>
        <v>32.626449999999998</v>
      </c>
      <c r="G5" s="8">
        <f t="shared" si="0"/>
        <v>31.481200000000001</v>
      </c>
      <c r="H5" s="8">
        <f t="shared" si="0"/>
        <v>33.713149999999999</v>
      </c>
      <c r="I5" s="8">
        <f t="shared" si="0"/>
        <v>32.006450000000001</v>
      </c>
      <c r="J5" s="8">
        <f t="shared" si="0"/>
        <v>34.512</v>
      </c>
      <c r="K5" s="8">
        <f t="shared" si="0"/>
        <v>32.278099999999995</v>
      </c>
      <c r="L5" s="8">
        <f t="shared" si="0"/>
        <v>35.6751</v>
      </c>
      <c r="M5" s="8">
        <f t="shared" si="0"/>
        <v>32.647100000000002</v>
      </c>
      <c r="N5" s="8">
        <f t="shared" si="0"/>
        <v>36.0139</v>
      </c>
      <c r="O5" s="20" t="s">
        <v>0</v>
      </c>
    </row>
    <row r="6" spans="1:16" s="22" customFormat="1" ht="21" x14ac:dyDescent="0.25">
      <c r="A6" s="38" t="s">
        <v>17</v>
      </c>
      <c r="B6" s="9">
        <f>SUM(C6:N6)</f>
        <v>257.04899999999998</v>
      </c>
      <c r="C6" s="13">
        <v>19.73</v>
      </c>
      <c r="D6" s="13">
        <v>20.835999999999999</v>
      </c>
      <c r="E6" s="13">
        <v>23.869</v>
      </c>
      <c r="F6" s="13">
        <v>18.882999999999999</v>
      </c>
      <c r="G6" s="13">
        <v>19.143000000000001</v>
      </c>
      <c r="H6" s="13">
        <v>22.021000000000001</v>
      </c>
      <c r="I6" s="13">
        <v>20.669</v>
      </c>
      <c r="J6" s="13">
        <v>22.143999999999998</v>
      </c>
      <c r="K6" s="13">
        <v>19.992999999999999</v>
      </c>
      <c r="L6" s="13">
        <v>23.510999999999999</v>
      </c>
      <c r="M6" s="13">
        <v>21.981000000000002</v>
      </c>
      <c r="N6" s="13">
        <v>24.268999999999998</v>
      </c>
      <c r="O6" s="21" t="s">
        <v>18</v>
      </c>
    </row>
    <row r="7" spans="1:16" s="22" customFormat="1" ht="21" x14ac:dyDescent="0.25">
      <c r="A7" s="38" t="s">
        <v>19</v>
      </c>
      <c r="B7" s="9">
        <f>SUM(C7:N7)</f>
        <v>13.574999999999999</v>
      </c>
      <c r="C7" s="13">
        <v>1.21</v>
      </c>
      <c r="D7" s="13">
        <v>1.2</v>
      </c>
      <c r="E7" s="13">
        <v>0.72499999999999998</v>
      </c>
      <c r="F7" s="13">
        <v>1.32</v>
      </c>
      <c r="G7" s="13">
        <v>1.2250000000000001</v>
      </c>
      <c r="H7" s="13">
        <v>1.34</v>
      </c>
      <c r="I7" s="13">
        <v>1.0249999999999999</v>
      </c>
      <c r="J7" s="13">
        <v>1.02</v>
      </c>
      <c r="K7" s="13">
        <v>1.2</v>
      </c>
      <c r="L7" s="13">
        <v>1.06</v>
      </c>
      <c r="M7" s="13">
        <v>1.04</v>
      </c>
      <c r="N7" s="13">
        <v>1.21</v>
      </c>
      <c r="O7" s="21" t="s">
        <v>20</v>
      </c>
    </row>
    <row r="8" spans="1:16" s="22" customFormat="1" ht="21" x14ac:dyDescent="0.25">
      <c r="A8" s="38" t="s">
        <v>21</v>
      </c>
      <c r="B8" s="9">
        <f>SUM(C8:N8)</f>
        <v>63.535999999999994</v>
      </c>
      <c r="C8" s="13">
        <v>5.8520000000000003</v>
      </c>
      <c r="D8" s="13">
        <v>5.2249999999999996</v>
      </c>
      <c r="E8" s="13">
        <v>6.8970000000000002</v>
      </c>
      <c r="F8" s="13">
        <v>5.8520000000000003</v>
      </c>
      <c r="G8" s="13">
        <v>5.2249999999999996</v>
      </c>
      <c r="H8" s="13">
        <v>4.5979999999999999</v>
      </c>
      <c r="I8" s="13">
        <v>5.016</v>
      </c>
      <c r="J8" s="13">
        <v>5.6429999999999998</v>
      </c>
      <c r="K8" s="13">
        <v>5.016</v>
      </c>
      <c r="L8" s="13">
        <v>5.4340000000000002</v>
      </c>
      <c r="M8" s="13">
        <v>4.18</v>
      </c>
      <c r="N8" s="13">
        <v>4.5979999999999999</v>
      </c>
      <c r="O8" s="21" t="s">
        <v>22</v>
      </c>
    </row>
    <row r="9" spans="1:16" s="11" customFormat="1" ht="21" x14ac:dyDescent="0.25">
      <c r="A9" s="1" t="s">
        <v>23</v>
      </c>
      <c r="B9" s="9">
        <f>SUM(B10:B41)</f>
        <v>72.465600000000009</v>
      </c>
      <c r="C9" s="8">
        <f>SUM(C10:C41)</f>
        <v>6.5157999999999978</v>
      </c>
      <c r="D9" s="8">
        <f t="shared" ref="D9:N9" si="1">SUM(D10:D41)</f>
        <v>6.4942000000000011</v>
      </c>
      <c r="E9" s="8">
        <f t="shared" si="1"/>
        <v>7.1181500000000009</v>
      </c>
      <c r="F9" s="8">
        <f t="shared" si="1"/>
        <v>6.5714499999999996</v>
      </c>
      <c r="G9" s="8">
        <f t="shared" si="1"/>
        <v>5.8881999999999985</v>
      </c>
      <c r="H9" s="8">
        <f t="shared" si="1"/>
        <v>5.7541499999999983</v>
      </c>
      <c r="I9" s="8">
        <f t="shared" si="1"/>
        <v>5.2964500000000001</v>
      </c>
      <c r="J9" s="8">
        <f t="shared" si="1"/>
        <v>5.7049999999999992</v>
      </c>
      <c r="K9" s="8">
        <f t="shared" si="1"/>
        <v>6.0690999999999997</v>
      </c>
      <c r="L9" s="8">
        <f t="shared" si="1"/>
        <v>5.6700999999999997</v>
      </c>
      <c r="M9" s="8">
        <f t="shared" si="1"/>
        <v>5.4460999999999995</v>
      </c>
      <c r="N9" s="8">
        <f t="shared" si="1"/>
        <v>5.9368999999999996</v>
      </c>
      <c r="O9" s="3" t="s">
        <v>24</v>
      </c>
    </row>
    <row r="10" spans="1:16" s="22" customFormat="1" ht="21" x14ac:dyDescent="0.25">
      <c r="A10" s="38" t="s">
        <v>25</v>
      </c>
      <c r="B10" s="9">
        <f>SUM(C10:N10)</f>
        <v>3.3370000000000002</v>
      </c>
      <c r="C10" s="13">
        <v>0.251</v>
      </c>
      <c r="D10" s="13">
        <v>0.309</v>
      </c>
      <c r="E10" s="13">
        <v>0.28499999999999998</v>
      </c>
      <c r="F10" s="13">
        <v>0.44600000000000001</v>
      </c>
      <c r="G10" s="13">
        <v>0.33400000000000002</v>
      </c>
      <c r="H10" s="13">
        <v>0.17599999999999999</v>
      </c>
      <c r="I10" s="13">
        <v>0.31900000000000001</v>
      </c>
      <c r="J10" s="13">
        <v>0.24299999999999999</v>
      </c>
      <c r="K10" s="13">
        <v>0.22</v>
      </c>
      <c r="L10" s="13">
        <v>0.29199999999999998</v>
      </c>
      <c r="M10" s="13">
        <v>0.2</v>
      </c>
      <c r="N10" s="13">
        <v>0.26200000000000001</v>
      </c>
      <c r="O10" s="21" t="s">
        <v>26</v>
      </c>
    </row>
    <row r="11" spans="1:16" s="22" customFormat="1" ht="21" x14ac:dyDescent="0.25">
      <c r="A11" s="38" t="s">
        <v>27</v>
      </c>
      <c r="B11" s="9">
        <f t="shared" ref="B11:B40" si="2">SUM(C11:N11)</f>
        <v>2.1240000000000001</v>
      </c>
      <c r="C11" s="13">
        <v>0.16400000000000001</v>
      </c>
      <c r="D11" s="13">
        <v>0.153</v>
      </c>
      <c r="E11" s="13">
        <v>0.219</v>
      </c>
      <c r="F11" s="13">
        <v>0.18099999999999999</v>
      </c>
      <c r="G11" s="13">
        <v>0.183</v>
      </c>
      <c r="H11" s="13">
        <v>0.21</v>
      </c>
      <c r="I11" s="13">
        <v>0.13</v>
      </c>
      <c r="J11" s="13">
        <v>0.20799999999999999</v>
      </c>
      <c r="K11" s="13">
        <v>0.16300000000000001</v>
      </c>
      <c r="L11" s="13">
        <v>0.158</v>
      </c>
      <c r="M11" s="13">
        <v>0.14299999999999999</v>
      </c>
      <c r="N11" s="13">
        <v>0.21199999999999999</v>
      </c>
      <c r="O11" s="21" t="s">
        <v>28</v>
      </c>
    </row>
    <row r="12" spans="1:16" s="22" customFormat="1" ht="21" x14ac:dyDescent="0.25">
      <c r="A12" s="38" t="s">
        <v>29</v>
      </c>
      <c r="B12" s="9">
        <f t="shared" si="2"/>
        <v>1.9110000000000003</v>
      </c>
      <c r="C12" s="13">
        <v>0.20200000000000001</v>
      </c>
      <c r="D12" s="13">
        <v>0.20699999999999999</v>
      </c>
      <c r="E12" s="13">
        <v>0.21099999999999999</v>
      </c>
      <c r="F12" s="13">
        <v>0.16900000000000001</v>
      </c>
      <c r="G12" s="13">
        <v>0.21</v>
      </c>
      <c r="H12" s="13">
        <v>0.122</v>
      </c>
      <c r="I12" s="13">
        <v>0.11</v>
      </c>
      <c r="J12" s="13">
        <v>0.16700000000000001</v>
      </c>
      <c r="K12" s="13">
        <v>0.115</v>
      </c>
      <c r="L12" s="13">
        <v>0.113</v>
      </c>
      <c r="M12" s="13">
        <v>0.11600000000000001</v>
      </c>
      <c r="N12" s="13">
        <v>0.16900000000000001</v>
      </c>
      <c r="O12" s="21" t="s">
        <v>30</v>
      </c>
    </row>
    <row r="13" spans="1:16" s="22" customFormat="1" ht="21" x14ac:dyDescent="0.25">
      <c r="A13" s="38" t="s">
        <v>31</v>
      </c>
      <c r="B13" s="9">
        <f t="shared" si="2"/>
        <v>2.4039999999999995</v>
      </c>
      <c r="C13" s="13">
        <v>0.28799999999999998</v>
      </c>
      <c r="D13" s="13">
        <v>0.20100000000000001</v>
      </c>
      <c r="E13" s="13">
        <v>0.373</v>
      </c>
      <c r="F13" s="13">
        <v>0.218</v>
      </c>
      <c r="G13" s="13">
        <v>0.188</v>
      </c>
      <c r="H13" s="13">
        <v>0.215</v>
      </c>
      <c r="I13" s="13">
        <v>6.5000000000000002E-2</v>
      </c>
      <c r="J13" s="13">
        <v>0.247</v>
      </c>
      <c r="K13" s="13">
        <v>0.20499999999999999</v>
      </c>
      <c r="L13" s="13">
        <v>0.16700000000000001</v>
      </c>
      <c r="M13" s="13">
        <v>8.2000000000000003E-2</v>
      </c>
      <c r="N13" s="13">
        <v>0.155</v>
      </c>
      <c r="O13" s="21" t="s">
        <v>32</v>
      </c>
    </row>
    <row r="14" spans="1:16" s="22" customFormat="1" ht="21" x14ac:dyDescent="0.25">
      <c r="A14" s="38" t="s">
        <v>33</v>
      </c>
      <c r="B14" s="9">
        <f t="shared" si="2"/>
        <v>3.7109999999999999</v>
      </c>
      <c r="C14" s="13">
        <v>0.317</v>
      </c>
      <c r="D14" s="13">
        <v>0.29299999999999998</v>
      </c>
      <c r="E14" s="13">
        <v>0.47099999999999997</v>
      </c>
      <c r="F14" s="13">
        <v>0.33300000000000002</v>
      </c>
      <c r="G14" s="13">
        <v>0.33600000000000002</v>
      </c>
      <c r="H14" s="13">
        <v>0.25800000000000001</v>
      </c>
      <c r="I14" s="13">
        <v>0.26500000000000001</v>
      </c>
      <c r="J14" s="13">
        <v>0.27700000000000002</v>
      </c>
      <c r="K14" s="13">
        <v>0.36399999999999999</v>
      </c>
      <c r="L14" s="13">
        <v>0.223</v>
      </c>
      <c r="M14" s="13">
        <v>0.29199999999999998</v>
      </c>
      <c r="N14" s="13">
        <v>0.28199999999999997</v>
      </c>
      <c r="O14" s="21" t="s">
        <v>34</v>
      </c>
    </row>
    <row r="15" spans="1:16" s="22" customFormat="1" ht="21" x14ac:dyDescent="0.25">
      <c r="A15" s="38" t="s">
        <v>35</v>
      </c>
      <c r="B15" s="9">
        <f t="shared" si="2"/>
        <v>5.0090000000000003</v>
      </c>
      <c r="C15" s="13">
        <v>0.33600000000000002</v>
      </c>
      <c r="D15" s="13">
        <v>0.439</v>
      </c>
      <c r="E15" s="13">
        <v>0.40899999999999997</v>
      </c>
      <c r="F15" s="13">
        <v>0.36399999999999999</v>
      </c>
      <c r="G15" s="13">
        <v>0.41</v>
      </c>
      <c r="H15" s="13">
        <v>0.36099999999999999</v>
      </c>
      <c r="I15" s="13">
        <v>0.45500000000000002</v>
      </c>
      <c r="J15" s="13">
        <v>0.311</v>
      </c>
      <c r="K15" s="13">
        <v>0.52700000000000002</v>
      </c>
      <c r="L15" s="13">
        <v>0.39700000000000002</v>
      </c>
      <c r="M15" s="13">
        <v>0.46600000000000003</v>
      </c>
      <c r="N15" s="13">
        <v>0.53400000000000003</v>
      </c>
      <c r="O15" s="21" t="s">
        <v>36</v>
      </c>
    </row>
    <row r="16" spans="1:16" s="22" customFormat="1" ht="21" x14ac:dyDescent="0.25">
      <c r="A16" s="38" t="s">
        <v>37</v>
      </c>
      <c r="B16" s="9">
        <f t="shared" si="2"/>
        <v>1.0685</v>
      </c>
      <c r="C16" s="13">
        <v>9.1499999999999998E-2</v>
      </c>
      <c r="D16" s="13">
        <v>0.13500000000000001</v>
      </c>
      <c r="E16" s="13">
        <v>0.106</v>
      </c>
      <c r="F16" s="13">
        <v>9.35E-2</v>
      </c>
      <c r="G16" s="13">
        <v>0.1885</v>
      </c>
      <c r="H16" s="13">
        <v>9.6000000000000002E-2</v>
      </c>
      <c r="I16" s="13">
        <v>9.0499999999999997E-2</v>
      </c>
      <c r="J16" s="13">
        <v>4.1500000000000002E-2</v>
      </c>
      <c r="K16" s="13">
        <v>4.65E-2</v>
      </c>
      <c r="L16" s="13">
        <v>8.8999999999999996E-2</v>
      </c>
      <c r="M16" s="13">
        <v>4.9500000000000002E-2</v>
      </c>
      <c r="N16" s="13">
        <v>4.1000000000000002E-2</v>
      </c>
      <c r="O16" s="10" t="s">
        <v>38</v>
      </c>
    </row>
    <row r="17" spans="1:15" s="22" customFormat="1" ht="21" x14ac:dyDescent="0.25">
      <c r="A17" s="38" t="s">
        <v>39</v>
      </c>
      <c r="B17" s="9">
        <f t="shared" si="2"/>
        <v>1.5160000000000002</v>
      </c>
      <c r="C17" s="13">
        <v>0.184</v>
      </c>
      <c r="D17" s="13">
        <v>0.111</v>
      </c>
      <c r="E17" s="13">
        <v>0.154</v>
      </c>
      <c r="F17" s="13">
        <v>0.113</v>
      </c>
      <c r="G17" s="13">
        <v>0.123</v>
      </c>
      <c r="H17" s="13">
        <v>0.108</v>
      </c>
      <c r="I17" s="13">
        <v>0.151</v>
      </c>
      <c r="J17" s="13">
        <v>0.11600000000000001</v>
      </c>
      <c r="K17" s="13">
        <v>0.106</v>
      </c>
      <c r="L17" s="13">
        <v>0.112</v>
      </c>
      <c r="M17" s="13">
        <v>0.156</v>
      </c>
      <c r="N17" s="13">
        <v>8.2000000000000003E-2</v>
      </c>
      <c r="O17" s="21" t="s">
        <v>40</v>
      </c>
    </row>
    <row r="18" spans="1:15" s="22" customFormat="1" ht="21" x14ac:dyDescent="0.25">
      <c r="A18" s="38" t="s">
        <v>41</v>
      </c>
      <c r="B18" s="9">
        <f t="shared" si="2"/>
        <v>11.702999999999999</v>
      </c>
      <c r="C18" s="13">
        <v>1.5069999999999999</v>
      </c>
      <c r="D18" s="13">
        <v>1.351</v>
      </c>
      <c r="E18" s="13">
        <v>1.357</v>
      </c>
      <c r="F18" s="13">
        <v>0.996</v>
      </c>
      <c r="G18" s="13">
        <v>0.78200000000000003</v>
      </c>
      <c r="H18" s="13">
        <v>0.76200000000000001</v>
      </c>
      <c r="I18" s="13">
        <v>0.747</v>
      </c>
      <c r="J18" s="13">
        <v>0.752</v>
      </c>
      <c r="K18" s="13">
        <v>0.74399999999999999</v>
      </c>
      <c r="L18" s="13">
        <v>0.97599999999999998</v>
      </c>
      <c r="M18" s="13">
        <v>0.79</v>
      </c>
      <c r="N18" s="13">
        <v>0.93899999999999995</v>
      </c>
      <c r="O18" s="21" t="s">
        <v>42</v>
      </c>
    </row>
    <row r="19" spans="1:15" s="22" customFormat="1" ht="21" x14ac:dyDescent="0.25">
      <c r="A19" s="38" t="s">
        <v>43</v>
      </c>
      <c r="B19" s="9">
        <f t="shared" si="2"/>
        <v>2.9050000000000002</v>
      </c>
      <c r="C19" s="13">
        <v>0.25800000000000001</v>
      </c>
      <c r="D19" s="13">
        <v>0.182</v>
      </c>
      <c r="E19" s="13">
        <v>0.3</v>
      </c>
      <c r="F19" s="13">
        <v>0.47099999999999997</v>
      </c>
      <c r="G19" s="13">
        <v>0.158</v>
      </c>
      <c r="H19" s="13">
        <v>0.28199999999999997</v>
      </c>
      <c r="I19" s="13">
        <v>0.19400000000000001</v>
      </c>
      <c r="J19" s="13">
        <v>0.16400000000000001</v>
      </c>
      <c r="K19" s="13">
        <v>0.32600000000000001</v>
      </c>
      <c r="L19" s="13">
        <v>0.115</v>
      </c>
      <c r="M19" s="13">
        <v>0.32800000000000001</v>
      </c>
      <c r="N19" s="13">
        <v>0.127</v>
      </c>
      <c r="O19" s="21" t="s">
        <v>44</v>
      </c>
    </row>
    <row r="20" spans="1:15" s="22" customFormat="1" ht="21" x14ac:dyDescent="0.25">
      <c r="A20" s="38" t="s">
        <v>45</v>
      </c>
      <c r="B20" s="9">
        <f t="shared" si="2"/>
        <v>2.5484999999999998</v>
      </c>
      <c r="C20" s="13">
        <v>0.127</v>
      </c>
      <c r="D20" s="13">
        <v>0.246</v>
      </c>
      <c r="E20" s="13">
        <v>0.2155</v>
      </c>
      <c r="F20" s="13">
        <v>0.252</v>
      </c>
      <c r="G20" s="13">
        <v>0.26</v>
      </c>
      <c r="H20" s="13">
        <v>0.21099999999999999</v>
      </c>
      <c r="I20" s="13">
        <v>0.21099999999999999</v>
      </c>
      <c r="J20" s="13">
        <v>0.17199999999999999</v>
      </c>
      <c r="K20" s="13">
        <v>0.20699999999999999</v>
      </c>
      <c r="L20" s="13">
        <v>0.32600000000000001</v>
      </c>
      <c r="M20" s="13">
        <v>0.13</v>
      </c>
      <c r="N20" s="13">
        <v>0.191</v>
      </c>
      <c r="O20" s="21" t="s">
        <v>46</v>
      </c>
    </row>
    <row r="21" spans="1:15" s="22" customFormat="1" ht="21" x14ac:dyDescent="0.25">
      <c r="A21" s="38" t="s">
        <v>47</v>
      </c>
      <c r="B21" s="9">
        <f t="shared" si="2"/>
        <v>1.5280999999999996</v>
      </c>
      <c r="C21" s="13">
        <v>0.17079999999999998</v>
      </c>
      <c r="D21" s="13">
        <v>0.1202</v>
      </c>
      <c r="E21" s="13">
        <v>0.15490000000000001</v>
      </c>
      <c r="F21" s="13">
        <v>0.1497</v>
      </c>
      <c r="G21" s="13">
        <v>0.11269999999999999</v>
      </c>
      <c r="H21" s="13">
        <v>0.12140000000000001</v>
      </c>
      <c r="I21" s="13">
        <v>0.13719999999999999</v>
      </c>
      <c r="J21" s="13">
        <v>8.2000000000000003E-2</v>
      </c>
      <c r="K21" s="13">
        <v>0.14809999999999995</v>
      </c>
      <c r="L21" s="13">
        <v>0.1171</v>
      </c>
      <c r="M21" s="13">
        <v>0.12409999999999999</v>
      </c>
      <c r="N21" s="13">
        <v>8.9899999999999966E-2</v>
      </c>
      <c r="O21" s="21" t="s">
        <v>48</v>
      </c>
    </row>
    <row r="22" spans="1:15" s="22" customFormat="1" ht="21" x14ac:dyDescent="0.25">
      <c r="A22" s="38" t="s">
        <v>49</v>
      </c>
      <c r="B22" s="9">
        <f t="shared" si="2"/>
        <v>0.91149999999999998</v>
      </c>
      <c r="C22" s="13">
        <v>7.3999999999999996E-2</v>
      </c>
      <c r="D22" s="13">
        <v>5.1999999999999998E-2</v>
      </c>
      <c r="E22" s="13">
        <v>8.3000000000000004E-2</v>
      </c>
      <c r="F22" s="13">
        <v>7.0999999999999994E-2</v>
      </c>
      <c r="G22" s="13">
        <v>8.0500000000000002E-2</v>
      </c>
      <c r="H22" s="13">
        <v>0.108</v>
      </c>
      <c r="I22" s="13">
        <v>5.7000000000000002E-2</v>
      </c>
      <c r="J22" s="13">
        <v>0.105</v>
      </c>
      <c r="K22" s="13">
        <v>8.7999999999999995E-2</v>
      </c>
      <c r="L22" s="13">
        <v>5.6000000000000001E-2</v>
      </c>
      <c r="M22" s="13">
        <v>7.5999999999999998E-2</v>
      </c>
      <c r="N22" s="13">
        <v>6.0999999999999999E-2</v>
      </c>
      <c r="O22" s="21" t="s">
        <v>50</v>
      </c>
    </row>
    <row r="23" spans="1:15" s="22" customFormat="1" ht="21" x14ac:dyDescent="0.25">
      <c r="A23" s="38" t="s">
        <v>51</v>
      </c>
      <c r="B23" s="9">
        <f t="shared" si="2"/>
        <v>1.173</v>
      </c>
      <c r="C23" s="13">
        <v>0.122</v>
      </c>
      <c r="D23" s="13">
        <v>0.12</v>
      </c>
      <c r="E23" s="13">
        <v>5.7000000000000002E-2</v>
      </c>
      <c r="F23" s="13">
        <v>0.122</v>
      </c>
      <c r="G23" s="13">
        <v>8.5999999999999993E-2</v>
      </c>
      <c r="H23" s="13">
        <v>0.1</v>
      </c>
      <c r="I23" s="13">
        <v>9.8000000000000004E-2</v>
      </c>
      <c r="J23" s="13">
        <v>0.10100000000000001</v>
      </c>
      <c r="K23" s="13">
        <v>6.2E-2</v>
      </c>
      <c r="L23" s="13">
        <v>0.11600000000000001</v>
      </c>
      <c r="M23" s="13">
        <v>0.105</v>
      </c>
      <c r="N23" s="13">
        <v>8.4000000000000005E-2</v>
      </c>
      <c r="O23" s="21" t="s">
        <v>52</v>
      </c>
    </row>
    <row r="24" spans="1:15" s="23" customFormat="1" ht="21" x14ac:dyDescent="0.25">
      <c r="A24" s="38" t="s">
        <v>53</v>
      </c>
      <c r="B24" s="9">
        <f t="shared" si="2"/>
        <v>0.99050000000000016</v>
      </c>
      <c r="C24" s="13">
        <v>0.08</v>
      </c>
      <c r="D24" s="13">
        <v>6.3E-2</v>
      </c>
      <c r="E24" s="13">
        <v>7.7499999999999999E-2</v>
      </c>
      <c r="F24" s="13">
        <v>8.5000000000000006E-2</v>
      </c>
      <c r="G24" s="13">
        <v>0.13650000000000001</v>
      </c>
      <c r="H24" s="13">
        <v>8.2500000000000004E-2</v>
      </c>
      <c r="I24" s="13">
        <v>5.6000000000000001E-2</v>
      </c>
      <c r="J24" s="13">
        <v>0.10299999999999999</v>
      </c>
      <c r="K24" s="13">
        <v>0.1055</v>
      </c>
      <c r="L24" s="13">
        <v>5.5500000000000001E-2</v>
      </c>
      <c r="M24" s="13">
        <v>8.4500000000000006E-2</v>
      </c>
      <c r="N24" s="13">
        <v>6.1499999999999999E-2</v>
      </c>
      <c r="O24" s="2" t="s">
        <v>54</v>
      </c>
    </row>
    <row r="25" spans="1:15" s="23" customFormat="1" ht="21" x14ac:dyDescent="0.25">
      <c r="A25" s="38" t="s">
        <v>55</v>
      </c>
      <c r="B25" s="9">
        <f t="shared" si="2"/>
        <v>1.9765000000000004</v>
      </c>
      <c r="C25" s="13">
        <v>0.13400000000000001</v>
      </c>
      <c r="D25" s="13">
        <v>8.5000000000000006E-2</v>
      </c>
      <c r="E25" s="13">
        <v>0.16250000000000001</v>
      </c>
      <c r="F25" s="13">
        <v>7.2999999999999995E-2</v>
      </c>
      <c r="G25" s="13">
        <v>9.9000000000000005E-2</v>
      </c>
      <c r="H25" s="13">
        <v>0.187</v>
      </c>
      <c r="I25" s="13">
        <v>0.17100000000000001</v>
      </c>
      <c r="J25" s="13">
        <v>0.186</v>
      </c>
      <c r="K25" s="13">
        <v>0.245</v>
      </c>
      <c r="L25" s="13">
        <v>0.221</v>
      </c>
      <c r="M25" s="13">
        <v>0.19500000000000001</v>
      </c>
      <c r="N25" s="13">
        <v>0.218</v>
      </c>
      <c r="O25" s="2" t="s">
        <v>56</v>
      </c>
    </row>
    <row r="26" spans="1:15" s="23" customFormat="1" ht="21" x14ac:dyDescent="0.25">
      <c r="A26" s="38" t="s">
        <v>57</v>
      </c>
      <c r="B26" s="9">
        <f t="shared" si="2"/>
        <v>2.5259999999999998</v>
      </c>
      <c r="C26" s="13">
        <v>0.17599999999999999</v>
      </c>
      <c r="D26" s="13">
        <v>0.245</v>
      </c>
      <c r="E26" s="13">
        <v>0.16500000000000001</v>
      </c>
      <c r="F26" s="13">
        <v>0.25700000000000001</v>
      </c>
      <c r="G26" s="13">
        <v>0.249</v>
      </c>
      <c r="H26" s="13">
        <v>0.26200000000000001</v>
      </c>
      <c r="I26" s="13">
        <v>0.14399999999999999</v>
      </c>
      <c r="J26" s="13">
        <v>0.23</v>
      </c>
      <c r="K26" s="13">
        <v>0.26200000000000001</v>
      </c>
      <c r="L26" s="13">
        <v>0.151</v>
      </c>
      <c r="M26" s="13">
        <v>0.13300000000000001</v>
      </c>
      <c r="N26" s="13">
        <v>0.252</v>
      </c>
      <c r="O26" s="2" t="s">
        <v>58</v>
      </c>
    </row>
    <row r="27" spans="1:15" s="23" customFormat="1" ht="21" x14ac:dyDescent="0.25">
      <c r="A27" s="38" t="s">
        <v>59</v>
      </c>
      <c r="B27" s="9">
        <f t="shared" si="2"/>
        <v>2.375</v>
      </c>
      <c r="C27" s="13">
        <v>0.255</v>
      </c>
      <c r="D27" s="13">
        <v>0.25</v>
      </c>
      <c r="E27" s="13">
        <v>0.23</v>
      </c>
      <c r="F27" s="13">
        <v>0.17</v>
      </c>
      <c r="G27" s="13">
        <v>0.2</v>
      </c>
      <c r="H27" s="13">
        <v>0.20499999999999999</v>
      </c>
      <c r="I27" s="13">
        <v>0.14499999999999999</v>
      </c>
      <c r="J27" s="13">
        <v>0.20499999999999999</v>
      </c>
      <c r="K27" s="13">
        <v>0.16</v>
      </c>
      <c r="L27" s="13">
        <v>0.22</v>
      </c>
      <c r="M27" s="13">
        <v>0.155</v>
      </c>
      <c r="N27" s="13">
        <v>0.18</v>
      </c>
      <c r="O27" s="2" t="s">
        <v>60</v>
      </c>
    </row>
    <row r="28" spans="1:15" s="23" customFormat="1" ht="21" x14ac:dyDescent="0.25">
      <c r="A28" s="38" t="s">
        <v>61</v>
      </c>
      <c r="B28" s="9">
        <f t="shared" si="2"/>
        <v>1.2589999999999999</v>
      </c>
      <c r="C28" s="13">
        <v>0.11</v>
      </c>
      <c r="D28" s="13">
        <v>7.0000000000000007E-2</v>
      </c>
      <c r="E28" s="13">
        <v>0.111</v>
      </c>
      <c r="F28" s="13">
        <v>0.105</v>
      </c>
      <c r="G28" s="13">
        <v>0.13300000000000001</v>
      </c>
      <c r="H28" s="13">
        <v>0.08</v>
      </c>
      <c r="I28" s="13">
        <v>0.105</v>
      </c>
      <c r="J28" s="13">
        <v>0.105</v>
      </c>
      <c r="K28" s="13">
        <v>8.5000000000000006E-2</v>
      </c>
      <c r="L28" s="13">
        <v>0.125</v>
      </c>
      <c r="M28" s="13">
        <v>0.1</v>
      </c>
      <c r="N28" s="13">
        <v>0.13</v>
      </c>
      <c r="O28" s="2" t="s">
        <v>62</v>
      </c>
    </row>
    <row r="29" spans="1:15" s="23" customFormat="1" ht="21" x14ac:dyDescent="0.25">
      <c r="A29" s="38" t="s">
        <v>65</v>
      </c>
      <c r="B29" s="9">
        <f t="shared" si="2"/>
        <v>1.349</v>
      </c>
      <c r="C29" s="13">
        <v>7.5999999999999998E-2</v>
      </c>
      <c r="D29" s="13">
        <v>0.156</v>
      </c>
      <c r="E29" s="13">
        <v>0.16300000000000001</v>
      </c>
      <c r="F29" s="13">
        <v>0.122</v>
      </c>
      <c r="G29" s="13">
        <v>7.0000000000000007E-2</v>
      </c>
      <c r="H29" s="13">
        <v>7.9000000000000001E-2</v>
      </c>
      <c r="I29" s="13">
        <v>7.4999999999999997E-2</v>
      </c>
      <c r="J29" s="13">
        <v>0.124</v>
      </c>
      <c r="K29" s="13">
        <v>0.09</v>
      </c>
      <c r="L29" s="13">
        <v>0.106</v>
      </c>
      <c r="M29" s="13">
        <v>0.125</v>
      </c>
      <c r="N29" s="13">
        <v>0.16300000000000001</v>
      </c>
      <c r="O29" s="2" t="s">
        <v>66</v>
      </c>
    </row>
    <row r="30" spans="1:15" s="23" customFormat="1" ht="21" x14ac:dyDescent="0.25">
      <c r="A30" s="38" t="s">
        <v>63</v>
      </c>
      <c r="B30" s="9">
        <f t="shared" si="2"/>
        <v>0.96150000000000002</v>
      </c>
      <c r="C30" s="13">
        <v>5.8999999999999997E-2</v>
      </c>
      <c r="D30" s="13">
        <v>0.08</v>
      </c>
      <c r="E30" s="13">
        <v>8.5999999999999993E-2</v>
      </c>
      <c r="F30" s="13">
        <v>0.124</v>
      </c>
      <c r="G30" s="13">
        <v>7.2999999999999995E-2</v>
      </c>
      <c r="H30" s="13">
        <v>7.5999999999999998E-2</v>
      </c>
      <c r="I30" s="13">
        <v>6.8000000000000005E-2</v>
      </c>
      <c r="J30" s="13">
        <v>6.8000000000000005E-2</v>
      </c>
      <c r="K30" s="13">
        <v>9.9000000000000005E-2</v>
      </c>
      <c r="L30" s="13">
        <v>7.0999999999999994E-2</v>
      </c>
      <c r="M30" s="13">
        <v>7.1999999999999995E-2</v>
      </c>
      <c r="N30" s="13">
        <v>8.5500000000000007E-2</v>
      </c>
      <c r="O30" s="2" t="s">
        <v>64</v>
      </c>
    </row>
    <row r="31" spans="1:15" s="23" customFormat="1" ht="21" x14ac:dyDescent="0.25">
      <c r="A31" s="38" t="s">
        <v>67</v>
      </c>
      <c r="B31" s="9">
        <f t="shared" si="2"/>
        <v>1.6679999999999999</v>
      </c>
      <c r="C31" s="13">
        <v>5.9499999999999997E-2</v>
      </c>
      <c r="D31" s="13">
        <v>0.1105</v>
      </c>
      <c r="E31" s="13">
        <v>0.16425000000000001</v>
      </c>
      <c r="F31" s="13">
        <v>0.16175</v>
      </c>
      <c r="G31" s="13">
        <v>6.9000000000000006E-2</v>
      </c>
      <c r="H31" s="13">
        <v>0.16875000000000001</v>
      </c>
      <c r="I31" s="13">
        <v>6.9250000000000006E-2</v>
      </c>
      <c r="J31" s="13">
        <v>0.22800000000000001</v>
      </c>
      <c r="K31" s="13">
        <v>0.21199999999999999</v>
      </c>
      <c r="L31" s="13">
        <v>0.11899999999999999</v>
      </c>
      <c r="M31" s="13">
        <v>0.14499999999999999</v>
      </c>
      <c r="N31" s="13">
        <v>0.161</v>
      </c>
      <c r="O31" s="2" t="s">
        <v>68</v>
      </c>
    </row>
    <row r="32" spans="1:15" s="25" customFormat="1" ht="21" x14ac:dyDescent="0.25">
      <c r="A32" s="38" t="s">
        <v>69</v>
      </c>
      <c r="B32" s="9">
        <f t="shared" si="2"/>
        <v>6.4480000000000004</v>
      </c>
      <c r="C32" s="13">
        <v>0.53400000000000003</v>
      </c>
      <c r="D32" s="13">
        <v>0.63500000000000001</v>
      </c>
      <c r="E32" s="13">
        <v>0.61799999999999999</v>
      </c>
      <c r="F32" s="13">
        <v>0.51400000000000001</v>
      </c>
      <c r="G32" s="13">
        <v>0.52800000000000002</v>
      </c>
      <c r="H32" s="13">
        <v>0.45500000000000002</v>
      </c>
      <c r="I32" s="13">
        <v>0.626</v>
      </c>
      <c r="J32" s="13">
        <v>0.51100000000000001</v>
      </c>
      <c r="K32" s="13">
        <v>0.63800000000000001</v>
      </c>
      <c r="L32" s="13">
        <v>0.42099999999999999</v>
      </c>
      <c r="M32" s="13">
        <v>0.55900000000000005</v>
      </c>
      <c r="N32" s="13">
        <v>0.40899999999999997</v>
      </c>
      <c r="O32" s="24" t="s">
        <v>70</v>
      </c>
    </row>
    <row r="33" spans="1:17" s="27" customFormat="1" ht="21" x14ac:dyDescent="0.25">
      <c r="A33" s="38" t="s">
        <v>71</v>
      </c>
      <c r="B33" s="9">
        <f t="shared" si="2"/>
        <v>1.2925000000000002</v>
      </c>
      <c r="C33" s="13">
        <v>0.153</v>
      </c>
      <c r="D33" s="13">
        <v>0.1215</v>
      </c>
      <c r="E33" s="13">
        <v>0.1215</v>
      </c>
      <c r="F33" s="13">
        <v>0.13850000000000001</v>
      </c>
      <c r="G33" s="13">
        <v>0.112</v>
      </c>
      <c r="H33" s="13">
        <v>8.5000000000000006E-2</v>
      </c>
      <c r="I33" s="13">
        <v>0.122</v>
      </c>
      <c r="J33" s="13">
        <v>0.1285</v>
      </c>
      <c r="K33" s="13">
        <v>8.2000000000000003E-2</v>
      </c>
      <c r="L33" s="13">
        <v>0.12</v>
      </c>
      <c r="M33" s="13">
        <v>4.1500000000000002E-2</v>
      </c>
      <c r="N33" s="13">
        <v>6.7000000000000004E-2</v>
      </c>
      <c r="O33" s="26" t="s">
        <v>72</v>
      </c>
    </row>
    <row r="34" spans="1:17" s="27" customFormat="1" ht="21" x14ac:dyDescent="0.25">
      <c r="A34" s="38" t="s">
        <v>73</v>
      </c>
      <c r="B34" s="9">
        <f t="shared" si="2"/>
        <v>0.42599999999999999</v>
      </c>
      <c r="C34" s="13">
        <v>1.4999999999999999E-2</v>
      </c>
      <c r="D34" s="13">
        <v>3.2000000000000001E-2</v>
      </c>
      <c r="E34" s="13">
        <v>3.2000000000000001E-2</v>
      </c>
      <c r="F34" s="13">
        <v>0.05</v>
      </c>
      <c r="G34" s="13">
        <v>3.5999999999999997E-2</v>
      </c>
      <c r="H34" s="13">
        <v>3.5999999999999997E-2</v>
      </c>
      <c r="I34" s="13">
        <v>0</v>
      </c>
      <c r="J34" s="13">
        <v>3.6999999999999998E-2</v>
      </c>
      <c r="K34" s="13">
        <v>5.6000000000000001E-2</v>
      </c>
      <c r="L34" s="13">
        <v>3.6999999999999998E-2</v>
      </c>
      <c r="M34" s="13">
        <v>5.8000000000000003E-2</v>
      </c>
      <c r="N34" s="13">
        <v>3.6999999999999998E-2</v>
      </c>
      <c r="O34" s="26" t="s">
        <v>74</v>
      </c>
    </row>
    <row r="35" spans="1:17" s="27" customFormat="1" ht="21" x14ac:dyDescent="0.25">
      <c r="A35" s="38" t="s">
        <v>75</v>
      </c>
      <c r="B35" s="9">
        <f t="shared" si="2"/>
        <v>1.2819999999999998</v>
      </c>
      <c r="C35" s="13">
        <v>0.09</v>
      </c>
      <c r="D35" s="13">
        <v>8.7999999999999995E-2</v>
      </c>
      <c r="E35" s="13">
        <v>8.8999999999999996E-2</v>
      </c>
      <c r="F35" s="13">
        <v>5.8999999999999997E-2</v>
      </c>
      <c r="G35" s="13">
        <v>0.154</v>
      </c>
      <c r="H35" s="13">
        <v>0.10299999999999999</v>
      </c>
      <c r="I35" s="13">
        <v>9.0999999999999998E-2</v>
      </c>
      <c r="J35" s="13">
        <v>9.8000000000000004E-2</v>
      </c>
      <c r="K35" s="13">
        <v>0.122</v>
      </c>
      <c r="L35" s="13">
        <v>0.128</v>
      </c>
      <c r="M35" s="13">
        <v>0.11700000000000001</v>
      </c>
      <c r="N35" s="13">
        <v>0.14299999999999999</v>
      </c>
      <c r="O35" s="2" t="s">
        <v>76</v>
      </c>
      <c r="P35" s="28"/>
      <c r="Q35" s="28"/>
    </row>
    <row r="36" spans="1:17" s="27" customFormat="1" ht="21" x14ac:dyDescent="0.25">
      <c r="A36" s="38" t="s">
        <v>77</v>
      </c>
      <c r="B36" s="9">
        <f t="shared" si="2"/>
        <v>1.9690000000000003</v>
      </c>
      <c r="C36" s="13">
        <v>0.14000000000000001</v>
      </c>
      <c r="D36" s="13">
        <v>0.158</v>
      </c>
      <c r="E36" s="13">
        <v>0.14899999999999999</v>
      </c>
      <c r="F36" s="13">
        <v>0.23699999999999999</v>
      </c>
      <c r="G36" s="13">
        <v>0.11600000000000001</v>
      </c>
      <c r="H36" s="13">
        <v>0.23300000000000001</v>
      </c>
      <c r="I36" s="13">
        <v>0.129</v>
      </c>
      <c r="J36" s="13">
        <v>0.22600000000000001</v>
      </c>
      <c r="K36" s="13">
        <v>0.13</v>
      </c>
      <c r="L36" s="13">
        <v>0.12</v>
      </c>
      <c r="M36" s="13">
        <v>0.16400000000000001</v>
      </c>
      <c r="N36" s="13">
        <v>0.16700000000000001</v>
      </c>
      <c r="O36" s="2" t="s">
        <v>78</v>
      </c>
      <c r="P36" s="28"/>
      <c r="Q36" s="28"/>
    </row>
    <row r="37" spans="1:17" s="27" customFormat="1" ht="21" x14ac:dyDescent="0.25">
      <c r="A37" s="38" t="s">
        <v>79</v>
      </c>
      <c r="B37" s="9">
        <f t="shared" si="2"/>
        <v>1.1660000000000001</v>
      </c>
      <c r="C37" s="13">
        <v>0.111</v>
      </c>
      <c r="D37" s="13">
        <v>7.4999999999999997E-2</v>
      </c>
      <c r="E37" s="13">
        <v>0.11600000000000001</v>
      </c>
      <c r="F37" s="13">
        <v>7.6499999999999999E-2</v>
      </c>
      <c r="G37" s="13">
        <v>0.11</v>
      </c>
      <c r="H37" s="13">
        <v>7.5999999999999998E-2</v>
      </c>
      <c r="I37" s="13">
        <v>0.11550000000000001</v>
      </c>
      <c r="J37" s="13">
        <v>0.111</v>
      </c>
      <c r="K37" s="13">
        <v>7.4999999999999997E-2</v>
      </c>
      <c r="L37" s="13">
        <v>0.115</v>
      </c>
      <c r="M37" s="13">
        <v>7.4999999999999997E-2</v>
      </c>
      <c r="N37" s="13">
        <v>0.11</v>
      </c>
      <c r="O37" s="26" t="s">
        <v>80</v>
      </c>
    </row>
    <row r="38" spans="1:17" s="27" customFormat="1" ht="21" x14ac:dyDescent="0.25">
      <c r="A38" s="38" t="s">
        <v>81</v>
      </c>
      <c r="B38" s="9">
        <f t="shared" si="2"/>
        <v>1.1740000000000002</v>
      </c>
      <c r="C38" s="13">
        <v>0.10100000000000001</v>
      </c>
      <c r="D38" s="13">
        <v>9.7000000000000003E-2</v>
      </c>
      <c r="E38" s="13">
        <v>9.2999999999999999E-2</v>
      </c>
      <c r="F38" s="13">
        <v>0.11849999999999999</v>
      </c>
      <c r="G38" s="13">
        <v>0.128</v>
      </c>
      <c r="H38" s="13">
        <v>0.11650000000000001</v>
      </c>
      <c r="I38" s="13">
        <v>8.5000000000000006E-2</v>
      </c>
      <c r="J38" s="13">
        <v>0.09</v>
      </c>
      <c r="K38" s="13">
        <v>0.104</v>
      </c>
      <c r="L38" s="13">
        <v>6.8500000000000005E-2</v>
      </c>
      <c r="M38" s="13">
        <v>5.5500000000000001E-2</v>
      </c>
      <c r="N38" s="13">
        <v>0.11700000000000001</v>
      </c>
      <c r="O38" s="26" t="s">
        <v>82</v>
      </c>
    </row>
    <row r="39" spans="1:17" s="30" customFormat="1" ht="21" x14ac:dyDescent="0.25">
      <c r="A39" s="38" t="s">
        <v>83</v>
      </c>
      <c r="B39" s="9">
        <f t="shared" si="2"/>
        <v>1.1679999999999997</v>
      </c>
      <c r="C39" s="13">
        <v>0.126</v>
      </c>
      <c r="D39" s="13">
        <v>0.108</v>
      </c>
      <c r="E39" s="13">
        <v>0.112</v>
      </c>
      <c r="F39" s="13">
        <v>0.09</v>
      </c>
      <c r="G39" s="13">
        <v>3.5999999999999997E-2</v>
      </c>
      <c r="H39" s="13">
        <v>0.128</v>
      </c>
      <c r="I39" s="13">
        <v>7.1999999999999995E-2</v>
      </c>
      <c r="J39" s="13">
        <v>7.3999999999999996E-2</v>
      </c>
      <c r="K39" s="13">
        <v>7.3999999999999996E-2</v>
      </c>
      <c r="L39" s="13">
        <v>9.1999999999999998E-2</v>
      </c>
      <c r="M39" s="13">
        <v>7.1999999999999995E-2</v>
      </c>
      <c r="N39" s="13">
        <v>0.184</v>
      </c>
      <c r="O39" s="29" t="s">
        <v>84</v>
      </c>
    </row>
    <row r="40" spans="1:17" s="31" customFormat="1" ht="21" x14ac:dyDescent="0.25">
      <c r="A40" s="38" t="s">
        <v>85</v>
      </c>
      <c r="B40" s="9">
        <f t="shared" si="2"/>
        <v>2.2570000000000001</v>
      </c>
      <c r="C40" s="13">
        <v>0.17199999999999999</v>
      </c>
      <c r="D40" s="13">
        <v>0.17799999999999999</v>
      </c>
      <c r="E40" s="13">
        <v>0.20599999999999999</v>
      </c>
      <c r="F40" s="13">
        <v>0.17199999999999999</v>
      </c>
      <c r="G40" s="13">
        <v>0.16400000000000001</v>
      </c>
      <c r="H40" s="13">
        <v>0.217</v>
      </c>
      <c r="I40" s="13">
        <v>0.17100000000000001</v>
      </c>
      <c r="J40" s="13">
        <v>0.17</v>
      </c>
      <c r="K40" s="13">
        <v>0.187</v>
      </c>
      <c r="L40" s="13">
        <v>0.22</v>
      </c>
      <c r="M40" s="13">
        <v>0.2</v>
      </c>
      <c r="N40" s="13">
        <v>0.2</v>
      </c>
      <c r="O40" s="29" t="s">
        <v>86</v>
      </c>
      <c r="P40" s="30"/>
    </row>
    <row r="41" spans="1:17" s="32" customFormat="1" ht="21" x14ac:dyDescent="0.25">
      <c r="A41" s="39" t="s">
        <v>87</v>
      </c>
      <c r="B41" s="12">
        <f>SUM(C41:N41)</f>
        <v>0.32799999999999996</v>
      </c>
      <c r="C41" s="14">
        <v>3.2000000000000001E-2</v>
      </c>
      <c r="D41" s="14">
        <v>2.3E-2</v>
      </c>
      <c r="E41" s="14">
        <v>2.7E-2</v>
      </c>
      <c r="F41" s="14">
        <v>3.9E-2</v>
      </c>
      <c r="G41" s="14">
        <v>2.3E-2</v>
      </c>
      <c r="H41" s="14">
        <v>3.4000000000000002E-2</v>
      </c>
      <c r="I41" s="14">
        <v>2.1999999999999999E-2</v>
      </c>
      <c r="J41" s="14">
        <v>2.4E-2</v>
      </c>
      <c r="K41" s="14">
        <v>2.1000000000000001E-2</v>
      </c>
      <c r="L41" s="14">
        <v>2.3E-2</v>
      </c>
      <c r="M41" s="14">
        <v>3.6999999999999998E-2</v>
      </c>
      <c r="N41" s="14">
        <v>2.3E-2</v>
      </c>
      <c r="O41" s="4" t="s">
        <v>88</v>
      </c>
    </row>
    <row r="42" spans="1:17" x14ac:dyDescent="0.25">
      <c r="A42" s="33" t="s">
        <v>1</v>
      </c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5" t="s">
        <v>2</v>
      </c>
    </row>
    <row r="43" spans="1:17" s="36" customFormat="1" x14ac:dyDescent="0.25"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</row>
    <row r="44" spans="1:17" s="36" customFormat="1" x14ac:dyDescent="0.25"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</row>
    <row r="45" spans="1:17" s="36" customFormat="1" x14ac:dyDescent="0.25"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</row>
  </sheetData>
  <mergeCells count="3">
    <mergeCell ref="A1:O1"/>
    <mergeCell ref="A2:O2"/>
    <mergeCell ref="A3:O3"/>
  </mergeCells>
  <pageMargins left="0.7" right="0.7" top="0.75" bottom="0.75" header="0.3" footer="0.3"/>
  <pageSetup paperSize="9" scale="48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12.4</vt:lpstr>
      <vt:lpstr>'12.4'!Print_Area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2021-08-22T03:53:34Z</cp:lastPrinted>
  <dcterms:created xsi:type="dcterms:W3CDTF">2019-05-21T05:57:01Z</dcterms:created>
  <dcterms:modified xsi:type="dcterms:W3CDTF">2021-08-22T03:54:00Z</dcterms:modified>
</cp:coreProperties>
</file>