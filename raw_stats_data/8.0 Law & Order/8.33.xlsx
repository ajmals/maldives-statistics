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3" sheetId="70" r:id="rId1"/>
  </sheets>
  <definedNames>
    <definedName name="_xlnm.Print_Area" localSheetId="0">'8.33'!$A$1:$M$63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0" i="70" l="1"/>
  <c r="K13" i="70"/>
  <c r="AS9" i="70" s="1"/>
  <c r="J13" i="70"/>
  <c r="I13" i="70"/>
  <c r="H13" i="70"/>
  <c r="G13" i="70"/>
  <c r="F13" i="70"/>
  <c r="AR9" i="70" s="1"/>
  <c r="E13" i="70"/>
  <c r="AL9" i="70" s="1"/>
  <c r="D13" i="70"/>
  <c r="C13" i="70"/>
  <c r="B13" i="70"/>
  <c r="AL32" i="70"/>
  <c r="AK32" i="70"/>
  <c r="K7" i="70"/>
  <c r="AS8" i="70" s="1"/>
  <c r="J7" i="70"/>
  <c r="I7" i="70"/>
  <c r="H7" i="70"/>
  <c r="G7" i="70"/>
  <c r="F7" i="70"/>
  <c r="AR8" i="70" s="1"/>
  <c r="E7" i="70"/>
  <c r="AL8" i="70" s="1"/>
  <c r="D7" i="70"/>
  <c r="C7" i="70"/>
  <c r="B7" i="70"/>
  <c r="AK31" i="70"/>
  <c r="G6" i="70" l="1"/>
  <c r="D6" i="70"/>
  <c r="B6" i="70"/>
  <c r="H6" i="70"/>
  <c r="C6" i="70"/>
  <c r="K6" i="70"/>
  <c r="AS7" i="70" s="1"/>
  <c r="AM8" i="70"/>
  <c r="AN25" i="70"/>
  <c r="E6" i="70"/>
  <c r="AL7" i="70" s="1"/>
  <c r="F6" i="70"/>
  <c r="AR7" i="70" s="1"/>
  <c r="J6" i="70"/>
  <c r="AM9" i="70"/>
  <c r="AN26" i="70"/>
  <c r="AL30" i="70"/>
  <c r="I6" i="70"/>
  <c r="AL31" i="70"/>
  <c r="AN24" i="70" l="1"/>
  <c r="AM7" i="70"/>
</calcChain>
</file>

<file path=xl/sharedStrings.xml><?xml version="1.0" encoding="utf-8"?>
<sst xmlns="http://schemas.openxmlformats.org/spreadsheetml/2006/main" count="111" uniqueCount="76">
  <si>
    <t>މާލެ</t>
  </si>
  <si>
    <t>Republic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</si>
  <si>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</si>
  <si>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</si>
  <si>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</si>
  <si>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</si>
  <si>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</si>
  <si>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</si>
  <si>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</si>
  <si>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</si>
  <si>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</si>
  <si>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</si>
  <si>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</si>
  <si>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</si>
  <si>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</si>
  <si>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</si>
  <si>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</si>
  <si>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</si>
  <si>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</si>
  <si>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</si>
  <si>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</si>
  <si>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</si>
  <si>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</si>
  <si>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ޖުމްލަ</t>
  </si>
  <si>
    <t>Drug court</t>
  </si>
  <si>
    <t>Juvenile court</t>
  </si>
  <si>
    <t>Family court</t>
  </si>
  <si>
    <t>Criminal court</t>
  </si>
  <si>
    <t>Civil court</t>
  </si>
  <si>
    <t>Source: Department of Judicial Administration</t>
  </si>
  <si>
    <t>cnwxErcTcsinimcDea clwxiDuj cfoa cTcnwmcTWpiD : utWmUluAwm</t>
  </si>
  <si>
    <t xml:space="preserve">Civil Cases </t>
  </si>
  <si>
    <t>HulhuMale' Court</t>
  </si>
  <si>
    <t xml:space="preserve">Criminal Cases </t>
  </si>
  <si>
    <t>Family Cases</t>
  </si>
  <si>
    <t>އަތޮޅޮތައް</t>
  </si>
  <si>
    <t>Marriage</t>
  </si>
  <si>
    <t>Divorce</t>
  </si>
  <si>
    <t>އާއިލީ މައްސަލަ</t>
  </si>
  <si>
    <t>ކައިވެނި</t>
  </si>
  <si>
    <t>ވަރި</t>
  </si>
  <si>
    <t>ޖިނާއީ މައްސަލަ</t>
  </si>
  <si>
    <t>މަދަނީ މައްސަލަ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</si>
  <si>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</si>
  <si>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</si>
  <si>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</si>
  <si>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</si>
  <si>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</si>
  <si>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>ފެމިލީކޯޓް</t>
  </si>
  <si>
    <t xml:space="preserve"> Atolls</t>
  </si>
  <si>
    <t>ކްރިމިނަލްކޯޓް</t>
  </si>
  <si>
    <t>ސިވިލް ކޯޓް</t>
  </si>
  <si>
    <t>ޑްރަގް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</si>
  <si>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</si>
  <si>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</si>
  <si>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</si>
  <si>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</si>
  <si>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</si>
  <si>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</si>
  <si>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</si>
  <si>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</si>
  <si>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</si>
  <si>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</si>
  <si>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</si>
  <si>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</si>
  <si>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</si>
  <si>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</si>
  <si>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</si>
  <si>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</si>
  <si>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</si>
  <si>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</si>
  <si>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</si>
  <si>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</si>
  <si>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</si>
  <si>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 xml:space="preserve">ތާވަލް 8.33: މާލެއާއި ރަށްރަށުގެ ކޯޓުތަކަށް ހުށައެޅިފައިވާ މައްސަލަތައް، 2019 -2020 </t>
  </si>
  <si>
    <t>Table 8.33: SUMMARY OF ALL NEW CASES FILED IN COURTS IN MALE' AND ATOLLS, 2019 - 2020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</si>
</sst>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sz val="4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9" fillId="0" borderId="2" applyNumberFormat="0" applyFill="0" applyAlignment="0" applyProtection="0"/>
    <xf numFmtId="0" fontId="8" fillId="0" borderId="0"/>
    <xf numFmtId="0" fontId="8" fillId="0" borderId="0"/>
  </cellStyleXfs>
  <cellXfs count="43">
    <xf numFmtId="0" fontId="0" fillId="0" borderId="0" xfId="0"/>
    <xf numFmtId="3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top"/>
    </xf>
    <xf numFmtId="164" fontId="3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right" vertical="center" wrapText="1"/>
    </xf>
    <xf numFmtId="3" fontId="3" fillId="2" borderId="1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12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horizontal="right" vertical="center" indent="2"/>
    </xf>
    <xf numFmtId="164" fontId="11" fillId="2" borderId="1" xfId="0" applyNumberFormat="1" applyFont="1" applyFill="1" applyBorder="1" applyAlignment="1">
      <alignment horizontal="right" vertical="center" indent="2"/>
    </xf>
    <xf numFmtId="3" fontId="3" fillId="2" borderId="0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 applyProtection="1">
      <alignment horizontal="left" vertical="center" indent="1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 applyProtection="1">
      <alignment horizontal="left" vertical="center" indent="2"/>
    </xf>
    <xf numFmtId="164" fontId="11" fillId="2" borderId="0" xfId="0" applyNumberFormat="1" applyFont="1" applyFill="1" applyBorder="1" applyAlignment="1">
      <alignment horizontal="right" vertical="center" indent="1"/>
    </xf>
    <xf numFmtId="164" fontId="7" fillId="2" borderId="0" xfId="0" applyNumberFormat="1" applyFont="1" applyFill="1" applyBorder="1" applyAlignment="1" applyProtection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left" vertical="center" indent="2"/>
    </xf>
    <xf numFmtId="164" fontId="3" fillId="2" borderId="0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 applyProtection="1">
      <alignment horizontal="center" vertical="top" wrapText="1"/>
    </xf>
    <xf numFmtId="164" fontId="2" fillId="2" borderId="3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 applyAlignment="1">
      <alignment horizontal="right" vertical="center" wrapText="1"/>
    </xf>
    <xf numFmtId="164" fontId="10" fillId="2" borderId="5" xfId="0" applyNumberFormat="1" applyFont="1" applyFill="1" applyBorder="1" applyAlignment="1">
      <alignment horizontal="right" vertical="center"/>
    </xf>
    <xf numFmtId="3" fontId="2" fillId="2" borderId="4" xfId="1" applyNumberFormat="1" applyFont="1" applyFill="1" applyBorder="1" applyAlignment="1">
      <alignment horizontal="right" vertical="center"/>
    </xf>
    <xf numFmtId="3" fontId="3" fillId="2" borderId="4" xfId="1" applyNumberFormat="1" applyFont="1" applyFill="1" applyBorder="1" applyAlignment="1">
      <alignment horizontal="right" vertical="center"/>
    </xf>
    <xf numFmtId="3" fontId="3" fillId="2" borderId="5" xfId="1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+mj-lt"/>
              </a:defRPr>
            </a:pPr>
            <a:r>
              <a:rPr lang="en-US" sz="1000" b="1">
                <a:latin typeface="+mj-lt"/>
              </a:rPr>
              <a:t>Figure 8.36:  Number</a:t>
            </a:r>
            <a:r>
              <a:rPr lang="en-US" sz="1000" b="1" baseline="0">
                <a:latin typeface="+mj-lt"/>
              </a:rPr>
              <a:t> of </a:t>
            </a:r>
            <a:r>
              <a:rPr lang="en-US" sz="1000" b="1">
                <a:latin typeface="+mj-lt"/>
              </a:rPr>
              <a:t>New cases filed at majistrate courts in islands, 2020</a:t>
            </a:r>
          </a:p>
        </c:rich>
      </c:tx>
      <c:layout>
        <c:manualLayout>
          <c:xMode val="edge"/>
          <c:yMode val="edge"/>
          <c:x val="0.16703900186622567"/>
          <c:y val="1.94063870478451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60247732143857"/>
          <c:y val="0.12385425780110819"/>
          <c:w val="0.87821752550877497"/>
          <c:h val="0.541086069235075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'8.33'!$G$4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'8.33'!$A$14:$A$34</c:f>
              <c:strCache>
                <c:ptCount val="21"/>
                <c:pt idx="0">
                  <c:v>HulhuMale' Court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'8.33'!$G$14:$G$34</c:f>
              <c:numCache>
                <c:formatCode>#,##0</c:formatCode>
                <c:ptCount val="21"/>
                <c:pt idx="0">
                  <c:v>138</c:v>
                </c:pt>
                <c:pt idx="1">
                  <c:v>48</c:v>
                </c:pt>
                <c:pt idx="2">
                  <c:v>137</c:v>
                </c:pt>
                <c:pt idx="3">
                  <c:v>33</c:v>
                </c:pt>
                <c:pt idx="4">
                  <c:v>45</c:v>
                </c:pt>
                <c:pt idx="5">
                  <c:v>83</c:v>
                </c:pt>
                <c:pt idx="6">
                  <c:v>37</c:v>
                </c:pt>
                <c:pt idx="7">
                  <c:v>79</c:v>
                </c:pt>
                <c:pt idx="8">
                  <c:v>183</c:v>
                </c:pt>
                <c:pt idx="9">
                  <c:v>20</c:v>
                </c:pt>
                <c:pt idx="10">
                  <c:v>28</c:v>
                </c:pt>
                <c:pt idx="11">
                  <c:v>6</c:v>
                </c:pt>
                <c:pt idx="12">
                  <c:v>7</c:v>
                </c:pt>
                <c:pt idx="13">
                  <c:v>5</c:v>
                </c:pt>
                <c:pt idx="14">
                  <c:v>20</c:v>
                </c:pt>
                <c:pt idx="15">
                  <c:v>77</c:v>
                </c:pt>
                <c:pt idx="16">
                  <c:v>88</c:v>
                </c:pt>
                <c:pt idx="17">
                  <c:v>92</c:v>
                </c:pt>
                <c:pt idx="18">
                  <c:v>114</c:v>
                </c:pt>
                <c:pt idx="19">
                  <c:v>162</c:v>
                </c:pt>
                <c:pt idx="20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4-41E5-A013-6B7013B2B8D4}"/>
            </c:ext>
          </c:extLst>
        </c:ser>
        <c:ser>
          <c:idx val="1"/>
          <c:order val="1"/>
          <c:tx>
            <c:strRef>
              <c:f>'8.33'!$H$4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'8.33'!$A$14:$A$34</c:f>
              <c:strCache>
                <c:ptCount val="21"/>
                <c:pt idx="0">
                  <c:v>HulhuMale' Court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'8.33'!$H$14:$H$34</c:f>
              <c:numCache>
                <c:formatCode>#,##0</c:formatCode>
                <c:ptCount val="21"/>
                <c:pt idx="0">
                  <c:v>0</c:v>
                </c:pt>
                <c:pt idx="1">
                  <c:v>65</c:v>
                </c:pt>
                <c:pt idx="2">
                  <c:v>110</c:v>
                </c:pt>
                <c:pt idx="3">
                  <c:v>44</c:v>
                </c:pt>
                <c:pt idx="4">
                  <c:v>61</c:v>
                </c:pt>
                <c:pt idx="5">
                  <c:v>139</c:v>
                </c:pt>
                <c:pt idx="6">
                  <c:v>71</c:v>
                </c:pt>
                <c:pt idx="7">
                  <c:v>93</c:v>
                </c:pt>
                <c:pt idx="8">
                  <c:v>96</c:v>
                </c:pt>
                <c:pt idx="9">
                  <c:v>74</c:v>
                </c:pt>
                <c:pt idx="10">
                  <c:v>44</c:v>
                </c:pt>
                <c:pt idx="11">
                  <c:v>15</c:v>
                </c:pt>
                <c:pt idx="12">
                  <c:v>32</c:v>
                </c:pt>
                <c:pt idx="13">
                  <c:v>35</c:v>
                </c:pt>
                <c:pt idx="14">
                  <c:v>22</c:v>
                </c:pt>
                <c:pt idx="15">
                  <c:v>84</c:v>
                </c:pt>
                <c:pt idx="16">
                  <c:v>118</c:v>
                </c:pt>
                <c:pt idx="17">
                  <c:v>153</c:v>
                </c:pt>
                <c:pt idx="18">
                  <c:v>127</c:v>
                </c:pt>
                <c:pt idx="19">
                  <c:v>136</c:v>
                </c:pt>
                <c:pt idx="20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4-41E5-A013-6B7013B2B8D4}"/>
            </c:ext>
          </c:extLst>
        </c:ser>
        <c:ser>
          <c:idx val="2"/>
          <c:order val="2"/>
          <c:tx>
            <c:strRef>
              <c:f>'8.33'!$I$4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strRef>
              <c:f>'8.33'!$A$14:$A$34</c:f>
              <c:strCache>
                <c:ptCount val="21"/>
                <c:pt idx="0">
                  <c:v>HulhuMale' Court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'8.33'!$I$14:$I$34</c:f>
              <c:numCache>
                <c:formatCode>#,##0</c:formatCode>
                <c:ptCount val="21"/>
                <c:pt idx="0">
                  <c:v>328</c:v>
                </c:pt>
                <c:pt idx="1">
                  <c:v>271</c:v>
                </c:pt>
                <c:pt idx="2">
                  <c:v>456</c:v>
                </c:pt>
                <c:pt idx="3">
                  <c:v>316</c:v>
                </c:pt>
                <c:pt idx="4">
                  <c:v>348</c:v>
                </c:pt>
                <c:pt idx="5">
                  <c:v>388</c:v>
                </c:pt>
                <c:pt idx="6">
                  <c:v>258</c:v>
                </c:pt>
                <c:pt idx="7">
                  <c:v>276</c:v>
                </c:pt>
                <c:pt idx="8">
                  <c:v>338</c:v>
                </c:pt>
                <c:pt idx="9">
                  <c:v>237</c:v>
                </c:pt>
                <c:pt idx="10">
                  <c:v>284</c:v>
                </c:pt>
                <c:pt idx="11">
                  <c:v>48</c:v>
                </c:pt>
                <c:pt idx="12">
                  <c:v>116</c:v>
                </c:pt>
                <c:pt idx="13">
                  <c:v>161</c:v>
                </c:pt>
                <c:pt idx="14">
                  <c:v>110</c:v>
                </c:pt>
                <c:pt idx="15">
                  <c:v>266</c:v>
                </c:pt>
                <c:pt idx="16">
                  <c:v>511</c:v>
                </c:pt>
                <c:pt idx="17">
                  <c:v>441</c:v>
                </c:pt>
                <c:pt idx="18">
                  <c:v>462</c:v>
                </c:pt>
                <c:pt idx="19">
                  <c:v>375</c:v>
                </c:pt>
                <c:pt idx="20">
                  <c:v>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4-41E5-A013-6B7013B2B8D4}"/>
            </c:ext>
          </c:extLst>
        </c:ser>
        <c:ser>
          <c:idx val="3"/>
          <c:order val="3"/>
          <c:tx>
            <c:strRef>
              <c:f>'8.33'!$J$4</c:f>
              <c:strCache>
                <c:ptCount val="1"/>
                <c:pt idx="0">
                  <c:v>Marriage</c:v>
                </c:pt>
              </c:strCache>
            </c:strRef>
          </c:tx>
          <c:invertIfNegative val="0"/>
          <c:dPt>
            <c:idx val="20"/>
            <c:invertIfNegative val="0"/>
            <c:bubble3D val="0"/>
            <c:spPr>
              <a:solidFill>
                <a:srgbClr val="CCF4F2"/>
              </a:solidFill>
            </c:spPr>
            <c:extLst>
              <c:ext xmlns:c16="http://schemas.microsoft.com/office/drawing/2014/chart" uri="{C3380CC4-5D6E-409C-BE32-E72D297353CC}">
                <c16:uniqueId val="{00000002-9BD9-445E-BE7C-61F0751D0161}"/>
              </c:ext>
            </c:extLst>
          </c:dPt>
          <c:cat>
            <c:strRef>
              <c:f>'8.33'!$A$14:$A$34</c:f>
              <c:strCache>
                <c:ptCount val="21"/>
                <c:pt idx="0">
                  <c:v>HulhuMale' Court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'8.33'!$J$14:$J$34</c:f>
              <c:numCache>
                <c:formatCode>#,##0</c:formatCode>
                <c:ptCount val="21"/>
                <c:pt idx="0">
                  <c:v>237</c:v>
                </c:pt>
                <c:pt idx="1">
                  <c:v>134</c:v>
                </c:pt>
                <c:pt idx="2">
                  <c:v>271</c:v>
                </c:pt>
                <c:pt idx="3">
                  <c:v>158</c:v>
                </c:pt>
                <c:pt idx="4">
                  <c:v>127</c:v>
                </c:pt>
                <c:pt idx="5">
                  <c:v>198</c:v>
                </c:pt>
                <c:pt idx="6">
                  <c:v>100</c:v>
                </c:pt>
                <c:pt idx="7">
                  <c:v>106</c:v>
                </c:pt>
                <c:pt idx="8">
                  <c:v>178</c:v>
                </c:pt>
                <c:pt idx="9">
                  <c:v>94</c:v>
                </c:pt>
                <c:pt idx="10">
                  <c:v>111</c:v>
                </c:pt>
                <c:pt idx="11">
                  <c:v>13</c:v>
                </c:pt>
                <c:pt idx="12">
                  <c:v>55</c:v>
                </c:pt>
                <c:pt idx="13">
                  <c:v>52</c:v>
                </c:pt>
                <c:pt idx="14">
                  <c:v>67</c:v>
                </c:pt>
                <c:pt idx="15">
                  <c:v>137</c:v>
                </c:pt>
                <c:pt idx="16">
                  <c:v>214</c:v>
                </c:pt>
                <c:pt idx="17">
                  <c:v>135</c:v>
                </c:pt>
                <c:pt idx="18">
                  <c:v>177</c:v>
                </c:pt>
                <c:pt idx="19">
                  <c:v>138</c:v>
                </c:pt>
                <c:pt idx="20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9-445E-BE7C-61F0751D0161}"/>
            </c:ext>
          </c:extLst>
        </c:ser>
        <c:ser>
          <c:idx val="4"/>
          <c:order val="4"/>
          <c:tx>
            <c:strRef>
              <c:f>'8.33'!$K$4</c:f>
              <c:strCache>
                <c:ptCount val="1"/>
                <c:pt idx="0">
                  <c:v>Divorce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'8.33'!$A$14:$A$34</c:f>
              <c:strCache>
                <c:ptCount val="21"/>
                <c:pt idx="0">
                  <c:v>HulhuMale' Court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'8.33'!$K$14:$K$34</c:f>
              <c:numCache>
                <c:formatCode>#,##0</c:formatCode>
                <c:ptCount val="21"/>
                <c:pt idx="0">
                  <c:v>173</c:v>
                </c:pt>
                <c:pt idx="1">
                  <c:v>85</c:v>
                </c:pt>
                <c:pt idx="2">
                  <c:v>170</c:v>
                </c:pt>
                <c:pt idx="3">
                  <c:v>92</c:v>
                </c:pt>
                <c:pt idx="4">
                  <c:v>101</c:v>
                </c:pt>
                <c:pt idx="5">
                  <c:v>133</c:v>
                </c:pt>
                <c:pt idx="6">
                  <c:v>74</c:v>
                </c:pt>
                <c:pt idx="7">
                  <c:v>84</c:v>
                </c:pt>
                <c:pt idx="8">
                  <c:v>114</c:v>
                </c:pt>
                <c:pt idx="9">
                  <c:v>67</c:v>
                </c:pt>
                <c:pt idx="10">
                  <c:v>79</c:v>
                </c:pt>
                <c:pt idx="11">
                  <c:v>12</c:v>
                </c:pt>
                <c:pt idx="12">
                  <c:v>46</c:v>
                </c:pt>
                <c:pt idx="13">
                  <c:v>34</c:v>
                </c:pt>
                <c:pt idx="14">
                  <c:v>27</c:v>
                </c:pt>
                <c:pt idx="15">
                  <c:v>74</c:v>
                </c:pt>
                <c:pt idx="16">
                  <c:v>158</c:v>
                </c:pt>
                <c:pt idx="17">
                  <c:v>83</c:v>
                </c:pt>
                <c:pt idx="18">
                  <c:v>120</c:v>
                </c:pt>
                <c:pt idx="19">
                  <c:v>101</c:v>
                </c:pt>
                <c:pt idx="20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9-445E-BE7C-61F0751D0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378152656"/>
        <c:axId val="378155008"/>
      </c:barChart>
      <c:catAx>
        <c:axId val="37815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800"/>
            </a:pPr>
            <a:endParaRPr lang="en-US"/>
          </a:p>
        </c:txPr>
        <c:crossAx val="378155008"/>
        <c:crosses val="autoZero"/>
        <c:auto val="1"/>
        <c:lblAlgn val="ctr"/>
        <c:lblOffset val="100"/>
        <c:noMultiLvlLbl val="0"/>
      </c:catAx>
      <c:valAx>
        <c:axId val="378155008"/>
        <c:scaling>
          <c:orientation val="minMax"/>
          <c:max val="85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3781526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2865329734637981"/>
          <c:y val="0.17521096633451252"/>
          <c:w val="0.746804711775226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8.37: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2020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8525723307037212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165673624642418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5-4ADC-4D3A-836E-A094B78865B0}"/>
              </c:ext>
            </c:extLst>
          </c:dPt>
          <c:dPt>
            <c:idx val="1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9-4ADC-4D3A-836E-A094B78865B0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6-4ADC-4D3A-836E-A094B78865B0}"/>
              </c:ext>
            </c:extLst>
          </c:dPt>
          <c:dPt>
            <c:idx val="3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A-4ADC-4D3A-836E-A094B78865B0}"/>
              </c:ext>
            </c:extLst>
          </c:dPt>
          <c:dPt>
            <c:idx val="4"/>
            <c:invertIfNegative val="0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7-4ADC-4D3A-836E-A094B78865B0}"/>
              </c:ext>
            </c:extLst>
          </c:dPt>
          <c:dPt>
            <c:idx val="5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B-4ADC-4D3A-836E-A094B78865B0}"/>
              </c:ext>
            </c:extLst>
          </c:dPt>
          <c:cat>
            <c:multiLvlStrRef>
              <c:f>'8.33'!$AK$45:$AP$46</c:f>
              <c:multiLvlStrCache>
                <c:ptCount val="6"/>
                <c:lvl>
                  <c:pt idx="0">
                    <c:v>Marriage       </c:v>
                  </c:pt>
                  <c:pt idx="1">
                    <c:v> Divorce              </c:v>
                  </c:pt>
                  <c:pt idx="2">
                    <c:v>Marriage       </c:v>
                  </c:pt>
                  <c:pt idx="3">
                    <c:v> Divorce              </c:v>
                  </c:pt>
                  <c:pt idx="4">
                    <c:v>Marriage       </c:v>
                  </c:pt>
                  <c:pt idx="5">
                    <c:v> Divorce              </c:v>
                  </c:pt>
                </c:lvl>
                <c:lvl>
                  <c:pt idx="0">
                    <c:v>Republic</c:v>
                  </c:pt>
                  <c:pt idx="2">
                    <c:v> Male'</c:v>
                  </c:pt>
                  <c:pt idx="4">
                    <c:v> Atolls</c:v>
                  </c:pt>
                </c:lvl>
              </c:multiLvlStrCache>
            </c:multiLvlStrRef>
          </c:cat>
          <c:val>
            <c:numRef>
              <c:f>'8.33'!$AK$52:$AP$52</c:f>
              <c:numCache>
                <c:formatCode>General_)</c:formatCode>
                <c:ptCount val="6"/>
                <c:pt idx="0">
                  <c:v>4998</c:v>
                </c:pt>
                <c:pt idx="1">
                  <c:v>2982</c:v>
                </c:pt>
                <c:pt idx="2">
                  <c:v>1995</c:v>
                </c:pt>
                <c:pt idx="3">
                  <c:v>928</c:v>
                </c:pt>
                <c:pt idx="4">
                  <c:v>3003</c:v>
                </c:pt>
                <c:pt idx="5">
                  <c:v>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9-4464-9E5B-AD0BFBE9C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153440"/>
        <c:axId val="378156184"/>
      </c:barChart>
      <c:catAx>
        <c:axId val="378153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78156184"/>
        <c:crosses val="autoZero"/>
        <c:auto val="1"/>
        <c:lblAlgn val="ctr"/>
        <c:lblOffset val="100"/>
        <c:noMultiLvlLbl val="0"/>
      </c:catAx>
      <c:valAx>
        <c:axId val="37815618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3781534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8.39: Number of Divorces by locality, 2015 - 2020</a:t>
            </a:r>
          </a:p>
        </c:rich>
      </c:tx>
      <c:layout>
        <c:manualLayout>
          <c:xMode val="edge"/>
          <c:yMode val="edge"/>
          <c:x val="0.2490083229727863"/>
          <c:y val="1.9073999149315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'8.33'!$AH$30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'8.33'!$AI$29:$AN$29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'8.33'!$AI$30:$AN$30</c:f>
              <c:numCache>
                <c:formatCode>General_)</c:formatCode>
                <c:ptCount val="6"/>
                <c:pt idx="0">
                  <c:v>3358</c:v>
                </c:pt>
                <c:pt idx="1">
                  <c:v>3417</c:v>
                </c:pt>
                <c:pt idx="2">
                  <c:v>3211</c:v>
                </c:pt>
                <c:pt idx="3">
                  <c:v>3109</c:v>
                </c:pt>
                <c:pt idx="4">
                  <c:v>3550</c:v>
                </c:pt>
                <c:pt idx="5">
                  <c:v>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9-400D-860F-E32B41FA0727}"/>
            </c:ext>
          </c:extLst>
        </c:ser>
        <c:ser>
          <c:idx val="1"/>
          <c:order val="1"/>
          <c:tx>
            <c:strRef>
              <c:f>'8.33'!$AH$31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'8.33'!$AI$29:$AN$29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'8.33'!$AI$31:$AN$31</c:f>
              <c:numCache>
                <c:formatCode>General_)</c:formatCode>
                <c:ptCount val="6"/>
                <c:pt idx="0">
                  <c:v>1288</c:v>
                </c:pt>
                <c:pt idx="1">
                  <c:v>1341</c:v>
                </c:pt>
                <c:pt idx="2">
                  <c:v>1248</c:v>
                </c:pt>
                <c:pt idx="3">
                  <c:v>1156</c:v>
                </c:pt>
                <c:pt idx="4">
                  <c:v>1260</c:v>
                </c:pt>
                <c:pt idx="5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9-400D-860F-E32B41FA0727}"/>
            </c:ext>
          </c:extLst>
        </c:ser>
        <c:ser>
          <c:idx val="2"/>
          <c:order val="2"/>
          <c:tx>
            <c:strRef>
              <c:f>'8.33'!$AH$32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numRef>
              <c:f>'8.33'!$AI$29:$AN$29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'8.33'!$AI$32:$AN$32</c:f>
              <c:numCache>
                <c:formatCode>General_)</c:formatCode>
                <c:ptCount val="6"/>
                <c:pt idx="0">
                  <c:v>2070</c:v>
                </c:pt>
                <c:pt idx="1">
                  <c:v>2076</c:v>
                </c:pt>
                <c:pt idx="2">
                  <c:v>1963</c:v>
                </c:pt>
                <c:pt idx="3">
                  <c:v>1953</c:v>
                </c:pt>
                <c:pt idx="4">
                  <c:v>2290</c:v>
                </c:pt>
                <c:pt idx="5">
                  <c:v>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69-400D-860F-E32B41FA0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153048"/>
        <c:axId val="378156576"/>
      </c:barChart>
      <c:catAx>
        <c:axId val="378153048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378156576"/>
        <c:crosses val="autoZero"/>
        <c:auto val="1"/>
        <c:lblAlgn val="ctr"/>
        <c:lblOffset val="100"/>
        <c:noMultiLvlLbl val="0"/>
      </c:catAx>
      <c:valAx>
        <c:axId val="37815657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37815304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4533855958324655"/>
          <c:y val="0.18828752819313341"/>
          <c:w val="0.30963718640090382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+mj-lt"/>
              </a:rPr>
              <a:t>Figure 8.38: Number of Marriages by locality, 2015 - 2018</a:t>
            </a:r>
          </a:p>
        </c:rich>
      </c:tx>
      <c:layout>
        <c:manualLayout>
          <c:xMode val="edge"/>
          <c:yMode val="edge"/>
          <c:x val="0.17941256759306465"/>
          <c:y val="3.4831695813364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'8.33'!$AH$24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'8.33'!$AI$23:$AN$23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'8.33'!$AI$24:$AN$24</c:f>
              <c:numCache>
                <c:formatCode>General_)</c:formatCode>
                <c:ptCount val="6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  <c:pt idx="3">
                  <c:v>5178</c:v>
                </c:pt>
                <c:pt idx="4" formatCode="#,##0">
                  <c:v>5069</c:v>
                </c:pt>
                <c:pt idx="5" formatCode="#,##0">
                  <c:v>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E-4C69-83A7-309F676154B1}"/>
            </c:ext>
          </c:extLst>
        </c:ser>
        <c:ser>
          <c:idx val="1"/>
          <c:order val="1"/>
          <c:tx>
            <c:strRef>
              <c:f>'8.33'!$AH$25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'8.33'!$AI$23:$AN$23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'8.33'!$AI$25:$AN$25</c:f>
              <c:numCache>
                <c:formatCode>General_)</c:formatCode>
                <c:ptCount val="6"/>
                <c:pt idx="0">
                  <c:v>2417</c:v>
                </c:pt>
                <c:pt idx="1">
                  <c:v>2304</c:v>
                </c:pt>
                <c:pt idx="2">
                  <c:v>1979</c:v>
                </c:pt>
                <c:pt idx="3">
                  <c:v>2191</c:v>
                </c:pt>
                <c:pt idx="4" formatCode="#,##0">
                  <c:v>2055</c:v>
                </c:pt>
                <c:pt idx="5" formatCode="#,##0">
                  <c:v>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E-4C69-83A7-309F676154B1}"/>
            </c:ext>
          </c:extLst>
        </c:ser>
        <c:ser>
          <c:idx val="2"/>
          <c:order val="2"/>
          <c:tx>
            <c:strRef>
              <c:f>'8.33'!$AH$26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numRef>
              <c:f>'8.33'!$AI$23:$AN$23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'8.33'!$AI$26:$AN$26</c:f>
              <c:numCache>
                <c:formatCode>General_)</c:formatCode>
                <c:ptCount val="6"/>
                <c:pt idx="0">
                  <c:v>3346</c:v>
                </c:pt>
                <c:pt idx="1">
                  <c:v>3184</c:v>
                </c:pt>
                <c:pt idx="2">
                  <c:v>3069</c:v>
                </c:pt>
                <c:pt idx="3">
                  <c:v>2987</c:v>
                </c:pt>
                <c:pt idx="4" formatCode="#,##0">
                  <c:v>3014</c:v>
                </c:pt>
                <c:pt idx="5" formatCode="#,##0">
                  <c:v>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E-4C69-83A7-309F67615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151088"/>
        <c:axId val="378150304"/>
      </c:barChart>
      <c:catAx>
        <c:axId val="378151088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378150304"/>
        <c:crosses val="autoZero"/>
        <c:auto val="1"/>
        <c:lblAlgn val="ctr"/>
        <c:lblOffset val="100"/>
        <c:noMultiLvlLbl val="0"/>
      </c:catAx>
      <c:valAx>
        <c:axId val="3781503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37815108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1533695085984956"/>
          <c:y val="0.1935483601549623"/>
          <c:w val="0.3991362156125749"/>
          <c:h val="0.1649614592928329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135448</xdr:colOff>
      <xdr:row>35</xdr:row>
      <xdr:rowOff>102394</xdr:rowOff>
    </xdr:from>
    <xdr:to>
      <xdr:col>5</xdr:col>
      <xdr:colOff>619125</xdr:colOff>
      <xdr:row>46</xdr:row>
      <xdr:rowOff>33226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709119</xdr:colOff>
      <xdr:row>35</xdr:row>
      <xdr:rowOff>110756</xdr:rowOff>
    </xdr:from>
    <xdr:to>
      <xdr:col>11</xdr:col>
      <xdr:colOff>1002753</xdr:colOff>
      <xdr:row>46</xdr:row>
      <xdr:rowOff>44302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695325</xdr:colOff>
      <xdr:row>47</xdr:row>
      <xdr:rowOff>140368</xdr:rowOff>
    </xdr:from>
    <xdr:to>
      <xdr:col>11</xdr:col>
      <xdr:colOff>990601</xdr:colOff>
      <xdr:row>60</xdr:row>
      <xdr:rowOff>128253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73220</xdr:colOff>
      <xdr:row>47</xdr:row>
      <xdr:rowOff>100095</xdr:rowOff>
    </xdr:from>
    <xdr:to>
      <xdr:col>5</xdr:col>
      <xdr:colOff>457200</xdr:colOff>
      <xdr:row>60</xdr:row>
      <xdr:rowOff>87979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77"/>
  <sheetViews>
    <sheetView tabSelected="1" zoomScale="91" zoomScaleNormal="91" zoomScaleSheetLayoutView="86" workbookViewId="0">
      <selection activeCell="A2" sqref="A2:L2"/>
    </sheetView>
  </sheetViews>
  <sheetFormatPr defaultColWidth="9.140625" defaultRowHeight="18.75"/>
  <cols>
    <col min="1" max="1" width="25" style="4" customWidth="1"/>
    <col min="2" max="11" width="12.28515625" style="9" customWidth="1"/>
    <col min="12" max="12" width="17.85546875" style="10" customWidth="1"/>
    <col min="13" max="13" width="4.85546875" style="4" customWidth="1"/>
    <col min="14" max="16384" width="9.140625" style="4"/>
  </cols>
  <sheetData>
    <row r="1" spans="1:45">
      <c r="A1" s="27" t="s">
        <v>74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45" s="3" customFormat="1" ht="12.75">
      <c r="A2" s="28" t="s">
        <v>75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45" ht="12.75">
      <c r="A3" s="29" t="s">
        <v>2</v>
      </c>
      <c r="B3" s="41">
        <v>2019</v>
      </c>
      <c r="C3" s="41"/>
      <c r="D3" s="41"/>
      <c r="E3" s="41"/>
      <c r="F3" s="41"/>
      <c r="G3" s="42">
        <v>2020</v>
      </c>
      <c r="H3" s="41"/>
      <c r="I3" s="41"/>
      <c r="J3" s="41"/>
      <c r="K3" s="41"/>
      <c r="L3" s="33" t="s">
        <v>35</v>
      </c>
    </row>
    <row r="4" spans="1:45" ht="17.25" customHeight="1">
      <c r="A4" s="30"/>
      <c r="B4" s="5" t="s">
        <v>33</v>
      </c>
      <c r="C4" s="5" t="s">
        <v>31</v>
      </c>
      <c r="D4" s="5" t="s">
        <v>34</v>
      </c>
      <c r="E4" s="5" t="s">
        <v>36</v>
      </c>
      <c r="F4" s="5" t="s">
        <v>37</v>
      </c>
      <c r="G4" s="36" t="s">
        <v>33</v>
      </c>
      <c r="H4" s="5" t="s">
        <v>31</v>
      </c>
      <c r="I4" s="5" t="s">
        <v>34</v>
      </c>
      <c r="J4" s="5" t="s">
        <v>36</v>
      </c>
      <c r="K4" s="5" t="s">
        <v>37</v>
      </c>
      <c r="L4" s="34"/>
    </row>
    <row r="5" spans="1:45" s="18" customFormat="1">
      <c r="A5" s="31"/>
      <c r="B5" s="15" t="s">
        <v>41</v>
      </c>
      <c r="C5" s="15" t="s">
        <v>42</v>
      </c>
      <c r="D5" s="15" t="s">
        <v>38</v>
      </c>
      <c r="E5" s="15" t="s">
        <v>39</v>
      </c>
      <c r="F5" s="15" t="s">
        <v>40</v>
      </c>
      <c r="G5" s="37" t="s">
        <v>41</v>
      </c>
      <c r="H5" s="17" t="s">
        <v>42</v>
      </c>
      <c r="I5" s="17" t="s">
        <v>38</v>
      </c>
      <c r="J5" s="17" t="s">
        <v>39</v>
      </c>
      <c r="K5" s="17" t="s">
        <v>40</v>
      </c>
      <c r="L5" s="35"/>
      <c r="AG5" s="5"/>
      <c r="AH5" s="32" t="s">
        <v>43</v>
      </c>
      <c r="AI5" s="32"/>
      <c r="AJ5" s="32"/>
      <c r="AK5" s="32"/>
      <c r="AL5" s="32"/>
      <c r="AM5" s="32"/>
      <c r="AN5" s="32" t="s">
        <v>44</v>
      </c>
      <c r="AO5" s="32"/>
      <c r="AP5" s="32"/>
      <c r="AQ5" s="32"/>
      <c r="AR5" s="32"/>
      <c r="AS5" s="32"/>
    </row>
    <row r="6" spans="1:45" s="20" customFormat="1">
      <c r="A6" s="19" t="s">
        <v>45</v>
      </c>
      <c r="B6" s="2">
        <f t="shared" ref="B6:K6" si="0">B7+B13</f>
        <v>3381</v>
      </c>
      <c r="C6" s="2">
        <f t="shared" si="0"/>
        <v>6568</v>
      </c>
      <c r="D6" s="2">
        <f t="shared" si="0"/>
        <v>10127</v>
      </c>
      <c r="E6" s="2">
        <f t="shared" si="0"/>
        <v>5069</v>
      </c>
      <c r="F6" s="2">
        <f t="shared" si="0"/>
        <v>3550</v>
      </c>
      <c r="G6" s="38">
        <f t="shared" si="0"/>
        <v>2940</v>
      </c>
      <c r="H6" s="2">
        <f t="shared" si="0"/>
        <v>5309</v>
      </c>
      <c r="I6" s="2">
        <f t="shared" si="0"/>
        <v>8800</v>
      </c>
      <c r="J6" s="2">
        <f t="shared" si="0"/>
        <v>4998</v>
      </c>
      <c r="K6" s="2">
        <f t="shared" si="0"/>
        <v>2982</v>
      </c>
      <c r="L6" s="14" t="s">
        <v>23</v>
      </c>
      <c r="AG6" s="16"/>
      <c r="AH6" s="20">
        <v>2015</v>
      </c>
      <c r="AI6" s="20">
        <v>2016</v>
      </c>
      <c r="AJ6" s="20">
        <v>2017</v>
      </c>
      <c r="AK6" s="20">
        <v>2018</v>
      </c>
      <c r="AL6" s="20">
        <v>2019</v>
      </c>
      <c r="AM6" s="20">
        <v>2020</v>
      </c>
      <c r="AN6" s="20">
        <v>2015</v>
      </c>
      <c r="AO6" s="20">
        <v>2016</v>
      </c>
      <c r="AP6" s="20">
        <v>2017</v>
      </c>
      <c r="AQ6" s="20">
        <v>2018</v>
      </c>
      <c r="AR6" s="20">
        <v>2019</v>
      </c>
      <c r="AS6" s="20">
        <v>2020</v>
      </c>
    </row>
    <row r="7" spans="1:45" s="20" customFormat="1">
      <c r="A7" s="19" t="s">
        <v>46</v>
      </c>
      <c r="B7" s="2">
        <f t="shared" ref="B7:K7" si="1">SUM(B8:B12)</f>
        <v>1763</v>
      </c>
      <c r="C7" s="2">
        <f t="shared" si="1"/>
        <v>4700</v>
      </c>
      <c r="D7" s="2">
        <f t="shared" si="1"/>
        <v>2964</v>
      </c>
      <c r="E7" s="2">
        <f t="shared" si="1"/>
        <v>2055</v>
      </c>
      <c r="F7" s="2">
        <f t="shared" si="1"/>
        <v>1260</v>
      </c>
      <c r="G7" s="38">
        <f t="shared" si="1"/>
        <v>1343</v>
      </c>
      <c r="H7" s="2">
        <f t="shared" si="1"/>
        <v>3578</v>
      </c>
      <c r="I7" s="2">
        <f t="shared" si="1"/>
        <v>2002</v>
      </c>
      <c r="J7" s="2">
        <f t="shared" si="1"/>
        <v>1995</v>
      </c>
      <c r="K7" s="2">
        <f t="shared" si="1"/>
        <v>928</v>
      </c>
      <c r="L7" s="14" t="s">
        <v>0</v>
      </c>
      <c r="AG7" s="16" t="s">
        <v>1</v>
      </c>
      <c r="AH7" s="2">
        <v>5763</v>
      </c>
      <c r="AI7" s="2">
        <v>5488</v>
      </c>
      <c r="AJ7" s="2">
        <v>5048</v>
      </c>
      <c r="AK7" s="2">
        <v>5178</v>
      </c>
      <c r="AL7" s="2">
        <f>E6</f>
        <v>5069</v>
      </c>
      <c r="AM7" s="20">
        <f>J6</f>
        <v>4998</v>
      </c>
      <c r="AN7" s="2">
        <v>3358</v>
      </c>
      <c r="AO7" s="2">
        <v>3417</v>
      </c>
      <c r="AP7" s="2">
        <v>3211</v>
      </c>
      <c r="AQ7" s="2">
        <v>3109</v>
      </c>
      <c r="AR7" s="2">
        <f>F6</f>
        <v>3550</v>
      </c>
      <c r="AS7" s="2">
        <f>K6</f>
        <v>2982</v>
      </c>
    </row>
    <row r="8" spans="1:45" s="20" customFormat="1">
      <c r="A8" s="21" t="s">
        <v>25</v>
      </c>
      <c r="B8" s="1">
        <v>25</v>
      </c>
      <c r="C8" s="1">
        <v>0</v>
      </c>
      <c r="D8" s="1">
        <v>0</v>
      </c>
      <c r="E8" s="1">
        <v>0</v>
      </c>
      <c r="F8" s="1">
        <v>0</v>
      </c>
      <c r="G8" s="39">
        <v>18</v>
      </c>
      <c r="H8" s="1">
        <v>0</v>
      </c>
      <c r="I8" s="1">
        <v>0</v>
      </c>
      <c r="J8" s="1">
        <v>0</v>
      </c>
      <c r="K8" s="1">
        <v>0</v>
      </c>
      <c r="L8" s="22" t="s">
        <v>47</v>
      </c>
      <c r="AG8" s="16" t="s">
        <v>46</v>
      </c>
      <c r="AH8" s="2">
        <v>2417</v>
      </c>
      <c r="AI8" s="2">
        <v>2304</v>
      </c>
      <c r="AJ8" s="2">
        <v>1979</v>
      </c>
      <c r="AK8" s="2">
        <v>2191</v>
      </c>
      <c r="AL8" s="2">
        <f>E7</f>
        <v>2055</v>
      </c>
      <c r="AM8" s="20">
        <f>J7</f>
        <v>1995</v>
      </c>
      <c r="AN8" s="2">
        <v>1288</v>
      </c>
      <c r="AO8" s="2">
        <v>1341</v>
      </c>
      <c r="AP8" s="2">
        <v>1248</v>
      </c>
      <c r="AQ8" s="2">
        <v>1156</v>
      </c>
      <c r="AR8" s="2">
        <f>F7</f>
        <v>1260</v>
      </c>
      <c r="AS8" s="2">
        <f>K7</f>
        <v>928</v>
      </c>
    </row>
    <row r="9" spans="1:45" s="20" customFormat="1">
      <c r="A9" s="21" t="s">
        <v>26</v>
      </c>
      <c r="B9" s="1">
        <v>0</v>
      </c>
      <c r="C9" s="1">
        <v>0</v>
      </c>
      <c r="D9" s="1">
        <v>2964</v>
      </c>
      <c r="E9" s="1">
        <v>2055</v>
      </c>
      <c r="F9" s="1">
        <v>1260</v>
      </c>
      <c r="G9" s="39">
        <v>0</v>
      </c>
      <c r="H9" s="1">
        <v>0</v>
      </c>
      <c r="I9" s="1">
        <v>2002</v>
      </c>
      <c r="J9" s="1">
        <v>1995</v>
      </c>
      <c r="K9" s="1">
        <v>928</v>
      </c>
      <c r="L9" s="22" t="s">
        <v>48</v>
      </c>
      <c r="AG9" s="16" t="s">
        <v>49</v>
      </c>
      <c r="AH9" s="2">
        <v>3346</v>
      </c>
      <c r="AI9" s="2">
        <v>3184</v>
      </c>
      <c r="AJ9" s="2">
        <v>3069</v>
      </c>
      <c r="AK9" s="2">
        <v>2987</v>
      </c>
      <c r="AL9" s="2">
        <f>E13</f>
        <v>3014</v>
      </c>
      <c r="AM9" s="20">
        <f>J13</f>
        <v>3003</v>
      </c>
      <c r="AN9" s="2">
        <v>2070</v>
      </c>
      <c r="AO9" s="2">
        <v>2076</v>
      </c>
      <c r="AP9" s="2">
        <v>1963</v>
      </c>
      <c r="AQ9" s="2">
        <v>1953</v>
      </c>
      <c r="AR9" s="2">
        <f>F13</f>
        <v>2290</v>
      </c>
      <c r="AS9" s="2">
        <f>K13</f>
        <v>2054</v>
      </c>
    </row>
    <row r="10" spans="1:45" s="20" customFormat="1">
      <c r="A10" s="21" t="s">
        <v>27</v>
      </c>
      <c r="B10" s="1">
        <v>978</v>
      </c>
      <c r="C10" s="1">
        <v>0</v>
      </c>
      <c r="D10" s="1">
        <v>0</v>
      </c>
      <c r="E10" s="1">
        <v>0</v>
      </c>
      <c r="F10" s="1">
        <v>0</v>
      </c>
      <c r="G10" s="39">
        <v>923</v>
      </c>
      <c r="H10" s="1">
        <v>0</v>
      </c>
      <c r="I10" s="1">
        <v>0</v>
      </c>
      <c r="J10" s="1">
        <v>0</v>
      </c>
      <c r="K10" s="1">
        <v>0</v>
      </c>
      <c r="L10" s="22" t="s">
        <v>50</v>
      </c>
    </row>
    <row r="11" spans="1:45" s="20" customFormat="1">
      <c r="A11" s="21" t="s">
        <v>28</v>
      </c>
      <c r="B11" s="1">
        <v>0</v>
      </c>
      <c r="C11" s="1">
        <v>4700</v>
      </c>
      <c r="D11" s="1">
        <v>0</v>
      </c>
      <c r="E11" s="1">
        <v>0</v>
      </c>
      <c r="F11" s="1">
        <v>0</v>
      </c>
      <c r="G11" s="39">
        <v>0</v>
      </c>
      <c r="H11" s="1">
        <v>3578</v>
      </c>
      <c r="I11" s="1">
        <v>0</v>
      </c>
      <c r="J11" s="1">
        <v>0</v>
      </c>
      <c r="K11" s="1">
        <v>0</v>
      </c>
      <c r="L11" s="22" t="s">
        <v>51</v>
      </c>
    </row>
    <row r="12" spans="1:45" s="20" customFormat="1">
      <c r="A12" s="21" t="s">
        <v>24</v>
      </c>
      <c r="B12" s="1">
        <v>760</v>
      </c>
      <c r="C12" s="1">
        <v>0</v>
      </c>
      <c r="D12" s="1">
        <v>0</v>
      </c>
      <c r="E12" s="1">
        <v>0</v>
      </c>
      <c r="F12" s="1">
        <v>0</v>
      </c>
      <c r="G12" s="39">
        <v>402</v>
      </c>
      <c r="H12" s="1">
        <v>0</v>
      </c>
      <c r="I12" s="1">
        <v>0</v>
      </c>
      <c r="J12" s="1">
        <v>0</v>
      </c>
      <c r="K12" s="1">
        <v>0</v>
      </c>
      <c r="L12" s="22" t="s">
        <v>52</v>
      </c>
    </row>
    <row r="13" spans="1:45" s="20" customFormat="1">
      <c r="A13" s="19" t="s">
        <v>2</v>
      </c>
      <c r="B13" s="2">
        <f t="shared" ref="B13:D13" si="2">SUM(B14:B34)</f>
        <v>1618</v>
      </c>
      <c r="C13" s="2">
        <f t="shared" si="2"/>
        <v>1868</v>
      </c>
      <c r="D13" s="2">
        <f t="shared" si="2"/>
        <v>7163</v>
      </c>
      <c r="E13" s="2">
        <f>SUM(E14:E34)</f>
        <v>3014</v>
      </c>
      <c r="F13" s="2">
        <f t="shared" ref="F13:I13" si="3">SUM(F14:F34)</f>
        <v>2290</v>
      </c>
      <c r="G13" s="38">
        <f t="shared" si="3"/>
        <v>1597</v>
      </c>
      <c r="H13" s="2">
        <f t="shared" si="3"/>
        <v>1731</v>
      </c>
      <c r="I13" s="2">
        <f t="shared" si="3"/>
        <v>6798</v>
      </c>
      <c r="J13" s="2">
        <f>SUM(J14:J34)</f>
        <v>3003</v>
      </c>
      <c r="K13" s="2">
        <f t="shared" ref="K13" si="4">SUM(K14:K34)</f>
        <v>2054</v>
      </c>
      <c r="L13" s="14" t="s">
        <v>35</v>
      </c>
    </row>
    <row r="14" spans="1:45" s="20" customFormat="1">
      <c r="A14" s="19" t="s">
        <v>32</v>
      </c>
      <c r="B14" s="2">
        <v>129</v>
      </c>
      <c r="C14" s="2">
        <v>0</v>
      </c>
      <c r="D14" s="2">
        <v>513</v>
      </c>
      <c r="E14" s="2">
        <v>312</v>
      </c>
      <c r="F14" s="2">
        <v>359</v>
      </c>
      <c r="G14" s="38">
        <v>138</v>
      </c>
      <c r="H14" s="2">
        <v>0</v>
      </c>
      <c r="I14" s="2">
        <v>328</v>
      </c>
      <c r="J14" s="2">
        <v>237</v>
      </c>
      <c r="K14" s="2">
        <v>173</v>
      </c>
      <c r="L14" s="14" t="s">
        <v>53</v>
      </c>
    </row>
    <row r="15" spans="1:45" s="20" customFormat="1">
      <c r="A15" s="21" t="s">
        <v>3</v>
      </c>
      <c r="B15" s="1">
        <v>31</v>
      </c>
      <c r="C15" s="1">
        <v>50</v>
      </c>
      <c r="D15" s="1">
        <v>244</v>
      </c>
      <c r="E15" s="1">
        <v>156</v>
      </c>
      <c r="F15" s="1">
        <v>80</v>
      </c>
      <c r="G15" s="39">
        <v>48</v>
      </c>
      <c r="H15" s="1">
        <v>65</v>
      </c>
      <c r="I15" s="1">
        <v>271</v>
      </c>
      <c r="J15" s="1">
        <v>134</v>
      </c>
      <c r="K15" s="1">
        <v>85</v>
      </c>
      <c r="L15" s="11" t="s">
        <v>54</v>
      </c>
    </row>
    <row r="16" spans="1:45" s="20" customFormat="1">
      <c r="A16" s="21" t="s">
        <v>4</v>
      </c>
      <c r="B16" s="1">
        <v>100</v>
      </c>
      <c r="C16" s="1">
        <v>124</v>
      </c>
      <c r="D16" s="1">
        <v>473</v>
      </c>
      <c r="E16" s="1">
        <v>256</v>
      </c>
      <c r="F16" s="1">
        <v>158</v>
      </c>
      <c r="G16" s="39">
        <v>137</v>
      </c>
      <c r="H16" s="1">
        <v>110</v>
      </c>
      <c r="I16" s="1">
        <v>456</v>
      </c>
      <c r="J16" s="1">
        <v>271</v>
      </c>
      <c r="K16" s="1">
        <v>170</v>
      </c>
      <c r="L16" s="11" t="s">
        <v>55</v>
      </c>
      <c r="AJ16" s="20" t="s">
        <v>36</v>
      </c>
      <c r="AK16" s="20" t="s">
        <v>37</v>
      </c>
    </row>
    <row r="17" spans="1:40" s="20" customFormat="1" ht="15.75" customHeight="1">
      <c r="A17" s="21" t="s">
        <v>5</v>
      </c>
      <c r="B17" s="1">
        <v>24</v>
      </c>
      <c r="C17" s="1">
        <v>48</v>
      </c>
      <c r="D17" s="1">
        <v>336</v>
      </c>
      <c r="E17" s="1">
        <v>152</v>
      </c>
      <c r="F17" s="1">
        <v>90</v>
      </c>
      <c r="G17" s="39">
        <v>33</v>
      </c>
      <c r="H17" s="1">
        <v>44</v>
      </c>
      <c r="I17" s="1">
        <v>316</v>
      </c>
      <c r="J17" s="1">
        <v>158</v>
      </c>
      <c r="K17" s="1">
        <v>92</v>
      </c>
      <c r="L17" s="11" t="s">
        <v>56</v>
      </c>
      <c r="AI17" s="20" t="s">
        <v>1</v>
      </c>
      <c r="AJ17" s="20">
        <v>4999</v>
      </c>
      <c r="AK17" s="20">
        <v>2982</v>
      </c>
    </row>
    <row r="18" spans="1:40" s="20" customFormat="1">
      <c r="A18" s="21" t="s">
        <v>7</v>
      </c>
      <c r="B18" s="1">
        <v>45</v>
      </c>
      <c r="C18" s="1">
        <v>75</v>
      </c>
      <c r="D18" s="1">
        <v>333</v>
      </c>
      <c r="E18" s="1">
        <v>148</v>
      </c>
      <c r="F18" s="1">
        <v>105</v>
      </c>
      <c r="G18" s="39">
        <v>45</v>
      </c>
      <c r="H18" s="1">
        <v>61</v>
      </c>
      <c r="I18" s="1">
        <v>348</v>
      </c>
      <c r="J18" s="1">
        <v>127</v>
      </c>
      <c r="K18" s="1">
        <v>101</v>
      </c>
      <c r="L18" s="11" t="s">
        <v>57</v>
      </c>
      <c r="AI18" s="20" t="s">
        <v>46</v>
      </c>
      <c r="AJ18" s="20">
        <v>1995</v>
      </c>
      <c r="AK18" s="20">
        <v>928</v>
      </c>
    </row>
    <row r="19" spans="1:40" s="20" customFormat="1">
      <c r="A19" s="21" t="s">
        <v>8</v>
      </c>
      <c r="B19" s="1">
        <v>86</v>
      </c>
      <c r="C19" s="1">
        <v>128</v>
      </c>
      <c r="D19" s="1">
        <v>405</v>
      </c>
      <c r="E19" s="1">
        <v>193</v>
      </c>
      <c r="F19" s="1">
        <v>134</v>
      </c>
      <c r="G19" s="39">
        <v>83</v>
      </c>
      <c r="H19" s="1">
        <v>139</v>
      </c>
      <c r="I19" s="1">
        <v>388</v>
      </c>
      <c r="J19" s="1">
        <v>198</v>
      </c>
      <c r="K19" s="1">
        <v>133</v>
      </c>
      <c r="L19" s="11" t="s">
        <v>58</v>
      </c>
      <c r="AI19" s="20" t="s">
        <v>49</v>
      </c>
      <c r="AJ19" s="20">
        <v>3003</v>
      </c>
      <c r="AK19" s="20">
        <v>2054</v>
      </c>
    </row>
    <row r="20" spans="1:40" s="20" customFormat="1">
      <c r="A20" s="21" t="s">
        <v>9</v>
      </c>
      <c r="B20" s="1">
        <v>26</v>
      </c>
      <c r="C20" s="1">
        <v>69</v>
      </c>
      <c r="D20" s="1">
        <v>218</v>
      </c>
      <c r="E20" s="1">
        <v>94</v>
      </c>
      <c r="F20" s="1">
        <v>70</v>
      </c>
      <c r="G20" s="39">
        <v>37</v>
      </c>
      <c r="H20" s="1">
        <v>71</v>
      </c>
      <c r="I20" s="1">
        <v>258</v>
      </c>
      <c r="J20" s="1">
        <v>100</v>
      </c>
      <c r="K20" s="1">
        <v>74</v>
      </c>
      <c r="L20" s="11" t="s">
        <v>59</v>
      </c>
    </row>
    <row r="21" spans="1:40" s="20" customFormat="1">
      <c r="A21" s="21" t="s">
        <v>10</v>
      </c>
      <c r="B21" s="1">
        <v>54</v>
      </c>
      <c r="C21" s="1">
        <v>68</v>
      </c>
      <c r="D21" s="1">
        <v>281</v>
      </c>
      <c r="E21" s="1">
        <v>119</v>
      </c>
      <c r="F21" s="1">
        <v>93</v>
      </c>
      <c r="G21" s="39">
        <v>79</v>
      </c>
      <c r="H21" s="1">
        <v>93</v>
      </c>
      <c r="I21" s="1">
        <v>276</v>
      </c>
      <c r="J21" s="1">
        <v>106</v>
      </c>
      <c r="K21" s="1">
        <v>84</v>
      </c>
      <c r="L21" s="11" t="s">
        <v>60</v>
      </c>
    </row>
    <row r="22" spans="1:40" s="20" customFormat="1">
      <c r="A22" s="21" t="s">
        <v>12</v>
      </c>
      <c r="B22" s="1">
        <v>312</v>
      </c>
      <c r="C22" s="1">
        <v>108</v>
      </c>
      <c r="D22" s="1">
        <v>371</v>
      </c>
      <c r="E22" s="1">
        <v>201</v>
      </c>
      <c r="F22" s="1">
        <v>146</v>
      </c>
      <c r="G22" s="39">
        <v>183</v>
      </c>
      <c r="H22" s="1">
        <v>96</v>
      </c>
      <c r="I22" s="1">
        <v>338</v>
      </c>
      <c r="J22" s="1">
        <v>178</v>
      </c>
      <c r="K22" s="1">
        <v>114</v>
      </c>
      <c r="L22" s="11" t="s">
        <v>61</v>
      </c>
      <c r="AI22" s="20" t="s">
        <v>36</v>
      </c>
    </row>
    <row r="23" spans="1:40" s="20" customFormat="1">
      <c r="A23" s="21" t="s">
        <v>13</v>
      </c>
      <c r="B23" s="1">
        <v>20</v>
      </c>
      <c r="C23" s="1">
        <v>101</v>
      </c>
      <c r="D23" s="1">
        <v>278</v>
      </c>
      <c r="E23" s="1">
        <v>103</v>
      </c>
      <c r="F23" s="1">
        <v>91</v>
      </c>
      <c r="G23" s="39">
        <v>20</v>
      </c>
      <c r="H23" s="1">
        <v>74</v>
      </c>
      <c r="I23" s="1">
        <v>237</v>
      </c>
      <c r="J23" s="1">
        <v>94</v>
      </c>
      <c r="K23" s="1">
        <v>67</v>
      </c>
      <c r="L23" s="11" t="s">
        <v>62</v>
      </c>
      <c r="AI23" s="20">
        <v>2015</v>
      </c>
      <c r="AJ23" s="20">
        <v>2016</v>
      </c>
      <c r="AK23" s="20">
        <v>2017</v>
      </c>
      <c r="AL23" s="20">
        <v>2018</v>
      </c>
      <c r="AM23" s="20">
        <v>2019</v>
      </c>
      <c r="AN23" s="20">
        <v>2020</v>
      </c>
    </row>
    <row r="24" spans="1:40" s="20" customFormat="1">
      <c r="A24" s="21" t="s">
        <v>14</v>
      </c>
      <c r="B24" s="1">
        <v>45</v>
      </c>
      <c r="C24" s="1">
        <v>74</v>
      </c>
      <c r="D24" s="1">
        <v>324</v>
      </c>
      <c r="E24" s="1">
        <v>97</v>
      </c>
      <c r="F24" s="1">
        <v>80</v>
      </c>
      <c r="G24" s="39">
        <v>28</v>
      </c>
      <c r="H24" s="1">
        <v>44</v>
      </c>
      <c r="I24" s="1">
        <v>284</v>
      </c>
      <c r="J24" s="1">
        <v>111</v>
      </c>
      <c r="K24" s="1">
        <v>79</v>
      </c>
      <c r="L24" s="11" t="s">
        <v>63</v>
      </c>
      <c r="AH24" s="20" t="s">
        <v>1</v>
      </c>
      <c r="AI24" s="20">
        <v>5763</v>
      </c>
      <c r="AJ24" s="20">
        <v>5488</v>
      </c>
      <c r="AK24" s="20">
        <v>5048</v>
      </c>
      <c r="AL24" s="20">
        <v>5178</v>
      </c>
      <c r="AM24" s="2">
        <v>5069</v>
      </c>
      <c r="AN24" s="2">
        <f>J6</f>
        <v>4998</v>
      </c>
    </row>
    <row r="25" spans="1:40" s="20" customFormat="1">
      <c r="A25" s="21" t="s">
        <v>15</v>
      </c>
      <c r="B25" s="1">
        <v>3</v>
      </c>
      <c r="C25" s="1">
        <v>11</v>
      </c>
      <c r="D25" s="1">
        <v>41</v>
      </c>
      <c r="E25" s="1">
        <v>11</v>
      </c>
      <c r="F25" s="1">
        <v>14</v>
      </c>
      <c r="G25" s="39">
        <v>6</v>
      </c>
      <c r="H25" s="1">
        <v>15</v>
      </c>
      <c r="I25" s="1">
        <v>48</v>
      </c>
      <c r="J25" s="1">
        <v>13</v>
      </c>
      <c r="K25" s="1">
        <v>12</v>
      </c>
      <c r="L25" s="11" t="s">
        <v>64</v>
      </c>
      <c r="AH25" s="20" t="s">
        <v>46</v>
      </c>
      <c r="AI25" s="20">
        <v>2417</v>
      </c>
      <c r="AJ25" s="20">
        <v>2304</v>
      </c>
      <c r="AK25" s="20">
        <v>1979</v>
      </c>
      <c r="AL25" s="20">
        <v>2191</v>
      </c>
      <c r="AM25" s="2">
        <v>2055</v>
      </c>
      <c r="AN25" s="2">
        <f>J7</f>
        <v>1995</v>
      </c>
    </row>
    <row r="26" spans="1:40" s="20" customFormat="1">
      <c r="A26" s="21" t="s">
        <v>16</v>
      </c>
      <c r="B26" s="1">
        <v>18</v>
      </c>
      <c r="C26" s="1">
        <v>24</v>
      </c>
      <c r="D26" s="1">
        <v>112</v>
      </c>
      <c r="E26" s="1">
        <v>61</v>
      </c>
      <c r="F26" s="1">
        <v>41</v>
      </c>
      <c r="G26" s="39">
        <v>7</v>
      </c>
      <c r="H26" s="1">
        <v>32</v>
      </c>
      <c r="I26" s="1">
        <v>116</v>
      </c>
      <c r="J26" s="1">
        <v>55</v>
      </c>
      <c r="K26" s="1">
        <v>46</v>
      </c>
      <c r="L26" s="11" t="s">
        <v>65</v>
      </c>
      <c r="AH26" s="20" t="s">
        <v>49</v>
      </c>
      <c r="AI26" s="20">
        <v>3346</v>
      </c>
      <c r="AJ26" s="20">
        <v>3184</v>
      </c>
      <c r="AK26" s="20">
        <v>3069</v>
      </c>
      <c r="AL26" s="20">
        <v>2987</v>
      </c>
      <c r="AM26" s="2">
        <v>3014</v>
      </c>
      <c r="AN26" s="2">
        <f>J13</f>
        <v>3003</v>
      </c>
    </row>
    <row r="27" spans="1:40" s="20" customFormat="1">
      <c r="A27" s="21" t="s">
        <v>17</v>
      </c>
      <c r="B27" s="1">
        <v>3</v>
      </c>
      <c r="C27" s="1">
        <v>62</v>
      </c>
      <c r="D27" s="1">
        <v>141</v>
      </c>
      <c r="E27" s="1">
        <v>56</v>
      </c>
      <c r="F27" s="1">
        <v>34</v>
      </c>
      <c r="G27" s="39">
        <v>5</v>
      </c>
      <c r="H27" s="1">
        <v>35</v>
      </c>
      <c r="I27" s="1">
        <v>161</v>
      </c>
      <c r="J27" s="1">
        <v>52</v>
      </c>
      <c r="K27" s="1">
        <v>34</v>
      </c>
      <c r="L27" s="11" t="s">
        <v>66</v>
      </c>
    </row>
    <row r="28" spans="1:40" s="20" customFormat="1">
      <c r="A28" s="21" t="s">
        <v>18</v>
      </c>
      <c r="B28" s="1">
        <v>17</v>
      </c>
      <c r="C28" s="1">
        <v>30</v>
      </c>
      <c r="D28" s="1">
        <v>161</v>
      </c>
      <c r="E28" s="1">
        <v>55</v>
      </c>
      <c r="F28" s="1">
        <v>43</v>
      </c>
      <c r="G28" s="39">
        <v>20</v>
      </c>
      <c r="H28" s="1">
        <v>22</v>
      </c>
      <c r="I28" s="1">
        <v>110</v>
      </c>
      <c r="J28" s="1">
        <v>67</v>
      </c>
      <c r="K28" s="1">
        <v>27</v>
      </c>
      <c r="L28" s="11" t="s">
        <v>67</v>
      </c>
      <c r="AI28" s="20" t="s">
        <v>37</v>
      </c>
    </row>
    <row r="29" spans="1:40" s="20" customFormat="1">
      <c r="A29" s="21" t="s">
        <v>19</v>
      </c>
      <c r="B29" s="1">
        <v>56</v>
      </c>
      <c r="C29" s="1">
        <v>91</v>
      </c>
      <c r="D29" s="1">
        <v>293</v>
      </c>
      <c r="E29" s="1">
        <v>132</v>
      </c>
      <c r="F29" s="1">
        <v>96</v>
      </c>
      <c r="G29" s="39">
        <v>77</v>
      </c>
      <c r="H29" s="1">
        <v>84</v>
      </c>
      <c r="I29" s="1">
        <v>266</v>
      </c>
      <c r="J29" s="1">
        <v>137</v>
      </c>
      <c r="K29" s="1">
        <v>74</v>
      </c>
      <c r="L29" s="11" t="s">
        <v>68</v>
      </c>
      <c r="AI29" s="20">
        <v>2015</v>
      </c>
      <c r="AJ29" s="20">
        <v>2016</v>
      </c>
      <c r="AK29" s="20">
        <v>2017</v>
      </c>
      <c r="AL29" s="20">
        <v>2018</v>
      </c>
      <c r="AM29" s="20">
        <v>2019</v>
      </c>
      <c r="AN29" s="20">
        <v>2020</v>
      </c>
    </row>
    <row r="30" spans="1:40" s="20" customFormat="1">
      <c r="A30" s="21" t="s">
        <v>11</v>
      </c>
      <c r="B30" s="1">
        <v>71</v>
      </c>
      <c r="C30" s="1">
        <v>140</v>
      </c>
      <c r="D30" s="1">
        <v>557</v>
      </c>
      <c r="E30" s="1">
        <v>185</v>
      </c>
      <c r="F30" s="1">
        <v>163</v>
      </c>
      <c r="G30" s="39">
        <v>88</v>
      </c>
      <c r="H30" s="1">
        <v>118</v>
      </c>
      <c r="I30" s="1">
        <v>511</v>
      </c>
      <c r="J30" s="1">
        <v>214</v>
      </c>
      <c r="K30" s="1">
        <v>158</v>
      </c>
      <c r="L30" s="11" t="s">
        <v>69</v>
      </c>
      <c r="AH30" s="20" t="s">
        <v>1</v>
      </c>
      <c r="AI30" s="20">
        <v>3358</v>
      </c>
      <c r="AJ30" s="20">
        <v>3417</v>
      </c>
      <c r="AK30" s="20">
        <f t="shared" ref="AK30:AL32" si="5">AP7</f>
        <v>3211</v>
      </c>
      <c r="AL30" s="20">
        <f t="shared" si="5"/>
        <v>3109</v>
      </c>
      <c r="AM30" s="20">
        <v>3550</v>
      </c>
      <c r="AN30" s="20">
        <v>2982</v>
      </c>
    </row>
    <row r="31" spans="1:40" s="20" customFormat="1">
      <c r="A31" s="21" t="s">
        <v>20</v>
      </c>
      <c r="B31" s="1">
        <v>74</v>
      </c>
      <c r="C31" s="1">
        <v>180</v>
      </c>
      <c r="D31" s="1">
        <v>442</v>
      </c>
      <c r="E31" s="1">
        <v>116</v>
      </c>
      <c r="F31" s="1">
        <v>93</v>
      </c>
      <c r="G31" s="39">
        <v>92</v>
      </c>
      <c r="H31" s="1">
        <v>153</v>
      </c>
      <c r="I31" s="1">
        <v>441</v>
      </c>
      <c r="J31" s="1">
        <v>135</v>
      </c>
      <c r="K31" s="1">
        <v>83</v>
      </c>
      <c r="L31" s="11" t="s">
        <v>70</v>
      </c>
      <c r="AH31" s="20" t="s">
        <v>46</v>
      </c>
      <c r="AI31" s="20">
        <v>1288</v>
      </c>
      <c r="AJ31" s="20">
        <v>1341</v>
      </c>
      <c r="AK31" s="20">
        <f t="shared" si="5"/>
        <v>1248</v>
      </c>
      <c r="AL31" s="20">
        <f t="shared" si="5"/>
        <v>1156</v>
      </c>
      <c r="AM31" s="20">
        <v>1260</v>
      </c>
      <c r="AN31" s="20">
        <v>928</v>
      </c>
    </row>
    <row r="32" spans="1:40" s="20" customFormat="1">
      <c r="A32" s="21" t="s">
        <v>21</v>
      </c>
      <c r="B32" s="1">
        <v>150</v>
      </c>
      <c r="C32" s="1">
        <v>153</v>
      </c>
      <c r="D32" s="1">
        <v>443</v>
      </c>
      <c r="E32" s="1">
        <v>159</v>
      </c>
      <c r="F32" s="1">
        <v>109</v>
      </c>
      <c r="G32" s="39">
        <v>114</v>
      </c>
      <c r="H32" s="1">
        <v>127</v>
      </c>
      <c r="I32" s="1">
        <v>462</v>
      </c>
      <c r="J32" s="1">
        <v>177</v>
      </c>
      <c r="K32" s="1">
        <v>120</v>
      </c>
      <c r="L32" s="11" t="s">
        <v>71</v>
      </c>
      <c r="AH32" s="20" t="s">
        <v>49</v>
      </c>
      <c r="AI32" s="20">
        <v>2070</v>
      </c>
      <c r="AJ32" s="20">
        <v>2076</v>
      </c>
      <c r="AK32" s="20">
        <f t="shared" si="5"/>
        <v>1963</v>
      </c>
      <c r="AL32" s="20">
        <f t="shared" si="5"/>
        <v>1953</v>
      </c>
      <c r="AM32" s="20">
        <v>2290</v>
      </c>
      <c r="AN32" s="20">
        <v>2054</v>
      </c>
    </row>
    <row r="33" spans="1:42" s="20" customFormat="1">
      <c r="A33" s="21" t="s">
        <v>22</v>
      </c>
      <c r="B33" s="1">
        <v>126</v>
      </c>
      <c r="C33" s="1">
        <v>88</v>
      </c>
      <c r="D33" s="1">
        <v>380</v>
      </c>
      <c r="E33" s="1">
        <v>136</v>
      </c>
      <c r="F33" s="1">
        <v>85</v>
      </c>
      <c r="G33" s="39">
        <v>162</v>
      </c>
      <c r="H33" s="1">
        <v>136</v>
      </c>
      <c r="I33" s="1">
        <v>375</v>
      </c>
      <c r="J33" s="1">
        <v>138</v>
      </c>
      <c r="K33" s="1">
        <v>101</v>
      </c>
      <c r="L33" s="11" t="s">
        <v>72</v>
      </c>
    </row>
    <row r="34" spans="1:42" s="20" customFormat="1">
      <c r="A34" s="25" t="s">
        <v>6</v>
      </c>
      <c r="B34" s="6">
        <v>228</v>
      </c>
      <c r="C34" s="6">
        <v>244</v>
      </c>
      <c r="D34" s="6">
        <v>817</v>
      </c>
      <c r="E34" s="6">
        <v>272</v>
      </c>
      <c r="F34" s="6">
        <v>206</v>
      </c>
      <c r="G34" s="40">
        <v>195</v>
      </c>
      <c r="H34" s="6">
        <v>212</v>
      </c>
      <c r="I34" s="6">
        <v>808</v>
      </c>
      <c r="J34" s="6">
        <v>301</v>
      </c>
      <c r="K34" s="6">
        <v>227</v>
      </c>
      <c r="L34" s="12" t="s">
        <v>73</v>
      </c>
    </row>
    <row r="35" spans="1:42" ht="15">
      <c r="A35" s="23" t="s">
        <v>29</v>
      </c>
      <c r="L35" s="24" t="s">
        <v>30</v>
      </c>
    </row>
    <row r="37" spans="1:42">
      <c r="AG37" s="7"/>
      <c r="AH37" s="5"/>
      <c r="AI37" s="5"/>
      <c r="AJ37" s="5"/>
    </row>
    <row r="38" spans="1:42">
      <c r="AG38" s="7"/>
      <c r="AH38" s="1"/>
      <c r="AI38" s="1"/>
      <c r="AJ38" s="1"/>
    </row>
    <row r="39" spans="1:42">
      <c r="AG39" s="7"/>
      <c r="AH39" s="1"/>
      <c r="AI39" s="1"/>
      <c r="AJ39" s="1"/>
    </row>
    <row r="40" spans="1:42">
      <c r="AG40" s="7"/>
      <c r="AH40" s="1"/>
      <c r="AI40" s="1"/>
      <c r="AJ40" s="1"/>
    </row>
    <row r="41" spans="1:42">
      <c r="AG41" s="7"/>
      <c r="AH41" s="1"/>
      <c r="AI41" s="1"/>
      <c r="AJ41" s="1"/>
    </row>
    <row r="42" spans="1:42">
      <c r="AG42" s="7"/>
      <c r="AH42" s="1"/>
      <c r="AI42" s="1"/>
      <c r="AJ42" s="1"/>
    </row>
    <row r="43" spans="1:42">
      <c r="AG43" s="7"/>
      <c r="AH43" s="1"/>
      <c r="AI43" s="1"/>
      <c r="AJ43" s="1"/>
    </row>
    <row r="44" spans="1:42">
      <c r="AG44" s="7"/>
      <c r="AH44" s="1"/>
      <c r="AI44" s="1"/>
      <c r="AJ44" s="1"/>
    </row>
    <row r="45" spans="1:42">
      <c r="AG45" s="7"/>
      <c r="AH45" s="1"/>
      <c r="AI45" s="1"/>
      <c r="AJ45" s="1"/>
      <c r="AK45" s="26" t="s">
        <v>1</v>
      </c>
      <c r="AL45" s="26"/>
      <c r="AM45" s="26" t="s">
        <v>46</v>
      </c>
      <c r="AN45" s="26"/>
      <c r="AO45" s="26" t="s">
        <v>49</v>
      </c>
      <c r="AP45" s="26"/>
    </row>
    <row r="46" spans="1:42">
      <c r="AG46" s="7"/>
      <c r="AH46" s="1"/>
      <c r="AK46" s="13" t="s">
        <v>43</v>
      </c>
      <c r="AL46" s="13" t="s">
        <v>44</v>
      </c>
      <c r="AM46" s="13" t="s">
        <v>43</v>
      </c>
      <c r="AN46" s="13" t="s">
        <v>44</v>
      </c>
      <c r="AO46" s="13" t="s">
        <v>43</v>
      </c>
      <c r="AP46" s="13" t="s">
        <v>44</v>
      </c>
    </row>
    <row r="47" spans="1:42">
      <c r="AG47" s="7"/>
      <c r="AH47" s="1"/>
      <c r="AI47" s="1"/>
      <c r="AJ47" s="1">
        <v>2015</v>
      </c>
      <c r="AK47" s="4">
        <v>5763</v>
      </c>
      <c r="AL47" s="4">
        <v>3358</v>
      </c>
      <c r="AM47" s="4">
        <v>2417</v>
      </c>
      <c r="AN47" s="4">
        <v>1288</v>
      </c>
      <c r="AO47" s="4">
        <v>3346</v>
      </c>
      <c r="AP47" s="4">
        <v>2070</v>
      </c>
    </row>
    <row r="48" spans="1:42">
      <c r="AG48" s="7"/>
      <c r="AH48" s="1"/>
      <c r="AI48" s="1"/>
      <c r="AJ48" s="1">
        <v>2016</v>
      </c>
      <c r="AK48" s="4">
        <v>5488</v>
      </c>
      <c r="AL48" s="4">
        <v>3417</v>
      </c>
      <c r="AM48" s="4">
        <v>2304</v>
      </c>
      <c r="AN48" s="4">
        <v>1341</v>
      </c>
      <c r="AO48" s="4">
        <v>3184</v>
      </c>
      <c r="AP48" s="4">
        <v>2076</v>
      </c>
    </row>
    <row r="49" spans="2:42">
      <c r="AG49" s="7"/>
      <c r="AH49" s="1"/>
      <c r="AI49" s="1"/>
      <c r="AJ49" s="1">
        <v>2017</v>
      </c>
      <c r="AK49" s="4">
        <v>5048</v>
      </c>
      <c r="AL49" s="4">
        <v>3211</v>
      </c>
      <c r="AM49" s="4">
        <v>1979</v>
      </c>
      <c r="AN49" s="4">
        <v>1248</v>
      </c>
      <c r="AO49" s="4">
        <v>3069</v>
      </c>
      <c r="AP49" s="4">
        <v>1963</v>
      </c>
    </row>
    <row r="50" spans="2:42" ht="12.7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AG50" s="7"/>
      <c r="AH50" s="1"/>
      <c r="AI50" s="1"/>
      <c r="AJ50" s="1">
        <v>2018</v>
      </c>
      <c r="AK50" s="4">
        <v>5178</v>
      </c>
      <c r="AL50" s="4">
        <v>3109</v>
      </c>
      <c r="AM50" s="4">
        <v>2191</v>
      </c>
      <c r="AN50" s="4">
        <v>1156</v>
      </c>
      <c r="AO50" s="4">
        <v>2987</v>
      </c>
      <c r="AP50" s="4">
        <v>1953</v>
      </c>
    </row>
    <row r="51" spans="2:42" ht="12.7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AG51" s="7"/>
      <c r="AH51" s="1"/>
      <c r="AI51" s="1"/>
      <c r="AJ51" s="1">
        <v>2019</v>
      </c>
      <c r="AK51" s="4">
        <v>5069</v>
      </c>
      <c r="AL51" s="4">
        <v>3550</v>
      </c>
      <c r="AM51" s="4">
        <v>2055</v>
      </c>
      <c r="AN51" s="4">
        <v>1260</v>
      </c>
      <c r="AO51" s="4">
        <v>3014</v>
      </c>
      <c r="AP51" s="4">
        <v>2290</v>
      </c>
    </row>
    <row r="52" spans="2:42" ht="12.7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AG52" s="7"/>
      <c r="AJ52" s="1">
        <v>2020</v>
      </c>
      <c r="AK52" s="4">
        <v>4998</v>
      </c>
      <c r="AL52" s="4">
        <v>2982</v>
      </c>
      <c r="AM52" s="4">
        <v>1995</v>
      </c>
      <c r="AN52" s="4">
        <v>928</v>
      </c>
      <c r="AO52" s="4">
        <v>3003</v>
      </c>
      <c r="AP52" s="4">
        <v>2054</v>
      </c>
    </row>
    <row r="53" spans="2:42" ht="12.7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AG53" s="7"/>
      <c r="AH53" s="1"/>
      <c r="AI53" s="1"/>
      <c r="AJ53" s="1"/>
    </row>
    <row r="54" spans="2:42" ht="12.7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AG54" s="7"/>
      <c r="AH54" s="1"/>
      <c r="AI54" s="1"/>
      <c r="AJ54" s="1"/>
    </row>
    <row r="55" spans="2:42" ht="12.7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AG55" s="7"/>
      <c r="AH55" s="1"/>
      <c r="AI55" s="1"/>
      <c r="AJ55" s="1"/>
    </row>
    <row r="56" spans="2:42" ht="12.7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AG56" s="7"/>
      <c r="AH56" s="1"/>
      <c r="AI56" s="1"/>
      <c r="AJ56" s="1"/>
    </row>
    <row r="57" spans="2:42" ht="12.7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AG57" s="7"/>
      <c r="AH57" s="1"/>
      <c r="AI57" s="1"/>
      <c r="AJ57" s="1"/>
    </row>
    <row r="58" spans="2:42" ht="12.7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AG58" s="16"/>
      <c r="AH58" s="2"/>
      <c r="AI58" s="2"/>
      <c r="AJ58" s="1"/>
    </row>
    <row r="62" spans="2:42" ht="24.75" customHeight="1"/>
    <row r="70" spans="2:26" ht="61.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2:26" ht="36.75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2:26" ht="61.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2:26" ht="61.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2:26" ht="61.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2:26" ht="61.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2:26" ht="61.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2:26" ht="61.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</sheetData>
  <mergeCells count="11">
    <mergeCell ref="L3:L5"/>
    <mergeCell ref="AK45:AL45"/>
    <mergeCell ref="AM45:AN45"/>
    <mergeCell ref="AO45:AP45"/>
    <mergeCell ref="A1:L1"/>
    <mergeCell ref="A2:L2"/>
    <mergeCell ref="A3:A5"/>
    <mergeCell ref="AN5:AS5"/>
    <mergeCell ref="AH5:AM5"/>
    <mergeCell ref="B3:F3"/>
    <mergeCell ref="G3:K3"/>
  </mergeCells>
  <pageMargins left="0.7" right="0.7" top="0.75" bottom="0.75" header="0.3" footer="0.3"/>
  <pageSetup scale="53" orientation="portrait" r:id="rId1"/>
  <rowBreaks count="1" manualBreakCount="1">
    <brk id="63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8.33</vt:lpstr>
      <vt:lpstr>'8.33'!Print_Area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2021-09-29T03:03:08Z</cp:lastPrinted>
  <dcterms:created xsi:type="dcterms:W3CDTF">2019-06-30T04:22:49Z</dcterms:created>
  <dcterms:modified xsi:type="dcterms:W3CDTF">2021-09-29T03:03:17Z</dcterms:modified>
</cp:coreProperties>
</file>