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FINAL TABLES\web\8. Law and Order\"/>
    </mc:Choice>
  </mc:AlternateContent>
  <bookViews>
    <workbookView xWindow="0" yWindow="0" windowWidth="28740" windowHeight="11730" tabRatio="820"/>
  </bookViews>
  <sheets>
    <sheet name="8.12" sheetId="12" r:id="rId1"/>
  </sheets>
  <definedNames>
    <definedName name="_xlnm.Print_Area" localSheetId="0">'8.12'!$A$1:$K$36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2" l="1"/>
  <c r="G7" i="12"/>
  <c r="G8" i="12"/>
  <c r="G9" i="12"/>
  <c r="G10" i="12"/>
  <c r="G11" i="12"/>
  <c r="G12" i="12"/>
  <c r="G13" i="12"/>
  <c r="G14" i="12"/>
  <c r="G15" i="12"/>
  <c r="G16" i="12"/>
  <c r="G17" i="12"/>
  <c r="F5" i="12"/>
  <c r="H9" i="12" s="1"/>
  <c r="H12" i="12" l="1"/>
  <c r="H15" i="12"/>
  <c r="H11" i="12"/>
  <c r="H5" i="12"/>
  <c r="H14" i="12"/>
  <c r="H10" i="12"/>
  <c r="H6" i="12"/>
  <c r="H16" i="12"/>
  <c r="H8" i="12"/>
  <c r="H7" i="12"/>
  <c r="H17" i="12"/>
  <c r="H13" i="12"/>
  <c r="E5" i="12" l="1"/>
  <c r="G5" i="12" s="1"/>
  <c r="D5" i="12" l="1"/>
  <c r="C5" i="12"/>
  <c r="B5" i="12"/>
</calcChain>
</file>

<file path=xl/sharedStrings.xml><?xml version="1.0" encoding="utf-8"?>
<sst xmlns="http://schemas.openxmlformats.org/spreadsheetml/2006/main" count="50" uniqueCount="40">
  <si>
    <t>Theft</t>
  </si>
  <si>
    <t>Total</t>
  </si>
  <si>
    <t>wlcmuj</t>
  </si>
  <si>
    <t>Traffic accidents</t>
  </si>
  <si>
    <t>ވައްކަން</t>
  </si>
  <si>
    <t>Drugs</t>
  </si>
  <si>
    <t>Assault</t>
  </si>
  <si>
    <t>Others</t>
  </si>
  <si>
    <t>މަސްތުވާތަކެތި</t>
  </si>
  <si>
    <t>Lost Items</t>
  </si>
  <si>
    <t>ގެއްލޭތަކެތި</t>
  </si>
  <si>
    <t>Robbery</t>
  </si>
  <si>
    <t>މާރާމާރީ</t>
  </si>
  <si>
    <t>Vandalism</t>
  </si>
  <si>
    <t>މުދަލަށް ގެއްލުންދިނުން</t>
  </si>
  <si>
    <t>ފޭރުން</t>
  </si>
  <si>
    <t>Traffic Accidents</t>
  </si>
  <si>
    <t>Embezzlement</t>
  </si>
  <si>
    <t>Sexual offences</t>
  </si>
  <si>
    <t>ބަދުއަޙްލާޤީ</t>
  </si>
  <si>
    <t>Domestic violence</t>
  </si>
  <si>
    <t>މަކަރާއި ޙީލަތް</t>
  </si>
  <si>
    <t>Counterfeit and forgery</t>
  </si>
  <si>
    <t>އާއިލީ</t>
  </si>
  <si>
    <t>އެހެނިހެން</t>
  </si>
  <si>
    <t>Lost items</t>
  </si>
  <si>
    <t>Source: Maldives Police Service</t>
  </si>
  <si>
    <t>csivrws csilop cscviDclOm :Ivcaed utWmUluAwm</t>
  </si>
  <si>
    <t>Type of case</t>
  </si>
  <si>
    <t>ޓްރެފިކް އެކްސިޑެންޓްސް</t>
  </si>
  <si>
    <t>ވަގުފައިސާ</t>
  </si>
  <si>
    <t xml:space="preserve"> މައްސަލައިގެ ބާވަތް</t>
  </si>
  <si>
    <t xml:space="preserve">  ކުރީ އަހަރާއި  އަޅާބަލާއިރު  އިތުރުވި މިންވަރު</t>
  </si>
  <si>
    <t>Logged cases</t>
  </si>
  <si>
    <t>Completed cases</t>
  </si>
  <si>
    <t>%change over 2019</t>
  </si>
  <si>
    <t>އިންސައްތަ 2020</t>
  </si>
  <si>
    <t>Percentage share 2020</t>
  </si>
  <si>
    <t>Table  8.12: COMPLETED CASES BY TYPE, 2016 - 2020</t>
  </si>
  <si>
    <t>ތާވަލު 8.12: ނިންމުނު މައްސަލަތައް، 2016- 2020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</si>
</sst>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Faruma"/>
      <family val="3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000000"/>
      <name val="Faruma"/>
      <family val="3"/>
    </font>
    <font>
      <sz val="10"/>
      <color rgb="FFFF0000"/>
      <name val="Courier"/>
      <family val="3"/>
    </font>
    <font>
      <sz val="10"/>
      <name val="Faruma"/>
      <family val="3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name val="Calibri"/>
      <family val="2"/>
      <scheme val="minor"/>
    </font>
    <font>
      <sz val="9"/>
      <name val="Courier"/>
      <family val="3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b/>
      <sz val="10"/>
      <name val="Courier"/>
      <family val="3"/>
    </font>
    <font>
      <sz val="9"/>
      <name val="Faruma"/>
      <family val="3"/>
    </font>
    <font>
      <b/>
      <sz val="9"/>
      <name val="Faruma"/>
      <family val="3"/>
    </font>
    <font>
      <b/>
      <sz val="10"/>
      <color rgb="FFFF0000"/>
      <name val="Courier"/>
      <family val="3"/>
    </font>
    <font>
      <i/>
      <sz val="10"/>
      <name val="Courier"/>
      <family val="3"/>
    </font>
    <font>
      <sz val="10"/>
      <name val="Arial"/>
      <family val="2"/>
    </font>
    <font>
      <b/>
      <sz val="15"/>
      <color theme="3"/>
      <name val="Arial Mäori"/>
      <family val="2"/>
    </font>
    <font>
      <b/>
      <sz val="10"/>
      <name val="A_Faseyha"/>
    </font>
    <font>
      <sz val="8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166" fontId="15" fillId="0" borderId="0" applyFont="0" applyFill="0" applyBorder="0" applyAlignment="0" applyProtection="0"/>
    <xf numFmtId="9" fontId="16" fillId="0" borderId="0" applyFont="0" applyFill="0" applyBorder="0" applyAlignment="0" applyProtection="0"/>
    <xf numFmtId="167" fontId="16" fillId="0" borderId="0"/>
    <xf numFmtId="0" fontId="23" fillId="0" borderId="7" applyNumberFormat="0" applyFill="0" applyAlignment="0" applyProtection="0"/>
    <xf numFmtId="0" fontId="22" fillId="0" borderId="0"/>
    <xf numFmtId="0" fontId="22" fillId="0" borderId="0"/>
  </cellStyleXfs>
  <cellXfs count="44">
    <xf numFmtId="0" fontId="0" fillId="0" borderId="0" xfId="0"/>
    <xf numFmtId="164" fontId="0" fillId="2" borderId="0" xfId="0" applyNumberFormat="1" applyFill="1"/>
    <xf numFmtId="164" fontId="7" fillId="2" borderId="0" xfId="0" applyNumberFormat="1" applyFont="1" applyFill="1"/>
    <xf numFmtId="164" fontId="4" fillId="2" borderId="0" xfId="0" applyNumberFormat="1" applyFont="1" applyFill="1" applyBorder="1" applyAlignment="1">
      <alignment vertical="center"/>
    </xf>
    <xf numFmtId="164" fontId="9" fillId="2" borderId="0" xfId="0" applyNumberFormat="1" applyFont="1" applyFill="1" applyBorder="1" applyAlignment="1">
      <alignment vertical="center"/>
    </xf>
    <xf numFmtId="166" fontId="10" fillId="2" borderId="0" xfId="1" applyNumberFormat="1" applyFont="1" applyFill="1" applyBorder="1" applyAlignment="1">
      <alignment horizontal="center"/>
    </xf>
    <xf numFmtId="3" fontId="11" fillId="2" borderId="0" xfId="0" applyNumberFormat="1" applyFont="1" applyFill="1" applyAlignment="1">
      <alignment horizontal="right" vertical="top"/>
    </xf>
    <xf numFmtId="167" fontId="13" fillId="2" borderId="0" xfId="1" applyNumberFormat="1" applyFont="1" applyFill="1" applyBorder="1" applyAlignment="1">
      <alignment horizontal="right"/>
    </xf>
    <xf numFmtId="164" fontId="17" fillId="2" borderId="0" xfId="0" applyNumberFormat="1" applyFont="1" applyFill="1"/>
    <xf numFmtId="164" fontId="8" fillId="2" borderId="0" xfId="0" applyNumberFormat="1" applyFont="1" applyFill="1" applyBorder="1" applyAlignment="1" applyProtection="1">
      <alignment horizontal="right" vertical="center" indent="1"/>
    </xf>
    <xf numFmtId="164" fontId="8" fillId="2" borderId="4" xfId="0" applyNumberFormat="1" applyFont="1" applyFill="1" applyBorder="1" applyAlignment="1" applyProtection="1">
      <alignment horizontal="right" vertical="center" indent="1"/>
    </xf>
    <xf numFmtId="164" fontId="12" fillId="2" borderId="0" xfId="0" applyNumberFormat="1" applyFont="1" applyFill="1"/>
    <xf numFmtId="164" fontId="14" fillId="2" borderId="5" xfId="0" applyNumberFormat="1" applyFont="1" applyFill="1" applyBorder="1" applyAlignment="1" applyProtection="1">
      <alignment vertical="center"/>
    </xf>
    <xf numFmtId="164" fontId="9" fillId="2" borderId="0" xfId="0" applyNumberFormat="1" applyFont="1" applyFill="1" applyBorder="1"/>
    <xf numFmtId="164" fontId="10" fillId="2" borderId="0" xfId="0" applyNumberFormat="1" applyFont="1" applyFill="1" applyBorder="1"/>
    <xf numFmtId="164" fontId="18" fillId="2" borderId="0" xfId="0" applyNumberFormat="1" applyFont="1" applyFill="1" applyBorder="1" applyAlignment="1" applyProtection="1">
      <alignment horizontal="right" vertical="center"/>
    </xf>
    <xf numFmtId="164" fontId="9" fillId="2" borderId="0" xfId="0" applyNumberFormat="1" applyFont="1" applyFill="1" applyBorder="1" applyAlignment="1">
      <alignment horizontal="left" vertical="center" indent="1"/>
    </xf>
    <xf numFmtId="164" fontId="9" fillId="2" borderId="4" xfId="0" applyNumberFormat="1" applyFont="1" applyFill="1" applyBorder="1" applyAlignment="1">
      <alignment horizontal="left" vertical="center" indent="1"/>
    </xf>
    <xf numFmtId="164" fontId="21" fillId="2" borderId="0" xfId="0" applyNumberFormat="1" applyFont="1" applyFill="1"/>
    <xf numFmtId="164" fontId="9" fillId="2" borderId="4" xfId="0" applyNumberFormat="1" applyFont="1" applyFill="1" applyBorder="1" applyAlignment="1">
      <alignment vertical="center"/>
    </xf>
    <xf numFmtId="164" fontId="5" fillId="2" borderId="4" xfId="0" applyNumberFormat="1" applyFont="1" applyFill="1" applyBorder="1" applyAlignment="1">
      <alignment horizontal="center" vertical="center" wrapText="1"/>
    </xf>
    <xf numFmtId="164" fontId="20" fillId="2" borderId="0" xfId="0" applyNumberFormat="1" applyFont="1" applyFill="1"/>
    <xf numFmtId="164" fontId="4" fillId="2" borderId="3" xfId="0" applyNumberFormat="1" applyFont="1" applyFill="1" applyBorder="1"/>
    <xf numFmtId="166" fontId="4" fillId="2" borderId="3" xfId="1" applyNumberFormat="1" applyFont="1" applyFill="1" applyBorder="1" applyAlignment="1">
      <alignment horizontal="center" vertical="center"/>
    </xf>
    <xf numFmtId="166" fontId="9" fillId="2" borderId="0" xfId="1" applyNumberFormat="1" applyFont="1" applyFill="1" applyBorder="1" applyAlignment="1">
      <alignment horizontal="center" vertical="center"/>
    </xf>
    <xf numFmtId="166" fontId="9" fillId="2" borderId="4" xfId="1" applyNumberFormat="1" applyFont="1" applyFill="1" applyBorder="1" applyAlignment="1">
      <alignment horizontal="center" vertical="center"/>
    </xf>
    <xf numFmtId="3" fontId="13" fillId="2" borderId="0" xfId="0" applyNumberFormat="1" applyFont="1" applyFill="1" applyAlignment="1">
      <alignment horizontal="right" vertical="center" indent="2"/>
    </xf>
    <xf numFmtId="164" fontId="7" fillId="2" borderId="0" xfId="0" applyNumberFormat="1" applyFont="1" applyFill="1" applyAlignment="1">
      <alignment horizontal="right"/>
    </xf>
    <xf numFmtId="166" fontId="3" fillId="2" borderId="0" xfId="1" applyNumberFormat="1" applyFont="1" applyFill="1" applyBorder="1" applyAlignment="1" applyProtection="1">
      <alignment horizontal="right" vertical="center"/>
      <protection locked="0"/>
    </xf>
    <xf numFmtId="3" fontId="11" fillId="2" borderId="0" xfId="0" applyNumberFormat="1" applyFont="1" applyFill="1" applyBorder="1" applyAlignment="1">
      <alignment horizontal="center" vertical="center"/>
    </xf>
    <xf numFmtId="3" fontId="11" fillId="2" borderId="4" xfId="0" applyNumberFormat="1" applyFont="1" applyFill="1" applyBorder="1" applyAlignment="1">
      <alignment horizontal="center" vertical="center"/>
    </xf>
    <xf numFmtId="164" fontId="24" fillId="2" borderId="6" xfId="0" applyNumberFormat="1" applyFont="1" applyFill="1" applyBorder="1" applyAlignment="1" applyProtection="1">
      <alignment horizontal="right" vertical="center"/>
    </xf>
    <xf numFmtId="164" fontId="25" fillId="2" borderId="5" xfId="0" applyNumberFormat="1" applyFont="1" applyFill="1" applyBorder="1" applyAlignment="1">
      <alignment horizontal="right" vertical="center"/>
    </xf>
    <xf numFmtId="3" fontId="11" fillId="2" borderId="9" xfId="0" applyNumberFormat="1" applyFont="1" applyFill="1" applyBorder="1" applyAlignment="1">
      <alignment horizontal="center" vertical="center"/>
    </xf>
    <xf numFmtId="164" fontId="6" fillId="2" borderId="3" xfId="0" applyNumberFormat="1" applyFont="1" applyFill="1" applyBorder="1" applyAlignment="1">
      <alignment horizontal="center" vertical="center" wrapText="1"/>
    </xf>
    <xf numFmtId="164" fontId="4" fillId="2" borderId="3" xfId="0" applyNumberFormat="1" applyFont="1" applyFill="1" applyBorder="1" applyAlignment="1">
      <alignment horizontal="right" vertical="center"/>
    </xf>
    <xf numFmtId="164" fontId="4" fillId="2" borderId="4" xfId="0" applyNumberFormat="1" applyFont="1" applyFill="1" applyBorder="1" applyAlignment="1">
      <alignment horizontal="right" vertical="center"/>
    </xf>
    <xf numFmtId="164" fontId="8" fillId="2" borderId="4" xfId="0" applyNumberFormat="1" applyFont="1" applyFill="1" applyBorder="1" applyAlignment="1">
      <alignment horizontal="right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top"/>
    </xf>
    <xf numFmtId="164" fontId="3" fillId="2" borderId="8" xfId="0" applyNumberFormat="1" applyFont="1" applyFill="1" applyBorder="1" applyAlignment="1">
      <alignment horizontal="center" vertical="top"/>
    </xf>
    <xf numFmtId="164" fontId="19" fillId="2" borderId="3" xfId="0" applyNumberFormat="1" applyFont="1" applyFill="1" applyBorder="1" applyAlignment="1" applyProtection="1">
      <alignment horizontal="right" vertical="center" wrapText="1"/>
    </xf>
    <xf numFmtId="164" fontId="5" fillId="2" borderId="3" xfId="0" applyNumberFormat="1" applyFont="1" applyFill="1" applyBorder="1" applyAlignment="1">
      <alignment horizontal="left" vertical="center" wrapText="1"/>
    </xf>
    <xf numFmtId="164" fontId="5" fillId="2" borderId="4" xfId="0" applyNumberFormat="1" applyFont="1" applyFill="1" applyBorder="1" applyAlignment="1">
      <alignment horizontal="left" vertical="center" wrapText="1"/>
    </xf>
  </cellXfs>
  <cellStyles count="8">
    <cellStyle name="1" xfId="7"/>
    <cellStyle name="Comma" xfId="1" builtinId="3"/>
    <cellStyle name="Comma 2" xfId="2"/>
    <cellStyle name="Heading 1 2" xfId="5"/>
    <cellStyle name="Normal" xfId="0" builtinId="0"/>
    <cellStyle name="Normal 2" xfId="6"/>
    <cellStyle name="Normal 3" xfId="4"/>
    <cellStyle name="Percent 2" xfId="3"/>
  </cellStyles>
  <dxfs count="0"/>
  <tableStyles count="0" defaultTableStyle="TableStyleMedium2" defaultPivotStyle="PivotStyleLight16"/>
  <colors>
    <mruColors>
      <color rgb="FF33CCCC"/>
      <color rgb="FFCCF4F2"/>
      <color rgb="FFEAFAFA"/>
      <color rgb="FFFF9900"/>
      <color rgb="FF249390"/>
      <color rgb="FFDDF8F7"/>
      <color rgb="FF006664"/>
      <color rgb="FF008080"/>
      <color rgb="FF196563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892076828624596E-2"/>
          <c:y val="0.15405528170113456"/>
          <c:w val="0.8967734754622837"/>
          <c:h val="0.49297282783734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'8.12'!$BF$19</c:f>
              <c:strCache>
                <c:ptCount val="1"/>
                <c:pt idx="0">
                  <c:v>Logged cases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strRef>
              <c:f>'8.12'!$BE$20:$BE$31</c:f>
              <c:strCache>
                <c:ptCount val="12"/>
                <c:pt idx="0">
                  <c:v>Theft</c:v>
                </c:pt>
                <c:pt idx="1">
                  <c:v>Traffic accidents</c:v>
                </c:pt>
                <c:pt idx="2">
                  <c:v>Drugs</c:v>
                </c:pt>
                <c:pt idx="3">
                  <c:v>Lost Items</c:v>
                </c:pt>
                <c:pt idx="4">
                  <c:v>Assault</c:v>
                </c:pt>
                <c:pt idx="5">
                  <c:v>Vandalism</c:v>
                </c:pt>
                <c:pt idx="6">
                  <c:v>Robbery</c:v>
                </c:pt>
                <c:pt idx="7">
                  <c:v>Sexual offences</c:v>
                </c:pt>
                <c:pt idx="8">
                  <c:v>Embezzlement</c:v>
                </c:pt>
                <c:pt idx="9">
                  <c:v>Domestic violence</c:v>
                </c:pt>
                <c:pt idx="10">
                  <c:v>Counterfeit and forgery</c:v>
                </c:pt>
                <c:pt idx="11">
                  <c:v>Others</c:v>
                </c:pt>
              </c:strCache>
            </c:strRef>
          </c:cat>
          <c:val>
            <c:numRef>
              <c:f>'8.12'!$BF$20:$BF$31</c:f>
              <c:numCache>
                <c:formatCode>#,##0</c:formatCode>
                <c:ptCount val="12"/>
                <c:pt idx="0">
                  <c:v>3581</c:v>
                </c:pt>
                <c:pt idx="1">
                  <c:v>1390</c:v>
                </c:pt>
                <c:pt idx="2">
                  <c:v>1420</c:v>
                </c:pt>
                <c:pt idx="3">
                  <c:v>720</c:v>
                </c:pt>
                <c:pt idx="4">
                  <c:v>661</c:v>
                </c:pt>
                <c:pt idx="5">
                  <c:v>395</c:v>
                </c:pt>
                <c:pt idx="6">
                  <c:v>348</c:v>
                </c:pt>
                <c:pt idx="7">
                  <c:v>490</c:v>
                </c:pt>
                <c:pt idx="8">
                  <c:v>609</c:v>
                </c:pt>
                <c:pt idx="9">
                  <c:v>245</c:v>
                </c:pt>
                <c:pt idx="10">
                  <c:v>108</c:v>
                </c:pt>
                <c:pt idx="11">
                  <c:v>2820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17-49AF-AB8D-510F36464AF3}"/>
            </c:ext>
          </c:extLst>
        </c:ser>
        <c:ser>
          <c:idx val="1"/>
          <c:order val="1"/>
          <c:tx>
            <c:strRef>
              <c:f>'8.12'!$BG$19</c:f>
              <c:strCache>
                <c:ptCount val="1"/>
                <c:pt idx="0">
                  <c:v>Completed cases</c:v>
                </c:pt>
              </c:strCache>
            </c:strRef>
          </c:tx>
          <c:spPr>
            <a:solidFill>
              <a:srgbClr val="FF9900"/>
            </a:solidFill>
          </c:spPr>
          <c:invertIfNegative val="0"/>
          <c:cat>
            <c:strRef>
              <c:f>'8.12'!$BE$20:$BE$31</c:f>
              <c:strCache>
                <c:ptCount val="12"/>
                <c:pt idx="0">
                  <c:v>Theft</c:v>
                </c:pt>
                <c:pt idx="1">
                  <c:v>Traffic accidents</c:v>
                </c:pt>
                <c:pt idx="2">
                  <c:v>Drugs</c:v>
                </c:pt>
                <c:pt idx="3">
                  <c:v>Lost Items</c:v>
                </c:pt>
                <c:pt idx="4">
                  <c:v>Assault</c:v>
                </c:pt>
                <c:pt idx="5">
                  <c:v>Vandalism</c:v>
                </c:pt>
                <c:pt idx="6">
                  <c:v>Robbery</c:v>
                </c:pt>
                <c:pt idx="7">
                  <c:v>Sexual offences</c:v>
                </c:pt>
                <c:pt idx="8">
                  <c:v>Embezzlement</c:v>
                </c:pt>
                <c:pt idx="9">
                  <c:v>Domestic violence</c:v>
                </c:pt>
                <c:pt idx="10">
                  <c:v>Counterfeit and forgery</c:v>
                </c:pt>
                <c:pt idx="11">
                  <c:v>Others</c:v>
                </c:pt>
              </c:strCache>
            </c:strRef>
          </c:cat>
          <c:val>
            <c:numRef>
              <c:f>'8.12'!$BG$20:$BG$31</c:f>
              <c:numCache>
                <c:formatCode>_-* #,##0_-;\-* #,##0_-;_-* "-"??_-;_-@_-</c:formatCode>
                <c:ptCount val="12"/>
                <c:pt idx="0">
                  <c:v>2891</c:v>
                </c:pt>
                <c:pt idx="1">
                  <c:v>1264</c:v>
                </c:pt>
                <c:pt idx="2">
                  <c:v>1033</c:v>
                </c:pt>
                <c:pt idx="3">
                  <c:v>684</c:v>
                </c:pt>
                <c:pt idx="4">
                  <c:v>449</c:v>
                </c:pt>
                <c:pt idx="5">
                  <c:v>326</c:v>
                </c:pt>
                <c:pt idx="6">
                  <c:v>299</c:v>
                </c:pt>
                <c:pt idx="7">
                  <c:v>222</c:v>
                </c:pt>
                <c:pt idx="8">
                  <c:v>261</c:v>
                </c:pt>
                <c:pt idx="9">
                  <c:v>127</c:v>
                </c:pt>
                <c:pt idx="10">
                  <c:v>39</c:v>
                </c:pt>
                <c:pt idx="11">
                  <c:v>1745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17-49AF-AB8D-510F36464A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44309120"/>
        <c:axId val="44319104"/>
      </c:barChart>
      <c:catAx>
        <c:axId val="4430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txPr>
          <a:bodyPr rot="-5400000" vert="horz"/>
          <a:lstStyle/>
          <a:p>
            <a:pPr>
              <a:defRPr sz="1050"/>
            </a:pPr>
            <a:endParaRPr lang="en-US"/>
          </a:p>
        </c:txPr>
        <c:crossAx val="44319104"/>
        <c:crosses val="autoZero"/>
        <c:auto val="1"/>
        <c:lblAlgn val="ctr"/>
        <c:lblOffset val="100"/>
        <c:noMultiLvlLbl val="0"/>
      </c:catAx>
      <c:valAx>
        <c:axId val="44319104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Number</a:t>
                </a:r>
              </a:p>
            </c:rich>
          </c:tx>
          <c:layout>
            <c:manualLayout>
              <c:xMode val="edge"/>
              <c:yMode val="edge"/>
              <c:x val="1.3574564107930101E-2"/>
              <c:y val="4.6498534965874333E-2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crossAx val="44309120"/>
        <c:crosses val="autoZero"/>
        <c:crossBetween val="between"/>
      </c:valAx>
      <c:spPr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39044373063475363"/>
          <c:y val="0.22859657286991969"/>
          <c:w val="0.37185165301445089"/>
          <c:h val="5.9757758139937604E-2"/>
        </c:manualLayout>
      </c:layout>
      <c:overlay val="0"/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900"/>
      </a:pPr>
      <a:endParaRPr lang="en-US"/>
    </a:p>
  </c:txPr>
  <c:printSettings>
    <c:headerFooter/>
    <c:pageMargins b="0.75000000000000389" l="0.70000000000000062" r="0.70000000000000062" t="0.75000000000000389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161926</xdr:colOff>
      <xdr:row>18</xdr:row>
      <xdr:rowOff>151244</xdr:rowOff>
    </xdr:from>
    <xdr:to>
      <xdr:col>8</xdr:col>
      <xdr:colOff>876300</xdr:colOff>
      <xdr:row>34</xdr:row>
      <xdr:rowOff>173355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19</xdr:row>
      <xdr:rowOff>114300</xdr:rowOff>
    </xdr:from>
    <xdr:to>
      <xdr:col>2</xdr:col>
      <xdr:colOff>0</xdr:colOff>
      <xdr:row>20</xdr:row>
      <xdr:rowOff>167640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 txBox="1"/>
      </xdr:nvSpPr>
      <xdr:spPr>
        <a:xfrm>
          <a:off x="1085850" y="4857750"/>
          <a:ext cx="2819400" cy="2438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100"/>
        </a:p>
      </xdr:txBody>
    </xdr:sp>
    <xdr:clientData/>
  </xdr:twoCellAnchor>
  <xdr:twoCellAnchor>
    <xdr:from>
      <xdr:col>1</xdr:col>
      <xdr:colOff>66676</xdr:colOff>
      <xdr:row>19</xdr:row>
      <xdr:rowOff>47625</xdr:rowOff>
    </xdr:from>
    <xdr:to>
      <xdr:col>8</xdr:col>
      <xdr:colOff>209550</xdr:colOff>
      <xdr:row>20</xdr:row>
      <xdr:rowOff>123825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 txBox="1"/>
      </xdr:nvSpPr>
      <xdr:spPr>
        <a:xfrm>
          <a:off x="1152526" y="5000625"/>
          <a:ext cx="4295774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j-lt"/>
              <a:ea typeface="+mn-ea"/>
              <a:cs typeface="Consolas" pitchFamily="49" charset="0"/>
            </a:rPr>
            <a:t>Figure 8.18: Number of  logged cases and those completed by type, 2020</a:t>
          </a:r>
          <a:endParaRPr lang="en-US">
            <a:effectLst/>
            <a:latin typeface="+mj-lt"/>
            <a:cs typeface="Consolas" pitchFamily="49" charset="0"/>
          </a:endParaRPr>
        </a:p>
        <a:p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rgb="FF92D050"/>
  </sheetPr>
  <dimension ref="A1:BH31"/>
  <sheetViews>
    <sheetView tabSelected="1" zoomScaleNormal="100" workbookViewId="0">
      <selection activeCell="BC13" sqref="BC13"/>
    </sheetView>
  </sheetViews>
  <sheetFormatPr defaultColWidth="9.140625" defaultRowHeight="15"/>
  <cols>
    <col min="1" max="1" width="16.28515625" style="1" customWidth="1"/>
    <col min="2" max="4" width="10.5703125" style="1" bestFit="1" customWidth="1"/>
    <col min="5" max="6" width="10.5703125" style="1" customWidth="1"/>
    <col min="7" max="7" width="16.42578125" style="1" customWidth="1"/>
    <col min="8" max="8" width="14.140625" style="1" customWidth="1"/>
    <col min="9" max="9" width="14.7109375" style="1" customWidth="1"/>
    <col min="10" max="10" width="1.28515625" style="1" customWidth="1"/>
    <col min="11" max="12" width="3.42578125" style="1" customWidth="1"/>
    <col min="13" max="13" width="7.85546875" style="1" customWidth="1"/>
    <col min="14" max="14" width="5.7109375" style="1" bestFit="1" customWidth="1"/>
    <col min="15" max="54" width="3.42578125" style="1" customWidth="1"/>
    <col min="55" max="16384" width="9.140625" style="1"/>
  </cols>
  <sheetData>
    <row r="1" spans="1:60" ht="21.75">
      <c r="A1" s="38" t="s">
        <v>39</v>
      </c>
      <c r="B1" s="38"/>
      <c r="C1" s="38"/>
      <c r="D1" s="38"/>
      <c r="E1" s="38"/>
      <c r="F1" s="38"/>
      <c r="G1" s="38"/>
      <c r="H1" s="38"/>
      <c r="I1" s="38"/>
    </row>
    <row r="2" spans="1:60" ht="21.75" customHeight="1">
      <c r="A2" s="39" t="s">
        <v>38</v>
      </c>
      <c r="B2" s="39"/>
      <c r="C2" s="39"/>
      <c r="D2" s="39"/>
      <c r="E2" s="40"/>
      <c r="F2" s="40"/>
      <c r="G2" s="39"/>
      <c r="H2" s="39"/>
      <c r="I2" s="39"/>
    </row>
    <row r="3" spans="1:60" ht="51.75">
      <c r="A3" s="42" t="s">
        <v>28</v>
      </c>
      <c r="B3" s="35">
        <v>2016</v>
      </c>
      <c r="C3" s="35">
        <v>2017</v>
      </c>
      <c r="D3" s="35">
        <v>2018</v>
      </c>
      <c r="E3" s="35">
        <v>2019</v>
      </c>
      <c r="F3" s="35">
        <v>2020</v>
      </c>
      <c r="G3" s="34" t="s">
        <v>32</v>
      </c>
      <c r="H3" s="34" t="s">
        <v>36</v>
      </c>
      <c r="I3" s="41" t="s">
        <v>31</v>
      </c>
      <c r="BD3" s="2"/>
      <c r="BE3" s="2"/>
      <c r="BF3" s="2"/>
      <c r="BG3" s="2"/>
      <c r="BH3" s="2"/>
    </row>
    <row r="4" spans="1:60" ht="24">
      <c r="A4" s="43"/>
      <c r="B4" s="36"/>
      <c r="C4" s="36"/>
      <c r="D4" s="36"/>
      <c r="E4" s="36"/>
      <c r="F4" s="36"/>
      <c r="G4" s="20" t="s">
        <v>35</v>
      </c>
      <c r="H4" s="20" t="s">
        <v>37</v>
      </c>
      <c r="I4" s="37"/>
      <c r="BC4" s="4"/>
      <c r="BD4" s="2"/>
      <c r="BE4" s="2"/>
      <c r="BF4" s="2"/>
      <c r="BG4" s="2"/>
      <c r="BH4" s="2"/>
    </row>
    <row r="5" spans="1:60" s="8" customFormat="1" ht="15.75">
      <c r="A5" s="22" t="s">
        <v>1</v>
      </c>
      <c r="B5" s="23">
        <f t="shared" ref="B5:C5" si="0">SUM(B6:B17)</f>
        <v>18901</v>
      </c>
      <c r="C5" s="23">
        <f t="shared" si="0"/>
        <v>16626</v>
      </c>
      <c r="D5" s="23">
        <f>SUM(D6:D17)</f>
        <v>14856</v>
      </c>
      <c r="E5" s="23">
        <f>SUM(E6:E17)</f>
        <v>15267</v>
      </c>
      <c r="F5" s="23">
        <f>SUM(F6:F17)</f>
        <v>9340</v>
      </c>
      <c r="G5" s="33">
        <f>((F5-E5)/E5*100)</f>
        <v>-38.822296456409248</v>
      </c>
      <c r="H5" s="33">
        <f>F5/$F$5*100</f>
        <v>100</v>
      </c>
      <c r="I5" s="31" t="s">
        <v>2</v>
      </c>
      <c r="BC5" s="4"/>
      <c r="BD5" s="21"/>
      <c r="BE5" s="21"/>
      <c r="BF5" s="21"/>
      <c r="BG5" s="21"/>
      <c r="BH5" s="21"/>
    </row>
    <row r="6" spans="1:60" ht="18.75">
      <c r="A6" s="16" t="s">
        <v>0</v>
      </c>
      <c r="B6" s="24">
        <v>4058</v>
      </c>
      <c r="C6" s="24">
        <v>3522</v>
      </c>
      <c r="D6" s="24">
        <v>3355</v>
      </c>
      <c r="E6" s="24">
        <v>4220</v>
      </c>
      <c r="F6" s="24">
        <v>2891</v>
      </c>
      <c r="G6" s="29">
        <f t="shared" ref="G6:G17" si="1">((F6-E6)/E6*100)</f>
        <v>-31.492890995260662</v>
      </c>
      <c r="H6" s="29">
        <f t="shared" ref="H6:H17" si="2">F6/$F$5*100</f>
        <v>30.952890792291221</v>
      </c>
      <c r="I6" s="9" t="s">
        <v>4</v>
      </c>
      <c r="M6" s="8"/>
      <c r="BC6" s="4"/>
      <c r="BD6" s="21"/>
      <c r="BE6" s="2"/>
      <c r="BF6" s="2"/>
      <c r="BG6" s="2"/>
      <c r="BH6" s="2"/>
    </row>
    <row r="7" spans="1:60" ht="18.75">
      <c r="A7" s="16" t="s">
        <v>16</v>
      </c>
      <c r="B7" s="24">
        <v>2336</v>
      </c>
      <c r="C7" s="24">
        <v>2108</v>
      </c>
      <c r="D7" s="24">
        <v>1936</v>
      </c>
      <c r="E7" s="24">
        <v>2316</v>
      </c>
      <c r="F7" s="24">
        <v>1264</v>
      </c>
      <c r="G7" s="29">
        <f t="shared" si="1"/>
        <v>-45.423143350604491</v>
      </c>
      <c r="H7" s="29">
        <f t="shared" si="2"/>
        <v>13.533190578158457</v>
      </c>
      <c r="I7" s="9" t="s">
        <v>29</v>
      </c>
      <c r="M7" s="8"/>
      <c r="BC7" s="4"/>
      <c r="BD7" s="21"/>
      <c r="BE7" s="2"/>
      <c r="BF7" s="2"/>
      <c r="BG7" s="2"/>
      <c r="BH7" s="2"/>
    </row>
    <row r="8" spans="1:60" ht="18.75">
      <c r="A8" s="16" t="s">
        <v>5</v>
      </c>
      <c r="B8" s="24">
        <v>3410</v>
      </c>
      <c r="C8" s="24">
        <v>2903</v>
      </c>
      <c r="D8" s="24">
        <v>2405</v>
      </c>
      <c r="E8" s="24">
        <v>2161</v>
      </c>
      <c r="F8" s="24">
        <v>1033</v>
      </c>
      <c r="G8" s="29">
        <f t="shared" si="1"/>
        <v>-52.198056455344741</v>
      </c>
      <c r="H8" s="29">
        <f t="shared" si="2"/>
        <v>11.059957173447538</v>
      </c>
      <c r="I8" s="9" t="s">
        <v>8</v>
      </c>
      <c r="M8" s="8"/>
      <c r="BC8" s="4"/>
      <c r="BD8" s="21"/>
      <c r="BE8" s="2"/>
      <c r="BF8" s="2"/>
      <c r="BG8" s="2"/>
      <c r="BH8" s="2"/>
    </row>
    <row r="9" spans="1:60" ht="18.75">
      <c r="A9" s="16" t="s">
        <v>25</v>
      </c>
      <c r="B9" s="24">
        <v>1850</v>
      </c>
      <c r="C9" s="24">
        <v>1659</v>
      </c>
      <c r="D9" s="24">
        <v>1790</v>
      </c>
      <c r="E9" s="24">
        <v>1780</v>
      </c>
      <c r="F9" s="24">
        <v>684</v>
      </c>
      <c r="G9" s="29">
        <f t="shared" si="1"/>
        <v>-61.573033707865164</v>
      </c>
      <c r="H9" s="29">
        <f t="shared" si="2"/>
        <v>7.3233404710920773</v>
      </c>
      <c r="I9" s="9" t="s">
        <v>10</v>
      </c>
      <c r="M9" s="8"/>
      <c r="BC9" s="4"/>
      <c r="BD9" s="21"/>
      <c r="BE9" s="2"/>
      <c r="BF9" s="2"/>
      <c r="BG9" s="2"/>
      <c r="BH9" s="2"/>
    </row>
    <row r="10" spans="1:60" ht="18.75">
      <c r="A10" s="16" t="s">
        <v>6</v>
      </c>
      <c r="B10" s="24">
        <v>997</v>
      </c>
      <c r="C10" s="24">
        <v>820</v>
      </c>
      <c r="D10" s="24">
        <v>745</v>
      </c>
      <c r="E10" s="24">
        <v>582</v>
      </c>
      <c r="F10" s="24">
        <v>449</v>
      </c>
      <c r="G10" s="29">
        <f t="shared" si="1"/>
        <v>-22.852233676975946</v>
      </c>
      <c r="H10" s="29">
        <f t="shared" si="2"/>
        <v>4.8072805139186299</v>
      </c>
      <c r="I10" s="9" t="s">
        <v>12</v>
      </c>
      <c r="M10" s="8"/>
      <c r="BC10" s="4"/>
      <c r="BD10" s="21"/>
      <c r="BE10" s="2"/>
      <c r="BF10" s="2"/>
      <c r="BG10" s="2"/>
      <c r="BH10" s="2"/>
    </row>
    <row r="11" spans="1:60" ht="18.75">
      <c r="A11" s="16" t="s">
        <v>13</v>
      </c>
      <c r="B11" s="24">
        <v>412</v>
      </c>
      <c r="C11" s="24">
        <v>456</v>
      </c>
      <c r="D11" s="24">
        <v>451</v>
      </c>
      <c r="E11" s="24">
        <v>426</v>
      </c>
      <c r="F11" s="24">
        <v>326</v>
      </c>
      <c r="G11" s="29">
        <f t="shared" si="1"/>
        <v>-23.474178403755868</v>
      </c>
      <c r="H11" s="29">
        <f t="shared" si="2"/>
        <v>3.4903640256959316</v>
      </c>
      <c r="I11" s="9" t="s">
        <v>14</v>
      </c>
      <c r="M11" s="8"/>
      <c r="BC11" s="4"/>
      <c r="BD11" s="21"/>
      <c r="BE11" s="2"/>
      <c r="BF11" s="2"/>
      <c r="BG11" s="2"/>
      <c r="BH11" s="2"/>
    </row>
    <row r="12" spans="1:60" ht="18.75">
      <c r="A12" s="16" t="s">
        <v>11</v>
      </c>
      <c r="B12" s="24">
        <v>757</v>
      </c>
      <c r="C12" s="24">
        <v>668</v>
      </c>
      <c r="D12" s="24">
        <v>513</v>
      </c>
      <c r="E12" s="24">
        <v>486</v>
      </c>
      <c r="F12" s="24">
        <v>299</v>
      </c>
      <c r="G12" s="29">
        <f t="shared" si="1"/>
        <v>-38.477366255144034</v>
      </c>
      <c r="H12" s="29">
        <f t="shared" si="2"/>
        <v>3.2012847965738755</v>
      </c>
      <c r="I12" s="9" t="s">
        <v>15</v>
      </c>
      <c r="M12" s="8"/>
      <c r="BC12" s="4"/>
      <c r="BD12" s="21"/>
      <c r="BE12" s="2"/>
      <c r="BF12" s="2"/>
      <c r="BG12" s="2"/>
      <c r="BH12" s="2"/>
    </row>
    <row r="13" spans="1:60" ht="18.75">
      <c r="A13" s="16" t="s">
        <v>18</v>
      </c>
      <c r="B13" s="24">
        <v>643</v>
      </c>
      <c r="C13" s="24">
        <v>507</v>
      </c>
      <c r="D13" s="24">
        <v>346</v>
      </c>
      <c r="E13" s="24">
        <v>393</v>
      </c>
      <c r="F13" s="24">
        <v>222</v>
      </c>
      <c r="G13" s="29">
        <f t="shared" si="1"/>
        <v>-43.511450381679388</v>
      </c>
      <c r="H13" s="29">
        <f t="shared" si="2"/>
        <v>2.3768736616702353</v>
      </c>
      <c r="I13" s="9" t="s">
        <v>19</v>
      </c>
      <c r="M13" s="8"/>
      <c r="BC13" s="4"/>
      <c r="BD13" s="21"/>
      <c r="BE13" s="2"/>
      <c r="BF13" s="2"/>
      <c r="BG13" s="2"/>
      <c r="BH13" s="2"/>
    </row>
    <row r="14" spans="1:60" ht="18.75">
      <c r="A14" s="16" t="s">
        <v>17</v>
      </c>
      <c r="B14" s="24">
        <v>590</v>
      </c>
      <c r="C14" s="24">
        <v>515</v>
      </c>
      <c r="D14" s="24">
        <v>506</v>
      </c>
      <c r="E14" s="24">
        <v>386</v>
      </c>
      <c r="F14" s="24">
        <v>261</v>
      </c>
      <c r="G14" s="29">
        <f t="shared" si="1"/>
        <v>-32.383419689119172</v>
      </c>
      <c r="H14" s="29">
        <f t="shared" si="2"/>
        <v>2.7944325481798713</v>
      </c>
      <c r="I14" s="9" t="s">
        <v>21</v>
      </c>
      <c r="M14" s="8"/>
      <c r="BC14" s="4"/>
      <c r="BD14" s="21"/>
      <c r="BE14" s="2"/>
      <c r="BF14" s="2"/>
      <c r="BG14" s="2"/>
      <c r="BH14" s="2"/>
    </row>
    <row r="15" spans="1:60" ht="18.75">
      <c r="A15" s="16" t="s">
        <v>20</v>
      </c>
      <c r="B15" s="24">
        <v>341</v>
      </c>
      <c r="C15" s="24">
        <v>273</v>
      </c>
      <c r="D15" s="24">
        <v>218</v>
      </c>
      <c r="E15" s="24">
        <v>172</v>
      </c>
      <c r="F15" s="24">
        <v>127</v>
      </c>
      <c r="G15" s="29">
        <f t="shared" si="1"/>
        <v>-26.162790697674421</v>
      </c>
      <c r="H15" s="29">
        <f t="shared" si="2"/>
        <v>1.3597430406852249</v>
      </c>
      <c r="I15" s="9" t="s">
        <v>23</v>
      </c>
      <c r="M15" s="8"/>
      <c r="BC15" s="4"/>
      <c r="BD15" s="21"/>
      <c r="BE15" s="2"/>
      <c r="BF15" s="2"/>
      <c r="BG15" s="2"/>
      <c r="BH15" s="2"/>
    </row>
    <row r="16" spans="1:60" ht="18.75">
      <c r="A16" s="16" t="s">
        <v>22</v>
      </c>
      <c r="B16" s="24">
        <v>126</v>
      </c>
      <c r="C16" s="24">
        <v>94</v>
      </c>
      <c r="D16" s="24">
        <v>59</v>
      </c>
      <c r="E16" s="24">
        <v>52</v>
      </c>
      <c r="F16" s="24">
        <v>39</v>
      </c>
      <c r="G16" s="29">
        <f t="shared" si="1"/>
        <v>-25</v>
      </c>
      <c r="H16" s="29">
        <f t="shared" si="2"/>
        <v>0.41755888650963602</v>
      </c>
      <c r="I16" s="9" t="s">
        <v>30</v>
      </c>
      <c r="M16" s="8"/>
      <c r="BC16" s="4"/>
      <c r="BD16" s="21"/>
      <c r="BE16" s="2"/>
      <c r="BF16" s="2"/>
      <c r="BG16" s="2"/>
      <c r="BH16" s="2"/>
    </row>
    <row r="17" spans="1:60" ht="18.75">
      <c r="A17" s="17" t="s">
        <v>7</v>
      </c>
      <c r="B17" s="25">
        <v>3381</v>
      </c>
      <c r="C17" s="25">
        <v>3101</v>
      </c>
      <c r="D17" s="25">
        <v>2532</v>
      </c>
      <c r="E17" s="25">
        <v>2293</v>
      </c>
      <c r="F17" s="25">
        <v>1745</v>
      </c>
      <c r="G17" s="30">
        <f t="shared" si="1"/>
        <v>-23.898822503270825</v>
      </c>
      <c r="H17" s="30">
        <f t="shared" si="2"/>
        <v>18.683083511777301</v>
      </c>
      <c r="I17" s="10" t="s">
        <v>24</v>
      </c>
      <c r="M17" s="8"/>
      <c r="BC17" s="4"/>
      <c r="BD17" s="21"/>
      <c r="BE17" s="2"/>
      <c r="BF17" s="2"/>
      <c r="BG17" s="2"/>
      <c r="BH17" s="2"/>
    </row>
    <row r="18" spans="1:60">
      <c r="A18" s="12" t="s">
        <v>26</v>
      </c>
      <c r="B18" s="11"/>
      <c r="C18" s="11"/>
      <c r="D18" s="11"/>
      <c r="E18" s="11"/>
      <c r="F18" s="11"/>
      <c r="G18" s="26"/>
      <c r="H18" s="26"/>
      <c r="I18" s="32" t="s">
        <v>27</v>
      </c>
      <c r="BC18" s="4"/>
      <c r="BD18" s="2"/>
      <c r="BE18" s="2"/>
      <c r="BH18" s="2"/>
    </row>
    <row r="19" spans="1:60">
      <c r="BC19" s="4"/>
      <c r="BD19" s="2"/>
      <c r="BE19" s="3"/>
      <c r="BF19" s="27" t="s">
        <v>33</v>
      </c>
      <c r="BG19" s="28" t="s">
        <v>34</v>
      </c>
      <c r="BH19" s="2"/>
    </row>
    <row r="20" spans="1:60">
      <c r="A20" s="18"/>
      <c r="BC20" s="4"/>
      <c r="BD20" s="13"/>
      <c r="BE20" s="4" t="s">
        <v>0</v>
      </c>
      <c r="BF20" s="6">
        <v>3581</v>
      </c>
      <c r="BG20" s="24">
        <v>2891</v>
      </c>
    </row>
    <row r="21" spans="1:60">
      <c r="BC21" s="4"/>
      <c r="BD21" s="13"/>
      <c r="BE21" s="4" t="s">
        <v>3</v>
      </c>
      <c r="BF21" s="6">
        <v>1390</v>
      </c>
      <c r="BG21" s="24">
        <v>1264</v>
      </c>
    </row>
    <row r="22" spans="1:60">
      <c r="BC22" s="4"/>
      <c r="BD22" s="13"/>
      <c r="BE22" s="4" t="s">
        <v>5</v>
      </c>
      <c r="BF22" s="6">
        <v>1420</v>
      </c>
      <c r="BG22" s="24">
        <v>1033</v>
      </c>
    </row>
    <row r="23" spans="1:60">
      <c r="BC23" s="4"/>
      <c r="BD23" s="13"/>
      <c r="BE23" s="4" t="s">
        <v>9</v>
      </c>
      <c r="BF23" s="6">
        <v>720</v>
      </c>
      <c r="BG23" s="24">
        <v>684</v>
      </c>
    </row>
    <row r="24" spans="1:60">
      <c r="BC24" s="4"/>
      <c r="BD24" s="13"/>
      <c r="BE24" s="4" t="s">
        <v>6</v>
      </c>
      <c r="BF24" s="6">
        <v>661</v>
      </c>
      <c r="BG24" s="24">
        <v>449</v>
      </c>
    </row>
    <row r="25" spans="1:60" ht="17.25">
      <c r="A25" s="14"/>
      <c r="B25" s="5"/>
      <c r="C25" s="5"/>
      <c r="D25" s="5"/>
      <c r="E25" s="5"/>
      <c r="F25" s="5"/>
      <c r="G25" s="7"/>
      <c r="H25" s="7"/>
      <c r="I25" s="15"/>
      <c r="BC25" s="4"/>
      <c r="BD25" s="13"/>
      <c r="BE25" s="4" t="s">
        <v>13</v>
      </c>
      <c r="BF25" s="6">
        <v>395</v>
      </c>
      <c r="BG25" s="24">
        <v>326</v>
      </c>
    </row>
    <row r="26" spans="1:60">
      <c r="BC26" s="4"/>
      <c r="BD26" s="13"/>
      <c r="BE26" s="4" t="s">
        <v>11</v>
      </c>
      <c r="BF26" s="6">
        <v>348</v>
      </c>
      <c r="BG26" s="24">
        <v>299</v>
      </c>
    </row>
    <row r="27" spans="1:60">
      <c r="BD27" s="13"/>
      <c r="BE27" s="4" t="s">
        <v>18</v>
      </c>
      <c r="BF27" s="6">
        <v>490</v>
      </c>
      <c r="BG27" s="24">
        <v>222</v>
      </c>
    </row>
    <row r="28" spans="1:60">
      <c r="BD28" s="13"/>
      <c r="BE28" s="4" t="s">
        <v>17</v>
      </c>
      <c r="BF28" s="6">
        <v>609</v>
      </c>
      <c r="BG28" s="24">
        <v>261</v>
      </c>
    </row>
    <row r="29" spans="1:60">
      <c r="BD29" s="13"/>
      <c r="BE29" s="4" t="s">
        <v>20</v>
      </c>
      <c r="BF29" s="6">
        <v>245</v>
      </c>
      <c r="BG29" s="24">
        <v>127</v>
      </c>
    </row>
    <row r="30" spans="1:60">
      <c r="BD30" s="13"/>
      <c r="BE30" s="4" t="s">
        <v>22</v>
      </c>
      <c r="BF30" s="6">
        <v>108</v>
      </c>
      <c r="BG30" s="24">
        <v>39</v>
      </c>
    </row>
    <row r="31" spans="1:60">
      <c r="BD31" s="13"/>
      <c r="BE31" s="19" t="s">
        <v>7</v>
      </c>
      <c r="BF31" s="6">
        <v>2820</v>
      </c>
      <c r="BG31" s="24">
        <v>1745</v>
      </c>
    </row>
  </sheetData>
  <mergeCells count="9">
    <mergeCell ref="C3:C4"/>
    <mergeCell ref="D3:D4"/>
    <mergeCell ref="I3:I4"/>
    <mergeCell ref="E3:E4"/>
    <mergeCell ref="F3:F4"/>
    <mergeCell ref="A1:I1"/>
    <mergeCell ref="A2:I2"/>
    <mergeCell ref="A3:A4"/>
    <mergeCell ref="B3:B4"/>
  </mergeCells>
  <pageMargins left="0.7" right="0.7" top="0.75" bottom="0.75" header="0.3" footer="0.3"/>
  <pageSetup paperSize="9" scale="75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8.12</vt:lpstr>
      <vt:lpstr>'8.12'!Print_Area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2021-09-28T03:14:01Z</cp:lastPrinted>
  <dcterms:created xsi:type="dcterms:W3CDTF">2019-06-30T04:22:49Z</dcterms:created>
  <dcterms:modified xsi:type="dcterms:W3CDTF">2021-09-28T03:14:09Z</dcterms:modified>
</cp:coreProperties>
</file>