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8. Law and Order\"/>
    </mc:Choice>
  </mc:AlternateContent>
  <bookViews>
    <workbookView xWindow="0" yWindow="0" windowWidth="28740" windowHeight="11730" tabRatio="828"/>
  </bookViews>
  <sheets>
    <sheet name="8.16" sheetId="15" r:id="rId1"/>
  </sheets>
  <definedNames>
    <definedName name="_xlnm.Print_Area" localSheetId="0">'8.16'!$A$1:$O$53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2" i="15" l="1"/>
  <c r="F23" i="15"/>
  <c r="F24" i="15"/>
  <c r="F25" i="15"/>
  <c r="F26" i="15"/>
  <c r="F27" i="15"/>
  <c r="F28" i="15"/>
  <c r="F29" i="15"/>
  <c r="F30" i="15"/>
  <c r="F31" i="15"/>
  <c r="F32" i="15"/>
  <c r="F33" i="15"/>
  <c r="F34" i="15"/>
  <c r="F11" i="15"/>
  <c r="F12" i="15"/>
  <c r="F13" i="15"/>
  <c r="F14" i="15"/>
  <c r="F15" i="15"/>
  <c r="F16" i="15"/>
  <c r="F17" i="15"/>
  <c r="F18" i="15"/>
  <c r="F19" i="15"/>
  <c r="F20" i="15"/>
  <c r="F10" i="15"/>
  <c r="G21" i="15" l="1"/>
  <c r="H21" i="15"/>
  <c r="I21" i="15"/>
  <c r="F21" i="15" l="1"/>
  <c r="L21" i="15" l="1"/>
  <c r="M21" i="15"/>
  <c r="K21" i="15"/>
  <c r="J21" i="15" l="1"/>
  <c r="J34" i="15" l="1"/>
  <c r="E34" i="15"/>
  <c r="D34" i="15"/>
  <c r="C34" i="15"/>
  <c r="J33" i="15"/>
  <c r="E33" i="15"/>
  <c r="D33" i="15"/>
  <c r="C33" i="15"/>
  <c r="J32" i="15"/>
  <c r="E32" i="15"/>
  <c r="D32" i="15"/>
  <c r="C32" i="15"/>
  <c r="J31" i="15"/>
  <c r="E31" i="15"/>
  <c r="D31" i="15"/>
  <c r="C31" i="15"/>
  <c r="J30" i="15"/>
  <c r="E30" i="15"/>
  <c r="D30" i="15"/>
  <c r="C30" i="15"/>
  <c r="J29" i="15"/>
  <c r="E29" i="15"/>
  <c r="D29" i="15"/>
  <c r="C29" i="15"/>
  <c r="J28" i="15"/>
  <c r="E28" i="15"/>
  <c r="D28" i="15"/>
  <c r="C28" i="15"/>
  <c r="J27" i="15"/>
  <c r="E27" i="15"/>
  <c r="D27" i="15"/>
  <c r="C27" i="15"/>
  <c r="J26" i="15"/>
  <c r="E26" i="15"/>
  <c r="D26" i="15"/>
  <c r="C26" i="15"/>
  <c r="J25" i="15"/>
  <c r="E25" i="15"/>
  <c r="D25" i="15"/>
  <c r="C25" i="15"/>
  <c r="J24" i="15"/>
  <c r="E24" i="15"/>
  <c r="D24" i="15"/>
  <c r="C24" i="15"/>
  <c r="J23" i="15"/>
  <c r="E23" i="15"/>
  <c r="D23" i="15"/>
  <c r="C23" i="15"/>
  <c r="J22" i="15"/>
  <c r="B22" i="15" s="1"/>
  <c r="E22" i="15"/>
  <c r="D22" i="15"/>
  <c r="C22" i="15"/>
  <c r="E21" i="15"/>
  <c r="D21" i="15"/>
  <c r="C21" i="15"/>
  <c r="J20" i="15"/>
  <c r="E20" i="15"/>
  <c r="D20" i="15"/>
  <c r="C20" i="15"/>
  <c r="J19" i="15"/>
  <c r="E19" i="15"/>
  <c r="D19" i="15"/>
  <c r="C19" i="15"/>
  <c r="J18" i="15"/>
  <c r="E18" i="15"/>
  <c r="D18" i="15"/>
  <c r="C18" i="15"/>
  <c r="J17" i="15"/>
  <c r="B17" i="15" s="1"/>
  <c r="E17" i="15"/>
  <c r="D17" i="15"/>
  <c r="C17" i="15"/>
  <c r="J16" i="15"/>
  <c r="E16" i="15"/>
  <c r="D16" i="15"/>
  <c r="C16" i="15"/>
  <c r="J15" i="15"/>
  <c r="E15" i="15"/>
  <c r="D15" i="15"/>
  <c r="C15" i="15"/>
  <c r="J14" i="15"/>
  <c r="E14" i="15"/>
  <c r="D14" i="15"/>
  <c r="C14" i="15"/>
  <c r="J13" i="15"/>
  <c r="E13" i="15"/>
  <c r="D13" i="15"/>
  <c r="C13" i="15"/>
  <c r="J12" i="15"/>
  <c r="E12" i="15"/>
  <c r="D12" i="15"/>
  <c r="C12" i="15"/>
  <c r="J11" i="15"/>
  <c r="E11" i="15"/>
  <c r="D11" i="15"/>
  <c r="C11" i="15"/>
  <c r="J10" i="15"/>
  <c r="E10" i="15"/>
  <c r="D10" i="15"/>
  <c r="C10" i="15"/>
  <c r="M9" i="15"/>
  <c r="Z15" i="15" s="1"/>
  <c r="L9" i="15"/>
  <c r="Z14" i="15" s="1"/>
  <c r="K9" i="15"/>
  <c r="I9" i="15"/>
  <c r="H9" i="15"/>
  <c r="Y14" i="15" s="1"/>
  <c r="G9" i="15"/>
  <c r="Y13" i="15" s="1"/>
  <c r="F9" i="15" l="1"/>
  <c r="B32" i="15"/>
  <c r="B18" i="15"/>
  <c r="B28" i="15"/>
  <c r="B13" i="15"/>
  <c r="B26" i="15"/>
  <c r="B16" i="15"/>
  <c r="B10" i="15"/>
  <c r="B14" i="15"/>
  <c r="B30" i="15"/>
  <c r="B27" i="15"/>
  <c r="B19" i="15"/>
  <c r="B34" i="15"/>
  <c r="B21" i="15"/>
  <c r="D9" i="15"/>
  <c r="Y4" i="15" s="1"/>
  <c r="E9" i="15"/>
  <c r="Z4" i="15" s="1"/>
  <c r="B15" i="15"/>
  <c r="B12" i="15"/>
  <c r="B25" i="15"/>
  <c r="B33" i="15"/>
  <c r="B23" i="15"/>
  <c r="B31" i="15"/>
  <c r="B20" i="15"/>
  <c r="J9" i="15"/>
  <c r="Y15" i="15"/>
  <c r="B29" i="15"/>
  <c r="B11" i="15"/>
  <c r="B24" i="15"/>
  <c r="Z13" i="15"/>
  <c r="C9" i="15"/>
  <c r="X4" i="15" s="1"/>
  <c r="Y7" i="15" l="1"/>
  <c r="Y11" i="15"/>
  <c r="Y16" i="15" s="1"/>
  <c r="Z11" i="15"/>
  <c r="Z16" i="15" s="1"/>
  <c r="Y8" i="15"/>
  <c r="B9" i="15"/>
  <c r="W4" i="15" s="1"/>
  <c r="Z7" i="15" l="1"/>
  <c r="Z8" i="15"/>
  <c r="Y9" i="15"/>
  <c r="Z9" i="15" l="1"/>
</calcChain>
</file>

<file path=xl/sharedStrings.xml><?xml version="1.0" encoding="utf-8"?>
<sst xmlns="http://schemas.openxmlformats.org/spreadsheetml/2006/main" count="104" uniqueCount="76">
  <si>
    <t>Theft</t>
  </si>
  <si>
    <t>Total</t>
  </si>
  <si>
    <t>Traffic accidents</t>
  </si>
  <si>
    <t>ވައްކަން</t>
  </si>
  <si>
    <t>Drugs</t>
  </si>
  <si>
    <t>ޓްރެފިކް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</si>
  <si>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</si>
  <si>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</si>
  <si>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</si>
  <si>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</si>
  <si>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</si>
  <si>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</si>
  <si>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</si>
  <si>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</si>
  <si>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Sexual Offences</t>
  </si>
  <si>
    <t>Threats; False Alarms</t>
  </si>
  <si>
    <t>ފޭރުން</t>
  </si>
  <si>
    <t>Embezzlement</t>
  </si>
  <si>
    <t>Domestic violence</t>
  </si>
  <si>
    <t>މަކަރާއި ޙީލަތް</t>
  </si>
  <si>
    <t>Counterfeit and forgery</t>
  </si>
  <si>
    <t>އާއިލީ</t>
  </si>
  <si>
    <t>Disorderly Conduct</t>
  </si>
  <si>
    <t>Deceptive Practices</t>
  </si>
  <si>
    <t>އެހެނިހެން</t>
  </si>
  <si>
    <t>Arson</t>
  </si>
  <si>
    <t>ހުޅުޖެހުން</t>
  </si>
  <si>
    <t>Lost items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</si>
  <si>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</si>
  <si>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</si>
  <si>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</si>
  <si>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</si>
  <si>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</si>
  <si>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</si>
  <si>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</si>
  <si>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</si>
  <si>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</si>
  <si>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</si>
  <si>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</si>
  <si>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</si>
  <si>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</si>
  <si>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</si>
  <si>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</si>
  <si>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</si>
  <si>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</si>
  <si>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</si>
  <si>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</si>
  <si>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</si>
  <si>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ޖުމްލަ</t>
  </si>
  <si>
    <t>ވަގުފައިސާ</t>
  </si>
  <si>
    <t>މަޢުލޫމާތު ދެއްވީ: މޯލްޑިވްސް ޕޮލިސް ސަރވިސް</t>
  </si>
  <si>
    <t>Type of offence</t>
  </si>
  <si>
    <t>ކުށުގެ ބާވަތް</t>
  </si>
  <si>
    <t>Male</t>
  </si>
  <si>
    <t>Female</t>
  </si>
  <si>
    <t>ދެޖިންސް</t>
  </si>
  <si>
    <t xml:space="preserve">ފިރިހެން </t>
  </si>
  <si>
    <t xml:space="preserve">އަންހެން </t>
  </si>
  <si>
    <t>ޖިންސީ މައްސަލަ</t>
  </si>
  <si>
    <t>&lt; 18 yrs</t>
  </si>
  <si>
    <t>18 - 34 yrs</t>
  </si>
  <si>
    <t>35 yrs  and above</t>
  </si>
  <si>
    <t>Age Unknown</t>
  </si>
  <si>
    <t>Both sexes</t>
  </si>
  <si>
    <t>&lt; 18</t>
  </si>
  <si>
    <t>18-34</t>
  </si>
  <si>
    <t>35 +</t>
  </si>
  <si>
    <t>35+</t>
  </si>
  <si>
    <t>18 އަހަރުންދަށް</t>
  </si>
  <si>
    <t>18-34 އަހަރާއި ދެމެދު</t>
  </si>
  <si>
    <t>35 އަހަރުން މަތި</t>
  </si>
  <si>
    <t>ނޯޓް: އުމުރު ނޭނގޭ ބިދޭސީން މިތާވަލުގައި ނުހިމެނޭ</t>
  </si>
  <si>
    <t>%</t>
  </si>
  <si>
    <t>Note: Foreigners without ages are not included in this total</t>
  </si>
  <si>
    <t>Table 8.16: NUMBER OF DETAINEES REPORTED BY TYPE OF OFFENCES, GENDER AND AGE GROUP, 2020</t>
  </si>
  <si>
    <t>ތާވަލު 8.16: ހުށަހެޅިފައިވާ މައްސަލަތަކުގެ ތެރެއިން ހައްޔަރުކުރެވުނު މީހުންގެ އަދަދު ޖިންސް އަދި އުމުރުފުރާއިން،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</si>
</sst>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-* #,##0_-;\-* #,##0_-;_-* &quot;-&quot;??_-;_-@_-"/>
    <numFmt numFmtId="166" formatCode="#,##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Faruma"/>
      <family val="3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1"/>
      <name val="Calibri"/>
      <family val="2"/>
      <scheme val="minor"/>
    </font>
    <font>
      <b/>
      <sz val="12"/>
      <color theme="1"/>
      <name val="Faruma"/>
      <family val="3"/>
    </font>
    <font>
      <sz val="11"/>
      <color rgb="FF000000"/>
      <name val="Faruma"/>
      <family val="3"/>
    </font>
    <font>
      <sz val="10"/>
      <color rgb="FF000000"/>
      <name val="Faruma"/>
      <family val="3"/>
    </font>
    <font>
      <sz val="10"/>
      <name val="Arial"/>
      <family val="2"/>
    </font>
    <font>
      <b/>
      <sz val="9"/>
      <name val="P_Faruma"/>
    </font>
    <font>
      <sz val="8"/>
      <color rgb="FF000000"/>
      <name val="Faruma"/>
      <family val="3"/>
    </font>
    <font>
      <i/>
      <sz val="11"/>
      <color rgb="FF000000"/>
      <name val="Calibri"/>
      <family val="2"/>
      <scheme val="minor"/>
    </font>
    <font>
      <b/>
      <sz val="10"/>
      <name val="Faruma"/>
      <family val="3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6" fontId="9" fillId="0" borderId="0"/>
    <xf numFmtId="0" fontId="17" fillId="0" borderId="0"/>
    <xf numFmtId="0" fontId="22" fillId="0" borderId="9" applyNumberFormat="0" applyFill="0" applyAlignment="0" applyProtection="0"/>
    <xf numFmtId="0" fontId="17" fillId="0" borderId="0"/>
    <xf numFmtId="0" fontId="17" fillId="0" borderId="0"/>
  </cellStyleXfs>
  <cellXfs count="61">
    <xf numFmtId="0" fontId="0" fillId="0" borderId="0" xfId="0"/>
    <xf numFmtId="164" fontId="4" fillId="2" borderId="0" xfId="0" applyNumberFormat="1" applyFont="1" applyFill="1" applyBorder="1" applyAlignment="1" applyProtection="1">
      <alignment horizontal="right" vertical="center" indent="2"/>
    </xf>
    <xf numFmtId="164" fontId="4" fillId="2" borderId="2" xfId="0" applyNumberFormat="1" applyFont="1" applyFill="1" applyBorder="1" applyAlignment="1" applyProtection="1">
      <alignment horizontal="right" vertical="center" indent="2"/>
    </xf>
    <xf numFmtId="0" fontId="0" fillId="2" borderId="0" xfId="0" applyNumberFormat="1" applyFill="1" applyBorder="1"/>
    <xf numFmtId="0" fontId="2" fillId="2" borderId="0" xfId="0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horizontal="right" vertical="center"/>
    </xf>
    <xf numFmtId="0" fontId="5" fillId="2" borderId="0" xfId="0" applyNumberFormat="1" applyFont="1" applyFill="1"/>
    <xf numFmtId="0" fontId="15" fillId="2" borderId="0" xfId="0" applyNumberFormat="1" applyFont="1" applyFill="1" applyBorder="1" applyAlignment="1">
      <alignment horizontal="right" vertical="center" wrapText="1"/>
    </xf>
    <xf numFmtId="0" fontId="0" fillId="2" borderId="0" xfId="0" applyNumberFormat="1" applyFont="1" applyFill="1"/>
    <xf numFmtId="0" fontId="0" fillId="2" borderId="0" xfId="0" applyNumberFormat="1" applyFont="1" applyFill="1" applyBorder="1"/>
    <xf numFmtId="0" fontId="6" fillId="2" borderId="0" xfId="0" applyNumberFormat="1" applyFont="1" applyFill="1" applyBorder="1" applyAlignment="1">
      <alignment vertical="top"/>
    </xf>
    <xf numFmtId="0" fontId="16" fillId="2" borderId="5" xfId="0" applyNumberFormat="1" applyFont="1" applyFill="1" applyBorder="1" applyAlignment="1">
      <alignment vertical="center"/>
    </xf>
    <xf numFmtId="3" fontId="0" fillId="2" borderId="0" xfId="0" applyNumberFormat="1" applyFont="1" applyFill="1"/>
    <xf numFmtId="0" fontId="2" fillId="2" borderId="0" xfId="0" applyNumberFormat="1" applyFont="1" applyFill="1"/>
    <xf numFmtId="0" fontId="7" fillId="2" borderId="0" xfId="0" applyNumberFormat="1" applyFont="1" applyFill="1" applyBorder="1" applyAlignment="1">
      <alignment horizontal="center" vertical="center" wrapText="1"/>
    </xf>
    <xf numFmtId="0" fontId="0" fillId="2" borderId="0" xfId="0" applyNumberFormat="1" applyFont="1" applyFill="1" applyAlignment="1">
      <alignment vertical="center"/>
    </xf>
    <xf numFmtId="0" fontId="5" fillId="2" borderId="2" xfId="0" applyNumberFormat="1" applyFont="1" applyFill="1" applyBorder="1"/>
    <xf numFmtId="3" fontId="2" fillId="2" borderId="1" xfId="0" applyNumberFormat="1" applyFont="1" applyFill="1" applyBorder="1" applyAlignment="1">
      <alignment horizontal="right" vertical="center" indent="3"/>
    </xf>
    <xf numFmtId="0" fontId="10" fillId="2" borderId="0" xfId="0" applyNumberFormat="1" applyFont="1" applyFill="1"/>
    <xf numFmtId="3" fontId="0" fillId="2" borderId="0" xfId="0" applyNumberFormat="1" applyFont="1" applyFill="1" applyAlignment="1">
      <alignment vertical="center"/>
    </xf>
    <xf numFmtId="0" fontId="13" fillId="2" borderId="0" xfId="0" applyNumberFormat="1" applyFont="1" applyFill="1"/>
    <xf numFmtId="0" fontId="10" fillId="2" borderId="0" xfId="0" applyNumberFormat="1" applyFont="1" applyFill="1" applyAlignment="1">
      <alignment vertical="center"/>
    </xf>
    <xf numFmtId="3" fontId="10" fillId="2" borderId="0" xfId="0" applyNumberFormat="1" applyFont="1" applyFill="1" applyAlignment="1">
      <alignment vertical="center"/>
    </xf>
    <xf numFmtId="1" fontId="0" fillId="2" borderId="0" xfId="0" applyNumberFormat="1" applyFont="1" applyFill="1" applyAlignment="1">
      <alignment vertical="center"/>
    </xf>
    <xf numFmtId="0" fontId="9" fillId="2" borderId="0" xfId="0" applyNumberFormat="1" applyFont="1" applyFill="1" applyAlignment="1">
      <alignment vertical="center"/>
    </xf>
    <xf numFmtId="0" fontId="11" fillId="2" borderId="0" xfId="0" applyNumberFormat="1" applyFont="1" applyFill="1" applyBorder="1" applyAlignment="1">
      <alignment vertical="center"/>
    </xf>
    <xf numFmtId="0" fontId="0" fillId="2" borderId="0" xfId="0" applyNumberFormat="1" applyFont="1" applyFill="1" applyBorder="1" applyAlignment="1">
      <alignment vertical="center"/>
    </xf>
    <xf numFmtId="3" fontId="0" fillId="2" borderId="0" xfId="0" applyNumberFormat="1" applyFont="1" applyFill="1" applyBorder="1" applyAlignment="1">
      <alignment horizontal="right" vertical="center" indent="3"/>
    </xf>
    <xf numFmtId="0" fontId="18" fillId="2" borderId="0" xfId="5" applyFont="1" applyFill="1" applyBorder="1" applyAlignment="1">
      <alignment horizontal="right" vertical="center" wrapText="1"/>
    </xf>
    <xf numFmtId="0" fontId="19" fillId="2" borderId="0" xfId="0" applyNumberFormat="1" applyFont="1" applyFill="1" applyBorder="1" applyAlignment="1">
      <alignment horizontal="right" vertical="center" wrapText="1"/>
    </xf>
    <xf numFmtId="3" fontId="7" fillId="2" borderId="1" xfId="0" applyNumberFormat="1" applyFont="1" applyFill="1" applyBorder="1" applyAlignment="1">
      <alignment horizontal="right" vertical="center"/>
    </xf>
    <xf numFmtId="0" fontId="16" fillId="2" borderId="0" xfId="0" applyNumberFormat="1" applyFont="1" applyFill="1" applyBorder="1" applyAlignment="1">
      <alignment horizontal="right" vertical="center" wrapText="1"/>
    </xf>
    <xf numFmtId="164" fontId="20" fillId="2" borderId="0" xfId="0" applyNumberFormat="1" applyFont="1" applyFill="1" applyBorder="1" applyAlignment="1">
      <alignment horizontal="left" vertical="center" indent="2"/>
    </xf>
    <xf numFmtId="164" fontId="20" fillId="2" borderId="0" xfId="0" applyNumberFormat="1" applyFont="1" applyFill="1" applyBorder="1" applyAlignment="1">
      <alignment horizontal="left" vertical="center" wrapText="1" indent="2"/>
    </xf>
    <xf numFmtId="164" fontId="20" fillId="2" borderId="2" xfId="0" applyNumberFormat="1" applyFont="1" applyFill="1" applyBorder="1" applyAlignment="1">
      <alignment horizontal="left" vertical="center" indent="2"/>
    </xf>
    <xf numFmtId="0" fontId="6" fillId="2" borderId="0" xfId="0" applyNumberFormat="1" applyFont="1" applyFill="1" applyBorder="1" applyAlignment="1">
      <alignment vertical="center"/>
    </xf>
    <xf numFmtId="0" fontId="16" fillId="2" borderId="0" xfId="0" applyNumberFormat="1" applyFont="1" applyFill="1" applyBorder="1" applyAlignment="1">
      <alignment vertical="center"/>
    </xf>
    <xf numFmtId="3" fontId="0" fillId="2" borderId="0" xfId="1" applyNumberFormat="1" applyFont="1" applyFill="1" applyBorder="1" applyAlignment="1">
      <alignment horizontal="right" vertical="center"/>
    </xf>
    <xf numFmtId="3" fontId="0" fillId="2" borderId="2" xfId="1" applyNumberFormat="1" applyFont="1" applyFill="1" applyBorder="1" applyAlignment="1">
      <alignment horizontal="right" vertical="center"/>
    </xf>
    <xf numFmtId="0" fontId="14" fillId="2" borderId="0" xfId="0" applyNumberFormat="1" applyFont="1" applyFill="1" applyAlignment="1">
      <alignment horizontal="center"/>
    </xf>
    <xf numFmtId="164" fontId="3" fillId="2" borderId="7" xfId="0" applyNumberFormat="1" applyFont="1" applyFill="1" applyBorder="1" applyAlignment="1">
      <alignment horizontal="center"/>
    </xf>
    <xf numFmtId="164" fontId="3" fillId="2" borderId="8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7" fillId="2" borderId="3" xfId="0" applyNumberFormat="1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12" fillId="2" borderId="10" xfId="0" applyNumberFormat="1" applyFont="1" applyFill="1" applyBorder="1" applyAlignment="1">
      <alignment horizontal="right" vertical="center"/>
    </xf>
    <xf numFmtId="0" fontId="12" fillId="2" borderId="0" xfId="0" applyNumberFormat="1" applyFont="1" applyFill="1" applyBorder="1" applyAlignment="1">
      <alignment horizontal="right" vertical="center"/>
    </xf>
    <xf numFmtId="0" fontId="12" fillId="2" borderId="2" xfId="0" applyNumberFormat="1" applyFont="1" applyFill="1" applyBorder="1" applyAlignment="1">
      <alignment horizontal="right" vertical="center"/>
    </xf>
    <xf numFmtId="0" fontId="12" fillId="2" borderId="4" xfId="0" applyNumberFormat="1" applyFont="1" applyFill="1" applyBorder="1" applyAlignment="1">
      <alignment horizontal="center" vertical="center"/>
    </xf>
    <xf numFmtId="0" fontId="12" fillId="2" borderId="2" xfId="0" applyNumberFormat="1" applyFont="1" applyFill="1" applyBorder="1" applyAlignment="1">
      <alignment horizontal="center" vertical="center"/>
    </xf>
    <xf numFmtId="0" fontId="7" fillId="2" borderId="10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right" vertical="center"/>
    </xf>
    <xf numFmtId="3" fontId="2" fillId="2" borderId="3" xfId="1" applyNumberFormat="1" applyFont="1" applyFill="1" applyBorder="1" applyAlignment="1">
      <alignment horizontal="right" vertical="center"/>
    </xf>
    <xf numFmtId="3" fontId="0" fillId="2" borderId="6" xfId="1" applyNumberFormat="1" applyFont="1" applyFill="1" applyBorder="1" applyAlignment="1">
      <alignment horizontal="right" vertical="center"/>
    </xf>
    <xf numFmtId="3" fontId="0" fillId="2" borderId="4" xfId="1" applyNumberFormat="1" applyFont="1" applyFill="1" applyBorder="1" applyAlignment="1">
      <alignment horizontal="right" vertical="center"/>
    </xf>
    <xf numFmtId="0" fontId="2" fillId="2" borderId="0" xfId="0" applyNumberFormat="1" applyFont="1" applyFill="1" applyBorder="1" applyAlignment="1">
      <alignment horizontal="right" vertical="center" wrapText="1"/>
    </xf>
    <xf numFmtId="0" fontId="2" fillId="2" borderId="6" xfId="0" applyNumberFormat="1" applyFont="1" applyFill="1" applyBorder="1" applyAlignment="1">
      <alignment horizontal="right" vertical="center" wrapText="1"/>
    </xf>
    <xf numFmtId="0" fontId="21" fillId="2" borderId="2" xfId="5" applyFont="1" applyFill="1" applyBorder="1" applyAlignment="1">
      <alignment horizontal="right" vertical="center" wrapText="1" readingOrder="2"/>
    </xf>
    <xf numFmtId="0" fontId="21" fillId="2" borderId="4" xfId="5" applyFont="1" applyFill="1" applyBorder="1" applyAlignment="1">
      <alignment horizontal="right" vertical="center" wrapText="1" readingOrder="2"/>
    </xf>
  </cellXfs>
  <cellStyles count="9">
    <cellStyle name="1" xfId="8"/>
    <cellStyle name="Comma" xfId="1" builtinId="3"/>
    <cellStyle name="Comma 2" xfId="2"/>
    <cellStyle name="Heading 1 2" xfId="6"/>
    <cellStyle name="Normal" xfId="0" builtinId="0"/>
    <cellStyle name="Normal 2" xfId="7"/>
    <cellStyle name="Normal 3" xfId="4"/>
    <cellStyle name="Normal_II-14(Population)" xfId="5"/>
    <cellStyle name="Percent 2" xfId="3"/>
  </cellStyles>
  <dxfs count="0"/>
  <tableStyles count="0" defaultTableStyle="TableStyleMedium2" defaultPivotStyle="PivotStyleLight16"/>
  <colors>
    <mruColors>
      <color rgb="FF33CCCC"/>
      <color rgb="FFCCF4F2"/>
      <color rgb="FFEAFAFA"/>
      <color rgb="FFFF9900"/>
      <color rgb="FF249390"/>
      <color rgb="FFDDF8F7"/>
      <color rgb="FF006664"/>
      <color rgb="FF008080"/>
      <color rgb="FF19656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56392885016318"/>
          <c:y val="0.19039225453296482"/>
          <c:w val="0.45958964231087795"/>
          <c:h val="0.77451325587626529"/>
        </c:manualLayout>
      </c:layout>
      <c:pieChart>
        <c:varyColors val="1"/>
        <c:ser>
          <c:idx val="0"/>
          <c:order val="0"/>
          <c:spPr>
            <a:solidFill>
              <a:srgbClr val="DDBA97"/>
            </a:solidFill>
          </c:spPr>
          <c:explosion val="2"/>
          <c:dPt>
            <c:idx val="0"/>
            <c:bubble3D val="0"/>
            <c:spPr>
              <a:solidFill>
                <a:srgbClr val="FF9900"/>
              </a:solidFill>
            </c:spPr>
            <c:extLst>
              <c:ext xmlns:c16="http://schemas.microsoft.com/office/drawing/2014/chart" uri="{C3380CC4-5D6E-409C-BE32-E72D297353CC}">
                <c16:uniqueId val="{00000002-C51E-40E6-ADDE-85D8C893BF0E}"/>
              </c:ext>
            </c:extLst>
          </c:dPt>
          <c:dPt>
            <c:idx val="1"/>
            <c:bubble3D val="0"/>
            <c:spPr>
              <a:solidFill>
                <a:srgbClr val="249390"/>
              </a:solidFill>
            </c:spPr>
            <c:extLst>
              <c:ext xmlns:c16="http://schemas.microsoft.com/office/drawing/2014/chart" uri="{C3380CC4-5D6E-409C-BE32-E72D297353CC}">
                <c16:uniqueId val="{00000000-C51E-40E6-ADDE-85D8C893BF0E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1-C51E-40E6-ADDE-85D8C893BF0E}"/>
              </c:ext>
            </c:extLst>
          </c:dPt>
          <c:dPt>
            <c:idx val="3"/>
            <c:bubble3D val="0"/>
            <c:spPr>
              <a:solidFill>
                <a:srgbClr val="FF9900"/>
              </a:solidFill>
            </c:spPr>
            <c:extLst>
              <c:ext xmlns:c16="http://schemas.microsoft.com/office/drawing/2014/chart" uri="{C3380CC4-5D6E-409C-BE32-E72D297353CC}">
                <c16:uniqueId val="{00000004-82EF-4735-A893-A874C9CD327A}"/>
              </c:ext>
            </c:extLst>
          </c:dPt>
          <c:dLbls>
            <c:dLbl>
              <c:idx val="0"/>
              <c:layout>
                <c:manualLayout>
                  <c:x val="1.0116176565445176E-2"/>
                  <c:y val="4.388016875134389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51E-40E6-ADDE-85D8C893BF0E}"/>
                </c:ext>
              </c:extLst>
            </c:dLbl>
            <c:dLbl>
              <c:idx val="1"/>
              <c:layout>
                <c:manualLayout>
                  <c:x val="-3.0629049406206112E-2"/>
                  <c:y val="-0.2337426885190004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51E-40E6-ADDE-85D8C893BF0E}"/>
                </c:ext>
              </c:extLst>
            </c:dLbl>
            <c:dLbl>
              <c:idx val="2"/>
              <c:layout>
                <c:manualLayout>
                  <c:x val="5.1990972923529701E-2"/>
                  <c:y val="0.2617507063899773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51E-40E6-ADDE-85D8C893BF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'8.16'!$X$3:$AA$3</c:f>
              <c:strCache>
                <c:ptCount val="4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  <c:pt idx="3">
                  <c:v>Age Unknown</c:v>
                </c:pt>
              </c:strCache>
            </c:strRef>
          </c:cat>
          <c:val>
            <c:numRef>
              <c:f>'8.16'!$X$4:$AA$4</c:f>
              <c:numCache>
                <c:formatCode>#,##0</c:formatCode>
                <c:ptCount val="4"/>
                <c:pt idx="0">
                  <c:v>44</c:v>
                </c:pt>
                <c:pt idx="1">
                  <c:v>2615</c:v>
                </c:pt>
                <c:pt idx="2">
                  <c:v>1084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CB-4A6E-8647-153282F0438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44"/>
      </c:pieChart>
    </c:plotArea>
    <c:plotVisOnly val="1"/>
    <c:dispBlanksAs val="zero"/>
    <c:showDLblsOverMax val="0"/>
  </c:chart>
  <c:spPr>
    <a:solidFill>
      <a:srgbClr val="EAFAFA"/>
    </a:solidFill>
  </c:spPr>
  <c:printSettings>
    <c:headerFooter/>
    <c:pageMargins b="0.75000000000000666" l="0.70000000000000062" r="0.70000000000000062" t="0.75000000000000666" header="0.30000000000000032" footer="0.30000000000000032"/>
    <c:pageSetup orientation="portrait" horizontalDpi="-1" verticalDpi="-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955776764456935"/>
          <c:y val="0.13651285620307213"/>
          <c:w val="0.54892824060778178"/>
          <c:h val="0.79067459282821462"/>
        </c:manualLayout>
      </c:layout>
      <c:pieChart>
        <c:varyColors val="1"/>
        <c:ser>
          <c:idx val="0"/>
          <c:order val="0"/>
          <c:spPr>
            <a:solidFill>
              <a:srgbClr val="996633"/>
            </a:solidFill>
          </c:spPr>
          <c:explosion val="3"/>
          <c:dPt>
            <c:idx val="0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1-93B3-45DD-AFCD-3D0B1CA6A0F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93B3-45DD-AFCD-3D0B1CA6A0F5}"/>
              </c:ext>
            </c:extLst>
          </c:dPt>
          <c:dLbls>
            <c:dLbl>
              <c:idx val="0"/>
              <c:layout>
                <c:manualLayout>
                  <c:x val="0.16214673779179725"/>
                  <c:y val="-0.2818535505518244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3B3-45DD-AFCD-3D0B1CA6A0F5}"/>
                </c:ext>
              </c:extLst>
            </c:dLbl>
            <c:dLbl>
              <c:idx val="1"/>
              <c:layout>
                <c:manualLayout>
                  <c:x val="-2.8177067970940817E-2"/>
                  <c:y val="1.57327454629368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ysClr val="windowText" lastClr="000000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3B3-45DD-AFCD-3D0B1CA6A0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'8.16'!$X$7:$X$9</c15:sqref>
                  </c15:fullRef>
                </c:ext>
              </c:extLst>
              <c:f>'8.16'!$X$7:$X$8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'8.16'!$Z$7:$Z$9</c15:sqref>
                  </c15:fullRef>
                </c:ext>
              </c:extLst>
              <c:f>'8.16'!$Z$7:$Z$8</c:f>
              <c:numCache>
                <c:formatCode>0</c:formatCode>
                <c:ptCount val="2"/>
                <c:pt idx="0">
                  <c:v>98.370291210259154</c:v>
                </c:pt>
                <c:pt idx="1">
                  <c:v>1.6297087897408495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'8.16'!$Z$9</c15:sqref>
                  <c15:spPr xmlns:c15="http://schemas.microsoft.com/office/drawing/2012/chart">
                    <a:solidFill>
                      <a:srgbClr val="996633"/>
                    </a:solidFill>
                  </c15:spPr>
                  <c15:bubble3D val="0"/>
                  <c15:dLbl>
                    <c:idx val="1"/>
                    <c:delete val="1"/>
                    <c:extLst xmlns:c16="http://schemas.microsoft.com/office/drawing/2014/chart">
                      <c:ext uri="{CE6537A1-D6FC-4f65-9D91-7224C49458BB}"/>
                      <c:ext xmlns:c16="http://schemas.microsoft.com/office/drawing/2014/chart" uri="{C3380CC4-5D6E-409C-BE32-E72D297353CC}">
                        <c16:uniqueId val="{00000005-8763-4D4B-BDFE-341853898839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93B3-45DD-AFCD-3D0B1CA6A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3"/>
      </c:pieChart>
    </c:plotArea>
    <c:plotVisOnly val="1"/>
    <c:dispBlanksAs val="zero"/>
    <c:showDLblsOverMax val="0"/>
  </c:chart>
  <c:spPr>
    <a:solidFill>
      <a:srgbClr val="EAFAFA"/>
    </a:solidFill>
  </c:spPr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87626950532948"/>
          <c:y val="0.12743499919652901"/>
          <c:w val="0.87973626075415867"/>
          <c:h val="0.730953559376506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'8.16'!$Y$12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dLbls>
            <c:dLbl>
              <c:idx val="1"/>
              <c:layout>
                <c:manualLayout>
                  <c:x val="0"/>
                  <c:y val="1.2597689960599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293-42A4-88B6-8414D69CE40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'8.16'!$X$13:$X$15</c:f>
              <c:strCache>
                <c:ptCount val="3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</c:strCache>
            </c:strRef>
          </c:cat>
          <c:val>
            <c:numRef>
              <c:f>'8.16'!$Y$13:$Y$15</c:f>
              <c:numCache>
                <c:formatCode>#,##0</c:formatCode>
                <c:ptCount val="3"/>
                <c:pt idx="0">
                  <c:v>44</c:v>
                </c:pt>
                <c:pt idx="1">
                  <c:v>2570</c:v>
                </c:pt>
                <c:pt idx="2">
                  <c:v>1068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93-42A4-88B6-8414D69CE409}"/>
            </c:ext>
          </c:extLst>
        </c:ser>
        <c:ser>
          <c:idx val="1"/>
          <c:order val="1"/>
          <c:tx>
            <c:strRef>
              <c:f>'8.16'!$Z$12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'8.16'!$X$13:$X$15</c:f>
              <c:strCache>
                <c:ptCount val="3"/>
                <c:pt idx="0">
                  <c:v>&lt; 18 yrs</c:v>
                </c:pt>
                <c:pt idx="1">
                  <c:v>18 - 34 yrs</c:v>
                </c:pt>
                <c:pt idx="2">
                  <c:v>35 yrs  and above</c:v>
                </c:pt>
              </c:strCache>
            </c:strRef>
          </c:cat>
          <c:val>
            <c:numRef>
              <c:f>'8.16'!$Z$13:$Z$15</c:f>
              <c:numCache>
                <c:formatCode>#,##0</c:formatCode>
                <c:ptCount val="3"/>
                <c:pt idx="0">
                  <c:v>0</c:v>
                </c:pt>
                <c:pt idx="1">
                  <c:v>45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93-42A4-88B6-8414D69CE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117632"/>
        <c:axId val="134148480"/>
      </c:barChart>
      <c:catAx>
        <c:axId val="134117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group</a:t>
                </a:r>
              </a:p>
            </c:rich>
          </c:tx>
          <c:layout>
            <c:manualLayout>
              <c:xMode val="edge"/>
              <c:yMode val="edge"/>
              <c:x val="0.35303389072824554"/>
              <c:y val="0.91571749959826432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134148480"/>
        <c:crosses val="autoZero"/>
        <c:auto val="1"/>
        <c:lblAlgn val="ctr"/>
        <c:lblOffset val="100"/>
        <c:noMultiLvlLbl val="0"/>
      </c:catAx>
      <c:valAx>
        <c:axId val="134148480"/>
        <c:scaling>
          <c:orientation val="minMax"/>
        </c:scaling>
        <c:delete val="0"/>
        <c:axPos val="l"/>
        <c:majorGridlines>
          <c:spPr>
            <a:ln>
              <a:solidFill>
                <a:srgbClr val="CCF4F2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/>
          <c:overlay val="0"/>
        </c:title>
        <c:numFmt formatCode="#,##0" sourceLinked="1"/>
        <c:majorTickMark val="out"/>
        <c:minorTickMark val="none"/>
        <c:tickLblPos val="nextTo"/>
        <c:crossAx val="134117632"/>
        <c:crosses val="autoZero"/>
        <c:crossBetween val="between"/>
      </c:valAx>
      <c:spPr>
        <a:solidFill>
          <a:srgbClr val="EAFAFA"/>
        </a:solidFill>
        <a:ln w="635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475016787898998"/>
          <c:y val="0.26559931278113352"/>
          <c:w val="0.20184986698786023"/>
          <c:h val="7.3224982178071149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40674</xdr:colOff>
      <xdr:row>36</xdr:row>
      <xdr:rowOff>51027</xdr:rowOff>
    </xdr:from>
    <xdr:to>
      <xdr:col>8</xdr:col>
      <xdr:colOff>719666</xdr:colOff>
      <xdr:row>52</xdr:row>
      <xdr:rowOff>84666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B39D55E9-0083-4B00-A1A6-4B1C67428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293611</xdr:colOff>
      <xdr:row>36</xdr:row>
      <xdr:rowOff>45509</xdr:rowOff>
    </xdr:from>
    <xdr:to>
      <xdr:col>2</xdr:col>
      <xdr:colOff>709084</xdr:colOff>
      <xdr:row>52</xdr:row>
      <xdr:rowOff>63500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FE4A694D-FEAE-4ECE-BA04-A0380A2303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878418</xdr:colOff>
      <xdr:row>36</xdr:row>
      <xdr:rowOff>95250</xdr:rowOff>
    </xdr:from>
    <xdr:to>
      <xdr:col>13</xdr:col>
      <xdr:colOff>2137833</xdr:colOff>
      <xdr:row>52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7D2144-791B-4812-8AB7-F996FA29F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819742</xdr:colOff>
      <xdr:row>36</xdr:row>
      <xdr:rowOff>120121</xdr:rowOff>
    </xdr:from>
    <xdr:to>
      <xdr:col>2</xdr:col>
      <xdr:colOff>423801</xdr:colOff>
      <xdr:row>38</xdr:row>
      <xdr:rowOff>10584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772BFDA-DC1C-44A6-AAED-0DB02AB81BCC}"/>
            </a:ext>
          </a:extLst>
        </xdr:cNvPr>
        <xdr:cNvSpPr txBox="1"/>
      </xdr:nvSpPr>
      <xdr:spPr>
        <a:xfrm>
          <a:off x="819742" y="9140296"/>
          <a:ext cx="4080809" cy="3667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8.21: Percentage share of detainees by sex, 2020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>
          <a:endParaRPr lang="en-US" sz="10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3</xdr:col>
      <xdr:colOff>656167</xdr:colOff>
      <xdr:row>36</xdr:row>
      <xdr:rowOff>158316</xdr:rowOff>
    </xdr:from>
    <xdr:to>
      <xdr:col>8</xdr:col>
      <xdr:colOff>229255</xdr:colOff>
      <xdr:row>37</xdr:row>
      <xdr:rowOff>169333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770EC8D-42CF-4ACA-A3E5-CF5BAE561683}"/>
            </a:ext>
          </a:extLst>
        </xdr:cNvPr>
        <xdr:cNvSpPr txBox="1"/>
      </xdr:nvSpPr>
      <xdr:spPr>
        <a:xfrm>
          <a:off x="5952067" y="9178491"/>
          <a:ext cx="4173663" cy="249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8.22: Percentage share of detainees by age, 2020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>
          <a:endParaRPr lang="en-US" sz="10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0.13269</cdr:x>
      <cdr:y>0.03482</cdr:y>
    </cdr:from>
    <cdr:to>
      <cdr:x>0.88523</cdr:x>
      <cdr:y>0.12114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59721" y="110565"/>
          <a:ext cx="4308729" cy="2740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8.23: Number of Detainees by age and sex, 2020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</sheetPr>
  <dimension ref="A1:AA53"/>
  <sheetViews>
    <sheetView tabSelected="1" zoomScale="112" zoomScaleNormal="112" workbookViewId="0">
      <selection activeCell="M11" sqref="M11"/>
    </sheetView>
  </sheetViews>
  <sheetFormatPr defaultColWidth="9.140625" defaultRowHeight="15"/>
  <cols>
    <col min="1" max="1" width="50.85546875" style="8" customWidth="1"/>
    <col min="2" max="2" width="13" style="8" customWidth="1"/>
    <col min="3" max="3" width="12.28515625" style="8" customWidth="1"/>
    <col min="4" max="5" width="13.85546875" style="8" customWidth="1"/>
    <col min="6" max="9" width="13.7109375" style="8" customWidth="1"/>
    <col min="10" max="11" width="12.28515625" style="8" customWidth="1"/>
    <col min="12" max="13" width="14.28515625" style="8" customWidth="1"/>
    <col min="14" max="14" width="34.28515625" style="8" customWidth="1"/>
    <col min="15" max="15" width="3.28515625" style="8" customWidth="1"/>
    <col min="16" max="22" width="9.140625" style="8"/>
    <col min="23" max="23" width="33.85546875" style="8" customWidth="1"/>
    <col min="24" max="24" width="9.140625" style="8"/>
    <col min="25" max="25" width="11.28515625" style="8" customWidth="1"/>
    <col min="26" max="26" width="12.140625" style="8" customWidth="1"/>
    <col min="27" max="16384" width="9.140625" style="8"/>
  </cols>
  <sheetData>
    <row r="1" spans="1:27" ht="9" customHeight="1"/>
    <row r="2" spans="1:27" s="13" customFormat="1" ht="19.5" customHeight="1">
      <c r="A2" s="39" t="s">
        <v>75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X2" s="8"/>
      <c r="Y2" s="8"/>
      <c r="Z2" s="8"/>
    </row>
    <row r="3" spans="1:27">
      <c r="A3" s="40" t="s">
        <v>74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X3" s="14" t="s">
        <v>59</v>
      </c>
      <c r="Y3" s="14" t="s">
        <v>60</v>
      </c>
      <c r="Z3" s="8" t="s">
        <v>61</v>
      </c>
      <c r="AA3" s="15" t="s">
        <v>62</v>
      </c>
    </row>
    <row r="4" spans="1:27" ht="9.75" customHeight="1">
      <c r="A4" s="6"/>
      <c r="B4" s="6"/>
      <c r="C4" s="6"/>
      <c r="D4" s="6"/>
      <c r="E4" s="6"/>
      <c r="F4" s="6"/>
      <c r="G4" s="6"/>
      <c r="H4" s="6"/>
      <c r="I4" s="6"/>
      <c r="J4" s="16"/>
      <c r="K4" s="6"/>
      <c r="L4" s="6"/>
      <c r="M4" s="6"/>
      <c r="N4" s="6"/>
      <c r="W4" s="19">
        <f>B9</f>
        <v>3743</v>
      </c>
      <c r="X4" s="17">
        <f>C9</f>
        <v>44</v>
      </c>
      <c r="Y4" s="17">
        <f>D9</f>
        <v>2615</v>
      </c>
      <c r="Z4" s="17">
        <f>E9</f>
        <v>1084</v>
      </c>
      <c r="AA4" s="17"/>
    </row>
    <row r="5" spans="1:27" s="18" customFormat="1" ht="13.5" customHeight="1">
      <c r="A5" s="42" t="s">
        <v>51</v>
      </c>
      <c r="B5" s="52" t="s">
        <v>63</v>
      </c>
      <c r="C5" s="52"/>
      <c r="D5" s="52"/>
      <c r="E5" s="52"/>
      <c r="F5" s="45" t="s">
        <v>53</v>
      </c>
      <c r="G5" s="52"/>
      <c r="H5" s="52"/>
      <c r="I5" s="52"/>
      <c r="J5" s="45" t="s">
        <v>54</v>
      </c>
      <c r="K5" s="46"/>
      <c r="L5" s="46"/>
      <c r="M5" s="46"/>
      <c r="N5" s="47" t="s">
        <v>52</v>
      </c>
      <c r="X5" s="8"/>
      <c r="Y5" s="8"/>
      <c r="Z5" s="8"/>
    </row>
    <row r="6" spans="1:27" s="18" customFormat="1" ht="18.75" customHeight="1">
      <c r="A6" s="43"/>
      <c r="B6" s="51" t="s">
        <v>55</v>
      </c>
      <c r="C6" s="51"/>
      <c r="D6" s="51"/>
      <c r="E6" s="51"/>
      <c r="F6" s="50" t="s">
        <v>56</v>
      </c>
      <c r="G6" s="51"/>
      <c r="H6" s="51"/>
      <c r="I6" s="51"/>
      <c r="J6" s="50" t="s">
        <v>57</v>
      </c>
      <c r="K6" s="51"/>
      <c r="L6" s="51"/>
      <c r="M6" s="51"/>
      <c r="N6" s="48"/>
      <c r="X6" s="15"/>
      <c r="Z6" s="15" t="s">
        <v>72</v>
      </c>
    </row>
    <row r="7" spans="1:27" s="20" customFormat="1" ht="12.75" customHeight="1">
      <c r="A7" s="43"/>
      <c r="B7" s="57" t="s">
        <v>1</v>
      </c>
      <c r="C7" s="57" t="s">
        <v>64</v>
      </c>
      <c r="D7" s="57" t="s">
        <v>65</v>
      </c>
      <c r="E7" s="57" t="s">
        <v>66</v>
      </c>
      <c r="F7" s="58" t="s">
        <v>1</v>
      </c>
      <c r="G7" s="57" t="s">
        <v>64</v>
      </c>
      <c r="H7" s="57" t="s">
        <v>65</v>
      </c>
      <c r="I7" s="57" t="s">
        <v>67</v>
      </c>
      <c r="J7" s="58" t="s">
        <v>1</v>
      </c>
      <c r="K7" s="57" t="s">
        <v>64</v>
      </c>
      <c r="L7" s="57" t="s">
        <v>65</v>
      </c>
      <c r="M7" s="57" t="s">
        <v>67</v>
      </c>
      <c r="N7" s="48"/>
      <c r="X7" s="21" t="s">
        <v>53</v>
      </c>
      <c r="Y7" s="22">
        <f>F9</f>
        <v>3682</v>
      </c>
      <c r="Z7" s="23">
        <f>Y7/W4*100</f>
        <v>98.370291210259154</v>
      </c>
    </row>
    <row r="8" spans="1:27" ht="37.5">
      <c r="A8" s="44"/>
      <c r="B8" s="59" t="s">
        <v>48</v>
      </c>
      <c r="C8" s="59" t="s">
        <v>68</v>
      </c>
      <c r="D8" s="59" t="s">
        <v>69</v>
      </c>
      <c r="E8" s="59" t="s">
        <v>70</v>
      </c>
      <c r="F8" s="60" t="s">
        <v>48</v>
      </c>
      <c r="G8" s="59" t="s">
        <v>68</v>
      </c>
      <c r="H8" s="59" t="s">
        <v>69</v>
      </c>
      <c r="I8" s="59" t="s">
        <v>70</v>
      </c>
      <c r="J8" s="60" t="s">
        <v>48</v>
      </c>
      <c r="K8" s="59" t="s">
        <v>68</v>
      </c>
      <c r="L8" s="59" t="s">
        <v>69</v>
      </c>
      <c r="M8" s="59" t="s">
        <v>70</v>
      </c>
      <c r="N8" s="49"/>
      <c r="X8" s="24" t="s">
        <v>54</v>
      </c>
      <c r="Y8" s="19">
        <f>J9</f>
        <v>61</v>
      </c>
      <c r="Z8" s="23">
        <f>Y8/W4*100</f>
        <v>1.6297087897408495</v>
      </c>
    </row>
    <row r="9" spans="1:27" s="21" customFormat="1" ht="21.75" customHeight="1">
      <c r="A9" s="4" t="s">
        <v>1</v>
      </c>
      <c r="B9" s="53">
        <f t="shared" ref="B9:B34" si="0">F9+J9</f>
        <v>3743</v>
      </c>
      <c r="C9" s="53">
        <f t="shared" ref="C9:C34" si="1">G9+K9</f>
        <v>44</v>
      </c>
      <c r="D9" s="53">
        <f t="shared" ref="D9:D34" si="2">H9+L9</f>
        <v>2615</v>
      </c>
      <c r="E9" s="53">
        <f t="shared" ref="E9:E34" si="3">I9+M9</f>
        <v>1084</v>
      </c>
      <c r="F9" s="54">
        <f t="shared" ref="F9:F34" si="4">SUM(G9:I9)</f>
        <v>3682</v>
      </c>
      <c r="G9" s="53">
        <f>SUM(G10:G21)</f>
        <v>44</v>
      </c>
      <c r="H9" s="53">
        <f>SUM(H10:H21)</f>
        <v>2570</v>
      </c>
      <c r="I9" s="53">
        <f>SUM(I10:I21)</f>
        <v>1068</v>
      </c>
      <c r="J9" s="54">
        <f>SUM(K9:M9)</f>
        <v>61</v>
      </c>
      <c r="K9" s="53">
        <f>SUM(K10:K21)</f>
        <v>0</v>
      </c>
      <c r="L9" s="53">
        <f t="shared" ref="L9:M9" si="5">SUM(L10:L21)</f>
        <v>45</v>
      </c>
      <c r="M9" s="53">
        <f t="shared" si="5"/>
        <v>16</v>
      </c>
      <c r="N9" s="25" t="s">
        <v>48</v>
      </c>
      <c r="P9" s="22"/>
      <c r="X9" s="15" t="s">
        <v>62</v>
      </c>
      <c r="Y9" s="19">
        <f>W4-(Y7+Y8)</f>
        <v>0</v>
      </c>
      <c r="Z9" s="23">
        <f>Y9/W4*100</f>
        <v>0</v>
      </c>
    </row>
    <row r="10" spans="1:27" s="15" customFormat="1" ht="21.75" customHeight="1">
      <c r="A10" s="26" t="s">
        <v>6</v>
      </c>
      <c r="B10" s="37">
        <f t="shared" si="0"/>
        <v>310</v>
      </c>
      <c r="C10" s="37">
        <f t="shared" si="1"/>
        <v>10</v>
      </c>
      <c r="D10" s="37">
        <f t="shared" si="2"/>
        <v>254</v>
      </c>
      <c r="E10" s="37">
        <f t="shared" si="3"/>
        <v>46</v>
      </c>
      <c r="F10" s="55">
        <f t="shared" si="4"/>
        <v>307</v>
      </c>
      <c r="G10" s="37">
        <v>10</v>
      </c>
      <c r="H10" s="37">
        <v>251</v>
      </c>
      <c r="I10" s="37">
        <v>46</v>
      </c>
      <c r="J10" s="55">
        <f>SUM(K10:M10)</f>
        <v>3</v>
      </c>
      <c r="K10" s="37">
        <v>0</v>
      </c>
      <c r="L10" s="37">
        <v>3</v>
      </c>
      <c r="M10" s="37">
        <v>0</v>
      </c>
      <c r="N10" s="7" t="s">
        <v>11</v>
      </c>
      <c r="O10" s="28"/>
      <c r="P10" s="29"/>
      <c r="X10" s="30"/>
      <c r="Y10" s="30"/>
      <c r="Z10" s="30"/>
    </row>
    <row r="11" spans="1:27" s="15" customFormat="1" ht="21.75" customHeight="1">
      <c r="A11" s="26" t="s">
        <v>0</v>
      </c>
      <c r="B11" s="37">
        <f t="shared" si="0"/>
        <v>749</v>
      </c>
      <c r="C11" s="37">
        <f t="shared" si="1"/>
        <v>1</v>
      </c>
      <c r="D11" s="37">
        <f t="shared" si="2"/>
        <v>520</v>
      </c>
      <c r="E11" s="37">
        <f t="shared" si="3"/>
        <v>228</v>
      </c>
      <c r="F11" s="55">
        <f t="shared" si="4"/>
        <v>747</v>
      </c>
      <c r="G11" s="37">
        <v>1</v>
      </c>
      <c r="H11" s="37">
        <v>518</v>
      </c>
      <c r="I11" s="37">
        <v>228</v>
      </c>
      <c r="J11" s="55">
        <f t="shared" ref="J11:J34" si="6">SUM(K11:M11)</f>
        <v>2</v>
      </c>
      <c r="K11" s="37">
        <v>0</v>
      </c>
      <c r="L11" s="37">
        <v>2</v>
      </c>
      <c r="M11" s="37">
        <v>0</v>
      </c>
      <c r="N11" s="7" t="s">
        <v>3</v>
      </c>
      <c r="O11" s="31"/>
      <c r="P11" s="29"/>
      <c r="U11" s="3"/>
      <c r="V11" s="3"/>
      <c r="W11" s="8"/>
      <c r="Y11" s="19">
        <f>F9</f>
        <v>3682</v>
      </c>
      <c r="Z11" s="19">
        <f>J9</f>
        <v>61</v>
      </c>
      <c r="AA11" s="8"/>
    </row>
    <row r="12" spans="1:27" s="15" customFormat="1" ht="21.75" customHeight="1">
      <c r="A12" s="26" t="s">
        <v>10</v>
      </c>
      <c r="B12" s="37">
        <f t="shared" si="0"/>
        <v>99</v>
      </c>
      <c r="C12" s="37">
        <f t="shared" si="1"/>
        <v>0</v>
      </c>
      <c r="D12" s="37">
        <f t="shared" si="2"/>
        <v>73</v>
      </c>
      <c r="E12" s="37">
        <f t="shared" si="3"/>
        <v>26</v>
      </c>
      <c r="F12" s="55">
        <f t="shared" si="4"/>
        <v>94</v>
      </c>
      <c r="G12" s="37">
        <v>0</v>
      </c>
      <c r="H12" s="37">
        <v>70</v>
      </c>
      <c r="I12" s="37">
        <v>24</v>
      </c>
      <c r="J12" s="55">
        <f t="shared" si="6"/>
        <v>5</v>
      </c>
      <c r="K12" s="37">
        <v>0</v>
      </c>
      <c r="L12" s="37">
        <v>3</v>
      </c>
      <c r="M12" s="37">
        <v>2</v>
      </c>
      <c r="N12" s="7" t="s">
        <v>16</v>
      </c>
      <c r="O12" s="31"/>
      <c r="P12" s="29"/>
      <c r="U12" s="21"/>
      <c r="V12" s="21"/>
      <c r="W12" s="18"/>
      <c r="X12" s="9"/>
      <c r="Y12" s="3" t="s">
        <v>53</v>
      </c>
      <c r="Z12" s="3" t="s">
        <v>54</v>
      </c>
      <c r="AA12" s="18"/>
    </row>
    <row r="13" spans="1:27" s="15" customFormat="1" ht="21.75" customHeight="1">
      <c r="A13" s="26" t="s">
        <v>4</v>
      </c>
      <c r="B13" s="37">
        <f t="shared" si="0"/>
        <v>1206</v>
      </c>
      <c r="C13" s="37">
        <f t="shared" si="1"/>
        <v>25</v>
      </c>
      <c r="D13" s="37">
        <f t="shared" si="2"/>
        <v>847</v>
      </c>
      <c r="E13" s="37">
        <f t="shared" si="3"/>
        <v>334</v>
      </c>
      <c r="F13" s="55">
        <f t="shared" si="4"/>
        <v>1182</v>
      </c>
      <c r="G13" s="37">
        <v>25</v>
      </c>
      <c r="H13" s="37">
        <v>825</v>
      </c>
      <c r="I13" s="37">
        <v>332</v>
      </c>
      <c r="J13" s="55">
        <f t="shared" si="6"/>
        <v>24</v>
      </c>
      <c r="K13" s="37">
        <v>0</v>
      </c>
      <c r="L13" s="37">
        <v>22</v>
      </c>
      <c r="M13" s="37">
        <v>2</v>
      </c>
      <c r="N13" s="7" t="s">
        <v>8</v>
      </c>
      <c r="O13" s="31"/>
      <c r="P13" s="29"/>
      <c r="W13" s="18"/>
      <c r="X13" s="14" t="s">
        <v>59</v>
      </c>
      <c r="Y13" s="5">
        <f>G9</f>
        <v>44</v>
      </c>
      <c r="Z13" s="5">
        <f>K9</f>
        <v>0</v>
      </c>
      <c r="AA13" s="18"/>
    </row>
    <row r="14" spans="1:27" s="15" customFormat="1" ht="21.75" customHeight="1">
      <c r="A14" s="26" t="s">
        <v>14</v>
      </c>
      <c r="B14" s="37">
        <f t="shared" si="0"/>
        <v>199</v>
      </c>
      <c r="C14" s="37">
        <f t="shared" si="1"/>
        <v>1</v>
      </c>
      <c r="D14" s="37">
        <f t="shared" si="2"/>
        <v>104</v>
      </c>
      <c r="E14" s="37">
        <f t="shared" si="3"/>
        <v>94</v>
      </c>
      <c r="F14" s="55">
        <f t="shared" si="4"/>
        <v>187</v>
      </c>
      <c r="G14" s="37">
        <v>1</v>
      </c>
      <c r="H14" s="37">
        <v>96</v>
      </c>
      <c r="I14" s="37">
        <v>90</v>
      </c>
      <c r="J14" s="55">
        <f t="shared" si="6"/>
        <v>12</v>
      </c>
      <c r="K14" s="37">
        <v>0</v>
      </c>
      <c r="L14" s="37">
        <v>8</v>
      </c>
      <c r="M14" s="37">
        <v>4</v>
      </c>
      <c r="N14" s="7" t="s">
        <v>58</v>
      </c>
      <c r="O14" s="31"/>
      <c r="P14" s="29"/>
      <c r="W14" s="6"/>
      <c r="X14" s="14" t="s">
        <v>60</v>
      </c>
      <c r="Y14" s="5">
        <f>H9</f>
        <v>2570</v>
      </c>
      <c r="Z14" s="5">
        <f>L9</f>
        <v>45</v>
      </c>
      <c r="AA14" s="6"/>
    </row>
    <row r="15" spans="1:27" s="15" customFormat="1" ht="21.75" customHeight="1">
      <c r="A15" s="26" t="s">
        <v>2</v>
      </c>
      <c r="B15" s="37">
        <f t="shared" si="0"/>
        <v>1</v>
      </c>
      <c r="C15" s="37">
        <f t="shared" si="1"/>
        <v>0</v>
      </c>
      <c r="D15" s="37">
        <f t="shared" si="2"/>
        <v>0</v>
      </c>
      <c r="E15" s="37">
        <f t="shared" si="3"/>
        <v>1</v>
      </c>
      <c r="F15" s="55">
        <f t="shared" si="4"/>
        <v>1</v>
      </c>
      <c r="G15" s="37">
        <v>0</v>
      </c>
      <c r="H15" s="37">
        <v>0</v>
      </c>
      <c r="I15" s="37">
        <v>1</v>
      </c>
      <c r="J15" s="55">
        <f t="shared" si="6"/>
        <v>0</v>
      </c>
      <c r="K15" s="37">
        <v>0</v>
      </c>
      <c r="L15" s="37">
        <v>0</v>
      </c>
      <c r="M15" s="37">
        <v>0</v>
      </c>
      <c r="N15" s="7" t="s">
        <v>5</v>
      </c>
      <c r="O15" s="31"/>
      <c r="P15" s="29"/>
      <c r="U15" s="19"/>
      <c r="V15" s="19"/>
      <c r="X15" s="8" t="s">
        <v>61</v>
      </c>
      <c r="Y15" s="5">
        <f>I9</f>
        <v>1068</v>
      </c>
      <c r="Z15" s="5">
        <f>M9</f>
        <v>16</v>
      </c>
    </row>
    <row r="16" spans="1:27" s="15" customFormat="1" ht="21.75" customHeight="1">
      <c r="A16" s="26" t="s">
        <v>18</v>
      </c>
      <c r="B16" s="37">
        <f t="shared" si="0"/>
        <v>24</v>
      </c>
      <c r="C16" s="37">
        <f t="shared" si="1"/>
        <v>1</v>
      </c>
      <c r="D16" s="37">
        <f t="shared" si="2"/>
        <v>14</v>
      </c>
      <c r="E16" s="37">
        <f t="shared" si="3"/>
        <v>9</v>
      </c>
      <c r="F16" s="55">
        <f t="shared" si="4"/>
        <v>24</v>
      </c>
      <c r="G16" s="37">
        <v>1</v>
      </c>
      <c r="H16" s="37">
        <v>14</v>
      </c>
      <c r="I16" s="37">
        <v>9</v>
      </c>
      <c r="J16" s="55">
        <f t="shared" si="6"/>
        <v>0</v>
      </c>
      <c r="K16" s="37">
        <v>0</v>
      </c>
      <c r="L16" s="37">
        <v>0</v>
      </c>
      <c r="M16" s="37">
        <v>0</v>
      </c>
      <c r="N16" s="7" t="s">
        <v>21</v>
      </c>
      <c r="O16" s="31"/>
      <c r="P16" s="29"/>
      <c r="X16" s="15" t="s">
        <v>62</v>
      </c>
      <c r="Y16" s="5">
        <f>Y11-Y13-Y14-Y15</f>
        <v>0</v>
      </c>
      <c r="Z16" s="5">
        <f>Z11-Z13-Z14-Z15</f>
        <v>0</v>
      </c>
    </row>
    <row r="17" spans="1:26" s="15" customFormat="1" ht="21.75" customHeight="1">
      <c r="A17" s="26" t="s">
        <v>20</v>
      </c>
      <c r="B17" s="37">
        <f t="shared" si="0"/>
        <v>3</v>
      </c>
      <c r="C17" s="37">
        <f t="shared" si="1"/>
        <v>0</v>
      </c>
      <c r="D17" s="37">
        <f t="shared" si="2"/>
        <v>3</v>
      </c>
      <c r="E17" s="37">
        <f t="shared" si="3"/>
        <v>0</v>
      </c>
      <c r="F17" s="55">
        <f t="shared" si="4"/>
        <v>3</v>
      </c>
      <c r="G17" s="37">
        <v>0</v>
      </c>
      <c r="H17" s="37">
        <v>3</v>
      </c>
      <c r="I17" s="37">
        <v>0</v>
      </c>
      <c r="J17" s="55">
        <f t="shared" si="6"/>
        <v>0</v>
      </c>
      <c r="K17" s="37">
        <v>0</v>
      </c>
      <c r="L17" s="37">
        <v>0</v>
      </c>
      <c r="M17" s="37">
        <v>0</v>
      </c>
      <c r="N17" s="7" t="s">
        <v>49</v>
      </c>
      <c r="O17" s="31"/>
      <c r="P17" s="29"/>
      <c r="X17" s="14"/>
      <c r="Y17" s="5"/>
      <c r="Z17" s="5"/>
    </row>
    <row r="18" spans="1:26" s="15" customFormat="1" ht="21.75" customHeight="1">
      <c r="A18" s="26" t="s">
        <v>12</v>
      </c>
      <c r="B18" s="37">
        <f t="shared" si="0"/>
        <v>59</v>
      </c>
      <c r="C18" s="37">
        <f t="shared" si="1"/>
        <v>0</v>
      </c>
      <c r="D18" s="37">
        <f t="shared" si="2"/>
        <v>53</v>
      </c>
      <c r="E18" s="37">
        <f t="shared" si="3"/>
        <v>6</v>
      </c>
      <c r="F18" s="55">
        <f t="shared" si="4"/>
        <v>59</v>
      </c>
      <c r="G18" s="37">
        <v>0</v>
      </c>
      <c r="H18" s="37">
        <v>53</v>
      </c>
      <c r="I18" s="37">
        <v>6</v>
      </c>
      <c r="J18" s="55">
        <f t="shared" si="6"/>
        <v>0</v>
      </c>
      <c r="K18" s="37">
        <v>0</v>
      </c>
      <c r="L18" s="37">
        <v>0</v>
      </c>
      <c r="M18" s="37">
        <v>0</v>
      </c>
      <c r="N18" s="7" t="s">
        <v>13</v>
      </c>
      <c r="O18" s="31"/>
      <c r="P18" s="29"/>
    </row>
    <row r="19" spans="1:26" s="15" customFormat="1" ht="21.75" customHeight="1">
      <c r="A19" s="26" t="s">
        <v>17</v>
      </c>
      <c r="B19" s="37">
        <f t="shared" si="0"/>
        <v>29</v>
      </c>
      <c r="C19" s="37">
        <f t="shared" si="1"/>
        <v>0</v>
      </c>
      <c r="D19" s="37">
        <f t="shared" si="2"/>
        <v>25</v>
      </c>
      <c r="E19" s="37">
        <f t="shared" si="3"/>
        <v>4</v>
      </c>
      <c r="F19" s="55">
        <f t="shared" si="4"/>
        <v>28</v>
      </c>
      <c r="G19" s="37">
        <v>0</v>
      </c>
      <c r="H19" s="37">
        <v>25</v>
      </c>
      <c r="I19" s="37">
        <v>3</v>
      </c>
      <c r="J19" s="55">
        <f t="shared" si="6"/>
        <v>1</v>
      </c>
      <c r="K19" s="37">
        <v>0</v>
      </c>
      <c r="L19" s="37">
        <v>0</v>
      </c>
      <c r="M19" s="37">
        <v>1</v>
      </c>
      <c r="N19" s="7" t="s">
        <v>19</v>
      </c>
      <c r="O19" s="31"/>
      <c r="P19" s="29"/>
      <c r="Q19" s="26"/>
    </row>
    <row r="20" spans="1:26" s="15" customFormat="1" ht="21.75" customHeight="1">
      <c r="A20" s="26" t="s">
        <v>27</v>
      </c>
      <c r="B20" s="37">
        <f t="shared" si="0"/>
        <v>0</v>
      </c>
      <c r="C20" s="37">
        <f t="shared" si="1"/>
        <v>0</v>
      </c>
      <c r="D20" s="37">
        <f t="shared" si="2"/>
        <v>0</v>
      </c>
      <c r="E20" s="37">
        <f t="shared" si="3"/>
        <v>0</v>
      </c>
      <c r="F20" s="55">
        <f t="shared" si="4"/>
        <v>0</v>
      </c>
      <c r="G20" s="37">
        <v>0</v>
      </c>
      <c r="H20" s="37">
        <v>0</v>
      </c>
      <c r="I20" s="37">
        <v>0</v>
      </c>
      <c r="J20" s="55">
        <f t="shared" si="6"/>
        <v>0</v>
      </c>
      <c r="K20" s="37">
        <v>0</v>
      </c>
      <c r="L20" s="37">
        <v>0</v>
      </c>
      <c r="M20" s="37">
        <v>0</v>
      </c>
      <c r="N20" s="7" t="s">
        <v>9</v>
      </c>
      <c r="O20" s="31"/>
      <c r="P20" s="29"/>
      <c r="Q20" s="26"/>
    </row>
    <row r="21" spans="1:26" s="15" customFormat="1" ht="21.75" customHeight="1">
      <c r="A21" s="26" t="s">
        <v>7</v>
      </c>
      <c r="B21" s="37">
        <f t="shared" si="0"/>
        <v>1064</v>
      </c>
      <c r="C21" s="37">
        <f t="shared" si="1"/>
        <v>6</v>
      </c>
      <c r="D21" s="37">
        <f t="shared" si="2"/>
        <v>722</v>
      </c>
      <c r="E21" s="37">
        <f t="shared" si="3"/>
        <v>336</v>
      </c>
      <c r="F21" s="55">
        <f t="shared" si="4"/>
        <v>1050</v>
      </c>
      <c r="G21" s="37">
        <f>SUM(G22:G34)</f>
        <v>6</v>
      </c>
      <c r="H21" s="37">
        <f>SUM(H22:H34)</f>
        <v>715</v>
      </c>
      <c r="I21" s="37">
        <f>SUM(I22:I34)</f>
        <v>329</v>
      </c>
      <c r="J21" s="55">
        <f>SUM(K21:M21)</f>
        <v>14</v>
      </c>
      <c r="K21" s="37">
        <f>SUM(K22:K34)</f>
        <v>0</v>
      </c>
      <c r="L21" s="37">
        <f t="shared" ref="L21:M21" si="7">SUM(L22:L34)</f>
        <v>7</v>
      </c>
      <c r="M21" s="37">
        <f t="shared" si="7"/>
        <v>7</v>
      </c>
      <c r="N21" s="7" t="s">
        <v>24</v>
      </c>
      <c r="O21" s="31"/>
      <c r="P21" s="29"/>
      <c r="Q21" s="26"/>
    </row>
    <row r="22" spans="1:26" ht="18.75" customHeight="1">
      <c r="A22" s="32" t="s">
        <v>25</v>
      </c>
      <c r="B22" s="37">
        <f t="shared" si="0"/>
        <v>4</v>
      </c>
      <c r="C22" s="37">
        <f t="shared" si="1"/>
        <v>0</v>
      </c>
      <c r="D22" s="37">
        <f t="shared" si="2"/>
        <v>2</v>
      </c>
      <c r="E22" s="37">
        <f t="shared" si="3"/>
        <v>2</v>
      </c>
      <c r="F22" s="55">
        <f t="shared" si="4"/>
        <v>4</v>
      </c>
      <c r="G22" s="37">
        <v>0</v>
      </c>
      <c r="H22" s="37">
        <v>2</v>
      </c>
      <c r="I22" s="37">
        <v>2</v>
      </c>
      <c r="J22" s="55">
        <f t="shared" si="6"/>
        <v>0</v>
      </c>
      <c r="K22" s="37">
        <v>0</v>
      </c>
      <c r="L22" s="37">
        <v>0</v>
      </c>
      <c r="M22" s="37">
        <v>0</v>
      </c>
      <c r="N22" s="1" t="s">
        <v>26</v>
      </c>
      <c r="O22" s="31"/>
      <c r="P22" s="9"/>
      <c r="Q22" s="9"/>
    </row>
    <row r="23" spans="1:26" ht="18.75" customHeight="1">
      <c r="A23" s="32" t="s">
        <v>28</v>
      </c>
      <c r="B23" s="37">
        <f t="shared" si="0"/>
        <v>7</v>
      </c>
      <c r="C23" s="37">
        <f t="shared" si="1"/>
        <v>0</v>
      </c>
      <c r="D23" s="37">
        <f t="shared" si="2"/>
        <v>5</v>
      </c>
      <c r="E23" s="37">
        <f t="shared" si="3"/>
        <v>2</v>
      </c>
      <c r="F23" s="55">
        <f t="shared" si="4"/>
        <v>7</v>
      </c>
      <c r="G23" s="37">
        <v>0</v>
      </c>
      <c r="H23" s="37">
        <v>5</v>
      </c>
      <c r="I23" s="37">
        <v>2</v>
      </c>
      <c r="J23" s="55">
        <f t="shared" si="6"/>
        <v>0</v>
      </c>
      <c r="K23" s="37">
        <v>0</v>
      </c>
      <c r="L23" s="37">
        <v>0</v>
      </c>
      <c r="M23" s="37">
        <v>0</v>
      </c>
      <c r="N23" s="1" t="s">
        <v>29</v>
      </c>
      <c r="O23" s="31"/>
      <c r="P23" s="9"/>
      <c r="Q23" s="9"/>
    </row>
    <row r="24" spans="1:26" ht="18.75" customHeight="1">
      <c r="A24" s="32" t="s">
        <v>31</v>
      </c>
      <c r="B24" s="37">
        <f t="shared" si="0"/>
        <v>0</v>
      </c>
      <c r="C24" s="37">
        <f t="shared" si="1"/>
        <v>0</v>
      </c>
      <c r="D24" s="37">
        <f t="shared" si="2"/>
        <v>0</v>
      </c>
      <c r="E24" s="37">
        <f t="shared" si="3"/>
        <v>0</v>
      </c>
      <c r="F24" s="55">
        <f t="shared" si="4"/>
        <v>0</v>
      </c>
      <c r="G24" s="37">
        <v>0</v>
      </c>
      <c r="H24" s="37">
        <v>0</v>
      </c>
      <c r="I24" s="37">
        <v>0</v>
      </c>
      <c r="J24" s="55">
        <f t="shared" si="6"/>
        <v>0</v>
      </c>
      <c r="K24" s="37">
        <v>0</v>
      </c>
      <c r="L24" s="37">
        <v>0</v>
      </c>
      <c r="M24" s="37">
        <v>0</v>
      </c>
      <c r="N24" s="1" t="s">
        <v>32</v>
      </c>
      <c r="O24" s="31"/>
      <c r="P24" s="9"/>
      <c r="Q24" s="9"/>
    </row>
    <row r="25" spans="1:26" ht="18.75" customHeight="1">
      <c r="A25" s="32" t="s">
        <v>33</v>
      </c>
      <c r="B25" s="37">
        <f t="shared" si="0"/>
        <v>4</v>
      </c>
      <c r="C25" s="37">
        <f t="shared" si="1"/>
        <v>0</v>
      </c>
      <c r="D25" s="37">
        <f t="shared" si="2"/>
        <v>3</v>
      </c>
      <c r="E25" s="37">
        <f t="shared" si="3"/>
        <v>1</v>
      </c>
      <c r="F25" s="55">
        <f t="shared" si="4"/>
        <v>2</v>
      </c>
      <c r="G25" s="37">
        <v>0</v>
      </c>
      <c r="H25" s="37">
        <v>2</v>
      </c>
      <c r="I25" s="37">
        <v>0</v>
      </c>
      <c r="J25" s="55">
        <f t="shared" si="6"/>
        <v>2</v>
      </c>
      <c r="K25" s="37">
        <v>0</v>
      </c>
      <c r="L25" s="37">
        <v>1</v>
      </c>
      <c r="M25" s="37">
        <v>1</v>
      </c>
      <c r="N25" s="1" t="s">
        <v>34</v>
      </c>
      <c r="O25" s="31"/>
      <c r="P25" s="9"/>
      <c r="Q25" s="9"/>
      <c r="Y25" s="12"/>
      <c r="Z25" s="12"/>
    </row>
    <row r="26" spans="1:26" ht="18.75" customHeight="1">
      <c r="A26" s="32" t="s">
        <v>23</v>
      </c>
      <c r="B26" s="37">
        <f t="shared" si="0"/>
        <v>1</v>
      </c>
      <c r="C26" s="37">
        <f t="shared" si="1"/>
        <v>0</v>
      </c>
      <c r="D26" s="37">
        <f t="shared" si="2"/>
        <v>1</v>
      </c>
      <c r="E26" s="37">
        <f t="shared" si="3"/>
        <v>0</v>
      </c>
      <c r="F26" s="55">
        <f t="shared" si="4"/>
        <v>1</v>
      </c>
      <c r="G26" s="37">
        <v>0</v>
      </c>
      <c r="H26" s="37">
        <v>1</v>
      </c>
      <c r="I26" s="37">
        <v>0</v>
      </c>
      <c r="J26" s="55">
        <f t="shared" si="6"/>
        <v>0</v>
      </c>
      <c r="K26" s="37">
        <v>0</v>
      </c>
      <c r="L26" s="37">
        <v>0</v>
      </c>
      <c r="M26" s="37">
        <v>0</v>
      </c>
      <c r="N26" s="1" t="s">
        <v>35</v>
      </c>
      <c r="O26" s="31"/>
      <c r="P26" s="9"/>
      <c r="Q26" s="9"/>
    </row>
    <row r="27" spans="1:26" ht="18.75" customHeight="1">
      <c r="A27" s="32" t="s">
        <v>22</v>
      </c>
      <c r="B27" s="37">
        <f t="shared" si="0"/>
        <v>7</v>
      </c>
      <c r="C27" s="37">
        <f t="shared" si="1"/>
        <v>0</v>
      </c>
      <c r="D27" s="37">
        <f t="shared" si="2"/>
        <v>4</v>
      </c>
      <c r="E27" s="37">
        <f t="shared" si="3"/>
        <v>3</v>
      </c>
      <c r="F27" s="55">
        <f t="shared" si="4"/>
        <v>7</v>
      </c>
      <c r="G27" s="37">
        <v>0</v>
      </c>
      <c r="H27" s="37">
        <v>4</v>
      </c>
      <c r="I27" s="37">
        <v>3</v>
      </c>
      <c r="J27" s="55">
        <f t="shared" si="6"/>
        <v>0</v>
      </c>
      <c r="K27" s="37">
        <v>0</v>
      </c>
      <c r="L27" s="37">
        <v>0</v>
      </c>
      <c r="M27" s="37">
        <v>0</v>
      </c>
      <c r="N27" s="1" t="s">
        <v>36</v>
      </c>
      <c r="O27" s="31"/>
      <c r="P27" s="9"/>
      <c r="Q27" s="9"/>
    </row>
    <row r="28" spans="1:26" ht="18.75" customHeight="1">
      <c r="A28" s="32" t="s">
        <v>30</v>
      </c>
      <c r="B28" s="37">
        <f t="shared" si="0"/>
        <v>46</v>
      </c>
      <c r="C28" s="37">
        <f t="shared" si="1"/>
        <v>1</v>
      </c>
      <c r="D28" s="37">
        <f t="shared" si="2"/>
        <v>36</v>
      </c>
      <c r="E28" s="37">
        <f t="shared" si="3"/>
        <v>9</v>
      </c>
      <c r="F28" s="55">
        <f t="shared" si="4"/>
        <v>45</v>
      </c>
      <c r="G28" s="37">
        <v>1</v>
      </c>
      <c r="H28" s="37">
        <v>36</v>
      </c>
      <c r="I28" s="37">
        <v>8</v>
      </c>
      <c r="J28" s="55">
        <f t="shared" si="6"/>
        <v>1</v>
      </c>
      <c r="K28" s="37">
        <v>0</v>
      </c>
      <c r="L28" s="37">
        <v>0</v>
      </c>
      <c r="M28" s="37">
        <v>1</v>
      </c>
      <c r="N28" s="1" t="s">
        <v>37</v>
      </c>
      <c r="O28" s="31"/>
      <c r="P28" s="9"/>
      <c r="Q28" s="9"/>
    </row>
    <row r="29" spans="1:26" ht="18.75" customHeight="1">
      <c r="A29" s="32" t="s">
        <v>38</v>
      </c>
      <c r="B29" s="37">
        <f t="shared" si="0"/>
        <v>5</v>
      </c>
      <c r="C29" s="37">
        <f t="shared" si="1"/>
        <v>0</v>
      </c>
      <c r="D29" s="37">
        <f t="shared" si="2"/>
        <v>4</v>
      </c>
      <c r="E29" s="37">
        <f t="shared" si="3"/>
        <v>1</v>
      </c>
      <c r="F29" s="55">
        <f t="shared" si="4"/>
        <v>5</v>
      </c>
      <c r="G29" s="37">
        <v>0</v>
      </c>
      <c r="H29" s="37">
        <v>4</v>
      </c>
      <c r="I29" s="37">
        <v>1</v>
      </c>
      <c r="J29" s="55">
        <f t="shared" si="6"/>
        <v>0</v>
      </c>
      <c r="K29" s="37">
        <v>0</v>
      </c>
      <c r="L29" s="37">
        <v>0</v>
      </c>
      <c r="M29" s="37">
        <v>0</v>
      </c>
      <c r="N29" s="1" t="s">
        <v>39</v>
      </c>
      <c r="O29" s="31"/>
      <c r="P29" s="9"/>
      <c r="Q29" s="9"/>
    </row>
    <row r="30" spans="1:26" ht="18.75" customHeight="1">
      <c r="A30" s="32" t="s">
        <v>40</v>
      </c>
      <c r="B30" s="37">
        <f t="shared" si="0"/>
        <v>6</v>
      </c>
      <c r="C30" s="37">
        <f t="shared" si="1"/>
        <v>0</v>
      </c>
      <c r="D30" s="37">
        <f t="shared" si="2"/>
        <v>4</v>
      </c>
      <c r="E30" s="37">
        <f t="shared" si="3"/>
        <v>2</v>
      </c>
      <c r="F30" s="55">
        <f t="shared" si="4"/>
        <v>6</v>
      </c>
      <c r="G30" s="37">
        <v>0</v>
      </c>
      <c r="H30" s="37">
        <v>4</v>
      </c>
      <c r="I30" s="37">
        <v>2</v>
      </c>
      <c r="J30" s="55">
        <f t="shared" si="6"/>
        <v>0</v>
      </c>
      <c r="K30" s="37">
        <v>0</v>
      </c>
      <c r="L30" s="37">
        <v>0</v>
      </c>
      <c r="M30" s="37">
        <v>0</v>
      </c>
      <c r="N30" s="1" t="s">
        <v>41</v>
      </c>
      <c r="O30" s="31"/>
      <c r="P30" s="9"/>
      <c r="Q30" s="9"/>
    </row>
    <row r="31" spans="1:26" ht="18.75" customHeight="1">
      <c r="A31" s="32" t="s">
        <v>15</v>
      </c>
      <c r="B31" s="37">
        <f t="shared" si="0"/>
        <v>78</v>
      </c>
      <c r="C31" s="37">
        <f t="shared" si="1"/>
        <v>0</v>
      </c>
      <c r="D31" s="37">
        <f t="shared" si="2"/>
        <v>54</v>
      </c>
      <c r="E31" s="37">
        <f t="shared" si="3"/>
        <v>24</v>
      </c>
      <c r="F31" s="55">
        <f t="shared" si="4"/>
        <v>78</v>
      </c>
      <c r="G31" s="37">
        <v>0</v>
      </c>
      <c r="H31" s="37">
        <v>54</v>
      </c>
      <c r="I31" s="37">
        <v>24</v>
      </c>
      <c r="J31" s="55">
        <f t="shared" si="6"/>
        <v>0</v>
      </c>
      <c r="K31" s="37">
        <v>0</v>
      </c>
      <c r="L31" s="37">
        <v>0</v>
      </c>
      <c r="M31" s="37">
        <v>0</v>
      </c>
      <c r="N31" s="1" t="s">
        <v>42</v>
      </c>
      <c r="O31" s="31"/>
      <c r="P31" s="9"/>
      <c r="Q31" s="9"/>
    </row>
    <row r="32" spans="1:26" ht="29.25" customHeight="1">
      <c r="A32" s="33" t="s">
        <v>43</v>
      </c>
      <c r="B32" s="37">
        <f t="shared" si="0"/>
        <v>1</v>
      </c>
      <c r="C32" s="37">
        <f t="shared" si="1"/>
        <v>0</v>
      </c>
      <c r="D32" s="37">
        <f t="shared" si="2"/>
        <v>0</v>
      </c>
      <c r="E32" s="37">
        <f t="shared" si="3"/>
        <v>1</v>
      </c>
      <c r="F32" s="55">
        <f t="shared" si="4"/>
        <v>1</v>
      </c>
      <c r="G32" s="37">
        <v>0</v>
      </c>
      <c r="H32" s="37">
        <v>0</v>
      </c>
      <c r="I32" s="37">
        <v>1</v>
      </c>
      <c r="J32" s="55">
        <f t="shared" si="6"/>
        <v>0</v>
      </c>
      <c r="K32" s="37">
        <v>0</v>
      </c>
      <c r="L32" s="37">
        <v>0</v>
      </c>
      <c r="M32" s="37">
        <v>0</v>
      </c>
      <c r="N32" s="1" t="s">
        <v>44</v>
      </c>
      <c r="O32" s="31"/>
      <c r="P32" s="9"/>
      <c r="Q32" s="9"/>
    </row>
    <row r="33" spans="1:17" ht="18.75" customHeight="1">
      <c r="A33" s="32" t="s">
        <v>45</v>
      </c>
      <c r="B33" s="37">
        <f t="shared" si="0"/>
        <v>7</v>
      </c>
      <c r="C33" s="37">
        <f t="shared" si="1"/>
        <v>0</v>
      </c>
      <c r="D33" s="37">
        <f t="shared" si="2"/>
        <v>5</v>
      </c>
      <c r="E33" s="37">
        <f t="shared" si="3"/>
        <v>2</v>
      </c>
      <c r="F33" s="55">
        <f t="shared" si="4"/>
        <v>6</v>
      </c>
      <c r="G33" s="37">
        <v>0</v>
      </c>
      <c r="H33" s="37">
        <v>4</v>
      </c>
      <c r="I33" s="37">
        <v>2</v>
      </c>
      <c r="J33" s="55">
        <f t="shared" si="6"/>
        <v>1</v>
      </c>
      <c r="K33" s="37">
        <v>0</v>
      </c>
      <c r="L33" s="37">
        <v>1</v>
      </c>
      <c r="M33" s="37">
        <v>0</v>
      </c>
      <c r="N33" s="1" t="s">
        <v>46</v>
      </c>
      <c r="O33" s="31"/>
      <c r="P33" s="9"/>
      <c r="Q33" s="9"/>
    </row>
    <row r="34" spans="1:17" ht="18.75" customHeight="1">
      <c r="A34" s="34" t="s">
        <v>7</v>
      </c>
      <c r="B34" s="38">
        <f t="shared" si="0"/>
        <v>898</v>
      </c>
      <c r="C34" s="38">
        <f t="shared" si="1"/>
        <v>5</v>
      </c>
      <c r="D34" s="38">
        <f t="shared" si="2"/>
        <v>604</v>
      </c>
      <c r="E34" s="38">
        <f t="shared" si="3"/>
        <v>289</v>
      </c>
      <c r="F34" s="56">
        <f t="shared" si="4"/>
        <v>888</v>
      </c>
      <c r="G34" s="38">
        <v>5</v>
      </c>
      <c r="H34" s="38">
        <v>599</v>
      </c>
      <c r="I34" s="38">
        <v>284</v>
      </c>
      <c r="J34" s="56">
        <f t="shared" si="6"/>
        <v>10</v>
      </c>
      <c r="K34" s="38">
        <v>0</v>
      </c>
      <c r="L34" s="38">
        <v>5</v>
      </c>
      <c r="M34" s="38">
        <v>5</v>
      </c>
      <c r="N34" s="2" t="s">
        <v>24</v>
      </c>
      <c r="O34" s="31"/>
      <c r="P34" s="9"/>
      <c r="Q34" s="9"/>
    </row>
    <row r="35" spans="1:17" ht="18.75" customHeight="1">
      <c r="A35" s="35" t="s">
        <v>73</v>
      </c>
      <c r="B35" s="27"/>
      <c r="C35" s="27"/>
      <c r="D35" s="27"/>
      <c r="E35" s="27"/>
      <c r="F35" s="27"/>
      <c r="L35" s="11"/>
      <c r="M35" s="11"/>
      <c r="N35" s="11" t="s">
        <v>71</v>
      </c>
      <c r="O35" s="31"/>
      <c r="P35" s="9"/>
      <c r="Q35" s="9"/>
    </row>
    <row r="36" spans="1:17" ht="18.75" customHeight="1">
      <c r="A36" s="10" t="s">
        <v>47</v>
      </c>
      <c r="C36" s="12"/>
      <c r="L36" s="36"/>
      <c r="M36" s="36"/>
      <c r="N36" s="11" t="s">
        <v>50</v>
      </c>
      <c r="O36" s="31"/>
      <c r="P36" s="9"/>
      <c r="Q36" s="9"/>
    </row>
    <row r="37" spans="1:17" ht="18.75" customHeight="1">
      <c r="L37" s="36"/>
      <c r="M37" s="36"/>
      <c r="N37" s="36"/>
      <c r="O37" s="31"/>
      <c r="P37" s="9"/>
      <c r="Q37" s="9"/>
    </row>
    <row r="38" spans="1:17" ht="18.75" customHeight="1">
      <c r="A38" s="10"/>
      <c r="L38" s="36"/>
      <c r="M38" s="36"/>
      <c r="N38" s="36"/>
      <c r="O38" s="31"/>
      <c r="P38" s="9"/>
      <c r="Q38" s="9"/>
    </row>
    <row r="39" spans="1:17" ht="18.75" customHeight="1">
      <c r="A39" s="10"/>
      <c r="L39" s="36"/>
      <c r="M39" s="36"/>
      <c r="N39" s="36"/>
      <c r="O39" s="31"/>
      <c r="P39" s="9"/>
      <c r="Q39" s="9"/>
    </row>
    <row r="40" spans="1:17" ht="18.75" customHeight="1">
      <c r="A40" s="10"/>
      <c r="L40" s="36"/>
      <c r="M40" s="36"/>
      <c r="N40" s="36"/>
      <c r="O40" s="31"/>
      <c r="P40" s="9"/>
      <c r="Q40" s="9"/>
    </row>
    <row r="41" spans="1:17" ht="18.75" customHeight="1">
      <c r="O41" s="31"/>
      <c r="P41" s="9"/>
      <c r="Q41" s="9"/>
    </row>
    <row r="42" spans="1:17" ht="18.75" customHeight="1">
      <c r="A42" s="10"/>
      <c r="L42" s="36"/>
      <c r="M42" s="36"/>
      <c r="N42" s="36"/>
      <c r="O42" s="31"/>
      <c r="P42" s="9"/>
      <c r="Q42" s="9"/>
    </row>
    <row r="43" spans="1:17" ht="18.75" customHeight="1">
      <c r="A43" s="10"/>
      <c r="L43" s="36"/>
      <c r="M43" s="36"/>
      <c r="N43" s="36"/>
      <c r="O43" s="31"/>
      <c r="P43" s="9"/>
      <c r="Q43" s="9"/>
    </row>
    <row r="44" spans="1:17" ht="18.75" customHeight="1">
      <c r="A44" s="10"/>
      <c r="L44" s="36"/>
      <c r="M44" s="36"/>
      <c r="N44" s="36"/>
      <c r="O44" s="31"/>
      <c r="P44" s="9"/>
      <c r="Q44" s="9"/>
    </row>
    <row r="45" spans="1:17" ht="18.75" customHeight="1">
      <c r="A45" s="10"/>
      <c r="L45" s="36"/>
      <c r="M45" s="36"/>
      <c r="N45" s="36"/>
      <c r="O45" s="31"/>
      <c r="P45" s="9"/>
      <c r="Q45" s="9"/>
    </row>
    <row r="46" spans="1:17" ht="18.75" customHeight="1">
      <c r="O46" s="31"/>
      <c r="P46" s="9"/>
      <c r="Q46" s="9"/>
    </row>
    <row r="47" spans="1:17" ht="18.75">
      <c r="O47" s="31"/>
      <c r="P47" s="9"/>
      <c r="Q47" s="9"/>
    </row>
    <row r="48" spans="1:17" ht="9" customHeight="1"/>
    <row r="49" spans="15:26" ht="4.5" customHeight="1">
      <c r="O49" s="31"/>
    </row>
    <row r="50" spans="15:26" ht="18.75" hidden="1">
      <c r="O50" s="31"/>
    </row>
    <row r="51" spans="15:26" ht="9" customHeight="1"/>
    <row r="52" spans="15:26" ht="18.75">
      <c r="O52" s="31"/>
      <c r="X52" s="14"/>
      <c r="Y52" s="5"/>
      <c r="Z52" s="5"/>
    </row>
    <row r="53" spans="15:26" ht="18.75">
      <c r="O53" s="31"/>
      <c r="X53" s="14"/>
      <c r="Y53" s="5"/>
      <c r="Z53" s="5"/>
    </row>
  </sheetData>
  <mergeCells count="10">
    <mergeCell ref="A2:N2"/>
    <mergeCell ref="A3:N3"/>
    <mergeCell ref="A5:A8"/>
    <mergeCell ref="J5:M5"/>
    <mergeCell ref="N5:N8"/>
    <mergeCell ref="J6:M6"/>
    <mergeCell ref="F5:I5"/>
    <mergeCell ref="F6:I6"/>
    <mergeCell ref="B6:E6"/>
    <mergeCell ref="B5:E5"/>
  </mergeCells>
  <pageMargins left="0.7" right="0.7" top="0.75" bottom="0.75" header="0.3" footer="0.3"/>
  <pageSetup scale="35" orientation="portrait" r:id="rId1"/>
  <ignoredErrors>
    <ignoredError sqref="K9 G9:I9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8.16</vt:lpstr>
      <vt:lpstr>'8.16'!Print_Area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2021-09-28T04:18:24Z</cp:lastPrinted>
  <dcterms:created xsi:type="dcterms:W3CDTF">2019-06-30T04:22:49Z</dcterms:created>
  <dcterms:modified xsi:type="dcterms:W3CDTF">2021-09-28T04:18:44Z</dcterms:modified>
</cp:coreProperties>
</file>