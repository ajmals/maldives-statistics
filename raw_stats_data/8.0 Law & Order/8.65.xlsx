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1FC35373-A31B-4BAC-86B4-B1592E4C089F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5" sheetId="120" r:id="rId1"/>
  </sheets>
  <externalReferences>
    <externalReference r:id="rId2"/>
  </externalReferences>
  <definedNames>
    <definedName name="_xlnm.Print_Area" localSheetId="0">'8.65'!$A$1:$N$16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20" l="1"/>
  <c r="H15" i="120"/>
  <c r="E15" i="120"/>
  <c r="B15" i="120"/>
  <c r="K14" i="120"/>
  <c r="H14" i="120"/>
  <c r="E14" i="120"/>
  <c r="B14" i="120"/>
  <c r="K13" i="120"/>
  <c r="H13" i="120"/>
  <c r="E13" i="120"/>
  <c r="B13" i="120"/>
  <c r="K12" i="120"/>
  <c r="H12" i="120"/>
  <c r="E12" i="120"/>
  <c r="B12" i="120"/>
  <c r="K11" i="120"/>
  <c r="H11" i="120"/>
  <c r="E11" i="120"/>
  <c r="B11" i="120"/>
  <c r="K10" i="120"/>
  <c r="H10" i="120"/>
  <c r="E10" i="120"/>
  <c r="B10" i="120"/>
  <c r="K9" i="120"/>
  <c r="H9" i="120"/>
  <c r="E9" i="120"/>
  <c r="B9" i="120"/>
  <c r="M8" i="120"/>
  <c r="L8" i="120"/>
  <c r="K8" i="120" s="1"/>
  <c r="J8" i="120"/>
  <c r="I8" i="120"/>
  <c r="H8" i="120" s="1"/>
  <c r="G8" i="120"/>
  <c r="E8" i="120" s="1"/>
  <c r="F8" i="120"/>
  <c r="B8" i="120"/>
</calcChain>
</file>

<file path=xl/sharedStrings.xml><?xml version="1.0" encoding="utf-8"?>
<sst xmlns="http://schemas.openxmlformats.org/spreadsheetml/2006/main" count="29" uniqueCount="17">
  <si>
    <t>Total</t>
  </si>
  <si>
    <t>Both Sexes</t>
  </si>
  <si>
    <t>Male</t>
  </si>
  <si>
    <t>Female</t>
  </si>
  <si>
    <t>1 - 4</t>
  </si>
  <si>
    <t>5</t>
  </si>
  <si>
    <t>6 - 9</t>
  </si>
  <si>
    <t>10 - 14</t>
  </si>
  <si>
    <t>15</t>
  </si>
  <si>
    <t>16 - 18</t>
  </si>
  <si>
    <t>Age group</t>
  </si>
  <si>
    <t>Less than 1 year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</si>
  <si>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</si>
  <si>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</si>
  <si>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Number of Children</t>
  </si>
  <si>
    <t>Table 8.65: Number of cases reported  to ministry  by age group and sex, 2014 - 2019</t>
  </si>
  <si>
    <t>ތާވަލު 8.65: މިނިސްޓްރީ އޮފް ޖެންޑަރ އެންޑް ފެމިލީއަށް ހުށައެޅިފައިވާ މައްސަލަތަކުގެ އަދަދު، 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</si>
</sst>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7" fillId="0" borderId="0"/>
    <xf numFmtId="0" fontId="9" fillId="0" borderId="7" applyNumberFormat="0" applyFill="0" applyAlignment="0" applyProtection="0"/>
    <xf numFmtId="0" fontId="7" fillId="0" borderId="0"/>
    <xf numFmtId="0" fontId="7" fillId="0" borderId="0"/>
  </cellStyleXfs>
  <cellXfs count="27">
    <xf numFmtId="0" fontId="0" fillId="0" borderId="0" xfId="0"/>
    <xf numFmtId="165" fontId="2" fillId="2" borderId="0" xfId="0" applyNumberFormat="1" applyFont="1" applyFill="1"/>
    <xf numFmtId="165" fontId="1" fillId="2" borderId="1" xfId="0" applyNumberFormat="1" applyFont="1" applyFill="1" applyBorder="1" applyAlignment="1">
      <alignment horizontal="center" vertical="center" wrapText="1"/>
    </xf>
    <xf numFmtId="165" fontId="10" fillId="2" borderId="0" xfId="0" applyNumberFormat="1" applyFont="1" applyFill="1" applyBorder="1" applyAlignment="1">
      <alignment vertical="top" readingOrder="2"/>
    </xf>
    <xf numFmtId="165" fontId="10" fillId="2" borderId="0" xfId="0" applyNumberFormat="1" applyFont="1" applyFill="1" applyBorder="1" applyAlignment="1">
      <alignment vertical="center" readingOrder="2"/>
    </xf>
    <xf numFmtId="165" fontId="3" fillId="2" borderId="8" xfId="0" applyNumberFormat="1" applyFont="1" applyFill="1" applyBorder="1" applyAlignment="1">
      <alignment vertical="top"/>
    </xf>
    <xf numFmtId="165" fontId="1" fillId="2" borderId="3" xfId="0" applyNumberFormat="1" applyFont="1" applyFill="1" applyBorder="1" applyAlignment="1">
      <alignment horizontal="center" vertical="center" wrapText="1"/>
    </xf>
    <xf numFmtId="165" fontId="8" fillId="2" borderId="8" xfId="0" applyNumberFormat="1" applyFont="1" applyFill="1" applyBorder="1" applyAlignment="1">
      <alignment horizontal="left" vertical="center" indent="1"/>
    </xf>
    <xf numFmtId="3" fontId="8" fillId="2" borderId="2" xfId="0" applyNumberFormat="1" applyFont="1" applyFill="1" applyBorder="1"/>
    <xf numFmtId="3" fontId="8" fillId="2" borderId="8" xfId="0" applyNumberFormat="1" applyFont="1" applyFill="1" applyBorder="1"/>
    <xf numFmtId="0" fontId="6" fillId="2" borderId="0" xfId="4" applyFont="1" applyFill="1" applyBorder="1" applyAlignment="1">
      <alignment horizontal="left" vertical="center" indent="2"/>
    </xf>
    <xf numFmtId="3" fontId="6" fillId="2" borderId="4" xfId="0" applyNumberFormat="1" applyFont="1" applyFill="1" applyBorder="1"/>
    <xf numFmtId="3" fontId="6" fillId="2" borderId="0" xfId="0" applyNumberFormat="1" applyFont="1" applyFill="1" applyBorder="1"/>
    <xf numFmtId="49" fontId="6" fillId="2" borderId="0" xfId="4" applyNumberFormat="1" applyFont="1" applyFill="1" applyBorder="1" applyAlignment="1">
      <alignment horizontal="left" vertical="center" indent="2"/>
    </xf>
    <xf numFmtId="49" fontId="6" fillId="2" borderId="1" xfId="4" applyNumberFormat="1" applyFont="1" applyFill="1" applyBorder="1" applyAlignment="1">
      <alignment horizontal="left" vertical="center" indent="2"/>
    </xf>
    <xf numFmtId="3" fontId="6" fillId="2" borderId="3" xfId="0" applyNumberFormat="1" applyFont="1" applyFill="1" applyBorder="1"/>
    <xf numFmtId="3" fontId="6" fillId="2" borderId="1" xfId="0" applyNumberFormat="1" applyFont="1" applyFill="1" applyBorder="1"/>
    <xf numFmtId="165" fontId="1" fillId="2" borderId="0" xfId="0" applyNumberFormat="1" applyFont="1" applyFill="1" applyBorder="1" applyAlignment="1">
      <alignment horizontal="center" vertical="center" wrapText="1"/>
    </xf>
    <xf numFmtId="165" fontId="1" fillId="2" borderId="10" xfId="0" applyNumberFormat="1" applyFont="1" applyFill="1" applyBorder="1" applyAlignment="1">
      <alignment horizontal="center"/>
    </xf>
    <xf numFmtId="165" fontId="1" fillId="2" borderId="9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5" fontId="11" fillId="2" borderId="0" xfId="0" applyNumberFormat="1" applyFont="1" applyFill="1" applyAlignment="1">
      <alignment horizontal="center"/>
    </xf>
    <xf numFmtId="165" fontId="12" fillId="2" borderId="0" xfId="0" applyNumberFormat="1" applyFont="1" applyFill="1" applyAlignment="1">
      <alignment horizontal="center" vertical="center" wrapText="1"/>
    </xf>
    <xf numFmtId="165" fontId="1" fillId="2" borderId="8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</cellXfs>
  <cellStyles count="8">
    <cellStyle name="1" xfId="7" xr:uid="{00000000-0005-0000-0000-000000000000}"/>
    <cellStyle name="Comma 2" xfId="1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_II-14(Population)" xfId="4" xr:uid="{00000000-0005-0000-0000-00000A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M16"/>
  <sheetViews>
    <sheetView tabSelected="1" zoomScaleNormal="100" workbookViewId="0">
      <selection activeCell="J31" sqref="J31"/>
    </sheetView>
  </sheetViews>
  <sheetFormatPr defaultColWidth="9.1796875" defaultRowHeight="13"/>
  <cols>
    <col min="1" max="1" width="20" style="1" customWidth="1"/>
    <col min="2" max="13" width="9.81640625" style="1" customWidth="1"/>
    <col min="14" max="16384" width="9.1796875" style="1"/>
  </cols>
  <sheetData>
    <row r="2" spans="1:13" ht="21.5">
      <c r="A2" s="22" t="s">
        <v>16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5.5" customHeight="1">
      <c r="A3" s="23" t="s">
        <v>15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5.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>
      <c r="A5" s="24" t="s">
        <v>10</v>
      </c>
      <c r="B5" s="18">
        <v>2017</v>
      </c>
      <c r="C5" s="19"/>
      <c r="D5" s="19"/>
      <c r="E5" s="18">
        <v>2018</v>
      </c>
      <c r="F5" s="19"/>
      <c r="G5" s="19"/>
      <c r="H5" s="18">
        <v>2019</v>
      </c>
      <c r="I5" s="19"/>
      <c r="J5" s="19"/>
      <c r="K5" s="18">
        <v>2019</v>
      </c>
      <c r="L5" s="19"/>
      <c r="M5" s="19"/>
    </row>
    <row r="6" spans="1:13">
      <c r="A6" s="17"/>
      <c r="B6" s="20" t="s">
        <v>14</v>
      </c>
      <c r="C6" s="21"/>
      <c r="D6" s="21"/>
      <c r="E6" s="20" t="s">
        <v>14</v>
      </c>
      <c r="F6" s="21"/>
      <c r="G6" s="21"/>
      <c r="H6" s="20" t="s">
        <v>14</v>
      </c>
      <c r="I6" s="21"/>
      <c r="J6" s="21"/>
      <c r="K6" s="20" t="s">
        <v>14</v>
      </c>
      <c r="L6" s="21"/>
      <c r="M6" s="21"/>
    </row>
    <row r="7" spans="1:13">
      <c r="A7" s="25"/>
      <c r="B7" s="6" t="s">
        <v>1</v>
      </c>
      <c r="C7" s="2" t="s">
        <v>2</v>
      </c>
      <c r="D7" s="2" t="s">
        <v>3</v>
      </c>
      <c r="E7" s="6" t="s">
        <v>1</v>
      </c>
      <c r="F7" s="2" t="s">
        <v>2</v>
      </c>
      <c r="G7" s="2" t="s">
        <v>3</v>
      </c>
      <c r="H7" s="6" t="s">
        <v>1</v>
      </c>
      <c r="I7" s="2" t="s">
        <v>2</v>
      </c>
      <c r="J7" s="2" t="s">
        <v>3</v>
      </c>
      <c r="K7" s="6" t="s">
        <v>1</v>
      </c>
      <c r="L7" s="2" t="s">
        <v>2</v>
      </c>
      <c r="M7" s="2" t="s">
        <v>3</v>
      </c>
    </row>
    <row r="8" spans="1:13" ht="14.5">
      <c r="A8" s="7" t="s">
        <v>0</v>
      </c>
      <c r="B8" s="8">
        <f>C8+D8</f>
        <v>714</v>
      </c>
      <c r="C8" s="9">
        <v>344</v>
      </c>
      <c r="D8" s="9">
        <v>370</v>
      </c>
      <c r="E8" s="8">
        <f>SUM(F8:G8)</f>
        <v>898</v>
      </c>
      <c r="F8" s="9">
        <f>SUM(F9:F15)</f>
        <v>455</v>
      </c>
      <c r="G8" s="9">
        <f>SUM(G9:G15)</f>
        <v>443</v>
      </c>
      <c r="H8" s="8">
        <f>SUM(I8:J8)</f>
        <v>798</v>
      </c>
      <c r="I8" s="9">
        <f>SUM(I9:I15)</f>
        <v>346</v>
      </c>
      <c r="J8" s="9">
        <f>SUM(J9:J15)</f>
        <v>452</v>
      </c>
      <c r="K8" s="8">
        <f>SUM(L8:M8)</f>
        <v>798</v>
      </c>
      <c r="L8" s="9">
        <f>SUM(L9:L15)</f>
        <v>346</v>
      </c>
      <c r="M8" s="9">
        <f>SUM(M9:M15)</f>
        <v>452</v>
      </c>
    </row>
    <row r="9" spans="1:13" ht="14.5">
      <c r="A9" s="10" t="s">
        <v>11</v>
      </c>
      <c r="B9" s="11">
        <f>C9+D9</f>
        <v>29</v>
      </c>
      <c r="C9" s="12">
        <v>8</v>
      </c>
      <c r="D9" s="12">
        <v>21</v>
      </c>
      <c r="E9" s="11">
        <f>F9+G9</f>
        <v>49</v>
      </c>
      <c r="F9" s="12">
        <v>26</v>
      </c>
      <c r="G9" s="12">
        <v>23</v>
      </c>
      <c r="H9" s="11">
        <f>I9+J9</f>
        <v>38</v>
      </c>
      <c r="I9" s="12">
        <v>13</v>
      </c>
      <c r="J9" s="12">
        <v>25</v>
      </c>
      <c r="K9" s="11">
        <f>L9+M9</f>
        <v>38</v>
      </c>
      <c r="L9" s="12">
        <v>13</v>
      </c>
      <c r="M9" s="12">
        <v>25</v>
      </c>
    </row>
    <row r="10" spans="1:13" ht="14.5">
      <c r="A10" s="13" t="s">
        <v>4</v>
      </c>
      <c r="B10" s="11">
        <f>C10+D10</f>
        <v>142</v>
      </c>
      <c r="C10" s="12">
        <v>83</v>
      </c>
      <c r="D10" s="12">
        <v>59</v>
      </c>
      <c r="E10" s="11">
        <f>F10+G10</f>
        <v>150</v>
      </c>
      <c r="F10" s="12">
        <v>96</v>
      </c>
      <c r="G10" s="12">
        <v>54</v>
      </c>
      <c r="H10" s="11">
        <f>I10+J10</f>
        <v>139</v>
      </c>
      <c r="I10" s="12">
        <v>74</v>
      </c>
      <c r="J10" s="12">
        <v>65</v>
      </c>
      <c r="K10" s="11">
        <f>L10+M10</f>
        <v>139</v>
      </c>
      <c r="L10" s="12">
        <v>74</v>
      </c>
      <c r="M10" s="12">
        <v>65</v>
      </c>
    </row>
    <row r="11" spans="1:13" ht="14.5">
      <c r="A11" s="13" t="s">
        <v>5</v>
      </c>
      <c r="B11" s="11">
        <f t="shared" ref="B11:B15" si="0">C11+D11</f>
        <v>43</v>
      </c>
      <c r="C11" s="12">
        <v>24</v>
      </c>
      <c r="D11" s="12">
        <v>19</v>
      </c>
      <c r="E11" s="11">
        <f t="shared" ref="E11:E15" si="1">F11+G11</f>
        <v>75</v>
      </c>
      <c r="F11" s="12">
        <v>32</v>
      </c>
      <c r="G11" s="12">
        <v>43</v>
      </c>
      <c r="H11" s="11">
        <f t="shared" ref="H11:H15" si="2">I11+J11</f>
        <v>53</v>
      </c>
      <c r="I11" s="12">
        <v>27</v>
      </c>
      <c r="J11" s="12">
        <v>26</v>
      </c>
      <c r="K11" s="11">
        <f t="shared" ref="K11:K15" si="3">L11+M11</f>
        <v>53</v>
      </c>
      <c r="L11" s="12">
        <v>27</v>
      </c>
      <c r="M11" s="12">
        <v>26</v>
      </c>
    </row>
    <row r="12" spans="1:13" ht="14.5">
      <c r="A12" s="13" t="s">
        <v>6</v>
      </c>
      <c r="B12" s="11">
        <f t="shared" si="0"/>
        <v>137</v>
      </c>
      <c r="C12" s="12">
        <v>76</v>
      </c>
      <c r="D12" s="12">
        <v>61</v>
      </c>
      <c r="E12" s="11">
        <f t="shared" si="1"/>
        <v>157</v>
      </c>
      <c r="F12" s="12">
        <v>85</v>
      </c>
      <c r="G12" s="12">
        <v>72</v>
      </c>
      <c r="H12" s="11">
        <f t="shared" si="2"/>
        <v>178</v>
      </c>
      <c r="I12" s="12">
        <v>88</v>
      </c>
      <c r="J12" s="12">
        <v>90</v>
      </c>
      <c r="K12" s="11">
        <f t="shared" si="3"/>
        <v>178</v>
      </c>
      <c r="L12" s="12">
        <v>88</v>
      </c>
      <c r="M12" s="12">
        <v>90</v>
      </c>
    </row>
    <row r="13" spans="1:13" ht="14.5">
      <c r="A13" s="13" t="s">
        <v>7</v>
      </c>
      <c r="B13" s="11">
        <f t="shared" si="0"/>
        <v>176</v>
      </c>
      <c r="C13" s="12">
        <v>86</v>
      </c>
      <c r="D13" s="12">
        <v>90</v>
      </c>
      <c r="E13" s="11">
        <f t="shared" si="1"/>
        <v>232</v>
      </c>
      <c r="F13" s="12">
        <v>102</v>
      </c>
      <c r="G13" s="12">
        <v>130</v>
      </c>
      <c r="H13" s="11">
        <f t="shared" si="2"/>
        <v>234</v>
      </c>
      <c r="I13" s="12">
        <v>87</v>
      </c>
      <c r="J13" s="12">
        <v>147</v>
      </c>
      <c r="K13" s="11">
        <f t="shared" si="3"/>
        <v>234</v>
      </c>
      <c r="L13" s="12">
        <v>87</v>
      </c>
      <c r="M13" s="12">
        <v>147</v>
      </c>
    </row>
    <row r="14" spans="1:13" ht="14.5">
      <c r="A14" s="13" t="s">
        <v>8</v>
      </c>
      <c r="B14" s="11">
        <f t="shared" si="0"/>
        <v>45</v>
      </c>
      <c r="C14" s="12">
        <v>16</v>
      </c>
      <c r="D14" s="12">
        <v>29</v>
      </c>
      <c r="E14" s="11">
        <f t="shared" si="1"/>
        <v>66</v>
      </c>
      <c r="F14" s="12">
        <v>38</v>
      </c>
      <c r="G14" s="12">
        <v>28</v>
      </c>
      <c r="H14" s="11">
        <f t="shared" si="2"/>
        <v>44</v>
      </c>
      <c r="I14" s="12">
        <v>17</v>
      </c>
      <c r="J14" s="12">
        <v>27</v>
      </c>
      <c r="K14" s="11">
        <f t="shared" si="3"/>
        <v>44</v>
      </c>
      <c r="L14" s="12">
        <v>17</v>
      </c>
      <c r="M14" s="12">
        <v>27</v>
      </c>
    </row>
    <row r="15" spans="1:13" ht="14.5">
      <c r="A15" s="14" t="s">
        <v>9</v>
      </c>
      <c r="B15" s="15">
        <f t="shared" si="0"/>
        <v>137</v>
      </c>
      <c r="C15" s="16">
        <v>51</v>
      </c>
      <c r="D15" s="16">
        <v>86</v>
      </c>
      <c r="E15" s="15">
        <f t="shared" si="1"/>
        <v>169</v>
      </c>
      <c r="F15" s="16">
        <v>76</v>
      </c>
      <c r="G15" s="16">
        <v>93</v>
      </c>
      <c r="H15" s="15">
        <f t="shared" si="2"/>
        <v>112</v>
      </c>
      <c r="I15" s="16">
        <v>40</v>
      </c>
      <c r="J15" s="16">
        <v>72</v>
      </c>
      <c r="K15" s="15">
        <f t="shared" si="3"/>
        <v>112</v>
      </c>
      <c r="L15" s="16">
        <v>40</v>
      </c>
      <c r="M15" s="16">
        <v>72</v>
      </c>
    </row>
    <row r="16" spans="1:13" ht="17.5">
      <c r="A16" s="5" t="s">
        <v>13</v>
      </c>
      <c r="D16" s="3"/>
      <c r="G16" s="4"/>
      <c r="J16" s="4"/>
      <c r="M16" s="4" t="s">
        <v>12</v>
      </c>
    </row>
  </sheetData>
  <mergeCells count="11">
    <mergeCell ref="A5:A7"/>
    <mergeCell ref="B5:D5"/>
    <mergeCell ref="E5:G5"/>
    <mergeCell ref="H5:J5"/>
    <mergeCell ref="A2:M2"/>
    <mergeCell ref="A3:M4"/>
    <mergeCell ref="K5:M5"/>
    <mergeCell ref="B6:D6"/>
    <mergeCell ref="E6:G6"/>
    <mergeCell ref="H6:J6"/>
    <mergeCell ref="K6:M6"/>
  </mergeCells>
  <pageMargins left="0.7" right="0.7" top="0.75" bottom="0.75" header="0.3" footer="0.3"/>
  <pageSetup scale="61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8.65</vt:lpstr>
      <vt:lpstr>'8.65'!Print_Area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2021-10-11T15:09:32Z</cp:lastPrinted>
  <dcterms:created xsi:type="dcterms:W3CDTF">2019-06-30T04:22:49Z</dcterms:created>
  <dcterms:modified xsi:type="dcterms:W3CDTF">2021-10-11T15:17:01Z</dcterms:modified>
</cp:coreProperties>
</file>