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8. Law and Order\"/>
    </mc:Choice>
  </mc:AlternateContent>
  <bookViews>
    <workbookView xWindow="0" yWindow="0" windowWidth="28740" windowHeight="11730" tabRatio="719"/>
  </bookViews>
  <sheets>
    <sheet name="8.3" sheetId="3" r:id="rId1"/>
  </sheets>
  <definedNames>
    <definedName name="_xlnm.Print_Area" localSheetId="0">'8.3'!$A$1:$M$60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3" l="1"/>
  <c r="H7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F8" i="3"/>
  <c r="F6" i="3" s="1"/>
  <c r="E8" i="3" l="1"/>
  <c r="E6" i="3" l="1"/>
  <c r="H6" i="3" s="1"/>
  <c r="H8" i="3"/>
  <c r="D8" i="3" l="1"/>
  <c r="C8" i="3"/>
  <c r="C6" i="3" s="1"/>
  <c r="B8" i="3"/>
  <c r="B6" i="3" s="1"/>
  <c r="D6" i="3" l="1"/>
</calcChain>
</file>

<file path=xl/sharedStrings.xml><?xml version="1.0" encoding="utf-8"?>
<sst xmlns="http://schemas.openxmlformats.org/spreadsheetml/2006/main" count="55" uniqueCount="52">
  <si>
    <t>Source: Maldives Police Service</t>
  </si>
  <si>
    <t>csivrws csilop cscviDclOm :Ivcaed utWmUluAwm</t>
  </si>
  <si>
    <t>އަތޮޅުތައް</t>
  </si>
  <si>
    <t>Republic</t>
  </si>
  <si>
    <t>Male'</t>
  </si>
  <si>
    <t>Atolls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</si>
  <si>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</si>
  <si>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</si>
  <si>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</si>
  <si>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</si>
  <si>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</si>
  <si>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</si>
  <si>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</si>
  <si>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</si>
  <si>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</si>
  <si>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</si>
  <si>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</si>
  <si>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</si>
  <si>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</si>
  <si>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</si>
  <si>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</si>
  <si>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</si>
  <si>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</si>
  <si>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</si>
  <si>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</si>
  <si>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</si>
  <si>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</si>
  <si>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</si>
  <si>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</si>
  <si>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</si>
  <si>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</si>
  <si>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</si>
  <si>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</si>
  <si>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</si>
  <si>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</si>
  <si>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</si>
  <si>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</si>
  <si>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</si>
  <si>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</si>
  <si>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</si>
  <si>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</si>
  <si>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</si>
  <si>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</si>
  <si>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</si>
  <si>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</si>
  <si>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</si>
  <si>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</si>
  <si>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</si>
  <si>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</si>
  <si>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TABLE: 8.3: NUMBER OF  LOGGED CASES BY ATOLL, 2016 - 2020</t>
  </si>
  <si>
    <t>ތާވަލު 8.3: އެކި އަތޮޅުތަކުން ހުށަހެޅިފައިވާ މައްސަލަތަކުގެ އަދަދު، 2016- 2020</t>
  </si>
  <si>
    <t>% change over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</si>
</sst>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9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0"/>
      <name val="Faruma"/>
      <family val="3"/>
    </font>
    <font>
      <b/>
      <sz val="15"/>
      <color theme="3"/>
      <name val="Arial Mäori"/>
      <family val="2"/>
    </font>
    <font>
      <b/>
      <sz val="10"/>
      <name val="A_Faseyha"/>
    </font>
    <font>
      <sz val="10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8" fillId="0" borderId="4" applyNumberFormat="0" applyFill="0" applyAlignment="0" applyProtection="0"/>
    <xf numFmtId="0" fontId="26" fillId="0" borderId="0"/>
    <xf numFmtId="0" fontId="26" fillId="0" borderId="0"/>
  </cellStyleXfs>
  <cellXfs count="54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10" fillId="2" borderId="0" xfId="0" applyNumberFormat="1" applyFont="1" applyFill="1"/>
    <xf numFmtId="164" fontId="7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 vertical="top"/>
    </xf>
    <xf numFmtId="164" fontId="16" fillId="2" borderId="3" xfId="0" applyNumberFormat="1" applyFont="1" applyFill="1" applyBorder="1" applyAlignment="1" applyProtection="1">
      <alignment horizontal="left" vertical="center"/>
    </xf>
    <xf numFmtId="166" fontId="7" fillId="2" borderId="0" xfId="4" applyNumberFormat="1" applyFont="1" applyFill="1" applyBorder="1" applyAlignment="1">
      <alignment horizontal="center" vertical="center"/>
    </xf>
    <xf numFmtId="166" fontId="13" fillId="2" borderId="0" xfId="4" applyNumberFormat="1" applyFont="1" applyFill="1" applyBorder="1" applyAlignment="1">
      <alignment horizontal="center" vertical="center"/>
    </xf>
    <xf numFmtId="166" fontId="13" fillId="2" borderId="2" xfId="4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/>
    <xf numFmtId="164" fontId="20" fillId="2" borderId="0" xfId="0" applyNumberFormat="1" applyFont="1" applyFill="1" applyBorder="1" applyAlignment="1" applyProtection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 wrapText="1"/>
    </xf>
    <xf numFmtId="9" fontId="12" fillId="2" borderId="0" xfId="2" applyFont="1" applyFill="1" applyBorder="1" applyAlignment="1" applyProtection="1">
      <alignment horizontal="center" vertical="center"/>
      <protection locked="0"/>
    </xf>
    <xf numFmtId="165" fontId="12" fillId="2" borderId="0" xfId="0" applyNumberFormat="1" applyFont="1" applyFill="1" applyBorder="1" applyAlignment="1">
      <alignment horizontal="right" vertical="center" indent="5"/>
    </xf>
    <xf numFmtId="164" fontId="19" fillId="2" borderId="0" xfId="0" applyNumberFormat="1" applyFont="1" applyFill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22" fillId="2" borderId="0" xfId="0" applyFont="1" applyFill="1" applyBorder="1"/>
    <xf numFmtId="164" fontId="23" fillId="2" borderId="0" xfId="0" applyNumberFormat="1" applyFont="1" applyFill="1" applyAlignment="1">
      <alignment vertical="center"/>
    </xf>
    <xf numFmtId="164" fontId="13" fillId="2" borderId="0" xfId="0" applyNumberFormat="1" applyFont="1" applyFill="1" applyBorder="1" applyAlignment="1">
      <alignment horizontal="left" vertical="center" indent="1"/>
    </xf>
    <xf numFmtId="165" fontId="15" fillId="2" borderId="0" xfId="0" applyNumberFormat="1" applyFont="1" applyFill="1" applyBorder="1" applyAlignment="1">
      <alignment horizontal="right" vertical="center" indent="5"/>
    </xf>
    <xf numFmtId="164" fontId="18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18" fillId="2" borderId="0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horizontal="left" vertical="center" indent="1"/>
    </xf>
    <xf numFmtId="165" fontId="15" fillId="2" borderId="2" xfId="0" applyNumberFormat="1" applyFont="1" applyFill="1" applyBorder="1" applyAlignment="1">
      <alignment horizontal="right" vertical="center" indent="5"/>
    </xf>
    <xf numFmtId="164" fontId="24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25" fillId="2" borderId="0" xfId="0" applyNumberFormat="1" applyFont="1" applyFill="1"/>
    <xf numFmtId="9" fontId="12" fillId="2" borderId="2" xfId="2" applyFont="1" applyFill="1" applyBorder="1" applyAlignment="1" applyProtection="1">
      <alignment horizontal="center" vertical="center"/>
      <protection locked="0"/>
    </xf>
    <xf numFmtId="3" fontId="29" fillId="2" borderId="0" xfId="0" applyNumberFormat="1" applyFont="1" applyFill="1" applyAlignment="1">
      <alignment horizontal="right" vertical="center" indent="1"/>
    </xf>
    <xf numFmtId="164" fontId="30" fillId="2" borderId="0" xfId="0" applyNumberFormat="1" applyFont="1" applyFill="1" applyAlignment="1">
      <alignment horizontal="right" vertical="center" indent="1"/>
    </xf>
    <xf numFmtId="164" fontId="30" fillId="2" borderId="2" xfId="0" applyNumberFormat="1" applyFont="1" applyFill="1" applyBorder="1" applyAlignment="1">
      <alignment horizontal="right" vertical="center" indent="1"/>
    </xf>
    <xf numFmtId="164" fontId="31" fillId="2" borderId="3" xfId="0" applyNumberFormat="1" applyFont="1" applyFill="1" applyBorder="1" applyAlignment="1">
      <alignment horizontal="right"/>
    </xf>
    <xf numFmtId="3" fontId="27" fillId="2" borderId="0" xfId="0" applyNumberFormat="1" applyFont="1" applyFill="1" applyAlignment="1">
      <alignment horizontal="right" vertical="center" indent="1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 applyProtection="1">
      <alignment horizontal="right" vertical="center" wrapText="1"/>
    </xf>
    <xf numFmtId="164" fontId="21" fillId="2" borderId="0" xfId="0" applyNumberFormat="1" applyFont="1" applyFill="1" applyBorder="1" applyAlignment="1" applyProtection="1">
      <alignment horizontal="right" vertical="center" wrapText="1"/>
    </xf>
    <xf numFmtId="164" fontId="4" fillId="2" borderId="0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</cellXfs>
  <cellStyles count="10">
    <cellStyle name="1" xfId="9"/>
    <cellStyle name="Comma" xfId="1" builtinId="3"/>
    <cellStyle name="Comma 2" xfId="4"/>
    <cellStyle name="Heading 1 2" xfId="7"/>
    <cellStyle name="Hyperlink" xfId="3" builtinId="8"/>
    <cellStyle name="Normal" xfId="0" builtinId="0"/>
    <cellStyle name="Normal 2" xfId="8"/>
    <cellStyle name="Normal 3" xfId="6"/>
    <cellStyle name="Percent" xfId="2" builtinId="5"/>
    <cellStyle name="Percent 2" xfId="5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2018 - 2020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6107735613364"/>
          <c:y val="0.15366973094368686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'8.3'!$D$9:$D$28</c:f>
              <c:numCache>
                <c:formatCode>_-* #,##0_-;\-* #,##0_-;_-* "-"??_-;_-@_-</c:formatCode>
                <c:ptCount val="20"/>
                <c:pt idx="0">
                  <c:v>134</c:v>
                </c:pt>
                <c:pt idx="1">
                  <c:v>354</c:v>
                </c:pt>
                <c:pt idx="2">
                  <c:v>88</c:v>
                </c:pt>
                <c:pt idx="3">
                  <c:v>177</c:v>
                </c:pt>
                <c:pt idx="4">
                  <c:v>187</c:v>
                </c:pt>
                <c:pt idx="5">
                  <c:v>155</c:v>
                </c:pt>
                <c:pt idx="6">
                  <c:v>170</c:v>
                </c:pt>
                <c:pt idx="7">
                  <c:v>524</c:v>
                </c:pt>
                <c:pt idx="8">
                  <c:v>122</c:v>
                </c:pt>
                <c:pt idx="9">
                  <c:v>193</c:v>
                </c:pt>
                <c:pt idx="10">
                  <c:v>28</c:v>
                </c:pt>
                <c:pt idx="11">
                  <c:v>78</c:v>
                </c:pt>
                <c:pt idx="12">
                  <c:v>60</c:v>
                </c:pt>
                <c:pt idx="13">
                  <c:v>139</c:v>
                </c:pt>
                <c:pt idx="14">
                  <c:v>155</c:v>
                </c:pt>
                <c:pt idx="15">
                  <c:v>298</c:v>
                </c:pt>
                <c:pt idx="16">
                  <c:v>247</c:v>
                </c:pt>
                <c:pt idx="17">
                  <c:v>388</c:v>
                </c:pt>
                <c:pt idx="18">
                  <c:v>268</c:v>
                </c:pt>
                <c:pt idx="19">
                  <c:v>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'8.3'!$E$3:$E$5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'8.3'!$E$9:$E$28</c:f>
              <c:numCache>
                <c:formatCode>_-* #,##0_-;\-* #,##0_-;_-* "-"??_-;_-@_-</c:formatCode>
                <c:ptCount val="20"/>
                <c:pt idx="0">
                  <c:v>139</c:v>
                </c:pt>
                <c:pt idx="1">
                  <c:v>359</c:v>
                </c:pt>
                <c:pt idx="2">
                  <c:v>116</c:v>
                </c:pt>
                <c:pt idx="3">
                  <c:v>219</c:v>
                </c:pt>
                <c:pt idx="4">
                  <c:v>256</c:v>
                </c:pt>
                <c:pt idx="5">
                  <c:v>146</c:v>
                </c:pt>
                <c:pt idx="6">
                  <c:v>230</c:v>
                </c:pt>
                <c:pt idx="7">
                  <c:v>705</c:v>
                </c:pt>
                <c:pt idx="8">
                  <c:v>108</c:v>
                </c:pt>
                <c:pt idx="9">
                  <c:v>210</c:v>
                </c:pt>
                <c:pt idx="10">
                  <c:v>33</c:v>
                </c:pt>
                <c:pt idx="11">
                  <c:v>88</c:v>
                </c:pt>
                <c:pt idx="12">
                  <c:v>70</c:v>
                </c:pt>
                <c:pt idx="13">
                  <c:v>156</c:v>
                </c:pt>
                <c:pt idx="14">
                  <c:v>207</c:v>
                </c:pt>
                <c:pt idx="15">
                  <c:v>257</c:v>
                </c:pt>
                <c:pt idx="16">
                  <c:v>228</c:v>
                </c:pt>
                <c:pt idx="17">
                  <c:v>365</c:v>
                </c:pt>
                <c:pt idx="18">
                  <c:v>379</c:v>
                </c:pt>
                <c:pt idx="19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ser>
          <c:idx val="0"/>
          <c:order val="2"/>
          <c:tx>
            <c:strRef>
              <c:f>'8.3'!$F$3:$F$5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'8.3'!$F$9:$F$28</c:f>
              <c:numCache>
                <c:formatCode>_-* #,##0_-;\-* #,##0_-;_-* "-"??_-;_-@_-</c:formatCode>
                <c:ptCount val="20"/>
                <c:pt idx="0">
                  <c:v>91</c:v>
                </c:pt>
                <c:pt idx="1">
                  <c:v>521</c:v>
                </c:pt>
                <c:pt idx="2">
                  <c:v>143</c:v>
                </c:pt>
                <c:pt idx="3">
                  <c:v>172</c:v>
                </c:pt>
                <c:pt idx="4">
                  <c:v>219</c:v>
                </c:pt>
                <c:pt idx="5">
                  <c:v>152</c:v>
                </c:pt>
                <c:pt idx="6">
                  <c:v>190</c:v>
                </c:pt>
                <c:pt idx="7">
                  <c:v>497</c:v>
                </c:pt>
                <c:pt idx="8">
                  <c:v>99</c:v>
                </c:pt>
                <c:pt idx="9">
                  <c:v>193</c:v>
                </c:pt>
                <c:pt idx="10">
                  <c:v>17</c:v>
                </c:pt>
                <c:pt idx="11">
                  <c:v>70</c:v>
                </c:pt>
                <c:pt idx="12">
                  <c:v>91</c:v>
                </c:pt>
                <c:pt idx="13">
                  <c:v>130</c:v>
                </c:pt>
                <c:pt idx="14">
                  <c:v>225</c:v>
                </c:pt>
                <c:pt idx="15">
                  <c:v>283</c:v>
                </c:pt>
                <c:pt idx="16">
                  <c:v>236</c:v>
                </c:pt>
                <c:pt idx="17">
                  <c:v>274</c:v>
                </c:pt>
                <c:pt idx="18">
                  <c:v>501</c:v>
                </c:pt>
                <c:pt idx="19">
                  <c:v>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D-4103-92EF-A6E882D1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2395904"/>
        <c:axId val="42397696"/>
      </c:barChart>
      <c:catAx>
        <c:axId val="4239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2397696"/>
        <c:crosses val="autoZero"/>
        <c:auto val="1"/>
        <c:lblAlgn val="ctr"/>
        <c:lblOffset val="100"/>
        <c:noMultiLvlLbl val="0"/>
      </c:catAx>
      <c:valAx>
        <c:axId val="42397696"/>
        <c:scaling>
          <c:orientation val="minMax"/>
        </c:scaling>
        <c:delete val="0"/>
        <c:axPos val="l"/>
        <c:majorGridlines>
          <c:spPr>
            <a:ln>
              <a:solidFill>
                <a:srgbClr val="CCF4F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42395904"/>
        <c:crosses val="autoZero"/>
        <c:crossBetween val="between"/>
      </c:valAx>
      <c:spPr>
        <a:solidFill>
          <a:srgbClr val="EAFAF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6663436784912444"/>
          <c:y val="0.23763212037260925"/>
          <c:w val="0.20661673384485268"/>
          <c:h val="6.762265416356011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C-8C29-424A-8D3B-0E1C0DE03347}"/>
              </c:ext>
            </c:extLst>
          </c:dPt>
          <c:dPt>
            <c:idx val="2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D-8C29-424A-8D3B-0E1C0DE03347}"/>
              </c:ext>
            </c:extLst>
          </c:dPt>
          <c:dPt>
            <c:idx val="5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392F-4D3A-BEDB-1D3DA447123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2F-4D3A-BEDB-1D3DA447123E}"/>
              </c:ext>
            </c:extLst>
          </c:dPt>
          <c:dPt>
            <c:idx val="12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10-8C29-424A-8D3B-0E1C0DE03347}"/>
              </c:ext>
            </c:extLst>
          </c:dPt>
          <c:dPt>
            <c:idx val="14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F-8C29-424A-8D3B-0E1C0DE03347}"/>
              </c:ext>
            </c:extLst>
          </c:dPt>
          <c:dPt>
            <c:idx val="15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5-392F-4D3A-BEDB-1D3DA447123E}"/>
              </c:ext>
            </c:extLst>
          </c:dPt>
          <c:dPt>
            <c:idx val="16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7-392F-4D3A-BEDB-1D3DA447123E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2F-4D3A-BEDB-1D3DA447123E}"/>
              </c:ext>
            </c:extLst>
          </c:dPt>
          <c:dPt>
            <c:idx val="18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E-8C29-424A-8D3B-0E1C0DE03347}"/>
              </c:ext>
            </c:extLst>
          </c:dPt>
          <c:dPt>
            <c:idx val="19"/>
            <c:invertIfNegative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B-392F-4D3A-BEDB-1D3DA447123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'8.3'!$H$9:$H$28</c:f>
              <c:numCache>
                <c:formatCode>0.0</c:formatCode>
                <c:ptCount val="20"/>
                <c:pt idx="0">
                  <c:v>-34.532374100719423</c:v>
                </c:pt>
                <c:pt idx="1">
                  <c:v>45.125348189415043</c:v>
                </c:pt>
                <c:pt idx="2">
                  <c:v>23.275862068965516</c:v>
                </c:pt>
                <c:pt idx="3">
                  <c:v>-21.461187214611872</c:v>
                </c:pt>
                <c:pt idx="4">
                  <c:v>-14.453125</c:v>
                </c:pt>
                <c:pt idx="5">
                  <c:v>4.10958904109589</c:v>
                </c:pt>
                <c:pt idx="6">
                  <c:v>-17.391304347826086</c:v>
                </c:pt>
                <c:pt idx="7">
                  <c:v>-29.50354609929078</c:v>
                </c:pt>
                <c:pt idx="8">
                  <c:v>-8.3333333333333321</c:v>
                </c:pt>
                <c:pt idx="9">
                  <c:v>-8.0952380952380949</c:v>
                </c:pt>
                <c:pt idx="10">
                  <c:v>-48.484848484848484</c:v>
                </c:pt>
                <c:pt idx="11">
                  <c:v>-20.454545454545457</c:v>
                </c:pt>
                <c:pt idx="12">
                  <c:v>30</c:v>
                </c:pt>
                <c:pt idx="13">
                  <c:v>-16.666666666666664</c:v>
                </c:pt>
                <c:pt idx="14">
                  <c:v>8.695652173913043</c:v>
                </c:pt>
                <c:pt idx="15">
                  <c:v>10.116731517509727</c:v>
                </c:pt>
                <c:pt idx="16">
                  <c:v>3.5087719298245612</c:v>
                </c:pt>
                <c:pt idx="17">
                  <c:v>-24.93150684931507</c:v>
                </c:pt>
                <c:pt idx="18">
                  <c:v>32.189973614775724</c:v>
                </c:pt>
                <c:pt idx="19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657664"/>
        <c:axId val="42659200"/>
      </c:barChart>
      <c:catAx>
        <c:axId val="42657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42659200"/>
        <c:crosses val="autoZero"/>
        <c:auto val="1"/>
        <c:lblAlgn val="ctr"/>
        <c:lblOffset val="100"/>
        <c:noMultiLvlLbl val="0"/>
      </c:catAx>
      <c:valAx>
        <c:axId val="42659200"/>
        <c:scaling>
          <c:orientation val="minMax"/>
          <c:min val="-30"/>
        </c:scaling>
        <c:delete val="0"/>
        <c:axPos val="l"/>
        <c:majorGridlines>
          <c:spPr>
            <a:ln>
              <a:solidFill>
                <a:srgbClr val="CCF4F2"/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42657664"/>
        <c:crosses val="autoZero"/>
        <c:crossBetween val="between"/>
      </c:valAx>
      <c:spPr>
        <a:solidFill>
          <a:srgbClr val="EAFAFA"/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10</xdr:col>
      <xdr:colOff>7683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99915</xdr:colOff>
      <xdr:row>44</xdr:row>
      <xdr:rowOff>62590</xdr:rowOff>
    </xdr:from>
    <xdr:to>
      <xdr:col>9</xdr:col>
      <xdr:colOff>244972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147929</xdr:colOff>
      <xdr:row>45</xdr:row>
      <xdr:rowOff>58215</xdr:rowOff>
    </xdr:from>
    <xdr:to>
      <xdr:col>8</xdr:col>
      <xdr:colOff>398495</xdr:colOff>
      <xdr:row>46</xdr:row>
      <xdr:rowOff>171543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605837" y="8922297"/>
          <a:ext cx="4891574" cy="3028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(2019) by Atolls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1:S60"/>
  <sheetViews>
    <sheetView tabSelected="1" topLeftCell="B1" zoomScale="196" zoomScaleNormal="196" workbookViewId="0">
      <selection activeCell="O12" sqref="O12"/>
    </sheetView>
  </sheetViews>
  <sheetFormatPr defaultColWidth="9.140625" defaultRowHeight="15"/>
  <cols>
    <col min="1" max="1" width="21.85546875" style="1" customWidth="1"/>
    <col min="2" max="6" width="10.42578125" style="1" bestFit="1" customWidth="1"/>
    <col min="7" max="7" width="1.42578125" style="1" customWidth="1"/>
    <col min="8" max="8" width="16" style="1" customWidth="1"/>
    <col min="9" max="9" width="11" style="1" customWidth="1"/>
    <col min="10" max="10" width="4.42578125" style="1" customWidth="1"/>
    <col min="11" max="11" width="6.5703125" style="1" bestFit="1" customWidth="1"/>
    <col min="12" max="12" width="0.140625" style="1" customWidth="1"/>
    <col min="13" max="13" width="2.42578125" style="1" hidden="1" customWidth="1"/>
    <col min="14" max="14" width="22.140625" style="1" bestFit="1" customWidth="1"/>
    <col min="15" max="16384" width="9.140625" style="1"/>
  </cols>
  <sheetData>
    <row r="1" spans="1:17" ht="21.75">
      <c r="A1" s="52" t="s">
        <v>50</v>
      </c>
      <c r="B1" s="52"/>
      <c r="C1" s="52"/>
      <c r="D1" s="52"/>
      <c r="E1" s="52"/>
      <c r="F1" s="52"/>
      <c r="G1" s="52"/>
      <c r="H1" s="52"/>
      <c r="I1" s="52"/>
    </row>
    <row r="2" spans="1:17" ht="21.75" customHeight="1">
      <c r="A2" s="53" t="s">
        <v>49</v>
      </c>
      <c r="B2" s="53"/>
      <c r="C2" s="53"/>
      <c r="D2" s="53"/>
      <c r="E2" s="53"/>
      <c r="F2" s="53"/>
      <c r="G2" s="53"/>
      <c r="H2" s="53"/>
      <c r="I2" s="53"/>
    </row>
    <row r="3" spans="1:17" ht="16.5" customHeight="1">
      <c r="A3" s="46" t="s">
        <v>6</v>
      </c>
      <c r="B3" s="43">
        <v>2016</v>
      </c>
      <c r="C3" s="43">
        <v>2017</v>
      </c>
      <c r="D3" s="43">
        <v>2018</v>
      </c>
      <c r="E3" s="43">
        <v>2019</v>
      </c>
      <c r="F3" s="43">
        <v>2020</v>
      </c>
      <c r="G3" s="39"/>
      <c r="H3" s="41" t="s">
        <v>7</v>
      </c>
      <c r="I3" s="50" t="s">
        <v>8</v>
      </c>
      <c r="L3" s="3"/>
      <c r="M3" s="3"/>
      <c r="N3" s="2"/>
      <c r="O3" s="3"/>
      <c r="P3" s="3"/>
      <c r="Q3" s="3"/>
    </row>
    <row r="4" spans="1:17" ht="15.75" customHeight="1">
      <c r="A4" s="48"/>
      <c r="B4" s="49"/>
      <c r="C4" s="49"/>
      <c r="D4" s="49"/>
      <c r="E4" s="49"/>
      <c r="F4" s="49"/>
      <c r="G4" s="14"/>
      <c r="H4" s="42" t="s">
        <v>9</v>
      </c>
      <c r="I4" s="51"/>
      <c r="L4" s="3"/>
      <c r="M4" s="3"/>
      <c r="N4" s="3"/>
      <c r="O4" s="3"/>
      <c r="P4" s="3"/>
      <c r="Q4" s="3"/>
    </row>
    <row r="5" spans="1:17" ht="15.75" customHeight="1">
      <c r="A5" s="47"/>
      <c r="B5" s="44"/>
      <c r="C5" s="44"/>
      <c r="D5" s="44"/>
      <c r="E5" s="44"/>
      <c r="F5" s="44"/>
      <c r="G5" s="40"/>
      <c r="H5" s="15" t="s">
        <v>51</v>
      </c>
      <c r="I5" s="45"/>
      <c r="L5" s="3"/>
      <c r="M5" s="3"/>
      <c r="N5" s="3"/>
      <c r="O5" s="3"/>
      <c r="P5" s="3"/>
      <c r="Q5" s="3"/>
    </row>
    <row r="6" spans="1:17" s="18" customFormat="1" ht="15.75" customHeight="1">
      <c r="A6" s="4" t="s">
        <v>3</v>
      </c>
      <c r="B6" s="9">
        <f t="shared" ref="B6:D6" si="0">SUM(B7:B8)</f>
        <v>16287</v>
      </c>
      <c r="C6" s="9">
        <f t="shared" si="0"/>
        <v>15535</v>
      </c>
      <c r="D6" s="9">
        <f t="shared" si="0"/>
        <v>14811</v>
      </c>
      <c r="E6" s="9">
        <f t="shared" ref="E6:F6" si="1">SUM(E7:E8)</f>
        <v>16480</v>
      </c>
      <c r="F6" s="9">
        <f t="shared" si="1"/>
        <v>12787</v>
      </c>
      <c r="G6" s="16"/>
      <c r="H6" s="17">
        <f>IFERROR(((F6-E6)/E6)*100,"-")</f>
        <v>-22.408980582524272</v>
      </c>
      <c r="I6" s="34" t="s">
        <v>10</v>
      </c>
      <c r="L6" s="19"/>
      <c r="M6" s="20"/>
      <c r="N6" s="3"/>
      <c r="O6" s="19"/>
      <c r="P6" s="20"/>
      <c r="Q6" s="21"/>
    </row>
    <row r="7" spans="1:17" s="18" customFormat="1" ht="15.75" customHeight="1">
      <c r="A7" s="4" t="s">
        <v>4</v>
      </c>
      <c r="B7" s="9">
        <v>11481</v>
      </c>
      <c r="C7" s="9">
        <v>10930</v>
      </c>
      <c r="D7" s="9">
        <v>10203</v>
      </c>
      <c r="E7" s="9">
        <v>11459</v>
      </c>
      <c r="F7" s="9">
        <v>7852</v>
      </c>
      <c r="G7" s="16"/>
      <c r="H7" s="17">
        <f t="shared" ref="H7:H28" si="2">IFERROR(((F7-E7)/E7)*100,"-")</f>
        <v>-31.477441312505455</v>
      </c>
      <c r="I7" s="34" t="s">
        <v>11</v>
      </c>
      <c r="N7" s="3"/>
      <c r="O7" s="21"/>
      <c r="P7" s="21"/>
      <c r="Q7" s="21"/>
    </row>
    <row r="8" spans="1:17" s="18" customFormat="1" ht="15.75" customHeight="1">
      <c r="A8" s="4" t="s">
        <v>5</v>
      </c>
      <c r="B8" s="9">
        <f t="shared" ref="B8:D8" si="3">SUM(B9:B28)</f>
        <v>4806</v>
      </c>
      <c r="C8" s="9">
        <f t="shared" si="3"/>
        <v>4605</v>
      </c>
      <c r="D8" s="9">
        <f t="shared" si="3"/>
        <v>4608</v>
      </c>
      <c r="E8" s="9">
        <f t="shared" ref="E8:F8" si="4">SUM(E9:E28)</f>
        <v>5021</v>
      </c>
      <c r="F8" s="9">
        <f t="shared" si="4"/>
        <v>4935</v>
      </c>
      <c r="G8" s="16"/>
      <c r="H8" s="17">
        <f t="shared" si="2"/>
        <v>-1.7128062139016131</v>
      </c>
      <c r="I8" s="38" t="s">
        <v>2</v>
      </c>
      <c r="L8" s="19"/>
      <c r="M8" s="20"/>
      <c r="N8" s="3"/>
      <c r="O8" s="21"/>
      <c r="P8" s="21"/>
      <c r="Q8" s="21"/>
    </row>
    <row r="9" spans="1:17" s="24" customFormat="1" ht="15.75" customHeight="1">
      <c r="A9" s="22" t="s">
        <v>12</v>
      </c>
      <c r="B9" s="10">
        <v>154</v>
      </c>
      <c r="C9" s="10">
        <v>103</v>
      </c>
      <c r="D9" s="10">
        <v>134</v>
      </c>
      <c r="E9" s="10">
        <v>139</v>
      </c>
      <c r="F9" s="10">
        <v>91</v>
      </c>
      <c r="G9" s="16"/>
      <c r="H9" s="23">
        <f>IFERROR(((F9-E9)/E9)*100,"-")</f>
        <v>-34.532374100719423</v>
      </c>
      <c r="I9" s="35" t="s">
        <v>13</v>
      </c>
      <c r="K9" s="5"/>
      <c r="L9" s="19"/>
      <c r="M9" s="20"/>
      <c r="N9" s="3"/>
      <c r="O9" s="25"/>
      <c r="P9" s="25"/>
      <c r="Q9" s="25"/>
    </row>
    <row r="10" spans="1:17" s="24" customFormat="1" ht="15.75" customHeight="1">
      <c r="A10" s="22" t="s">
        <v>14</v>
      </c>
      <c r="B10" s="10">
        <v>262</v>
      </c>
      <c r="C10" s="10">
        <v>328</v>
      </c>
      <c r="D10" s="10">
        <v>354</v>
      </c>
      <c r="E10" s="10">
        <v>359</v>
      </c>
      <c r="F10" s="10">
        <v>521</v>
      </c>
      <c r="G10" s="16"/>
      <c r="H10" s="23">
        <f t="shared" si="2"/>
        <v>45.125348189415043</v>
      </c>
      <c r="I10" s="35" t="s">
        <v>15</v>
      </c>
      <c r="K10" s="5"/>
      <c r="L10" s="19"/>
      <c r="M10" s="20"/>
      <c r="N10" s="3"/>
      <c r="O10" s="25"/>
      <c r="P10" s="25"/>
      <c r="Q10" s="25"/>
    </row>
    <row r="11" spans="1:17" s="24" customFormat="1" ht="15.75" customHeight="1">
      <c r="A11" s="22" t="s">
        <v>16</v>
      </c>
      <c r="B11" s="10">
        <v>107</v>
      </c>
      <c r="C11" s="10">
        <v>71</v>
      </c>
      <c r="D11" s="10">
        <v>88</v>
      </c>
      <c r="E11" s="10">
        <v>116</v>
      </c>
      <c r="F11" s="10">
        <v>143</v>
      </c>
      <c r="G11" s="16"/>
      <c r="H11" s="23">
        <f t="shared" si="2"/>
        <v>23.275862068965516</v>
      </c>
      <c r="I11" s="35" t="s">
        <v>17</v>
      </c>
      <c r="K11" s="5"/>
      <c r="L11" s="19"/>
      <c r="M11" s="20"/>
      <c r="N11" s="3"/>
      <c r="O11" s="25"/>
      <c r="P11" s="25"/>
      <c r="Q11" s="25"/>
    </row>
    <row r="12" spans="1:17" s="24" customFormat="1" ht="15.75" customHeight="1">
      <c r="A12" s="22" t="s">
        <v>18</v>
      </c>
      <c r="B12" s="10">
        <v>155</v>
      </c>
      <c r="C12" s="10">
        <v>177</v>
      </c>
      <c r="D12" s="10">
        <v>177</v>
      </c>
      <c r="E12" s="10">
        <v>219</v>
      </c>
      <c r="F12" s="10">
        <v>172</v>
      </c>
      <c r="G12" s="16"/>
      <c r="H12" s="23">
        <f t="shared" si="2"/>
        <v>-21.461187214611872</v>
      </c>
      <c r="I12" s="35" t="s">
        <v>19</v>
      </c>
      <c r="K12" s="5"/>
      <c r="L12" s="19"/>
      <c r="M12" s="20"/>
      <c r="N12" s="3"/>
      <c r="O12" s="25"/>
      <c r="P12" s="25"/>
      <c r="Q12" s="25"/>
    </row>
    <row r="13" spans="1:17" s="24" customFormat="1" ht="15.75" customHeight="1">
      <c r="A13" s="22" t="s">
        <v>20</v>
      </c>
      <c r="B13" s="10">
        <v>234</v>
      </c>
      <c r="C13" s="10">
        <v>218</v>
      </c>
      <c r="D13" s="10">
        <v>187</v>
      </c>
      <c r="E13" s="10">
        <v>256</v>
      </c>
      <c r="F13" s="10">
        <v>219</v>
      </c>
      <c r="G13" s="16"/>
      <c r="H13" s="23">
        <f t="shared" si="2"/>
        <v>-14.453125</v>
      </c>
      <c r="I13" s="35" t="s">
        <v>21</v>
      </c>
      <c r="K13" s="5"/>
      <c r="L13" s="19"/>
      <c r="M13" s="20"/>
      <c r="N13" s="3"/>
      <c r="O13" s="25"/>
      <c r="P13" s="25"/>
      <c r="Q13" s="25"/>
    </row>
    <row r="14" spans="1:17" s="24" customFormat="1" ht="15.75" customHeight="1">
      <c r="A14" s="22" t="s">
        <v>22</v>
      </c>
      <c r="B14" s="10">
        <v>158</v>
      </c>
      <c r="C14" s="10">
        <v>186</v>
      </c>
      <c r="D14" s="10">
        <v>155</v>
      </c>
      <c r="E14" s="10">
        <v>146</v>
      </c>
      <c r="F14" s="10">
        <v>152</v>
      </c>
      <c r="G14" s="16"/>
      <c r="H14" s="23">
        <f t="shared" si="2"/>
        <v>4.10958904109589</v>
      </c>
      <c r="I14" s="35" t="s">
        <v>23</v>
      </c>
      <c r="K14" s="5"/>
      <c r="L14" s="19"/>
      <c r="M14" s="20"/>
      <c r="N14" s="3"/>
      <c r="O14" s="25"/>
      <c r="P14" s="25"/>
      <c r="Q14" s="25"/>
    </row>
    <row r="15" spans="1:17" s="24" customFormat="1" ht="15.75" customHeight="1">
      <c r="A15" s="22" t="s">
        <v>24</v>
      </c>
      <c r="B15" s="10">
        <v>204</v>
      </c>
      <c r="C15" s="10">
        <v>196</v>
      </c>
      <c r="D15" s="10">
        <v>170</v>
      </c>
      <c r="E15" s="10">
        <v>230</v>
      </c>
      <c r="F15" s="10">
        <v>190</v>
      </c>
      <c r="G15" s="16"/>
      <c r="H15" s="23">
        <f t="shared" si="2"/>
        <v>-17.391304347826086</v>
      </c>
      <c r="I15" s="35" t="s">
        <v>25</v>
      </c>
      <c r="K15" s="5"/>
      <c r="L15" s="19"/>
      <c r="M15" s="20"/>
      <c r="N15" s="3"/>
      <c r="O15" s="25"/>
      <c r="P15" s="25"/>
      <c r="Q15" s="25"/>
    </row>
    <row r="16" spans="1:17" s="24" customFormat="1" ht="15.75" customHeight="1">
      <c r="A16" s="22" t="s">
        <v>26</v>
      </c>
      <c r="B16" s="10">
        <v>602</v>
      </c>
      <c r="C16" s="10">
        <v>653</v>
      </c>
      <c r="D16" s="10">
        <v>524</v>
      </c>
      <c r="E16" s="10">
        <v>705</v>
      </c>
      <c r="F16" s="10">
        <v>497</v>
      </c>
      <c r="G16" s="16"/>
      <c r="H16" s="23">
        <f t="shared" si="2"/>
        <v>-29.50354609929078</v>
      </c>
      <c r="I16" s="35" t="s">
        <v>27</v>
      </c>
      <c r="K16" s="5"/>
      <c r="L16" s="19"/>
      <c r="M16" s="20"/>
      <c r="N16" s="3"/>
      <c r="O16" s="25"/>
      <c r="P16" s="25"/>
      <c r="Q16" s="25"/>
    </row>
    <row r="17" spans="1:17" s="24" customFormat="1" ht="15.75" customHeight="1">
      <c r="A17" s="22" t="s">
        <v>28</v>
      </c>
      <c r="B17" s="10">
        <v>100</v>
      </c>
      <c r="C17" s="10">
        <v>131</v>
      </c>
      <c r="D17" s="10">
        <v>122</v>
      </c>
      <c r="E17" s="10">
        <v>108</v>
      </c>
      <c r="F17" s="10">
        <v>99</v>
      </c>
      <c r="G17" s="16"/>
      <c r="H17" s="23">
        <f t="shared" si="2"/>
        <v>-8.3333333333333321</v>
      </c>
      <c r="I17" s="35" t="s">
        <v>29</v>
      </c>
      <c r="K17" s="5"/>
      <c r="L17" s="19"/>
      <c r="M17" s="20"/>
      <c r="N17" s="3"/>
      <c r="O17" s="25"/>
      <c r="P17" s="25"/>
      <c r="Q17" s="25"/>
    </row>
    <row r="18" spans="1:17" s="24" customFormat="1" ht="15.75" customHeight="1">
      <c r="A18" s="22" t="s">
        <v>30</v>
      </c>
      <c r="B18" s="10">
        <v>197</v>
      </c>
      <c r="C18" s="10">
        <v>178</v>
      </c>
      <c r="D18" s="10">
        <v>193</v>
      </c>
      <c r="E18" s="10">
        <v>210</v>
      </c>
      <c r="F18" s="10">
        <v>193</v>
      </c>
      <c r="G18" s="16"/>
      <c r="H18" s="23">
        <f t="shared" si="2"/>
        <v>-8.0952380952380949</v>
      </c>
      <c r="I18" s="35" t="s">
        <v>31</v>
      </c>
      <c r="K18" s="5"/>
      <c r="L18" s="19"/>
      <c r="M18" s="20"/>
      <c r="N18" s="3"/>
      <c r="O18" s="25"/>
      <c r="P18" s="25"/>
      <c r="Q18" s="25"/>
    </row>
    <row r="19" spans="1:17" s="24" customFormat="1" ht="15.75" customHeight="1">
      <c r="A19" s="22" t="s">
        <v>32</v>
      </c>
      <c r="B19" s="10">
        <v>35</v>
      </c>
      <c r="C19" s="10">
        <v>36</v>
      </c>
      <c r="D19" s="10">
        <v>28</v>
      </c>
      <c r="E19" s="10">
        <v>33</v>
      </c>
      <c r="F19" s="10">
        <v>17</v>
      </c>
      <c r="G19" s="16"/>
      <c r="H19" s="23">
        <f t="shared" si="2"/>
        <v>-48.484848484848484</v>
      </c>
      <c r="I19" s="35" t="s">
        <v>33</v>
      </c>
      <c r="K19" s="5"/>
      <c r="L19" s="19"/>
      <c r="M19" s="20"/>
      <c r="N19" s="3"/>
      <c r="O19" s="25"/>
      <c r="P19" s="25"/>
      <c r="Q19" s="25"/>
    </row>
    <row r="20" spans="1:17" s="24" customFormat="1" ht="15.75" customHeight="1">
      <c r="A20" s="22" t="s">
        <v>34</v>
      </c>
      <c r="B20" s="10">
        <v>65</v>
      </c>
      <c r="C20" s="10">
        <v>66</v>
      </c>
      <c r="D20" s="10">
        <v>78</v>
      </c>
      <c r="E20" s="10">
        <v>88</v>
      </c>
      <c r="F20" s="10">
        <v>70</v>
      </c>
      <c r="G20" s="16"/>
      <c r="H20" s="23">
        <f t="shared" si="2"/>
        <v>-20.454545454545457</v>
      </c>
      <c r="I20" s="35" t="s">
        <v>35</v>
      </c>
      <c r="K20" s="5"/>
      <c r="L20" s="19"/>
      <c r="M20" s="20"/>
      <c r="N20" s="3"/>
      <c r="O20" s="25"/>
      <c r="P20" s="25"/>
      <c r="Q20" s="25"/>
    </row>
    <row r="21" spans="1:17" s="24" customFormat="1" ht="15.75" customHeight="1">
      <c r="A21" s="22" t="s">
        <v>36</v>
      </c>
      <c r="B21" s="10">
        <v>63</v>
      </c>
      <c r="C21" s="10">
        <v>72</v>
      </c>
      <c r="D21" s="10">
        <v>60</v>
      </c>
      <c r="E21" s="10">
        <v>70</v>
      </c>
      <c r="F21" s="10">
        <v>91</v>
      </c>
      <c r="G21" s="16"/>
      <c r="H21" s="23">
        <f t="shared" si="2"/>
        <v>30</v>
      </c>
      <c r="I21" s="35" t="s">
        <v>37</v>
      </c>
      <c r="K21" s="5"/>
      <c r="L21" s="19"/>
      <c r="M21" s="20"/>
      <c r="N21" s="5"/>
      <c r="O21" s="25"/>
      <c r="P21" s="25"/>
      <c r="Q21" s="25"/>
    </row>
    <row r="22" spans="1:17" s="24" customFormat="1" ht="15.75" customHeight="1">
      <c r="A22" s="22" t="s">
        <v>38</v>
      </c>
      <c r="B22" s="10">
        <v>82</v>
      </c>
      <c r="C22" s="10">
        <v>123</v>
      </c>
      <c r="D22" s="10">
        <v>139</v>
      </c>
      <c r="E22" s="10">
        <v>156</v>
      </c>
      <c r="F22" s="10">
        <v>130</v>
      </c>
      <c r="G22" s="16"/>
      <c r="H22" s="23">
        <f t="shared" si="2"/>
        <v>-16.666666666666664</v>
      </c>
      <c r="I22" s="35" t="s">
        <v>39</v>
      </c>
      <c r="K22" s="5"/>
      <c r="L22" s="19"/>
      <c r="M22" s="20"/>
      <c r="N22" s="5"/>
      <c r="O22" s="25"/>
      <c r="P22" s="25"/>
      <c r="Q22" s="25"/>
    </row>
    <row r="23" spans="1:17" s="24" customFormat="1" ht="15.75" customHeight="1">
      <c r="A23" s="22" t="s">
        <v>40</v>
      </c>
      <c r="B23" s="10">
        <v>138</v>
      </c>
      <c r="C23" s="10">
        <v>110</v>
      </c>
      <c r="D23" s="10">
        <v>155</v>
      </c>
      <c r="E23" s="10">
        <v>207</v>
      </c>
      <c r="F23" s="10">
        <v>225</v>
      </c>
      <c r="G23" s="16"/>
      <c r="H23" s="23">
        <f t="shared" si="2"/>
        <v>8.695652173913043</v>
      </c>
      <c r="I23" s="35" t="s">
        <v>41</v>
      </c>
      <c r="K23" s="5"/>
      <c r="L23" s="19"/>
      <c r="M23" s="20"/>
      <c r="N23" s="5"/>
      <c r="O23" s="25"/>
      <c r="P23" s="25"/>
      <c r="Q23" s="25"/>
    </row>
    <row r="24" spans="1:17" s="24" customFormat="1" ht="15.75" customHeight="1">
      <c r="A24" s="22" t="s">
        <v>25</v>
      </c>
      <c r="B24" s="10">
        <v>316</v>
      </c>
      <c r="C24" s="10">
        <v>396</v>
      </c>
      <c r="D24" s="10">
        <v>298</v>
      </c>
      <c r="E24" s="10">
        <v>257</v>
      </c>
      <c r="F24" s="10">
        <v>283</v>
      </c>
      <c r="G24" s="16"/>
      <c r="H24" s="23">
        <f t="shared" si="2"/>
        <v>10.116731517509727</v>
      </c>
      <c r="I24" s="35" t="s">
        <v>42</v>
      </c>
      <c r="K24" s="5"/>
      <c r="L24" s="19"/>
      <c r="M24" s="20"/>
      <c r="N24" s="5"/>
      <c r="O24" s="25"/>
      <c r="P24" s="25"/>
      <c r="Q24" s="25"/>
    </row>
    <row r="25" spans="1:17" s="24" customFormat="1" ht="15.75" customHeight="1">
      <c r="A25" s="22" t="s">
        <v>43</v>
      </c>
      <c r="B25" s="10">
        <v>274</v>
      </c>
      <c r="C25" s="10">
        <v>231</v>
      </c>
      <c r="D25" s="10">
        <v>247</v>
      </c>
      <c r="E25" s="10">
        <v>228</v>
      </c>
      <c r="F25" s="10">
        <v>236</v>
      </c>
      <c r="G25" s="16"/>
      <c r="H25" s="23">
        <f t="shared" si="2"/>
        <v>3.5087719298245612</v>
      </c>
      <c r="I25" s="35" t="s">
        <v>44</v>
      </c>
      <c r="K25" s="5"/>
      <c r="L25" s="19"/>
      <c r="M25" s="20"/>
      <c r="N25" s="5"/>
      <c r="O25" s="25"/>
      <c r="P25" s="25"/>
      <c r="Q25" s="25"/>
    </row>
    <row r="26" spans="1:17" s="24" customFormat="1" ht="15.75" customHeight="1">
      <c r="A26" s="22" t="s">
        <v>45</v>
      </c>
      <c r="B26" s="10">
        <v>252</v>
      </c>
      <c r="C26" s="10">
        <v>299</v>
      </c>
      <c r="D26" s="10">
        <v>388</v>
      </c>
      <c r="E26" s="10">
        <v>365</v>
      </c>
      <c r="F26" s="10">
        <v>274</v>
      </c>
      <c r="G26" s="16"/>
      <c r="H26" s="23">
        <f t="shared" si="2"/>
        <v>-24.93150684931507</v>
      </c>
      <c r="I26" s="35" t="s">
        <v>46</v>
      </c>
      <c r="K26" s="5"/>
      <c r="L26" s="26"/>
      <c r="M26" s="26"/>
      <c r="N26" s="25"/>
      <c r="O26" s="25"/>
      <c r="P26" s="25"/>
      <c r="Q26" s="25"/>
    </row>
    <row r="27" spans="1:17" s="24" customFormat="1" ht="15.75" customHeight="1">
      <c r="A27" s="22" t="s">
        <v>47</v>
      </c>
      <c r="B27" s="10">
        <v>282</v>
      </c>
      <c r="C27" s="10">
        <v>275</v>
      </c>
      <c r="D27" s="10">
        <v>268</v>
      </c>
      <c r="E27" s="10">
        <v>379</v>
      </c>
      <c r="F27" s="10">
        <v>501</v>
      </c>
      <c r="G27" s="16"/>
      <c r="H27" s="23">
        <f t="shared" si="2"/>
        <v>32.189973614775724</v>
      </c>
      <c r="I27" s="35" t="s">
        <v>18</v>
      </c>
      <c r="K27" s="5"/>
      <c r="L27" s="25"/>
      <c r="M27" s="25"/>
      <c r="N27" s="25"/>
      <c r="O27" s="25"/>
      <c r="P27" s="25"/>
      <c r="Q27" s="25"/>
    </row>
    <row r="28" spans="1:17" s="27" customFormat="1" ht="15.75" customHeight="1">
      <c r="A28" s="28" t="s">
        <v>17</v>
      </c>
      <c r="B28" s="11">
        <v>1126</v>
      </c>
      <c r="C28" s="11">
        <v>756</v>
      </c>
      <c r="D28" s="11">
        <v>843</v>
      </c>
      <c r="E28" s="11">
        <v>750</v>
      </c>
      <c r="F28" s="11">
        <v>831</v>
      </c>
      <c r="G28" s="33"/>
      <c r="H28" s="29">
        <f t="shared" si="2"/>
        <v>10.8</v>
      </c>
      <c r="I28" s="36" t="s">
        <v>48</v>
      </c>
      <c r="K28" s="5"/>
      <c r="L28" s="26"/>
      <c r="M28" s="26"/>
      <c r="N28" s="26"/>
      <c r="O28" s="26"/>
      <c r="P28" s="26"/>
      <c r="Q28" s="26"/>
    </row>
    <row r="29" spans="1:17" s="31" customFormat="1" ht="14.25" customHeight="1">
      <c r="A29" s="8" t="s">
        <v>0</v>
      </c>
      <c r="B29" s="30"/>
      <c r="C29" s="30"/>
      <c r="D29" s="30"/>
      <c r="E29" s="30"/>
      <c r="F29" s="30"/>
      <c r="G29" s="30"/>
      <c r="H29" s="30"/>
      <c r="I29" s="37" t="s">
        <v>1</v>
      </c>
      <c r="L29" s="7"/>
      <c r="M29" s="7"/>
      <c r="N29" s="7"/>
      <c r="O29" s="7"/>
      <c r="P29" s="7"/>
      <c r="Q29" s="7"/>
    </row>
    <row r="30" spans="1:17">
      <c r="L30" s="3"/>
      <c r="M30" s="3"/>
      <c r="N30" s="3"/>
      <c r="O30" s="3"/>
      <c r="P30" s="3"/>
      <c r="Q30" s="3"/>
    </row>
    <row r="31" spans="1:17">
      <c r="A31" s="32"/>
      <c r="L31" s="3"/>
      <c r="M31" s="3"/>
      <c r="O31" s="3"/>
      <c r="P31" s="3"/>
      <c r="Q31" s="3"/>
    </row>
    <row r="32" spans="1:17">
      <c r="L32" s="3"/>
      <c r="M32" s="3"/>
      <c r="N32" s="3"/>
      <c r="O32" s="3"/>
      <c r="P32" s="3"/>
      <c r="Q32" s="3"/>
    </row>
    <row r="33" spans="1:17">
      <c r="L33" s="3"/>
      <c r="M33" s="3"/>
      <c r="N33" s="3"/>
      <c r="O33" s="3"/>
      <c r="P33" s="3"/>
      <c r="Q33" s="3"/>
    </row>
    <row r="34" spans="1:17">
      <c r="L34" s="3"/>
      <c r="M34" s="3"/>
      <c r="N34" s="3"/>
      <c r="O34" s="3"/>
      <c r="P34" s="3"/>
      <c r="Q34" s="3"/>
    </row>
    <row r="35" spans="1:17">
      <c r="L35" s="3"/>
      <c r="M35" s="3"/>
      <c r="N35" s="3"/>
      <c r="O35" s="3"/>
      <c r="P35" s="3"/>
      <c r="Q35" s="3"/>
    </row>
    <row r="36" spans="1:17" ht="17.25">
      <c r="A36" s="12"/>
      <c r="B36" s="6"/>
      <c r="C36" s="6"/>
      <c r="D36" s="6"/>
      <c r="E36" s="6"/>
      <c r="F36" s="6"/>
      <c r="G36" s="6"/>
      <c r="H36" s="6"/>
      <c r="I36" s="13"/>
      <c r="L36" s="3"/>
      <c r="M36" s="3"/>
      <c r="N36" s="3"/>
      <c r="O36" s="3"/>
      <c r="P36" s="3"/>
      <c r="Q36" s="3"/>
    </row>
    <row r="37" spans="1:17">
      <c r="L37" s="3"/>
      <c r="M37" s="3"/>
      <c r="N37" s="3"/>
      <c r="O37" s="3"/>
      <c r="P37" s="3"/>
      <c r="Q37" s="3"/>
    </row>
    <row r="38" spans="1:17">
      <c r="L38" s="3"/>
      <c r="M38" s="3"/>
      <c r="N38" s="3"/>
      <c r="O38" s="3"/>
      <c r="P38" s="3"/>
      <c r="Q38" s="3"/>
    </row>
    <row r="45" spans="1:17" ht="5.25" customHeight="1"/>
    <row r="60" ht="9" customHeight="1"/>
  </sheetData>
  <mergeCells count="9">
    <mergeCell ref="C3:C5"/>
    <mergeCell ref="D3:D5"/>
    <mergeCell ref="I3:I5"/>
    <mergeCell ref="A1:I1"/>
    <mergeCell ref="A2:I2"/>
    <mergeCell ref="A3:A5"/>
    <mergeCell ref="B3:B5"/>
    <mergeCell ref="E3:E5"/>
    <mergeCell ref="F3:F5"/>
  </mergeCells>
  <pageMargins left="0.7" right="0.7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</vt:lpstr>
      <vt:lpstr>'8.3'!Print_Area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2021-09-27T08:46:38Z</cp:lastPrinted>
  <dcterms:created xsi:type="dcterms:W3CDTF">2019-06-30T04:22:49Z</dcterms:created>
  <dcterms:modified xsi:type="dcterms:W3CDTF">2021-09-27T08:46:46Z</dcterms:modified>
</cp:coreProperties>
</file>