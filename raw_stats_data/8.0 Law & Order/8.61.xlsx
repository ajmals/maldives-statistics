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D1520957-537D-4EFC-96BF-478007DE9EF2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1" sheetId="94" r:id="rId1"/>
  </sheets>
  <externalReferences>
    <externalReference r:id="rId2"/>
  </externalReferences>
  <definedNames>
    <definedName name="_xlnm.Print_Area" localSheetId="0">'8.61'!$A$1:$O$20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94" l="1"/>
  <c r="H16" i="94"/>
  <c r="E16" i="94"/>
  <c r="B16" i="94"/>
  <c r="K15" i="94"/>
  <c r="H15" i="94"/>
  <c r="E15" i="94"/>
  <c r="B15" i="94"/>
  <c r="K14" i="94"/>
  <c r="H14" i="94"/>
  <c r="E14" i="94"/>
  <c r="B14" i="94"/>
  <c r="K13" i="94"/>
  <c r="H13" i="94"/>
  <c r="E13" i="94"/>
  <c r="B13" i="94"/>
  <c r="K12" i="94"/>
  <c r="H12" i="94"/>
  <c r="E12" i="94"/>
  <c r="B12" i="94"/>
  <c r="K11" i="94"/>
  <c r="H11" i="94"/>
  <c r="E11" i="94"/>
  <c r="B11" i="94"/>
  <c r="K10" i="94"/>
  <c r="H10" i="94"/>
  <c r="E10" i="94"/>
  <c r="B10" i="94"/>
  <c r="K9" i="94"/>
  <c r="H9" i="94"/>
  <c r="E9" i="94"/>
  <c r="B9" i="94"/>
  <c r="K8" i="94"/>
  <c r="H8" i="94"/>
  <c r="E8" i="94"/>
  <c r="B8" i="94"/>
  <c r="M7" i="94"/>
  <c r="L7" i="94"/>
  <c r="K7" i="94" s="1"/>
  <c r="J7" i="94"/>
  <c r="I7" i="94"/>
  <c r="H7" i="94"/>
  <c r="G7" i="94"/>
  <c r="F7" i="94"/>
  <c r="E7" i="94" s="1"/>
  <c r="D7" i="94"/>
  <c r="C7" i="94"/>
  <c r="B7" i="94" s="1"/>
</calcChain>
</file>

<file path=xl/sharedStrings.xml><?xml version="1.0" encoding="utf-8"?>
<sst xmlns="http://schemas.openxmlformats.org/spreadsheetml/2006/main" count="51" uniqueCount="33">
  <si>
    <t>Total</t>
  </si>
  <si>
    <t>Others</t>
  </si>
  <si>
    <t>އެހެނިހެން</t>
  </si>
  <si>
    <t>ޖުމްލަ</t>
  </si>
  <si>
    <t>Male</t>
  </si>
  <si>
    <t>Female</t>
  </si>
  <si>
    <t>ފިރިހެން</t>
  </si>
  <si>
    <t>އަންހެން</t>
  </si>
  <si>
    <t>ކުރެވޭ އަނިޔާގެ ބާވަތް</t>
  </si>
  <si>
    <t>Both Sex</t>
  </si>
  <si>
    <t>Physical Abuse</t>
  </si>
  <si>
    <t>Sexual Abuse</t>
  </si>
  <si>
    <t>Neglect</t>
  </si>
  <si>
    <t xml:space="preserve">Types of abuse 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</si>
  <si>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</si>
  <si>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</si>
  <si>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</si>
  <si>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</si>
  <si>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</si>
  <si>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</si>
  <si>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</si>
  <si>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</si>
  <si>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</si>
  <si>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</si>
  <si>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</si>
  <si>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</si>
  <si>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</si>
  <si>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</si>
  <si>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</si>
  <si>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</si>
  <si>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</si>
  <si>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ތާވަލު 8.61: ޖިންސުގެ ގޮތުން ކުޑަކުދިންނަށް ކުރާ އަނިޔާއާއިބެހޭގޮތުން ހުށަހެޅިފައިވާ މައްސަލަތައް، 2017 - 2020</t>
  </si>
  <si>
    <t>Table 8.61: NUMBER OF REPORTED CHILD ABUSE  CASES (UNDER 18) BY TYPE AND SEX,2017 - 2020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</si>
</sst>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1" fillId="0" borderId="3" applyNumberFormat="0" applyFill="0" applyAlignment="0" applyProtection="0"/>
    <xf numFmtId="0" fontId="9" fillId="0" borderId="0"/>
    <xf numFmtId="0" fontId="9" fillId="0" borderId="0"/>
  </cellStyleXfs>
  <cellXfs count="29">
    <xf numFmtId="0" fontId="0" fillId="0" borderId="0" xfId="0"/>
    <xf numFmtId="165" fontId="3" fillId="2" borderId="0" xfId="0" applyNumberFormat="1" applyFont="1" applyFill="1"/>
    <xf numFmtId="165" fontId="2" fillId="2" borderId="1" xfId="0" applyNumberFormat="1" applyFont="1" applyFill="1" applyBorder="1" applyAlignment="1">
      <alignment horizontal="center" vertical="center" wrapText="1"/>
    </xf>
    <xf numFmtId="165" fontId="2" fillId="2" borderId="0" xfId="0" applyNumberFormat="1" applyFont="1" applyFill="1" applyBorder="1" applyAlignment="1">
      <alignment horizontal="right" vertical="center" wrapText="1"/>
    </xf>
    <xf numFmtId="166" fontId="10" fillId="2" borderId="4" xfId="1" applyNumberFormat="1" applyFont="1" applyFill="1" applyBorder="1" applyAlignment="1">
      <alignment vertical="center" wrapText="1"/>
    </xf>
    <xf numFmtId="166" fontId="2" fillId="2" borderId="4" xfId="1" applyNumberFormat="1" applyFont="1" applyFill="1" applyBorder="1" applyAlignment="1">
      <alignment horizontal="right" vertical="center" wrapText="1"/>
    </xf>
    <xf numFmtId="166" fontId="12" fillId="2" borderId="4" xfId="1" applyNumberFormat="1" applyFont="1" applyFill="1" applyBorder="1" applyAlignment="1">
      <alignment vertical="center" wrapText="1" readingOrder="2"/>
    </xf>
    <xf numFmtId="166" fontId="14" fillId="2" borderId="0" xfId="1" applyNumberFormat="1" applyFont="1" applyFill="1"/>
    <xf numFmtId="166" fontId="8" fillId="2" borderId="0" xfId="1" applyNumberFormat="1" applyFont="1" applyFill="1" applyAlignment="1">
      <alignment vertical="center" wrapText="1"/>
    </xf>
    <xf numFmtId="166" fontId="3" fillId="2" borderId="0" xfId="1" applyNumberFormat="1" applyFont="1" applyFill="1" applyAlignment="1">
      <alignment horizontal="right" vertical="center" wrapText="1"/>
    </xf>
    <xf numFmtId="166" fontId="3" fillId="2" borderId="0" xfId="1" applyNumberFormat="1" applyFont="1" applyFill="1" applyBorder="1" applyAlignment="1">
      <alignment horizontal="right" vertical="center" wrapText="1"/>
    </xf>
    <xf numFmtId="166" fontId="13" fillId="2" borderId="0" xfId="1" applyNumberFormat="1" applyFont="1" applyFill="1" applyAlignment="1">
      <alignment vertical="center" wrapText="1" readingOrder="2"/>
    </xf>
    <xf numFmtId="166" fontId="15" fillId="2" borderId="0" xfId="1" applyNumberFormat="1" applyFont="1" applyFill="1"/>
    <xf numFmtId="166" fontId="13" fillId="2" borderId="1" xfId="1" applyNumberFormat="1" applyFont="1" applyFill="1" applyBorder="1" applyAlignment="1">
      <alignment vertical="center" wrapText="1" readingOrder="2"/>
    </xf>
    <xf numFmtId="165" fontId="12" fillId="2" borderId="0" xfId="0" applyNumberFormat="1" applyFont="1" applyFill="1" applyBorder="1" applyAlignment="1">
      <alignment horizontal="right" vertical="center" wrapText="1"/>
    </xf>
    <xf numFmtId="165" fontId="12" fillId="2" borderId="1" xfId="0" applyNumberFormat="1" applyFont="1" applyFill="1" applyBorder="1" applyAlignment="1">
      <alignment horizontal="right" vertical="center" wrapText="1"/>
    </xf>
    <xf numFmtId="165" fontId="7" fillId="2" borderId="4" xfId="0" applyNumberFormat="1" applyFont="1" applyFill="1" applyBorder="1" applyAlignment="1">
      <alignment horizontal="left" vertical="center" wrapText="1"/>
    </xf>
    <xf numFmtId="165" fontId="13" fillId="2" borderId="0" xfId="0" applyNumberFormat="1" applyFont="1" applyFill="1" applyBorder="1" applyAlignment="1">
      <alignment vertical="top" readingOrder="2"/>
    </xf>
    <xf numFmtId="165" fontId="4" fillId="2" borderId="0" xfId="0" applyNumberFormat="1" applyFont="1" applyFill="1" applyBorder="1" applyAlignment="1">
      <alignment vertical="top"/>
    </xf>
    <xf numFmtId="165" fontId="12" fillId="2" borderId="0" xfId="0" applyNumberFormat="1" applyFont="1" applyFill="1" applyAlignment="1">
      <alignment horizontal="center" vertical="center" wrapText="1" readingOrder="2"/>
    </xf>
    <xf numFmtId="165" fontId="2" fillId="2" borderId="0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left" vertical="center" wrapText="1"/>
    </xf>
    <xf numFmtId="165" fontId="2" fillId="2" borderId="0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12" fillId="2" borderId="4" xfId="0" applyNumberFormat="1" applyFont="1" applyFill="1" applyBorder="1" applyAlignment="1">
      <alignment horizontal="right" vertical="center" wrapText="1" readingOrder="2"/>
    </xf>
    <xf numFmtId="165" fontId="12" fillId="2" borderId="0" xfId="0" applyNumberFormat="1" applyFont="1" applyFill="1" applyBorder="1" applyAlignment="1">
      <alignment horizontal="right" vertical="center" wrapText="1" readingOrder="2"/>
    </xf>
    <xf numFmtId="165" fontId="12" fillId="2" borderId="1" xfId="0" applyNumberFormat="1" applyFont="1" applyFill="1" applyBorder="1" applyAlignment="1">
      <alignment horizontal="right" vertical="center" wrapText="1" readingOrder="2"/>
    </xf>
    <xf numFmtId="165" fontId="7" fillId="2" borderId="4" xfId="0" applyNumberFormat="1" applyFont="1" applyFill="1" applyBorder="1" applyAlignment="1">
      <alignment horizontal="left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S25"/>
  <sheetViews>
    <sheetView tabSelected="1" view="pageBreakPreview" zoomScale="104" zoomScaleNormal="74" zoomScaleSheetLayoutView="104" workbookViewId="0">
      <selection activeCell="I9" sqref="I9"/>
    </sheetView>
  </sheetViews>
  <sheetFormatPr defaultColWidth="9.1796875" defaultRowHeight="13"/>
  <cols>
    <col min="1" max="1" width="28.453125" style="1" customWidth="1"/>
    <col min="2" max="13" width="11" style="1" customWidth="1"/>
    <col min="14" max="14" width="38.81640625" style="1" customWidth="1"/>
    <col min="15" max="15" width="4.36328125" style="1" customWidth="1"/>
    <col min="16" max="16384" width="9.1796875" style="1"/>
  </cols>
  <sheetData>
    <row r="1" spans="1:14" ht="17.5">
      <c r="A1" s="19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>
      <c r="A2" s="20" t="s">
        <v>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1" t="s">
        <v>13</v>
      </c>
      <c r="B4" s="24">
        <v>2017</v>
      </c>
      <c r="C4" s="24"/>
      <c r="D4" s="24"/>
      <c r="E4" s="24">
        <v>2018</v>
      </c>
      <c r="F4" s="24"/>
      <c r="G4" s="24"/>
      <c r="H4" s="24">
        <v>2019</v>
      </c>
      <c r="I4" s="24"/>
      <c r="J4" s="24"/>
      <c r="K4" s="24">
        <v>2020</v>
      </c>
      <c r="L4" s="24"/>
      <c r="M4" s="24"/>
      <c r="N4" s="25" t="s">
        <v>8</v>
      </c>
    </row>
    <row r="5" spans="1:14">
      <c r="A5" s="22"/>
      <c r="B5" s="3" t="s">
        <v>9</v>
      </c>
      <c r="C5" s="3" t="s">
        <v>4</v>
      </c>
      <c r="D5" s="3" t="s">
        <v>5</v>
      </c>
      <c r="E5" s="3" t="s">
        <v>9</v>
      </c>
      <c r="F5" s="3" t="s">
        <v>4</v>
      </c>
      <c r="G5" s="3" t="s">
        <v>5</v>
      </c>
      <c r="H5" s="3" t="s">
        <v>9</v>
      </c>
      <c r="I5" s="3" t="s">
        <v>4</v>
      </c>
      <c r="J5" s="3" t="s">
        <v>5</v>
      </c>
      <c r="K5" s="3" t="s">
        <v>9</v>
      </c>
      <c r="L5" s="3" t="s">
        <v>4</v>
      </c>
      <c r="M5" s="3" t="s">
        <v>5</v>
      </c>
      <c r="N5" s="26"/>
    </row>
    <row r="6" spans="1:14" ht="17.5">
      <c r="A6" s="23"/>
      <c r="B6" s="14" t="s">
        <v>30</v>
      </c>
      <c r="C6" s="14" t="s">
        <v>6</v>
      </c>
      <c r="D6" s="15" t="s">
        <v>7</v>
      </c>
      <c r="E6" s="14" t="s">
        <v>30</v>
      </c>
      <c r="F6" s="14" t="s">
        <v>6</v>
      </c>
      <c r="G6" s="15" t="s">
        <v>7</v>
      </c>
      <c r="H6" s="14" t="s">
        <v>30</v>
      </c>
      <c r="I6" s="14" t="s">
        <v>6</v>
      </c>
      <c r="J6" s="15" t="s">
        <v>7</v>
      </c>
      <c r="K6" s="14" t="s">
        <v>30</v>
      </c>
      <c r="L6" s="14" t="s">
        <v>6</v>
      </c>
      <c r="M6" s="15" t="s">
        <v>7</v>
      </c>
      <c r="N6" s="27"/>
    </row>
    <row r="7" spans="1:14" s="7" customFormat="1" ht="17.5">
      <c r="A7" s="4" t="s">
        <v>0</v>
      </c>
      <c r="B7" s="5">
        <f>SUM(C7:D7)</f>
        <v>1412</v>
      </c>
      <c r="C7" s="5">
        <f>SUM(C8:C16)</f>
        <v>677</v>
      </c>
      <c r="D7" s="5">
        <f>SUM(D8:D16)</f>
        <v>735</v>
      </c>
      <c r="E7" s="5">
        <f>SUM(F7:G7)</f>
        <v>1309</v>
      </c>
      <c r="F7" s="5">
        <f>SUM(F8:F16)</f>
        <v>588</v>
      </c>
      <c r="G7" s="5">
        <f>SUM(G8:G16)</f>
        <v>721</v>
      </c>
      <c r="H7" s="5">
        <f>SUM(I7:J7)</f>
        <v>1375</v>
      </c>
      <c r="I7" s="5">
        <f>SUM(I8:I16)</f>
        <v>600</v>
      </c>
      <c r="J7" s="5">
        <f>SUM(J8:J16)</f>
        <v>775</v>
      </c>
      <c r="K7" s="5">
        <f>SUM(L7:M7)</f>
        <v>1283</v>
      </c>
      <c r="L7" s="5">
        <f>SUM(L8:L16)</f>
        <v>548</v>
      </c>
      <c r="M7" s="5">
        <f>SUM(M8:M16)</f>
        <v>735</v>
      </c>
      <c r="N7" s="6" t="s">
        <v>3</v>
      </c>
    </row>
    <row r="8" spans="1:14" s="12" customFormat="1" ht="17.5">
      <c r="A8" s="8" t="s">
        <v>12</v>
      </c>
      <c r="B8" s="10">
        <f>SUM(C8:D8)</f>
        <v>297</v>
      </c>
      <c r="C8" s="9">
        <v>162</v>
      </c>
      <c r="D8" s="9">
        <v>135</v>
      </c>
      <c r="E8" s="10">
        <f>SUM(F8:G8)</f>
        <v>351</v>
      </c>
      <c r="F8" s="9">
        <v>190</v>
      </c>
      <c r="G8" s="9">
        <v>161</v>
      </c>
      <c r="H8" s="10">
        <f>SUM(I8:J8)</f>
        <v>410</v>
      </c>
      <c r="I8" s="9">
        <v>204</v>
      </c>
      <c r="J8" s="9">
        <v>206</v>
      </c>
      <c r="K8" s="10">
        <f>SUM(L8:M8)</f>
        <v>331</v>
      </c>
      <c r="L8" s="9">
        <v>169</v>
      </c>
      <c r="M8" s="9">
        <v>162</v>
      </c>
      <c r="N8" s="11" t="s">
        <v>14</v>
      </c>
    </row>
    <row r="9" spans="1:14" s="12" customFormat="1" ht="17.5">
      <c r="A9" s="8" t="s">
        <v>10</v>
      </c>
      <c r="B9" s="10">
        <f t="shared" ref="B9:B16" si="0">SUM(C9:D9)</f>
        <v>354</v>
      </c>
      <c r="C9" s="9">
        <v>216</v>
      </c>
      <c r="D9" s="9">
        <v>138</v>
      </c>
      <c r="E9" s="10">
        <f t="shared" ref="E9:E16" si="1">SUM(F9:G9)</f>
        <v>316</v>
      </c>
      <c r="F9" s="9">
        <v>186</v>
      </c>
      <c r="G9" s="9">
        <v>130</v>
      </c>
      <c r="H9" s="10">
        <f t="shared" ref="H9:H16" si="2">SUM(I9:J9)</f>
        <v>299</v>
      </c>
      <c r="I9" s="9">
        <v>169</v>
      </c>
      <c r="J9" s="9">
        <v>130</v>
      </c>
      <c r="K9" s="10">
        <f t="shared" ref="K9:K16" si="3">SUM(L9:M9)</f>
        <v>252</v>
      </c>
      <c r="L9" s="9">
        <v>146</v>
      </c>
      <c r="M9" s="9">
        <v>106</v>
      </c>
      <c r="N9" s="11" t="s">
        <v>15</v>
      </c>
    </row>
    <row r="10" spans="1:14" s="12" customFormat="1" ht="17.5">
      <c r="A10" s="8" t="s">
        <v>16</v>
      </c>
      <c r="B10" s="10">
        <f t="shared" si="0"/>
        <v>182</v>
      </c>
      <c r="C10" s="9">
        <v>92</v>
      </c>
      <c r="D10" s="9">
        <v>90</v>
      </c>
      <c r="E10" s="10">
        <f t="shared" si="1"/>
        <v>113</v>
      </c>
      <c r="F10" s="9">
        <v>56</v>
      </c>
      <c r="G10" s="9">
        <v>57</v>
      </c>
      <c r="H10" s="10">
        <f t="shared" si="2"/>
        <v>144</v>
      </c>
      <c r="I10" s="9">
        <v>82</v>
      </c>
      <c r="J10" s="9">
        <v>62</v>
      </c>
      <c r="K10" s="10">
        <f t="shared" si="3"/>
        <v>83</v>
      </c>
      <c r="L10" s="9">
        <v>47</v>
      </c>
      <c r="M10" s="9">
        <v>36</v>
      </c>
      <c r="N10" s="11" t="s">
        <v>17</v>
      </c>
    </row>
    <row r="11" spans="1:14" s="12" customFormat="1" ht="17.5">
      <c r="A11" s="8" t="s">
        <v>11</v>
      </c>
      <c r="B11" s="10">
        <f t="shared" si="0"/>
        <v>418</v>
      </c>
      <c r="C11" s="9">
        <v>126</v>
      </c>
      <c r="D11" s="9">
        <v>292</v>
      </c>
      <c r="E11" s="10">
        <f t="shared" si="1"/>
        <v>358</v>
      </c>
      <c r="F11" s="9">
        <v>84</v>
      </c>
      <c r="G11" s="9">
        <v>274</v>
      </c>
      <c r="H11" s="10">
        <f t="shared" si="2"/>
        <v>360</v>
      </c>
      <c r="I11" s="9">
        <v>84</v>
      </c>
      <c r="J11" s="9">
        <v>276</v>
      </c>
      <c r="K11" s="10">
        <f t="shared" si="3"/>
        <v>461</v>
      </c>
      <c r="L11" s="9">
        <v>107</v>
      </c>
      <c r="M11" s="9">
        <v>354</v>
      </c>
      <c r="N11" s="11" t="s">
        <v>18</v>
      </c>
    </row>
    <row r="12" spans="1:14" s="12" customFormat="1" ht="17.5">
      <c r="A12" s="8" t="s">
        <v>19</v>
      </c>
      <c r="B12" s="10">
        <f t="shared" si="0"/>
        <v>39</v>
      </c>
      <c r="C12" s="9">
        <v>17</v>
      </c>
      <c r="D12" s="9">
        <v>22</v>
      </c>
      <c r="E12" s="10">
        <f t="shared" si="1"/>
        <v>31</v>
      </c>
      <c r="F12" s="9">
        <v>12</v>
      </c>
      <c r="G12" s="9">
        <v>19</v>
      </c>
      <c r="H12" s="10">
        <f t="shared" si="2"/>
        <v>32</v>
      </c>
      <c r="I12" s="9">
        <v>18</v>
      </c>
      <c r="J12" s="9">
        <v>14</v>
      </c>
      <c r="K12" s="10">
        <f t="shared" si="3"/>
        <v>13</v>
      </c>
      <c r="L12" s="9">
        <v>10</v>
      </c>
      <c r="M12" s="9">
        <v>3</v>
      </c>
      <c r="N12" s="11" t="s">
        <v>20</v>
      </c>
    </row>
    <row r="13" spans="1:14" s="12" customFormat="1" ht="17.5">
      <c r="A13" s="8" t="s">
        <v>21</v>
      </c>
      <c r="B13" s="10">
        <f t="shared" si="0"/>
        <v>12</v>
      </c>
      <c r="C13" s="9">
        <v>4</v>
      </c>
      <c r="D13" s="9">
        <v>8</v>
      </c>
      <c r="E13" s="10">
        <f t="shared" si="1"/>
        <v>27</v>
      </c>
      <c r="F13" s="9">
        <v>9</v>
      </c>
      <c r="G13" s="9">
        <v>18</v>
      </c>
      <c r="H13" s="10">
        <f t="shared" si="2"/>
        <v>13</v>
      </c>
      <c r="I13" s="9">
        <v>1</v>
      </c>
      <c r="J13" s="9">
        <v>12</v>
      </c>
      <c r="K13" s="10">
        <f t="shared" si="3"/>
        <v>15</v>
      </c>
      <c r="L13" s="9">
        <v>2</v>
      </c>
      <c r="M13" s="9">
        <v>13</v>
      </c>
      <c r="N13" s="11" t="s">
        <v>22</v>
      </c>
    </row>
    <row r="14" spans="1:14" s="12" customFormat="1" ht="35">
      <c r="A14" s="8" t="s">
        <v>23</v>
      </c>
      <c r="B14" s="10">
        <f t="shared" si="0"/>
        <v>48</v>
      </c>
      <c r="C14" s="9">
        <v>31</v>
      </c>
      <c r="D14" s="9">
        <v>17</v>
      </c>
      <c r="E14" s="10">
        <f t="shared" si="1"/>
        <v>55</v>
      </c>
      <c r="F14" s="9">
        <v>28</v>
      </c>
      <c r="G14" s="9">
        <v>27</v>
      </c>
      <c r="H14" s="10">
        <f t="shared" si="2"/>
        <v>65</v>
      </c>
      <c r="I14" s="9">
        <v>29</v>
      </c>
      <c r="J14" s="9">
        <v>36</v>
      </c>
      <c r="K14" s="10">
        <f t="shared" si="3"/>
        <v>89</v>
      </c>
      <c r="L14" s="9">
        <v>55</v>
      </c>
      <c r="M14" s="9">
        <v>34</v>
      </c>
      <c r="N14" s="11" t="s">
        <v>24</v>
      </c>
    </row>
    <row r="15" spans="1:14" s="12" customFormat="1" ht="17.5">
      <c r="A15" s="8" t="s">
        <v>25</v>
      </c>
      <c r="B15" s="10">
        <f t="shared" si="0"/>
        <v>10</v>
      </c>
      <c r="C15" s="9">
        <v>4</v>
      </c>
      <c r="D15" s="9">
        <v>6</v>
      </c>
      <c r="E15" s="10">
        <f t="shared" si="1"/>
        <v>19</v>
      </c>
      <c r="F15" s="9">
        <v>4</v>
      </c>
      <c r="G15" s="9">
        <v>15</v>
      </c>
      <c r="H15" s="10">
        <f t="shared" si="2"/>
        <v>29</v>
      </c>
      <c r="I15" s="9">
        <v>5</v>
      </c>
      <c r="J15" s="9">
        <v>24</v>
      </c>
      <c r="K15" s="10">
        <f t="shared" si="3"/>
        <v>19</v>
      </c>
      <c r="L15" s="9">
        <v>5</v>
      </c>
      <c r="M15" s="9">
        <v>14</v>
      </c>
      <c r="N15" s="11" t="s">
        <v>26</v>
      </c>
    </row>
    <row r="16" spans="1:14" s="12" customFormat="1" ht="17.5">
      <c r="A16" s="8" t="s">
        <v>1</v>
      </c>
      <c r="B16" s="10">
        <f t="shared" si="0"/>
        <v>52</v>
      </c>
      <c r="C16" s="9">
        <v>25</v>
      </c>
      <c r="D16" s="9">
        <v>27</v>
      </c>
      <c r="E16" s="10">
        <f t="shared" si="1"/>
        <v>39</v>
      </c>
      <c r="F16" s="9">
        <v>19</v>
      </c>
      <c r="G16" s="9">
        <v>20</v>
      </c>
      <c r="H16" s="10">
        <f t="shared" si="2"/>
        <v>23</v>
      </c>
      <c r="I16" s="9">
        <v>8</v>
      </c>
      <c r="J16" s="9">
        <v>15</v>
      </c>
      <c r="K16" s="10">
        <f t="shared" si="3"/>
        <v>20</v>
      </c>
      <c r="L16" s="9">
        <v>7</v>
      </c>
      <c r="M16" s="9">
        <v>13</v>
      </c>
      <c r="N16" s="13" t="s">
        <v>2</v>
      </c>
    </row>
    <row r="17" spans="1:19" ht="33" customHeight="1">
      <c r="A17" s="28" t="s">
        <v>27</v>
      </c>
      <c r="B17" s="28"/>
      <c r="C17" s="28"/>
      <c r="D17" s="28"/>
      <c r="E17" s="28"/>
      <c r="F17" s="28"/>
      <c r="G17" s="28"/>
      <c r="H17" s="16"/>
      <c r="I17" s="16"/>
      <c r="J17" s="16"/>
      <c r="K17" s="16"/>
      <c r="L17" s="16"/>
      <c r="M17" s="16"/>
      <c r="N17" s="17" t="s">
        <v>28</v>
      </c>
      <c r="O17" s="12"/>
      <c r="P17" s="12"/>
      <c r="Q17" s="12"/>
      <c r="R17" s="12"/>
      <c r="S17" s="12"/>
    </row>
    <row r="18" spans="1:19" ht="15.5">
      <c r="A18" s="18" t="s">
        <v>29</v>
      </c>
      <c r="O18" s="12"/>
      <c r="P18" s="12"/>
      <c r="Q18" s="12"/>
      <c r="R18" s="12"/>
      <c r="S18" s="12"/>
    </row>
    <row r="19" spans="1:19" ht="15.5">
      <c r="O19" s="12"/>
      <c r="P19" s="12"/>
      <c r="Q19" s="12"/>
      <c r="R19" s="12"/>
      <c r="S19" s="12"/>
    </row>
    <row r="20" spans="1:19" ht="15.5">
      <c r="O20" s="12"/>
      <c r="P20" s="12"/>
      <c r="Q20" s="12"/>
      <c r="R20" s="12"/>
      <c r="S20" s="12"/>
    </row>
    <row r="21" spans="1:19" ht="15.5">
      <c r="O21" s="12"/>
      <c r="P21" s="12"/>
      <c r="Q21" s="12"/>
      <c r="R21" s="12"/>
      <c r="S21" s="12"/>
    </row>
    <row r="22" spans="1:19" ht="15.5">
      <c r="O22" s="12"/>
      <c r="P22" s="12"/>
      <c r="Q22" s="12"/>
      <c r="R22" s="12"/>
      <c r="S22" s="12"/>
    </row>
    <row r="23" spans="1:19" ht="15.5">
      <c r="O23" s="12"/>
      <c r="P23" s="12"/>
      <c r="Q23" s="12"/>
      <c r="R23" s="12"/>
      <c r="S23" s="12"/>
    </row>
    <row r="24" spans="1:19" ht="15.5">
      <c r="O24" s="12"/>
      <c r="P24" s="12"/>
      <c r="Q24" s="12"/>
      <c r="R24" s="12"/>
      <c r="S24" s="12"/>
    </row>
    <row r="25" spans="1:19" ht="15.5">
      <c r="O25" s="12"/>
      <c r="P25" s="12"/>
      <c r="Q25" s="12"/>
      <c r="R25" s="12"/>
      <c r="S25" s="12"/>
    </row>
  </sheetData>
  <mergeCells count="9">
    <mergeCell ref="A1:N1"/>
    <mergeCell ref="A2:N2"/>
    <mergeCell ref="A4:A6"/>
    <mergeCell ref="B4:D4"/>
    <mergeCell ref="E4:G4"/>
    <mergeCell ref="H4:J4"/>
    <mergeCell ref="K4:M4"/>
    <mergeCell ref="N4:N6"/>
    <mergeCell ref="A17:G17"/>
  </mergeCells>
  <pageMargins left="0.7" right="0.7" top="0.75" bottom="0.75" header="0.3" footer="0.3"/>
  <pageSetup scale="43" orientation="portrait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8.61</vt:lpstr>
      <vt:lpstr>'8.61'!Print_Area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2021-10-11T14:58:15Z</cp:lastPrinted>
  <dcterms:created xsi:type="dcterms:W3CDTF">2019-06-30T04:22:49Z</dcterms:created>
  <dcterms:modified xsi:type="dcterms:W3CDTF">2021-10-11T15:02:51Z</dcterms:modified>
</cp:coreProperties>
</file>