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0" sheetId="10" r:id="rId1"/>
  </sheets>
  <definedNames>
    <definedName name="_xlnm.Print_Area" localSheetId="0">'8.10'!$A$1:$K$60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0" l="1"/>
  <c r="I8" i="10"/>
  <c r="I7" i="10"/>
  <c r="I10" i="10" l="1"/>
  <c r="F6" i="10"/>
  <c r="F5" i="10" l="1"/>
  <c r="H6" i="10"/>
  <c r="H7" i="10" l="1"/>
  <c r="H8" i="10"/>
  <c r="H9" i="10"/>
  <c r="H5" i="10"/>
  <c r="H10" i="10"/>
  <c r="E6" i="10" l="1"/>
  <c r="I6" i="10" s="1"/>
  <c r="E5" i="10" l="1"/>
  <c r="I5" i="10" s="1"/>
  <c r="D6" i="10" l="1"/>
  <c r="C6" i="10"/>
  <c r="B6" i="10"/>
  <c r="B5" i="10" s="1"/>
  <c r="D5" i="10"/>
  <c r="C5" i="10"/>
</calcChain>
</file>

<file path=xl/sharedStrings.xml><?xml version="1.0" encoding="utf-8"?>
<sst xmlns="http://schemas.openxmlformats.org/spreadsheetml/2006/main" count="22" uniqueCount="22">
  <si>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</si>
  <si>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</si>
  <si>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</si>
  <si>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</si>
  <si>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</si>
  <si>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</si>
  <si>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</si>
  <si>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</si>
  <si>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</si>
  <si>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</si>
  <si>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</si>
  <si>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</si>
  <si>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</si>
  <si>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</si>
  <si>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</si>
  <si>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</si>
  <si>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</si>
  <si>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</si>
  <si>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%change over 2019</t>
  </si>
  <si>
    <t>Table 8.10:  ASSAULT CASES LOGGED BY TYPE, 2016 - 2020</t>
  </si>
  <si>
    <t>ތާވަލު 8.10: ހުށަހެޅިފައިވާ މާރާމާރީގެ މައްސަލަތައް، 2016- 2020</t>
  </si>
  <si>
    <t>އިންސައްތަ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</si>
</sst>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9" fillId="0" borderId="9" applyNumberFormat="0" applyFill="0" applyAlignment="0" applyProtection="0"/>
    <xf numFmtId="0" fontId="28" fillId="0" borderId="0"/>
    <xf numFmtId="0" fontId="28" fillId="0" borderId="0"/>
  </cellStyleXfs>
  <cellXfs count="54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Border="1" applyAlignment="1" applyProtection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17" fillId="2" borderId="0" xfId="0" applyNumberFormat="1" applyFont="1" applyFill="1"/>
    <xf numFmtId="164" fontId="19" fillId="2" borderId="5" xfId="0" applyNumberFormat="1" applyFont="1" applyFill="1" applyBorder="1" applyAlignment="1" applyProtection="1">
      <alignment vertical="center"/>
    </xf>
    <xf numFmtId="164" fontId="15" fillId="2" borderId="0" xfId="0" applyNumberFormat="1" applyFont="1" applyFill="1" applyBorder="1"/>
    <xf numFmtId="164" fontId="23" fillId="2" borderId="0" xfId="0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25" fillId="2" borderId="0" xfId="0" applyNumberFormat="1" applyFont="1" applyFill="1" applyAlignment="1">
      <alignment vertical="center"/>
    </xf>
    <xf numFmtId="164" fontId="14" fillId="2" borderId="0" xfId="0" applyNumberFormat="1" applyFont="1" applyFill="1" applyBorder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6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3" fontId="16" fillId="2" borderId="0" xfId="0" applyNumberFormat="1" applyFont="1" applyFill="1" applyBorder="1" applyAlignment="1">
      <alignment horizontal="right" vertical="center" indent="4"/>
    </xf>
    <xf numFmtId="3" fontId="16" fillId="2" borderId="0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7" fillId="2" borderId="0" xfId="0" applyNumberFormat="1" applyFont="1" applyFill="1"/>
    <xf numFmtId="164" fontId="13" fillId="2" borderId="0" xfId="0" applyNumberFormat="1" applyFont="1" applyFill="1" applyBorder="1" applyAlignment="1">
      <alignment vertical="center"/>
    </xf>
    <xf numFmtId="3" fontId="13" fillId="2" borderId="0" xfId="1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/>
    <xf numFmtId="164" fontId="7" fillId="2" borderId="7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3" fontId="16" fillId="2" borderId="8" xfId="0" applyNumberFormat="1" applyFont="1" applyFill="1" applyBorder="1" applyAlignment="1">
      <alignment vertical="center"/>
    </xf>
    <xf numFmtId="164" fontId="30" fillId="2" borderId="5" xfId="0" applyNumberFormat="1" applyFont="1" applyFill="1" applyBorder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 indent="4"/>
    </xf>
    <xf numFmtId="3" fontId="16" fillId="2" borderId="7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10" xfId="0" applyNumberFormat="1" applyFont="1" applyFill="1" applyBorder="1" applyAlignment="1">
      <alignment horizontal="center" vertical="top"/>
    </xf>
    <xf numFmtId="164" fontId="24" fillId="2" borderId="3" xfId="0" applyNumberFormat="1" applyFont="1" applyFill="1" applyBorder="1" applyAlignment="1" applyProtection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vertical="center"/>
    </xf>
  </cellXfs>
  <cellStyles count="9">
    <cellStyle name="1" xfId="8"/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'8.10'!$C$3:$C$4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'8.10'!$C$7:$C$9</c:f>
              <c:numCache>
                <c:formatCode>General</c:formatCode>
                <c:ptCount val="3"/>
                <c:pt idx="0">
                  <c:v>17</c:v>
                </c:pt>
                <c:pt idx="1">
                  <c:v>34</c:v>
                </c:pt>
                <c:pt idx="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'8.10'!$D$3:$D$4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'8.10'!$D$7:$D$9</c:f>
              <c:numCache>
                <c:formatCode>General</c:formatCode>
                <c:ptCount val="3"/>
                <c:pt idx="0">
                  <c:v>26</c:v>
                </c:pt>
                <c:pt idx="1">
                  <c:v>48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'8.10'!$E$3:$E$4</c:f>
              <c:strCache>
                <c:ptCount val="2"/>
                <c:pt idx="0">
                  <c:v>2019 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'8.10'!$E$7:$E$9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ser>
          <c:idx val="3"/>
          <c:order val="3"/>
          <c:tx>
            <c:strRef>
              <c:f>'8.10'!$F$3:$F$4</c:f>
              <c:strCache>
                <c:ptCount val="2"/>
                <c:pt idx="0">
                  <c:v>2020 </c:v>
                </c:pt>
              </c:strCache>
            </c:strRef>
          </c:tx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'8.10'!$F$7:$F$9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2-490F-A8F8-D981B02BD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rgbClr val="FAF5F0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31463015858788113"/>
          <c:h val="8.5416044230644222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0844843706820023"/>
                  <c:y val="-0.218057919273976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('8.10'!$H$6,'8.10'!$H$10)</c:f>
              <c:numCache>
                <c:formatCode>#,##0</c:formatCode>
                <c:ptCount val="2"/>
                <c:pt idx="0">
                  <c:v>22.844175491679273</c:v>
                </c:pt>
                <c:pt idx="1">
                  <c:v>77.15582450832072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(2019)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'8.10'!$I$7:$I$9</c:f>
              <c:numCache>
                <c:formatCode>#,##0</c:formatCode>
                <c:ptCount val="3"/>
                <c:pt idx="0">
                  <c:v>100</c:v>
                </c:pt>
                <c:pt idx="1">
                  <c:v>-56.25</c:v>
                </c:pt>
                <c:pt idx="2">
                  <c:v>21.100917431192663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185088"/>
        <c:axId val="44186624"/>
      </c:barChart>
      <c:catAx>
        <c:axId val="441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rgbClr val="0066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6624"/>
        <c:crosses val="autoZero"/>
        <c:auto val="1"/>
        <c:lblAlgn val="ctr"/>
        <c:lblOffset val="100"/>
        <c:noMultiLvlLbl val="0"/>
      </c:catAx>
      <c:valAx>
        <c:axId val="44186624"/>
        <c:scaling>
          <c:orientation val="minMax"/>
          <c:max val="100"/>
          <c:min val="-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0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9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9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219076</xdr:colOff>
      <xdr:row>28</xdr:row>
      <xdr:rowOff>117146</xdr:rowOff>
    </xdr:from>
    <xdr:to>
      <xdr:col>8</xdr:col>
      <xdr:colOff>695326</xdr:colOff>
      <xdr:row>30</xdr:row>
      <xdr:rowOff>28273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781176" y="6479846"/>
          <a:ext cx="4210050" cy="292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2020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9</xdr:col>
      <xdr:colOff>628649</xdr:colOff>
      <xdr:row>59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/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0.26804</cdr:x>
      <cdr:y>0.05224</cdr:y>
    </cdr:from>
    <cdr:to>
      <cdr:x>0.77075</cdr:x>
      <cdr:y>0.14035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63685" y="144183"/>
          <a:ext cx="3307718" cy="243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2016 - 2020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1:Q45"/>
  <sheetViews>
    <sheetView tabSelected="1" zoomScale="98" zoomScaleNormal="98" workbookViewId="0">
      <selection activeCell="N9" sqref="N9"/>
    </sheetView>
  </sheetViews>
  <sheetFormatPr defaultColWidth="15.42578125" defaultRowHeight="15"/>
  <cols>
    <col min="1" max="1" width="23.42578125" style="1" customWidth="1"/>
    <col min="2" max="6" width="10.85546875" style="1" customWidth="1"/>
    <col min="7" max="7" width="1" style="1" customWidth="1"/>
    <col min="8" max="8" width="11.5703125" style="1" customWidth="1"/>
    <col min="9" max="9" width="17.42578125" style="1" customWidth="1"/>
    <col min="10" max="10" width="21.140625" style="1" customWidth="1"/>
    <col min="11" max="11" width="3" style="1" customWidth="1"/>
    <col min="12" max="12" width="22.140625" style="1" bestFit="1" customWidth="1"/>
    <col min="13" max="16384" width="15.42578125" style="1"/>
  </cols>
  <sheetData>
    <row r="1" spans="1:16" ht="18.75">
      <c r="A1" s="53" t="s">
        <v>20</v>
      </c>
      <c r="B1" s="53"/>
      <c r="C1" s="53"/>
      <c r="D1" s="53"/>
      <c r="E1" s="53"/>
      <c r="F1" s="53"/>
      <c r="G1" s="53"/>
      <c r="H1" s="53"/>
      <c r="I1" s="53"/>
      <c r="J1" s="53"/>
    </row>
    <row r="2" spans="1:16" ht="21.75" customHeight="1">
      <c r="A2" s="46" t="s">
        <v>19</v>
      </c>
      <c r="B2" s="46"/>
      <c r="C2" s="46"/>
      <c r="D2" s="46"/>
      <c r="E2" s="47"/>
      <c r="F2" s="47"/>
      <c r="G2" s="46"/>
      <c r="H2" s="46"/>
      <c r="I2" s="46"/>
      <c r="J2" s="46"/>
      <c r="L2" s="2"/>
    </row>
    <row r="3" spans="1:16" ht="51.75">
      <c r="A3" s="51" t="s">
        <v>4</v>
      </c>
      <c r="B3" s="49">
        <v>2016</v>
      </c>
      <c r="C3" s="49">
        <v>2017</v>
      </c>
      <c r="D3" s="49">
        <v>2018</v>
      </c>
      <c r="E3" s="49">
        <v>2019</v>
      </c>
      <c r="F3" s="49">
        <v>2020</v>
      </c>
      <c r="G3" s="43"/>
      <c r="H3" s="37" t="s">
        <v>21</v>
      </c>
      <c r="I3" s="42" t="s">
        <v>6</v>
      </c>
      <c r="J3" s="48" t="s">
        <v>5</v>
      </c>
      <c r="M3" s="3"/>
      <c r="N3" s="3"/>
      <c r="O3" s="3"/>
      <c r="P3" s="3"/>
    </row>
    <row r="4" spans="1:16" ht="24">
      <c r="A4" s="52"/>
      <c r="B4" s="50"/>
      <c r="C4" s="50"/>
      <c r="D4" s="50"/>
      <c r="E4" s="50"/>
      <c r="F4" s="50"/>
      <c r="G4" s="44"/>
      <c r="H4" s="36" t="s">
        <v>7</v>
      </c>
      <c r="I4" s="21" t="s">
        <v>18</v>
      </c>
      <c r="J4" s="45"/>
      <c r="M4" s="3"/>
      <c r="N4" s="3"/>
      <c r="O4" s="3"/>
      <c r="P4" s="3"/>
    </row>
    <row r="5" spans="1:16" s="15" customFormat="1" ht="18.75">
      <c r="A5" s="5" t="s">
        <v>0</v>
      </c>
      <c r="B5" s="22">
        <f t="shared" ref="B5:D5" si="0">B6+B10</f>
        <v>781</v>
      </c>
      <c r="C5" s="22">
        <f t="shared" si="0"/>
        <v>770</v>
      </c>
      <c r="D5" s="22">
        <f t="shared" si="0"/>
        <v>753</v>
      </c>
      <c r="E5" s="22">
        <f t="shared" ref="E5:F5" si="1">E6+E10</f>
        <v>631</v>
      </c>
      <c r="F5" s="22">
        <f t="shared" si="1"/>
        <v>661</v>
      </c>
      <c r="G5" s="22"/>
      <c r="H5" s="38">
        <f>F5/F$5*100</f>
        <v>100</v>
      </c>
      <c r="I5" s="28">
        <f>((F5-E5)/E5*100)</f>
        <v>4.7543581616481774</v>
      </c>
      <c r="J5" s="24" t="s">
        <v>3</v>
      </c>
      <c r="K5" s="26"/>
      <c r="L5" s="22"/>
      <c r="M5" s="16"/>
      <c r="N5" s="16"/>
      <c r="O5" s="16"/>
      <c r="P5" s="16"/>
    </row>
    <row r="6" spans="1:16" s="15" customFormat="1" ht="18.75">
      <c r="A6" s="5" t="s">
        <v>8</v>
      </c>
      <c r="B6" s="6">
        <f t="shared" ref="B6" si="2">SUM(B7:B9)</f>
        <v>215</v>
      </c>
      <c r="C6" s="6">
        <f t="shared" ref="C6:D6" si="3">SUM(C7:C9)</f>
        <v>219</v>
      </c>
      <c r="D6" s="6">
        <f t="shared" si="3"/>
        <v>223</v>
      </c>
      <c r="E6" s="6">
        <f t="shared" ref="E6:F6" si="4">SUM(E7:E9)</f>
        <v>131</v>
      </c>
      <c r="F6" s="6">
        <f t="shared" si="4"/>
        <v>151</v>
      </c>
      <c r="G6" s="6"/>
      <c r="H6" s="38">
        <f t="shared" ref="H6:H9" si="5">F6/F$5*100</f>
        <v>22.844175491679273</v>
      </c>
      <c r="I6" s="28">
        <f>((F6-E6)/E6*100)</f>
        <v>15.267175572519085</v>
      </c>
      <c r="J6" s="24" t="s">
        <v>9</v>
      </c>
      <c r="K6" s="6"/>
      <c r="L6" s="6"/>
      <c r="M6" s="16"/>
      <c r="N6" s="16"/>
      <c r="O6" s="16"/>
      <c r="P6" s="16"/>
    </row>
    <row r="7" spans="1:16" s="20" customFormat="1" ht="18.75">
      <c r="A7" s="17" t="s">
        <v>10</v>
      </c>
      <c r="B7" s="27">
        <v>22</v>
      </c>
      <c r="C7" s="27">
        <v>17</v>
      </c>
      <c r="D7" s="27">
        <v>26</v>
      </c>
      <c r="E7" s="27">
        <v>6</v>
      </c>
      <c r="F7" s="27">
        <v>12</v>
      </c>
      <c r="G7" s="27"/>
      <c r="H7" s="38">
        <f t="shared" si="5"/>
        <v>1.8154311649016641</v>
      </c>
      <c r="I7" s="28">
        <f>((F7-E7)/E7*100)</f>
        <v>100</v>
      </c>
      <c r="J7" s="8" t="s">
        <v>11</v>
      </c>
      <c r="K7" s="29"/>
      <c r="L7" s="23"/>
      <c r="M7" s="16"/>
      <c r="N7" s="18"/>
      <c r="O7" s="18"/>
      <c r="P7" s="18"/>
    </row>
    <row r="8" spans="1:16" s="20" customFormat="1" ht="18.75">
      <c r="A8" s="17" t="s">
        <v>12</v>
      </c>
      <c r="B8" s="27">
        <v>24</v>
      </c>
      <c r="C8" s="27">
        <v>34</v>
      </c>
      <c r="D8" s="27">
        <v>48</v>
      </c>
      <c r="E8" s="27">
        <v>16</v>
      </c>
      <c r="F8" s="27">
        <v>7</v>
      </c>
      <c r="G8" s="27"/>
      <c r="H8" s="38">
        <f t="shared" si="5"/>
        <v>1.059001512859304</v>
      </c>
      <c r="I8" s="28">
        <f>((F8-E8)/E8*100)</f>
        <v>-56.25</v>
      </c>
      <c r="J8" s="8" t="s">
        <v>13</v>
      </c>
      <c r="K8" s="29"/>
      <c r="L8" s="29"/>
      <c r="M8" s="16"/>
      <c r="N8" s="18"/>
      <c r="O8" s="18"/>
      <c r="P8" s="18"/>
    </row>
    <row r="9" spans="1:16" s="20" customFormat="1" ht="18.75">
      <c r="A9" s="17" t="s">
        <v>14</v>
      </c>
      <c r="B9" s="27">
        <v>169</v>
      </c>
      <c r="C9" s="27">
        <v>168</v>
      </c>
      <c r="D9" s="27">
        <v>149</v>
      </c>
      <c r="E9" s="27">
        <v>109</v>
      </c>
      <c r="F9" s="27">
        <v>132</v>
      </c>
      <c r="G9" s="27"/>
      <c r="H9" s="38">
        <f t="shared" si="5"/>
        <v>19.969742813918305</v>
      </c>
      <c r="I9" s="28">
        <f>((F9-E9)/E9*100)</f>
        <v>21.100917431192663</v>
      </c>
      <c r="J9" s="8" t="s">
        <v>15</v>
      </c>
      <c r="K9" s="29"/>
      <c r="L9" s="29"/>
      <c r="M9" s="16"/>
      <c r="N9" s="18"/>
      <c r="O9" s="18"/>
      <c r="P9" s="18"/>
    </row>
    <row r="10" spans="1:16" s="31" customFormat="1" ht="18.75">
      <c r="A10" s="4" t="s">
        <v>16</v>
      </c>
      <c r="B10" s="25">
        <v>566</v>
      </c>
      <c r="C10" s="25">
        <v>551</v>
      </c>
      <c r="D10" s="25">
        <v>530</v>
      </c>
      <c r="E10" s="25">
        <v>500</v>
      </c>
      <c r="F10" s="25">
        <v>510</v>
      </c>
      <c r="G10" s="25"/>
      <c r="H10" s="41">
        <f>F10/F$5*100</f>
        <v>77.15582450832072</v>
      </c>
      <c r="I10" s="40">
        <f t="shared" ref="I10" si="6">((F10-E10)/E10*100)</f>
        <v>2</v>
      </c>
      <c r="J10" s="30" t="s">
        <v>17</v>
      </c>
      <c r="K10" s="6"/>
      <c r="L10" s="6"/>
      <c r="M10" s="16"/>
      <c r="N10" s="16"/>
      <c r="O10" s="16"/>
      <c r="P10" s="16"/>
    </row>
    <row r="11" spans="1:16">
      <c r="A11" s="12" t="s">
        <v>1</v>
      </c>
      <c r="B11" s="11"/>
      <c r="C11" s="11"/>
      <c r="D11" s="11"/>
      <c r="E11" s="11"/>
      <c r="F11" s="11"/>
      <c r="G11" s="11"/>
      <c r="H11" s="11"/>
      <c r="I11" s="11"/>
      <c r="J11" s="39" t="s">
        <v>2</v>
      </c>
      <c r="L11" s="10"/>
      <c r="M11" s="3"/>
      <c r="N11" s="3"/>
      <c r="O11" s="3"/>
      <c r="P11" s="3"/>
    </row>
    <row r="12" spans="1:16">
      <c r="L12" s="10"/>
      <c r="M12" s="3"/>
      <c r="N12" s="3"/>
      <c r="O12" s="3"/>
      <c r="P12" s="3"/>
    </row>
    <row r="13" spans="1:16">
      <c r="A13" s="19"/>
      <c r="L13" s="10"/>
      <c r="M13" s="3"/>
      <c r="N13" s="3"/>
      <c r="O13" s="3"/>
      <c r="P13" s="3"/>
    </row>
    <row r="14" spans="1:16">
      <c r="L14" s="10"/>
      <c r="M14" s="3"/>
      <c r="N14" s="3"/>
      <c r="O14" s="3"/>
      <c r="P14" s="3"/>
    </row>
    <row r="15" spans="1:16">
      <c r="L15" s="10"/>
      <c r="M15" s="3"/>
      <c r="N15" s="3"/>
      <c r="O15" s="3"/>
      <c r="P15" s="3"/>
    </row>
    <row r="16" spans="1:16">
      <c r="M16" s="3"/>
      <c r="N16" s="3"/>
      <c r="O16" s="3"/>
      <c r="P16" s="3"/>
    </row>
    <row r="17" spans="1:16">
      <c r="M17" s="3"/>
      <c r="N17" s="3"/>
      <c r="O17" s="3"/>
      <c r="P17" s="3"/>
    </row>
    <row r="18" spans="1:16" ht="17.25">
      <c r="A18" s="13"/>
      <c r="B18" s="7"/>
      <c r="C18" s="7"/>
      <c r="D18" s="7"/>
      <c r="E18" s="7"/>
      <c r="F18" s="7"/>
      <c r="G18" s="7"/>
      <c r="H18" s="7"/>
      <c r="I18" s="9"/>
      <c r="J18" s="14"/>
      <c r="M18" s="3"/>
      <c r="N18" s="3"/>
      <c r="O18" s="3"/>
      <c r="P18" s="3"/>
    </row>
    <row r="19" spans="1:16">
      <c r="M19" s="3"/>
      <c r="N19" s="3"/>
      <c r="O19" s="3"/>
      <c r="P19" s="3"/>
    </row>
    <row r="20" spans="1:16">
      <c r="M20" s="3"/>
      <c r="N20" s="3"/>
      <c r="O20" s="3"/>
      <c r="P20" s="3"/>
    </row>
    <row r="27" spans="1:16">
      <c r="K27" s="32"/>
      <c r="L27" s="32"/>
      <c r="M27" s="32"/>
    </row>
    <row r="28" spans="1:16">
      <c r="K28" s="15"/>
      <c r="L28" s="15"/>
      <c r="M28" s="32"/>
    </row>
    <row r="29" spans="1:16">
      <c r="K29" s="15"/>
      <c r="L29" s="15"/>
      <c r="M29" s="32"/>
    </row>
    <row r="30" spans="1:16">
      <c r="K30" s="15"/>
      <c r="L30" s="15"/>
      <c r="M30" s="32"/>
    </row>
    <row r="31" spans="1:16">
      <c r="K31" s="15"/>
      <c r="L31" s="15"/>
      <c r="M31" s="32"/>
    </row>
    <row r="32" spans="1:16">
      <c r="K32" s="15"/>
      <c r="L32" s="15"/>
      <c r="M32" s="32"/>
    </row>
    <row r="33" spans="11:17">
      <c r="K33" s="15"/>
      <c r="L33" s="15"/>
      <c r="M33" s="32"/>
    </row>
    <row r="34" spans="11:17">
      <c r="N34" s="33"/>
      <c r="O34" s="34"/>
      <c r="P34" s="32"/>
    </row>
    <row r="35" spans="11:17">
      <c r="N35" s="33"/>
      <c r="O35" s="34"/>
      <c r="P35" s="35"/>
      <c r="Q35" s="10"/>
    </row>
    <row r="36" spans="11:17">
      <c r="K36" s="32"/>
      <c r="L36" s="32"/>
      <c r="M36" s="32"/>
      <c r="O36" s="5"/>
      <c r="P36" s="6"/>
      <c r="Q36" s="10"/>
    </row>
    <row r="37" spans="11:17">
      <c r="K37" s="32"/>
      <c r="L37" s="32"/>
      <c r="M37" s="32"/>
      <c r="O37" s="10"/>
      <c r="P37" s="10"/>
      <c r="Q37" s="10"/>
    </row>
    <row r="38" spans="11:17">
      <c r="K38" s="32"/>
      <c r="L38" s="32"/>
      <c r="M38" s="32"/>
      <c r="O38" s="10"/>
      <c r="P38" s="10"/>
      <c r="Q38" s="10"/>
    </row>
    <row r="39" spans="11:17">
      <c r="K39" s="32"/>
      <c r="L39" s="32"/>
      <c r="M39" s="32"/>
      <c r="O39" s="10"/>
      <c r="P39" s="10"/>
      <c r="Q39" s="10"/>
    </row>
    <row r="40" spans="11:17">
      <c r="K40" s="32"/>
      <c r="L40" s="32"/>
      <c r="M40" s="32"/>
      <c r="O40" s="10"/>
      <c r="P40" s="10"/>
      <c r="Q40" s="10"/>
    </row>
    <row r="41" spans="11:17">
      <c r="O41" s="10"/>
      <c r="P41" s="10"/>
      <c r="Q41" s="10"/>
    </row>
    <row r="42" spans="11:17">
      <c r="O42" s="10"/>
      <c r="P42" s="10"/>
      <c r="Q42" s="10"/>
    </row>
    <row r="43" spans="11:17">
      <c r="O43" s="10"/>
      <c r="P43" s="10"/>
      <c r="Q43" s="10"/>
    </row>
    <row r="44" spans="11:17">
      <c r="O44" s="10"/>
      <c r="P44" s="10"/>
      <c r="Q44" s="10"/>
    </row>
    <row r="45" spans="11:17">
      <c r="O45" s="10"/>
      <c r="P45" s="10"/>
      <c r="Q45" s="10"/>
    </row>
  </sheetData>
  <mergeCells count="9">
    <mergeCell ref="D3:D4"/>
    <mergeCell ref="J3:J4"/>
    <mergeCell ref="A1:J1"/>
    <mergeCell ref="A2:J2"/>
    <mergeCell ref="A3:A4"/>
    <mergeCell ref="B3:B4"/>
    <mergeCell ref="C3:C4"/>
    <mergeCell ref="E3:E4"/>
    <mergeCell ref="F3:F4"/>
  </mergeCells>
  <pageMargins left="0.7" right="0.7" top="0.75" bottom="0.75" header="0.3" footer="0.3"/>
  <pageSetup scale="62" orientation="portrait" r:id="rId1"/>
  <colBreaks count="1" manualBreakCount="1">
    <brk id="11" max="1048575" man="1"/>
  </colBreaks>
  <ignoredErrors>
    <ignoredError sqref="B6:E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2021-09-28T03:08:11Z</cp:lastPrinted>
  <dcterms:created xsi:type="dcterms:W3CDTF">2019-06-30T04:22:49Z</dcterms:created>
  <dcterms:modified xsi:type="dcterms:W3CDTF">2021-09-28T03:08:23Z</dcterms:modified>
</cp:coreProperties>
</file>