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9" sheetId="18" r:id="rId1"/>
  </sheets>
  <definedNames>
    <definedName name="_xlnm.Print_Area" localSheetId="0">'8.19'!$A$1:$R$56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" i="18" l="1"/>
  <c r="N32" i="18"/>
  <c r="N31" i="18"/>
  <c r="N30" i="18"/>
  <c r="N29" i="18"/>
  <c r="N28" i="18"/>
  <c r="N27" i="18"/>
  <c r="N26" i="18"/>
  <c r="N25" i="18"/>
  <c r="N24" i="18"/>
  <c r="N23" i="18"/>
  <c r="N22" i="18"/>
  <c r="N21" i="18"/>
  <c r="P20" i="18"/>
  <c r="P8" i="18" s="1"/>
  <c r="O20" i="18"/>
  <c r="O8" i="18" s="1"/>
  <c r="L20" i="18"/>
  <c r="L8" i="18" s="1"/>
  <c r="N19" i="18"/>
  <c r="N18" i="18"/>
  <c r="N17" i="18"/>
  <c r="N16" i="18"/>
  <c r="N15" i="18"/>
  <c r="N14" i="18"/>
  <c r="N13" i="18"/>
  <c r="N12" i="18"/>
  <c r="N11" i="18"/>
  <c r="N10" i="18"/>
  <c r="N9" i="18"/>
  <c r="N20" i="18" l="1"/>
  <c r="N8" i="18"/>
  <c r="I22" i="18" l="1"/>
  <c r="I23" i="18"/>
  <c r="I24" i="18"/>
  <c r="I25" i="18"/>
  <c r="I26" i="18"/>
  <c r="I27" i="18"/>
  <c r="I28" i="18"/>
  <c r="I29" i="18"/>
  <c r="I30" i="18"/>
  <c r="I31" i="18"/>
  <c r="I32" i="18"/>
  <c r="I33" i="18"/>
  <c r="I21" i="18"/>
  <c r="I10" i="18"/>
  <c r="I11" i="18"/>
  <c r="I12" i="18"/>
  <c r="I13" i="18"/>
  <c r="I14" i="18"/>
  <c r="I15" i="18"/>
  <c r="I16" i="18"/>
  <c r="I17" i="18"/>
  <c r="I18" i="18"/>
  <c r="I19" i="18"/>
  <c r="I9" i="18"/>
  <c r="I20" i="18" l="1"/>
  <c r="G20" i="18" l="1"/>
  <c r="G8" i="18" s="1"/>
  <c r="J20" i="18"/>
  <c r="J8" i="18" s="1"/>
  <c r="K20" i="18"/>
  <c r="K8" i="18" s="1"/>
  <c r="I8" i="18" l="1"/>
  <c r="D33" i="18" l="1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F8" i="18"/>
  <c r="E8" i="18"/>
  <c r="B8" i="18"/>
  <c r="D8" i="18" l="1"/>
</calcChain>
</file>

<file path=xl/sharedStrings.xml><?xml version="1.0" encoding="utf-8"?>
<sst xmlns="http://schemas.openxmlformats.org/spreadsheetml/2006/main" count="86" uniqueCount="66">
  <si>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</si>
  <si>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</si>
  <si>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</si>
  <si>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</si>
  <si>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</si>
  <si>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</si>
  <si>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</si>
  <si>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</si>
  <si>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</si>
  <si>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</si>
  <si>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</si>
  <si>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</si>
  <si>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</si>
  <si>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</si>
  <si>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</si>
  <si>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</si>
  <si>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</si>
  <si>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</si>
  <si>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</si>
  <si>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</si>
  <si>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</si>
  <si>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</si>
  <si>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</si>
  <si>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</si>
  <si>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</si>
  <si>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</si>
  <si>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</si>
  <si>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</si>
  <si>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</si>
  <si>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</si>
  <si>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</si>
  <si>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</si>
  <si>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</si>
  <si>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</si>
  <si>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</si>
  <si>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</si>
  <si>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</si>
  <si>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</si>
  <si>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</si>
  <si>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</si>
  <si>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</si>
  <si>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</si>
  <si>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</si>
  <si>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</si>
  <si>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</si>
  <si>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</si>
  <si>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</si>
  <si>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</si>
  <si>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</si>
  <si>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</si>
  <si>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</si>
  <si>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</si>
  <si>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</si>
  <si>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</si>
  <si>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</si>
  <si>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</si>
  <si>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</si>
  <si>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</si>
  <si>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</si>
  <si>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</si>
  <si>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</si>
  <si>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</si>
  <si>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</si>
  <si>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</si>
  <si>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 xml:space="preserve">2020 - 2018 ،ތާވަލު 8.19: ހުށަހެޅިފައިވާ މައްސަލަތަކުގައި އަނިޔާލިބިފައިވާ މީހުން  </t>
  </si>
  <si>
    <t>Table 8.19: NUMBER OF VICTIMS BY TYPE OF OFFENCE AND SEX,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</si>
</sst>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0"/>
    <numFmt numFmtId="170" formatCode="#,##0;[Red]#,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10" fillId="0" borderId="0"/>
    <xf numFmtId="0" fontId="25" fillId="0" borderId="32" applyNumberFormat="0" applyFill="0" applyAlignment="0" applyProtection="0"/>
    <xf numFmtId="0" fontId="22" fillId="0" borderId="0"/>
    <xf numFmtId="0" fontId="22" fillId="0" borderId="0"/>
  </cellStyleXfs>
  <cellXfs count="86">
    <xf numFmtId="0" fontId="0" fillId="0" borderId="0" xfId="0"/>
    <xf numFmtId="164" fontId="7" fillId="2" borderId="0" xfId="0" applyNumberFormat="1" applyFont="1" applyFill="1" applyBorder="1" applyAlignment="1">
      <alignment horizontal="left" vertical="center" indent="2"/>
    </xf>
    <xf numFmtId="164" fontId="7" fillId="2" borderId="1" xfId="0" applyNumberFormat="1" applyFont="1" applyFill="1" applyBorder="1" applyAlignment="1">
      <alignment horizontal="left" vertical="center" indent="2"/>
    </xf>
    <xf numFmtId="0" fontId="2" fillId="2" borderId="0" xfId="0" applyNumberFormat="1" applyFont="1" applyFill="1" applyBorder="1" applyAlignment="1">
      <alignment vertical="center"/>
    </xf>
    <xf numFmtId="0" fontId="19" fillId="2" borderId="0" xfId="0" applyNumberFormat="1" applyFont="1" applyFill="1" applyBorder="1"/>
    <xf numFmtId="0" fontId="19" fillId="2" borderId="0" xfId="0" applyNumberFormat="1" applyFont="1" applyFill="1"/>
    <xf numFmtId="0" fontId="6" fillId="2" borderId="0" xfId="0" applyNumberFormat="1" applyFont="1" applyFill="1" applyBorder="1"/>
    <xf numFmtId="0" fontId="6" fillId="2" borderId="0" xfId="0" applyNumberFormat="1" applyFont="1" applyFill="1"/>
    <xf numFmtId="0" fontId="4" fillId="2" borderId="10" xfId="0" applyNumberFormat="1" applyFont="1" applyFill="1" applyBorder="1"/>
    <xf numFmtId="0" fontId="4" fillId="2" borderId="15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/>
    <xf numFmtId="0" fontId="4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8" fillId="2" borderId="6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/>
    <xf numFmtId="0" fontId="8" fillId="2" borderId="0" xfId="0" applyNumberFormat="1" applyFont="1" applyFill="1"/>
    <xf numFmtId="0" fontId="14" fillId="2" borderId="4" xfId="0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horizontal="right" vertical="center" wrapText="1"/>
    </xf>
    <xf numFmtId="0" fontId="13" fillId="2" borderId="5" xfId="0" applyNumberFormat="1" applyFont="1" applyFill="1" applyBorder="1" applyAlignment="1">
      <alignment vertical="center"/>
    </xf>
    <xf numFmtId="167" fontId="8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4" fillId="2" borderId="9" xfId="0" applyNumberFormat="1" applyFont="1" applyFill="1" applyBorder="1" applyAlignment="1">
      <alignment horizontal="lef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167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Alignment="1">
      <alignment vertical="top"/>
    </xf>
    <xf numFmtId="0" fontId="4" fillId="2" borderId="0" xfId="0" applyNumberFormat="1" applyFont="1" applyFill="1" applyBorder="1" applyAlignment="1">
      <alignment vertical="top"/>
    </xf>
    <xf numFmtId="0" fontId="4" fillId="2" borderId="9" xfId="0" applyNumberFormat="1" applyFont="1" applyFill="1" applyBorder="1"/>
    <xf numFmtId="164" fontId="7" fillId="2" borderId="0" xfId="0" applyNumberFormat="1" applyFont="1" applyFill="1" applyBorder="1" applyAlignment="1">
      <alignment horizontal="left" vertical="center" wrapText="1" indent="2"/>
    </xf>
    <xf numFmtId="0" fontId="4" fillId="2" borderId="14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/>
    <xf numFmtId="0" fontId="12" fillId="2" borderId="5" xfId="0" applyNumberFormat="1" applyFont="1" applyFill="1" applyBorder="1" applyAlignment="1">
      <alignment vertical="top"/>
    </xf>
    <xf numFmtId="0" fontId="14" fillId="2" borderId="3" xfId="0" applyNumberFormat="1" applyFont="1" applyFill="1" applyBorder="1" applyAlignment="1">
      <alignment horizontal="right" vertical="center" wrapText="1"/>
    </xf>
    <xf numFmtId="0" fontId="8" fillId="2" borderId="2" xfId="0" applyNumberFormat="1" applyFont="1" applyFill="1" applyBorder="1" applyAlignment="1">
      <alignment horizontal="left" vertical="center"/>
    </xf>
    <xf numFmtId="170" fontId="3" fillId="2" borderId="7" xfId="1" applyNumberFormat="1" applyFont="1" applyFill="1" applyBorder="1" applyAlignment="1">
      <alignment horizontal="right" vertical="center"/>
    </xf>
    <xf numFmtId="170" fontId="3" fillId="2" borderId="0" xfId="1" applyNumberFormat="1" applyFont="1" applyFill="1" applyBorder="1" applyAlignment="1">
      <alignment horizontal="right" vertical="center"/>
    </xf>
    <xf numFmtId="170" fontId="2" fillId="2" borderId="0" xfId="1" applyNumberFormat="1" applyFont="1" applyFill="1" applyBorder="1" applyAlignment="1">
      <alignment horizontal="right" vertical="center"/>
    </xf>
    <xf numFmtId="170" fontId="5" fillId="2" borderId="31" xfId="1" applyNumberFormat="1" applyFont="1" applyFill="1" applyBorder="1" applyAlignment="1">
      <alignment horizontal="right" vertical="center"/>
    </xf>
    <xf numFmtId="170" fontId="5" fillId="2" borderId="0" xfId="1" applyNumberFormat="1" applyFont="1" applyFill="1" applyBorder="1" applyAlignment="1">
      <alignment horizontal="right" vertical="center"/>
    </xf>
    <xf numFmtId="170" fontId="1" fillId="2" borderId="0" xfId="1" applyNumberFormat="1" applyFont="1" applyFill="1" applyBorder="1" applyAlignment="1">
      <alignment horizontal="right" vertical="center"/>
    </xf>
    <xf numFmtId="170" fontId="1" fillId="2" borderId="0" xfId="0" applyNumberFormat="1" applyFont="1" applyFill="1" applyBorder="1" applyAlignment="1">
      <alignment horizontal="right" vertical="center"/>
    </xf>
    <xf numFmtId="0" fontId="4" fillId="2" borderId="9" xfId="0" applyNumberFormat="1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left" vertical="center"/>
    </xf>
    <xf numFmtId="170" fontId="15" fillId="2" borderId="0" xfId="1" applyNumberFormat="1" applyFont="1" applyFill="1" applyBorder="1" applyAlignment="1">
      <alignment horizontal="right" vertical="center"/>
    </xf>
    <xf numFmtId="170" fontId="0" fillId="2" borderId="0" xfId="0" applyNumberFormat="1" applyFont="1" applyFill="1" applyBorder="1" applyAlignment="1">
      <alignment horizontal="right" vertical="center"/>
    </xf>
    <xf numFmtId="170" fontId="0" fillId="2" borderId="0" xfId="0" applyNumberFormat="1" applyFont="1" applyFill="1" applyBorder="1" applyAlignment="1">
      <alignment horizontal="right" vertical="top"/>
    </xf>
    <xf numFmtId="164" fontId="23" fillId="2" borderId="0" xfId="0" applyNumberFormat="1" applyFont="1" applyFill="1" applyBorder="1" applyAlignment="1" applyProtection="1">
      <alignment horizontal="right" vertical="center" indent="2"/>
    </xf>
    <xf numFmtId="170" fontId="0" fillId="2" borderId="9" xfId="0" applyNumberFormat="1" applyFont="1" applyFill="1" applyBorder="1" applyAlignment="1">
      <alignment horizontal="right" vertical="center"/>
    </xf>
    <xf numFmtId="170" fontId="5" fillId="2" borderId="1" xfId="1" applyNumberFormat="1" applyFont="1" applyFill="1" applyBorder="1" applyAlignment="1">
      <alignment horizontal="right" vertical="center"/>
    </xf>
    <xf numFmtId="170" fontId="0" fillId="2" borderId="11" xfId="0" applyNumberFormat="1" applyFont="1" applyFill="1" applyBorder="1" applyAlignment="1">
      <alignment horizontal="right" vertical="center"/>
    </xf>
    <xf numFmtId="170" fontId="0" fillId="2" borderId="1" xfId="0" applyNumberFormat="1" applyFont="1" applyFill="1" applyBorder="1" applyAlignment="1">
      <alignment horizontal="right" vertical="top"/>
    </xf>
    <xf numFmtId="164" fontId="23" fillId="2" borderId="1" xfId="0" applyNumberFormat="1" applyFont="1" applyFill="1" applyBorder="1" applyAlignment="1" applyProtection="1">
      <alignment horizontal="right" vertical="center" indent="2"/>
    </xf>
    <xf numFmtId="0" fontId="11" fillId="2" borderId="2" xfId="0" applyNumberFormat="1" applyFont="1" applyFill="1" applyBorder="1" applyAlignment="1">
      <alignment vertical="top"/>
    </xf>
    <xf numFmtId="164" fontId="26" fillId="2" borderId="8" xfId="0" applyNumberFormat="1" applyFont="1" applyFill="1" applyBorder="1" applyAlignment="1">
      <alignment horizontal="right" vertical="center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18" fillId="2" borderId="5" xfId="0" applyNumberFormat="1" applyFont="1" applyFill="1" applyBorder="1" applyAlignment="1">
      <alignment horizontal="center" vertical="center"/>
    </xf>
    <xf numFmtId="0" fontId="18" fillId="2" borderId="13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/>
    </xf>
    <xf numFmtId="0" fontId="2" fillId="2" borderId="14" xfId="0" applyNumberFormat="1" applyFont="1" applyFill="1" applyBorder="1" applyAlignment="1">
      <alignment horizontal="center"/>
    </xf>
    <xf numFmtId="0" fontId="8" fillId="2" borderId="26" xfId="0" applyNumberFormat="1" applyFont="1" applyFill="1" applyBorder="1" applyAlignment="1">
      <alignment horizontal="left" vertical="center" wrapText="1"/>
    </xf>
    <xf numFmtId="0" fontId="8" fillId="2" borderId="28" xfId="0" applyNumberFormat="1" applyFont="1" applyFill="1" applyBorder="1" applyAlignment="1">
      <alignment horizontal="left" vertical="center" wrapText="1"/>
    </xf>
    <xf numFmtId="0" fontId="8" fillId="2" borderId="30" xfId="0" applyNumberFormat="1" applyFont="1" applyFill="1" applyBorder="1" applyAlignment="1">
      <alignment horizontal="left" vertical="center" wrapText="1"/>
    </xf>
    <xf numFmtId="0" fontId="8" fillId="2" borderId="27" xfId="0" applyNumberFormat="1" applyFont="1" applyFill="1" applyBorder="1" applyAlignment="1">
      <alignment horizontal="center" vertical="center"/>
    </xf>
    <xf numFmtId="0" fontId="8" fillId="2" borderId="16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right" vertical="center"/>
    </xf>
    <xf numFmtId="0" fontId="14" fillId="2" borderId="24" xfId="0" applyNumberFormat="1" applyFont="1" applyFill="1" applyBorder="1" applyAlignment="1">
      <alignment horizontal="right" vertical="center"/>
    </xf>
    <xf numFmtId="0" fontId="20" fillId="2" borderId="21" xfId="0" applyNumberFormat="1" applyFont="1" applyFill="1" applyBorder="1" applyAlignment="1">
      <alignment horizontal="center" vertical="center"/>
    </xf>
    <xf numFmtId="0" fontId="8" fillId="2" borderId="18" xfId="0" applyNumberFormat="1" applyFont="1" applyFill="1" applyBorder="1" applyAlignment="1">
      <alignment horizontal="center" vertical="center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>
      <alignment horizontal="right" vertical="center" wrapText="1"/>
    </xf>
    <xf numFmtId="0" fontId="20" fillId="2" borderId="23" xfId="0" applyNumberFormat="1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29" xfId="0" applyNumberFormat="1" applyFont="1" applyFill="1" applyBorder="1" applyAlignment="1">
      <alignment horizontal="right" vertical="center" wrapText="1"/>
    </xf>
    <xf numFmtId="0" fontId="8" fillId="2" borderId="7" xfId="0" applyNumberFormat="1" applyFont="1" applyFill="1" applyBorder="1" applyAlignment="1">
      <alignment horizontal="right" vertical="center" wrapText="1"/>
    </xf>
    <xf numFmtId="0" fontId="20" fillId="2" borderId="22" xfId="0" applyNumberFormat="1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96954199053094"/>
          <c:y val="0.10195756145564937"/>
          <c:w val="0.4156977323172224"/>
          <c:h val="0.83949318625176872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8F87-4DC4-BCB2-6391FF6DC9C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8F87-4DC4-BCB2-6391FF6DC9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F87-4DC4-BCB2-6391FF6DC9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'8.19'!$O$6:$P$6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'8.19'!$O$8:$P$8</c:f>
              <c:numCache>
                <c:formatCode>#,##0;[Red]#,##0</c:formatCode>
                <c:ptCount val="2"/>
                <c:pt idx="0">
                  <c:v>1225</c:v>
                </c:pt>
                <c:pt idx="1">
                  <c:v>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87-4DC4-BCB2-6391FF6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34</xdr:row>
      <xdr:rowOff>28574</xdr:rowOff>
    </xdr:from>
    <xdr:to>
      <xdr:col>12</xdr:col>
      <xdr:colOff>95250</xdr:colOff>
      <xdr:row>51</xdr:row>
      <xdr:rowOff>123825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4C8F60E-1C27-4C3B-9A1E-532A731FB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34</xdr:row>
      <xdr:rowOff>95250</xdr:rowOff>
    </xdr:from>
    <xdr:to>
      <xdr:col>10</xdr:col>
      <xdr:colOff>285750</xdr:colOff>
      <xdr:row>36</xdr:row>
      <xdr:rowOff>0</xdr:rowOff>
    </xdr:to>
    <xdr:sp macro="" textlink="">
      <xdr:nvSpPr>
        <xdr:cNvPr id="4" name="TextBox 3"/>
        <xdr:cNvSpPr txBox="1"/>
      </xdr:nvSpPr>
      <xdr:spPr>
        <a:xfrm>
          <a:off x="5695950" y="8753475"/>
          <a:ext cx="3324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8.25: Percentage share of victims by sex, 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S548"/>
  <sheetViews>
    <sheetView tabSelected="1" topLeftCell="B1" zoomScaleNormal="100" workbookViewId="0">
      <selection activeCell="Y28" sqref="Y28"/>
    </sheetView>
  </sheetViews>
  <sheetFormatPr defaultColWidth="9.140625" defaultRowHeight="12.75"/>
  <cols>
    <col min="1" max="1" width="42.7109375" style="11" customWidth="1"/>
    <col min="2" max="2" width="11.42578125" style="11" customWidth="1"/>
    <col min="3" max="3" width="2" style="11" customWidth="1"/>
    <col min="4" max="6" width="12.28515625" style="11" customWidth="1"/>
    <col min="7" max="7" width="11.42578125" style="11" customWidth="1"/>
    <col min="8" max="8" width="2" style="11" customWidth="1"/>
    <col min="9" max="11" width="12.28515625" style="11" customWidth="1"/>
    <col min="12" max="12" width="11.42578125" style="11" customWidth="1"/>
    <col min="13" max="13" width="2" style="11" customWidth="1"/>
    <col min="14" max="16" width="12.28515625" style="11" customWidth="1"/>
    <col min="17" max="17" width="38.28515625" style="60" customWidth="1"/>
    <col min="18" max="18" width="2" style="10" customWidth="1"/>
    <col min="19" max="45" width="9.140625" style="10"/>
    <col min="46" max="16384" width="9.140625" style="11"/>
  </cols>
  <sheetData>
    <row r="1" spans="1:45" s="5" customFormat="1" ht="24.75" customHeight="1">
      <c r="A1" s="64" t="s">
        <v>64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s="7" customFormat="1" ht="14.25" customHeight="1">
      <c r="A2" s="66" t="s">
        <v>65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</row>
    <row r="4" spans="1:45" s="13" customFormat="1" ht="19.5" customHeight="1">
      <c r="A4" s="68" t="s">
        <v>51</v>
      </c>
      <c r="B4" s="72">
        <v>2018</v>
      </c>
      <c r="C4" s="72"/>
      <c r="D4" s="72"/>
      <c r="E4" s="72"/>
      <c r="F4" s="72"/>
      <c r="G4" s="71">
        <v>2019</v>
      </c>
      <c r="H4" s="72"/>
      <c r="I4" s="72"/>
      <c r="J4" s="72"/>
      <c r="K4" s="73"/>
      <c r="L4" s="72">
        <v>2020</v>
      </c>
      <c r="M4" s="72"/>
      <c r="N4" s="72"/>
      <c r="O4" s="72"/>
      <c r="P4" s="77"/>
      <c r="Q4" s="74" t="s">
        <v>52</v>
      </c>
      <c r="R4" s="8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 s="13" customFormat="1" ht="19.5" customHeight="1">
      <c r="A5" s="69"/>
      <c r="B5" s="78" t="s">
        <v>53</v>
      </c>
      <c r="C5" s="58"/>
      <c r="D5" s="76" t="s">
        <v>62</v>
      </c>
      <c r="E5" s="76"/>
      <c r="F5" s="76"/>
      <c r="G5" s="83" t="s">
        <v>53</v>
      </c>
      <c r="H5" s="58"/>
      <c r="I5" s="76" t="s">
        <v>62</v>
      </c>
      <c r="J5" s="76"/>
      <c r="K5" s="85"/>
      <c r="L5" s="78" t="s">
        <v>53</v>
      </c>
      <c r="M5" s="58"/>
      <c r="N5" s="76" t="s">
        <v>62</v>
      </c>
      <c r="O5" s="76"/>
      <c r="P5" s="80"/>
      <c r="Q5" s="75"/>
      <c r="R5" s="8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s="16" customFormat="1" ht="13.5" customHeight="1">
      <c r="A6" s="69"/>
      <c r="B6" s="79"/>
      <c r="C6" s="59"/>
      <c r="D6" s="59" t="s">
        <v>54</v>
      </c>
      <c r="E6" s="59" t="s">
        <v>55</v>
      </c>
      <c r="F6" s="59" t="s">
        <v>56</v>
      </c>
      <c r="G6" s="84"/>
      <c r="H6" s="59"/>
      <c r="I6" s="59" t="s">
        <v>54</v>
      </c>
      <c r="J6" s="59" t="s">
        <v>55</v>
      </c>
      <c r="K6" s="14" t="s">
        <v>56</v>
      </c>
      <c r="L6" s="79"/>
      <c r="M6" s="59"/>
      <c r="N6" s="59" t="s">
        <v>54</v>
      </c>
      <c r="O6" s="59" t="s">
        <v>55</v>
      </c>
      <c r="P6" s="59" t="s">
        <v>56</v>
      </c>
      <c r="Q6" s="62"/>
      <c r="R6" s="82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6" customFormat="1" ht="31.5" customHeight="1">
      <c r="A7" s="70"/>
      <c r="B7" s="18" t="s">
        <v>57</v>
      </c>
      <c r="C7" s="18"/>
      <c r="D7" s="19" t="s">
        <v>58</v>
      </c>
      <c r="E7" s="19" t="s">
        <v>59</v>
      </c>
      <c r="F7" s="19" t="s">
        <v>60</v>
      </c>
      <c r="G7" s="17" t="s">
        <v>57</v>
      </c>
      <c r="H7" s="18"/>
      <c r="I7" s="19" t="s">
        <v>58</v>
      </c>
      <c r="J7" s="19" t="s">
        <v>59</v>
      </c>
      <c r="K7" s="36" t="s">
        <v>60</v>
      </c>
      <c r="L7" s="18" t="s">
        <v>57</v>
      </c>
      <c r="M7" s="18"/>
      <c r="N7" s="19" t="s">
        <v>58</v>
      </c>
      <c r="O7" s="19" t="s">
        <v>59</v>
      </c>
      <c r="P7" s="19" t="s">
        <v>60</v>
      </c>
      <c r="Q7" s="63"/>
      <c r="R7" s="82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45" s="23" customFormat="1" ht="21.75" customHeight="1">
      <c r="A8" s="37" t="s">
        <v>1</v>
      </c>
      <c r="B8" s="38">
        <f>SUM(B9:B20)</f>
        <v>14811</v>
      </c>
      <c r="C8" s="39"/>
      <c r="D8" s="40">
        <f>E8+F8</f>
        <v>1793</v>
      </c>
      <c r="E8" s="40">
        <f>SUM(E9:E20)</f>
        <v>1027</v>
      </c>
      <c r="F8" s="40">
        <f>SUM(F9:F20)</f>
        <v>766</v>
      </c>
      <c r="G8" s="38">
        <f>SUM(G9:G20)</f>
        <v>16480</v>
      </c>
      <c r="H8" s="39"/>
      <c r="I8" s="40">
        <f>J8+K8</f>
        <v>2430</v>
      </c>
      <c r="J8" s="40">
        <f>SUM(J9:J20)</f>
        <v>1434</v>
      </c>
      <c r="K8" s="40">
        <f>SUM(K9:K20)</f>
        <v>996</v>
      </c>
      <c r="L8" s="38">
        <f>SUM(L9:L20)</f>
        <v>12787</v>
      </c>
      <c r="M8" s="39"/>
      <c r="N8" s="40">
        <f>O8+P8</f>
        <v>2399</v>
      </c>
      <c r="O8" s="40">
        <f>SUM(O9:O20)</f>
        <v>1225</v>
      </c>
      <c r="P8" s="40">
        <f>SUM(P9:P20)</f>
        <v>1174</v>
      </c>
      <c r="Q8" s="20" t="s">
        <v>49</v>
      </c>
      <c r="R8" s="21"/>
      <c r="S8" s="2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s="27" customFormat="1" ht="19.5" customHeight="1">
      <c r="A9" s="24" t="s">
        <v>6</v>
      </c>
      <c r="B9" s="41">
        <v>753</v>
      </c>
      <c r="C9" s="42"/>
      <c r="D9" s="43">
        <f>SUM(E9:F9)</f>
        <v>516</v>
      </c>
      <c r="E9" s="44">
        <v>428</v>
      </c>
      <c r="F9" s="44">
        <v>88</v>
      </c>
      <c r="G9" s="41">
        <v>631</v>
      </c>
      <c r="H9" s="42"/>
      <c r="I9" s="43">
        <f>SUM(J9:K9)</f>
        <v>497</v>
      </c>
      <c r="J9" s="44">
        <v>416</v>
      </c>
      <c r="K9" s="44">
        <v>81</v>
      </c>
      <c r="L9" s="41">
        <v>661</v>
      </c>
      <c r="M9" s="42"/>
      <c r="N9" s="43">
        <f>SUM(O9:P9)</f>
        <v>464</v>
      </c>
      <c r="O9" s="44">
        <v>386</v>
      </c>
      <c r="P9" s="44">
        <v>78</v>
      </c>
      <c r="Q9" s="25" t="s">
        <v>11</v>
      </c>
      <c r="R9" s="26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5" s="27" customFormat="1" ht="19.5" customHeight="1">
      <c r="A10" s="24" t="s">
        <v>0</v>
      </c>
      <c r="B10" s="41">
        <v>3270</v>
      </c>
      <c r="C10" s="42"/>
      <c r="D10" s="43">
        <f t="shared" ref="D10:D19" si="0">SUM(E10:F10)</f>
        <v>2</v>
      </c>
      <c r="E10" s="44">
        <v>2</v>
      </c>
      <c r="F10" s="44">
        <v>0</v>
      </c>
      <c r="G10" s="41">
        <v>4554</v>
      </c>
      <c r="H10" s="42"/>
      <c r="I10" s="43">
        <f t="shared" ref="I10:I19" si="1">SUM(J10:K10)</f>
        <v>10</v>
      </c>
      <c r="J10" s="44">
        <v>7</v>
      </c>
      <c r="K10" s="44">
        <v>3</v>
      </c>
      <c r="L10" s="41">
        <v>3581</v>
      </c>
      <c r="M10" s="42"/>
      <c r="N10" s="43">
        <f t="shared" ref="N10:N19" si="2">SUM(O10:P10)</f>
        <v>21</v>
      </c>
      <c r="O10" s="44">
        <v>16</v>
      </c>
      <c r="P10" s="44">
        <v>5</v>
      </c>
      <c r="Q10" s="25" t="s">
        <v>3</v>
      </c>
      <c r="R10" s="26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s="27" customFormat="1" ht="19.5" customHeight="1">
      <c r="A11" s="24" t="s">
        <v>10</v>
      </c>
      <c r="B11" s="41">
        <v>537</v>
      </c>
      <c r="C11" s="42"/>
      <c r="D11" s="43">
        <f t="shared" si="0"/>
        <v>24</v>
      </c>
      <c r="E11" s="44">
        <v>21</v>
      </c>
      <c r="F11" s="44">
        <v>3</v>
      </c>
      <c r="G11" s="41">
        <v>483</v>
      </c>
      <c r="H11" s="42"/>
      <c r="I11" s="43">
        <f t="shared" si="1"/>
        <v>44</v>
      </c>
      <c r="J11" s="44">
        <v>38</v>
      </c>
      <c r="K11" s="44">
        <v>6</v>
      </c>
      <c r="L11" s="41">
        <v>348</v>
      </c>
      <c r="M11" s="42"/>
      <c r="N11" s="43">
        <f t="shared" si="2"/>
        <v>34</v>
      </c>
      <c r="O11" s="44">
        <v>27</v>
      </c>
      <c r="P11" s="44">
        <v>7</v>
      </c>
      <c r="Q11" s="25" t="s">
        <v>16</v>
      </c>
      <c r="R11" s="26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</row>
    <row r="12" spans="1:45" s="27" customFormat="1" ht="19.5" customHeight="1">
      <c r="A12" s="24" t="s">
        <v>4</v>
      </c>
      <c r="B12" s="41">
        <v>2230</v>
      </c>
      <c r="C12" s="42"/>
      <c r="D12" s="43">
        <f t="shared" si="0"/>
        <v>2</v>
      </c>
      <c r="E12" s="44">
        <v>2</v>
      </c>
      <c r="F12" s="44">
        <v>0</v>
      </c>
      <c r="G12" s="41">
        <v>2188</v>
      </c>
      <c r="H12" s="42"/>
      <c r="I12" s="43">
        <f t="shared" si="1"/>
        <v>3</v>
      </c>
      <c r="J12" s="44">
        <v>3</v>
      </c>
      <c r="K12" s="44">
        <v>0</v>
      </c>
      <c r="L12" s="41">
        <v>1425</v>
      </c>
      <c r="M12" s="42"/>
      <c r="N12" s="43">
        <f t="shared" si="2"/>
        <v>4</v>
      </c>
      <c r="O12" s="44">
        <v>4</v>
      </c>
      <c r="P12" s="44">
        <v>0</v>
      </c>
      <c r="Q12" s="25" t="s">
        <v>8</v>
      </c>
      <c r="R12" s="26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</row>
    <row r="13" spans="1:45" s="27" customFormat="1" ht="19.5" customHeight="1">
      <c r="A13" s="24" t="s">
        <v>14</v>
      </c>
      <c r="B13" s="41">
        <v>361</v>
      </c>
      <c r="C13" s="42"/>
      <c r="D13" s="43">
        <f t="shared" si="0"/>
        <v>335</v>
      </c>
      <c r="E13" s="44">
        <v>73</v>
      </c>
      <c r="F13" s="44">
        <v>262</v>
      </c>
      <c r="G13" s="41">
        <v>405</v>
      </c>
      <c r="H13" s="42"/>
      <c r="I13" s="43">
        <f t="shared" si="1"/>
        <v>317</v>
      </c>
      <c r="J13" s="44">
        <v>61</v>
      </c>
      <c r="K13" s="44">
        <v>256</v>
      </c>
      <c r="L13" s="41">
        <v>490</v>
      </c>
      <c r="M13" s="42"/>
      <c r="N13" s="43">
        <f t="shared" si="2"/>
        <v>480</v>
      </c>
      <c r="O13" s="44">
        <v>89</v>
      </c>
      <c r="P13" s="44">
        <v>391</v>
      </c>
      <c r="Q13" s="25" t="s">
        <v>61</v>
      </c>
      <c r="R13" s="26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spans="1:45" s="27" customFormat="1" ht="19.5" customHeight="1">
      <c r="A14" s="24" t="s">
        <v>2</v>
      </c>
      <c r="B14" s="41">
        <v>2007</v>
      </c>
      <c r="C14" s="42"/>
      <c r="D14" s="43">
        <f t="shared" si="0"/>
        <v>182</v>
      </c>
      <c r="E14" s="44">
        <v>138</v>
      </c>
      <c r="F14" s="44">
        <v>44</v>
      </c>
      <c r="G14" s="41">
        <v>2324</v>
      </c>
      <c r="H14" s="42"/>
      <c r="I14" s="43">
        <f t="shared" si="1"/>
        <v>622</v>
      </c>
      <c r="J14" s="44">
        <v>439</v>
      </c>
      <c r="K14" s="44">
        <v>183</v>
      </c>
      <c r="L14" s="41">
        <v>1390</v>
      </c>
      <c r="M14" s="42"/>
      <c r="N14" s="43">
        <f t="shared" si="2"/>
        <v>363</v>
      </c>
      <c r="O14" s="44">
        <v>250</v>
      </c>
      <c r="P14" s="44">
        <v>113</v>
      </c>
      <c r="Q14" s="25" t="s">
        <v>5</v>
      </c>
      <c r="R14" s="26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 spans="1:45" s="27" customFormat="1" ht="19.5" customHeight="1">
      <c r="A15" s="24" t="s">
        <v>18</v>
      </c>
      <c r="B15" s="41">
        <v>240</v>
      </c>
      <c r="C15" s="42"/>
      <c r="D15" s="43">
        <f t="shared" si="0"/>
        <v>219</v>
      </c>
      <c r="E15" s="44">
        <v>74</v>
      </c>
      <c r="F15" s="44">
        <v>145</v>
      </c>
      <c r="G15" s="41">
        <v>219</v>
      </c>
      <c r="H15" s="42"/>
      <c r="I15" s="43">
        <f t="shared" si="1"/>
        <v>213</v>
      </c>
      <c r="J15" s="44">
        <v>67</v>
      </c>
      <c r="K15" s="44">
        <v>146</v>
      </c>
      <c r="L15" s="41">
        <v>245</v>
      </c>
      <c r="M15" s="42"/>
      <c r="N15" s="43">
        <f t="shared" si="2"/>
        <v>236</v>
      </c>
      <c r="O15" s="44">
        <v>66</v>
      </c>
      <c r="P15" s="44">
        <v>170</v>
      </c>
      <c r="Q15" s="25" t="s">
        <v>21</v>
      </c>
      <c r="R15" s="26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</row>
    <row r="16" spans="1:45" s="27" customFormat="1" ht="19.5" customHeight="1">
      <c r="A16" s="45" t="s">
        <v>20</v>
      </c>
      <c r="B16" s="41">
        <v>71</v>
      </c>
      <c r="C16" s="42"/>
      <c r="D16" s="43">
        <f t="shared" si="0"/>
        <v>0</v>
      </c>
      <c r="E16" s="44">
        <v>0</v>
      </c>
      <c r="F16" s="44">
        <v>0</v>
      </c>
      <c r="G16" s="41">
        <v>86</v>
      </c>
      <c r="H16" s="42"/>
      <c r="I16" s="43">
        <f t="shared" si="1"/>
        <v>0</v>
      </c>
      <c r="J16" s="44">
        <v>0</v>
      </c>
      <c r="K16" s="44">
        <v>0</v>
      </c>
      <c r="L16" s="41">
        <v>108</v>
      </c>
      <c r="M16" s="42"/>
      <c r="N16" s="43">
        <f t="shared" si="2"/>
        <v>0</v>
      </c>
      <c r="O16" s="44">
        <v>0</v>
      </c>
      <c r="P16" s="44">
        <v>0</v>
      </c>
      <c r="Q16" s="25" t="s">
        <v>50</v>
      </c>
      <c r="R16" s="26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</row>
    <row r="17" spans="1:45" s="27" customFormat="1" ht="19.5" customHeight="1">
      <c r="A17" s="24" t="s">
        <v>12</v>
      </c>
      <c r="B17" s="41">
        <v>472</v>
      </c>
      <c r="C17" s="42"/>
      <c r="D17" s="43">
        <f t="shared" si="0"/>
        <v>12</v>
      </c>
      <c r="E17" s="44">
        <v>6</v>
      </c>
      <c r="F17" s="44">
        <v>6</v>
      </c>
      <c r="G17" s="41">
        <v>467</v>
      </c>
      <c r="H17" s="42"/>
      <c r="I17" s="43">
        <f t="shared" si="1"/>
        <v>17</v>
      </c>
      <c r="J17" s="44">
        <v>12</v>
      </c>
      <c r="K17" s="44">
        <v>5</v>
      </c>
      <c r="L17" s="41">
        <v>395</v>
      </c>
      <c r="M17" s="42"/>
      <c r="N17" s="43">
        <f t="shared" si="2"/>
        <v>17</v>
      </c>
      <c r="O17" s="44">
        <v>12</v>
      </c>
      <c r="P17" s="44">
        <v>5</v>
      </c>
      <c r="Q17" s="25" t="s">
        <v>13</v>
      </c>
      <c r="R17" s="26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5" s="27" customFormat="1" ht="19.5" customHeight="1">
      <c r="A18" s="24" t="s">
        <v>17</v>
      </c>
      <c r="B18" s="41">
        <v>516</v>
      </c>
      <c r="C18" s="42"/>
      <c r="D18" s="43">
        <f t="shared" si="0"/>
        <v>0</v>
      </c>
      <c r="E18" s="44">
        <v>0</v>
      </c>
      <c r="F18" s="44">
        <v>0</v>
      </c>
      <c r="G18" s="41">
        <v>494</v>
      </c>
      <c r="H18" s="42"/>
      <c r="I18" s="43">
        <f t="shared" si="1"/>
        <v>0</v>
      </c>
      <c r="J18" s="44">
        <v>0</v>
      </c>
      <c r="K18" s="44">
        <v>0</v>
      </c>
      <c r="L18" s="41">
        <v>609</v>
      </c>
      <c r="M18" s="42"/>
      <c r="N18" s="43">
        <f t="shared" si="2"/>
        <v>0</v>
      </c>
      <c r="O18" s="44">
        <v>0</v>
      </c>
      <c r="P18" s="44">
        <v>0</v>
      </c>
      <c r="Q18" s="25" t="s">
        <v>19</v>
      </c>
      <c r="R18" s="2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</row>
    <row r="19" spans="1:45" s="27" customFormat="1" ht="19.5" customHeight="1">
      <c r="A19" s="46" t="s">
        <v>27</v>
      </c>
      <c r="B19" s="41">
        <v>1787</v>
      </c>
      <c r="C19" s="47"/>
      <c r="D19" s="43">
        <f t="shared" si="0"/>
        <v>1</v>
      </c>
      <c r="E19" s="44">
        <v>1</v>
      </c>
      <c r="F19" s="44">
        <v>0</v>
      </c>
      <c r="G19" s="41">
        <v>1814</v>
      </c>
      <c r="H19" s="47"/>
      <c r="I19" s="43">
        <f t="shared" si="1"/>
        <v>0</v>
      </c>
      <c r="J19" s="44">
        <v>0</v>
      </c>
      <c r="K19" s="44">
        <v>0</v>
      </c>
      <c r="L19" s="41">
        <v>744</v>
      </c>
      <c r="M19" s="47"/>
      <c r="N19" s="43">
        <f t="shared" si="2"/>
        <v>0</v>
      </c>
      <c r="O19" s="44">
        <v>0</v>
      </c>
      <c r="P19" s="44">
        <v>0</v>
      </c>
      <c r="Q19" s="25" t="s">
        <v>9</v>
      </c>
      <c r="R19" s="26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5" s="27" customFormat="1" ht="19.5" customHeight="1">
      <c r="A20" s="28" t="s">
        <v>7</v>
      </c>
      <c r="B20" s="44">
        <v>2567</v>
      </c>
      <c r="C20" s="47"/>
      <c r="D20" s="42">
        <f>E20+F20</f>
        <v>500</v>
      </c>
      <c r="E20" s="42">
        <v>282</v>
      </c>
      <c r="F20" s="42">
        <v>218</v>
      </c>
      <c r="G20" s="44">
        <f>SUM(G21:G33)</f>
        <v>2815</v>
      </c>
      <c r="H20" s="47"/>
      <c r="I20" s="42">
        <f>SUM(I21:I33)</f>
        <v>707</v>
      </c>
      <c r="J20" s="42">
        <f t="shared" ref="J20:K20" si="3">SUM(J21:J33)</f>
        <v>391</v>
      </c>
      <c r="K20" s="42">
        <f t="shared" si="3"/>
        <v>316</v>
      </c>
      <c r="L20" s="44">
        <f>SUM(L21:L33)</f>
        <v>2791</v>
      </c>
      <c r="M20" s="47"/>
      <c r="N20" s="42">
        <f>SUM(N21:N33)</f>
        <v>780</v>
      </c>
      <c r="O20" s="42">
        <f t="shared" ref="O20:P20" si="4">SUM(O21:O33)</f>
        <v>375</v>
      </c>
      <c r="P20" s="42">
        <f t="shared" si="4"/>
        <v>405</v>
      </c>
      <c r="Q20" s="25" t="s">
        <v>24</v>
      </c>
      <c r="R20" s="26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</row>
    <row r="21" spans="1:45" s="29" customFormat="1" ht="19.5" customHeight="1">
      <c r="A21" s="1" t="s">
        <v>25</v>
      </c>
      <c r="B21" s="42">
        <v>29</v>
      </c>
      <c r="C21" s="48"/>
      <c r="D21" s="49">
        <f>SUM(E21:F21)</f>
        <v>0</v>
      </c>
      <c r="E21" s="44">
        <v>0</v>
      </c>
      <c r="F21" s="44">
        <v>0</v>
      </c>
      <c r="G21" s="41">
        <v>29</v>
      </c>
      <c r="H21" s="48"/>
      <c r="I21" s="49">
        <f>SUM(J21:K21)</f>
        <v>0</v>
      </c>
      <c r="J21" s="44">
        <v>0</v>
      </c>
      <c r="K21" s="44">
        <v>0</v>
      </c>
      <c r="L21" s="41">
        <v>24</v>
      </c>
      <c r="M21" s="48"/>
      <c r="N21" s="49">
        <f>SUM(O21:P21)</f>
        <v>0</v>
      </c>
      <c r="O21" s="44">
        <v>0</v>
      </c>
      <c r="P21" s="44">
        <v>0</v>
      </c>
      <c r="Q21" s="50" t="s">
        <v>26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spans="1:45" ht="19.5" customHeight="1">
      <c r="A22" s="1" t="s">
        <v>28</v>
      </c>
      <c r="B22" s="42">
        <v>36</v>
      </c>
      <c r="C22" s="51"/>
      <c r="D22" s="49">
        <f t="shared" ref="D22:D33" si="5">SUM(E22:F22)</f>
        <v>16</v>
      </c>
      <c r="E22" s="44">
        <v>4</v>
      </c>
      <c r="F22" s="44">
        <v>12</v>
      </c>
      <c r="G22" s="41">
        <v>56</v>
      </c>
      <c r="H22" s="51"/>
      <c r="I22" s="49">
        <f t="shared" ref="I22:I33" si="6">SUM(J22:K22)</f>
        <v>21</v>
      </c>
      <c r="J22" s="44">
        <v>9</v>
      </c>
      <c r="K22" s="44">
        <v>12</v>
      </c>
      <c r="L22" s="41">
        <v>63</v>
      </c>
      <c r="M22" s="51"/>
      <c r="N22" s="49">
        <f t="shared" ref="N22:N33" si="7">SUM(O22:P22)</f>
        <v>35</v>
      </c>
      <c r="O22" s="44">
        <v>15</v>
      </c>
      <c r="P22" s="44">
        <v>20</v>
      </c>
      <c r="Q22" s="50" t="s">
        <v>29</v>
      </c>
    </row>
    <row r="23" spans="1:45" ht="19.5" customHeight="1">
      <c r="A23" s="1" t="s">
        <v>31</v>
      </c>
      <c r="B23" s="42">
        <v>55</v>
      </c>
      <c r="C23" s="51"/>
      <c r="D23" s="49">
        <f t="shared" si="5"/>
        <v>51</v>
      </c>
      <c r="E23" s="44">
        <v>44</v>
      </c>
      <c r="F23" s="44">
        <v>7</v>
      </c>
      <c r="G23" s="41">
        <v>60</v>
      </c>
      <c r="H23" s="51"/>
      <c r="I23" s="49">
        <f t="shared" si="6"/>
        <v>48</v>
      </c>
      <c r="J23" s="44">
        <v>39</v>
      </c>
      <c r="K23" s="44">
        <v>9</v>
      </c>
      <c r="L23" s="41">
        <v>40</v>
      </c>
      <c r="M23" s="51"/>
      <c r="N23" s="49">
        <f t="shared" si="7"/>
        <v>35</v>
      </c>
      <c r="O23" s="44">
        <v>32</v>
      </c>
      <c r="P23" s="44">
        <v>3</v>
      </c>
      <c r="Q23" s="50" t="s">
        <v>32</v>
      </c>
    </row>
    <row r="24" spans="1:45" ht="19.5" customHeight="1">
      <c r="A24" s="1" t="s">
        <v>33</v>
      </c>
      <c r="B24" s="42">
        <v>58</v>
      </c>
      <c r="C24" s="51"/>
      <c r="D24" s="49">
        <f t="shared" si="5"/>
        <v>59</v>
      </c>
      <c r="E24" s="44">
        <v>28</v>
      </c>
      <c r="F24" s="44">
        <v>31</v>
      </c>
      <c r="G24" s="41">
        <v>68</v>
      </c>
      <c r="H24" s="51"/>
      <c r="I24" s="49">
        <f t="shared" si="6"/>
        <v>69</v>
      </c>
      <c r="J24" s="44">
        <v>34</v>
      </c>
      <c r="K24" s="44">
        <v>35</v>
      </c>
      <c r="L24" s="41">
        <v>74</v>
      </c>
      <c r="M24" s="51"/>
      <c r="N24" s="49">
        <f t="shared" si="7"/>
        <v>86</v>
      </c>
      <c r="O24" s="44">
        <v>42</v>
      </c>
      <c r="P24" s="44">
        <v>44</v>
      </c>
      <c r="Q24" s="50" t="s">
        <v>34</v>
      </c>
    </row>
    <row r="25" spans="1:45" ht="19.5" customHeight="1">
      <c r="A25" s="1" t="s">
        <v>23</v>
      </c>
      <c r="B25" s="42">
        <v>246</v>
      </c>
      <c r="C25" s="51"/>
      <c r="D25" s="49">
        <f t="shared" si="5"/>
        <v>1</v>
      </c>
      <c r="E25" s="44">
        <v>0</v>
      </c>
      <c r="F25" s="44">
        <v>1</v>
      </c>
      <c r="G25" s="41">
        <v>218</v>
      </c>
      <c r="H25" s="51"/>
      <c r="I25" s="49">
        <f t="shared" si="6"/>
        <v>0</v>
      </c>
      <c r="J25" s="44">
        <v>0</v>
      </c>
      <c r="K25" s="44">
        <v>0</v>
      </c>
      <c r="L25" s="41">
        <v>112</v>
      </c>
      <c r="M25" s="51"/>
      <c r="N25" s="49">
        <f t="shared" si="7"/>
        <v>0</v>
      </c>
      <c r="O25" s="44">
        <v>0</v>
      </c>
      <c r="P25" s="44">
        <v>0</v>
      </c>
      <c r="Q25" s="50" t="s">
        <v>35</v>
      </c>
    </row>
    <row r="26" spans="1:45" ht="19.5" customHeight="1">
      <c r="A26" s="1" t="s">
        <v>22</v>
      </c>
      <c r="B26" s="42">
        <v>213</v>
      </c>
      <c r="C26" s="51"/>
      <c r="D26" s="49">
        <f t="shared" si="5"/>
        <v>15</v>
      </c>
      <c r="E26" s="44">
        <v>6</v>
      </c>
      <c r="F26" s="44">
        <v>9</v>
      </c>
      <c r="G26" s="41">
        <v>185</v>
      </c>
      <c r="H26" s="51"/>
      <c r="I26" s="49">
        <f t="shared" si="6"/>
        <v>25</v>
      </c>
      <c r="J26" s="44">
        <v>8</v>
      </c>
      <c r="K26" s="44">
        <v>17</v>
      </c>
      <c r="L26" s="41">
        <v>153</v>
      </c>
      <c r="M26" s="51"/>
      <c r="N26" s="49">
        <f t="shared" si="7"/>
        <v>45</v>
      </c>
      <c r="O26" s="44">
        <v>14</v>
      </c>
      <c r="P26" s="44">
        <v>31</v>
      </c>
      <c r="Q26" s="50" t="s">
        <v>36</v>
      </c>
    </row>
    <row r="27" spans="1:45" ht="19.5" customHeight="1">
      <c r="A27" s="1" t="s">
        <v>30</v>
      </c>
      <c r="B27" s="42">
        <v>92</v>
      </c>
      <c r="C27" s="51"/>
      <c r="D27" s="49">
        <f t="shared" si="5"/>
        <v>2</v>
      </c>
      <c r="E27" s="44">
        <v>0</v>
      </c>
      <c r="F27" s="44">
        <v>2</v>
      </c>
      <c r="G27" s="41">
        <v>79</v>
      </c>
      <c r="H27" s="51"/>
      <c r="I27" s="49">
        <f t="shared" si="6"/>
        <v>8</v>
      </c>
      <c r="J27" s="44">
        <v>8</v>
      </c>
      <c r="K27" s="44">
        <v>0</v>
      </c>
      <c r="L27" s="41">
        <v>121</v>
      </c>
      <c r="M27" s="51"/>
      <c r="N27" s="49">
        <f t="shared" si="7"/>
        <v>10</v>
      </c>
      <c r="O27" s="44">
        <v>4</v>
      </c>
      <c r="P27" s="44">
        <v>6</v>
      </c>
      <c r="Q27" s="50" t="s">
        <v>37</v>
      </c>
    </row>
    <row r="28" spans="1:45" ht="19.5" customHeight="1">
      <c r="A28" s="1" t="s">
        <v>38</v>
      </c>
      <c r="B28" s="42">
        <v>87</v>
      </c>
      <c r="C28" s="51"/>
      <c r="D28" s="49">
        <f t="shared" si="5"/>
        <v>43</v>
      </c>
      <c r="E28" s="44">
        <v>9</v>
      </c>
      <c r="F28" s="44">
        <v>34</v>
      </c>
      <c r="G28" s="41">
        <v>73</v>
      </c>
      <c r="H28" s="51"/>
      <c r="I28" s="49">
        <f t="shared" si="6"/>
        <v>39</v>
      </c>
      <c r="J28" s="44">
        <v>12</v>
      </c>
      <c r="K28" s="44">
        <v>27</v>
      </c>
      <c r="L28" s="41">
        <v>104</v>
      </c>
      <c r="M28" s="51"/>
      <c r="N28" s="49">
        <f t="shared" si="7"/>
        <v>49</v>
      </c>
      <c r="O28" s="44">
        <v>18</v>
      </c>
      <c r="P28" s="44">
        <v>31</v>
      </c>
      <c r="Q28" s="50" t="s">
        <v>39</v>
      </c>
    </row>
    <row r="29" spans="1:45" ht="19.5" customHeight="1">
      <c r="A29" s="1" t="s">
        <v>40</v>
      </c>
      <c r="B29" s="42">
        <v>28</v>
      </c>
      <c r="C29" s="51"/>
      <c r="D29" s="49">
        <f t="shared" si="5"/>
        <v>0</v>
      </c>
      <c r="E29" s="44">
        <v>0</v>
      </c>
      <c r="F29" s="44">
        <v>0</v>
      </c>
      <c r="G29" s="41">
        <v>72</v>
      </c>
      <c r="H29" s="51"/>
      <c r="I29" s="49">
        <f t="shared" si="6"/>
        <v>0</v>
      </c>
      <c r="J29" s="44">
        <v>0</v>
      </c>
      <c r="K29" s="44">
        <v>0</v>
      </c>
      <c r="L29" s="41">
        <v>56</v>
      </c>
      <c r="M29" s="51"/>
      <c r="N29" s="49">
        <f t="shared" si="7"/>
        <v>0</v>
      </c>
      <c r="O29" s="44">
        <v>0</v>
      </c>
      <c r="P29" s="44">
        <v>0</v>
      </c>
      <c r="Q29" s="50" t="s">
        <v>41</v>
      </c>
    </row>
    <row r="30" spans="1:45" ht="19.5" customHeight="1">
      <c r="A30" s="1" t="s">
        <v>15</v>
      </c>
      <c r="B30" s="42">
        <v>536</v>
      </c>
      <c r="C30" s="51"/>
      <c r="D30" s="49">
        <f t="shared" si="5"/>
        <v>77</v>
      </c>
      <c r="E30" s="44">
        <v>20</v>
      </c>
      <c r="F30" s="44">
        <v>57</v>
      </c>
      <c r="G30" s="41">
        <v>492</v>
      </c>
      <c r="H30" s="51"/>
      <c r="I30" s="49">
        <f t="shared" si="6"/>
        <v>109</v>
      </c>
      <c r="J30" s="44">
        <v>48</v>
      </c>
      <c r="K30" s="44">
        <v>61</v>
      </c>
      <c r="L30" s="41">
        <v>623</v>
      </c>
      <c r="M30" s="51"/>
      <c r="N30" s="49">
        <f t="shared" si="7"/>
        <v>172</v>
      </c>
      <c r="O30" s="44">
        <v>50</v>
      </c>
      <c r="P30" s="44">
        <v>122</v>
      </c>
      <c r="Q30" s="50" t="s">
        <v>42</v>
      </c>
    </row>
    <row r="31" spans="1:45" ht="32.25" customHeight="1">
      <c r="A31" s="32" t="s">
        <v>43</v>
      </c>
      <c r="B31" s="42">
        <v>39</v>
      </c>
      <c r="C31" s="51"/>
      <c r="D31" s="48">
        <f t="shared" si="5"/>
        <v>0</v>
      </c>
      <c r="E31" s="44">
        <v>0</v>
      </c>
      <c r="F31" s="44">
        <v>0</v>
      </c>
      <c r="G31" s="41">
        <v>19</v>
      </c>
      <c r="H31" s="51"/>
      <c r="I31" s="49">
        <f t="shared" si="6"/>
        <v>0</v>
      </c>
      <c r="J31" s="44">
        <v>0</v>
      </c>
      <c r="K31" s="44">
        <v>0</v>
      </c>
      <c r="L31" s="41">
        <v>8</v>
      </c>
      <c r="M31" s="51"/>
      <c r="N31" s="49">
        <f t="shared" si="7"/>
        <v>0</v>
      </c>
      <c r="O31" s="44">
        <v>0</v>
      </c>
      <c r="P31" s="44">
        <v>0</v>
      </c>
      <c r="Q31" s="50" t="s">
        <v>44</v>
      </c>
    </row>
    <row r="32" spans="1:45" ht="19.5" customHeight="1">
      <c r="A32" s="1" t="s">
        <v>45</v>
      </c>
      <c r="B32" s="42">
        <v>27</v>
      </c>
      <c r="C32" s="51"/>
      <c r="D32" s="49">
        <f t="shared" si="5"/>
        <v>6</v>
      </c>
      <c r="E32" s="44">
        <v>2</v>
      </c>
      <c r="F32" s="44">
        <v>4</v>
      </c>
      <c r="G32" s="41">
        <v>15</v>
      </c>
      <c r="H32" s="51"/>
      <c r="I32" s="49">
        <f t="shared" si="6"/>
        <v>10</v>
      </c>
      <c r="J32" s="44">
        <v>6</v>
      </c>
      <c r="K32" s="44">
        <v>4</v>
      </c>
      <c r="L32" s="41">
        <v>17</v>
      </c>
      <c r="M32" s="51"/>
      <c r="N32" s="49">
        <f t="shared" si="7"/>
        <v>4</v>
      </c>
      <c r="O32" s="44">
        <v>3</v>
      </c>
      <c r="P32" s="44">
        <v>1</v>
      </c>
      <c r="Q32" s="50" t="s">
        <v>46</v>
      </c>
    </row>
    <row r="33" spans="1:17" ht="19.5" customHeight="1">
      <c r="A33" s="2" t="s">
        <v>7</v>
      </c>
      <c r="B33" s="52">
        <v>1121</v>
      </c>
      <c r="C33" s="53"/>
      <c r="D33" s="49">
        <f t="shared" si="5"/>
        <v>230</v>
      </c>
      <c r="E33" s="44">
        <v>169</v>
      </c>
      <c r="F33" s="44">
        <v>61</v>
      </c>
      <c r="G33" s="41">
        <v>1449</v>
      </c>
      <c r="H33" s="53"/>
      <c r="I33" s="54">
        <f t="shared" si="6"/>
        <v>378</v>
      </c>
      <c r="J33" s="44">
        <v>227</v>
      </c>
      <c r="K33" s="44">
        <v>151</v>
      </c>
      <c r="L33" s="41">
        <v>1396</v>
      </c>
      <c r="M33" s="53"/>
      <c r="N33" s="54">
        <f t="shared" si="7"/>
        <v>344</v>
      </c>
      <c r="O33" s="44">
        <v>197</v>
      </c>
      <c r="P33" s="44">
        <v>147</v>
      </c>
      <c r="Q33" s="55" t="s">
        <v>24</v>
      </c>
    </row>
    <row r="34" spans="1:17" ht="24" customHeight="1">
      <c r="A34" s="81" t="s">
        <v>63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</row>
    <row r="35" spans="1:17" ht="14.25" customHeight="1">
      <c r="A35" s="56" t="s">
        <v>47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57" t="s">
        <v>48</v>
      </c>
    </row>
    <row r="36" spans="1:17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/>
    </row>
    <row r="37" spans="1:17" ht="12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17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3"/>
    </row>
    <row r="39" spans="1:17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7" ht="12.75" customHeight="1">
      <c r="A40" s="31"/>
      <c r="B40" s="8"/>
      <c r="C40" s="31"/>
      <c r="D40" s="31"/>
      <c r="E40" s="31"/>
      <c r="F40" s="31"/>
      <c r="G40" s="8"/>
      <c r="H40" s="31"/>
      <c r="I40" s="31"/>
      <c r="J40" s="31"/>
      <c r="K40" s="31"/>
      <c r="L40" s="8"/>
      <c r="M40" s="31"/>
      <c r="N40" s="31"/>
      <c r="O40" s="31"/>
      <c r="P40" s="31"/>
      <c r="Q40" s="33"/>
    </row>
    <row r="41" spans="1:17" ht="12.75" customHeight="1">
      <c r="A41" s="31"/>
      <c r="B41" s="10"/>
      <c r="C41" s="34"/>
      <c r="D41" s="31"/>
      <c r="E41" s="31"/>
      <c r="F41" s="31"/>
      <c r="G41" s="10"/>
      <c r="H41" s="34"/>
      <c r="I41" s="31"/>
      <c r="J41" s="31"/>
      <c r="K41" s="31"/>
      <c r="L41" s="10"/>
      <c r="M41" s="34"/>
      <c r="N41" s="31"/>
      <c r="O41" s="31"/>
      <c r="P41" s="31"/>
      <c r="Q41" s="33"/>
    </row>
    <row r="42" spans="1:17" ht="12.75" customHeight="1">
      <c r="B42" s="10"/>
      <c r="G42" s="10"/>
      <c r="L42" s="10"/>
    </row>
    <row r="43" spans="1:17" ht="12.75" customHeight="1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spans="1:17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3"/>
    </row>
    <row r="45" spans="1:1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</row>
    <row r="46" spans="1:17" s="10" customFormat="1">
      <c r="Q46" s="61"/>
    </row>
    <row r="47" spans="1:17" s="10" customFormat="1">
      <c r="Q47" s="61"/>
    </row>
    <row r="48" spans="1:17" s="10" customFormat="1">
      <c r="Q48" s="61"/>
    </row>
    <row r="49" spans="17:17" s="10" customFormat="1">
      <c r="Q49" s="61"/>
    </row>
    <row r="50" spans="17:17" s="10" customFormat="1">
      <c r="Q50" s="61"/>
    </row>
    <row r="51" spans="17:17" s="10" customFormat="1" ht="18" customHeight="1">
      <c r="Q51" s="61"/>
    </row>
    <row r="52" spans="17:17" s="10" customFormat="1">
      <c r="Q52" s="61"/>
    </row>
    <row r="53" spans="17:17" s="10" customFormat="1">
      <c r="Q53" s="61"/>
    </row>
    <row r="54" spans="17:17" s="10" customFormat="1">
      <c r="Q54" s="61"/>
    </row>
    <row r="55" spans="17:17" s="10" customFormat="1">
      <c r="Q55" s="61"/>
    </row>
    <row r="56" spans="17:17" s="10" customFormat="1">
      <c r="Q56" s="61"/>
    </row>
    <row r="57" spans="17:17" s="10" customFormat="1">
      <c r="Q57" s="61"/>
    </row>
    <row r="58" spans="17:17" s="10" customFormat="1">
      <c r="Q58" s="61"/>
    </row>
    <row r="59" spans="17:17" s="10" customFormat="1">
      <c r="Q59" s="61"/>
    </row>
    <row r="60" spans="17:17" s="10" customFormat="1">
      <c r="Q60" s="61"/>
    </row>
    <row r="61" spans="17:17" s="10" customFormat="1">
      <c r="Q61" s="61"/>
    </row>
    <row r="62" spans="17:17" s="10" customFormat="1">
      <c r="Q62" s="61"/>
    </row>
    <row r="63" spans="17:17" s="10" customFormat="1">
      <c r="Q63" s="61"/>
    </row>
    <row r="64" spans="17:17" s="10" customFormat="1">
      <c r="Q64" s="61"/>
    </row>
    <row r="65" spans="17:17" s="10" customFormat="1">
      <c r="Q65" s="61"/>
    </row>
    <row r="66" spans="17:17" s="10" customFormat="1">
      <c r="Q66" s="61"/>
    </row>
    <row r="67" spans="17:17" s="10" customFormat="1">
      <c r="Q67" s="61"/>
    </row>
    <row r="68" spans="17:17" s="10" customFormat="1">
      <c r="Q68" s="61"/>
    </row>
    <row r="69" spans="17:17" s="10" customFormat="1">
      <c r="Q69" s="61"/>
    </row>
    <row r="70" spans="17:17" s="10" customFormat="1">
      <c r="Q70" s="61"/>
    </row>
    <row r="71" spans="17:17" s="10" customFormat="1">
      <c r="Q71" s="61"/>
    </row>
    <row r="72" spans="17:17" s="10" customFormat="1">
      <c r="Q72" s="61"/>
    </row>
    <row r="73" spans="17:17" s="10" customFormat="1">
      <c r="Q73" s="61"/>
    </row>
    <row r="74" spans="17:17" s="10" customFormat="1">
      <c r="Q74" s="61"/>
    </row>
    <row r="75" spans="17:17" s="10" customFormat="1">
      <c r="Q75" s="61"/>
    </row>
    <row r="76" spans="17:17" s="10" customFormat="1">
      <c r="Q76" s="61"/>
    </row>
    <row r="77" spans="17:17" s="10" customFormat="1">
      <c r="Q77" s="61"/>
    </row>
    <row r="78" spans="17:17" s="10" customFormat="1">
      <c r="Q78" s="61"/>
    </row>
    <row r="79" spans="17:17" s="10" customFormat="1">
      <c r="Q79" s="61"/>
    </row>
    <row r="80" spans="17:17" s="10" customFormat="1">
      <c r="Q80" s="61"/>
    </row>
    <row r="81" spans="17:17" s="10" customFormat="1">
      <c r="Q81" s="61"/>
    </row>
    <row r="82" spans="17:17" s="10" customFormat="1">
      <c r="Q82" s="61"/>
    </row>
    <row r="83" spans="17:17" s="10" customFormat="1">
      <c r="Q83" s="61"/>
    </row>
    <row r="84" spans="17:17" s="10" customFormat="1">
      <c r="Q84" s="61"/>
    </row>
    <row r="85" spans="17:17" s="10" customFormat="1">
      <c r="Q85" s="61"/>
    </row>
    <row r="86" spans="17:17" s="10" customFormat="1">
      <c r="Q86" s="61"/>
    </row>
    <row r="87" spans="17:17" s="10" customFormat="1">
      <c r="Q87" s="61"/>
    </row>
    <row r="88" spans="17:17" s="10" customFormat="1">
      <c r="Q88" s="61"/>
    </row>
    <row r="89" spans="17:17" s="10" customFormat="1">
      <c r="Q89" s="61"/>
    </row>
    <row r="90" spans="17:17" s="10" customFormat="1">
      <c r="Q90" s="61"/>
    </row>
    <row r="91" spans="17:17" s="10" customFormat="1">
      <c r="Q91" s="61"/>
    </row>
    <row r="92" spans="17:17" s="10" customFormat="1">
      <c r="Q92" s="61"/>
    </row>
    <row r="93" spans="17:17" s="10" customFormat="1">
      <c r="Q93" s="61"/>
    </row>
    <row r="94" spans="17:17" s="10" customFormat="1">
      <c r="Q94" s="61"/>
    </row>
    <row r="95" spans="17:17" s="10" customFormat="1">
      <c r="Q95" s="61"/>
    </row>
    <row r="96" spans="17:17" s="10" customFormat="1">
      <c r="Q96" s="61"/>
    </row>
    <row r="97" spans="17:17" s="10" customFormat="1">
      <c r="Q97" s="61"/>
    </row>
    <row r="98" spans="17:17" s="10" customFormat="1">
      <c r="Q98" s="61"/>
    </row>
    <row r="99" spans="17:17" s="10" customFormat="1">
      <c r="Q99" s="61"/>
    </row>
    <row r="100" spans="17:17" s="10" customFormat="1">
      <c r="Q100" s="61"/>
    </row>
    <row r="101" spans="17:17" s="10" customFormat="1">
      <c r="Q101" s="61"/>
    </row>
    <row r="102" spans="17:17" s="10" customFormat="1">
      <c r="Q102" s="61"/>
    </row>
    <row r="103" spans="17:17" s="10" customFormat="1">
      <c r="Q103" s="61"/>
    </row>
    <row r="104" spans="17:17" s="10" customFormat="1">
      <c r="Q104" s="61"/>
    </row>
    <row r="105" spans="17:17" s="10" customFormat="1">
      <c r="Q105" s="61"/>
    </row>
    <row r="106" spans="17:17" s="10" customFormat="1">
      <c r="Q106" s="61"/>
    </row>
    <row r="107" spans="17:17" s="10" customFormat="1">
      <c r="Q107" s="61"/>
    </row>
    <row r="108" spans="17:17" s="10" customFormat="1">
      <c r="Q108" s="61"/>
    </row>
    <row r="109" spans="17:17" s="10" customFormat="1">
      <c r="Q109" s="61"/>
    </row>
    <row r="110" spans="17:17" s="10" customFormat="1">
      <c r="Q110" s="61"/>
    </row>
    <row r="111" spans="17:17" s="10" customFormat="1">
      <c r="Q111" s="61"/>
    </row>
    <row r="112" spans="17:17" s="10" customFormat="1">
      <c r="Q112" s="61"/>
    </row>
    <row r="113" spans="17:17" s="10" customFormat="1">
      <c r="Q113" s="61"/>
    </row>
    <row r="114" spans="17:17" s="10" customFormat="1">
      <c r="Q114" s="61"/>
    </row>
    <row r="115" spans="17:17" s="10" customFormat="1">
      <c r="Q115" s="61"/>
    </row>
    <row r="116" spans="17:17" s="10" customFormat="1">
      <c r="Q116" s="61"/>
    </row>
    <row r="117" spans="17:17" s="10" customFormat="1">
      <c r="Q117" s="61"/>
    </row>
    <row r="118" spans="17:17" s="10" customFormat="1">
      <c r="Q118" s="61"/>
    </row>
    <row r="119" spans="17:17" s="10" customFormat="1">
      <c r="Q119" s="61"/>
    </row>
    <row r="120" spans="17:17" s="10" customFormat="1">
      <c r="Q120" s="61"/>
    </row>
    <row r="121" spans="17:17" s="10" customFormat="1">
      <c r="Q121" s="61"/>
    </row>
    <row r="122" spans="17:17" s="10" customFormat="1">
      <c r="Q122" s="61"/>
    </row>
    <row r="123" spans="17:17" s="10" customFormat="1">
      <c r="Q123" s="61"/>
    </row>
    <row r="124" spans="17:17" s="10" customFormat="1">
      <c r="Q124" s="61"/>
    </row>
    <row r="125" spans="17:17" s="10" customFormat="1">
      <c r="Q125" s="61"/>
    </row>
    <row r="126" spans="17:17" s="10" customFormat="1">
      <c r="Q126" s="61"/>
    </row>
    <row r="127" spans="17:17" s="10" customFormat="1">
      <c r="Q127" s="61"/>
    </row>
    <row r="128" spans="17:17" s="10" customFormat="1">
      <c r="Q128" s="61"/>
    </row>
    <row r="129" spans="17:17" s="10" customFormat="1">
      <c r="Q129" s="61"/>
    </row>
    <row r="130" spans="17:17" s="10" customFormat="1">
      <c r="Q130" s="61"/>
    </row>
    <row r="131" spans="17:17" s="10" customFormat="1">
      <c r="Q131" s="61"/>
    </row>
    <row r="132" spans="17:17" s="10" customFormat="1">
      <c r="Q132" s="61"/>
    </row>
    <row r="133" spans="17:17" s="10" customFormat="1">
      <c r="Q133" s="61"/>
    </row>
    <row r="134" spans="17:17" s="10" customFormat="1">
      <c r="Q134" s="61"/>
    </row>
    <row r="135" spans="17:17" s="10" customFormat="1">
      <c r="Q135" s="61"/>
    </row>
    <row r="136" spans="17:17" s="10" customFormat="1">
      <c r="Q136" s="61"/>
    </row>
    <row r="137" spans="17:17" s="10" customFormat="1">
      <c r="Q137" s="61"/>
    </row>
    <row r="138" spans="17:17" s="10" customFormat="1">
      <c r="Q138" s="61"/>
    </row>
    <row r="139" spans="17:17" s="10" customFormat="1">
      <c r="Q139" s="61"/>
    </row>
    <row r="140" spans="17:17" s="10" customFormat="1">
      <c r="Q140" s="61"/>
    </row>
    <row r="141" spans="17:17" s="10" customFormat="1">
      <c r="Q141" s="61"/>
    </row>
    <row r="142" spans="17:17" s="10" customFormat="1">
      <c r="Q142" s="61"/>
    </row>
    <row r="143" spans="17:17" s="10" customFormat="1">
      <c r="Q143" s="61"/>
    </row>
    <row r="144" spans="17:17" s="10" customFormat="1">
      <c r="Q144" s="61"/>
    </row>
    <row r="145" spans="17:17" s="10" customFormat="1">
      <c r="Q145" s="61"/>
    </row>
    <row r="146" spans="17:17" s="10" customFormat="1">
      <c r="Q146" s="61"/>
    </row>
    <row r="147" spans="17:17" s="10" customFormat="1">
      <c r="Q147" s="61"/>
    </row>
    <row r="148" spans="17:17" s="10" customFormat="1">
      <c r="Q148" s="61"/>
    </row>
    <row r="149" spans="17:17" s="10" customFormat="1">
      <c r="Q149" s="61"/>
    </row>
    <row r="150" spans="17:17" s="10" customFormat="1">
      <c r="Q150" s="61"/>
    </row>
    <row r="151" spans="17:17" s="10" customFormat="1">
      <c r="Q151" s="61"/>
    </row>
    <row r="152" spans="17:17" s="10" customFormat="1">
      <c r="Q152" s="61"/>
    </row>
    <row r="153" spans="17:17" s="10" customFormat="1">
      <c r="Q153" s="61"/>
    </row>
    <row r="154" spans="17:17" s="10" customFormat="1">
      <c r="Q154" s="61"/>
    </row>
    <row r="155" spans="17:17" s="10" customFormat="1">
      <c r="Q155" s="61"/>
    </row>
    <row r="156" spans="17:17" s="10" customFormat="1">
      <c r="Q156" s="61"/>
    </row>
    <row r="157" spans="17:17" s="10" customFormat="1">
      <c r="Q157" s="61"/>
    </row>
    <row r="158" spans="17:17" s="10" customFormat="1">
      <c r="Q158" s="61"/>
    </row>
    <row r="159" spans="17:17" s="10" customFormat="1">
      <c r="Q159" s="61"/>
    </row>
    <row r="160" spans="17:17" s="10" customFormat="1">
      <c r="Q160" s="61"/>
    </row>
    <row r="161" spans="17:17" s="10" customFormat="1">
      <c r="Q161" s="61"/>
    </row>
    <row r="162" spans="17:17" s="10" customFormat="1">
      <c r="Q162" s="61"/>
    </row>
    <row r="163" spans="17:17" s="10" customFormat="1">
      <c r="Q163" s="61"/>
    </row>
    <row r="164" spans="17:17" s="10" customFormat="1">
      <c r="Q164" s="61"/>
    </row>
    <row r="165" spans="17:17" s="10" customFormat="1">
      <c r="Q165" s="61"/>
    </row>
    <row r="166" spans="17:17" s="10" customFormat="1">
      <c r="Q166" s="61"/>
    </row>
    <row r="167" spans="17:17" s="10" customFormat="1">
      <c r="Q167" s="61"/>
    </row>
    <row r="168" spans="17:17" s="10" customFormat="1">
      <c r="Q168" s="61"/>
    </row>
    <row r="169" spans="17:17" s="10" customFormat="1">
      <c r="Q169" s="61"/>
    </row>
    <row r="170" spans="17:17" s="10" customFormat="1">
      <c r="Q170" s="61"/>
    </row>
    <row r="171" spans="17:17" s="10" customFormat="1">
      <c r="Q171" s="61"/>
    </row>
    <row r="172" spans="17:17" s="10" customFormat="1">
      <c r="Q172" s="61"/>
    </row>
    <row r="173" spans="17:17" s="10" customFormat="1">
      <c r="Q173" s="61"/>
    </row>
    <row r="174" spans="17:17" s="10" customFormat="1">
      <c r="Q174" s="61"/>
    </row>
    <row r="175" spans="17:17" s="10" customFormat="1">
      <c r="Q175" s="61"/>
    </row>
    <row r="176" spans="17:17" s="10" customFormat="1">
      <c r="Q176" s="61"/>
    </row>
    <row r="177" spans="17:17" s="10" customFormat="1">
      <c r="Q177" s="61"/>
    </row>
    <row r="178" spans="17:17" s="10" customFormat="1">
      <c r="Q178" s="61"/>
    </row>
    <row r="179" spans="17:17" s="10" customFormat="1">
      <c r="Q179" s="61"/>
    </row>
    <row r="180" spans="17:17" s="10" customFormat="1">
      <c r="Q180" s="61"/>
    </row>
    <row r="181" spans="17:17" s="10" customFormat="1">
      <c r="Q181" s="61"/>
    </row>
    <row r="182" spans="17:17" s="10" customFormat="1">
      <c r="Q182" s="61"/>
    </row>
    <row r="183" spans="17:17" s="10" customFormat="1">
      <c r="Q183" s="61"/>
    </row>
    <row r="184" spans="17:17" s="10" customFormat="1">
      <c r="Q184" s="61"/>
    </row>
    <row r="185" spans="17:17" s="10" customFormat="1">
      <c r="Q185" s="61"/>
    </row>
    <row r="186" spans="17:17" s="10" customFormat="1">
      <c r="Q186" s="61"/>
    </row>
    <row r="187" spans="17:17" s="10" customFormat="1">
      <c r="Q187" s="61"/>
    </row>
    <row r="188" spans="17:17" s="10" customFormat="1">
      <c r="Q188" s="61"/>
    </row>
    <row r="189" spans="17:17" s="10" customFormat="1">
      <c r="Q189" s="61"/>
    </row>
    <row r="190" spans="17:17" s="10" customFormat="1">
      <c r="Q190" s="61"/>
    </row>
    <row r="191" spans="17:17" s="10" customFormat="1">
      <c r="Q191" s="61"/>
    </row>
    <row r="192" spans="17:17" s="10" customFormat="1">
      <c r="Q192" s="61"/>
    </row>
    <row r="193" spans="17:17" s="10" customFormat="1">
      <c r="Q193" s="61"/>
    </row>
    <row r="194" spans="17:17" s="10" customFormat="1">
      <c r="Q194" s="61"/>
    </row>
    <row r="195" spans="17:17" s="10" customFormat="1">
      <c r="Q195" s="61"/>
    </row>
    <row r="196" spans="17:17" s="10" customFormat="1">
      <c r="Q196" s="61"/>
    </row>
    <row r="197" spans="17:17" s="10" customFormat="1">
      <c r="Q197" s="61"/>
    </row>
    <row r="198" spans="17:17" s="10" customFormat="1">
      <c r="Q198" s="61"/>
    </row>
    <row r="199" spans="17:17" s="10" customFormat="1">
      <c r="Q199" s="61"/>
    </row>
    <row r="200" spans="17:17" s="10" customFormat="1">
      <c r="Q200" s="61"/>
    </row>
    <row r="201" spans="17:17" s="10" customFormat="1">
      <c r="Q201" s="61"/>
    </row>
    <row r="202" spans="17:17" s="10" customFormat="1">
      <c r="Q202" s="61"/>
    </row>
    <row r="203" spans="17:17" s="10" customFormat="1">
      <c r="Q203" s="61"/>
    </row>
    <row r="204" spans="17:17" s="10" customFormat="1">
      <c r="Q204" s="61"/>
    </row>
    <row r="205" spans="17:17" s="10" customFormat="1">
      <c r="Q205" s="61"/>
    </row>
    <row r="206" spans="17:17" s="10" customFormat="1">
      <c r="Q206" s="61"/>
    </row>
    <row r="207" spans="17:17" s="10" customFormat="1">
      <c r="Q207" s="61"/>
    </row>
    <row r="208" spans="17:17" s="10" customFormat="1">
      <c r="Q208" s="61"/>
    </row>
    <row r="209" spans="17:17" s="10" customFormat="1">
      <c r="Q209" s="61"/>
    </row>
    <row r="210" spans="17:17" s="10" customFormat="1">
      <c r="Q210" s="61"/>
    </row>
    <row r="211" spans="17:17" s="10" customFormat="1">
      <c r="Q211" s="61"/>
    </row>
    <row r="212" spans="17:17" s="10" customFormat="1">
      <c r="Q212" s="61"/>
    </row>
    <row r="213" spans="17:17" s="10" customFormat="1">
      <c r="Q213" s="61"/>
    </row>
    <row r="214" spans="17:17" s="10" customFormat="1">
      <c r="Q214" s="61"/>
    </row>
    <row r="215" spans="17:17" s="10" customFormat="1">
      <c r="Q215" s="61"/>
    </row>
    <row r="216" spans="17:17" s="10" customFormat="1">
      <c r="Q216" s="61"/>
    </row>
    <row r="217" spans="17:17" s="10" customFormat="1">
      <c r="Q217" s="61"/>
    </row>
    <row r="218" spans="17:17" s="10" customFormat="1">
      <c r="Q218" s="61"/>
    </row>
    <row r="219" spans="17:17" s="10" customFormat="1">
      <c r="Q219" s="61"/>
    </row>
    <row r="220" spans="17:17" s="10" customFormat="1">
      <c r="Q220" s="61"/>
    </row>
    <row r="221" spans="17:17" s="10" customFormat="1">
      <c r="Q221" s="61"/>
    </row>
    <row r="222" spans="17:17" s="10" customFormat="1">
      <c r="Q222" s="61"/>
    </row>
    <row r="223" spans="17:17" s="10" customFormat="1">
      <c r="Q223" s="61"/>
    </row>
    <row r="224" spans="17:17" s="10" customFormat="1">
      <c r="Q224" s="61"/>
    </row>
    <row r="225" spans="17:17" s="10" customFormat="1">
      <c r="Q225" s="61"/>
    </row>
    <row r="226" spans="17:17" s="10" customFormat="1">
      <c r="Q226" s="61"/>
    </row>
    <row r="227" spans="17:17" s="10" customFormat="1">
      <c r="Q227" s="61"/>
    </row>
    <row r="228" spans="17:17" s="10" customFormat="1">
      <c r="Q228" s="61"/>
    </row>
    <row r="229" spans="17:17" s="10" customFormat="1">
      <c r="Q229" s="61"/>
    </row>
    <row r="230" spans="17:17" s="10" customFormat="1">
      <c r="Q230" s="61"/>
    </row>
    <row r="231" spans="17:17" s="10" customFormat="1">
      <c r="Q231" s="61"/>
    </row>
    <row r="232" spans="17:17" s="10" customFormat="1">
      <c r="Q232" s="61"/>
    </row>
    <row r="233" spans="17:17" s="10" customFormat="1">
      <c r="Q233" s="61"/>
    </row>
    <row r="234" spans="17:17" s="10" customFormat="1">
      <c r="Q234" s="61"/>
    </row>
    <row r="235" spans="17:17" s="10" customFormat="1">
      <c r="Q235" s="61"/>
    </row>
    <row r="236" spans="17:17" s="10" customFormat="1">
      <c r="Q236" s="61"/>
    </row>
    <row r="237" spans="17:17" s="10" customFormat="1">
      <c r="Q237" s="61"/>
    </row>
    <row r="238" spans="17:17" s="10" customFormat="1">
      <c r="Q238" s="61"/>
    </row>
    <row r="239" spans="17:17" s="10" customFormat="1">
      <c r="Q239" s="61"/>
    </row>
    <row r="240" spans="17:17" s="10" customFormat="1">
      <c r="Q240" s="61"/>
    </row>
    <row r="241" spans="17:17" s="10" customFormat="1">
      <c r="Q241" s="61"/>
    </row>
    <row r="242" spans="17:17" s="10" customFormat="1">
      <c r="Q242" s="61"/>
    </row>
    <row r="243" spans="17:17" s="10" customFormat="1">
      <c r="Q243" s="61"/>
    </row>
    <row r="244" spans="17:17" s="10" customFormat="1">
      <c r="Q244" s="61"/>
    </row>
    <row r="245" spans="17:17" s="10" customFormat="1">
      <c r="Q245" s="61"/>
    </row>
    <row r="246" spans="17:17" s="10" customFormat="1">
      <c r="Q246" s="61"/>
    </row>
    <row r="247" spans="17:17" s="10" customFormat="1">
      <c r="Q247" s="61"/>
    </row>
    <row r="248" spans="17:17" s="10" customFormat="1">
      <c r="Q248" s="61"/>
    </row>
    <row r="249" spans="17:17" s="10" customFormat="1">
      <c r="Q249" s="61"/>
    </row>
    <row r="250" spans="17:17" s="10" customFormat="1">
      <c r="Q250" s="61"/>
    </row>
    <row r="251" spans="17:17" s="10" customFormat="1">
      <c r="Q251" s="61"/>
    </row>
    <row r="252" spans="17:17" s="10" customFormat="1">
      <c r="Q252" s="61"/>
    </row>
    <row r="253" spans="17:17" s="10" customFormat="1">
      <c r="Q253" s="61"/>
    </row>
    <row r="254" spans="17:17" s="10" customFormat="1">
      <c r="Q254" s="61"/>
    </row>
    <row r="255" spans="17:17" s="10" customFormat="1">
      <c r="Q255" s="61"/>
    </row>
    <row r="256" spans="17:17" s="10" customFormat="1">
      <c r="Q256" s="61"/>
    </row>
    <row r="257" spans="17:17" s="10" customFormat="1">
      <c r="Q257" s="61"/>
    </row>
    <row r="258" spans="17:17" s="10" customFormat="1">
      <c r="Q258" s="61"/>
    </row>
    <row r="259" spans="17:17" s="10" customFormat="1">
      <c r="Q259" s="61"/>
    </row>
    <row r="260" spans="17:17" s="10" customFormat="1">
      <c r="Q260" s="61"/>
    </row>
    <row r="261" spans="17:17" s="10" customFormat="1">
      <c r="Q261" s="61"/>
    </row>
    <row r="262" spans="17:17" s="10" customFormat="1">
      <c r="Q262" s="61"/>
    </row>
    <row r="263" spans="17:17" s="10" customFormat="1">
      <c r="Q263" s="61"/>
    </row>
    <row r="264" spans="17:17" s="10" customFormat="1">
      <c r="Q264" s="61"/>
    </row>
    <row r="265" spans="17:17" s="10" customFormat="1">
      <c r="Q265" s="61"/>
    </row>
    <row r="266" spans="17:17" s="10" customFormat="1">
      <c r="Q266" s="61"/>
    </row>
    <row r="267" spans="17:17" s="10" customFormat="1">
      <c r="Q267" s="61"/>
    </row>
    <row r="268" spans="17:17" s="10" customFormat="1">
      <c r="Q268" s="61"/>
    </row>
    <row r="269" spans="17:17" s="10" customFormat="1">
      <c r="Q269" s="61"/>
    </row>
    <row r="270" spans="17:17" s="10" customFormat="1">
      <c r="Q270" s="61"/>
    </row>
    <row r="271" spans="17:17" s="10" customFormat="1">
      <c r="Q271" s="61"/>
    </row>
    <row r="272" spans="17:17" s="10" customFormat="1">
      <c r="Q272" s="61"/>
    </row>
    <row r="273" spans="17:17" s="10" customFormat="1">
      <c r="Q273" s="61"/>
    </row>
    <row r="274" spans="17:17" s="10" customFormat="1">
      <c r="Q274" s="61"/>
    </row>
    <row r="275" spans="17:17" s="10" customFormat="1">
      <c r="Q275" s="61"/>
    </row>
    <row r="276" spans="17:17" s="10" customFormat="1">
      <c r="Q276" s="61"/>
    </row>
    <row r="277" spans="17:17" s="10" customFormat="1">
      <c r="Q277" s="61"/>
    </row>
    <row r="278" spans="17:17" s="10" customFormat="1">
      <c r="Q278" s="61"/>
    </row>
    <row r="279" spans="17:17" s="10" customFormat="1">
      <c r="Q279" s="61"/>
    </row>
    <row r="280" spans="17:17" s="10" customFormat="1">
      <c r="Q280" s="61"/>
    </row>
    <row r="281" spans="17:17" s="10" customFormat="1">
      <c r="Q281" s="61"/>
    </row>
    <row r="282" spans="17:17" s="10" customFormat="1">
      <c r="Q282" s="61"/>
    </row>
    <row r="283" spans="17:17" s="10" customFormat="1">
      <c r="Q283" s="61"/>
    </row>
    <row r="284" spans="17:17" s="10" customFormat="1">
      <c r="Q284" s="61"/>
    </row>
    <row r="285" spans="17:17" s="10" customFormat="1">
      <c r="Q285" s="61"/>
    </row>
    <row r="286" spans="17:17" s="10" customFormat="1">
      <c r="Q286" s="61"/>
    </row>
    <row r="287" spans="17:17" s="10" customFormat="1">
      <c r="Q287" s="61"/>
    </row>
    <row r="288" spans="17:17" s="10" customFormat="1">
      <c r="Q288" s="61"/>
    </row>
    <row r="289" spans="17:17" s="10" customFormat="1">
      <c r="Q289" s="61"/>
    </row>
    <row r="290" spans="17:17" s="10" customFormat="1">
      <c r="Q290" s="61"/>
    </row>
    <row r="291" spans="17:17" s="10" customFormat="1">
      <c r="Q291" s="61"/>
    </row>
    <row r="292" spans="17:17" s="10" customFormat="1">
      <c r="Q292" s="61"/>
    </row>
    <row r="293" spans="17:17" s="10" customFormat="1">
      <c r="Q293" s="61"/>
    </row>
    <row r="294" spans="17:17" s="10" customFormat="1">
      <c r="Q294" s="61"/>
    </row>
    <row r="295" spans="17:17" s="10" customFormat="1">
      <c r="Q295" s="61"/>
    </row>
    <row r="296" spans="17:17" s="10" customFormat="1">
      <c r="Q296" s="61"/>
    </row>
    <row r="297" spans="17:17" s="10" customFormat="1">
      <c r="Q297" s="61"/>
    </row>
    <row r="298" spans="17:17" s="10" customFormat="1">
      <c r="Q298" s="61"/>
    </row>
    <row r="299" spans="17:17" s="10" customFormat="1">
      <c r="Q299" s="61"/>
    </row>
    <row r="300" spans="17:17" s="10" customFormat="1">
      <c r="Q300" s="61"/>
    </row>
    <row r="301" spans="17:17" s="10" customFormat="1">
      <c r="Q301" s="61"/>
    </row>
    <row r="302" spans="17:17" s="10" customFormat="1">
      <c r="Q302" s="61"/>
    </row>
    <row r="303" spans="17:17" s="10" customFormat="1">
      <c r="Q303" s="61"/>
    </row>
    <row r="304" spans="17:17" s="10" customFormat="1">
      <c r="Q304" s="61"/>
    </row>
    <row r="305" spans="17:17" s="10" customFormat="1">
      <c r="Q305" s="61"/>
    </row>
    <row r="306" spans="17:17" s="10" customFormat="1">
      <c r="Q306" s="61"/>
    </row>
    <row r="307" spans="17:17" s="10" customFormat="1">
      <c r="Q307" s="61"/>
    </row>
    <row r="308" spans="17:17" s="10" customFormat="1">
      <c r="Q308" s="61"/>
    </row>
    <row r="309" spans="17:17" s="10" customFormat="1">
      <c r="Q309" s="61"/>
    </row>
    <row r="310" spans="17:17" s="10" customFormat="1">
      <c r="Q310" s="61"/>
    </row>
    <row r="311" spans="17:17" s="10" customFormat="1">
      <c r="Q311" s="61"/>
    </row>
    <row r="312" spans="17:17" s="10" customFormat="1">
      <c r="Q312" s="61"/>
    </row>
    <row r="313" spans="17:17" s="10" customFormat="1">
      <c r="Q313" s="61"/>
    </row>
    <row r="314" spans="17:17" s="10" customFormat="1">
      <c r="Q314" s="61"/>
    </row>
    <row r="315" spans="17:17" s="10" customFormat="1">
      <c r="Q315" s="61"/>
    </row>
    <row r="316" spans="17:17" s="10" customFormat="1">
      <c r="Q316" s="61"/>
    </row>
    <row r="317" spans="17:17" s="10" customFormat="1">
      <c r="Q317" s="61"/>
    </row>
    <row r="318" spans="17:17" s="10" customFormat="1">
      <c r="Q318" s="61"/>
    </row>
    <row r="319" spans="17:17" s="10" customFormat="1">
      <c r="Q319" s="61"/>
    </row>
    <row r="320" spans="17:17" s="10" customFormat="1">
      <c r="Q320" s="61"/>
    </row>
    <row r="321" spans="17:17" s="10" customFormat="1">
      <c r="Q321" s="61"/>
    </row>
    <row r="322" spans="17:17" s="10" customFormat="1">
      <c r="Q322" s="61"/>
    </row>
    <row r="323" spans="17:17" s="10" customFormat="1">
      <c r="Q323" s="61"/>
    </row>
    <row r="324" spans="17:17" s="10" customFormat="1">
      <c r="Q324" s="61"/>
    </row>
    <row r="325" spans="17:17" s="10" customFormat="1">
      <c r="Q325" s="61"/>
    </row>
    <row r="326" spans="17:17" s="10" customFormat="1">
      <c r="Q326" s="61"/>
    </row>
    <row r="327" spans="17:17" s="10" customFormat="1">
      <c r="Q327" s="61"/>
    </row>
    <row r="328" spans="17:17" s="10" customFormat="1">
      <c r="Q328" s="61"/>
    </row>
    <row r="329" spans="17:17" s="10" customFormat="1">
      <c r="Q329" s="61"/>
    </row>
    <row r="330" spans="17:17" s="10" customFormat="1">
      <c r="Q330" s="61"/>
    </row>
    <row r="331" spans="17:17" s="10" customFormat="1">
      <c r="Q331" s="61"/>
    </row>
    <row r="332" spans="17:17" s="10" customFormat="1">
      <c r="Q332" s="61"/>
    </row>
    <row r="333" spans="17:17" s="10" customFormat="1">
      <c r="Q333" s="61"/>
    </row>
    <row r="334" spans="17:17" s="10" customFormat="1">
      <c r="Q334" s="61"/>
    </row>
    <row r="335" spans="17:17" s="10" customFormat="1">
      <c r="Q335" s="61"/>
    </row>
    <row r="336" spans="17:17" s="10" customFormat="1">
      <c r="Q336" s="61"/>
    </row>
    <row r="337" spans="17:17" s="10" customFormat="1">
      <c r="Q337" s="61"/>
    </row>
    <row r="338" spans="17:17" s="10" customFormat="1">
      <c r="Q338" s="61"/>
    </row>
    <row r="339" spans="17:17" s="10" customFormat="1">
      <c r="Q339" s="61"/>
    </row>
    <row r="340" spans="17:17" s="10" customFormat="1">
      <c r="Q340" s="61"/>
    </row>
    <row r="341" spans="17:17" s="10" customFormat="1">
      <c r="Q341" s="61"/>
    </row>
    <row r="342" spans="17:17" s="10" customFormat="1">
      <c r="Q342" s="61"/>
    </row>
    <row r="343" spans="17:17" s="10" customFormat="1">
      <c r="Q343" s="61"/>
    </row>
    <row r="344" spans="17:17" s="10" customFormat="1">
      <c r="Q344" s="61"/>
    </row>
    <row r="345" spans="17:17" s="10" customFormat="1">
      <c r="Q345" s="61"/>
    </row>
    <row r="346" spans="17:17" s="10" customFormat="1">
      <c r="Q346" s="61"/>
    </row>
    <row r="347" spans="17:17" s="10" customFormat="1">
      <c r="Q347" s="61"/>
    </row>
    <row r="348" spans="17:17" s="10" customFormat="1">
      <c r="Q348" s="61"/>
    </row>
    <row r="349" spans="17:17" s="10" customFormat="1">
      <c r="Q349" s="61"/>
    </row>
    <row r="350" spans="17:17" s="10" customFormat="1">
      <c r="Q350" s="61"/>
    </row>
    <row r="351" spans="17:17" s="10" customFormat="1">
      <c r="Q351" s="61"/>
    </row>
    <row r="352" spans="17:17" s="10" customFormat="1">
      <c r="Q352" s="61"/>
    </row>
    <row r="353" spans="17:17" s="10" customFormat="1">
      <c r="Q353" s="61"/>
    </row>
    <row r="354" spans="17:17" s="10" customFormat="1">
      <c r="Q354" s="61"/>
    </row>
    <row r="355" spans="17:17" s="10" customFormat="1">
      <c r="Q355" s="61"/>
    </row>
    <row r="356" spans="17:17" s="10" customFormat="1">
      <c r="Q356" s="61"/>
    </row>
    <row r="357" spans="17:17" s="10" customFormat="1">
      <c r="Q357" s="61"/>
    </row>
    <row r="358" spans="17:17" s="10" customFormat="1">
      <c r="Q358" s="61"/>
    </row>
    <row r="359" spans="17:17" s="10" customFormat="1">
      <c r="Q359" s="61"/>
    </row>
    <row r="360" spans="17:17" s="10" customFormat="1">
      <c r="Q360" s="61"/>
    </row>
    <row r="361" spans="17:17" s="10" customFormat="1">
      <c r="Q361" s="61"/>
    </row>
    <row r="362" spans="17:17" s="10" customFormat="1">
      <c r="Q362" s="61"/>
    </row>
    <row r="363" spans="17:17" s="10" customFormat="1">
      <c r="Q363" s="61"/>
    </row>
    <row r="364" spans="17:17" s="10" customFormat="1">
      <c r="Q364" s="61"/>
    </row>
    <row r="365" spans="17:17" s="10" customFormat="1">
      <c r="Q365" s="61"/>
    </row>
    <row r="366" spans="17:17" s="10" customFormat="1">
      <c r="Q366" s="61"/>
    </row>
    <row r="367" spans="17:17" s="10" customFormat="1">
      <c r="Q367" s="61"/>
    </row>
    <row r="368" spans="17:17" s="10" customFormat="1">
      <c r="Q368" s="61"/>
    </row>
    <row r="369" spans="17:17" s="10" customFormat="1">
      <c r="Q369" s="61"/>
    </row>
    <row r="370" spans="17:17" s="10" customFormat="1">
      <c r="Q370" s="61"/>
    </row>
    <row r="371" spans="17:17" s="10" customFormat="1">
      <c r="Q371" s="61"/>
    </row>
    <row r="372" spans="17:17" s="10" customFormat="1">
      <c r="Q372" s="61"/>
    </row>
    <row r="373" spans="17:17" s="10" customFormat="1">
      <c r="Q373" s="61"/>
    </row>
    <row r="374" spans="17:17" s="10" customFormat="1">
      <c r="Q374" s="61"/>
    </row>
    <row r="375" spans="17:17" s="10" customFormat="1">
      <c r="Q375" s="61"/>
    </row>
    <row r="376" spans="17:17" s="10" customFormat="1">
      <c r="Q376" s="61"/>
    </row>
    <row r="377" spans="17:17" s="10" customFormat="1">
      <c r="Q377" s="61"/>
    </row>
    <row r="378" spans="17:17" s="10" customFormat="1">
      <c r="Q378" s="61"/>
    </row>
    <row r="379" spans="17:17" s="10" customFormat="1">
      <c r="Q379" s="61"/>
    </row>
    <row r="380" spans="17:17" s="10" customFormat="1">
      <c r="Q380" s="61"/>
    </row>
    <row r="381" spans="17:17" s="10" customFormat="1">
      <c r="Q381" s="61"/>
    </row>
    <row r="382" spans="17:17" s="10" customFormat="1">
      <c r="Q382" s="61"/>
    </row>
    <row r="383" spans="17:17" s="10" customFormat="1">
      <c r="Q383" s="61"/>
    </row>
    <row r="384" spans="17:17" s="10" customFormat="1">
      <c r="Q384" s="61"/>
    </row>
    <row r="385" spans="17:17" s="10" customFormat="1">
      <c r="Q385" s="61"/>
    </row>
    <row r="386" spans="17:17" s="10" customFormat="1">
      <c r="Q386" s="61"/>
    </row>
    <row r="387" spans="17:17" s="10" customFormat="1">
      <c r="Q387" s="61"/>
    </row>
    <row r="388" spans="17:17" s="10" customFormat="1">
      <c r="Q388" s="61"/>
    </row>
    <row r="389" spans="17:17" s="10" customFormat="1">
      <c r="Q389" s="61"/>
    </row>
    <row r="390" spans="17:17" s="10" customFormat="1">
      <c r="Q390" s="61"/>
    </row>
    <row r="391" spans="17:17" s="10" customFormat="1">
      <c r="Q391" s="61"/>
    </row>
    <row r="392" spans="17:17" s="10" customFormat="1">
      <c r="Q392" s="61"/>
    </row>
    <row r="393" spans="17:17" s="10" customFormat="1">
      <c r="Q393" s="61"/>
    </row>
    <row r="394" spans="17:17" s="10" customFormat="1">
      <c r="Q394" s="61"/>
    </row>
    <row r="395" spans="17:17" s="10" customFormat="1">
      <c r="Q395" s="61"/>
    </row>
    <row r="396" spans="17:17" s="10" customFormat="1">
      <c r="Q396" s="61"/>
    </row>
    <row r="397" spans="17:17" s="10" customFormat="1">
      <c r="Q397" s="61"/>
    </row>
    <row r="398" spans="17:17" s="10" customFormat="1">
      <c r="Q398" s="61"/>
    </row>
    <row r="399" spans="17:17" s="10" customFormat="1">
      <c r="Q399" s="61"/>
    </row>
    <row r="400" spans="17:17" s="10" customFormat="1">
      <c r="Q400" s="61"/>
    </row>
    <row r="401" spans="17:17" s="10" customFormat="1">
      <c r="Q401" s="61"/>
    </row>
    <row r="402" spans="17:17" s="10" customFormat="1">
      <c r="Q402" s="61"/>
    </row>
    <row r="403" spans="17:17" s="10" customFormat="1">
      <c r="Q403" s="61"/>
    </row>
    <row r="404" spans="17:17" s="10" customFormat="1">
      <c r="Q404" s="61"/>
    </row>
    <row r="405" spans="17:17" s="10" customFormat="1">
      <c r="Q405" s="61"/>
    </row>
    <row r="406" spans="17:17" s="10" customFormat="1">
      <c r="Q406" s="61"/>
    </row>
    <row r="407" spans="17:17" s="10" customFormat="1">
      <c r="Q407" s="61"/>
    </row>
    <row r="408" spans="17:17" s="10" customFormat="1">
      <c r="Q408" s="61"/>
    </row>
    <row r="409" spans="17:17" s="10" customFormat="1">
      <c r="Q409" s="61"/>
    </row>
    <row r="410" spans="17:17" s="10" customFormat="1">
      <c r="Q410" s="61"/>
    </row>
    <row r="411" spans="17:17" s="10" customFormat="1">
      <c r="Q411" s="61"/>
    </row>
    <row r="412" spans="17:17" s="10" customFormat="1">
      <c r="Q412" s="61"/>
    </row>
    <row r="413" spans="17:17" s="10" customFormat="1">
      <c r="Q413" s="61"/>
    </row>
    <row r="414" spans="17:17" s="10" customFormat="1">
      <c r="Q414" s="61"/>
    </row>
    <row r="415" spans="17:17" s="10" customFormat="1">
      <c r="Q415" s="61"/>
    </row>
    <row r="416" spans="17:17" s="10" customFormat="1">
      <c r="Q416" s="61"/>
    </row>
    <row r="417" spans="17:17" s="10" customFormat="1">
      <c r="Q417" s="61"/>
    </row>
    <row r="418" spans="17:17" s="10" customFormat="1">
      <c r="Q418" s="61"/>
    </row>
    <row r="419" spans="17:17" s="10" customFormat="1">
      <c r="Q419" s="61"/>
    </row>
    <row r="420" spans="17:17" s="10" customFormat="1">
      <c r="Q420" s="61"/>
    </row>
    <row r="421" spans="17:17" s="10" customFormat="1">
      <c r="Q421" s="61"/>
    </row>
    <row r="422" spans="17:17" s="10" customFormat="1">
      <c r="Q422" s="61"/>
    </row>
    <row r="423" spans="17:17" s="10" customFormat="1">
      <c r="Q423" s="61"/>
    </row>
    <row r="424" spans="17:17" s="10" customFormat="1">
      <c r="Q424" s="61"/>
    </row>
    <row r="425" spans="17:17" s="10" customFormat="1">
      <c r="Q425" s="61"/>
    </row>
    <row r="426" spans="17:17" s="10" customFormat="1">
      <c r="Q426" s="61"/>
    </row>
    <row r="427" spans="17:17" s="10" customFormat="1">
      <c r="Q427" s="61"/>
    </row>
    <row r="428" spans="17:17" s="10" customFormat="1">
      <c r="Q428" s="61"/>
    </row>
    <row r="429" spans="17:17" s="10" customFormat="1">
      <c r="Q429" s="61"/>
    </row>
    <row r="430" spans="17:17" s="10" customFormat="1">
      <c r="Q430" s="61"/>
    </row>
    <row r="431" spans="17:17" s="10" customFormat="1">
      <c r="Q431" s="61"/>
    </row>
    <row r="432" spans="17:17" s="10" customFormat="1">
      <c r="Q432" s="61"/>
    </row>
    <row r="433" spans="17:17" s="10" customFormat="1">
      <c r="Q433" s="61"/>
    </row>
    <row r="434" spans="17:17" s="10" customFormat="1">
      <c r="Q434" s="61"/>
    </row>
    <row r="435" spans="17:17" s="10" customFormat="1">
      <c r="Q435" s="61"/>
    </row>
    <row r="436" spans="17:17" s="10" customFormat="1">
      <c r="Q436" s="61"/>
    </row>
    <row r="437" spans="17:17" s="10" customFormat="1">
      <c r="Q437" s="61"/>
    </row>
    <row r="438" spans="17:17" s="10" customFormat="1">
      <c r="Q438" s="61"/>
    </row>
    <row r="439" spans="17:17" s="10" customFormat="1">
      <c r="Q439" s="61"/>
    </row>
    <row r="440" spans="17:17" s="10" customFormat="1">
      <c r="Q440" s="61"/>
    </row>
    <row r="441" spans="17:17" s="10" customFormat="1">
      <c r="Q441" s="61"/>
    </row>
    <row r="442" spans="17:17" s="10" customFormat="1">
      <c r="Q442" s="61"/>
    </row>
    <row r="443" spans="17:17" s="10" customFormat="1">
      <c r="Q443" s="61"/>
    </row>
    <row r="444" spans="17:17" s="10" customFormat="1">
      <c r="Q444" s="61"/>
    </row>
    <row r="445" spans="17:17" s="10" customFormat="1">
      <c r="Q445" s="61"/>
    </row>
    <row r="446" spans="17:17" s="10" customFormat="1">
      <c r="Q446" s="61"/>
    </row>
    <row r="447" spans="17:17" s="10" customFormat="1">
      <c r="Q447" s="61"/>
    </row>
    <row r="448" spans="17:17" s="10" customFormat="1">
      <c r="Q448" s="61"/>
    </row>
    <row r="449" spans="17:17" s="10" customFormat="1">
      <c r="Q449" s="61"/>
    </row>
    <row r="450" spans="17:17" s="10" customFormat="1">
      <c r="Q450" s="61"/>
    </row>
    <row r="451" spans="17:17" s="10" customFormat="1">
      <c r="Q451" s="61"/>
    </row>
    <row r="452" spans="17:17" s="10" customFormat="1">
      <c r="Q452" s="61"/>
    </row>
    <row r="453" spans="17:17" s="10" customFormat="1">
      <c r="Q453" s="61"/>
    </row>
    <row r="454" spans="17:17" s="10" customFormat="1">
      <c r="Q454" s="61"/>
    </row>
    <row r="455" spans="17:17" s="10" customFormat="1">
      <c r="Q455" s="61"/>
    </row>
    <row r="456" spans="17:17" s="10" customFormat="1">
      <c r="Q456" s="61"/>
    </row>
    <row r="457" spans="17:17" s="10" customFormat="1">
      <c r="Q457" s="61"/>
    </row>
    <row r="458" spans="17:17" s="10" customFormat="1">
      <c r="Q458" s="61"/>
    </row>
    <row r="459" spans="17:17" s="10" customFormat="1">
      <c r="Q459" s="61"/>
    </row>
    <row r="460" spans="17:17" s="10" customFormat="1">
      <c r="Q460" s="61"/>
    </row>
    <row r="461" spans="17:17" s="10" customFormat="1">
      <c r="Q461" s="61"/>
    </row>
    <row r="462" spans="17:17" s="10" customFormat="1">
      <c r="Q462" s="61"/>
    </row>
    <row r="463" spans="17:17" s="10" customFormat="1">
      <c r="Q463" s="61"/>
    </row>
    <row r="464" spans="17:17" s="10" customFormat="1">
      <c r="Q464" s="61"/>
    </row>
    <row r="465" spans="17:17" s="10" customFormat="1">
      <c r="Q465" s="61"/>
    </row>
    <row r="466" spans="17:17" s="10" customFormat="1">
      <c r="Q466" s="61"/>
    </row>
    <row r="467" spans="17:17" s="10" customFormat="1">
      <c r="Q467" s="61"/>
    </row>
    <row r="468" spans="17:17" s="10" customFormat="1">
      <c r="Q468" s="61"/>
    </row>
    <row r="469" spans="17:17" s="10" customFormat="1">
      <c r="Q469" s="61"/>
    </row>
    <row r="470" spans="17:17" s="10" customFormat="1">
      <c r="Q470" s="61"/>
    </row>
    <row r="471" spans="17:17" s="10" customFormat="1">
      <c r="Q471" s="61"/>
    </row>
    <row r="472" spans="17:17" s="10" customFormat="1">
      <c r="Q472" s="61"/>
    </row>
    <row r="473" spans="17:17" s="10" customFormat="1">
      <c r="Q473" s="61"/>
    </row>
    <row r="474" spans="17:17" s="10" customFormat="1">
      <c r="Q474" s="61"/>
    </row>
    <row r="475" spans="17:17" s="10" customFormat="1">
      <c r="Q475" s="61"/>
    </row>
    <row r="476" spans="17:17" s="10" customFormat="1">
      <c r="Q476" s="61"/>
    </row>
    <row r="477" spans="17:17" s="10" customFormat="1">
      <c r="Q477" s="61"/>
    </row>
    <row r="478" spans="17:17" s="10" customFormat="1">
      <c r="Q478" s="61"/>
    </row>
    <row r="479" spans="17:17" s="10" customFormat="1">
      <c r="Q479" s="61"/>
    </row>
    <row r="480" spans="17:17" s="10" customFormat="1">
      <c r="Q480" s="61"/>
    </row>
    <row r="481" spans="17:17" s="10" customFormat="1">
      <c r="Q481" s="61"/>
    </row>
    <row r="482" spans="17:17" s="10" customFormat="1">
      <c r="Q482" s="61"/>
    </row>
    <row r="483" spans="17:17" s="10" customFormat="1">
      <c r="Q483" s="61"/>
    </row>
    <row r="484" spans="17:17" s="10" customFormat="1">
      <c r="Q484" s="61"/>
    </row>
    <row r="485" spans="17:17" s="10" customFormat="1">
      <c r="Q485" s="61"/>
    </row>
    <row r="486" spans="17:17" s="10" customFormat="1">
      <c r="Q486" s="61"/>
    </row>
    <row r="487" spans="17:17" s="10" customFormat="1">
      <c r="Q487" s="61"/>
    </row>
    <row r="488" spans="17:17" s="10" customFormat="1">
      <c r="Q488" s="61"/>
    </row>
    <row r="489" spans="17:17" s="10" customFormat="1">
      <c r="Q489" s="61"/>
    </row>
    <row r="490" spans="17:17" s="10" customFormat="1">
      <c r="Q490" s="61"/>
    </row>
    <row r="491" spans="17:17" s="10" customFormat="1">
      <c r="Q491" s="61"/>
    </row>
    <row r="492" spans="17:17" s="10" customFormat="1">
      <c r="Q492" s="61"/>
    </row>
    <row r="493" spans="17:17" s="10" customFormat="1">
      <c r="Q493" s="61"/>
    </row>
    <row r="494" spans="17:17" s="10" customFormat="1">
      <c r="Q494" s="61"/>
    </row>
    <row r="495" spans="17:17" s="10" customFormat="1">
      <c r="Q495" s="61"/>
    </row>
    <row r="496" spans="17:17" s="10" customFormat="1">
      <c r="Q496" s="61"/>
    </row>
    <row r="497" spans="17:17" s="10" customFormat="1">
      <c r="Q497" s="61"/>
    </row>
    <row r="498" spans="17:17" s="10" customFormat="1">
      <c r="Q498" s="61"/>
    </row>
    <row r="499" spans="17:17" s="10" customFormat="1">
      <c r="Q499" s="61"/>
    </row>
    <row r="500" spans="17:17" s="10" customFormat="1">
      <c r="Q500" s="61"/>
    </row>
    <row r="501" spans="17:17" s="10" customFormat="1">
      <c r="Q501" s="61"/>
    </row>
    <row r="502" spans="17:17" s="10" customFormat="1">
      <c r="Q502" s="61"/>
    </row>
    <row r="503" spans="17:17" s="10" customFormat="1">
      <c r="Q503" s="61"/>
    </row>
    <row r="504" spans="17:17" s="10" customFormat="1">
      <c r="Q504" s="61"/>
    </row>
    <row r="505" spans="17:17" s="10" customFormat="1">
      <c r="Q505" s="61"/>
    </row>
    <row r="506" spans="17:17" s="10" customFormat="1">
      <c r="Q506" s="61"/>
    </row>
    <row r="507" spans="17:17" s="10" customFormat="1">
      <c r="Q507" s="61"/>
    </row>
    <row r="508" spans="17:17" s="10" customFormat="1">
      <c r="Q508" s="61"/>
    </row>
    <row r="509" spans="17:17" s="10" customFormat="1">
      <c r="Q509" s="61"/>
    </row>
    <row r="510" spans="17:17" s="10" customFormat="1">
      <c r="Q510" s="61"/>
    </row>
    <row r="511" spans="17:17" s="10" customFormat="1">
      <c r="Q511" s="61"/>
    </row>
    <row r="512" spans="17:17" s="10" customFormat="1">
      <c r="Q512" s="61"/>
    </row>
    <row r="513" spans="17:17" s="10" customFormat="1">
      <c r="Q513" s="61"/>
    </row>
    <row r="514" spans="17:17" s="10" customFormat="1">
      <c r="Q514" s="61"/>
    </row>
    <row r="515" spans="17:17" s="10" customFormat="1">
      <c r="Q515" s="61"/>
    </row>
    <row r="516" spans="17:17" s="10" customFormat="1">
      <c r="Q516" s="61"/>
    </row>
    <row r="517" spans="17:17" s="10" customFormat="1">
      <c r="Q517" s="61"/>
    </row>
    <row r="518" spans="17:17" s="10" customFormat="1">
      <c r="Q518" s="61"/>
    </row>
    <row r="519" spans="17:17" s="10" customFormat="1">
      <c r="Q519" s="61"/>
    </row>
    <row r="520" spans="17:17" s="10" customFormat="1">
      <c r="Q520" s="61"/>
    </row>
    <row r="521" spans="17:17" s="10" customFormat="1">
      <c r="Q521" s="61"/>
    </row>
    <row r="522" spans="17:17" s="10" customFormat="1">
      <c r="Q522" s="61"/>
    </row>
    <row r="523" spans="17:17" s="10" customFormat="1">
      <c r="Q523" s="61"/>
    </row>
    <row r="524" spans="17:17" s="10" customFormat="1">
      <c r="Q524" s="61"/>
    </row>
    <row r="525" spans="17:17" s="10" customFormat="1">
      <c r="Q525" s="61"/>
    </row>
    <row r="526" spans="17:17" s="10" customFormat="1">
      <c r="Q526" s="61"/>
    </row>
    <row r="527" spans="17:17" s="10" customFormat="1">
      <c r="Q527" s="61"/>
    </row>
    <row r="528" spans="17:17" s="10" customFormat="1">
      <c r="Q528" s="61"/>
    </row>
    <row r="529" spans="17:17" s="10" customFormat="1">
      <c r="Q529" s="61"/>
    </row>
    <row r="530" spans="17:17" s="10" customFormat="1">
      <c r="Q530" s="61"/>
    </row>
    <row r="531" spans="17:17" s="10" customFormat="1">
      <c r="Q531" s="61"/>
    </row>
    <row r="532" spans="17:17" s="10" customFormat="1">
      <c r="Q532" s="61"/>
    </row>
    <row r="533" spans="17:17" s="10" customFormat="1">
      <c r="Q533" s="61"/>
    </row>
    <row r="534" spans="17:17" s="10" customFormat="1">
      <c r="Q534" s="61"/>
    </row>
    <row r="535" spans="17:17" s="10" customFormat="1">
      <c r="Q535" s="61"/>
    </row>
    <row r="536" spans="17:17" s="10" customFormat="1">
      <c r="Q536" s="61"/>
    </row>
    <row r="537" spans="17:17" s="10" customFormat="1">
      <c r="Q537" s="61"/>
    </row>
    <row r="538" spans="17:17" s="10" customFormat="1">
      <c r="Q538" s="61"/>
    </row>
    <row r="539" spans="17:17" s="10" customFormat="1">
      <c r="Q539" s="61"/>
    </row>
    <row r="540" spans="17:17" s="10" customFormat="1">
      <c r="Q540" s="61"/>
    </row>
    <row r="541" spans="17:17" s="10" customFormat="1">
      <c r="Q541" s="61"/>
    </row>
    <row r="542" spans="17:17" s="10" customFormat="1">
      <c r="Q542" s="61"/>
    </row>
    <row r="543" spans="17:17" s="10" customFormat="1">
      <c r="Q543" s="61"/>
    </row>
    <row r="544" spans="17:17" s="10" customFormat="1">
      <c r="Q544" s="61"/>
    </row>
    <row r="545" spans="17:17" s="10" customFormat="1">
      <c r="Q545" s="61"/>
    </row>
    <row r="546" spans="17:17" s="10" customFormat="1">
      <c r="Q546" s="61"/>
    </row>
    <row r="547" spans="17:17" s="10" customFormat="1">
      <c r="Q547" s="61"/>
    </row>
    <row r="548" spans="17:17" s="10" customFormat="1">
      <c r="Q548" s="61"/>
    </row>
  </sheetData>
  <mergeCells count="15">
    <mergeCell ref="A34:Q34"/>
    <mergeCell ref="R4:R7"/>
    <mergeCell ref="B5:B6"/>
    <mergeCell ref="G4:K4"/>
    <mergeCell ref="G5:G6"/>
    <mergeCell ref="I5:K5"/>
    <mergeCell ref="A1:Q1"/>
    <mergeCell ref="A2:Q2"/>
    <mergeCell ref="A4:A7"/>
    <mergeCell ref="B4:F4"/>
    <mergeCell ref="Q4:Q7"/>
    <mergeCell ref="D5:F5"/>
    <mergeCell ref="L4:P4"/>
    <mergeCell ref="L5:L6"/>
    <mergeCell ref="N5:P5"/>
  </mergeCells>
  <pageMargins left="0.7" right="0.7" top="0.75" bottom="0.75" header="0.3" footer="0.3"/>
  <pageSetup paperSize="9" scale="36" orientation="portrait" horizontalDpi="4294967295" verticalDpi="4294967295" r:id="rId1"/>
  <rowBreaks count="1" manualBreakCount="1">
    <brk id="56" max="17" man="1"/>
  </rowBreaks>
  <colBreaks count="1" manualBreakCount="1">
    <brk id="18" max="1048575" man="1"/>
  </colBreaks>
  <ignoredErrors>
    <ignoredError sqref="B8 E8:F8 D21:D33 D9:D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8.19</vt:lpstr>
      <vt:lpstr>'8.19'!Print_Area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2021-09-28T04:25:02Z</dcterms:modified>
</cp:coreProperties>
</file>