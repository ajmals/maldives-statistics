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8. Law and Order\"/>
    </mc:Choice>
  </mc:AlternateContent>
  <bookViews>
    <workbookView xWindow="0" yWindow="0" windowWidth="28740" windowHeight="11730" tabRatio="719"/>
  </bookViews>
  <sheets>
    <sheet name="8.15" sheetId="14" r:id="rId1"/>
  </sheets>
  <definedNames>
    <definedName name="_xlnm.Print_Area" localSheetId="0">'8.15'!$A$1:$H$35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35" i="14" l="1"/>
  <c r="AG34" i="14"/>
  <c r="AG33" i="14"/>
  <c r="AG32" i="14"/>
  <c r="AG31" i="14"/>
  <c r="AG30" i="14"/>
  <c r="F5" i="14" l="1"/>
  <c r="E5" i="14" l="1"/>
  <c r="D5" i="14" l="1"/>
  <c r="C5" i="14"/>
  <c r="B5" i="14"/>
</calcChain>
</file>

<file path=xl/sharedStrings.xml><?xml version="1.0" encoding="utf-8"?>
<sst xmlns="http://schemas.openxmlformats.org/spreadsheetml/2006/main" count="9" uniqueCount="9">
  <si>
    <t>Total</t>
  </si>
  <si>
    <t>Source: Maldives Police Service</t>
  </si>
  <si>
    <t>ޖުމްލަ</t>
  </si>
  <si>
    <t>މަޢުލޫމާތު ދެއްވީ: މޯލްޑިވްސް ޕޮލިސް ސަރވިސް</t>
  </si>
  <si>
    <t>No. of times arrested</t>
  </si>
  <si>
    <t>ހައްޔަރު ކުރެވުނު އަދަދު</t>
  </si>
  <si>
    <t>more than 6</t>
  </si>
  <si>
    <t xml:space="preserve"> Table 8.15: NUMBER OF  DETAINEES BY NUMBER OF TIMES ARRESTED, 2016 - 2020</t>
  </si>
  <si>
    <t xml:space="preserve">2020 - 2016 ތާވަލު 8.15:  އެކިއެކި މައްސަލަތަކުގައި ހައްޔަރުކުރެވުނު މީހުންގެ ތެރޭން ތަކުރާރުކޮށް ހައްޔަރުކުރެވުނު މީހުންގެ އަދަދު،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</si>
</sst>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6" formatCode="_-* #,##0_-;\-* #,##0_-;_-* &quot;-&quot;??_-;_-@_-"/>
    <numFmt numFmtId="167" formatCode="#,##0.0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Faruma"/>
      <family val="3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11"/>
      <color theme="1"/>
      <name val="Faruma"/>
      <family val="3"/>
    </font>
    <font>
      <b/>
      <sz val="10"/>
      <color theme="1"/>
      <name val="Faruma"/>
      <family val="3"/>
    </font>
    <font>
      <sz val="11"/>
      <color theme="1"/>
      <name val="Faruma"/>
      <family val="3"/>
    </font>
    <font>
      <sz val="11"/>
      <color rgb="FFFF0000"/>
      <name val="Faruma"/>
      <family val="3"/>
    </font>
    <font>
      <sz val="10"/>
      <color rgb="FF000000"/>
      <name val="Faruma"/>
      <family val="3"/>
    </font>
    <font>
      <sz val="10"/>
      <name val="Arial"/>
      <family val="2"/>
    </font>
    <font>
      <b/>
      <sz val="15"/>
      <color theme="3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7">
    <xf numFmtId="0" fontId="0" fillId="0" borderId="0"/>
    <xf numFmtId="166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167" fontId="11" fillId="0" borderId="0"/>
    <xf numFmtId="0" fontId="18" fillId="0" borderId="7" applyNumberFormat="0" applyFill="0" applyAlignment="0" applyProtection="0"/>
    <xf numFmtId="0" fontId="17" fillId="0" borderId="0"/>
    <xf numFmtId="0" fontId="17" fillId="0" borderId="0"/>
  </cellStyleXfs>
  <cellXfs count="37">
    <xf numFmtId="0" fontId="0" fillId="0" borderId="0" xfId="0"/>
    <xf numFmtId="164" fontId="3" fillId="2" borderId="0" xfId="0" applyNumberFormat="1" applyFont="1" applyFill="1" applyBorder="1" applyAlignment="1"/>
    <xf numFmtId="3" fontId="9" fillId="2" borderId="0" xfId="0" applyNumberFormat="1" applyFont="1" applyFill="1" applyBorder="1" applyAlignment="1">
      <alignment horizontal="right" vertical="center"/>
    </xf>
    <xf numFmtId="3" fontId="6" fillId="2" borderId="0" xfId="0" applyNumberFormat="1" applyFont="1" applyFill="1" applyBorder="1" applyAlignment="1">
      <alignment horizontal="center" vertical="center"/>
    </xf>
    <xf numFmtId="0" fontId="7" fillId="2" borderId="0" xfId="0" applyNumberFormat="1" applyFont="1" applyFill="1" applyBorder="1"/>
    <xf numFmtId="0" fontId="7" fillId="2" borderId="0" xfId="0" applyNumberFormat="1" applyFont="1" applyFill="1"/>
    <xf numFmtId="0" fontId="5" fillId="2" borderId="0" xfId="0" applyNumberFormat="1" applyFont="1" applyFill="1" applyBorder="1" applyAlignment="1">
      <alignment vertical="center"/>
    </xf>
    <xf numFmtId="0" fontId="0" fillId="2" borderId="0" xfId="0" applyNumberFormat="1" applyFont="1" applyFill="1"/>
    <xf numFmtId="0" fontId="14" fillId="2" borderId="0" xfId="0" applyNumberFormat="1" applyFont="1" applyFill="1" applyBorder="1" applyAlignment="1"/>
    <xf numFmtId="0" fontId="0" fillId="2" borderId="0" xfId="0" applyNumberFormat="1" applyFont="1" applyFill="1" applyBorder="1"/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0" fontId="12" fillId="2" borderId="0" xfId="0" applyNumberFormat="1" applyFont="1" applyFill="1" applyBorder="1" applyAlignment="1">
      <alignment horizontal="center" vertical="center" wrapText="1"/>
    </xf>
    <xf numFmtId="3" fontId="14" fillId="2" borderId="0" xfId="0" applyNumberFormat="1" applyFont="1" applyFill="1" applyBorder="1" applyAlignment="1">
      <alignment horizontal="center" vertical="center"/>
    </xf>
    <xf numFmtId="3" fontId="1" fillId="2" borderId="0" xfId="0" applyNumberFormat="1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>
      <alignment horizontal="center"/>
    </xf>
    <xf numFmtId="3" fontId="7" fillId="2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>
      <alignment horizontal="right"/>
    </xf>
    <xf numFmtId="3" fontId="0" fillId="2" borderId="0" xfId="0" applyNumberFormat="1" applyFont="1" applyFill="1" applyBorder="1" applyAlignment="1">
      <alignment horizontal="center" vertical="center"/>
    </xf>
    <xf numFmtId="0" fontId="16" fillId="2" borderId="0" xfId="0" applyNumberFormat="1" applyFont="1" applyFill="1" applyBorder="1" applyAlignment="1">
      <alignment vertical="center" wrapText="1"/>
    </xf>
    <xf numFmtId="0" fontId="7" fillId="2" borderId="1" xfId="0" applyNumberFormat="1" applyFont="1" applyFill="1" applyBorder="1" applyAlignment="1">
      <alignment horizontal="center"/>
    </xf>
    <xf numFmtId="0" fontId="7" fillId="2" borderId="1" xfId="0" applyNumberFormat="1" applyFont="1" applyFill="1" applyBorder="1" applyAlignment="1">
      <alignment horizontal="right"/>
    </xf>
    <xf numFmtId="0" fontId="7" fillId="2" borderId="1" xfId="0" applyNumberFormat="1" applyFont="1" applyFill="1" applyBorder="1" applyAlignment="1">
      <alignment horizontal="center" vertical="center"/>
    </xf>
    <xf numFmtId="0" fontId="8" fillId="2" borderId="0" xfId="0" applyNumberFormat="1" applyFont="1" applyFill="1" applyBorder="1" applyAlignment="1">
      <alignment vertical="top"/>
    </xf>
    <xf numFmtId="0" fontId="16" fillId="2" borderId="2" xfId="0" applyNumberFormat="1" applyFont="1" applyFill="1" applyBorder="1" applyAlignment="1">
      <alignment vertical="center"/>
    </xf>
    <xf numFmtId="1" fontId="0" fillId="2" borderId="0" xfId="0" applyNumberFormat="1" applyFont="1" applyFill="1"/>
    <xf numFmtId="1" fontId="0" fillId="2" borderId="0" xfId="0" applyNumberFormat="1" applyFont="1" applyFill="1" applyBorder="1" applyAlignment="1">
      <alignment horizontal="center" vertical="center"/>
    </xf>
    <xf numFmtId="0" fontId="0" fillId="2" borderId="0" xfId="0" applyNumberFormat="1" applyFill="1"/>
    <xf numFmtId="3" fontId="7" fillId="2" borderId="1" xfId="0" applyNumberFormat="1" applyFont="1" applyFill="1" applyBorder="1" applyAlignment="1">
      <alignment horizontal="right"/>
    </xf>
    <xf numFmtId="3" fontId="0" fillId="2" borderId="0" xfId="0" applyNumberFormat="1" applyFont="1" applyFill="1"/>
    <xf numFmtId="0" fontId="6" fillId="2" borderId="0" xfId="0" applyNumberFormat="1" applyFont="1" applyFill="1" applyBorder="1" applyAlignment="1">
      <alignment horizontal="center" vertical="center"/>
    </xf>
    <xf numFmtId="0" fontId="15" fillId="2" borderId="2" xfId="0" applyNumberFormat="1" applyFont="1" applyFill="1" applyBorder="1" applyAlignment="1">
      <alignment horizontal="center" vertical="center"/>
    </xf>
    <xf numFmtId="0" fontId="13" fillId="2" borderId="2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top"/>
    </xf>
    <xf numFmtId="164" fontId="2" fillId="2" borderId="5" xfId="0" applyNumberFormat="1" applyFont="1" applyFill="1" applyBorder="1" applyAlignment="1">
      <alignment horizontal="center" vertical="top"/>
    </xf>
  </cellXfs>
  <cellStyles count="7">
    <cellStyle name="1" xfId="6"/>
    <cellStyle name="Comma 2" xfId="1"/>
    <cellStyle name="Heading 1 2" xfId="4"/>
    <cellStyle name="Normal" xfId="0" builtinId="0"/>
    <cellStyle name="Normal 2" xfId="5"/>
    <cellStyle name="Normal 3" xfId="3"/>
    <cellStyle name="Percent 2" xfId="2"/>
  </cellStyles>
  <dxfs count="0"/>
  <tableStyles count="0" defaultTableStyle="TableStyleMedium2" defaultPivotStyle="PivotStyleLight16"/>
  <colors>
    <mruColors>
      <color rgb="FF33CCCC"/>
      <color rgb="FFCCF4F2"/>
      <color rgb="FFEAFAFA"/>
      <color rgb="FFFF9900"/>
      <color rgb="FF249390"/>
      <color rgb="FFDDF8F7"/>
      <color rgb="FF006664"/>
      <color rgb="FF008080"/>
      <color rgb="FF196563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20184373339686"/>
          <c:y val="0.1864313720400709"/>
          <c:w val="0.84837646618073692"/>
          <c:h val="0.633872849227180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CCCC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7974727544259318E-2"/>
                  <c:y val="2.059273595488934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2580306737503962E-2"/>
                      <c:h val="8.690115432476075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9D29-43F9-9602-1C5DB511D2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'8.15'!$AF$30:$AF$35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more than 6</c:v>
                </c:pt>
              </c:strCache>
            </c:strRef>
          </c:cat>
          <c:val>
            <c:numRef>
              <c:f>'8.15'!$AG$30:$AG$35</c:f>
              <c:numCache>
                <c:formatCode>#,##0</c:formatCode>
                <c:ptCount val="6"/>
                <c:pt idx="0">
                  <c:v>2907</c:v>
                </c:pt>
                <c:pt idx="1">
                  <c:v>541</c:v>
                </c:pt>
                <c:pt idx="2">
                  <c:v>212</c:v>
                </c:pt>
                <c:pt idx="3">
                  <c:v>91</c:v>
                </c:pt>
                <c:pt idx="4">
                  <c:v>37</c:v>
                </c:pt>
                <c:pt idx="5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57-4F05-9E72-8D4A019D7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33948544"/>
        <c:axId val="133950464"/>
      </c:barChart>
      <c:catAx>
        <c:axId val="13394854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times arrested</a:t>
                </a:r>
              </a:p>
            </c:rich>
          </c:tx>
          <c:layout>
            <c:manualLayout>
              <c:xMode val="edge"/>
              <c:yMode val="edge"/>
              <c:x val="0.41901525978925691"/>
              <c:y val="0.902656268513631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50464"/>
        <c:crosses val="autoZero"/>
        <c:auto val="1"/>
        <c:lblAlgn val="ctr"/>
        <c:lblOffset val="100"/>
        <c:noMultiLvlLbl val="0"/>
      </c:catAx>
      <c:valAx>
        <c:axId val="133950464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rgbClr val="CCF4F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detainees</a:t>
                </a:r>
              </a:p>
            </c:rich>
          </c:tx>
          <c:layout>
            <c:manualLayout>
              <c:xMode val="edge"/>
              <c:yMode val="edge"/>
              <c:x val="2.0294994682925529E-2"/>
              <c:y val="0.294515254544630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8544"/>
        <c:crosses val="autoZero"/>
        <c:crossBetween val="between"/>
      </c:valAx>
      <c:spPr>
        <a:solidFill>
          <a:srgbClr val="EAFAFA"/>
        </a:solidFill>
        <a:ln w="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872235</xdr:colOff>
      <xdr:row>22</xdr:row>
      <xdr:rowOff>112675</xdr:rowOff>
    </xdr:from>
    <xdr:to>
      <xdr:col>6</xdr:col>
      <xdr:colOff>600075</xdr:colOff>
      <xdr:row>33</xdr:row>
      <xdr:rowOff>174656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812686</xdr:colOff>
      <xdr:row>22</xdr:row>
      <xdr:rowOff>198042</xdr:rowOff>
    </xdr:from>
    <xdr:to>
      <xdr:col>5</xdr:col>
      <xdr:colOff>809625</xdr:colOff>
      <xdr:row>23</xdr:row>
      <xdr:rowOff>217094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/>
      </xdr:nvSpPr>
      <xdr:spPr>
        <a:xfrm>
          <a:off x="1831861" y="5522517"/>
          <a:ext cx="3921239" cy="266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j-lt"/>
              <a:ea typeface="+mn-ea"/>
              <a:cs typeface="Consolas" pitchFamily="49" charset="0"/>
            </a:rPr>
            <a:t>Figure 8.20: Detainees arrested by number of times, 2020</a:t>
          </a:r>
          <a:endParaRPr lang="en-US">
            <a:solidFill>
              <a:schemeClr val="tx1">
                <a:lumMod val="75000"/>
                <a:lumOff val="25000"/>
              </a:schemeClr>
            </a:solidFill>
            <a:effectLst/>
            <a:latin typeface="+mj-lt"/>
            <a:cs typeface="Consolas" pitchFamily="49" charset="0"/>
          </a:endParaRPr>
        </a:p>
        <a:p>
          <a:endParaRPr lang="en-US" sz="1100">
            <a:solidFill>
              <a:schemeClr val="tx1">
                <a:lumMod val="75000"/>
                <a:lumOff val="25000"/>
              </a:schemeClr>
            </a:solidFill>
            <a:latin typeface="+mj-lt"/>
            <a:cs typeface="Consolas" pitchFamily="49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92D050"/>
  </sheetPr>
  <dimension ref="A1:AG35"/>
  <sheetViews>
    <sheetView tabSelected="1" zoomScaleNormal="100" workbookViewId="0">
      <selection activeCell="I30" sqref="I30"/>
    </sheetView>
  </sheetViews>
  <sheetFormatPr defaultColWidth="9.140625" defaultRowHeight="19.5" customHeight="1"/>
  <cols>
    <col min="1" max="1" width="15.28515625" style="7" customWidth="1"/>
    <col min="2" max="6" width="14.7109375" style="7" customWidth="1"/>
    <col min="7" max="7" width="31.42578125" style="7" customWidth="1"/>
    <col min="8" max="8" width="2.28515625" style="7" customWidth="1"/>
    <col min="9" max="16384" width="9.140625" style="7"/>
  </cols>
  <sheetData>
    <row r="1" spans="1:27" ht="21">
      <c r="A1" s="33"/>
      <c r="B1" s="33"/>
      <c r="C1" s="33"/>
      <c r="D1" s="33"/>
      <c r="E1" s="33"/>
      <c r="F1" s="33"/>
      <c r="G1" s="33"/>
    </row>
    <row r="2" spans="1:27" ht="21">
      <c r="A2" s="34" t="s">
        <v>8</v>
      </c>
      <c r="B2" s="34"/>
      <c r="C2" s="34"/>
      <c r="D2" s="34"/>
      <c r="E2" s="34"/>
      <c r="F2" s="34"/>
      <c r="G2" s="34"/>
      <c r="H2" s="8"/>
      <c r="I2" s="8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s="5" customFormat="1" ht="23.25" customHeight="1">
      <c r="A3" s="35" t="s">
        <v>7</v>
      </c>
      <c r="B3" s="36"/>
      <c r="C3" s="36"/>
      <c r="D3" s="36"/>
      <c r="E3" s="36"/>
      <c r="F3" s="36"/>
      <c r="G3" s="36"/>
      <c r="H3" s="1"/>
      <c r="I3" s="1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25.5">
      <c r="A4" s="10" t="s">
        <v>4</v>
      </c>
      <c r="B4" s="11">
        <v>2016</v>
      </c>
      <c r="C4" s="11">
        <v>2017</v>
      </c>
      <c r="D4" s="11">
        <v>2018</v>
      </c>
      <c r="E4" s="11">
        <v>2019</v>
      </c>
      <c r="F4" s="11">
        <v>2020</v>
      </c>
      <c r="G4" s="12" t="s">
        <v>5</v>
      </c>
      <c r="H4" s="13"/>
      <c r="I4" s="13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ht="21">
      <c r="A5" s="32" t="s">
        <v>0</v>
      </c>
      <c r="B5" s="2">
        <f>SUM(B6:B18)</f>
        <v>5511</v>
      </c>
      <c r="C5" s="2">
        <f>SUM(C6:C18)</f>
        <v>3961</v>
      </c>
      <c r="D5" s="2">
        <f>SUM(D6:D20)</f>
        <v>2878</v>
      </c>
      <c r="E5" s="2">
        <f>SUM(E6:E20)</f>
        <v>3316</v>
      </c>
      <c r="F5" s="2">
        <f>SUM(F6:F20)</f>
        <v>3819</v>
      </c>
      <c r="G5" s="14" t="s">
        <v>2</v>
      </c>
      <c r="H5" s="15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9.5" customHeight="1">
      <c r="A6" s="16">
        <v>1</v>
      </c>
      <c r="B6" s="17">
        <v>4018</v>
      </c>
      <c r="C6" s="17">
        <v>3064</v>
      </c>
      <c r="D6" s="17">
        <v>2285</v>
      </c>
      <c r="E6" s="17">
        <v>2579</v>
      </c>
      <c r="F6" s="17">
        <v>2907</v>
      </c>
      <c r="G6" s="18">
        <v>1</v>
      </c>
      <c r="H6" s="15"/>
      <c r="I6" s="15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7" ht="19.5" customHeight="1">
      <c r="A7" s="16">
        <v>2</v>
      </c>
      <c r="B7" s="19">
        <v>870</v>
      </c>
      <c r="C7" s="19">
        <v>572</v>
      </c>
      <c r="D7" s="17">
        <v>392</v>
      </c>
      <c r="E7" s="17">
        <v>460</v>
      </c>
      <c r="F7" s="17">
        <v>541</v>
      </c>
      <c r="G7" s="18">
        <v>2</v>
      </c>
      <c r="H7" s="15"/>
      <c r="I7" s="20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7" ht="19.5" customHeight="1">
      <c r="A8" s="16">
        <v>3</v>
      </c>
      <c r="B8" s="19">
        <v>322</v>
      </c>
      <c r="C8" s="19">
        <v>189</v>
      </c>
      <c r="D8" s="17">
        <v>130</v>
      </c>
      <c r="E8" s="17">
        <v>162</v>
      </c>
      <c r="F8" s="17">
        <v>212</v>
      </c>
      <c r="G8" s="18">
        <v>3</v>
      </c>
      <c r="H8" s="15"/>
      <c r="I8" s="20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7" ht="19.5" customHeight="1">
      <c r="A9" s="16">
        <v>4</v>
      </c>
      <c r="B9" s="19">
        <v>146</v>
      </c>
      <c r="C9" s="19">
        <v>77</v>
      </c>
      <c r="D9" s="17">
        <v>39</v>
      </c>
      <c r="E9" s="17">
        <v>68</v>
      </c>
      <c r="F9" s="17">
        <v>91</v>
      </c>
      <c r="G9" s="18">
        <v>4</v>
      </c>
      <c r="H9" s="15"/>
      <c r="I9" s="20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7" ht="19.5" customHeight="1">
      <c r="A10" s="16">
        <v>5</v>
      </c>
      <c r="B10" s="19">
        <v>76</v>
      </c>
      <c r="C10" s="19">
        <v>30</v>
      </c>
      <c r="D10" s="17">
        <v>13</v>
      </c>
      <c r="E10" s="17">
        <v>26</v>
      </c>
      <c r="F10" s="17">
        <v>37</v>
      </c>
      <c r="G10" s="18">
        <v>5</v>
      </c>
      <c r="H10" s="15"/>
      <c r="I10" s="20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7" ht="19.5" customHeight="1">
      <c r="A11" s="16">
        <v>6</v>
      </c>
      <c r="B11" s="19">
        <v>39</v>
      </c>
      <c r="C11" s="19">
        <v>14</v>
      </c>
      <c r="D11" s="17">
        <v>6</v>
      </c>
      <c r="E11" s="17">
        <v>10</v>
      </c>
      <c r="F11" s="17">
        <v>16</v>
      </c>
      <c r="G11" s="18">
        <v>6</v>
      </c>
      <c r="H11" s="15"/>
      <c r="I11" s="20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7" ht="19.5" customHeight="1">
      <c r="A12" s="16">
        <v>7</v>
      </c>
      <c r="B12" s="19">
        <v>17</v>
      </c>
      <c r="C12" s="19">
        <v>8</v>
      </c>
      <c r="D12" s="17">
        <v>4</v>
      </c>
      <c r="E12" s="17">
        <v>5</v>
      </c>
      <c r="F12" s="17">
        <v>10</v>
      </c>
      <c r="G12" s="18">
        <v>7</v>
      </c>
      <c r="H12" s="15"/>
      <c r="I12" s="20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7" ht="19.5" customHeight="1">
      <c r="A13" s="16">
        <v>8</v>
      </c>
      <c r="B13" s="19">
        <v>13</v>
      </c>
      <c r="C13" s="19">
        <v>3</v>
      </c>
      <c r="D13" s="17">
        <v>2</v>
      </c>
      <c r="E13" s="17">
        <v>3</v>
      </c>
      <c r="F13" s="17">
        <v>4</v>
      </c>
      <c r="G13" s="18">
        <v>8</v>
      </c>
      <c r="H13" s="15"/>
      <c r="I13" s="20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7" ht="19.5" customHeight="1">
      <c r="A14" s="16">
        <v>9</v>
      </c>
      <c r="B14" s="19">
        <v>7</v>
      </c>
      <c r="C14" s="19">
        <v>3</v>
      </c>
      <c r="D14" s="17">
        <v>1</v>
      </c>
      <c r="E14" s="17">
        <v>2</v>
      </c>
      <c r="F14" s="17">
        <v>1</v>
      </c>
      <c r="G14" s="18">
        <v>9</v>
      </c>
      <c r="H14" s="15"/>
      <c r="I14" s="20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7" ht="19.5" customHeight="1">
      <c r="A15" s="16">
        <v>10</v>
      </c>
      <c r="B15" s="19">
        <v>2</v>
      </c>
      <c r="C15" s="19">
        <v>1</v>
      </c>
      <c r="D15" s="17">
        <v>1</v>
      </c>
      <c r="E15" s="17">
        <v>1</v>
      </c>
      <c r="F15" s="17">
        <v>0</v>
      </c>
      <c r="G15" s="18">
        <v>10</v>
      </c>
      <c r="H15" s="15"/>
      <c r="I15" s="20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7" ht="18.75">
      <c r="A16" s="16">
        <v>11</v>
      </c>
      <c r="B16" s="19">
        <v>1</v>
      </c>
      <c r="C16" s="19">
        <v>0</v>
      </c>
      <c r="D16" s="17">
        <v>1</v>
      </c>
      <c r="E16" s="17">
        <v>0</v>
      </c>
      <c r="F16" s="17">
        <v>0</v>
      </c>
      <c r="G16" s="18">
        <v>11</v>
      </c>
      <c r="H16" s="15"/>
      <c r="I16" s="21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33" ht="18.75">
      <c r="A17" s="16">
        <v>12</v>
      </c>
      <c r="B17" s="19">
        <v>0</v>
      </c>
      <c r="C17" s="19">
        <v>0</v>
      </c>
      <c r="D17" s="17">
        <v>1</v>
      </c>
      <c r="E17" s="17">
        <v>0</v>
      </c>
      <c r="F17" s="17">
        <v>0</v>
      </c>
      <c r="G17" s="18">
        <v>12</v>
      </c>
      <c r="H17" s="15"/>
      <c r="I17" s="21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33" ht="18.75">
      <c r="A18" s="16">
        <v>13</v>
      </c>
      <c r="B18" s="19">
        <v>0</v>
      </c>
      <c r="C18" s="19">
        <v>0</v>
      </c>
      <c r="D18" s="17">
        <v>1</v>
      </c>
      <c r="E18" s="17">
        <v>0</v>
      </c>
      <c r="F18" s="17">
        <v>0</v>
      </c>
      <c r="G18" s="18">
        <v>13</v>
      </c>
      <c r="H18" s="15"/>
      <c r="I18" s="21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33" ht="18.75">
      <c r="A19" s="16">
        <v>14</v>
      </c>
      <c r="B19" s="19">
        <v>0</v>
      </c>
      <c r="C19" s="19">
        <v>0</v>
      </c>
      <c r="D19" s="17">
        <v>1</v>
      </c>
      <c r="E19" s="17">
        <v>0</v>
      </c>
      <c r="F19" s="17">
        <v>0</v>
      </c>
      <c r="G19" s="18">
        <v>14</v>
      </c>
      <c r="H19" s="15"/>
      <c r="I19" s="21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33" ht="18.75">
      <c r="A20" s="22">
        <v>15</v>
      </c>
      <c r="B20" s="23">
        <v>0</v>
      </c>
      <c r="C20" s="23">
        <v>0</v>
      </c>
      <c r="D20" s="30">
        <v>1</v>
      </c>
      <c r="E20" s="30">
        <v>0</v>
      </c>
      <c r="F20" s="30">
        <v>0</v>
      </c>
      <c r="G20" s="24">
        <v>15</v>
      </c>
      <c r="H20" s="15"/>
      <c r="I20" s="21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33" ht="18.75">
      <c r="A21" s="25" t="s">
        <v>1</v>
      </c>
      <c r="B21" s="26"/>
      <c r="C21" s="26"/>
      <c r="D21" s="26"/>
      <c r="E21" s="26"/>
      <c r="F21" s="26"/>
      <c r="G21" s="26" t="s">
        <v>3</v>
      </c>
      <c r="H21" s="15"/>
      <c r="I21" s="20"/>
    </row>
    <row r="22" spans="1:33" ht="6.75" hidden="1" customHeight="1">
      <c r="A22" s="9"/>
      <c r="B22" s="20"/>
      <c r="C22" s="20"/>
      <c r="D22" s="20"/>
      <c r="E22" s="20"/>
      <c r="F22" s="20"/>
      <c r="G22" s="20"/>
      <c r="H22" s="20"/>
      <c r="I22" s="20"/>
    </row>
    <row r="23" spans="1:33" ht="19.5" customHeight="1">
      <c r="A23" s="9"/>
      <c r="B23" s="20"/>
      <c r="C23" s="20"/>
      <c r="D23" s="20"/>
      <c r="E23" s="20"/>
      <c r="F23" s="20"/>
      <c r="G23" s="20"/>
      <c r="H23" s="20"/>
      <c r="I23" s="20"/>
    </row>
    <row r="24" spans="1:33" ht="19.5" customHeight="1">
      <c r="A24" s="6"/>
      <c r="B24" s="20"/>
      <c r="C24" s="20"/>
      <c r="D24" s="20"/>
      <c r="E24" s="20"/>
      <c r="F24" s="20"/>
      <c r="G24" s="20"/>
      <c r="H24" s="20"/>
      <c r="I24" s="9"/>
    </row>
    <row r="25" spans="1:33" ht="19.5" customHeight="1">
      <c r="A25" s="9"/>
      <c r="B25" s="9"/>
      <c r="C25" s="9"/>
      <c r="D25" s="9"/>
      <c r="E25" s="9"/>
      <c r="F25" s="9"/>
      <c r="G25" s="9"/>
      <c r="H25" s="9"/>
      <c r="I25" s="9"/>
    </row>
    <row r="27" spans="1:33" ht="19.5" customHeight="1">
      <c r="B27" s="27"/>
      <c r="C27" s="27"/>
      <c r="D27" s="27"/>
      <c r="E27" s="27"/>
      <c r="F27" s="27"/>
    </row>
    <row r="28" spans="1:33" ht="19.5" customHeight="1">
      <c r="B28" s="28"/>
      <c r="C28" s="28"/>
      <c r="D28" s="28"/>
      <c r="E28" s="28"/>
      <c r="F28" s="28"/>
      <c r="G28" s="27"/>
    </row>
    <row r="29" spans="1:33" ht="19.5" customHeight="1">
      <c r="B29" s="28"/>
      <c r="C29" s="28"/>
      <c r="D29" s="28"/>
      <c r="E29" s="28"/>
      <c r="F29" s="28"/>
      <c r="G29" s="27"/>
    </row>
    <row r="30" spans="1:33" ht="19.5" customHeight="1">
      <c r="B30" s="28"/>
      <c r="C30" s="28"/>
      <c r="D30" s="28"/>
      <c r="E30" s="28"/>
      <c r="F30" s="28"/>
      <c r="G30" s="27"/>
      <c r="AF30" s="16">
        <v>1</v>
      </c>
      <c r="AG30" s="17">
        <f>F6</f>
        <v>2907</v>
      </c>
    </row>
    <row r="31" spans="1:33" ht="19.5" customHeight="1">
      <c r="B31" s="28"/>
      <c r="C31" s="28"/>
      <c r="D31" s="28"/>
      <c r="E31" s="28"/>
      <c r="F31" s="28"/>
      <c r="G31" s="27"/>
      <c r="AF31" s="16">
        <v>2</v>
      </c>
      <c r="AG31" s="17">
        <f>F7</f>
        <v>541</v>
      </c>
    </row>
    <row r="32" spans="1:33" ht="19.5" customHeight="1">
      <c r="B32" s="28"/>
      <c r="C32" s="28"/>
      <c r="D32" s="28"/>
      <c r="E32" s="28"/>
      <c r="F32" s="28"/>
      <c r="G32" s="27"/>
      <c r="AF32" s="16">
        <v>3</v>
      </c>
      <c r="AG32" s="17">
        <f>F8</f>
        <v>212</v>
      </c>
    </row>
    <row r="33" spans="2:33" ht="19.5" customHeight="1">
      <c r="B33" s="28"/>
      <c r="C33" s="28"/>
      <c r="D33" s="28"/>
      <c r="E33" s="28"/>
      <c r="F33" s="28"/>
      <c r="G33" s="27"/>
      <c r="AF33" s="16">
        <v>4</v>
      </c>
      <c r="AG33" s="17">
        <f>F9</f>
        <v>91</v>
      </c>
    </row>
    <row r="34" spans="2:33" ht="19.5" customHeight="1">
      <c r="AF34" s="16">
        <v>5</v>
      </c>
      <c r="AG34" s="17">
        <f>F10</f>
        <v>37</v>
      </c>
    </row>
    <row r="35" spans="2:33" ht="19.5" customHeight="1">
      <c r="AF35" s="29" t="s">
        <v>6</v>
      </c>
      <c r="AG35" s="31">
        <f>SUM(F11:F20)</f>
        <v>31</v>
      </c>
    </row>
  </sheetData>
  <mergeCells count="3">
    <mergeCell ref="A1:G1"/>
    <mergeCell ref="A2:G2"/>
    <mergeCell ref="A3:G3"/>
  </mergeCells>
  <pageMargins left="0.7" right="0.7" top="0.75" bottom="0.75" header="0.3" footer="0.3"/>
  <pageSetup scale="6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8.15</vt:lpstr>
      <vt:lpstr>'8.15'!Print_Area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2021-09-28T03:25:16Z</cp:lastPrinted>
  <dcterms:created xsi:type="dcterms:W3CDTF">2019-06-30T04:22:49Z</dcterms:created>
  <dcterms:modified xsi:type="dcterms:W3CDTF">2021-09-28T03:25:25Z</dcterms:modified>
</cp:coreProperties>
</file>