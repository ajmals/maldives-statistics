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E:\April 2021\YEARBOOK 2021_ Work from Home\CHECKING\FINAL TABLES\web\8. Law and Order\"/>
    </mc:Choice>
  </mc:AlternateContent>
  <xr:revisionPtr revIDLastSave="0" documentId="13_ncr:1_{98318813-F388-4CA8-B207-1541D19B33DA}" xr6:coauthVersionLast="47" xr6:coauthVersionMax="47" xr10:uidLastSave="{00000000-0000-0000-0000-000000000000}"/>
  <bookViews>
    <workbookView xWindow="-110" yWindow="-110" windowWidth="19420" windowHeight="10420" tabRatio="877" xr2:uid="{00000000-000D-0000-FFFF-FFFF00000000}"/>
  </bookViews>
  <sheets>
    <sheet name="8.66" sheetId="96" r:id="rId1"/>
  </sheets>
  <externalReferences>
    <externalReference r:id="rId2"/>
  </externalReferences>
  <definedNames>
    <definedName name="_xlnm.Print_Area" localSheetId="0">'8.66'!$A$1:$L$27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" i="96" l="1"/>
  <c r="F26" i="96"/>
  <c r="C26" i="96"/>
  <c r="I25" i="96"/>
  <c r="F25" i="96"/>
  <c r="C25" i="96"/>
  <c r="I24" i="96"/>
  <c r="F24" i="96"/>
  <c r="C24" i="96"/>
  <c r="I23" i="96"/>
  <c r="F23" i="96"/>
  <c r="C23" i="96"/>
  <c r="I22" i="96"/>
  <c r="F22" i="96"/>
  <c r="C22" i="96"/>
  <c r="I21" i="96"/>
  <c r="F21" i="96"/>
  <c r="C21" i="96"/>
  <c r="I20" i="96"/>
  <c r="F20" i="96"/>
  <c r="C20" i="96"/>
  <c r="I19" i="96"/>
  <c r="F19" i="96"/>
  <c r="C19" i="96"/>
  <c r="I18" i="96"/>
  <c r="F18" i="96"/>
  <c r="C18" i="96"/>
  <c r="I17" i="96"/>
  <c r="F17" i="96"/>
  <c r="C17" i="96"/>
  <c r="I16" i="96"/>
  <c r="F16" i="96"/>
  <c r="C16" i="96"/>
  <c r="I15" i="96"/>
  <c r="F15" i="96"/>
  <c r="C15" i="96"/>
  <c r="I14" i="96"/>
  <c r="F14" i="96"/>
  <c r="C14" i="96"/>
  <c r="I13" i="96"/>
  <c r="F13" i="96"/>
  <c r="C13" i="96"/>
  <c r="I12" i="96"/>
  <c r="F12" i="96"/>
  <c r="C12" i="96"/>
  <c r="I11" i="96"/>
  <c r="F11" i="96"/>
  <c r="C11" i="96"/>
  <c r="I10" i="96"/>
  <c r="F10" i="96"/>
  <c r="C10" i="96"/>
  <c r="I9" i="96"/>
  <c r="F9" i="96"/>
  <c r="C9" i="96"/>
  <c r="I8" i="96"/>
  <c r="F8" i="96"/>
  <c r="C8" i="96"/>
  <c r="I7" i="96"/>
  <c r="F7" i="96"/>
  <c r="C7" i="96"/>
  <c r="K6" i="96"/>
  <c r="J6" i="96"/>
  <c r="H6" i="96"/>
  <c r="G6" i="96"/>
  <c r="E6" i="96"/>
  <c r="D6" i="96"/>
  <c r="I6" i="96" l="1"/>
  <c r="C6" i="96"/>
  <c r="F6" i="96"/>
</calcChain>
</file>

<file path=xl/sharedStrings.xml><?xml version="1.0" encoding="utf-8"?>
<sst xmlns="http://schemas.openxmlformats.org/spreadsheetml/2006/main" count="57" uniqueCount="51">
  <si>
    <t>Both Sexes</t>
  </si>
  <si>
    <t>Male</t>
  </si>
  <si>
    <t>Female</t>
  </si>
  <si>
    <t xml:space="preserve">Total 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</si>
  <si>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</si>
  <si>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</si>
  <si>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Family and Children Service Centre</t>
  </si>
  <si>
    <t>ފެމިލީ އެންޑް ޗިލްޑްރެން ސަރވިސް ސެންޓަރ</t>
  </si>
  <si>
    <t xml:space="preserve">ޖުމްލަ </t>
  </si>
  <si>
    <t>HA. Dhidhdhoo</t>
  </si>
  <si>
    <t>ހއ.ދިއްދޫ</t>
  </si>
  <si>
    <t>HDh.Kulhuduffushi</t>
  </si>
  <si>
    <t>ހދ.ކުޅުދުއްފުށި</t>
  </si>
  <si>
    <t>Sh.Funadhoo</t>
  </si>
  <si>
    <t>ށ.ފުނަދޫ</t>
  </si>
  <si>
    <t>N.Manadhoo</t>
  </si>
  <si>
    <t>ނ.މަނަދޫ</t>
  </si>
  <si>
    <t>R.Dhuvaafaru</t>
  </si>
  <si>
    <t>ރ.ދުވާފަރު</t>
  </si>
  <si>
    <t>B.Eydhafushi</t>
  </si>
  <si>
    <t>ބ.އޭދަފުށި</t>
  </si>
  <si>
    <t>Lh.Naifaru</t>
  </si>
  <si>
    <t>ޅ.ނައިފަރު</t>
  </si>
  <si>
    <t>K.Male'</t>
  </si>
  <si>
    <t>ކ. މާލެ</t>
  </si>
  <si>
    <t>AA.Rasdhoo</t>
  </si>
  <si>
    <t>އއ.ރަސްދޫ</t>
  </si>
  <si>
    <t>ADh.Mahinbadhoo</t>
  </si>
  <si>
    <t>އދ.މަހިބަދޫ</t>
  </si>
  <si>
    <t>V.Fulhidhoo</t>
  </si>
  <si>
    <t>ވ.ފުލިދޫ</t>
  </si>
  <si>
    <t xml:space="preserve"> M. Mulah  </t>
  </si>
  <si>
    <t>މ.މުލަށް</t>
  </si>
  <si>
    <t xml:space="preserve"> F. Nilandhoo</t>
  </si>
  <si>
    <t>ފ.ނިލަންދޫ</t>
  </si>
  <si>
    <t xml:space="preserve">Dh. Kudahuvadhoo </t>
  </si>
  <si>
    <t>ދ.ކުޑަހުވަދޫ</t>
  </si>
  <si>
    <t xml:space="preserve">Th. Veymandoo </t>
  </si>
  <si>
    <t>ތ.ވޭމަންޑޫ</t>
  </si>
  <si>
    <t xml:space="preserve">L. Funadhoo </t>
  </si>
  <si>
    <t>ލ.ފޮނަދޫ</t>
  </si>
  <si>
    <t>GA.Villingili</t>
  </si>
  <si>
    <t>ގއ.ވިލިގިލި</t>
  </si>
  <si>
    <t>GDh. Thinadhoo</t>
  </si>
  <si>
    <t>ގދ.ތިނަދޫ</t>
  </si>
  <si>
    <t>Gn. Fuvahmulah</t>
  </si>
  <si>
    <t>ޏ.ފުވައްމުލަށް</t>
  </si>
  <si>
    <t xml:space="preserve">S. Hithadhoo </t>
  </si>
  <si>
    <t>ސ.ހިތަދޫ</t>
  </si>
  <si>
    <t>Table 8.66: Number of cases reported to Family and Children Service Centers by Atolls, 2018 - 2020</t>
  </si>
  <si>
    <t>ތާވަލު 8.66: ފެމިލީ އެންޑް ޗިލްޑްރަން ސަރވިސް ސެންޓަރަށް ހުށަހެޅިފައިވާ މައްސަލަތަކުގެ އަދަދު އަދި ޖިންސު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</si>
</sst>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General_)"/>
    <numFmt numFmtId="166" formatCode="_-* #,##0_-;\-* #,##0_-;_-* &quot;-&quot;??_-;_-@_-"/>
    <numFmt numFmtId="167" formatCode="#,##0.0"/>
  </numFmts>
  <fonts count="14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0"/>
      <name val="Faruma"/>
    </font>
    <font>
      <sz val="10"/>
      <name val="Faruma"/>
    </font>
    <font>
      <b/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0" fillId="0" borderId="2" applyNumberFormat="0" applyFill="0" applyAlignment="0" applyProtection="0"/>
    <xf numFmtId="0" fontId="8" fillId="0" borderId="0"/>
    <xf numFmtId="0" fontId="8" fillId="0" borderId="0"/>
  </cellStyleXfs>
  <cellXfs count="32">
    <xf numFmtId="0" fontId="0" fillId="0" borderId="0" xfId="0"/>
    <xf numFmtId="165" fontId="2" fillId="2" borderId="0" xfId="0" applyNumberFormat="1" applyFont="1" applyFill="1"/>
    <xf numFmtId="165" fontId="1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 applyBorder="1" applyAlignment="1">
      <alignment horizontal="right" vertical="center" wrapText="1"/>
    </xf>
    <xf numFmtId="165" fontId="3" fillId="2" borderId="0" xfId="0" applyNumberFormat="1" applyFont="1" applyFill="1"/>
    <xf numFmtId="165" fontId="11" fillId="2" borderId="0" xfId="0" applyNumberFormat="1" applyFont="1" applyFill="1" applyBorder="1" applyAlignment="1">
      <alignment horizontal="right" vertical="center" wrapText="1"/>
    </xf>
    <xf numFmtId="165" fontId="12" fillId="2" borderId="0" xfId="0" applyNumberFormat="1" applyFont="1" applyFill="1" applyBorder="1" applyAlignment="1">
      <alignment vertical="center" readingOrder="2"/>
    </xf>
    <xf numFmtId="165" fontId="1" fillId="2" borderId="4" xfId="0" applyNumberFormat="1" applyFont="1" applyFill="1" applyBorder="1" applyAlignment="1">
      <alignment horizontal="center"/>
    </xf>
    <xf numFmtId="165" fontId="1" fillId="2" borderId="7" xfId="0" applyNumberFormat="1" applyFont="1" applyFill="1" applyBorder="1" applyAlignment="1">
      <alignment horizontal="center" vertical="center" wrapText="1"/>
    </xf>
    <xf numFmtId="165" fontId="2" fillId="2" borderId="0" xfId="0" applyNumberFormat="1" applyFont="1" applyFill="1" applyBorder="1"/>
    <xf numFmtId="165" fontId="1" fillId="2" borderId="0" xfId="0" applyNumberFormat="1" applyFont="1" applyFill="1" applyBorder="1" applyAlignment="1">
      <alignment horizontal="left" vertical="center" wrapText="1"/>
    </xf>
    <xf numFmtId="3" fontId="1" fillId="2" borderId="0" xfId="0" applyNumberFormat="1" applyFont="1" applyFill="1" applyBorder="1" applyAlignment="1">
      <alignment horizontal="right" vertical="center" wrapText="1"/>
    </xf>
    <xf numFmtId="3" fontId="1" fillId="2" borderId="6" xfId="0" applyNumberFormat="1" applyFont="1" applyFill="1" applyBorder="1" applyAlignment="1">
      <alignment horizontal="right" vertical="center" wrapText="1"/>
    </xf>
    <xf numFmtId="165" fontId="2" fillId="2" borderId="0" xfId="0" applyNumberFormat="1" applyFont="1" applyFill="1" applyBorder="1" applyAlignment="1">
      <alignment horizontal="left" indent="1"/>
    </xf>
    <xf numFmtId="3" fontId="2" fillId="2" borderId="0" xfId="0" applyNumberFormat="1" applyFont="1" applyFill="1" applyBorder="1"/>
    <xf numFmtId="3" fontId="2" fillId="2" borderId="6" xfId="0" applyNumberFormat="1" applyFont="1" applyFill="1" applyBorder="1"/>
    <xf numFmtId="165" fontId="12" fillId="2" borderId="0" xfId="0" applyNumberFormat="1" applyFont="1" applyFill="1" applyBorder="1" applyAlignment="1">
      <alignment horizontal="right" vertical="center" indent="2"/>
    </xf>
    <xf numFmtId="165" fontId="2" fillId="2" borderId="1" xfId="0" applyNumberFormat="1" applyFont="1" applyFill="1" applyBorder="1" applyAlignment="1">
      <alignment horizontal="left" indent="1"/>
    </xf>
    <xf numFmtId="165" fontId="2" fillId="2" borderId="1" xfId="0" applyNumberFormat="1" applyFont="1" applyFill="1" applyBorder="1"/>
    <xf numFmtId="3" fontId="2" fillId="2" borderId="1" xfId="0" applyNumberFormat="1" applyFont="1" applyFill="1" applyBorder="1"/>
    <xf numFmtId="165" fontId="12" fillId="2" borderId="1" xfId="0" applyNumberFormat="1" applyFont="1" applyFill="1" applyBorder="1" applyAlignment="1">
      <alignment horizontal="right" vertical="center" indent="2"/>
    </xf>
    <xf numFmtId="165" fontId="5" fillId="2" borderId="3" xfId="0" applyNumberFormat="1" applyFont="1" applyFill="1" applyBorder="1" applyAlignment="1">
      <alignment vertical="top"/>
    </xf>
    <xf numFmtId="165" fontId="4" fillId="2" borderId="3" xfId="0" applyNumberFormat="1" applyFont="1" applyFill="1" applyBorder="1" applyAlignment="1">
      <alignment vertical="top"/>
    </xf>
    <xf numFmtId="165" fontId="12" fillId="2" borderId="3" xfId="0" applyNumberFormat="1" applyFont="1" applyFill="1" applyBorder="1" applyAlignment="1">
      <alignment vertical="center" wrapText="1" readingOrder="2"/>
    </xf>
    <xf numFmtId="165" fontId="1" fillId="2" borderId="4" xfId="0" applyNumberFormat="1" applyFont="1" applyFill="1" applyBorder="1" applyAlignment="1">
      <alignment horizontal="center"/>
    </xf>
    <xf numFmtId="165" fontId="1" fillId="2" borderId="3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/>
    </xf>
    <xf numFmtId="165" fontId="11" fillId="2" borderId="3" xfId="0" applyNumberFormat="1" applyFont="1" applyFill="1" applyBorder="1" applyAlignment="1">
      <alignment horizontal="right" vertical="center" wrapText="1"/>
    </xf>
    <xf numFmtId="165" fontId="11" fillId="2" borderId="1" xfId="0" applyNumberFormat="1" applyFont="1" applyFill="1" applyBorder="1" applyAlignment="1">
      <alignment horizontal="right" vertical="center" wrapText="1"/>
    </xf>
    <xf numFmtId="165" fontId="13" fillId="2" borderId="0" xfId="0" applyNumberFormat="1" applyFont="1" applyFill="1" applyAlignment="1">
      <alignment horizontal="center"/>
    </xf>
    <xf numFmtId="165" fontId="9" fillId="2" borderId="0" xfId="0" applyNumberFormat="1" applyFont="1" applyFill="1" applyAlignment="1">
      <alignment horizont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EAFAFA"/>
      <color rgb="FFFF9900"/>
      <color rgb="FF33CCCC"/>
      <color rgb="FFCCF4F2"/>
      <color rgb="FF008080"/>
      <color rgb="FF249390"/>
      <color rgb="FFDDF8F7"/>
      <color rgb="FF196563"/>
      <color rgb="FF00666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92D050"/>
  </sheetPr>
  <dimension ref="A1:M27"/>
  <sheetViews>
    <sheetView tabSelected="1" zoomScaleNormal="100" workbookViewId="0">
      <selection activeCell="A2" sqref="A2:L2"/>
    </sheetView>
  </sheetViews>
  <sheetFormatPr defaultColWidth="9.1796875" defaultRowHeight="13"/>
  <cols>
    <col min="1" max="1" width="19.453125" style="1" customWidth="1"/>
    <col min="2" max="2" width="0.453125" style="1" customWidth="1"/>
    <col min="3" max="3" width="9.7265625" style="1" customWidth="1"/>
    <col min="4" max="5" width="9.1796875" style="1"/>
    <col min="6" max="6" width="9.7265625" style="1" customWidth="1"/>
    <col min="7" max="8" width="9.1796875" style="1"/>
    <col min="9" max="9" width="9.7265625" style="1" customWidth="1"/>
    <col min="10" max="11" width="9.1796875" style="1"/>
    <col min="12" max="12" width="20.81640625" style="1" customWidth="1"/>
    <col min="13" max="16384" width="9.1796875" style="1"/>
  </cols>
  <sheetData>
    <row r="1" spans="1:13" ht="20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3" ht="14.5">
      <c r="A2" s="31" t="s">
        <v>49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4" spans="1:13" ht="19.5" customHeight="1">
      <c r="A4" s="25" t="s">
        <v>6</v>
      </c>
      <c r="B4" s="7"/>
      <c r="C4" s="27">
        <v>2018</v>
      </c>
      <c r="D4" s="24"/>
      <c r="E4" s="24"/>
      <c r="F4" s="27">
        <v>2019</v>
      </c>
      <c r="G4" s="24"/>
      <c r="H4" s="24"/>
      <c r="I4" s="27">
        <v>2020</v>
      </c>
      <c r="J4" s="24"/>
      <c r="K4" s="24"/>
      <c r="L4" s="28" t="s">
        <v>7</v>
      </c>
    </row>
    <row r="5" spans="1:13" s="9" customFormat="1">
      <c r="A5" s="26"/>
      <c r="B5" s="2"/>
      <c r="C5" s="8" t="s">
        <v>0</v>
      </c>
      <c r="D5" s="2" t="s">
        <v>1</v>
      </c>
      <c r="E5" s="2" t="s">
        <v>2</v>
      </c>
      <c r="F5" s="8" t="s">
        <v>0</v>
      </c>
      <c r="G5" s="2" t="s">
        <v>1</v>
      </c>
      <c r="H5" s="2" t="s">
        <v>2</v>
      </c>
      <c r="I5" s="8" t="s">
        <v>0</v>
      </c>
      <c r="J5" s="2" t="s">
        <v>1</v>
      </c>
      <c r="K5" s="2" t="s">
        <v>2</v>
      </c>
      <c r="L5" s="29"/>
    </row>
    <row r="6" spans="1:13" s="9" customFormat="1" ht="17.5">
      <c r="A6" s="10" t="s">
        <v>3</v>
      </c>
      <c r="B6" s="3"/>
      <c r="C6" s="12">
        <f>SUM(D6:E6)</f>
        <v>2635</v>
      </c>
      <c r="D6" s="11">
        <f>SUM(D7:D26)</f>
        <v>1129</v>
      </c>
      <c r="E6" s="11">
        <f>SUM(E7:E26)</f>
        <v>1506</v>
      </c>
      <c r="F6" s="12">
        <f>SUM(G6:H6)</f>
        <v>2729</v>
      </c>
      <c r="G6" s="11">
        <f>SUM(G7:G26)</f>
        <v>1140</v>
      </c>
      <c r="H6" s="11">
        <f>SUM(H7:H26)</f>
        <v>1589</v>
      </c>
      <c r="I6" s="12">
        <f>SUM(J6:K6)</f>
        <v>2510</v>
      </c>
      <c r="J6" s="11">
        <f>SUM(J7:J26)</f>
        <v>994</v>
      </c>
      <c r="K6" s="11">
        <f>SUM(K7:K26)</f>
        <v>1516</v>
      </c>
      <c r="L6" s="5" t="s">
        <v>8</v>
      </c>
    </row>
    <row r="7" spans="1:13" ht="17.5">
      <c r="A7" s="13" t="s">
        <v>9</v>
      </c>
      <c r="B7" s="9"/>
      <c r="C7" s="15">
        <f t="shared" ref="C7:C26" si="0">SUM(D7:E7)</f>
        <v>91</v>
      </c>
      <c r="D7" s="14">
        <v>41</v>
      </c>
      <c r="E7" s="14">
        <v>50</v>
      </c>
      <c r="F7" s="15">
        <f t="shared" ref="F7:F26" si="1">SUM(G7:H7)</f>
        <v>79</v>
      </c>
      <c r="G7" s="14">
        <v>45</v>
      </c>
      <c r="H7" s="14">
        <v>34</v>
      </c>
      <c r="I7" s="15">
        <f t="shared" ref="I7:I26" si="2">SUM(J7:K7)</f>
        <v>54</v>
      </c>
      <c r="J7" s="14">
        <v>20</v>
      </c>
      <c r="K7" s="14">
        <v>34</v>
      </c>
      <c r="L7" s="16" t="s">
        <v>10</v>
      </c>
    </row>
    <row r="8" spans="1:13" ht="17.5">
      <c r="A8" s="13" t="s">
        <v>11</v>
      </c>
      <c r="B8" s="9"/>
      <c r="C8" s="15">
        <f t="shared" si="0"/>
        <v>118</v>
      </c>
      <c r="D8" s="14">
        <v>48</v>
      </c>
      <c r="E8" s="14">
        <v>70</v>
      </c>
      <c r="F8" s="15">
        <f t="shared" si="1"/>
        <v>129</v>
      </c>
      <c r="G8" s="14">
        <v>49</v>
      </c>
      <c r="H8" s="14">
        <v>80</v>
      </c>
      <c r="I8" s="15">
        <f t="shared" si="2"/>
        <v>138</v>
      </c>
      <c r="J8" s="14">
        <v>60</v>
      </c>
      <c r="K8" s="14">
        <v>78</v>
      </c>
      <c r="L8" s="16" t="s">
        <v>12</v>
      </c>
    </row>
    <row r="9" spans="1:13" ht="17.5">
      <c r="A9" s="13" t="s">
        <v>13</v>
      </c>
      <c r="B9" s="9"/>
      <c r="C9" s="15">
        <f t="shared" si="0"/>
        <v>53</v>
      </c>
      <c r="D9" s="14">
        <v>22</v>
      </c>
      <c r="E9" s="14">
        <v>31</v>
      </c>
      <c r="F9" s="15">
        <f t="shared" si="1"/>
        <v>66</v>
      </c>
      <c r="G9" s="14">
        <v>29</v>
      </c>
      <c r="H9" s="14">
        <v>37</v>
      </c>
      <c r="I9" s="15">
        <f t="shared" si="2"/>
        <v>53</v>
      </c>
      <c r="J9" s="14">
        <v>23</v>
      </c>
      <c r="K9" s="14">
        <v>30</v>
      </c>
      <c r="L9" s="16" t="s">
        <v>14</v>
      </c>
    </row>
    <row r="10" spans="1:13" ht="17.5">
      <c r="A10" s="13" t="s">
        <v>15</v>
      </c>
      <c r="B10" s="9"/>
      <c r="C10" s="15">
        <f t="shared" si="0"/>
        <v>66</v>
      </c>
      <c r="D10" s="14">
        <v>35</v>
      </c>
      <c r="E10" s="14">
        <v>31</v>
      </c>
      <c r="F10" s="15">
        <f t="shared" si="1"/>
        <v>70</v>
      </c>
      <c r="G10" s="14">
        <v>31</v>
      </c>
      <c r="H10" s="14">
        <v>39</v>
      </c>
      <c r="I10" s="15">
        <f t="shared" si="2"/>
        <v>80</v>
      </c>
      <c r="J10" s="14">
        <v>47</v>
      </c>
      <c r="K10" s="14">
        <v>33</v>
      </c>
      <c r="L10" s="16" t="s">
        <v>16</v>
      </c>
    </row>
    <row r="11" spans="1:13" ht="17.5">
      <c r="A11" s="13" t="s">
        <v>17</v>
      </c>
      <c r="B11" s="9"/>
      <c r="C11" s="15">
        <f t="shared" si="0"/>
        <v>58</v>
      </c>
      <c r="D11" s="14">
        <v>23</v>
      </c>
      <c r="E11" s="14">
        <v>35</v>
      </c>
      <c r="F11" s="15">
        <f t="shared" si="1"/>
        <v>83</v>
      </c>
      <c r="G11" s="14">
        <v>36</v>
      </c>
      <c r="H11" s="14">
        <v>47</v>
      </c>
      <c r="I11" s="15">
        <f t="shared" si="2"/>
        <v>66</v>
      </c>
      <c r="J11" s="14">
        <v>15</v>
      </c>
      <c r="K11" s="14">
        <v>51</v>
      </c>
      <c r="L11" s="16" t="s">
        <v>18</v>
      </c>
    </row>
    <row r="12" spans="1:13" ht="17.5">
      <c r="A12" s="13" t="s">
        <v>19</v>
      </c>
      <c r="B12" s="9"/>
      <c r="C12" s="15">
        <f t="shared" si="0"/>
        <v>49</v>
      </c>
      <c r="D12" s="14">
        <v>28</v>
      </c>
      <c r="E12" s="14">
        <v>21</v>
      </c>
      <c r="F12" s="15">
        <f t="shared" si="1"/>
        <v>57</v>
      </c>
      <c r="G12" s="14">
        <v>26</v>
      </c>
      <c r="H12" s="14">
        <v>31</v>
      </c>
      <c r="I12" s="15">
        <f t="shared" si="2"/>
        <v>56</v>
      </c>
      <c r="J12" s="14">
        <v>21</v>
      </c>
      <c r="K12" s="14">
        <v>35</v>
      </c>
      <c r="L12" s="16" t="s">
        <v>20</v>
      </c>
    </row>
    <row r="13" spans="1:13" ht="17.5">
      <c r="A13" s="13" t="s">
        <v>21</v>
      </c>
      <c r="B13" s="9"/>
      <c r="C13" s="15">
        <f t="shared" si="0"/>
        <v>100</v>
      </c>
      <c r="D13" s="14">
        <v>52</v>
      </c>
      <c r="E13" s="14">
        <v>48</v>
      </c>
      <c r="F13" s="15">
        <f t="shared" si="1"/>
        <v>63</v>
      </c>
      <c r="G13" s="14">
        <v>34</v>
      </c>
      <c r="H13" s="14">
        <v>29</v>
      </c>
      <c r="I13" s="15">
        <f t="shared" si="2"/>
        <v>71</v>
      </c>
      <c r="J13" s="14">
        <v>30</v>
      </c>
      <c r="K13" s="14">
        <v>41</v>
      </c>
      <c r="L13" s="16" t="s">
        <v>22</v>
      </c>
    </row>
    <row r="14" spans="1:13" ht="17.5">
      <c r="A14" s="13" t="s">
        <v>23</v>
      </c>
      <c r="B14" s="9"/>
      <c r="C14" s="15">
        <f t="shared" si="0"/>
        <v>898</v>
      </c>
      <c r="D14" s="14">
        <v>369</v>
      </c>
      <c r="E14" s="14">
        <v>529</v>
      </c>
      <c r="F14" s="15">
        <f t="shared" si="1"/>
        <v>1108</v>
      </c>
      <c r="G14" s="14">
        <v>443</v>
      </c>
      <c r="H14" s="14">
        <v>665</v>
      </c>
      <c r="I14" s="15">
        <f t="shared" si="2"/>
        <v>977</v>
      </c>
      <c r="J14" s="14">
        <v>383</v>
      </c>
      <c r="K14" s="14">
        <v>594</v>
      </c>
      <c r="L14" s="16" t="s">
        <v>24</v>
      </c>
      <c r="M14" s="4"/>
    </row>
    <row r="15" spans="1:13" ht="17.5">
      <c r="A15" s="13" t="s">
        <v>25</v>
      </c>
      <c r="B15" s="9"/>
      <c r="C15" s="15">
        <f t="shared" si="0"/>
        <v>86</v>
      </c>
      <c r="D15" s="14">
        <v>34</v>
      </c>
      <c r="E15" s="14">
        <v>52</v>
      </c>
      <c r="F15" s="15">
        <f t="shared" si="1"/>
        <v>47</v>
      </c>
      <c r="G15" s="14">
        <v>20</v>
      </c>
      <c r="H15" s="14">
        <v>27</v>
      </c>
      <c r="I15" s="15">
        <f t="shared" si="2"/>
        <v>36</v>
      </c>
      <c r="J15" s="14">
        <v>3</v>
      </c>
      <c r="K15" s="14">
        <v>33</v>
      </c>
      <c r="L15" s="16" t="s">
        <v>26</v>
      </c>
    </row>
    <row r="16" spans="1:13" ht="17.5">
      <c r="A16" s="13" t="s">
        <v>27</v>
      </c>
      <c r="B16" s="9"/>
      <c r="C16" s="15">
        <f t="shared" si="0"/>
        <v>87</v>
      </c>
      <c r="D16" s="14">
        <v>47</v>
      </c>
      <c r="E16" s="14">
        <v>40</v>
      </c>
      <c r="F16" s="15">
        <f t="shared" si="1"/>
        <v>63</v>
      </c>
      <c r="G16" s="14">
        <v>21</v>
      </c>
      <c r="H16" s="14">
        <v>42</v>
      </c>
      <c r="I16" s="15">
        <f t="shared" si="2"/>
        <v>81</v>
      </c>
      <c r="J16" s="14">
        <v>46</v>
      </c>
      <c r="K16" s="14">
        <v>35</v>
      </c>
      <c r="L16" s="16" t="s">
        <v>28</v>
      </c>
    </row>
    <row r="17" spans="1:12" ht="17.5">
      <c r="A17" s="13" t="s">
        <v>29</v>
      </c>
      <c r="B17" s="9"/>
      <c r="C17" s="15">
        <f t="shared" si="0"/>
        <v>16</v>
      </c>
      <c r="D17" s="14">
        <v>6</v>
      </c>
      <c r="E17" s="14">
        <v>10</v>
      </c>
      <c r="F17" s="15">
        <f t="shared" si="1"/>
        <v>18</v>
      </c>
      <c r="G17" s="14">
        <v>10</v>
      </c>
      <c r="H17" s="14">
        <v>8</v>
      </c>
      <c r="I17" s="15">
        <f t="shared" si="2"/>
        <v>15</v>
      </c>
      <c r="J17" s="14">
        <v>7</v>
      </c>
      <c r="K17" s="14">
        <v>8</v>
      </c>
      <c r="L17" s="16" t="s">
        <v>30</v>
      </c>
    </row>
    <row r="18" spans="1:12" ht="17.5">
      <c r="A18" s="13" t="s">
        <v>31</v>
      </c>
      <c r="B18" s="9"/>
      <c r="C18" s="15">
        <f t="shared" si="0"/>
        <v>17</v>
      </c>
      <c r="D18" s="14">
        <v>4</v>
      </c>
      <c r="E18" s="14">
        <v>13</v>
      </c>
      <c r="F18" s="15">
        <f t="shared" si="1"/>
        <v>12</v>
      </c>
      <c r="G18" s="14">
        <v>8</v>
      </c>
      <c r="H18" s="14">
        <v>4</v>
      </c>
      <c r="I18" s="15">
        <f t="shared" si="2"/>
        <v>12</v>
      </c>
      <c r="J18" s="14">
        <v>4</v>
      </c>
      <c r="K18" s="14">
        <v>8</v>
      </c>
      <c r="L18" s="16" t="s">
        <v>32</v>
      </c>
    </row>
    <row r="19" spans="1:12" ht="17.5">
      <c r="A19" s="13" t="s">
        <v>33</v>
      </c>
      <c r="B19" s="9"/>
      <c r="C19" s="15">
        <f t="shared" si="0"/>
        <v>27</v>
      </c>
      <c r="D19" s="14">
        <v>8</v>
      </c>
      <c r="E19" s="14">
        <v>19</v>
      </c>
      <c r="F19" s="15">
        <f t="shared" si="1"/>
        <v>26</v>
      </c>
      <c r="G19" s="14">
        <v>10</v>
      </c>
      <c r="H19" s="14">
        <v>16</v>
      </c>
      <c r="I19" s="15">
        <f t="shared" si="2"/>
        <v>33</v>
      </c>
      <c r="J19" s="14">
        <v>12</v>
      </c>
      <c r="K19" s="14">
        <v>21</v>
      </c>
      <c r="L19" s="16" t="s">
        <v>34</v>
      </c>
    </row>
    <row r="20" spans="1:12" ht="17.5">
      <c r="A20" s="13" t="s">
        <v>35</v>
      </c>
      <c r="B20" s="9"/>
      <c r="C20" s="15">
        <f t="shared" si="0"/>
        <v>33</v>
      </c>
      <c r="D20" s="14">
        <v>19</v>
      </c>
      <c r="E20" s="14">
        <v>14</v>
      </c>
      <c r="F20" s="15">
        <f t="shared" si="1"/>
        <v>34</v>
      </c>
      <c r="G20" s="14">
        <v>11</v>
      </c>
      <c r="H20" s="14">
        <v>23</v>
      </c>
      <c r="I20" s="15">
        <f t="shared" si="2"/>
        <v>23</v>
      </c>
      <c r="J20" s="14">
        <v>4</v>
      </c>
      <c r="K20" s="14">
        <v>19</v>
      </c>
      <c r="L20" s="16" t="s">
        <v>36</v>
      </c>
    </row>
    <row r="21" spans="1:12" ht="17.5">
      <c r="A21" s="13" t="s">
        <v>37</v>
      </c>
      <c r="B21" s="9"/>
      <c r="C21" s="15">
        <f t="shared" si="0"/>
        <v>43</v>
      </c>
      <c r="D21" s="14">
        <v>17</v>
      </c>
      <c r="E21" s="14">
        <v>26</v>
      </c>
      <c r="F21" s="15">
        <f t="shared" si="1"/>
        <v>52</v>
      </c>
      <c r="G21" s="14">
        <v>13</v>
      </c>
      <c r="H21" s="14">
        <v>39</v>
      </c>
      <c r="I21" s="15">
        <f t="shared" si="2"/>
        <v>47</v>
      </c>
      <c r="J21" s="14">
        <v>20</v>
      </c>
      <c r="K21" s="14">
        <v>27</v>
      </c>
      <c r="L21" s="16" t="s">
        <v>38</v>
      </c>
    </row>
    <row r="22" spans="1:12" ht="17.5">
      <c r="A22" s="13" t="s">
        <v>39</v>
      </c>
      <c r="B22" s="9"/>
      <c r="C22" s="15">
        <f t="shared" si="0"/>
        <v>122</v>
      </c>
      <c r="D22" s="14">
        <v>58</v>
      </c>
      <c r="E22" s="14">
        <v>64</v>
      </c>
      <c r="F22" s="15">
        <f t="shared" si="1"/>
        <v>119</v>
      </c>
      <c r="G22" s="14">
        <v>52</v>
      </c>
      <c r="H22" s="14">
        <v>67</v>
      </c>
      <c r="I22" s="15">
        <f t="shared" si="2"/>
        <v>103</v>
      </c>
      <c r="J22" s="14">
        <v>48</v>
      </c>
      <c r="K22" s="14">
        <v>55</v>
      </c>
      <c r="L22" s="16" t="s">
        <v>40</v>
      </c>
    </row>
    <row r="23" spans="1:12" ht="17.5">
      <c r="A23" s="13" t="s">
        <v>41</v>
      </c>
      <c r="B23" s="9"/>
      <c r="C23" s="15">
        <f t="shared" si="0"/>
        <v>103</v>
      </c>
      <c r="D23" s="14">
        <v>35</v>
      </c>
      <c r="E23" s="14">
        <v>68</v>
      </c>
      <c r="F23" s="15">
        <f t="shared" si="1"/>
        <v>51</v>
      </c>
      <c r="G23" s="14">
        <v>19</v>
      </c>
      <c r="H23" s="14">
        <v>32</v>
      </c>
      <c r="I23" s="15">
        <f t="shared" si="2"/>
        <v>65</v>
      </c>
      <c r="J23" s="14">
        <v>28</v>
      </c>
      <c r="K23" s="14">
        <v>37</v>
      </c>
      <c r="L23" s="16" t="s">
        <v>42</v>
      </c>
    </row>
    <row r="24" spans="1:12" ht="17.5">
      <c r="A24" s="13" t="s">
        <v>43</v>
      </c>
      <c r="B24" s="9"/>
      <c r="C24" s="15">
        <f t="shared" si="0"/>
        <v>171</v>
      </c>
      <c r="D24" s="14">
        <v>69</v>
      </c>
      <c r="E24" s="14">
        <v>102</v>
      </c>
      <c r="F24" s="15">
        <f t="shared" si="1"/>
        <v>196</v>
      </c>
      <c r="G24" s="14">
        <v>86</v>
      </c>
      <c r="H24" s="14">
        <v>110</v>
      </c>
      <c r="I24" s="15">
        <f t="shared" si="2"/>
        <v>173</v>
      </c>
      <c r="J24" s="14">
        <v>56</v>
      </c>
      <c r="K24" s="14">
        <v>117</v>
      </c>
      <c r="L24" s="16" t="s">
        <v>44</v>
      </c>
    </row>
    <row r="25" spans="1:12" ht="17.5">
      <c r="A25" s="13" t="s">
        <v>45</v>
      </c>
      <c r="B25" s="9"/>
      <c r="C25" s="15">
        <f t="shared" si="0"/>
        <v>162</v>
      </c>
      <c r="D25" s="14">
        <v>60</v>
      </c>
      <c r="E25" s="14">
        <v>102</v>
      </c>
      <c r="F25" s="15">
        <f t="shared" si="1"/>
        <v>126</v>
      </c>
      <c r="G25" s="14">
        <v>65</v>
      </c>
      <c r="H25" s="14">
        <v>61</v>
      </c>
      <c r="I25" s="15">
        <f t="shared" si="2"/>
        <v>137</v>
      </c>
      <c r="J25" s="14">
        <v>59</v>
      </c>
      <c r="K25" s="14">
        <v>78</v>
      </c>
      <c r="L25" s="16" t="s">
        <v>46</v>
      </c>
    </row>
    <row r="26" spans="1:12" ht="17.5">
      <c r="A26" s="17" t="s">
        <v>47</v>
      </c>
      <c r="B26" s="18"/>
      <c r="C26" s="15">
        <f t="shared" si="0"/>
        <v>335</v>
      </c>
      <c r="D26" s="19">
        <v>154</v>
      </c>
      <c r="E26" s="19">
        <v>181</v>
      </c>
      <c r="F26" s="15">
        <f t="shared" si="1"/>
        <v>330</v>
      </c>
      <c r="G26" s="19">
        <v>132</v>
      </c>
      <c r="H26" s="19">
        <v>198</v>
      </c>
      <c r="I26" s="15">
        <f t="shared" si="2"/>
        <v>290</v>
      </c>
      <c r="J26" s="19">
        <v>108</v>
      </c>
      <c r="K26" s="19">
        <v>182</v>
      </c>
      <c r="L26" s="20" t="s">
        <v>48</v>
      </c>
    </row>
    <row r="27" spans="1:12" ht="17.5">
      <c r="A27" s="21" t="s">
        <v>5</v>
      </c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6" t="s">
        <v>4</v>
      </c>
    </row>
  </sheetData>
  <mergeCells count="7">
    <mergeCell ref="I4:K4"/>
    <mergeCell ref="L4:L5"/>
    <mergeCell ref="A1:L1"/>
    <mergeCell ref="A2:L2"/>
    <mergeCell ref="A4:A5"/>
    <mergeCell ref="C4:E4"/>
    <mergeCell ref="F4:H4"/>
  </mergeCells>
  <pageMargins left="0.7" right="0.7" top="0.75" bottom="0.75" header="0.3" footer="0.3"/>
  <pageSetup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8.66</vt:lpstr>
      <vt:lpstr>'8.66'!Print_Area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2021-10-11T15:25:38Z</cp:lastPrinted>
  <dcterms:created xsi:type="dcterms:W3CDTF">2019-06-30T04:22:49Z</dcterms:created>
  <dcterms:modified xsi:type="dcterms:W3CDTF">2021-10-11T15:26:28Z</dcterms:modified>
</cp:coreProperties>
</file>