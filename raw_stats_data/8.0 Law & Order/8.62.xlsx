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E:\April 2021\YEARBOOK 2021_ Work from Home\CHECKING\FINAL TABLES\web\8. Law and Order\"/>
    </mc:Choice>
  </mc:AlternateContent>
  <xr:revisionPtr revIDLastSave="0" documentId="13_ncr:1_{63393350-1EE3-47F9-B23B-356E7A965E86}" xr6:coauthVersionLast="47" xr6:coauthVersionMax="47" xr10:uidLastSave="{00000000-0000-0000-0000-000000000000}"/>
  <bookViews>
    <workbookView xWindow="-110" yWindow="-110" windowWidth="19420" windowHeight="10420" tabRatio="877" xr2:uid="{00000000-000D-0000-FFFF-FFFF00000000}"/>
  </bookViews>
  <sheets>
    <sheet name="8.62" sheetId="118" r:id="rId1"/>
  </sheets>
  <externalReferences>
    <externalReference r:id="rId2"/>
  </externalReferences>
  <definedNames>
    <definedName name="_xlnm.Print_Area" localSheetId="0">'8.62'!$A$1:$L$18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18" l="1"/>
  <c r="B14" i="118"/>
  <c r="B13" i="118"/>
  <c r="B12" i="118"/>
  <c r="B11" i="118"/>
  <c r="B10" i="118"/>
  <c r="B9" i="118"/>
  <c r="B8" i="118"/>
  <c r="B6" i="118" s="1"/>
  <c r="B7" i="118"/>
  <c r="J6" i="118"/>
  <c r="I6" i="118"/>
  <c r="H6" i="118"/>
  <c r="G6" i="118"/>
  <c r="F6" i="118"/>
  <c r="E6" i="118"/>
  <c r="D6" i="118"/>
</calcChain>
</file>

<file path=xl/sharedStrings.xml><?xml version="1.0" encoding="utf-8"?>
<sst xmlns="http://schemas.openxmlformats.org/spreadsheetml/2006/main" count="36" uniqueCount="35">
  <si>
    <t>Total</t>
  </si>
  <si>
    <t>Others</t>
  </si>
  <si>
    <t>އެހެނިހެން</t>
  </si>
  <si>
    <t>ޖުމްލަ</t>
  </si>
  <si>
    <t>ކުރެވޭ އަނިޔާގެ ބާވަތް</t>
  </si>
  <si>
    <t>Types of abuse</t>
  </si>
  <si>
    <t xml:space="preserve">Age-group </t>
  </si>
  <si>
    <t>under 1 year</t>
  </si>
  <si>
    <t>1 - 4</t>
  </si>
  <si>
    <t>5</t>
  </si>
  <si>
    <t>6 - 9</t>
  </si>
  <si>
    <t>10 - 14</t>
  </si>
  <si>
    <t>15</t>
  </si>
  <si>
    <t>16 - 18</t>
  </si>
  <si>
    <t>Physical Abuse</t>
  </si>
  <si>
    <t>Sexual Abuse</t>
  </si>
  <si>
    <t>Neglect</t>
  </si>
  <si>
    <t>އަޅާނުލުން</t>
  </si>
  <si>
    <t>ޖިސްމާނީ އަނިޔާ</t>
  </si>
  <si>
    <t>Emotional Abuse</t>
  </si>
  <si>
    <t>ނަފްސާނީ އަނިޔާ</t>
  </si>
  <si>
    <t>ޖިންސީ އަނިޔާ</t>
  </si>
  <si>
    <t>Bullying</t>
  </si>
  <si>
    <t xml:space="preserve">ގަނާކުރުން </t>
  </si>
  <si>
    <t>Harrasment</t>
  </si>
  <si>
    <t xml:space="preserve">ފުރައްސާރަކުރުން </t>
  </si>
  <si>
    <t>Witness to Domestic Violence</t>
  </si>
  <si>
    <t xml:space="preserve">ގެވެށި އަނިޔާގެ އަމަލެއް ކުރާތައް ކުއްޖަކަށް ދެއްކުން ނުވަތަ ފެނުން </t>
  </si>
  <si>
    <t>Cyber Bullying</t>
  </si>
  <si>
    <t>އެހެންކުދިންގެ ފަރާތުން އިންޓަރނެޓް މެދުވެރިކޮށް ގަނާ ލިބުން</t>
  </si>
  <si>
    <t xml:space="preserve">Note: Others include: Child Deaths, Exploitation, Commercial Exploitation / Child Labor,  Commercial Sexual Exploitation,  Trafficking of Children, Victims of Bullying,  Child Abandonment 
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</si>
  <si>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</si>
  <si>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</si>
  <si>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Table 8.62: NUMBER OF REPORTED CHILD ABUSE CASES BY TYPE AND AGE OF CHILD, 2019</t>
  </si>
  <si>
    <t>ތާވަލު 8.62: ޢުމުރުފުރާގެ ގޮތުން ކުޑަކުދިންނަށް ކުރާ އަނިޔާއާއިބެހެގޮތުން ހުށަހެޅިފައިވާ މައްސަލަތައް، 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</si>
</sst>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General_)"/>
    <numFmt numFmtId="166" formatCode="_-* #,##0_-;\-* #,##0_-;_-* &quot;-&quot;??_-;_-@_-"/>
    <numFmt numFmtId="167" formatCode="#,##0.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10"/>
      <name val="Calibri"/>
      <family val="2"/>
      <scheme val="minor"/>
    </font>
    <font>
      <sz val="10"/>
      <name val="Arial"/>
      <family val="2"/>
    </font>
    <font>
      <b/>
      <sz val="15"/>
      <color theme="3"/>
      <name val="Arial Mäori"/>
      <family val="2"/>
    </font>
    <font>
      <b/>
      <sz val="10"/>
      <name val="Faruma"/>
    </font>
    <font>
      <sz val="10"/>
      <name val="Faruma"/>
    </font>
    <font>
      <sz val="10"/>
      <name val="A_Reeth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6" fillId="0" borderId="0"/>
    <xf numFmtId="0" fontId="8" fillId="0" borderId="0"/>
    <xf numFmtId="0" fontId="9" fillId="0" borderId="2" applyNumberFormat="0" applyFill="0" applyAlignment="0" applyProtection="0"/>
    <xf numFmtId="0" fontId="8" fillId="0" borderId="0"/>
    <xf numFmtId="0" fontId="8" fillId="0" borderId="0"/>
  </cellStyleXfs>
  <cellXfs count="37">
    <xf numFmtId="0" fontId="0" fillId="0" borderId="0" xfId="0"/>
    <xf numFmtId="165" fontId="0" fillId="2" borderId="0" xfId="0" applyNumberFormat="1" applyFill="1"/>
    <xf numFmtId="165" fontId="3" fillId="2" borderId="0" xfId="0" applyNumberFormat="1" applyFont="1" applyFill="1"/>
    <xf numFmtId="0" fontId="2" fillId="2" borderId="1" xfId="5" applyFont="1" applyFill="1" applyBorder="1" applyAlignment="1">
      <alignment horizontal="right" vertical="center"/>
    </xf>
    <xf numFmtId="49" fontId="2" fillId="2" borderId="1" xfId="5" applyNumberFormat="1" applyFont="1" applyFill="1" applyBorder="1" applyAlignment="1">
      <alignment horizontal="right" vertical="center"/>
    </xf>
    <xf numFmtId="3" fontId="2" fillId="2" borderId="0" xfId="1" applyNumberFormat="1" applyFont="1" applyFill="1" applyAlignment="1">
      <alignment vertical="center" wrapText="1"/>
    </xf>
    <xf numFmtId="3" fontId="2" fillId="2" borderId="1" xfId="1" applyNumberFormat="1" applyFont="1" applyFill="1" applyBorder="1" applyAlignment="1">
      <alignment vertical="center" wrapText="1"/>
    </xf>
    <xf numFmtId="3" fontId="3" fillId="2" borderId="0" xfId="1" applyNumberFormat="1" applyFont="1" applyFill="1" applyBorder="1" applyAlignment="1">
      <alignment vertical="center" wrapText="1"/>
    </xf>
    <xf numFmtId="165" fontId="3" fillId="2" borderId="0" xfId="0" applyNumberFormat="1" applyFont="1" applyFill="1" applyAlignment="1">
      <alignment vertical="center"/>
    </xf>
    <xf numFmtId="166" fontId="10" fillId="2" borderId="4" xfId="1" applyNumberFormat="1" applyFont="1" applyFill="1" applyBorder="1" applyAlignment="1">
      <alignment vertical="center" wrapText="1" readingOrder="2"/>
    </xf>
    <xf numFmtId="165" fontId="4" fillId="2" borderId="0" xfId="0" applyNumberFormat="1" applyFont="1" applyFill="1" applyBorder="1" applyAlignment="1">
      <alignment vertical="top"/>
    </xf>
    <xf numFmtId="166" fontId="2" fillId="2" borderId="4" xfId="1" applyNumberFormat="1" applyFont="1" applyFill="1" applyBorder="1" applyAlignment="1">
      <alignment vertical="center" wrapText="1"/>
    </xf>
    <xf numFmtId="3" fontId="2" fillId="2" borderId="4" xfId="1" applyNumberFormat="1" applyFont="1" applyFill="1" applyBorder="1" applyAlignment="1">
      <alignment vertical="center" wrapText="1"/>
    </xf>
    <xf numFmtId="165" fontId="2" fillId="2" borderId="0" xfId="0" applyNumberFormat="1" applyFont="1" applyFill="1" applyAlignment="1">
      <alignment vertical="center"/>
    </xf>
    <xf numFmtId="166" fontId="3" fillId="2" borderId="0" xfId="1" applyNumberFormat="1" applyFont="1" applyFill="1" applyAlignment="1">
      <alignment horizontal="left" vertical="center" wrapText="1" indent="1"/>
    </xf>
    <xf numFmtId="166" fontId="11" fillId="2" borderId="0" xfId="1" applyNumberFormat="1" applyFont="1" applyFill="1" applyAlignment="1">
      <alignment horizontal="right" vertical="center" wrapText="1" indent="1" readingOrder="2"/>
    </xf>
    <xf numFmtId="3" fontId="2" fillId="2" borderId="0" xfId="1" applyNumberFormat="1" applyFont="1" applyFill="1" applyBorder="1" applyAlignment="1">
      <alignment vertical="center" wrapText="1"/>
    </xf>
    <xf numFmtId="166" fontId="3" fillId="2" borderId="1" xfId="1" applyNumberFormat="1" applyFont="1" applyFill="1" applyBorder="1" applyAlignment="1">
      <alignment horizontal="left" vertical="center" wrapText="1" indent="1"/>
    </xf>
    <xf numFmtId="166" fontId="12" fillId="2" borderId="1" xfId="1" applyNumberFormat="1" applyFont="1" applyFill="1" applyBorder="1" applyAlignment="1">
      <alignment horizontal="right" vertical="center" wrapText="1" indent="1" readingOrder="2"/>
    </xf>
    <xf numFmtId="166" fontId="12" fillId="2" borderId="0" xfId="1" applyNumberFormat="1" applyFont="1" applyFill="1" applyBorder="1" applyAlignment="1">
      <alignment vertical="center" wrapText="1" readingOrder="2"/>
    </xf>
    <xf numFmtId="3" fontId="3" fillId="2" borderId="0" xfId="1" applyNumberFormat="1" applyFont="1" applyFill="1" applyAlignment="1">
      <alignment vertical="center" wrapText="1"/>
    </xf>
    <xf numFmtId="3" fontId="3" fillId="2" borderId="1" xfId="1" applyNumberFormat="1" applyFont="1" applyFill="1" applyBorder="1" applyAlignment="1">
      <alignment vertical="center" wrapText="1"/>
    </xf>
    <xf numFmtId="165" fontId="2" fillId="2" borderId="4" xfId="0" applyNumberFormat="1" applyFont="1" applyFill="1" applyBorder="1" applyAlignment="1">
      <alignment horizontal="right" vertical="center" wrapText="1"/>
    </xf>
    <xf numFmtId="165" fontId="2" fillId="2" borderId="1" xfId="0" applyNumberFormat="1" applyFont="1" applyFill="1" applyBorder="1" applyAlignment="1">
      <alignment horizontal="right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165" fontId="10" fillId="2" borderId="0" xfId="0" applyNumberFormat="1" applyFont="1" applyFill="1" applyAlignment="1">
      <alignment horizontal="center" vertical="center" wrapText="1" readingOrder="2"/>
    </xf>
    <xf numFmtId="165" fontId="7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left" vertical="center" wrapText="1"/>
    </xf>
    <xf numFmtId="165" fontId="2" fillId="2" borderId="1" xfId="0" applyNumberFormat="1" applyFont="1" applyFill="1" applyBorder="1" applyAlignment="1">
      <alignment horizontal="left" vertical="center" wrapText="1"/>
    </xf>
    <xf numFmtId="165" fontId="10" fillId="2" borderId="4" xfId="0" applyNumberFormat="1" applyFont="1" applyFill="1" applyBorder="1" applyAlignment="1">
      <alignment horizontal="right" vertical="center" wrapText="1" readingOrder="2"/>
    </xf>
    <xf numFmtId="165" fontId="10" fillId="2" borderId="1" xfId="0" applyNumberFormat="1" applyFont="1" applyFill="1" applyBorder="1" applyAlignment="1">
      <alignment horizontal="right" vertical="center" wrapText="1" readingOrder="2"/>
    </xf>
    <xf numFmtId="165" fontId="2" fillId="2" borderId="4" xfId="0" applyNumberFormat="1" applyFont="1" applyFill="1" applyBorder="1" applyAlignment="1">
      <alignment horizontal="right" vertical="center" wrapText="1"/>
    </xf>
    <xf numFmtId="165" fontId="2" fillId="2" borderId="1" xfId="0" applyNumberFormat="1" applyFont="1" applyFill="1" applyBorder="1" applyAlignment="1">
      <alignment horizontal="right" vertical="center" wrapText="1"/>
    </xf>
    <xf numFmtId="165" fontId="2" fillId="2" borderId="3" xfId="0" applyNumberFormat="1" applyFont="1" applyFill="1" applyBorder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 wrapText="1"/>
    </xf>
    <xf numFmtId="165" fontId="11" fillId="2" borderId="0" xfId="0" applyNumberFormat="1" applyFont="1" applyFill="1" applyAlignment="1">
      <alignment vertical="top" readingOrder="2"/>
    </xf>
    <xf numFmtId="165" fontId="4" fillId="2" borderId="0" xfId="0" applyNumberFormat="1" applyFont="1" applyFill="1" applyAlignment="1">
      <alignment vertical="top"/>
    </xf>
  </cellXfs>
  <cellStyles count="9">
    <cellStyle name="1" xfId="8" xr:uid="{00000000-0005-0000-0000-000000000000}"/>
    <cellStyle name="Comma" xfId="1" builtinId="3"/>
    <cellStyle name="Comma 2" xfId="2" xr:uid="{00000000-0005-0000-0000-000002000000}"/>
    <cellStyle name="Heading 1 2" xfId="6" xr:uid="{00000000-0005-0000-0000-000003000000}"/>
    <cellStyle name="Normal" xfId="0" builtinId="0"/>
    <cellStyle name="Normal 2" xfId="7" xr:uid="{00000000-0005-0000-0000-000006000000}"/>
    <cellStyle name="Normal 3" xfId="4" xr:uid="{00000000-0005-0000-0000-000007000000}"/>
    <cellStyle name="Normal_II-14(Population)" xfId="5" xr:uid="{00000000-0005-0000-0000-00000A000000}"/>
    <cellStyle name="Percent 2" xfId="3" xr:uid="{00000000-0005-0000-0000-00000E000000}"/>
  </cellStyles>
  <dxfs count="0"/>
  <tableStyles count="0" defaultTableStyle="TableStyleMedium2" defaultPivotStyle="PivotStyleLight16"/>
  <colors>
    <mruColors>
      <color rgb="FFEAFAFA"/>
      <color rgb="FFFF9900"/>
      <color rgb="FF33CCCC"/>
      <color rgb="FFCCF4F2"/>
      <color rgb="FF008080"/>
      <color rgb="FF249390"/>
      <color rgb="FFDDF8F7"/>
      <color rgb="FF196563"/>
      <color rgb="FF006664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K18"/>
  <sheetViews>
    <sheetView tabSelected="1" zoomScaleNormal="100" zoomScaleSheetLayoutView="80" workbookViewId="0">
      <selection activeCell="I8" sqref="I8"/>
    </sheetView>
  </sheetViews>
  <sheetFormatPr defaultColWidth="6.81640625" defaultRowHeight="14.5"/>
  <cols>
    <col min="1" max="1" width="23" style="1" customWidth="1"/>
    <col min="2" max="2" width="6.81640625" style="1"/>
    <col min="3" max="3" width="3.26953125" style="1" customWidth="1"/>
    <col min="4" max="4" width="9.7265625" style="1" customWidth="1"/>
    <col min="5" max="10" width="10.81640625" style="1" customWidth="1"/>
    <col min="11" max="11" width="39.7265625" style="1" customWidth="1"/>
    <col min="12" max="16384" width="6.81640625" style="1"/>
  </cols>
  <sheetData>
    <row r="1" spans="1:11" s="2" customFormat="1" ht="17.5" customHeight="1">
      <c r="A1" s="25" t="s">
        <v>34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s="2" customFormat="1" ht="13" customHeight="1">
      <c r="A2" s="34" t="s">
        <v>33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s="2" customFormat="1" ht="1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</row>
    <row r="4" spans="1:11" s="2" customFormat="1" ht="13" customHeight="1">
      <c r="A4" s="27" t="s">
        <v>5</v>
      </c>
      <c r="B4" s="31" t="s">
        <v>0</v>
      </c>
      <c r="C4" s="22"/>
      <c r="D4" s="33" t="s">
        <v>6</v>
      </c>
      <c r="E4" s="33"/>
      <c r="F4" s="33"/>
      <c r="G4" s="33"/>
      <c r="H4" s="33"/>
      <c r="I4" s="33"/>
      <c r="J4" s="33"/>
      <c r="K4" s="29" t="s">
        <v>4</v>
      </c>
    </row>
    <row r="5" spans="1:11" s="2" customFormat="1" ht="13" customHeight="1">
      <c r="A5" s="28"/>
      <c r="B5" s="32"/>
      <c r="C5" s="23"/>
      <c r="D5" s="3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30"/>
    </row>
    <row r="6" spans="1:11" s="13" customFormat="1" ht="17.5">
      <c r="A6" s="11" t="s">
        <v>0</v>
      </c>
      <c r="B6" s="12">
        <f>SUM(B7:B15)</f>
        <v>1375</v>
      </c>
      <c r="C6" s="12"/>
      <c r="D6" s="12">
        <f t="shared" ref="D6:J6" si="0">SUM(D7:D15)</f>
        <v>57</v>
      </c>
      <c r="E6" s="12">
        <f t="shared" si="0"/>
        <v>220</v>
      </c>
      <c r="F6" s="12">
        <f t="shared" si="0"/>
        <v>101</v>
      </c>
      <c r="G6" s="12">
        <f t="shared" si="0"/>
        <v>333</v>
      </c>
      <c r="H6" s="12">
        <f t="shared" si="0"/>
        <v>420</v>
      </c>
      <c r="I6" s="12">
        <f t="shared" si="0"/>
        <v>92</v>
      </c>
      <c r="J6" s="12">
        <f t="shared" si="0"/>
        <v>152</v>
      </c>
      <c r="K6" s="9" t="s">
        <v>3</v>
      </c>
    </row>
    <row r="7" spans="1:11" s="8" customFormat="1" ht="17.5">
      <c r="A7" s="14" t="s">
        <v>16</v>
      </c>
      <c r="B7" s="5">
        <f>SUM(D7:J7)</f>
        <v>410</v>
      </c>
      <c r="C7" s="5"/>
      <c r="D7" s="20">
        <v>49</v>
      </c>
      <c r="E7" s="20">
        <v>110</v>
      </c>
      <c r="F7" s="20">
        <v>34</v>
      </c>
      <c r="G7" s="20">
        <v>107</v>
      </c>
      <c r="H7" s="20">
        <v>77</v>
      </c>
      <c r="I7" s="20">
        <v>15</v>
      </c>
      <c r="J7" s="20">
        <v>18</v>
      </c>
      <c r="K7" s="15" t="s">
        <v>17</v>
      </c>
    </row>
    <row r="8" spans="1:11" s="8" customFormat="1" ht="17.5">
      <c r="A8" s="14" t="s">
        <v>14</v>
      </c>
      <c r="B8" s="5">
        <f>SUM(D8:J8)</f>
        <v>299</v>
      </c>
      <c r="C8" s="5"/>
      <c r="D8" s="20">
        <v>2</v>
      </c>
      <c r="E8" s="20">
        <v>47</v>
      </c>
      <c r="F8" s="20">
        <v>33</v>
      </c>
      <c r="G8" s="20">
        <v>84</v>
      </c>
      <c r="H8" s="20">
        <v>90</v>
      </c>
      <c r="I8" s="20">
        <v>20</v>
      </c>
      <c r="J8" s="20">
        <v>23</v>
      </c>
      <c r="K8" s="15" t="s">
        <v>18</v>
      </c>
    </row>
    <row r="9" spans="1:11" s="8" customFormat="1" ht="17.5">
      <c r="A9" s="14" t="s">
        <v>15</v>
      </c>
      <c r="B9" s="5">
        <f>SUM(D9:J9)</f>
        <v>360</v>
      </c>
      <c r="C9" s="5"/>
      <c r="D9" s="20">
        <v>1</v>
      </c>
      <c r="E9" s="20">
        <v>24</v>
      </c>
      <c r="F9" s="20">
        <v>22</v>
      </c>
      <c r="G9" s="20">
        <v>69</v>
      </c>
      <c r="H9" s="20">
        <v>144</v>
      </c>
      <c r="I9" s="20">
        <v>32</v>
      </c>
      <c r="J9" s="20">
        <v>68</v>
      </c>
      <c r="K9" s="15" t="s">
        <v>21</v>
      </c>
    </row>
    <row r="10" spans="1:11" s="8" customFormat="1" ht="17.5">
      <c r="A10" s="14" t="s">
        <v>19</v>
      </c>
      <c r="B10" s="5">
        <f>SUM(D10:J10)</f>
        <v>144</v>
      </c>
      <c r="C10" s="5"/>
      <c r="D10" s="20">
        <v>2</v>
      </c>
      <c r="E10" s="20">
        <v>21</v>
      </c>
      <c r="F10" s="20">
        <v>6</v>
      </c>
      <c r="G10" s="20">
        <v>46</v>
      </c>
      <c r="H10" s="20">
        <v>44</v>
      </c>
      <c r="I10" s="20">
        <v>10</v>
      </c>
      <c r="J10" s="20">
        <v>15</v>
      </c>
      <c r="K10" s="15" t="s">
        <v>20</v>
      </c>
    </row>
    <row r="11" spans="1:11" s="8" customFormat="1" ht="17.5">
      <c r="A11" s="14" t="s">
        <v>22</v>
      </c>
      <c r="B11" s="5">
        <f t="shared" ref="B11:B15" si="1">SUM(D11:J11)</f>
        <v>32</v>
      </c>
      <c r="C11" s="5"/>
      <c r="D11" s="20">
        <v>0</v>
      </c>
      <c r="E11" s="20">
        <v>0</v>
      </c>
      <c r="F11" s="20">
        <v>1</v>
      </c>
      <c r="G11" s="20">
        <v>2</v>
      </c>
      <c r="H11" s="20">
        <v>22</v>
      </c>
      <c r="I11" s="20">
        <v>3</v>
      </c>
      <c r="J11" s="20">
        <v>4</v>
      </c>
      <c r="K11" s="15" t="s">
        <v>23</v>
      </c>
    </row>
    <row r="12" spans="1:11" s="8" customFormat="1" ht="17.5">
      <c r="A12" s="14" t="s">
        <v>24</v>
      </c>
      <c r="B12" s="5">
        <f t="shared" si="1"/>
        <v>13</v>
      </c>
      <c r="C12" s="16"/>
      <c r="D12" s="7">
        <v>0</v>
      </c>
      <c r="E12" s="7">
        <v>1</v>
      </c>
      <c r="F12" s="7">
        <v>0</v>
      </c>
      <c r="G12" s="7">
        <v>2</v>
      </c>
      <c r="H12" s="7">
        <v>5</v>
      </c>
      <c r="I12" s="7">
        <v>1</v>
      </c>
      <c r="J12" s="7">
        <v>4</v>
      </c>
      <c r="K12" s="15" t="s">
        <v>25</v>
      </c>
    </row>
    <row r="13" spans="1:11" s="8" customFormat="1" ht="31.5" customHeight="1">
      <c r="A13" s="14" t="s">
        <v>26</v>
      </c>
      <c r="B13" s="5">
        <f t="shared" si="1"/>
        <v>65</v>
      </c>
      <c r="C13" s="16"/>
      <c r="D13" s="7">
        <v>1</v>
      </c>
      <c r="E13" s="7">
        <v>15</v>
      </c>
      <c r="F13" s="7">
        <v>5</v>
      </c>
      <c r="G13" s="7">
        <v>21</v>
      </c>
      <c r="H13" s="7">
        <v>19</v>
      </c>
      <c r="I13" s="7">
        <v>3</v>
      </c>
      <c r="J13" s="7">
        <v>1</v>
      </c>
      <c r="K13" s="15" t="s">
        <v>27</v>
      </c>
    </row>
    <row r="14" spans="1:11" s="8" customFormat="1" ht="18.75" customHeight="1">
      <c r="A14" s="14" t="s">
        <v>28</v>
      </c>
      <c r="B14" s="5">
        <f t="shared" si="1"/>
        <v>29</v>
      </c>
      <c r="C14" s="16"/>
      <c r="D14" s="7">
        <v>0</v>
      </c>
      <c r="E14" s="7">
        <v>0</v>
      </c>
      <c r="F14" s="7">
        <v>0</v>
      </c>
      <c r="G14" s="7">
        <v>0</v>
      </c>
      <c r="H14" s="7">
        <v>9</v>
      </c>
      <c r="I14" s="7">
        <v>4</v>
      </c>
      <c r="J14" s="7">
        <v>16</v>
      </c>
      <c r="K14" s="15" t="s">
        <v>29</v>
      </c>
    </row>
    <row r="15" spans="1:11" s="8" customFormat="1" ht="13">
      <c r="A15" s="17" t="s">
        <v>1</v>
      </c>
      <c r="B15" s="6">
        <f t="shared" si="1"/>
        <v>23</v>
      </c>
      <c r="C15" s="6"/>
      <c r="D15" s="21">
        <v>2</v>
      </c>
      <c r="E15" s="21">
        <v>2</v>
      </c>
      <c r="F15" s="21">
        <v>0</v>
      </c>
      <c r="G15" s="21">
        <v>2</v>
      </c>
      <c r="H15" s="21">
        <v>10</v>
      </c>
      <c r="I15" s="21">
        <v>4</v>
      </c>
      <c r="J15" s="21">
        <v>3</v>
      </c>
      <c r="K15" s="18" t="s">
        <v>2</v>
      </c>
    </row>
    <row r="16" spans="1:11" s="2" customFormat="1" ht="24" customHeight="1">
      <c r="A16" s="26" t="s">
        <v>30</v>
      </c>
      <c r="B16" s="26"/>
      <c r="C16" s="26"/>
      <c r="D16" s="26"/>
      <c r="E16" s="26"/>
      <c r="F16" s="26"/>
      <c r="G16" s="26"/>
      <c r="H16" s="26"/>
      <c r="I16" s="35"/>
      <c r="J16" s="35"/>
      <c r="K16" s="35" t="s">
        <v>31</v>
      </c>
    </row>
    <row r="17" spans="1:11" s="8" customFormat="1" ht="13">
      <c r="A17" s="36" t="s">
        <v>32</v>
      </c>
      <c r="B17" s="2"/>
      <c r="C17" s="2"/>
      <c r="D17" s="2"/>
      <c r="E17" s="7"/>
      <c r="F17" s="7"/>
      <c r="G17" s="7"/>
      <c r="H17" s="7"/>
      <c r="I17" s="7"/>
      <c r="J17" s="7"/>
      <c r="K17" s="19"/>
    </row>
    <row r="18" spans="1:11" s="8" customFormat="1" ht="13">
      <c r="A18" s="10"/>
      <c r="B18" s="2"/>
      <c r="C18" s="2"/>
      <c r="D18" s="2"/>
      <c r="E18" s="7"/>
      <c r="F18" s="7"/>
      <c r="G18" s="7"/>
      <c r="H18" s="7"/>
      <c r="I18" s="7"/>
      <c r="J18" s="7"/>
      <c r="K18" s="19"/>
    </row>
  </sheetData>
  <mergeCells count="7">
    <mergeCell ref="A1:K1"/>
    <mergeCell ref="A2:K2"/>
    <mergeCell ref="A4:A5"/>
    <mergeCell ref="B4:B5"/>
    <mergeCell ref="D4:J4"/>
    <mergeCell ref="K4:K5"/>
    <mergeCell ref="A16:H16"/>
  </mergeCells>
  <pageMargins left="0.7" right="0.7" top="0.75" bottom="0.75" header="0.3" footer="0.3"/>
  <pageSetup scale="58" orientation="portrait" r:id="rId1"/>
  <colBreaks count="1" manualBreakCount="1">
    <brk id="12" max="1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8.62</vt:lpstr>
      <vt:lpstr>'8.62'!Print_Area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User</cp:lastModifiedBy>
  <cp:lastPrinted>2021-10-11T15:06:44Z</cp:lastPrinted>
  <dcterms:created xsi:type="dcterms:W3CDTF">2019-06-30T04:22:49Z</dcterms:created>
  <dcterms:modified xsi:type="dcterms:W3CDTF">2021-10-11T15:06:53Z</dcterms:modified>
</cp:coreProperties>
</file>