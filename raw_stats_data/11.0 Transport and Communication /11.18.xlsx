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18" sheetId="6" r:id="rId2"/>
  </sheets>
  <externalReferences>
    <externalReference r:id="rId3"/>
  </externalReferences>
  <definedNames>
    <definedName name="_xlnm.Print_Area" localSheetId="1">'11.18'!$A$1:$K$58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E5" i="6" l="1"/>
  <c r="AO22" i="4"/>
  <c r="AO23" i="4"/>
  <c r="AO24" i="4"/>
  <c r="AO25" i="4"/>
  <c r="AO26" i="4"/>
  <c r="AO27" i="4"/>
  <c r="AO29" i="4"/>
  <c r="AO30" i="4"/>
  <c r="G17" i="6" l="1"/>
  <c r="C17" i="6"/>
  <c r="G16" i="6"/>
  <c r="C16" i="6"/>
  <c r="G15" i="6"/>
  <c r="C15" i="6"/>
  <c r="G14" i="6"/>
  <c r="C14" i="6"/>
  <c r="G13" i="6"/>
  <c r="C13" i="6"/>
  <c r="G12" i="6"/>
  <c r="C12" i="6"/>
  <c r="G11" i="6"/>
  <c r="C11" i="6"/>
  <c r="G10" i="6"/>
  <c r="C10" i="6"/>
  <c r="G9" i="6"/>
  <c r="C9" i="6"/>
  <c r="G8" i="6"/>
  <c r="C8" i="6"/>
  <c r="G7" i="6"/>
  <c r="C7" i="6"/>
  <c r="G6" i="6"/>
  <c r="C6" i="6"/>
  <c r="I5" i="6"/>
  <c r="H5" i="6"/>
  <c r="F5" i="6"/>
  <c r="D5" i="6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16" i="6" l="1"/>
  <c r="G5" i="6"/>
  <c r="B7" i="6"/>
  <c r="B8" i="6"/>
  <c r="B12" i="6"/>
  <c r="B9" i="6"/>
  <c r="B11" i="6"/>
  <c r="B13" i="6"/>
  <c r="B15" i="6"/>
  <c r="C5" i="6"/>
  <c r="B17" i="6"/>
  <c r="B6" i="6"/>
  <c r="B10" i="6"/>
  <c r="B14" i="6"/>
  <c r="AP22" i="4"/>
  <c r="AP32" i="4" s="1"/>
  <c r="AQ32" i="4"/>
  <c r="B5" i="6" l="1"/>
  <c r="AR32" i="4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<sst xmlns="http://schemas.openxmlformats.org/spreadsheetml/2006/main" count="219" uniqueCount="72">
  <si>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</si>
  <si>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</si>
  <si>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</si>
  <si>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</si>
  <si>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</si>
  <si>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</si>
  <si>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</si>
  <si>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</si>
  <si>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</si>
  <si>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</si>
  <si>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</si>
  <si>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</si>
  <si>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</si>
  <si>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</si>
  <si>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</si>
  <si>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</si>
  <si>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</si>
  <si>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</si>
  <si>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</si>
  <si>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</si>
  <si>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</si>
  <si>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</si>
  <si>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</si>
  <si>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</si>
  <si>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</si>
  <si>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</si>
  <si>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</si>
  <si>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</si>
  <si>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</si>
  <si>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</si>
  <si>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</si>
  <si>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</si>
  <si>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</si>
  <si>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</si>
  <si>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</si>
  <si>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</si>
  <si>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</si>
  <si>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</si>
  <si>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</si>
  <si>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</si>
  <si>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</si>
  <si>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</si>
  <si>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</si>
  <si>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</si>
  <si>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</si>
  <si>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</si>
  <si>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</si>
  <si>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</si>
  <si>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</si>
  <si>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</si>
  <si>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</si>
  <si>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</si>
  <si>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</si>
  <si>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</si>
  <si>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</si>
  <si>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</si>
  <si>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</si>
  <si>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</si>
  <si>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</si>
  <si>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</si>
  <si>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</si>
  <si>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</si>
  <si>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</si>
  <si>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</si>
  <si>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</si>
  <si>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</si>
  <si>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</si>
  <si>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</si>
  <si>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</si>
  <si>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</si>
  <si>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11.18: މަސްމަހުގެ ގޮތުން ބައިނަލް އަޤްވާމީ ވައިގެބަނދަރުން ދަތުރުކުރި ފްލައިޓްތައް، 2020</t>
  </si>
  <si>
    <t>Table  11.18 :  AIRCRAFT MOVEMENT AT VELANA INTERNATIONAL AIRPORT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</si>
</sst>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auto="1"/>
      </right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9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9" fillId="0" borderId="0"/>
    <xf numFmtId="43" fontId="5" fillId="0" borderId="0" applyFont="0" applyFill="0" applyBorder="0" applyAlignment="0" applyProtection="0"/>
    <xf numFmtId="0" fontId="5" fillId="0" borderId="0"/>
  </cellStyleXfs>
  <cellXfs count="182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6" fillId="2" borderId="0" xfId="2" applyNumberFormat="1" applyFont="1" applyFill="1" applyBorder="1" applyAlignment="1" applyProtection="1">
      <alignment horizontal="left" vertical="center"/>
    </xf>
    <xf numFmtId="164" fontId="8" fillId="2" borderId="0" xfId="0" applyNumberFormat="1" applyFont="1" applyFill="1"/>
    <xf numFmtId="164" fontId="11" fillId="2" borderId="0" xfId="2" applyNumberFormat="1" applyFont="1" applyFill="1" applyBorder="1" applyAlignment="1" applyProtection="1">
      <alignment horizontal="left" vertical="center"/>
    </xf>
    <xf numFmtId="164" fontId="14" fillId="2" borderId="0" xfId="2" applyNumberFormat="1" applyFont="1" applyFill="1" applyAlignment="1" applyProtection="1">
      <alignment horizontal="left" vertical="center"/>
    </xf>
    <xf numFmtId="0" fontId="16" fillId="2" borderId="0" xfId="4" applyFont="1" applyFill="1" applyAlignment="1">
      <alignment vertical="center"/>
    </xf>
    <xf numFmtId="0" fontId="13" fillId="2" borderId="2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15" fillId="2" borderId="0" xfId="2" applyNumberFormat="1" applyFont="1" applyFill="1" applyBorder="1" applyAlignment="1" applyProtection="1">
      <alignment horizontal="left" vertical="center"/>
    </xf>
    <xf numFmtId="3" fontId="15" fillId="2" borderId="0" xfId="2" applyNumberFormat="1" applyFont="1" applyFill="1" applyBorder="1" applyAlignment="1" applyProtection="1">
      <alignment horizontal="right" vertical="center"/>
      <protection locked="0"/>
    </xf>
    <xf numFmtId="0" fontId="13" fillId="2" borderId="0" xfId="0" applyNumberFormat="1" applyFont="1" applyFill="1" applyBorder="1" applyAlignment="1">
      <alignment horizontal="right" vertical="center"/>
    </xf>
    <xf numFmtId="164" fontId="20" fillId="2" borderId="0" xfId="2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NumberFormat="1" applyFont="1" applyFill="1" applyAlignment="1" applyProtection="1">
      <alignment horizontal="left" vertical="center"/>
    </xf>
    <xf numFmtId="37" fontId="5" fillId="2" borderId="0" xfId="2" applyNumberFormat="1" applyFont="1" applyFill="1" applyAlignment="1" applyProtection="1">
      <alignment vertical="center"/>
    </xf>
    <xf numFmtId="164" fontId="12" fillId="2" borderId="0" xfId="2" applyNumberFormat="1" applyFont="1" applyFill="1" applyBorder="1" applyAlignment="1"/>
    <xf numFmtId="0" fontId="12" fillId="2" borderId="0" xfId="4" applyFont="1" applyFill="1" applyAlignment="1">
      <alignment vertical="center"/>
    </xf>
    <xf numFmtId="164" fontId="3" fillId="2" borderId="0" xfId="2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NumberFormat="1" applyFont="1" applyFill="1" applyBorder="1" applyAlignment="1" applyProtection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NumberFormat="1" applyFont="1" applyFill="1" applyBorder="1" applyAlignment="1" applyProtection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NumberFormat="1" applyFont="1" applyFill="1" applyBorder="1" applyAlignment="1">
      <alignment horizontal="center" vertical="center"/>
    </xf>
    <xf numFmtId="0" fontId="15" fillId="2" borderId="36" xfId="0" applyNumberFormat="1" applyFont="1" applyFill="1" applyBorder="1" applyAlignment="1">
      <alignment horizontal="center" vertical="center"/>
    </xf>
    <xf numFmtId="0" fontId="15" fillId="2" borderId="11" xfId="0" applyNumberFormat="1" applyFont="1" applyFill="1" applyBorder="1" applyAlignment="1">
      <alignment horizontal="center" vertical="center"/>
    </xf>
    <xf numFmtId="0" fontId="15" fillId="2" borderId="7" xfId="0" applyNumberFormat="1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3" fillId="2" borderId="7" xfId="0" applyNumberFormat="1" applyFont="1" applyFill="1" applyBorder="1" applyAlignment="1">
      <alignment horizontal="center" vertical="center"/>
    </xf>
    <xf numFmtId="0" fontId="15" fillId="2" borderId="37" xfId="0" applyNumberFormat="1" applyFont="1" applyFill="1" applyBorder="1" applyAlignment="1">
      <alignment horizontal="center" vertical="center"/>
    </xf>
    <xf numFmtId="164" fontId="15" fillId="2" borderId="5" xfId="2" applyNumberFormat="1" applyFont="1" applyFill="1" applyBorder="1" applyAlignment="1" applyProtection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NumberFormat="1" applyFont="1" applyFill="1" applyBorder="1" applyAlignment="1">
      <alignment horizontal="center" vertical="center"/>
    </xf>
    <xf numFmtId="0" fontId="15" fillId="2" borderId="24" xfId="0" applyNumberFormat="1" applyFont="1" applyFill="1" applyBorder="1" applyAlignment="1">
      <alignment horizontal="center" vertical="center"/>
    </xf>
    <xf numFmtId="0" fontId="15" fillId="2" borderId="12" xfId="0" applyNumberFormat="1" applyFont="1" applyFill="1" applyBorder="1" applyAlignment="1">
      <alignment horizontal="center" vertical="center"/>
    </xf>
    <xf numFmtId="0" fontId="15" fillId="2" borderId="22" xfId="0" applyNumberFormat="1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NumberFormat="1" applyFont="1" applyFill="1" applyBorder="1" applyAlignment="1">
      <alignment horizontal="center" vertical="center"/>
    </xf>
    <xf numFmtId="37" fontId="7" fillId="2" borderId="0" xfId="2" applyNumberFormat="1" applyFont="1" applyFill="1" applyBorder="1" applyAlignment="1" applyProtection="1">
      <alignment vertical="center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6" fillId="2" borderId="41" xfId="2" applyNumberFormat="1" applyFont="1" applyFill="1" applyBorder="1" applyAlignment="1" applyProtection="1">
      <alignment horizontal="right" vertical="center"/>
    </xf>
    <xf numFmtId="3" fontId="6" fillId="2" borderId="2" xfId="2" applyNumberFormat="1" applyFont="1" applyFill="1" applyBorder="1" applyAlignment="1" applyProtection="1">
      <alignment horizontal="right" vertical="center"/>
    </xf>
    <xf numFmtId="3" fontId="6" fillId="2" borderId="42" xfId="2" applyNumberFormat="1" applyFont="1" applyFill="1" applyBorder="1" applyAlignment="1" applyProtection="1">
      <alignment horizontal="right" vertical="center"/>
    </xf>
    <xf numFmtId="3" fontId="6" fillId="2" borderId="13" xfId="2" applyNumberFormat="1" applyFont="1" applyFill="1" applyBorder="1" applyAlignment="1" applyProtection="1">
      <alignment horizontal="right" vertical="center"/>
    </xf>
    <xf numFmtId="3" fontId="6" fillId="2" borderId="43" xfId="2" applyNumberFormat="1" applyFont="1" applyFill="1" applyBorder="1" applyAlignment="1" applyProtection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4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 applyProtection="1">
      <alignment horizontal="right" vertical="center"/>
    </xf>
    <xf numFmtId="3" fontId="6" fillId="2" borderId="39" xfId="2" applyNumberFormat="1" applyFont="1" applyFill="1" applyBorder="1" applyAlignment="1" applyProtection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 applyProtection="1">
      <alignment horizontal="right" vertical="center"/>
    </xf>
    <xf numFmtId="37" fontId="15" fillId="2" borderId="0" xfId="2" applyNumberFormat="1" applyFont="1" applyFill="1" applyBorder="1" applyAlignment="1" applyProtection="1">
      <alignment vertical="center"/>
    </xf>
    <xf numFmtId="0" fontId="15" fillId="2" borderId="0" xfId="4" applyFont="1" applyFill="1" applyBorder="1" applyAlignment="1">
      <alignment vertical="center"/>
    </xf>
    <xf numFmtId="164" fontId="16" fillId="2" borderId="0" xfId="2" applyNumberFormat="1" applyFont="1" applyFill="1" applyBorder="1" applyAlignment="1"/>
    <xf numFmtId="164" fontId="11" fillId="2" borderId="0" xfId="0" applyNumberFormat="1" applyFont="1" applyFill="1" applyBorder="1"/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164" fontId="9" fillId="2" borderId="0" xfId="2" applyNumberFormat="1" applyFont="1" applyFill="1" applyBorder="1" applyAlignment="1" applyProtection="1">
      <alignment horizontal="left" vertical="center"/>
    </xf>
    <xf numFmtId="164" fontId="30" fillId="2" borderId="0" xfId="2" applyNumberFormat="1" applyFont="1" applyFill="1" applyBorder="1" applyAlignment="1">
      <alignment horizontal="right" vertical="center"/>
    </xf>
    <xf numFmtId="164" fontId="11" fillId="2" borderId="48" xfId="2" applyNumberFormat="1" applyFont="1" applyFill="1" applyBorder="1" applyAlignment="1" applyProtection="1">
      <alignment horizontal="left" vertical="center"/>
    </xf>
    <xf numFmtId="164" fontId="20" fillId="2" borderId="48" xfId="2" applyNumberFormat="1" applyFont="1" applyFill="1" applyBorder="1" applyAlignment="1">
      <alignment horizontal="right" vertical="center"/>
    </xf>
    <xf numFmtId="164" fontId="6" fillId="2" borderId="48" xfId="2" applyNumberFormat="1" applyFont="1" applyFill="1" applyBorder="1" applyAlignment="1">
      <alignment horizontal="right" vertical="center"/>
    </xf>
    <xf numFmtId="0" fontId="6" fillId="2" borderId="48" xfId="2" applyNumberFormat="1" applyFont="1" applyFill="1" applyBorder="1" applyAlignment="1">
      <alignment horizontal="center" vertical="center"/>
    </xf>
    <xf numFmtId="3" fontId="6" fillId="2" borderId="48" xfId="2" applyNumberFormat="1" applyFont="1" applyFill="1" applyBorder="1" applyAlignment="1" applyProtection="1">
      <alignment horizontal="right" vertical="center"/>
    </xf>
    <xf numFmtId="0" fontId="27" fillId="2" borderId="0" xfId="5" applyFont="1" applyFill="1" applyBorder="1" applyAlignment="1">
      <alignment horizontal="right"/>
    </xf>
    <xf numFmtId="0" fontId="32" fillId="2" borderId="0" xfId="5" applyFont="1" applyFill="1" applyBorder="1" applyAlignment="1">
      <alignment horizontal="right"/>
    </xf>
    <xf numFmtId="0" fontId="32" fillId="2" borderId="48" xfId="5" applyFont="1" applyFill="1" applyBorder="1" applyAlignment="1">
      <alignment horizontal="right"/>
    </xf>
    <xf numFmtId="164" fontId="33" fillId="2" borderId="0" xfId="0" applyNumberFormat="1" applyFont="1" applyFill="1"/>
    <xf numFmtId="0" fontId="32" fillId="2" borderId="0" xfId="0" applyNumberFormat="1" applyFont="1" applyFill="1" applyBorder="1" applyAlignment="1">
      <alignment horizontal="right" vertical="center"/>
    </xf>
    <xf numFmtId="164" fontId="33" fillId="2" borderId="0" xfId="0" applyNumberFormat="1" applyFont="1" applyFill="1" applyBorder="1" applyAlignment="1">
      <alignment horizontal="right" vertical="center"/>
    </xf>
    <xf numFmtId="164" fontId="33" fillId="2" borderId="0" xfId="0" applyNumberFormat="1" applyFont="1" applyFill="1" applyBorder="1"/>
    <xf numFmtId="164" fontId="27" fillId="2" borderId="0" xfId="2" applyNumberFormat="1" applyFont="1" applyFill="1" applyBorder="1" applyAlignment="1">
      <alignment horizontal="right" vertical="center"/>
    </xf>
    <xf numFmtId="164" fontId="26" fillId="2" borderId="0" xfId="0" applyNumberFormat="1" applyFont="1" applyFill="1"/>
    <xf numFmtId="0" fontId="32" fillId="2" borderId="11" xfId="5" applyFont="1" applyFill="1" applyBorder="1" applyAlignment="1">
      <alignment horizontal="right"/>
    </xf>
    <xf numFmtId="0" fontId="32" fillId="2" borderId="12" xfId="5" applyFont="1" applyFill="1" applyBorder="1" applyAlignment="1">
      <alignment horizontal="right"/>
    </xf>
    <xf numFmtId="0" fontId="27" fillId="2" borderId="13" xfId="5" applyFont="1" applyFill="1" applyBorder="1" applyAlignment="1">
      <alignment horizontal="right"/>
    </xf>
    <xf numFmtId="164" fontId="34" fillId="2" borderId="8" xfId="2" applyNumberFormat="1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18" xfId="2" applyNumberFormat="1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2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164" fontId="6" fillId="2" borderId="47" xfId="2" applyNumberFormat="1" applyFont="1" applyFill="1" applyBorder="1" applyAlignment="1" applyProtection="1">
      <alignment horizontal="right" vertical="center"/>
    </xf>
    <xf numFmtId="164" fontId="6" fillId="2" borderId="26" xfId="2" applyNumberFormat="1" applyFont="1" applyFill="1" applyBorder="1" applyAlignment="1" applyProtection="1">
      <alignment horizontal="right" vertical="center"/>
    </xf>
    <xf numFmtId="164" fontId="6" fillId="2" borderId="50" xfId="2" applyNumberFormat="1" applyFont="1" applyFill="1" applyBorder="1" applyAlignment="1" applyProtection="1">
      <alignment horizontal="right" vertical="center" wrapText="1"/>
    </xf>
    <xf numFmtId="164" fontId="6" fillId="2" borderId="49" xfId="2" applyNumberFormat="1" applyFont="1" applyFill="1" applyBorder="1" applyAlignment="1" applyProtection="1">
      <alignment horizontal="right" vertical="center"/>
    </xf>
    <xf numFmtId="164" fontId="6" fillId="2" borderId="26" xfId="2" applyNumberFormat="1" applyFont="1" applyFill="1" applyBorder="1" applyAlignment="1" applyProtection="1">
      <alignment horizontal="right"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Border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8" xfId="2" applyNumberFormat="1" applyFont="1" applyFill="1" applyBorder="1" applyAlignment="1">
      <alignment horizontal="right" vertical="center"/>
    </xf>
    <xf numFmtId="164" fontId="35" fillId="2" borderId="8" xfId="2" applyNumberFormat="1" applyFont="1" applyFill="1" applyBorder="1" applyAlignment="1">
      <alignment horizontal="center" vertical="center"/>
    </xf>
    <xf numFmtId="164" fontId="17" fillId="2" borderId="0" xfId="2" applyNumberFormat="1" applyFont="1" applyFill="1" applyBorder="1" applyAlignment="1">
      <alignment horizontal="center" vertical="center" wrapText="1"/>
    </xf>
    <xf numFmtId="164" fontId="40" fillId="2" borderId="17" xfId="2" applyNumberFormat="1" applyFont="1" applyFill="1" applyBorder="1" applyAlignment="1">
      <alignment horizontal="left" vertical="center"/>
    </xf>
    <xf numFmtId="164" fontId="40" fillId="2" borderId="18" xfId="2" applyNumberFormat="1" applyFont="1" applyFill="1" applyBorder="1" applyAlignment="1">
      <alignment vertical="center"/>
    </xf>
    <xf numFmtId="164" fontId="31" fillId="2" borderId="18" xfId="2" applyNumberFormat="1" applyFont="1" applyFill="1" applyBorder="1" applyAlignment="1">
      <alignment vertical="center"/>
    </xf>
    <xf numFmtId="164" fontId="24" fillId="2" borderId="1" xfId="2" applyNumberFormat="1" applyFont="1" applyFill="1" applyBorder="1" applyAlignment="1">
      <alignment horizontal="center" vertical="center"/>
    </xf>
    <xf numFmtId="164" fontId="24" fillId="2" borderId="22" xfId="2" applyNumberFormat="1" applyFont="1" applyFill="1" applyBorder="1" applyAlignment="1">
      <alignment vertical="center" wrapText="1"/>
    </xf>
    <xf numFmtId="164" fontId="25" fillId="2" borderId="5" xfId="2" applyNumberFormat="1" applyFont="1" applyFill="1" applyBorder="1" applyAlignment="1">
      <alignment horizontal="left" vertical="center"/>
    </xf>
    <xf numFmtId="0" fontId="41" fillId="2" borderId="26" xfId="2" applyNumberFormat="1" applyFont="1" applyFill="1" applyBorder="1" applyAlignment="1">
      <alignment horizontal="center" vertical="center"/>
    </xf>
    <xf numFmtId="0" fontId="41" fillId="2" borderId="27" xfId="2" applyNumberFormat="1" applyFont="1" applyFill="1" applyBorder="1" applyAlignment="1">
      <alignment horizontal="center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48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164" fontId="14" fillId="2" borderId="0" xfId="2" applyNumberFormat="1" applyFont="1" applyFill="1" applyBorder="1" applyAlignment="1" applyProtection="1">
      <alignment horizontal="left" vertical="center"/>
    </xf>
    <xf numFmtId="164" fontId="15" fillId="2" borderId="0" xfId="2" applyNumberFormat="1" applyFont="1" applyFill="1" applyBorder="1" applyAlignment="1" applyProtection="1">
      <alignment horizontal="left" vertical="center" indent="1"/>
    </xf>
    <xf numFmtId="164" fontId="15" fillId="2" borderId="48" xfId="2" applyNumberFormat="1" applyFont="1" applyFill="1" applyBorder="1" applyAlignment="1" applyProtection="1">
      <alignment horizontal="left" vertical="center" indent="1"/>
    </xf>
    <xf numFmtId="164" fontId="20" fillId="2" borderId="48" xfId="2" applyNumberFormat="1" applyFont="1" applyFill="1" applyBorder="1" applyAlignment="1">
      <alignment horizontal="center" vertical="center" wrapText="1"/>
    </xf>
    <xf numFmtId="164" fontId="34" fillId="2" borderId="8" xfId="2" applyNumberFormat="1" applyFont="1" applyFill="1" applyBorder="1" applyAlignment="1">
      <alignment horizontal="center" vertical="center"/>
    </xf>
    <xf numFmtId="164" fontId="28" fillId="2" borderId="0" xfId="2" applyNumberFormat="1" applyFont="1" applyFill="1" applyBorder="1" applyAlignment="1">
      <alignment horizontal="center" vertical="center"/>
    </xf>
    <xf numFmtId="164" fontId="4" fillId="2" borderId="0" xfId="2" applyNumberFormat="1" applyFont="1" applyFill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left" vertical="center"/>
    </xf>
    <xf numFmtId="164" fontId="9" fillId="2" borderId="0" xfId="2" applyNumberFormat="1" applyFont="1" applyFill="1" applyBorder="1" applyAlignment="1">
      <alignment horizontal="left" vertical="center"/>
    </xf>
    <xf numFmtId="164" fontId="9" fillId="2" borderId="48" xfId="2" applyNumberFormat="1" applyFont="1" applyFill="1" applyBorder="1" applyAlignment="1">
      <alignment horizontal="left" vertical="center"/>
    </xf>
    <xf numFmtId="164" fontId="27" fillId="2" borderId="8" xfId="2" applyNumberFormat="1" applyFont="1" applyFill="1" applyBorder="1" applyAlignment="1">
      <alignment horizontal="right" vertical="center"/>
    </xf>
    <xf numFmtId="164" fontId="27" fillId="2" borderId="0" xfId="2" applyNumberFormat="1" applyFont="1" applyFill="1" applyBorder="1" applyAlignment="1">
      <alignment horizontal="right" vertical="center"/>
    </xf>
    <xf numFmtId="164" fontId="27" fillId="2" borderId="48" xfId="2" applyNumberFormat="1" applyFont="1" applyFill="1" applyBorder="1" applyAlignment="1">
      <alignment horizontal="right" vertical="center"/>
    </xf>
    <xf numFmtId="164" fontId="9" fillId="2" borderId="17" xfId="2" applyNumberFormat="1" applyFont="1" applyFill="1" applyBorder="1" applyAlignment="1">
      <alignment horizontal="left" vertical="center"/>
    </xf>
    <xf numFmtId="164" fontId="9" fillId="2" borderId="1" xfId="2" applyNumberFormat="1" applyFont="1" applyFill="1" applyBorder="1" applyAlignment="1">
      <alignment horizontal="left" vertical="center"/>
    </xf>
    <xf numFmtId="164" fontId="9" fillId="2" borderId="5" xfId="2" applyNumberFormat="1" applyFont="1" applyFill="1" applyBorder="1" applyAlignment="1">
      <alignment horizontal="left" vertical="center"/>
    </xf>
    <xf numFmtId="164" fontId="31" fillId="2" borderId="10" xfId="2" applyNumberFormat="1" applyFont="1" applyFill="1" applyBorder="1" applyAlignment="1">
      <alignment horizontal="center" vertical="center"/>
    </xf>
    <xf numFmtId="164" fontId="31" fillId="2" borderId="18" xfId="2" applyNumberFormat="1" applyFont="1" applyFill="1" applyBorder="1" applyAlignment="1">
      <alignment horizontal="center" vertical="center"/>
    </xf>
    <xf numFmtId="164" fontId="31" fillId="2" borderId="19" xfId="2" applyNumberFormat="1" applyFont="1" applyFill="1" applyBorder="1" applyAlignment="1">
      <alignment horizontal="center" vertical="center"/>
    </xf>
    <xf numFmtId="164" fontId="31" fillId="2" borderId="15" xfId="2" applyNumberFormat="1" applyFont="1" applyFill="1" applyBorder="1" applyAlignment="1">
      <alignment horizontal="center" vertical="center"/>
    </xf>
    <xf numFmtId="164" fontId="31" fillId="2" borderId="8" xfId="2" applyNumberFormat="1" applyFont="1" applyFill="1" applyBorder="1" applyAlignment="1">
      <alignment horizontal="center" vertical="center"/>
    </xf>
    <xf numFmtId="164" fontId="35" fillId="2" borderId="15" xfId="2" applyNumberFormat="1" applyFont="1" applyFill="1" applyBorder="1" applyAlignment="1">
      <alignment horizontal="center" vertical="center"/>
    </xf>
    <xf numFmtId="164" fontId="35" fillId="2" borderId="8" xfId="2" applyNumberFormat="1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11" xfId="5" applyFont="1" applyFill="1" applyBorder="1" applyAlignment="1">
      <alignment horizontal="right" vertical="center"/>
    </xf>
    <xf numFmtId="0" fontId="27" fillId="2" borderId="12" xfId="5" applyFont="1" applyFill="1" applyBorder="1" applyAlignment="1">
      <alignment horizontal="right" vertical="center"/>
    </xf>
    <xf numFmtId="164" fontId="24" fillId="2" borderId="6" xfId="2" applyNumberFormat="1" applyFont="1" applyFill="1" applyBorder="1" applyAlignment="1">
      <alignment horizontal="center" vertical="center" wrapText="1"/>
    </xf>
    <xf numFmtId="164" fontId="24" fillId="2" borderId="22" xfId="2" applyNumberFormat="1" applyFont="1" applyFill="1" applyBorder="1" applyAlignment="1">
      <alignment horizontal="center" vertical="center" wrapText="1"/>
    </xf>
    <xf numFmtId="164" fontId="24" fillId="2" borderId="23" xfId="2" applyNumberFormat="1" applyFont="1" applyFill="1" applyBorder="1" applyAlignment="1">
      <alignment horizontal="center" vertical="center" wrapText="1"/>
    </xf>
    <xf numFmtId="164" fontId="24" fillId="2" borderId="14" xfId="2" applyNumberFormat="1" applyFont="1" applyFill="1" applyBorder="1" applyAlignment="1">
      <alignment horizontal="center" vertical="center" wrapText="1"/>
    </xf>
    <xf numFmtId="164" fontId="24" fillId="2" borderId="0" xfId="2" applyNumberFormat="1" applyFont="1" applyFill="1" applyBorder="1" applyAlignment="1">
      <alignment horizontal="center" vertical="center" wrapText="1"/>
    </xf>
    <xf numFmtId="164" fontId="17" fillId="2" borderId="14" xfId="2" applyNumberFormat="1" applyFont="1" applyFill="1" applyBorder="1" applyAlignment="1">
      <alignment horizontal="center" vertical="center" wrapText="1"/>
    </xf>
    <xf numFmtId="164" fontId="17" fillId="2" borderId="0" xfId="2" applyNumberFormat="1" applyFont="1" applyFill="1" applyBorder="1" applyAlignment="1">
      <alignment horizontal="center" vertical="center" wrapText="1"/>
    </xf>
    <xf numFmtId="164" fontId="17" fillId="2" borderId="16" xfId="2" applyNumberFormat="1" applyFont="1" applyFill="1" applyBorder="1" applyAlignment="1">
      <alignment horizontal="center" vertical="center" wrapText="1"/>
    </xf>
    <xf numFmtId="164" fontId="17" fillId="2" borderId="48" xfId="2" applyNumberFormat="1" applyFont="1" applyFill="1" applyBorder="1" applyAlignment="1">
      <alignment horizontal="center" vertical="center" wrapText="1"/>
    </xf>
    <xf numFmtId="164" fontId="17" fillId="2" borderId="25" xfId="2" applyNumberFormat="1" applyFont="1" applyFill="1" applyBorder="1" applyAlignment="1">
      <alignment horizontal="center" vertical="center" wrapText="1"/>
    </xf>
    <xf numFmtId="164" fontId="17" fillId="2" borderId="24" xfId="2" applyNumberFormat="1" applyFont="1" applyFill="1" applyBorder="1" applyAlignment="1">
      <alignment horizontal="center" vertical="center" wrapText="1"/>
    </xf>
    <xf numFmtId="164" fontId="17" fillId="2" borderId="22" xfId="2" applyNumberFormat="1" applyFont="1" applyFill="1" applyBorder="1" applyAlignment="1">
      <alignment horizontal="center" vertical="center" wrapText="1"/>
    </xf>
    <xf numFmtId="164" fontId="17" fillId="2" borderId="23" xfId="2" applyNumberFormat="1" applyFont="1" applyFill="1" applyBorder="1" applyAlignment="1">
      <alignment horizontal="center" vertical="center" wrapText="1"/>
    </xf>
    <xf numFmtId="164" fontId="35" fillId="2" borderId="21" xfId="2" applyNumberFormat="1" applyFont="1" applyFill="1" applyBorder="1" applyAlignment="1">
      <alignment horizontal="center" vertical="center"/>
    </xf>
    <xf numFmtId="164" fontId="35" fillId="2" borderId="20" xfId="2" applyNumberFormat="1" applyFont="1" applyFill="1" applyBorder="1" applyAlignment="1">
      <alignment horizontal="center" vertical="center"/>
    </xf>
    <xf numFmtId="164" fontId="35" fillId="2" borderId="18" xfId="2" applyNumberFormat="1" applyFont="1" applyFill="1" applyBorder="1" applyAlignment="1">
      <alignment horizontal="center" vertical="center"/>
    </xf>
    <xf numFmtId="164" fontId="35" fillId="2" borderId="19" xfId="2" applyNumberFormat="1" applyFont="1" applyFill="1" applyBorder="1" applyAlignment="1">
      <alignment horizontal="center" vertical="center"/>
    </xf>
    <xf numFmtId="0" fontId="18" fillId="2" borderId="38" xfId="0" applyNumberFormat="1" applyFont="1" applyFill="1" applyBorder="1" applyAlignment="1">
      <alignment horizontal="center" vertical="center"/>
    </xf>
    <xf numFmtId="0" fontId="18" fillId="2" borderId="0" xfId="0" applyNumberFormat="1" applyFont="1" applyFill="1" applyBorder="1" applyAlignment="1">
      <alignment horizontal="center" vertical="center"/>
    </xf>
    <xf numFmtId="164" fontId="17" fillId="2" borderId="48" xfId="2" applyNumberFormat="1" applyFont="1" applyFill="1" applyBorder="1" applyAlignment="1" applyProtection="1">
      <alignment horizontal="center" vertical="center"/>
    </xf>
    <xf numFmtId="164" fontId="9" fillId="2" borderId="8" xfId="2" applyNumberFormat="1" applyFont="1" applyFill="1" applyBorder="1" applyAlignment="1" applyProtection="1">
      <alignment horizontal="left" vertical="center"/>
    </xf>
    <xf numFmtId="164" fontId="9" fillId="2" borderId="48" xfId="2" applyNumberFormat="1" applyFont="1" applyFill="1" applyBorder="1" applyAlignment="1" applyProtection="1">
      <alignment horizontal="left" vertical="center"/>
    </xf>
    <xf numFmtId="164" fontId="6" fillId="2" borderId="8" xfId="2" applyNumberFormat="1" applyFont="1" applyFill="1" applyBorder="1" applyAlignment="1" applyProtection="1">
      <alignment horizontal="right" vertical="center" wrapText="1"/>
    </xf>
    <xf numFmtId="164" fontId="6" fillId="2" borderId="48" xfId="2" applyNumberFormat="1" applyFont="1" applyFill="1" applyBorder="1" applyAlignment="1" applyProtection="1">
      <alignment horizontal="right" vertical="center" wrapText="1"/>
    </xf>
    <xf numFmtId="164" fontId="6" fillId="2" borderId="45" xfId="2" applyNumberFormat="1" applyFont="1" applyFill="1" applyBorder="1" applyAlignment="1" applyProtection="1">
      <alignment horizontal="center" vertical="center"/>
    </xf>
    <xf numFmtId="164" fontId="6" fillId="2" borderId="31" xfId="2" applyNumberFormat="1" applyFont="1" applyFill="1" applyBorder="1" applyAlignment="1" applyProtection="1">
      <alignment horizontal="center" vertical="center"/>
    </xf>
    <xf numFmtId="164" fontId="6" fillId="2" borderId="46" xfId="2" applyNumberFormat="1" applyFont="1" applyFill="1" applyBorder="1" applyAlignment="1" applyProtection="1">
      <alignment horizontal="center" vertical="center"/>
    </xf>
    <xf numFmtId="0" fontId="27" fillId="2" borderId="8" xfId="5" applyFont="1" applyFill="1" applyBorder="1" applyAlignment="1">
      <alignment horizontal="right" vertical="center"/>
    </xf>
    <xf numFmtId="0" fontId="27" fillId="2" borderId="48" xfId="5" applyFont="1" applyFill="1" applyBorder="1" applyAlignment="1">
      <alignment horizontal="right" vertical="center"/>
    </xf>
  </cellXfs>
  <cellStyles count="16">
    <cellStyle name="1" xfId="15"/>
    <cellStyle name="Comma" xfId="1" builtinId="3"/>
    <cellStyle name="Comma 2" xfId="3"/>
    <cellStyle name="Comma 3" xfId="14"/>
    <cellStyle name="Comma 4" xfId="8"/>
    <cellStyle name="Hyperlink 2" xfId="9"/>
    <cellStyle name="Normal" xfId="0" builtinId="0"/>
    <cellStyle name="Normal 2" xfId="2"/>
    <cellStyle name="Normal 2 3" xfId="11"/>
    <cellStyle name="Normal 3" xfId="6"/>
    <cellStyle name="Normal 3 2" xfId="12"/>
    <cellStyle name="Normal 4" xfId="7"/>
    <cellStyle name="Normal 5" xfId="10"/>
    <cellStyle name="Normal 6" xfId="13"/>
    <cellStyle name="Normal_IX-6(Trans &amp; Comm)" xfId="4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2018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&amp;11.19'!$AA$81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&amp;11.19'!$AA$82:$AA$93</c:f>
              <c:numCache>
                <c:formatCode>General</c:formatCode>
                <c:ptCount val="12"/>
                <c:pt idx="0">
                  <c:v>2690</c:v>
                </c:pt>
                <c:pt idx="1">
                  <c:v>2652</c:v>
                </c:pt>
                <c:pt idx="2">
                  <c:v>2538</c:v>
                </c:pt>
                <c:pt idx="3">
                  <c:v>2388</c:v>
                </c:pt>
                <c:pt idx="4">
                  <c:v>2168</c:v>
                </c:pt>
                <c:pt idx="5">
                  <c:v>2230</c:v>
                </c:pt>
                <c:pt idx="6">
                  <c:v>2510</c:v>
                </c:pt>
                <c:pt idx="7">
                  <c:v>2890</c:v>
                </c:pt>
                <c:pt idx="8">
                  <c:v>2560</c:v>
                </c:pt>
                <c:pt idx="9">
                  <c:v>2504</c:v>
                </c:pt>
                <c:pt idx="10">
                  <c:v>2504</c:v>
                </c:pt>
                <c:pt idx="11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'[1]11.17, 11.18 &amp;11.19'!$AB$81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&amp;11.19'!$AB$82:$AB$93</c:f>
              <c:numCache>
                <c:formatCode>General</c:formatCode>
                <c:ptCount val="12"/>
                <c:pt idx="0">
                  <c:v>9909</c:v>
                </c:pt>
                <c:pt idx="1">
                  <c:v>9985</c:v>
                </c:pt>
                <c:pt idx="2">
                  <c:v>9718</c:v>
                </c:pt>
                <c:pt idx="3">
                  <c:v>8909</c:v>
                </c:pt>
                <c:pt idx="4">
                  <c:v>7032</c:v>
                </c:pt>
                <c:pt idx="5">
                  <c:v>6447</c:v>
                </c:pt>
                <c:pt idx="6">
                  <c:v>8181</c:v>
                </c:pt>
                <c:pt idx="7">
                  <c:v>8720</c:v>
                </c:pt>
                <c:pt idx="8">
                  <c:v>7030</c:v>
                </c:pt>
                <c:pt idx="9">
                  <c:v>9231</c:v>
                </c:pt>
                <c:pt idx="10">
                  <c:v>9299</c:v>
                </c:pt>
                <c:pt idx="11">
                  <c:v>10569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6864"/>
        <c:axId val="412980392"/>
      </c:barChart>
      <c:catAx>
        <c:axId val="4129768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80392"/>
        <c:crosses val="autoZero"/>
        <c:auto val="1"/>
        <c:lblAlgn val="ctr"/>
        <c:lblOffset val="100"/>
        <c:noMultiLvlLbl val="0"/>
      </c:catAx>
      <c:valAx>
        <c:axId val="4129803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68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Ibrahim Nasir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&amp;11.19'!$AA$65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&amp;11.19'!$AA$66:$AA$77</c:f>
              <c:numCache>
                <c:formatCode>General</c:formatCode>
                <c:ptCount val="12"/>
                <c:pt idx="0">
                  <c:v>2116</c:v>
                </c:pt>
                <c:pt idx="1">
                  <c:v>1980</c:v>
                </c:pt>
                <c:pt idx="2">
                  <c:v>1938</c:v>
                </c:pt>
                <c:pt idx="3">
                  <c:v>1726</c:v>
                </c:pt>
                <c:pt idx="4">
                  <c:v>1614</c:v>
                </c:pt>
                <c:pt idx="5">
                  <c:v>1612</c:v>
                </c:pt>
                <c:pt idx="6">
                  <c:v>1732</c:v>
                </c:pt>
                <c:pt idx="7">
                  <c:v>1666</c:v>
                </c:pt>
                <c:pt idx="8">
                  <c:v>1618</c:v>
                </c:pt>
                <c:pt idx="9">
                  <c:v>1856</c:v>
                </c:pt>
                <c:pt idx="10">
                  <c:v>2132</c:v>
                </c:pt>
                <c:pt idx="11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'[1]11.17, 11.18 &amp;11.19'!$AC$65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&amp;11.19'!$AC$66:$AC$77</c:f>
              <c:numCache>
                <c:formatCode>General</c:formatCode>
                <c:ptCount val="12"/>
                <c:pt idx="0">
                  <c:v>320</c:v>
                </c:pt>
                <c:pt idx="1">
                  <c:v>162</c:v>
                </c:pt>
                <c:pt idx="2">
                  <c:v>140</c:v>
                </c:pt>
                <c:pt idx="3">
                  <c:v>192</c:v>
                </c:pt>
                <c:pt idx="4">
                  <c:v>96</c:v>
                </c:pt>
                <c:pt idx="5">
                  <c:v>48</c:v>
                </c:pt>
                <c:pt idx="6">
                  <c:v>72</c:v>
                </c:pt>
                <c:pt idx="7">
                  <c:v>58</c:v>
                </c:pt>
                <c:pt idx="8">
                  <c:v>34</c:v>
                </c:pt>
                <c:pt idx="9">
                  <c:v>20</c:v>
                </c:pt>
                <c:pt idx="10">
                  <c:v>154</c:v>
                </c:pt>
                <c:pt idx="11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82352"/>
        <c:axId val="41297725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'[1]11.17, 11.18 &amp;11.19'!$AB$65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'[1]11.17, 11.18 &amp;11.19'!$Z$66:$Z$77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'[1]11.17, 11.18 &amp;11.19'!$AB$66:$AB$77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412982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12977256"/>
        <c:crosses val="autoZero"/>
        <c:auto val="1"/>
        <c:lblAlgn val="ctr"/>
        <c:lblOffset val="100"/>
        <c:noMultiLvlLbl val="0"/>
      </c:catAx>
      <c:valAx>
        <c:axId val="41297725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8235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Velana International airport, 2020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'11.18'!$H$4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'11.18'!$H$6:$H$17</c:f>
              <c:numCache>
                <c:formatCode>#,##0</c:formatCode>
                <c:ptCount val="12"/>
                <c:pt idx="0">
                  <c:v>3458</c:v>
                </c:pt>
                <c:pt idx="1">
                  <c:v>3060</c:v>
                </c:pt>
                <c:pt idx="2">
                  <c:v>2100</c:v>
                </c:pt>
                <c:pt idx="3">
                  <c:v>214</c:v>
                </c:pt>
                <c:pt idx="4">
                  <c:v>136</c:v>
                </c:pt>
                <c:pt idx="5">
                  <c:v>308</c:v>
                </c:pt>
                <c:pt idx="6">
                  <c:v>337</c:v>
                </c:pt>
                <c:pt idx="7">
                  <c:v>296</c:v>
                </c:pt>
                <c:pt idx="8">
                  <c:v>286</c:v>
                </c:pt>
                <c:pt idx="9">
                  <c:v>476</c:v>
                </c:pt>
                <c:pt idx="10">
                  <c:v>744</c:v>
                </c:pt>
                <c:pt idx="11">
                  <c:v>1398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'11.18'!$I$4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'11.18'!$I$6:$I$17</c:f>
              <c:numCache>
                <c:formatCode>#,##0</c:formatCode>
                <c:ptCount val="12"/>
                <c:pt idx="0">
                  <c:v>12973</c:v>
                </c:pt>
                <c:pt idx="1">
                  <c:v>11221</c:v>
                </c:pt>
                <c:pt idx="2">
                  <c:v>6604</c:v>
                </c:pt>
                <c:pt idx="3">
                  <c:v>296</c:v>
                </c:pt>
                <c:pt idx="4">
                  <c:v>579</c:v>
                </c:pt>
                <c:pt idx="5">
                  <c:v>662</c:v>
                </c:pt>
                <c:pt idx="6">
                  <c:v>672</c:v>
                </c:pt>
                <c:pt idx="7">
                  <c:v>1214</c:v>
                </c:pt>
                <c:pt idx="8">
                  <c:v>1311</c:v>
                </c:pt>
                <c:pt idx="9">
                  <c:v>2609</c:v>
                </c:pt>
                <c:pt idx="10">
                  <c:v>4057</c:v>
                </c:pt>
                <c:pt idx="11">
                  <c:v>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8040"/>
        <c:axId val="412975296"/>
      </c:barChart>
      <c:catAx>
        <c:axId val="4129780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5296"/>
        <c:crosses val="autoZero"/>
        <c:auto val="1"/>
        <c:lblAlgn val="ctr"/>
        <c:lblOffset val="100"/>
        <c:noMultiLvlLbl val="0"/>
      </c:catAx>
      <c:valAx>
        <c:axId val="412975296"/>
        <c:scaling>
          <c:orientation val="minMax"/>
          <c:max val="1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804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Velana  International airport, 2020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900623056199873E-2"/>
          <c:y val="0.16243976644354782"/>
          <c:w val="0.89587312365699012"/>
          <c:h val="0.7344214534944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'11.18'!$D$4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FF9900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'11.18'!$D$6:$D$17</c:f>
              <c:numCache>
                <c:formatCode>#,##0</c:formatCode>
                <c:ptCount val="12"/>
                <c:pt idx="0">
                  <c:v>2530</c:v>
                </c:pt>
                <c:pt idx="1">
                  <c:v>2002</c:v>
                </c:pt>
                <c:pt idx="2">
                  <c:v>1332</c:v>
                </c:pt>
                <c:pt idx="3">
                  <c:v>114</c:v>
                </c:pt>
                <c:pt idx="4">
                  <c:v>162</c:v>
                </c:pt>
                <c:pt idx="5">
                  <c:v>212</c:v>
                </c:pt>
                <c:pt idx="6">
                  <c:v>250</c:v>
                </c:pt>
                <c:pt idx="7">
                  <c:v>370</c:v>
                </c:pt>
                <c:pt idx="8">
                  <c:v>356</c:v>
                </c:pt>
                <c:pt idx="9">
                  <c:v>495</c:v>
                </c:pt>
                <c:pt idx="10">
                  <c:v>675</c:v>
                </c:pt>
                <c:pt idx="11">
                  <c:v>1326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'11.18'!$F$4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'11.18'!$A$6:$A$17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'11.18'!$F$6:$F$17</c:f>
              <c:numCache>
                <c:formatCode>#,##0</c:formatCode>
                <c:ptCount val="12"/>
                <c:pt idx="0">
                  <c:v>358</c:v>
                </c:pt>
                <c:pt idx="1">
                  <c:v>202</c:v>
                </c:pt>
                <c:pt idx="2">
                  <c:v>166</c:v>
                </c:pt>
                <c:pt idx="3">
                  <c:v>68</c:v>
                </c:pt>
                <c:pt idx="4">
                  <c:v>98</c:v>
                </c:pt>
                <c:pt idx="5">
                  <c:v>50</c:v>
                </c:pt>
                <c:pt idx="6">
                  <c:v>49</c:v>
                </c:pt>
                <c:pt idx="7">
                  <c:v>78</c:v>
                </c:pt>
                <c:pt idx="8">
                  <c:v>63</c:v>
                </c:pt>
                <c:pt idx="9">
                  <c:v>190</c:v>
                </c:pt>
                <c:pt idx="10">
                  <c:v>268</c:v>
                </c:pt>
                <c:pt idx="1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412979608"/>
        <c:axId val="4129764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'11.18'!$E$4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'11.18'!$A$6:$A$17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'11.18'!$E$6:$E$17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41297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12976472"/>
        <c:crosses val="autoZero"/>
        <c:auto val="1"/>
        <c:lblAlgn val="ctr"/>
        <c:lblOffset val="100"/>
        <c:noMultiLvlLbl val="0"/>
      </c:catAx>
      <c:valAx>
        <c:axId val="412976472"/>
        <c:scaling>
          <c:orientation val="minMax"/>
          <c:max val="3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412979608"/>
        <c:crosses val="autoZero"/>
        <c:crossBetween val="between"/>
        <c:majorUnit val="500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19157527642302158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14350" y="157638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515128</xdr:colOff>
      <xdr:row>20</xdr:row>
      <xdr:rowOff>106913</xdr:rowOff>
    </xdr:from>
    <xdr:to>
      <xdr:col>1</xdr:col>
      <xdr:colOff>592883</xdr:colOff>
      <xdr:row>21</xdr:row>
      <xdr:rowOff>58316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15128" y="1235606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409574</xdr:colOff>
      <xdr:row>37</xdr:row>
      <xdr:rowOff>161924</xdr:rowOff>
    </xdr:from>
    <xdr:to>
      <xdr:col>9</xdr:col>
      <xdr:colOff>761999</xdr:colOff>
      <xdr:row>56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14350" y="148494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10" name="Lin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 flipV="1">
          <a:off x="1305897" y="116506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437374</xdr:colOff>
      <xdr:row>19</xdr:row>
      <xdr:rowOff>223546</xdr:rowOff>
    </xdr:from>
    <xdr:to>
      <xdr:col>9</xdr:col>
      <xdr:colOff>789799</xdr:colOff>
      <xdr:row>37</xdr:row>
      <xdr:rowOff>89615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534178</xdr:colOff>
      <xdr:row>21</xdr:row>
      <xdr:rowOff>30713</xdr:rowOff>
    </xdr:from>
    <xdr:to>
      <xdr:col>1</xdr:col>
      <xdr:colOff>611933</xdr:colOff>
      <xdr:row>22</xdr:row>
      <xdr:rowOff>85725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34178" y="12308438"/>
          <a:ext cx="858805" cy="283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2" t="s">
        <v>68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9" ht="15.75" x14ac:dyDescent="0.25">
      <c r="A2" s="133" t="s">
        <v>69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</row>
    <row r="3" spans="1:29" s="2" customFormat="1" x14ac:dyDescent="0.25"/>
    <row r="4" spans="1:29" s="9" customFormat="1" ht="19.5" x14ac:dyDescent="0.15">
      <c r="A4" s="134" t="s">
        <v>9</v>
      </c>
      <c r="B4" s="131" t="s">
        <v>36</v>
      </c>
      <c r="C4" s="131"/>
      <c r="D4" s="92"/>
      <c r="E4" s="131" t="s">
        <v>37</v>
      </c>
      <c r="F4" s="131"/>
      <c r="G4" s="92"/>
      <c r="H4" s="131" t="s">
        <v>38</v>
      </c>
      <c r="I4" s="131"/>
      <c r="J4" s="92"/>
      <c r="K4" s="131" t="s">
        <v>39</v>
      </c>
      <c r="L4" s="131"/>
      <c r="M4" s="92"/>
      <c r="N4" s="131" t="s">
        <v>40</v>
      </c>
      <c r="O4" s="131"/>
      <c r="P4" s="92"/>
      <c r="Q4" s="131" t="s">
        <v>41</v>
      </c>
      <c r="R4" s="131"/>
      <c r="S4" s="92"/>
      <c r="T4" s="131" t="s">
        <v>42</v>
      </c>
      <c r="U4" s="131"/>
      <c r="V4" s="92"/>
      <c r="W4" s="131" t="s">
        <v>43</v>
      </c>
      <c r="X4" s="131"/>
      <c r="Y4" s="92"/>
      <c r="Z4" s="131" t="s">
        <v>44</v>
      </c>
      <c r="AA4" s="131"/>
      <c r="AB4" s="137" t="s">
        <v>11</v>
      </c>
    </row>
    <row r="5" spans="1:29" s="14" customFormat="1" ht="15" customHeight="1" x14ac:dyDescent="0.25">
      <c r="A5" s="135"/>
      <c r="B5" s="130" t="s">
        <v>45</v>
      </c>
      <c r="C5" s="130"/>
      <c r="D5" s="13"/>
      <c r="E5" s="130" t="s">
        <v>46</v>
      </c>
      <c r="F5" s="130"/>
      <c r="G5" s="13"/>
      <c r="H5" s="130" t="s">
        <v>47</v>
      </c>
      <c r="I5" s="130"/>
      <c r="J5" s="13"/>
      <c r="K5" s="130" t="s">
        <v>48</v>
      </c>
      <c r="L5" s="130"/>
      <c r="M5" s="13"/>
      <c r="N5" s="130" t="s">
        <v>49</v>
      </c>
      <c r="O5" s="130"/>
      <c r="P5" s="13"/>
      <c r="Q5" s="130" t="s">
        <v>50</v>
      </c>
      <c r="R5" s="130"/>
      <c r="S5" s="13"/>
      <c r="T5" s="130" t="s">
        <v>51</v>
      </c>
      <c r="U5" s="130"/>
      <c r="V5" s="13"/>
      <c r="W5" s="130" t="s">
        <v>52</v>
      </c>
      <c r="X5" s="130"/>
      <c r="Y5" s="13"/>
      <c r="Z5" s="130" t="s">
        <v>53</v>
      </c>
      <c r="AA5" s="130"/>
      <c r="AB5" s="138"/>
      <c r="AC5" s="4"/>
    </row>
    <row r="6" spans="1:29" s="88" customFormat="1" ht="14.25" x14ac:dyDescent="0.2">
      <c r="A6" s="135"/>
      <c r="B6" s="74" t="s">
        <v>0</v>
      </c>
      <c r="C6" s="74" t="s">
        <v>1</v>
      </c>
      <c r="D6" s="74"/>
      <c r="E6" s="74" t="s">
        <v>0</v>
      </c>
      <c r="F6" s="74" t="s">
        <v>1</v>
      </c>
      <c r="G6" s="74"/>
      <c r="H6" s="74" t="s">
        <v>0</v>
      </c>
      <c r="I6" s="74" t="s">
        <v>1</v>
      </c>
      <c r="J6" s="74"/>
      <c r="K6" s="74" t="s">
        <v>0</v>
      </c>
      <c r="L6" s="74" t="s">
        <v>1</v>
      </c>
      <c r="M6" s="74"/>
      <c r="N6" s="74" t="s">
        <v>0</v>
      </c>
      <c r="O6" s="74" t="s">
        <v>1</v>
      </c>
      <c r="P6" s="74"/>
      <c r="Q6" s="74" t="s">
        <v>0</v>
      </c>
      <c r="R6" s="74" t="s">
        <v>1</v>
      </c>
      <c r="S6" s="74"/>
      <c r="T6" s="74" t="s">
        <v>0</v>
      </c>
      <c r="U6" s="74" t="s">
        <v>1</v>
      </c>
      <c r="V6" s="74"/>
      <c r="W6" s="74" t="s">
        <v>0</v>
      </c>
      <c r="X6" s="74" t="s">
        <v>1</v>
      </c>
      <c r="Y6" s="74"/>
      <c r="Z6" s="74" t="s">
        <v>0</v>
      </c>
      <c r="AA6" s="74" t="s">
        <v>1</v>
      </c>
      <c r="AB6" s="138"/>
    </row>
    <row r="7" spans="1:29" s="14" customFormat="1" ht="14.25" x14ac:dyDescent="0.2">
      <c r="A7" s="136"/>
      <c r="B7" s="76" t="s">
        <v>2</v>
      </c>
      <c r="C7" s="76" t="s">
        <v>3</v>
      </c>
      <c r="D7" s="76"/>
      <c r="E7" s="76" t="s">
        <v>2</v>
      </c>
      <c r="F7" s="76" t="s">
        <v>3</v>
      </c>
      <c r="G7" s="76"/>
      <c r="H7" s="76" t="s">
        <v>2</v>
      </c>
      <c r="I7" s="76" t="s">
        <v>3</v>
      </c>
      <c r="J7" s="76"/>
      <c r="K7" s="76" t="s">
        <v>2</v>
      </c>
      <c r="L7" s="76" t="s">
        <v>3</v>
      </c>
      <c r="M7" s="76"/>
      <c r="N7" s="76" t="s">
        <v>2</v>
      </c>
      <c r="O7" s="76" t="s">
        <v>3</v>
      </c>
      <c r="P7" s="76"/>
      <c r="Q7" s="76" t="s">
        <v>2</v>
      </c>
      <c r="R7" s="76" t="s">
        <v>3</v>
      </c>
      <c r="S7" s="76"/>
      <c r="T7" s="76" t="s">
        <v>2</v>
      </c>
      <c r="U7" s="76" t="s">
        <v>3</v>
      </c>
      <c r="V7" s="76"/>
      <c r="W7" s="76" t="s">
        <v>2</v>
      </c>
      <c r="X7" s="76" t="s">
        <v>3</v>
      </c>
      <c r="Y7" s="76"/>
      <c r="Z7" s="76" t="s">
        <v>2</v>
      </c>
      <c r="AA7" s="76" t="s">
        <v>3</v>
      </c>
      <c r="AB7" s="139"/>
    </row>
    <row r="8" spans="1:29" s="9" customFormat="1" ht="15.75" x14ac:dyDescent="0.15">
      <c r="A8" s="73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87" t="s">
        <v>5</v>
      </c>
    </row>
    <row r="9" spans="1:29" s="9" customFormat="1" ht="15.75" x14ac:dyDescent="0.4">
      <c r="A9" s="5" t="s">
        <v>12</v>
      </c>
      <c r="B9" s="105"/>
      <c r="C9" s="105"/>
      <c r="D9" s="105"/>
      <c r="E9" s="106"/>
      <c r="F9" s="106"/>
      <c r="G9" s="106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7"/>
      <c r="Z9" s="107"/>
      <c r="AA9" s="107"/>
      <c r="AB9" s="89" t="s">
        <v>13</v>
      </c>
    </row>
    <row r="10" spans="1:29" s="9" customFormat="1" ht="15.75" x14ac:dyDescent="0.4">
      <c r="A10" s="5" t="s">
        <v>14</v>
      </c>
      <c r="B10" s="105"/>
      <c r="C10" s="105"/>
      <c r="D10" s="105"/>
      <c r="E10" s="106"/>
      <c r="F10" s="106"/>
      <c r="G10" s="106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7"/>
      <c r="Z10" s="107"/>
      <c r="AA10" s="107"/>
      <c r="AB10" s="89" t="s">
        <v>15</v>
      </c>
    </row>
    <row r="11" spans="1:29" s="9" customFormat="1" ht="15.75" x14ac:dyDescent="0.4">
      <c r="A11" s="5" t="s">
        <v>16</v>
      </c>
      <c r="B11" s="105"/>
      <c r="C11" s="105"/>
      <c r="D11" s="105"/>
      <c r="E11" s="106"/>
      <c r="F11" s="106"/>
      <c r="G11" s="106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7"/>
      <c r="Z11" s="107"/>
      <c r="AA11" s="107"/>
      <c r="AB11" s="89" t="s">
        <v>17</v>
      </c>
    </row>
    <row r="12" spans="1:29" s="9" customFormat="1" ht="15.75" x14ac:dyDescent="0.4">
      <c r="A12" s="5" t="s">
        <v>18</v>
      </c>
      <c r="B12" s="105"/>
      <c r="C12" s="105"/>
      <c r="D12" s="105"/>
      <c r="E12" s="106"/>
      <c r="F12" s="106"/>
      <c r="G12" s="106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7"/>
      <c r="Z12" s="107"/>
      <c r="AA12" s="107"/>
      <c r="AB12" s="89" t="s">
        <v>19</v>
      </c>
    </row>
    <row r="13" spans="1:29" s="9" customFormat="1" ht="15.75" x14ac:dyDescent="0.4">
      <c r="A13" s="5" t="s">
        <v>20</v>
      </c>
      <c r="B13" s="105"/>
      <c r="C13" s="105"/>
      <c r="D13" s="105"/>
      <c r="E13" s="106"/>
      <c r="F13" s="106"/>
      <c r="G13" s="106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7"/>
      <c r="Z13" s="107"/>
      <c r="AA13" s="107"/>
      <c r="AB13" s="89" t="s">
        <v>21</v>
      </c>
    </row>
    <row r="14" spans="1:29" s="9" customFormat="1" ht="15.75" x14ac:dyDescent="0.4">
      <c r="A14" s="5" t="s">
        <v>22</v>
      </c>
      <c r="B14" s="105"/>
      <c r="C14" s="105"/>
      <c r="D14" s="105"/>
      <c r="E14" s="106"/>
      <c r="F14" s="106"/>
      <c r="G14" s="106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7"/>
      <c r="Z14" s="107"/>
      <c r="AA14" s="107"/>
      <c r="AB14" s="89" t="s">
        <v>23</v>
      </c>
    </row>
    <row r="15" spans="1:29" s="9" customFormat="1" ht="15.75" x14ac:dyDescent="0.4">
      <c r="A15" s="5" t="s">
        <v>24</v>
      </c>
      <c r="B15" s="105"/>
      <c r="C15" s="105"/>
      <c r="D15" s="105"/>
      <c r="E15" s="106"/>
      <c r="F15" s="106"/>
      <c r="G15" s="106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7"/>
      <c r="Z15" s="107"/>
      <c r="AA15" s="107"/>
      <c r="AB15" s="89" t="s">
        <v>25</v>
      </c>
    </row>
    <row r="16" spans="1:29" s="9" customFormat="1" ht="15.75" x14ac:dyDescent="0.4">
      <c r="A16" s="5" t="s">
        <v>26</v>
      </c>
      <c r="B16" s="105"/>
      <c r="C16" s="105"/>
      <c r="D16" s="105"/>
      <c r="E16" s="106"/>
      <c r="F16" s="106"/>
      <c r="G16" s="106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7"/>
      <c r="Z16" s="107"/>
      <c r="AA16" s="107"/>
      <c r="AB16" s="89" t="s">
        <v>27</v>
      </c>
    </row>
    <row r="17" spans="1:44" s="9" customFormat="1" ht="15.75" x14ac:dyDescent="0.4">
      <c r="A17" s="5" t="s">
        <v>28</v>
      </c>
      <c r="B17" s="105"/>
      <c r="C17" s="105"/>
      <c r="D17" s="105"/>
      <c r="E17" s="106"/>
      <c r="F17" s="106"/>
      <c r="G17" s="106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7"/>
      <c r="Z17" s="107"/>
      <c r="AA17" s="107"/>
      <c r="AB17" s="89" t="s">
        <v>29</v>
      </c>
    </row>
    <row r="18" spans="1:44" s="9" customFormat="1" ht="15.75" x14ac:dyDescent="0.4">
      <c r="A18" s="5" t="s">
        <v>30</v>
      </c>
      <c r="B18" s="105"/>
      <c r="C18" s="105"/>
      <c r="D18" s="105"/>
      <c r="E18" s="106"/>
      <c r="F18" s="106"/>
      <c r="G18" s="106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7"/>
      <c r="Z18" s="107"/>
      <c r="AA18" s="107"/>
      <c r="AB18" s="89" t="s">
        <v>31</v>
      </c>
    </row>
    <row r="19" spans="1:44" s="9" customFormat="1" ht="15.75" x14ac:dyDescent="0.4">
      <c r="A19" s="5" t="s">
        <v>32</v>
      </c>
      <c r="B19" s="105"/>
      <c r="C19" s="105"/>
      <c r="D19" s="105"/>
      <c r="E19" s="106"/>
      <c r="F19" s="106"/>
      <c r="G19" s="106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7"/>
      <c r="Z19" s="107"/>
      <c r="AA19" s="107"/>
      <c r="AB19" s="89" t="s">
        <v>33</v>
      </c>
    </row>
    <row r="20" spans="1:44" s="9" customFormat="1" ht="15.75" x14ac:dyDescent="0.4">
      <c r="A20" s="75" t="s">
        <v>34</v>
      </c>
      <c r="B20" s="108"/>
      <c r="C20" s="108"/>
      <c r="D20" s="108"/>
      <c r="E20" s="109"/>
      <c r="F20" s="109"/>
      <c r="G20" s="109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10"/>
      <c r="Z20" s="110"/>
      <c r="AA20" s="110"/>
      <c r="AB20" s="90" t="s">
        <v>35</v>
      </c>
    </row>
    <row r="21" spans="1:44" ht="18.75" x14ac:dyDescent="0.25">
      <c r="A21" s="6" t="s">
        <v>7</v>
      </c>
      <c r="AB21" s="8" t="s">
        <v>8</v>
      </c>
      <c r="AO21" s="9"/>
      <c r="AP21" s="77" t="s">
        <v>2</v>
      </c>
      <c r="AQ21" s="77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6" customFormat="1" ht="21.75" customHeight="1" x14ac:dyDescent="0.55000000000000004">
      <c r="A44" s="140" t="s">
        <v>9</v>
      </c>
      <c r="B44" s="113"/>
      <c r="D44" s="114"/>
      <c r="F44" s="114"/>
      <c r="G44" s="143" t="s">
        <v>36</v>
      </c>
      <c r="H44" s="144"/>
      <c r="I44" s="144"/>
      <c r="J44" s="144"/>
      <c r="K44" s="145"/>
      <c r="L44" s="95"/>
      <c r="M44" s="115"/>
      <c r="N44" s="95"/>
      <c r="O44" s="115"/>
      <c r="P44" s="146" t="s">
        <v>37</v>
      </c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14"/>
      <c r="AC44" s="148" t="s">
        <v>38</v>
      </c>
      <c r="AD44" s="149"/>
      <c r="AE44" s="149"/>
      <c r="AF44" s="149"/>
      <c r="AG44" s="149"/>
      <c r="AH44" s="149"/>
      <c r="AI44" s="149"/>
      <c r="AJ44" s="149"/>
      <c r="AK44" s="94"/>
      <c r="AL44" s="148" t="s">
        <v>39</v>
      </c>
      <c r="AM44" s="149"/>
      <c r="AN44" s="149"/>
      <c r="AO44" s="149"/>
      <c r="AP44" s="149"/>
      <c r="AQ44" s="149"/>
      <c r="AR44" s="149"/>
      <c r="AS44" s="94"/>
      <c r="AT44" s="148" t="s">
        <v>40</v>
      </c>
      <c r="AU44" s="149"/>
      <c r="AV44" s="149"/>
      <c r="AW44" s="149"/>
      <c r="AX44" s="149"/>
      <c r="AY44" s="111"/>
      <c r="AZ44" s="94"/>
      <c r="BA44" s="148" t="s">
        <v>41</v>
      </c>
      <c r="BB44" s="149"/>
      <c r="BC44" s="149"/>
      <c r="BD44" s="149"/>
      <c r="BE44" s="166"/>
      <c r="BF44" s="93"/>
      <c r="BG44" s="167" t="s">
        <v>42</v>
      </c>
      <c r="BH44" s="168"/>
      <c r="BI44" s="168"/>
      <c r="BJ44" s="168"/>
      <c r="BK44" s="169"/>
      <c r="BL44" s="148" t="s">
        <v>43</v>
      </c>
      <c r="BM44" s="149"/>
      <c r="BN44" s="149"/>
      <c r="BO44" s="149"/>
      <c r="BP44" s="166"/>
      <c r="BQ44" s="148" t="s">
        <v>44</v>
      </c>
      <c r="BR44" s="149"/>
      <c r="BS44" s="149"/>
      <c r="BT44" s="150" t="s">
        <v>11</v>
      </c>
    </row>
    <row r="45" spans="1:80" s="97" customFormat="1" ht="16.5" customHeight="1" x14ac:dyDescent="0.25">
      <c r="A45" s="141"/>
      <c r="B45" s="116"/>
      <c r="D45" s="117"/>
      <c r="F45" s="117"/>
      <c r="G45" s="153" t="s">
        <v>45</v>
      </c>
      <c r="H45" s="154"/>
      <c r="I45" s="154"/>
      <c r="J45" s="154"/>
      <c r="K45" s="155"/>
      <c r="L45" s="99"/>
      <c r="M45" s="117"/>
      <c r="N45" s="99"/>
      <c r="O45" s="117"/>
      <c r="P45" s="156" t="s">
        <v>46</v>
      </c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17"/>
      <c r="AC45" s="158" t="s">
        <v>61</v>
      </c>
      <c r="AD45" s="159"/>
      <c r="AE45" s="159"/>
      <c r="AF45" s="159"/>
      <c r="AG45" s="159"/>
      <c r="AH45" s="159"/>
      <c r="AI45" s="159"/>
      <c r="AJ45" s="159"/>
      <c r="AK45" s="98"/>
      <c r="AL45" s="158" t="s">
        <v>62</v>
      </c>
      <c r="AM45" s="159"/>
      <c r="AN45" s="159"/>
      <c r="AO45" s="159"/>
      <c r="AP45" s="159"/>
      <c r="AQ45" s="159"/>
      <c r="AR45" s="159"/>
      <c r="AS45" s="98"/>
      <c r="AT45" s="158" t="s">
        <v>63</v>
      </c>
      <c r="AU45" s="159"/>
      <c r="AV45" s="159"/>
      <c r="AW45" s="159"/>
      <c r="AX45" s="159"/>
      <c r="AY45" s="112"/>
      <c r="AZ45" s="98"/>
      <c r="BA45" s="160" t="s">
        <v>64</v>
      </c>
      <c r="BB45" s="161"/>
      <c r="BC45" s="161"/>
      <c r="BD45" s="161"/>
      <c r="BE45" s="162"/>
      <c r="BF45" s="99"/>
      <c r="BG45" s="163" t="s">
        <v>65</v>
      </c>
      <c r="BH45" s="164"/>
      <c r="BI45" s="164"/>
      <c r="BJ45" s="164"/>
      <c r="BK45" s="165"/>
      <c r="BL45" s="160" t="s">
        <v>66</v>
      </c>
      <c r="BM45" s="161"/>
      <c r="BN45" s="161"/>
      <c r="BO45" s="161"/>
      <c r="BP45" s="162"/>
      <c r="BQ45" s="160" t="s">
        <v>67</v>
      </c>
      <c r="BR45" s="161"/>
      <c r="BS45" s="161"/>
      <c r="BT45" s="151"/>
    </row>
    <row r="46" spans="1:80" ht="23.25" customHeight="1" x14ac:dyDescent="0.25">
      <c r="A46" s="142"/>
      <c r="B46" s="118"/>
      <c r="C46" s="119">
        <v>2011</v>
      </c>
      <c r="D46" s="119">
        <v>2012</v>
      </c>
      <c r="E46" s="120">
        <v>2013</v>
      </c>
      <c r="F46" s="121">
        <v>2014</v>
      </c>
      <c r="G46" s="122">
        <v>2015</v>
      </c>
      <c r="H46" s="123">
        <v>2016</v>
      </c>
      <c r="I46" s="124">
        <v>2017</v>
      </c>
      <c r="J46" s="124">
        <v>2018</v>
      </c>
      <c r="K46" s="124">
        <v>2019</v>
      </c>
      <c r="L46" s="125">
        <v>2011</v>
      </c>
      <c r="M46" s="125">
        <v>2012</v>
      </c>
      <c r="N46" s="125">
        <v>2013</v>
      </c>
      <c r="O46" s="124">
        <v>2014</v>
      </c>
      <c r="P46" s="122">
        <v>2015</v>
      </c>
      <c r="Q46" s="124">
        <v>2016</v>
      </c>
      <c r="R46" s="125">
        <v>2011</v>
      </c>
      <c r="S46" s="125">
        <v>2012</v>
      </c>
      <c r="T46" s="124">
        <v>2013</v>
      </c>
      <c r="U46" s="124">
        <v>2014</v>
      </c>
      <c r="V46" s="125">
        <v>2011</v>
      </c>
      <c r="W46" s="125">
        <v>2012</v>
      </c>
      <c r="X46" s="124">
        <v>2013</v>
      </c>
      <c r="Y46" s="124">
        <v>2017</v>
      </c>
      <c r="Z46" s="124">
        <v>2018</v>
      </c>
      <c r="AA46" s="126">
        <v>2019</v>
      </c>
      <c r="AB46" s="124">
        <v>2014</v>
      </c>
      <c r="AC46" s="25">
        <v>2015</v>
      </c>
      <c r="AD46" s="25">
        <v>2016</v>
      </c>
      <c r="AE46" s="78">
        <v>2011</v>
      </c>
      <c r="AF46" s="78">
        <v>2012</v>
      </c>
      <c r="AG46" s="78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78">
        <v>2012</v>
      </c>
      <c r="AQ46" s="78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78">
        <v>2013</v>
      </c>
      <c r="AW46" s="25">
        <v>2017</v>
      </c>
      <c r="AX46" s="25">
        <v>2018</v>
      </c>
      <c r="AY46" s="25">
        <v>2019</v>
      </c>
      <c r="AZ46" s="78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78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52"/>
      <c r="BU46" s="4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 t="shared" ref="Q47" si="1"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>SUM(X48:X59)</f>
        <v>2432</v>
      </c>
      <c r="Y47" s="33">
        <f t="shared" ref="Y47:AB47" si="2">SUM(Y48:Y59)</f>
        <v>5182</v>
      </c>
      <c r="Z47" s="33">
        <f t="shared" si="2"/>
        <v>4726</v>
      </c>
      <c r="AA47" s="34">
        <f t="shared" si="2"/>
        <v>4794</v>
      </c>
      <c r="AB47" s="33">
        <f t="shared" si="2"/>
        <v>2773</v>
      </c>
      <c r="AC47" s="33">
        <f>SUM(AC48:AC59)</f>
        <v>2151</v>
      </c>
      <c r="AD47" s="33">
        <f t="shared" ref="AD47" si="3">SUM(AD48:AD59)</f>
        <v>1998</v>
      </c>
      <c r="AE47" s="33">
        <f t="shared" si="0"/>
        <v>769</v>
      </c>
      <c r="AF47" s="33">
        <f t="shared" si="0"/>
        <v>3315</v>
      </c>
      <c r="AG47" s="33">
        <f>SUM(AG48:AG59)</f>
        <v>4519</v>
      </c>
      <c r="AH47" s="33">
        <f t="shared" ref="AH47:AK47" si="4">SUM(AH48:AH59)</f>
        <v>1845</v>
      </c>
      <c r="AI47" s="33">
        <f t="shared" si="4"/>
        <v>1799</v>
      </c>
      <c r="AJ47" s="33">
        <f t="shared" si="4"/>
        <v>2485</v>
      </c>
      <c r="AK47" s="33">
        <f t="shared" si="4"/>
        <v>4924</v>
      </c>
      <c r="AL47" s="31">
        <f>SUM(AL48:AL59)</f>
        <v>4265</v>
      </c>
      <c r="AM47" s="33">
        <f t="shared" ref="AM47:AO47" si="5">SUM(AM48:AM59)</f>
        <v>3963</v>
      </c>
      <c r="AN47" s="33">
        <f t="shared" si="5"/>
        <v>4305</v>
      </c>
      <c r="AO47" s="33">
        <f t="shared" si="5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 t="shared" ref="AU47:AY47" si="6">SUM(AU48:AU59)</f>
        <v>3870</v>
      </c>
      <c r="AV47" s="33">
        <f t="shared" si="0"/>
        <v>2906</v>
      </c>
      <c r="AW47" s="33">
        <f t="shared" si="0"/>
        <v>4198</v>
      </c>
      <c r="AX47" s="33">
        <f t="shared" si="6"/>
        <v>4532</v>
      </c>
      <c r="AY47" s="33">
        <f t="shared" si="6"/>
        <v>5159</v>
      </c>
      <c r="AZ47" s="33">
        <f t="shared" si="0"/>
        <v>2076</v>
      </c>
      <c r="BA47" s="31">
        <f>SUM(BA48:BA59)</f>
        <v>1988</v>
      </c>
      <c r="BB47" s="33">
        <f t="shared" ref="BB47:BF47" si="7">SUM(BB48:BB59)</f>
        <v>1916</v>
      </c>
      <c r="BC47" s="33">
        <f t="shared" si="7"/>
        <v>1916</v>
      </c>
      <c r="BD47" s="33">
        <f t="shared" si="7"/>
        <v>1975</v>
      </c>
      <c r="BE47" s="33">
        <f t="shared" si="7"/>
        <v>2043</v>
      </c>
      <c r="BF47" s="33">
        <f t="shared" si="7"/>
        <v>826</v>
      </c>
      <c r="BG47" s="31">
        <f>SUM(BG48:BG59)</f>
        <v>331</v>
      </c>
      <c r="BH47" s="33">
        <f t="shared" ref="BH47:BK47" si="8">SUM(BH48:BH59)</f>
        <v>269</v>
      </c>
      <c r="BI47" s="33">
        <f t="shared" si="8"/>
        <v>245</v>
      </c>
      <c r="BJ47" s="33">
        <f t="shared" si="8"/>
        <v>246</v>
      </c>
      <c r="BK47" s="34">
        <f t="shared" si="8"/>
        <v>241</v>
      </c>
      <c r="BL47" s="31">
        <f>SUM(BL48:BL59)</f>
        <v>552</v>
      </c>
      <c r="BM47" s="33">
        <f t="shared" ref="BM47:BS47" si="9">SUM(BM48:BM59)</f>
        <v>1475</v>
      </c>
      <c r="BN47" s="33">
        <f t="shared" si="9"/>
        <v>1911</v>
      </c>
      <c r="BO47" s="33">
        <f t="shared" si="9"/>
        <v>1898</v>
      </c>
      <c r="BP47" s="33">
        <f t="shared" si="9"/>
        <v>1940</v>
      </c>
      <c r="BQ47" s="31">
        <f t="shared" si="9"/>
        <v>488</v>
      </c>
      <c r="BR47" s="35">
        <f t="shared" si="9"/>
        <v>1941</v>
      </c>
      <c r="BS47" s="35">
        <f t="shared" si="9"/>
        <v>2224</v>
      </c>
      <c r="BT47" s="91" t="s">
        <v>5</v>
      </c>
    </row>
    <row r="48" spans="1:80" ht="23.25" customHeight="1" x14ac:dyDescent="0.4">
      <c r="A48" s="36" t="s">
        <v>12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55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55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55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56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56</v>
      </c>
      <c r="BR48" s="41">
        <v>171</v>
      </c>
      <c r="BS48" s="41">
        <v>176</v>
      </c>
      <c r="BT48" s="89" t="s">
        <v>13</v>
      </c>
      <c r="BY48" s="23"/>
      <c r="BZ48" s="23"/>
      <c r="CA48" s="23"/>
      <c r="CB48" s="23"/>
    </row>
    <row r="49" spans="1:80" ht="23.25" customHeight="1" x14ac:dyDescent="0.4">
      <c r="A49" s="36" t="s">
        <v>14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55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55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55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56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56</v>
      </c>
      <c r="BR49" s="41">
        <v>168</v>
      </c>
      <c r="BS49" s="41">
        <v>181</v>
      </c>
      <c r="BT49" s="89" t="s">
        <v>15</v>
      </c>
    </row>
    <row r="50" spans="1:80" ht="23.25" customHeight="1" x14ac:dyDescent="0.4">
      <c r="A50" s="36" t="s">
        <v>16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55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55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55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56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56</v>
      </c>
      <c r="BR50" s="41">
        <v>150</v>
      </c>
      <c r="BS50" s="41">
        <v>202</v>
      </c>
      <c r="BT50" s="89" t="s">
        <v>17</v>
      </c>
    </row>
    <row r="51" spans="1:80" ht="23.25" customHeight="1" x14ac:dyDescent="0.4">
      <c r="A51" s="36" t="s">
        <v>18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55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55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55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56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56</v>
      </c>
      <c r="BR51" s="41">
        <v>161</v>
      </c>
      <c r="BS51" s="41">
        <v>181</v>
      </c>
      <c r="BT51" s="89" t="s">
        <v>19</v>
      </c>
      <c r="BY51" s="23"/>
      <c r="BZ51" s="23"/>
      <c r="CA51" s="23"/>
      <c r="CB51" s="23"/>
    </row>
    <row r="52" spans="1:80" ht="23.25" customHeight="1" x14ac:dyDescent="0.4">
      <c r="A52" s="36" t="s">
        <v>20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55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55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55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56</v>
      </c>
      <c r="BR52" s="41">
        <v>148</v>
      </c>
      <c r="BS52" s="41">
        <v>184</v>
      </c>
      <c r="BT52" s="89" t="s">
        <v>21</v>
      </c>
    </row>
    <row r="53" spans="1:80" ht="23.25" customHeight="1" x14ac:dyDescent="0.4">
      <c r="A53" s="36" t="s">
        <v>22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55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55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55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56</v>
      </c>
      <c r="BR53" s="41">
        <v>123</v>
      </c>
      <c r="BS53" s="41">
        <v>166</v>
      </c>
      <c r="BT53" s="89" t="s">
        <v>23</v>
      </c>
    </row>
    <row r="54" spans="1:80" ht="23.25" customHeight="1" x14ac:dyDescent="0.4">
      <c r="A54" s="36" t="s">
        <v>24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55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55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55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56</v>
      </c>
      <c r="BR54" s="41">
        <v>157</v>
      </c>
      <c r="BS54" s="41">
        <v>176</v>
      </c>
      <c r="BT54" s="89" t="s">
        <v>25</v>
      </c>
      <c r="BY54" s="23"/>
      <c r="BZ54" s="23"/>
      <c r="CA54" s="23"/>
      <c r="CB54" s="23"/>
    </row>
    <row r="55" spans="1:80" ht="23.25" customHeight="1" x14ac:dyDescent="0.4">
      <c r="A55" s="36" t="s">
        <v>26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55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55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55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56</v>
      </c>
      <c r="BR55" s="41">
        <v>172</v>
      </c>
      <c r="BS55" s="41">
        <v>189</v>
      </c>
      <c r="BT55" s="89" t="s">
        <v>27</v>
      </c>
    </row>
    <row r="56" spans="1:80" ht="23.25" customHeight="1" x14ac:dyDescent="0.4">
      <c r="A56" s="36" t="s">
        <v>28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55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55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55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56</v>
      </c>
      <c r="BR56" s="41">
        <v>165</v>
      </c>
      <c r="BS56" s="41">
        <v>161</v>
      </c>
      <c r="BT56" s="89" t="s">
        <v>29</v>
      </c>
    </row>
    <row r="57" spans="1:80" ht="23.25" customHeight="1" x14ac:dyDescent="0.4">
      <c r="A57" s="36" t="s">
        <v>30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89" t="s">
        <v>31</v>
      </c>
      <c r="BY57" s="23"/>
      <c r="BZ57" s="23"/>
      <c r="CA57" s="23"/>
      <c r="CB57" s="23"/>
    </row>
    <row r="58" spans="1:80" ht="23.25" customHeight="1" x14ac:dyDescent="0.4">
      <c r="A58" s="36" t="s">
        <v>32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89" t="s">
        <v>33</v>
      </c>
    </row>
    <row r="59" spans="1:80" ht="23.25" customHeight="1" x14ac:dyDescent="0.4">
      <c r="A59" s="45" t="s">
        <v>34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90" t="s">
        <v>35</v>
      </c>
    </row>
    <row r="60" spans="1:80" ht="18.75" x14ac:dyDescent="0.25">
      <c r="A60" s="6" t="s">
        <v>7</v>
      </c>
      <c r="B60" s="6"/>
      <c r="C60" s="53"/>
      <c r="D60" s="53"/>
      <c r="E60" s="53"/>
      <c r="F60" s="53"/>
      <c r="G60" s="53"/>
      <c r="H60" s="53"/>
      <c r="I60" s="53"/>
      <c r="J60" s="53"/>
      <c r="K60" s="53"/>
      <c r="BT60" s="8" t="s">
        <v>8</v>
      </c>
      <c r="BX60" s="17"/>
      <c r="BY60" s="23"/>
      <c r="BZ60" s="23"/>
      <c r="CA60" s="23"/>
      <c r="CB60" s="23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9"/>
  <sheetViews>
    <sheetView tabSelected="1" zoomScale="95" zoomScaleNormal="95" workbookViewId="0">
      <selection activeCell="T46" sqref="T46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83" customWidth="1"/>
    <col min="11" max="11" width="5.570312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1" ht="21" x14ac:dyDescent="0.25">
      <c r="A1" s="170" t="s">
        <v>70</v>
      </c>
      <c r="B1" s="171"/>
      <c r="C1" s="171"/>
      <c r="D1" s="171"/>
      <c r="E1" s="171"/>
      <c r="F1" s="171"/>
      <c r="G1" s="171"/>
      <c r="H1" s="171"/>
      <c r="I1" s="171"/>
      <c r="J1" s="171"/>
    </row>
    <row r="2" spans="1:11" ht="15" x14ac:dyDescent="0.25">
      <c r="A2" s="172" t="s">
        <v>71</v>
      </c>
      <c r="B2" s="172"/>
      <c r="C2" s="172"/>
      <c r="D2" s="172"/>
      <c r="E2" s="172"/>
      <c r="F2" s="172"/>
      <c r="G2" s="172"/>
      <c r="H2" s="172"/>
      <c r="I2" s="172"/>
      <c r="J2" s="172"/>
    </row>
    <row r="3" spans="1:11" ht="15" x14ac:dyDescent="0.25">
      <c r="A3" s="173" t="s">
        <v>9</v>
      </c>
      <c r="B3" s="175" t="s">
        <v>57</v>
      </c>
      <c r="C3" s="177" t="s">
        <v>6</v>
      </c>
      <c r="D3" s="178"/>
      <c r="E3" s="178"/>
      <c r="F3" s="179"/>
      <c r="G3" s="178" t="s">
        <v>10</v>
      </c>
      <c r="H3" s="178"/>
      <c r="I3" s="178"/>
      <c r="J3" s="180" t="s">
        <v>11</v>
      </c>
    </row>
    <row r="4" spans="1:11" s="23" customFormat="1" ht="15" x14ac:dyDescent="0.25">
      <c r="A4" s="174"/>
      <c r="B4" s="176"/>
      <c r="C4" s="100" t="s">
        <v>4</v>
      </c>
      <c r="D4" s="101" t="s">
        <v>58</v>
      </c>
      <c r="E4" s="101" t="s">
        <v>59</v>
      </c>
      <c r="F4" s="102" t="s">
        <v>60</v>
      </c>
      <c r="G4" s="103" t="s">
        <v>4</v>
      </c>
      <c r="H4" s="101" t="s">
        <v>58</v>
      </c>
      <c r="I4" s="104" t="s">
        <v>60</v>
      </c>
      <c r="J4" s="181"/>
      <c r="K4" s="4"/>
    </row>
    <row r="5" spans="1:11" ht="17.25" x14ac:dyDescent="0.4">
      <c r="A5" s="3" t="s">
        <v>4</v>
      </c>
      <c r="B5" s="54">
        <f>SUM(C5+G5)</f>
        <v>75735</v>
      </c>
      <c r="C5" s="55">
        <f>SUM(D5+E5+F5)</f>
        <v>11906</v>
      </c>
      <c r="D5" s="56">
        <f>SUM(D6:D17)</f>
        <v>9824</v>
      </c>
      <c r="E5" s="56">
        <f>SUM(E6:E17)</f>
        <v>0</v>
      </c>
      <c r="F5" s="57">
        <f>SUM(F6:F17)</f>
        <v>2082</v>
      </c>
      <c r="G5" s="58">
        <f>SUM(H5+I5)</f>
        <v>63829</v>
      </c>
      <c r="H5" s="56">
        <f>SUM(H6:H17)</f>
        <v>12813</v>
      </c>
      <c r="I5" s="56">
        <f>SUM(I6:I17)</f>
        <v>51016</v>
      </c>
      <c r="J5" s="80" t="s">
        <v>5</v>
      </c>
    </row>
    <row r="6" spans="1:11" ht="17.25" x14ac:dyDescent="0.4">
      <c r="A6" s="128" t="s">
        <v>12</v>
      </c>
      <c r="B6" s="54">
        <f>SUM(C6+G6)</f>
        <v>19319</v>
      </c>
      <c r="C6" s="59">
        <f>SUM(D6+E6+F6)</f>
        <v>2888</v>
      </c>
      <c r="D6" s="60">
        <v>2530</v>
      </c>
      <c r="E6" s="60">
        <v>0</v>
      </c>
      <c r="F6" s="61">
        <v>358</v>
      </c>
      <c r="G6" s="62">
        <f>SUM(H6+I6)</f>
        <v>16431</v>
      </c>
      <c r="H6" s="60">
        <v>3458</v>
      </c>
      <c r="I6" s="60">
        <v>12973</v>
      </c>
      <c r="J6" s="81" t="s">
        <v>13</v>
      </c>
    </row>
    <row r="7" spans="1:11" ht="17.25" x14ac:dyDescent="0.4">
      <c r="A7" s="128" t="s">
        <v>14</v>
      </c>
      <c r="B7" s="54">
        <f t="shared" ref="B7:B17" si="0">SUM(C7+G7)</f>
        <v>16485</v>
      </c>
      <c r="C7" s="59">
        <f>SUM(D7+E7+F7)</f>
        <v>2204</v>
      </c>
      <c r="D7" s="60">
        <v>2002</v>
      </c>
      <c r="E7" s="60">
        <v>0</v>
      </c>
      <c r="F7" s="61">
        <v>202</v>
      </c>
      <c r="G7" s="62">
        <f t="shared" ref="G7:G17" si="1">SUM(H7+I7)</f>
        <v>14281</v>
      </c>
      <c r="H7" s="60">
        <v>3060</v>
      </c>
      <c r="I7" s="60">
        <v>11221</v>
      </c>
      <c r="J7" s="81" t="s">
        <v>15</v>
      </c>
    </row>
    <row r="8" spans="1:11" ht="17.25" x14ac:dyDescent="0.4">
      <c r="A8" s="128" t="s">
        <v>16</v>
      </c>
      <c r="B8" s="54">
        <f t="shared" si="0"/>
        <v>10202</v>
      </c>
      <c r="C8" s="59">
        <f t="shared" ref="C8:C17" si="2">SUM(D8+E8+F8)</f>
        <v>1498</v>
      </c>
      <c r="D8" s="60">
        <v>1332</v>
      </c>
      <c r="E8" s="60">
        <v>0</v>
      </c>
      <c r="F8" s="61">
        <v>166</v>
      </c>
      <c r="G8" s="62">
        <f t="shared" si="1"/>
        <v>8704</v>
      </c>
      <c r="H8" s="60">
        <v>2100</v>
      </c>
      <c r="I8" s="60">
        <v>6604</v>
      </c>
      <c r="J8" s="81" t="s">
        <v>17</v>
      </c>
    </row>
    <row r="9" spans="1:11" ht="17.25" x14ac:dyDescent="0.4">
      <c r="A9" s="128" t="s">
        <v>18</v>
      </c>
      <c r="B9" s="54">
        <f t="shared" si="0"/>
        <v>692</v>
      </c>
      <c r="C9" s="59">
        <f t="shared" si="2"/>
        <v>182</v>
      </c>
      <c r="D9" s="60">
        <v>114</v>
      </c>
      <c r="E9" s="60">
        <v>0</v>
      </c>
      <c r="F9" s="61">
        <v>68</v>
      </c>
      <c r="G9" s="62">
        <f t="shared" si="1"/>
        <v>510</v>
      </c>
      <c r="H9" s="60">
        <v>214</v>
      </c>
      <c r="I9" s="60">
        <v>296</v>
      </c>
      <c r="J9" s="81" t="s">
        <v>19</v>
      </c>
    </row>
    <row r="10" spans="1:11" ht="17.25" x14ac:dyDescent="0.4">
      <c r="A10" s="128" t="s">
        <v>20</v>
      </c>
      <c r="B10" s="54">
        <f t="shared" si="0"/>
        <v>975</v>
      </c>
      <c r="C10" s="59">
        <f t="shared" si="2"/>
        <v>260</v>
      </c>
      <c r="D10" s="60">
        <v>162</v>
      </c>
      <c r="E10" s="60">
        <v>0</v>
      </c>
      <c r="F10" s="61">
        <v>98</v>
      </c>
      <c r="G10" s="62">
        <f t="shared" si="1"/>
        <v>715</v>
      </c>
      <c r="H10" s="60">
        <v>136</v>
      </c>
      <c r="I10" s="60">
        <v>579</v>
      </c>
      <c r="J10" s="81" t="s">
        <v>21</v>
      </c>
    </row>
    <row r="11" spans="1:11" ht="17.25" x14ac:dyDescent="0.4">
      <c r="A11" s="128" t="s">
        <v>22</v>
      </c>
      <c r="B11" s="54">
        <f t="shared" si="0"/>
        <v>1232</v>
      </c>
      <c r="C11" s="59">
        <f t="shared" si="2"/>
        <v>262</v>
      </c>
      <c r="D11" s="60">
        <v>212</v>
      </c>
      <c r="E11" s="60">
        <v>0</v>
      </c>
      <c r="F11" s="61">
        <v>50</v>
      </c>
      <c r="G11" s="62">
        <f t="shared" si="1"/>
        <v>970</v>
      </c>
      <c r="H11" s="60">
        <v>308</v>
      </c>
      <c r="I11" s="60">
        <v>662</v>
      </c>
      <c r="J11" s="81" t="s">
        <v>23</v>
      </c>
    </row>
    <row r="12" spans="1:11" ht="17.25" x14ac:dyDescent="0.4">
      <c r="A12" s="128" t="s">
        <v>24</v>
      </c>
      <c r="B12" s="54">
        <f t="shared" si="0"/>
        <v>1308</v>
      </c>
      <c r="C12" s="59">
        <f t="shared" si="2"/>
        <v>299</v>
      </c>
      <c r="D12" s="60">
        <v>250</v>
      </c>
      <c r="E12" s="60">
        <v>0</v>
      </c>
      <c r="F12" s="61">
        <v>49</v>
      </c>
      <c r="G12" s="62">
        <f t="shared" si="1"/>
        <v>1009</v>
      </c>
      <c r="H12" s="60">
        <v>337</v>
      </c>
      <c r="I12" s="60">
        <v>672</v>
      </c>
      <c r="J12" s="81" t="s">
        <v>25</v>
      </c>
    </row>
    <row r="13" spans="1:11" ht="17.25" x14ac:dyDescent="0.4">
      <c r="A13" s="128" t="s">
        <v>26</v>
      </c>
      <c r="B13" s="54">
        <f t="shared" si="0"/>
        <v>1958</v>
      </c>
      <c r="C13" s="59">
        <f t="shared" si="2"/>
        <v>448</v>
      </c>
      <c r="D13" s="60">
        <v>370</v>
      </c>
      <c r="E13" s="60">
        <v>0</v>
      </c>
      <c r="F13" s="61">
        <v>78</v>
      </c>
      <c r="G13" s="62">
        <f t="shared" si="1"/>
        <v>1510</v>
      </c>
      <c r="H13" s="60">
        <v>296</v>
      </c>
      <c r="I13" s="60">
        <v>1214</v>
      </c>
      <c r="J13" s="81" t="s">
        <v>27</v>
      </c>
    </row>
    <row r="14" spans="1:11" ht="17.25" x14ac:dyDescent="0.4">
      <c r="A14" s="128" t="s">
        <v>28</v>
      </c>
      <c r="B14" s="54">
        <f t="shared" si="0"/>
        <v>2016</v>
      </c>
      <c r="C14" s="59">
        <f t="shared" si="2"/>
        <v>419</v>
      </c>
      <c r="D14" s="60">
        <v>356</v>
      </c>
      <c r="E14" s="60">
        <v>0</v>
      </c>
      <c r="F14" s="61">
        <v>63</v>
      </c>
      <c r="G14" s="62">
        <f t="shared" si="1"/>
        <v>1597</v>
      </c>
      <c r="H14" s="60">
        <v>286</v>
      </c>
      <c r="I14" s="60">
        <v>1311</v>
      </c>
      <c r="J14" s="81" t="s">
        <v>29</v>
      </c>
    </row>
    <row r="15" spans="1:11" ht="17.25" x14ac:dyDescent="0.4">
      <c r="A15" s="128" t="s">
        <v>30</v>
      </c>
      <c r="B15" s="54">
        <f t="shared" si="0"/>
        <v>3770</v>
      </c>
      <c r="C15" s="59">
        <f t="shared" si="2"/>
        <v>685</v>
      </c>
      <c r="D15" s="60">
        <v>495</v>
      </c>
      <c r="E15" s="60">
        <v>0</v>
      </c>
      <c r="F15" s="61">
        <v>190</v>
      </c>
      <c r="G15" s="62">
        <f t="shared" si="1"/>
        <v>3085</v>
      </c>
      <c r="H15" s="60">
        <v>476</v>
      </c>
      <c r="I15" s="60">
        <v>2609</v>
      </c>
      <c r="J15" s="81" t="s">
        <v>31</v>
      </c>
    </row>
    <row r="16" spans="1:11" ht="17.25" x14ac:dyDescent="0.4">
      <c r="A16" s="128" t="s">
        <v>32</v>
      </c>
      <c r="B16" s="54">
        <f t="shared" si="0"/>
        <v>5744</v>
      </c>
      <c r="C16" s="59">
        <f t="shared" si="2"/>
        <v>943</v>
      </c>
      <c r="D16" s="60">
        <v>675</v>
      </c>
      <c r="E16" s="60">
        <v>0</v>
      </c>
      <c r="F16" s="61">
        <v>268</v>
      </c>
      <c r="G16" s="62">
        <f t="shared" si="1"/>
        <v>4801</v>
      </c>
      <c r="H16" s="60">
        <v>744</v>
      </c>
      <c r="I16" s="60">
        <v>4057</v>
      </c>
      <c r="J16" s="81" t="s">
        <v>33</v>
      </c>
    </row>
    <row r="17" spans="1:15" ht="17.25" x14ac:dyDescent="0.4">
      <c r="A17" s="129" t="s">
        <v>34</v>
      </c>
      <c r="B17" s="79">
        <f t="shared" si="0"/>
        <v>12034</v>
      </c>
      <c r="C17" s="63">
        <f t="shared" si="2"/>
        <v>1818</v>
      </c>
      <c r="D17" s="64">
        <v>1326</v>
      </c>
      <c r="E17" s="64">
        <v>0</v>
      </c>
      <c r="F17" s="65">
        <v>492</v>
      </c>
      <c r="G17" s="66">
        <f t="shared" si="1"/>
        <v>10216</v>
      </c>
      <c r="H17" s="64">
        <v>1398</v>
      </c>
      <c r="I17" s="64">
        <v>8818</v>
      </c>
      <c r="J17" s="82" t="s">
        <v>35</v>
      </c>
    </row>
    <row r="18" spans="1:15" ht="18.75" x14ac:dyDescent="0.4">
      <c r="A18" s="6" t="s">
        <v>7</v>
      </c>
      <c r="B18" s="127"/>
      <c r="C18" s="67"/>
      <c r="D18" s="67"/>
      <c r="E18" s="67"/>
      <c r="F18" s="67"/>
      <c r="G18" s="67"/>
      <c r="H18" s="68"/>
      <c r="I18" s="8"/>
      <c r="J18" s="8" t="s">
        <v>8</v>
      </c>
      <c r="L18" s="69"/>
      <c r="M18" s="7"/>
    </row>
    <row r="19" spans="1:15" ht="19.5" x14ac:dyDescent="0.45">
      <c r="A19" s="70"/>
      <c r="B19" s="70"/>
      <c r="C19" s="22"/>
      <c r="D19" s="22"/>
      <c r="E19" s="22"/>
      <c r="F19" s="22"/>
      <c r="G19" s="22"/>
      <c r="H19" s="22"/>
      <c r="I19" s="22"/>
      <c r="K19" s="22"/>
      <c r="L19" s="22"/>
      <c r="M19" s="22"/>
      <c r="N19" s="22"/>
      <c r="O19" s="22"/>
    </row>
    <row r="20" spans="1:15" ht="15.75" x14ac:dyDescent="0.25">
      <c r="A20" s="6"/>
      <c r="B20" s="127"/>
      <c r="C20" s="67"/>
      <c r="D20" s="67"/>
      <c r="E20" s="67"/>
      <c r="F20" s="67"/>
      <c r="G20" s="67"/>
      <c r="H20" s="68"/>
      <c r="J20" s="84"/>
    </row>
    <row r="21" spans="1:15" ht="15.75" x14ac:dyDescent="0.25">
      <c r="A21" s="6"/>
      <c r="B21" s="127"/>
      <c r="C21" s="67"/>
      <c r="D21" s="67"/>
      <c r="E21" s="67"/>
      <c r="F21" s="67"/>
      <c r="G21" s="67"/>
      <c r="H21" s="68"/>
      <c r="J21" s="84"/>
    </row>
    <row r="22" spans="1:15" ht="18" x14ac:dyDescent="0.45">
      <c r="A22" s="2"/>
      <c r="B22" s="2"/>
      <c r="C22" s="2"/>
      <c r="D22" s="2"/>
      <c r="E22" s="2"/>
      <c r="F22" s="2"/>
      <c r="G22" s="2"/>
      <c r="H22" s="2"/>
      <c r="I22" s="2"/>
    </row>
    <row r="23" spans="1:15" s="71" customFormat="1" ht="18" x14ac:dyDescent="0.25">
      <c r="A23" s="10"/>
      <c r="B23" s="54"/>
      <c r="C23" s="54"/>
      <c r="D23" s="11"/>
      <c r="E23" s="11"/>
      <c r="F23" s="11"/>
      <c r="G23" s="54"/>
      <c r="H23" s="11"/>
      <c r="I23" s="11"/>
      <c r="J23" s="85"/>
      <c r="K23" s="72"/>
    </row>
    <row r="24" spans="1:15" ht="18.75" x14ac:dyDescent="0.45">
      <c r="A24" s="127"/>
      <c r="B24" s="127"/>
      <c r="C24" s="67"/>
      <c r="D24" s="67"/>
      <c r="E24" s="67"/>
      <c r="F24" s="67"/>
      <c r="G24" s="67"/>
      <c r="H24" s="68"/>
      <c r="I24" s="12"/>
      <c r="J24" s="86"/>
      <c r="K24" s="2"/>
    </row>
    <row r="25" spans="1:15" ht="18" x14ac:dyDescent="0.45">
      <c r="A25" s="2"/>
      <c r="B25" s="2"/>
      <c r="C25" s="2"/>
      <c r="D25" s="2"/>
      <c r="E25" s="2"/>
      <c r="F25" s="2"/>
      <c r="G25" s="2"/>
      <c r="H25" s="2"/>
      <c r="I25" s="2"/>
    </row>
    <row r="26" spans="1:15" ht="18" x14ac:dyDescent="0.45"/>
    <row r="27" spans="1:15" ht="18" x14ac:dyDescent="0.45"/>
    <row r="44" ht="18" x14ac:dyDescent="0.45"/>
    <row r="45" ht="18" x14ac:dyDescent="0.45"/>
    <row r="46" ht="18" x14ac:dyDescent="0.45"/>
    <row r="47" ht="18" x14ac:dyDescent="0.45"/>
    <row r="48" ht="18" x14ac:dyDescent="0.45"/>
    <row r="49" ht="18" x14ac:dyDescent="0.45"/>
    <row r="50" ht="18" x14ac:dyDescent="0.45"/>
    <row r="51" ht="18" x14ac:dyDescent="0.45"/>
    <row r="52" ht="18" x14ac:dyDescent="0.45"/>
    <row r="53" ht="18" x14ac:dyDescent="0.45"/>
    <row r="54" ht="18" x14ac:dyDescent="0.45"/>
    <row r="55" ht="18" x14ac:dyDescent="0.45"/>
    <row r="56" ht="18" x14ac:dyDescent="0.45"/>
    <row r="58" ht="18" x14ac:dyDescent="0.45"/>
    <row r="59" ht="18" x14ac:dyDescent="0.4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11.18</vt:lpstr>
      <vt:lpstr>'11.18'!Print_Area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2021-08-25T06:30:13Z</cp:lastPrinted>
  <dcterms:created xsi:type="dcterms:W3CDTF">2019-03-24T03:32:16Z</dcterms:created>
  <dcterms:modified xsi:type="dcterms:W3CDTF">2021-08-25T06:30:24Z</dcterms:modified>
</cp:coreProperties>
</file>