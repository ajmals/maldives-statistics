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1. Transport and Communication\"/>
    </mc:Choice>
  </mc:AlternateContent>
  <bookViews>
    <workbookView xWindow="-90" yWindow="-90" windowWidth="19380" windowHeight="10380" tabRatio="750" firstSheet="1" activeTab="1"/>
  </bookViews>
  <sheets>
    <sheet name="11.15" sheetId="4" state="hidden" r:id="rId1"/>
    <sheet name="11.24" sheetId="8" r:id="rId2"/>
  </sheets>
  <definedNames>
    <definedName name="_xlnm.Print_Area" localSheetId="1">'11.24'!$A$1:$H$21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8" i="8" l="1"/>
  <c r="B17" i="8"/>
  <c r="B16" i="8"/>
  <c r="B15" i="8"/>
  <c r="B14" i="8"/>
  <c r="B13" i="8"/>
  <c r="B12" i="8"/>
  <c r="B11" i="8"/>
  <c r="B10" i="8"/>
  <c r="B9" i="8"/>
  <c r="B8" i="8"/>
  <c r="B7" i="8"/>
  <c r="F6" i="8"/>
  <c r="E6" i="8"/>
  <c r="D6" i="8"/>
  <c r="C6" i="8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6" i="8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<sst xmlns="http://schemas.openxmlformats.org/spreadsheetml/2006/main" count="217" uniqueCount="72">
  <si>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</si>
  <si>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</si>
  <si>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</si>
  <si>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</si>
  <si>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</si>
  <si>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</si>
  <si>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</si>
  <si>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</si>
  <si>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</si>
  <si>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</si>
  <si>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</si>
  <si>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</si>
  <si>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</si>
  <si>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</si>
  <si>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</si>
  <si>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</si>
  <si>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</si>
  <si>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</si>
  <si>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</si>
  <si>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</si>
  <si>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</si>
  <si>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</si>
  <si>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</si>
  <si>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</si>
  <si>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</si>
  <si>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</si>
  <si>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</si>
  <si>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</si>
  <si>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</si>
  <si>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</si>
  <si>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</si>
  <si>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</si>
  <si>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</si>
  <si>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</si>
  <si>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</si>
  <si>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</si>
  <si>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</si>
  <si>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</si>
  <si>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</si>
  <si>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</si>
  <si>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</si>
  <si>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</si>
  <si>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</si>
  <si>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</si>
  <si>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</si>
  <si>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</si>
  <si>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</si>
  <si>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</si>
  <si>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</si>
  <si>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</si>
  <si>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</si>
  <si>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</si>
  <si>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</si>
  <si>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</si>
  <si>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</si>
  <si>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</si>
  <si>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</si>
  <si>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Inward</t>
  </si>
  <si>
    <t>Outward</t>
  </si>
  <si>
    <t xml:space="preserve"> Total </t>
  </si>
  <si>
    <t xml:space="preserve">(in Kg)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</si>
  <si>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</si>
  <si>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</si>
  <si>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</si>
  <si>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</si>
  <si>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</si>
  <si>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</si>
  <si>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</si>
  <si>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</si>
  <si>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</si>
  <si>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ތާވަލު 11.24: މަސްމަހުގެ ގޮތުން ވެލާނާ އިންޓަރނޭޝަނަލް އެއަރޕޯޓުން އުފުލުނު މެއިލް، 2020</t>
  </si>
  <si>
    <t>Table  11.24 :  MAIL HANDLED AT VELANA INTERNATIONAL AIRPORT  BY MONTH,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</si>
</sst>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#,##0.0_);[Red]\(#,##0.0\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0" fontId="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</cellStyleXfs>
  <cellXfs count="190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7" fillId="2" borderId="0" xfId="0" applyNumberFormat="1" applyFont="1" applyFill="1"/>
    <xf numFmtId="164" fontId="10" fillId="2" borderId="0" xfId="2" applyNumberFormat="1" applyFont="1" applyFill="1" applyBorder="1" applyAlignment="1" applyProtection="1">
      <alignment horizontal="left" vertical="center"/>
    </xf>
    <xf numFmtId="164" fontId="13" fillId="2" borderId="0" xfId="2" applyNumberFormat="1" applyFont="1" applyFill="1" applyAlignment="1" applyProtection="1">
      <alignment horizontal="left" vertical="center"/>
    </xf>
    <xf numFmtId="37" fontId="14" fillId="2" borderId="0" xfId="2" applyNumberFormat="1" applyFont="1" applyFill="1" applyAlignment="1" applyProtection="1">
      <alignment vertical="center"/>
    </xf>
    <xf numFmtId="0" fontId="12" fillId="2" borderId="3" xfId="0" applyNumberFormat="1" applyFont="1" applyFill="1" applyBorder="1" applyAlignment="1">
      <alignment horizontal="right" vertical="center"/>
    </xf>
    <xf numFmtId="164" fontId="15" fillId="2" borderId="0" xfId="0" applyNumberFormat="1" applyFont="1" applyFill="1"/>
    <xf numFmtId="164" fontId="15" fillId="2" borderId="0" xfId="0" applyNumberFormat="1" applyFont="1" applyFill="1" applyBorder="1"/>
    <xf numFmtId="164" fontId="2" fillId="2" borderId="0" xfId="0" applyNumberFormat="1" applyFont="1" applyFill="1"/>
    <xf numFmtId="164" fontId="5" fillId="2" borderId="0" xfId="2" applyNumberFormat="1" applyFont="1" applyFill="1" applyBorder="1" applyAlignment="1" applyProtection="1">
      <alignment horizontal="right" vertical="center"/>
    </xf>
    <xf numFmtId="164" fontId="14" fillId="2" borderId="0" xfId="2" applyNumberFormat="1" applyFont="1" applyFill="1" applyBorder="1" applyAlignment="1" applyProtection="1">
      <alignment horizontal="left" vertical="center"/>
    </xf>
    <xf numFmtId="164" fontId="5" fillId="2" borderId="9" xfId="2" applyNumberFormat="1" applyFont="1" applyFill="1" applyBorder="1" applyAlignment="1" applyProtection="1">
      <alignment horizontal="left" vertical="center"/>
    </xf>
    <xf numFmtId="0" fontId="12" fillId="2" borderId="0" xfId="0" applyNumberFormat="1" applyFont="1" applyFill="1" applyBorder="1" applyAlignment="1">
      <alignment horizontal="right" vertical="center"/>
    </xf>
    <xf numFmtId="164" fontId="18" fillId="2" borderId="0" xfId="2" applyNumberFormat="1" applyFont="1" applyFill="1" applyBorder="1" applyAlignment="1">
      <alignment horizontal="center" vertical="center" wrapText="1"/>
    </xf>
    <xf numFmtId="164" fontId="19" fillId="2" borderId="0" xfId="0" applyNumberFormat="1" applyFont="1" applyFill="1"/>
    <xf numFmtId="3" fontId="8" fillId="2" borderId="19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NumberFormat="1" applyFont="1" applyFill="1" applyAlignment="1" applyProtection="1">
      <alignment horizontal="left" vertical="center"/>
    </xf>
    <xf numFmtId="37" fontId="4" fillId="2" borderId="0" xfId="2" applyNumberFormat="1" applyFont="1" applyFill="1" applyAlignment="1" applyProtection="1">
      <alignment vertical="center"/>
    </xf>
    <xf numFmtId="164" fontId="11" fillId="2" borderId="0" xfId="2" applyNumberFormat="1" applyFont="1" applyFill="1" applyBorder="1" applyAlignment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4" xfId="2" applyNumberFormat="1" applyFont="1" applyFill="1" applyBorder="1" applyAlignment="1">
      <alignment horizontal="center" vertical="center"/>
    </xf>
    <xf numFmtId="0" fontId="5" fillId="2" borderId="18" xfId="2" applyNumberFormat="1" applyFont="1" applyFill="1" applyBorder="1" applyAlignment="1">
      <alignment horizontal="center" vertical="center"/>
    </xf>
    <xf numFmtId="164" fontId="8" fillId="2" borderId="3" xfId="2" applyNumberFormat="1" applyFont="1" applyFill="1" applyBorder="1" applyAlignment="1" applyProtection="1">
      <alignment horizontal="left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5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20" xfId="2" applyNumberFormat="1" applyFont="1" applyFill="1" applyBorder="1" applyAlignment="1">
      <alignment horizontal="center" vertical="center"/>
    </xf>
    <xf numFmtId="164" fontId="14" fillId="2" borderId="1" xfId="2" applyNumberFormat="1" applyFont="1" applyFill="1" applyBorder="1" applyAlignment="1" applyProtection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5" xfId="0" applyNumberFormat="1" applyFont="1" applyFill="1" applyBorder="1" applyAlignment="1">
      <alignment horizontal="center" vertical="center"/>
    </xf>
    <xf numFmtId="0" fontId="14" fillId="2" borderId="38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14" fillId="2" borderId="8" xfId="0" applyNumberFormat="1" applyFont="1" applyFill="1" applyBorder="1" applyAlignment="1">
      <alignment horizontal="center" vertical="center"/>
    </xf>
    <xf numFmtId="3" fontId="14" fillId="2" borderId="8" xfId="3" applyNumberFormat="1" applyFont="1" applyFill="1" applyBorder="1" applyAlignment="1">
      <alignment horizontal="center" vertical="center"/>
    </xf>
    <xf numFmtId="0" fontId="21" fillId="2" borderId="8" xfId="0" applyNumberFormat="1" applyFont="1" applyFill="1" applyBorder="1" applyAlignment="1">
      <alignment horizontal="center" vertical="center"/>
    </xf>
    <xf numFmtId="0" fontId="14" fillId="2" borderId="39" xfId="0" applyNumberFormat="1" applyFont="1" applyFill="1" applyBorder="1" applyAlignment="1">
      <alignment horizontal="center" vertical="center"/>
    </xf>
    <xf numFmtId="164" fontId="14" fillId="2" borderId="6" xfId="2" applyNumberFormat="1" applyFont="1" applyFill="1" applyBorder="1" applyAlignment="1" applyProtection="1">
      <alignment horizontal="left" vertical="center"/>
    </xf>
    <xf numFmtId="3" fontId="14" fillId="2" borderId="6" xfId="3" applyNumberFormat="1" applyFont="1" applyFill="1" applyBorder="1" applyAlignment="1">
      <alignment horizontal="center" vertical="center"/>
    </xf>
    <xf numFmtId="0" fontId="14" fillId="2" borderId="7" xfId="0" applyNumberFormat="1" applyFont="1" applyFill="1" applyBorder="1" applyAlignment="1">
      <alignment horizontal="center" vertical="center"/>
    </xf>
    <xf numFmtId="0" fontId="14" fillId="2" borderId="26" xfId="0" applyNumberFormat="1" applyFont="1" applyFill="1" applyBorder="1" applyAlignment="1">
      <alignment horizontal="center" vertical="center"/>
    </xf>
    <xf numFmtId="0" fontId="14" fillId="2" borderId="14" xfId="0" applyNumberFormat="1" applyFont="1" applyFill="1" applyBorder="1" applyAlignment="1">
      <alignment horizontal="center" vertical="center"/>
    </xf>
    <xf numFmtId="0" fontId="14" fillId="2" borderId="24" xfId="0" applyNumberFormat="1" applyFont="1" applyFill="1" applyBorder="1" applyAlignment="1">
      <alignment horizontal="center" vertical="center"/>
    </xf>
    <xf numFmtId="3" fontId="14" fillId="2" borderId="24" xfId="3" applyNumberFormat="1" applyFont="1" applyFill="1" applyBorder="1" applyAlignment="1">
      <alignment horizontal="center" vertical="center"/>
    </xf>
    <xf numFmtId="0" fontId="14" fillId="2" borderId="25" xfId="0" applyNumberFormat="1" applyFont="1" applyFill="1" applyBorder="1" applyAlignment="1">
      <alignment horizontal="center" vertical="center"/>
    </xf>
    <xf numFmtId="37" fontId="6" fillId="2" borderId="0" xfId="2" applyNumberFormat="1" applyFont="1" applyFill="1" applyBorder="1" applyAlignment="1" applyProtection="1">
      <alignment vertical="center"/>
    </xf>
    <xf numFmtId="37" fontId="14" fillId="2" borderId="0" xfId="2" applyNumberFormat="1" applyFont="1" applyFill="1" applyBorder="1" applyAlignment="1" applyProtection="1">
      <alignment vertical="center"/>
    </xf>
    <xf numFmtId="164" fontId="10" fillId="2" borderId="0" xfId="0" applyNumberFormat="1" applyFont="1" applyFill="1" applyBorder="1"/>
    <xf numFmtId="164" fontId="8" fillId="2" borderId="0" xfId="2" applyNumberFormat="1" applyFont="1" applyFill="1" applyBorder="1" applyAlignment="1" applyProtection="1">
      <alignment vertical="center"/>
    </xf>
    <xf numFmtId="164" fontId="22" fillId="2" borderId="0" xfId="0" applyNumberFormat="1" applyFont="1" applyFill="1" applyAlignment="1">
      <alignment vertical="center"/>
    </xf>
    <xf numFmtId="164" fontId="5" fillId="2" borderId="0" xfId="2" applyNumberFormat="1" applyFont="1" applyFill="1" applyBorder="1" applyAlignment="1" applyProtection="1">
      <alignment vertical="center"/>
    </xf>
    <xf numFmtId="164" fontId="23" fillId="2" borderId="0" xfId="0" applyNumberFormat="1" applyFont="1" applyFill="1" applyAlignment="1"/>
    <xf numFmtId="164" fontId="10" fillId="2" borderId="0" xfId="0" applyNumberFormat="1" applyFont="1" applyFill="1"/>
    <xf numFmtId="164" fontId="16" fillId="2" borderId="0" xfId="2" applyNumberFormat="1" applyFont="1" applyFill="1" applyAlignment="1" applyProtection="1">
      <alignment vertical="center"/>
    </xf>
    <xf numFmtId="164" fontId="5" fillId="2" borderId="0" xfId="2" applyNumberFormat="1" applyFont="1" applyFill="1" applyBorder="1" applyAlignment="1" applyProtection="1">
      <alignment vertical="center" wrapText="1"/>
    </xf>
    <xf numFmtId="164" fontId="5" fillId="2" borderId="44" xfId="2" applyNumberFormat="1" applyFont="1" applyFill="1" applyBorder="1" applyAlignment="1" applyProtection="1">
      <alignment horizontal="right" vertical="center"/>
    </xf>
    <xf numFmtId="164" fontId="5" fillId="2" borderId="45" xfId="2" applyNumberFormat="1" applyFont="1" applyFill="1" applyBorder="1" applyAlignment="1" applyProtection="1">
      <alignment horizontal="right" vertical="center"/>
    </xf>
    <xf numFmtId="166" fontId="5" fillId="2" borderId="11" xfId="3" applyNumberFormat="1" applyFont="1" applyFill="1" applyBorder="1" applyAlignment="1" applyProtection="1">
      <alignment horizontal="right" vertical="center"/>
    </xf>
    <xf numFmtId="166" fontId="5" fillId="2" borderId="19" xfId="3" applyNumberFormat="1" applyFont="1" applyFill="1" applyBorder="1" applyAlignment="1" applyProtection="1">
      <alignment horizontal="right" vertical="center"/>
    </xf>
    <xf numFmtId="166" fontId="5" fillId="2" borderId="12" xfId="3" applyNumberFormat="1" applyFont="1" applyFill="1" applyBorder="1" applyAlignment="1" applyProtection="1">
      <alignment horizontal="right" vertical="center"/>
    </xf>
    <xf numFmtId="166" fontId="5" fillId="2" borderId="42" xfId="3" applyNumberFormat="1" applyFont="1" applyFill="1" applyBorder="1" applyAlignment="1" applyProtection="1">
      <alignment horizontal="right" vertical="center"/>
    </xf>
    <xf numFmtId="166" fontId="5" fillId="2" borderId="0" xfId="3" applyNumberFormat="1" applyFont="1" applyFill="1" applyBorder="1" applyAlignment="1" applyProtection="1">
      <alignment horizontal="right" vertical="center"/>
    </xf>
    <xf numFmtId="166" fontId="5" fillId="2" borderId="13" xfId="3" applyNumberFormat="1" applyFont="1" applyFill="1" applyBorder="1" applyAlignment="1" applyProtection="1">
      <alignment horizontal="right" vertical="center"/>
    </xf>
    <xf numFmtId="166" fontId="14" fillId="2" borderId="1" xfId="3" applyNumberFormat="1" applyFont="1" applyFill="1" applyBorder="1" applyAlignment="1">
      <alignment horizontal="right"/>
    </xf>
    <xf numFmtId="166" fontId="14" fillId="2" borderId="5" xfId="3" applyNumberFormat="1" applyFont="1" applyFill="1" applyBorder="1" applyAlignment="1">
      <alignment horizontal="right"/>
    </xf>
    <xf numFmtId="166" fontId="14" fillId="2" borderId="40" xfId="3" applyNumberFormat="1" applyFont="1" applyFill="1" applyBorder="1" applyAlignment="1" applyProtection="1">
      <alignment horizontal="right" vertical="center"/>
      <protection locked="0"/>
    </xf>
    <xf numFmtId="166" fontId="14" fillId="2" borderId="5" xfId="3" applyNumberFormat="1" applyFont="1" applyFill="1" applyBorder="1" applyAlignment="1" applyProtection="1">
      <alignment horizontal="right" vertical="center"/>
      <protection locked="0"/>
    </xf>
    <xf numFmtId="166" fontId="14" fillId="2" borderId="0" xfId="3" applyNumberFormat="1" applyFont="1" applyFill="1" applyBorder="1" applyAlignment="1" applyProtection="1">
      <alignment horizontal="right" vertical="center"/>
      <protection locked="0"/>
    </xf>
    <xf numFmtId="166" fontId="5" fillId="2" borderId="46" xfId="3" applyNumberFormat="1" applyFont="1" applyFill="1" applyBorder="1" applyAlignment="1" applyProtection="1">
      <alignment horizontal="right" vertical="center"/>
    </xf>
    <xf numFmtId="166" fontId="14" fillId="2" borderId="2" xfId="3" applyNumberFormat="1" applyFont="1" applyFill="1" applyBorder="1" applyAlignment="1">
      <alignment horizontal="right"/>
    </xf>
    <xf numFmtId="166" fontId="14" fillId="2" borderId="47" xfId="3" applyNumberFormat="1" applyFont="1" applyFill="1" applyBorder="1" applyAlignment="1">
      <alignment horizontal="right"/>
    </xf>
    <xf numFmtId="166" fontId="14" fillId="2" borderId="48" xfId="3" applyNumberFormat="1" applyFont="1" applyFill="1" applyBorder="1" applyAlignment="1" applyProtection="1">
      <alignment horizontal="right" vertical="center"/>
      <protection locked="0"/>
    </xf>
    <xf numFmtId="166" fontId="14" fillId="2" borderId="47" xfId="3" applyNumberFormat="1" applyFont="1" applyFill="1" applyBorder="1" applyAlignment="1" applyProtection="1">
      <alignment horizontal="right" vertical="center"/>
      <protection locked="0"/>
    </xf>
    <xf numFmtId="166" fontId="14" fillId="2" borderId="0" xfId="3" applyNumberFormat="1" applyFont="1" applyFill="1" applyBorder="1" applyAlignment="1">
      <alignment horizontal="right"/>
    </xf>
    <xf numFmtId="166" fontId="14" fillId="2" borderId="41" xfId="3" applyNumberFormat="1" applyFont="1" applyFill="1" applyBorder="1" applyAlignment="1" applyProtection="1">
      <alignment horizontal="right" vertical="center"/>
      <protection locked="0"/>
    </xf>
    <xf numFmtId="166" fontId="14" fillId="2" borderId="28" xfId="3" applyNumberFormat="1" applyFont="1" applyFill="1" applyBorder="1" applyAlignment="1">
      <alignment horizontal="right"/>
    </xf>
    <xf numFmtId="166" fontId="14" fillId="2" borderId="49" xfId="3" applyNumberFormat="1" applyFont="1" applyFill="1" applyBorder="1" applyAlignment="1">
      <alignment horizontal="right"/>
    </xf>
    <xf numFmtId="166" fontId="14" fillId="2" borderId="50" xfId="3" applyNumberFormat="1" applyFont="1" applyFill="1" applyBorder="1" applyAlignment="1" applyProtection="1">
      <alignment horizontal="right" vertical="center"/>
    </xf>
    <xf numFmtId="166" fontId="14" fillId="2" borderId="49" xfId="3" applyNumberFormat="1" applyFont="1" applyFill="1" applyBorder="1" applyAlignment="1" applyProtection="1">
      <alignment horizontal="right" vertical="center"/>
    </xf>
    <xf numFmtId="166" fontId="14" fillId="2" borderId="0" xfId="3" applyNumberFormat="1" applyFont="1" applyFill="1" applyBorder="1" applyAlignment="1" applyProtection="1">
      <alignment horizontal="right" vertical="center"/>
    </xf>
    <xf numFmtId="0" fontId="22" fillId="2" borderId="4" xfId="0" applyNumberFormat="1" applyFont="1" applyFill="1" applyBorder="1" applyAlignment="1">
      <alignment horizontal="right" vertical="center"/>
    </xf>
    <xf numFmtId="164" fontId="24" fillId="2" borderId="0" xfId="2" applyNumberFormat="1" applyFont="1" applyFill="1" applyBorder="1" applyAlignment="1">
      <alignment vertical="center"/>
    </xf>
    <xf numFmtId="0" fontId="4" fillId="2" borderId="0" xfId="6" applyFont="1" applyFill="1" applyAlignment="1">
      <alignment vertical="center"/>
    </xf>
    <xf numFmtId="0" fontId="4" fillId="2" borderId="0" xfId="6" applyFont="1" applyFill="1" applyBorder="1" applyAlignment="1">
      <alignment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31" fillId="2" borderId="0" xfId="2" applyNumberFormat="1" applyFont="1" applyFill="1" applyBorder="1" applyAlignment="1">
      <alignment horizontal="right" vertical="center"/>
    </xf>
    <xf numFmtId="164" fontId="10" fillId="2" borderId="51" xfId="2" applyNumberFormat="1" applyFont="1" applyFill="1" applyBorder="1" applyAlignment="1" applyProtection="1">
      <alignment horizontal="left" vertical="center"/>
    </xf>
    <xf numFmtId="164" fontId="14" fillId="2" borderId="51" xfId="2" applyNumberFormat="1" applyFont="1" applyFill="1" applyBorder="1" applyAlignment="1" applyProtection="1">
      <alignment horizontal="left" vertical="center"/>
    </xf>
    <xf numFmtId="164" fontId="18" fillId="2" borderId="51" xfId="2" applyNumberFormat="1" applyFont="1" applyFill="1" applyBorder="1" applyAlignment="1">
      <alignment horizontal="right" vertical="center"/>
    </xf>
    <xf numFmtId="164" fontId="5" fillId="2" borderId="51" xfId="2" applyNumberFormat="1" applyFont="1" applyFill="1" applyBorder="1" applyAlignment="1">
      <alignment horizontal="right" vertical="center"/>
    </xf>
    <xf numFmtId="0" fontId="5" fillId="2" borderId="51" xfId="2" applyNumberFormat="1" applyFont="1" applyFill="1" applyBorder="1" applyAlignment="1">
      <alignment horizontal="center" vertical="center"/>
    </xf>
    <xf numFmtId="0" fontId="28" fillId="2" borderId="0" xfId="5" applyFont="1" applyFill="1" applyBorder="1" applyAlignment="1">
      <alignment horizontal="right"/>
    </xf>
    <xf numFmtId="0" fontId="33" fillId="2" borderId="0" xfId="5" applyFont="1" applyFill="1" applyBorder="1" applyAlignment="1">
      <alignment horizontal="right"/>
    </xf>
    <xf numFmtId="0" fontId="33" fillId="2" borderId="51" xfId="5" applyFont="1" applyFill="1" applyBorder="1" applyAlignment="1">
      <alignment horizontal="right"/>
    </xf>
    <xf numFmtId="166" fontId="5" fillId="2" borderId="52" xfId="3" applyNumberFormat="1" applyFont="1" applyFill="1" applyBorder="1" applyAlignment="1" applyProtection="1">
      <alignment horizontal="right" vertical="center"/>
    </xf>
    <xf numFmtId="164" fontId="28" fillId="2" borderId="0" xfId="2" applyNumberFormat="1" applyFont="1" applyFill="1" applyBorder="1" applyAlignment="1">
      <alignment horizontal="right" vertical="center"/>
    </xf>
    <xf numFmtId="164" fontId="27" fillId="2" borderId="0" xfId="0" applyNumberFormat="1" applyFont="1" applyFill="1"/>
    <xf numFmtId="0" fontId="33" fillId="2" borderId="13" xfId="5" applyFont="1" applyFill="1" applyBorder="1" applyAlignment="1">
      <alignment horizontal="right"/>
    </xf>
    <xf numFmtId="0" fontId="33" fillId="2" borderId="14" xfId="5" applyFont="1" applyFill="1" applyBorder="1" applyAlignment="1">
      <alignment horizontal="right"/>
    </xf>
    <xf numFmtId="0" fontId="28" fillId="2" borderId="15" xfId="5" applyFont="1" applyFill="1" applyBorder="1" applyAlignment="1">
      <alignment horizontal="right"/>
    </xf>
    <xf numFmtId="164" fontId="34" fillId="2" borderId="9" xfId="2" applyNumberFormat="1" applyFont="1" applyFill="1" applyBorder="1" applyAlignment="1">
      <alignment horizontal="center" vertical="center"/>
    </xf>
    <xf numFmtId="164" fontId="36" fillId="2" borderId="9" xfId="0" applyNumberFormat="1" applyFont="1" applyFill="1" applyBorder="1"/>
    <xf numFmtId="164" fontId="35" fillId="2" borderId="20" xfId="2" applyNumberFormat="1" applyFont="1" applyFill="1" applyBorder="1" applyAlignment="1">
      <alignment vertical="center"/>
    </xf>
    <xf numFmtId="164" fontId="37" fillId="2" borderId="9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4" xfId="2" applyNumberFormat="1" applyFont="1" applyFill="1" applyBorder="1" applyAlignment="1">
      <alignment vertical="center" wrapText="1"/>
    </xf>
    <xf numFmtId="164" fontId="1" fillId="2" borderId="0" xfId="0" applyNumberFormat="1" applyFont="1" applyFill="1" applyBorder="1" applyAlignment="1">
      <alignment horizontal="center" vertical="center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Border="1" applyAlignment="1">
      <alignment horizontal="right" vertical="center"/>
    </xf>
    <xf numFmtId="3" fontId="10" fillId="3" borderId="6" xfId="2" applyNumberFormat="1" applyFont="1" applyFill="1" applyBorder="1" applyAlignment="1">
      <alignment horizontal="right" vertical="center"/>
    </xf>
    <xf numFmtId="3" fontId="10" fillId="3" borderId="6" xfId="3" applyNumberFormat="1" applyFont="1" applyFill="1" applyBorder="1" applyAlignment="1">
      <alignment horizontal="right" vertical="center"/>
    </xf>
    <xf numFmtId="3" fontId="10" fillId="3" borderId="51" xfId="2" applyNumberFormat="1" applyFont="1" applyFill="1" applyBorder="1" applyAlignment="1">
      <alignment horizontal="right" vertical="center"/>
    </xf>
    <xf numFmtId="164" fontId="35" fillId="2" borderId="9" xfId="2" applyNumberFormat="1" applyFont="1" applyFill="1" applyBorder="1" applyAlignment="1">
      <alignment horizontal="center" vertical="center"/>
    </xf>
    <xf numFmtId="164" fontId="16" fillId="2" borderId="0" xfId="2" applyNumberFormat="1" applyFont="1" applyFill="1" applyBorder="1" applyAlignment="1">
      <alignment horizontal="center" vertical="center" wrapText="1"/>
    </xf>
    <xf numFmtId="164" fontId="40" fillId="2" borderId="19" xfId="2" applyNumberFormat="1" applyFont="1" applyFill="1" applyBorder="1" applyAlignment="1">
      <alignment horizontal="left" vertical="center"/>
    </xf>
    <xf numFmtId="164" fontId="40" fillId="2" borderId="20" xfId="2" applyNumberFormat="1" applyFont="1" applyFill="1" applyBorder="1" applyAlignment="1">
      <alignment vertical="center"/>
    </xf>
    <xf numFmtId="164" fontId="32" fillId="2" borderId="20" xfId="2" applyNumberFormat="1" applyFont="1" applyFill="1" applyBorder="1" applyAlignment="1">
      <alignment vertical="center"/>
    </xf>
    <xf numFmtId="164" fontId="25" fillId="2" borderId="1" xfId="2" applyNumberFormat="1" applyFont="1" applyFill="1" applyBorder="1" applyAlignment="1">
      <alignment horizontal="center" vertical="center"/>
    </xf>
    <xf numFmtId="164" fontId="25" fillId="2" borderId="24" xfId="2" applyNumberFormat="1" applyFont="1" applyFill="1" applyBorder="1" applyAlignment="1">
      <alignment vertical="center" wrapText="1"/>
    </xf>
    <xf numFmtId="164" fontId="26" fillId="2" borderId="6" xfId="2" applyNumberFormat="1" applyFont="1" applyFill="1" applyBorder="1" applyAlignment="1">
      <alignment horizontal="left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51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164" fontId="8" fillId="2" borderId="9" xfId="2" applyNumberFormat="1" applyFont="1" applyFill="1" applyBorder="1" applyAlignment="1" applyProtection="1">
      <alignment horizontal="lef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8" fillId="2" borderId="0" xfId="2" applyNumberFormat="1" applyFont="1" applyFill="1" applyBorder="1" applyAlignment="1" applyProtection="1">
      <alignment horizontal="right" vertical="center"/>
    </xf>
    <xf numFmtId="164" fontId="18" fillId="2" borderId="51" xfId="2" applyNumberFormat="1" applyFont="1" applyFill="1" applyBorder="1" applyAlignment="1">
      <alignment horizontal="center" vertical="center" wrapText="1"/>
    </xf>
    <xf numFmtId="164" fontId="34" fillId="2" borderId="9" xfId="2" applyNumberFormat="1" applyFont="1" applyFill="1" applyBorder="1" applyAlignment="1">
      <alignment horizontal="center" vertical="center"/>
    </xf>
    <xf numFmtId="164" fontId="29" fillId="2" borderId="0" xfId="2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8" fillId="2" borderId="9" xfId="2" applyNumberFormat="1" applyFont="1" applyFill="1" applyBorder="1" applyAlignment="1">
      <alignment horizontal="left" vertical="center"/>
    </xf>
    <xf numFmtId="164" fontId="8" fillId="2" borderId="0" xfId="2" applyNumberFormat="1" applyFont="1" applyFill="1" applyBorder="1" applyAlignment="1">
      <alignment horizontal="left" vertical="center"/>
    </xf>
    <xf numFmtId="164" fontId="8" fillId="2" borderId="51" xfId="2" applyNumberFormat="1" applyFont="1" applyFill="1" applyBorder="1" applyAlignment="1">
      <alignment horizontal="left" vertical="center"/>
    </xf>
    <xf numFmtId="164" fontId="28" fillId="2" borderId="9" xfId="2" applyNumberFormat="1" applyFont="1" applyFill="1" applyBorder="1" applyAlignment="1">
      <alignment horizontal="right" vertical="center"/>
    </xf>
    <xf numFmtId="164" fontId="28" fillId="2" borderId="0" xfId="2" applyNumberFormat="1" applyFont="1" applyFill="1" applyBorder="1" applyAlignment="1">
      <alignment horizontal="right" vertical="center"/>
    </xf>
    <xf numFmtId="164" fontId="28" fillId="2" borderId="51" xfId="2" applyNumberFormat="1" applyFont="1" applyFill="1" applyBorder="1" applyAlignment="1">
      <alignment horizontal="right" vertical="center"/>
    </xf>
    <xf numFmtId="164" fontId="8" fillId="2" borderId="19" xfId="2" applyNumberFormat="1" applyFont="1" applyFill="1" applyBorder="1" applyAlignment="1">
      <alignment horizontal="left" vertical="center"/>
    </xf>
    <xf numFmtId="164" fontId="8" fillId="2" borderId="1" xfId="2" applyNumberFormat="1" applyFont="1" applyFill="1" applyBorder="1" applyAlignment="1">
      <alignment horizontal="left" vertical="center"/>
    </xf>
    <xf numFmtId="164" fontId="8" fillId="2" borderId="6" xfId="2" applyNumberFormat="1" applyFont="1" applyFill="1" applyBorder="1" applyAlignment="1">
      <alignment horizontal="left" vertical="center"/>
    </xf>
    <xf numFmtId="164" fontId="32" fillId="2" borderId="12" xfId="2" applyNumberFormat="1" applyFont="1" applyFill="1" applyBorder="1" applyAlignment="1">
      <alignment horizontal="center" vertical="center"/>
    </xf>
    <xf numFmtId="164" fontId="32" fillId="2" borderId="20" xfId="2" applyNumberFormat="1" applyFont="1" applyFill="1" applyBorder="1" applyAlignment="1">
      <alignment horizontal="center" vertical="center"/>
    </xf>
    <xf numFmtId="164" fontId="32" fillId="2" borderId="21" xfId="2" applyNumberFormat="1" applyFont="1" applyFill="1" applyBorder="1" applyAlignment="1">
      <alignment horizontal="center" vertical="center"/>
    </xf>
    <xf numFmtId="164" fontId="32" fillId="2" borderId="17" xfId="2" applyNumberFormat="1" applyFont="1" applyFill="1" applyBorder="1" applyAlignment="1">
      <alignment horizontal="center" vertical="center"/>
    </xf>
    <xf numFmtId="164" fontId="32" fillId="2" borderId="9" xfId="2" applyNumberFormat="1" applyFont="1" applyFill="1" applyBorder="1" applyAlignment="1">
      <alignment horizontal="center" vertical="center"/>
    </xf>
    <xf numFmtId="164" fontId="35" fillId="2" borderId="17" xfId="2" applyNumberFormat="1" applyFont="1" applyFill="1" applyBorder="1" applyAlignment="1">
      <alignment horizontal="center" vertical="center"/>
    </xf>
    <xf numFmtId="164" fontId="35" fillId="2" borderId="9" xfId="2" applyNumberFormat="1" applyFont="1" applyFill="1" applyBorder="1" applyAlignment="1">
      <alignment horizontal="center" vertical="center"/>
    </xf>
    <xf numFmtId="0" fontId="28" fillId="2" borderId="11" xfId="5" applyFont="1" applyFill="1" applyBorder="1" applyAlignment="1">
      <alignment horizontal="right" vertical="center"/>
    </xf>
    <xf numFmtId="0" fontId="28" fillId="2" borderId="13" xfId="5" applyFont="1" applyFill="1" applyBorder="1" applyAlignment="1">
      <alignment horizontal="right" vertical="center"/>
    </xf>
    <xf numFmtId="0" fontId="28" fillId="2" borderId="14" xfId="5" applyFont="1" applyFill="1" applyBorder="1" applyAlignment="1">
      <alignment horizontal="right" vertical="center"/>
    </xf>
    <xf numFmtId="164" fontId="25" fillId="2" borderId="7" xfId="2" applyNumberFormat="1" applyFont="1" applyFill="1" applyBorder="1" applyAlignment="1">
      <alignment horizontal="center" vertical="center" wrapText="1"/>
    </xf>
    <xf numFmtId="164" fontId="25" fillId="2" borderId="24" xfId="2" applyNumberFormat="1" applyFont="1" applyFill="1" applyBorder="1" applyAlignment="1">
      <alignment horizontal="center" vertical="center" wrapText="1"/>
    </xf>
    <xf numFmtId="164" fontId="25" fillId="2" borderId="25" xfId="2" applyNumberFormat="1" applyFont="1" applyFill="1" applyBorder="1" applyAlignment="1">
      <alignment horizontal="center" vertical="center" wrapText="1"/>
    </xf>
    <xf numFmtId="164" fontId="25" fillId="2" borderId="16" xfId="2" applyNumberFormat="1" applyFont="1" applyFill="1" applyBorder="1" applyAlignment="1">
      <alignment horizontal="center" vertical="center" wrapText="1"/>
    </xf>
    <xf numFmtId="164" fontId="25" fillId="2" borderId="0" xfId="2" applyNumberFormat="1" applyFont="1" applyFill="1" applyBorder="1" applyAlignment="1">
      <alignment horizontal="center" vertical="center" wrapText="1"/>
    </xf>
    <xf numFmtId="164" fontId="16" fillId="2" borderId="16" xfId="2" applyNumberFormat="1" applyFont="1" applyFill="1" applyBorder="1" applyAlignment="1">
      <alignment horizontal="center" vertical="center" wrapText="1"/>
    </xf>
    <xf numFmtId="164" fontId="16" fillId="2" borderId="0" xfId="2" applyNumberFormat="1" applyFont="1" applyFill="1" applyBorder="1" applyAlignment="1">
      <alignment horizontal="center" vertical="center" wrapText="1"/>
    </xf>
    <xf numFmtId="164" fontId="16" fillId="2" borderId="18" xfId="2" applyNumberFormat="1" applyFont="1" applyFill="1" applyBorder="1" applyAlignment="1">
      <alignment horizontal="center" vertical="center" wrapText="1"/>
    </xf>
    <xf numFmtId="164" fontId="16" fillId="2" borderId="51" xfId="2" applyNumberFormat="1" applyFont="1" applyFill="1" applyBorder="1" applyAlignment="1">
      <alignment horizontal="center" vertical="center" wrapText="1"/>
    </xf>
    <xf numFmtId="164" fontId="16" fillId="2" borderId="27" xfId="2" applyNumberFormat="1" applyFont="1" applyFill="1" applyBorder="1" applyAlignment="1">
      <alignment horizontal="center" vertical="center" wrapText="1"/>
    </xf>
    <xf numFmtId="164" fontId="16" fillId="2" borderId="26" xfId="2" applyNumberFormat="1" applyFont="1" applyFill="1" applyBorder="1" applyAlignment="1">
      <alignment horizontal="center" vertical="center" wrapText="1"/>
    </xf>
    <xf numFmtId="164" fontId="16" fillId="2" borderId="24" xfId="2" applyNumberFormat="1" applyFont="1" applyFill="1" applyBorder="1" applyAlignment="1">
      <alignment horizontal="center" vertical="center" wrapText="1"/>
    </xf>
    <xf numFmtId="164" fontId="16" fillId="2" borderId="25" xfId="2" applyNumberFormat="1" applyFont="1" applyFill="1" applyBorder="1" applyAlignment="1">
      <alignment horizontal="center" vertical="center" wrapText="1"/>
    </xf>
    <xf numFmtId="164" fontId="35" fillId="2" borderId="23" xfId="2" applyNumberFormat="1" applyFont="1" applyFill="1" applyBorder="1" applyAlignment="1">
      <alignment horizontal="center" vertical="center"/>
    </xf>
    <xf numFmtId="164" fontId="35" fillId="2" borderId="22" xfId="2" applyNumberFormat="1" applyFont="1" applyFill="1" applyBorder="1" applyAlignment="1">
      <alignment horizontal="center" vertical="center"/>
    </xf>
    <xf numFmtId="164" fontId="35" fillId="2" borderId="20" xfId="2" applyNumberFormat="1" applyFont="1" applyFill="1" applyBorder="1" applyAlignment="1">
      <alignment horizontal="center" vertical="center"/>
    </xf>
    <xf numFmtId="164" fontId="35" fillId="2" borderId="21" xfId="2" applyNumberFormat="1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center"/>
    </xf>
    <xf numFmtId="164" fontId="16" fillId="2" borderId="0" xfId="2" applyNumberFormat="1" applyFont="1" applyFill="1" applyAlignment="1" applyProtection="1">
      <alignment horizontal="center" vertical="center"/>
    </xf>
    <xf numFmtId="164" fontId="5" fillId="2" borderId="9" xfId="2" applyNumberFormat="1" applyFont="1" applyFill="1" applyBorder="1" applyAlignment="1" applyProtection="1">
      <alignment horizontal="center" vertical="center" wrapText="1"/>
    </xf>
    <xf numFmtId="164" fontId="5" fillId="2" borderId="43" xfId="2" applyNumberFormat="1" applyFont="1" applyFill="1" applyBorder="1" applyAlignment="1" applyProtection="1">
      <alignment horizontal="center" vertical="center" wrapText="1"/>
    </xf>
    <xf numFmtId="164" fontId="5" fillId="2" borderId="10" xfId="2" applyNumberFormat="1" applyFont="1" applyFill="1" applyBorder="1" applyAlignment="1" applyProtection="1">
      <alignment horizontal="center" vertical="center" wrapText="1"/>
    </xf>
    <xf numFmtId="0" fontId="28" fillId="2" borderId="9" xfId="5" applyFont="1" applyFill="1" applyBorder="1" applyAlignment="1">
      <alignment horizontal="right" vertical="center"/>
    </xf>
    <xf numFmtId="0" fontId="28" fillId="2" borderId="51" xfId="5" applyFont="1" applyFill="1" applyBorder="1" applyAlignment="1">
      <alignment horizontal="right" vertical="center"/>
    </xf>
    <xf numFmtId="164" fontId="5" fillId="2" borderId="51" xfId="2" applyNumberFormat="1" applyFont="1" applyFill="1" applyBorder="1" applyAlignment="1" applyProtection="1">
      <alignment horizontal="center" vertical="center"/>
    </xf>
  </cellXfs>
  <cellStyles count="17">
    <cellStyle name="1" xfId="16"/>
    <cellStyle name="Comma" xfId="1" builtinId="3"/>
    <cellStyle name="Comma 2" xfId="3"/>
    <cellStyle name="Comma 3" xfId="15"/>
    <cellStyle name="Comma 4" xfId="9"/>
    <cellStyle name="Hyperlink 2" xfId="10"/>
    <cellStyle name="Normal" xfId="0" builtinId="0"/>
    <cellStyle name="Normal 2" xfId="2"/>
    <cellStyle name="Normal 2 3" xfId="12"/>
    <cellStyle name="Normal 3" xfId="7"/>
    <cellStyle name="Normal 3 2" xfId="13"/>
    <cellStyle name="Normal 4" xfId="8"/>
    <cellStyle name="Normal 5" xfId="11"/>
    <cellStyle name="Normal 6" xfId="14"/>
    <cellStyle name="Normal_IX-6(Trans &amp; Comm)" xfId="4"/>
    <cellStyle name="Normal_IX-8 (Trans &amp; Comm)" xfId="6"/>
    <cellStyle name="Normal_X-5 (Electricity)" xfId="5"/>
  </cellStyles>
  <dxfs count="0"/>
  <tableStyles count="0" defaultTableStyle="TableStyleMedium2" defaultPivotStyle="PivotStyleLight16"/>
  <colors>
    <mruColors>
      <color rgb="FFFF9900"/>
      <color rgb="FF249390"/>
      <color rgb="FF33CCCC"/>
      <color rgb="FFEAFAFA"/>
      <color rgb="FF196563"/>
      <color rgb="FFCF9F6F"/>
      <color rgb="FF996633"/>
      <color rgb="FFC28446"/>
      <color rgb="FF663300"/>
      <color rgb="FFE4C9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44" t="s">
        <v>68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</row>
    <row r="2" spans="1:29" ht="15.75" x14ac:dyDescent="0.25">
      <c r="A2" s="145" t="s">
        <v>69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</row>
    <row r="3" spans="1:29" s="2" customFormat="1" x14ac:dyDescent="0.25"/>
    <row r="4" spans="1:29" s="10" customFormat="1" ht="19.5" x14ac:dyDescent="0.15">
      <c r="A4" s="146" t="s">
        <v>9</v>
      </c>
      <c r="B4" s="143" t="s">
        <v>36</v>
      </c>
      <c r="C4" s="143"/>
      <c r="D4" s="109"/>
      <c r="E4" s="143" t="s">
        <v>37</v>
      </c>
      <c r="F4" s="143"/>
      <c r="G4" s="109"/>
      <c r="H4" s="143" t="s">
        <v>38</v>
      </c>
      <c r="I4" s="143"/>
      <c r="J4" s="109"/>
      <c r="K4" s="143" t="s">
        <v>39</v>
      </c>
      <c r="L4" s="143"/>
      <c r="M4" s="109"/>
      <c r="N4" s="143" t="s">
        <v>40</v>
      </c>
      <c r="O4" s="143"/>
      <c r="P4" s="109"/>
      <c r="Q4" s="143" t="s">
        <v>41</v>
      </c>
      <c r="R4" s="143"/>
      <c r="S4" s="109"/>
      <c r="T4" s="143" t="s">
        <v>42</v>
      </c>
      <c r="U4" s="143"/>
      <c r="V4" s="109"/>
      <c r="W4" s="143" t="s">
        <v>43</v>
      </c>
      <c r="X4" s="143"/>
      <c r="Y4" s="109"/>
      <c r="Z4" s="143" t="s">
        <v>44</v>
      </c>
      <c r="AA4" s="143"/>
      <c r="AB4" s="149" t="s">
        <v>11</v>
      </c>
    </row>
    <row r="5" spans="1:29" s="16" customFormat="1" ht="15" customHeight="1" x14ac:dyDescent="0.25">
      <c r="A5" s="147"/>
      <c r="B5" s="142" t="s">
        <v>45</v>
      </c>
      <c r="C5" s="142"/>
      <c r="D5" s="15"/>
      <c r="E5" s="142" t="s">
        <v>46</v>
      </c>
      <c r="F5" s="142"/>
      <c r="G5" s="15"/>
      <c r="H5" s="142" t="s">
        <v>47</v>
      </c>
      <c r="I5" s="142"/>
      <c r="J5" s="15"/>
      <c r="K5" s="142" t="s">
        <v>48</v>
      </c>
      <c r="L5" s="142"/>
      <c r="M5" s="15"/>
      <c r="N5" s="142" t="s">
        <v>49</v>
      </c>
      <c r="O5" s="142"/>
      <c r="P5" s="15"/>
      <c r="Q5" s="142" t="s">
        <v>50</v>
      </c>
      <c r="R5" s="142"/>
      <c r="S5" s="15"/>
      <c r="T5" s="142" t="s">
        <v>51</v>
      </c>
      <c r="U5" s="142"/>
      <c r="V5" s="15"/>
      <c r="W5" s="142" t="s">
        <v>52</v>
      </c>
      <c r="X5" s="142"/>
      <c r="Y5" s="15"/>
      <c r="Z5" s="142" t="s">
        <v>53</v>
      </c>
      <c r="AA5" s="142"/>
      <c r="AB5" s="150"/>
      <c r="AC5" s="3"/>
    </row>
    <row r="6" spans="1:29" s="105" customFormat="1" ht="14.25" x14ac:dyDescent="0.2">
      <c r="A6" s="147"/>
      <c r="B6" s="94" t="s">
        <v>0</v>
      </c>
      <c r="C6" s="94" t="s">
        <v>1</v>
      </c>
      <c r="D6" s="94"/>
      <c r="E6" s="94" t="s">
        <v>0</v>
      </c>
      <c r="F6" s="94" t="s">
        <v>1</v>
      </c>
      <c r="G6" s="94"/>
      <c r="H6" s="94" t="s">
        <v>0</v>
      </c>
      <c r="I6" s="94" t="s">
        <v>1</v>
      </c>
      <c r="J6" s="94"/>
      <c r="K6" s="94" t="s">
        <v>0</v>
      </c>
      <c r="L6" s="94" t="s">
        <v>1</v>
      </c>
      <c r="M6" s="94"/>
      <c r="N6" s="94" t="s">
        <v>0</v>
      </c>
      <c r="O6" s="94" t="s">
        <v>1</v>
      </c>
      <c r="P6" s="94"/>
      <c r="Q6" s="94" t="s">
        <v>0</v>
      </c>
      <c r="R6" s="94" t="s">
        <v>1</v>
      </c>
      <c r="S6" s="94"/>
      <c r="T6" s="94" t="s">
        <v>0</v>
      </c>
      <c r="U6" s="94" t="s">
        <v>1</v>
      </c>
      <c r="V6" s="94"/>
      <c r="W6" s="94" t="s">
        <v>0</v>
      </c>
      <c r="X6" s="94" t="s">
        <v>1</v>
      </c>
      <c r="Y6" s="94"/>
      <c r="Z6" s="94" t="s">
        <v>0</v>
      </c>
      <c r="AA6" s="94" t="s">
        <v>1</v>
      </c>
      <c r="AB6" s="150"/>
    </row>
    <row r="7" spans="1:29" s="16" customFormat="1" ht="14.25" x14ac:dyDescent="0.2">
      <c r="A7" s="148"/>
      <c r="B7" s="97" t="s">
        <v>2</v>
      </c>
      <c r="C7" s="97" t="s">
        <v>3</v>
      </c>
      <c r="D7" s="97"/>
      <c r="E7" s="97" t="s">
        <v>2</v>
      </c>
      <c r="F7" s="97" t="s">
        <v>3</v>
      </c>
      <c r="G7" s="97"/>
      <c r="H7" s="97" t="s">
        <v>2</v>
      </c>
      <c r="I7" s="97" t="s">
        <v>3</v>
      </c>
      <c r="J7" s="97"/>
      <c r="K7" s="97" t="s">
        <v>2</v>
      </c>
      <c r="L7" s="97" t="s">
        <v>3</v>
      </c>
      <c r="M7" s="97"/>
      <c r="N7" s="97" t="s">
        <v>2</v>
      </c>
      <c r="O7" s="97" t="s">
        <v>3</v>
      </c>
      <c r="P7" s="97"/>
      <c r="Q7" s="97" t="s">
        <v>2</v>
      </c>
      <c r="R7" s="97" t="s">
        <v>3</v>
      </c>
      <c r="S7" s="97"/>
      <c r="T7" s="97" t="s">
        <v>2</v>
      </c>
      <c r="U7" s="97" t="s">
        <v>3</v>
      </c>
      <c r="V7" s="97"/>
      <c r="W7" s="97" t="s">
        <v>2</v>
      </c>
      <c r="X7" s="97" t="s">
        <v>3</v>
      </c>
      <c r="Y7" s="97"/>
      <c r="Z7" s="97" t="s">
        <v>2</v>
      </c>
      <c r="AA7" s="97" t="s">
        <v>3</v>
      </c>
      <c r="AB7" s="151"/>
    </row>
    <row r="8" spans="1:29" s="10" customFormat="1" ht="15.75" x14ac:dyDescent="0.15">
      <c r="A8" s="93" t="s">
        <v>4</v>
      </c>
      <c r="B8" s="17">
        <f>SUM(B9:B20)</f>
        <v>0</v>
      </c>
      <c r="C8" s="17">
        <f>SUM(C9:C20)</f>
        <v>0</v>
      </c>
      <c r="D8" s="17"/>
      <c r="E8" s="17">
        <f>SUM(E9:E20)</f>
        <v>0</v>
      </c>
      <c r="F8" s="17">
        <f>SUM(F9:F20)</f>
        <v>0</v>
      </c>
      <c r="G8" s="17"/>
      <c r="H8" s="17">
        <f>SUM(H9:H20)</f>
        <v>0</v>
      </c>
      <c r="I8" s="17">
        <f>SUM(I9:I20)</f>
        <v>0</v>
      </c>
      <c r="J8" s="17"/>
      <c r="K8" s="17">
        <f>SUM(K9:K20)</f>
        <v>0</v>
      </c>
      <c r="L8" s="17">
        <f>SUM(L9:L20)</f>
        <v>0</v>
      </c>
      <c r="M8" s="17"/>
      <c r="N8" s="17">
        <f>SUM(N9:N20)</f>
        <v>0</v>
      </c>
      <c r="O8" s="17">
        <f>SUM(O9:O20)</f>
        <v>0</v>
      </c>
      <c r="P8" s="17"/>
      <c r="Q8" s="17">
        <f>SUM(Q9:Q20)</f>
        <v>0</v>
      </c>
      <c r="R8" s="17">
        <f>SUM(R9:R20)</f>
        <v>0</v>
      </c>
      <c r="S8" s="17"/>
      <c r="T8" s="17">
        <f>SUM(T9:T20)</f>
        <v>0</v>
      </c>
      <c r="U8" s="17">
        <f>SUM(U9:U20)</f>
        <v>0</v>
      </c>
      <c r="V8" s="17"/>
      <c r="W8" s="17">
        <f>SUM(W9:W20)</f>
        <v>0</v>
      </c>
      <c r="X8" s="17">
        <f>SUM(X9:X20)</f>
        <v>0</v>
      </c>
      <c r="Y8" s="18"/>
      <c r="Z8" s="17">
        <f>SUM(Z9:Z20)</f>
        <v>0</v>
      </c>
      <c r="AA8" s="17">
        <f>SUM(AA9:AA20)</f>
        <v>0</v>
      </c>
      <c r="AB8" s="104" t="s">
        <v>5</v>
      </c>
    </row>
    <row r="9" spans="1:29" s="10" customFormat="1" ht="15.75" x14ac:dyDescent="0.4">
      <c r="A9" s="4" t="s">
        <v>12</v>
      </c>
      <c r="B9" s="117"/>
      <c r="C9" s="117"/>
      <c r="D9" s="117"/>
      <c r="E9" s="118"/>
      <c r="F9" s="118"/>
      <c r="G9" s="118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9"/>
      <c r="Z9" s="119"/>
      <c r="AA9" s="119"/>
      <c r="AB9" s="106" t="s">
        <v>13</v>
      </c>
    </row>
    <row r="10" spans="1:29" s="10" customFormat="1" ht="15.75" x14ac:dyDescent="0.4">
      <c r="A10" s="4" t="s">
        <v>14</v>
      </c>
      <c r="B10" s="117"/>
      <c r="C10" s="117"/>
      <c r="D10" s="117"/>
      <c r="E10" s="118"/>
      <c r="F10" s="118"/>
      <c r="G10" s="118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9"/>
      <c r="Z10" s="119"/>
      <c r="AA10" s="119"/>
      <c r="AB10" s="106" t="s">
        <v>15</v>
      </c>
    </row>
    <row r="11" spans="1:29" s="10" customFormat="1" ht="15.75" x14ac:dyDescent="0.4">
      <c r="A11" s="4" t="s">
        <v>16</v>
      </c>
      <c r="B11" s="117"/>
      <c r="C11" s="117"/>
      <c r="D11" s="117"/>
      <c r="E11" s="118"/>
      <c r="F11" s="118"/>
      <c r="G11" s="118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9"/>
      <c r="Z11" s="119"/>
      <c r="AA11" s="119"/>
      <c r="AB11" s="106" t="s">
        <v>17</v>
      </c>
    </row>
    <row r="12" spans="1:29" s="10" customFormat="1" ht="15.75" x14ac:dyDescent="0.4">
      <c r="A12" s="4" t="s">
        <v>18</v>
      </c>
      <c r="B12" s="117"/>
      <c r="C12" s="117"/>
      <c r="D12" s="117"/>
      <c r="E12" s="118"/>
      <c r="F12" s="118"/>
      <c r="G12" s="118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9"/>
      <c r="Z12" s="119"/>
      <c r="AA12" s="119"/>
      <c r="AB12" s="106" t="s">
        <v>19</v>
      </c>
    </row>
    <row r="13" spans="1:29" s="10" customFormat="1" ht="15.75" x14ac:dyDescent="0.4">
      <c r="A13" s="4" t="s">
        <v>20</v>
      </c>
      <c r="B13" s="117"/>
      <c r="C13" s="117"/>
      <c r="D13" s="117"/>
      <c r="E13" s="118"/>
      <c r="F13" s="118"/>
      <c r="G13" s="118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9"/>
      <c r="Z13" s="119"/>
      <c r="AA13" s="119"/>
      <c r="AB13" s="106" t="s">
        <v>21</v>
      </c>
    </row>
    <row r="14" spans="1:29" s="10" customFormat="1" ht="15.75" x14ac:dyDescent="0.4">
      <c r="A14" s="4" t="s">
        <v>22</v>
      </c>
      <c r="B14" s="117"/>
      <c r="C14" s="117"/>
      <c r="D14" s="117"/>
      <c r="E14" s="118"/>
      <c r="F14" s="118"/>
      <c r="G14" s="118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9"/>
      <c r="Z14" s="119"/>
      <c r="AA14" s="119"/>
      <c r="AB14" s="106" t="s">
        <v>23</v>
      </c>
    </row>
    <row r="15" spans="1:29" s="10" customFormat="1" ht="15.75" x14ac:dyDescent="0.4">
      <c r="A15" s="4" t="s">
        <v>24</v>
      </c>
      <c r="B15" s="117"/>
      <c r="C15" s="117"/>
      <c r="D15" s="117"/>
      <c r="E15" s="118"/>
      <c r="F15" s="118"/>
      <c r="G15" s="118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9"/>
      <c r="Z15" s="119"/>
      <c r="AA15" s="119"/>
      <c r="AB15" s="106" t="s">
        <v>25</v>
      </c>
    </row>
    <row r="16" spans="1:29" s="10" customFormat="1" ht="15.75" x14ac:dyDescent="0.4">
      <c r="A16" s="4" t="s">
        <v>26</v>
      </c>
      <c r="B16" s="117"/>
      <c r="C16" s="117"/>
      <c r="D16" s="117"/>
      <c r="E16" s="118"/>
      <c r="F16" s="118"/>
      <c r="G16" s="118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9"/>
      <c r="Z16" s="119"/>
      <c r="AA16" s="119"/>
      <c r="AB16" s="106" t="s">
        <v>27</v>
      </c>
    </row>
    <row r="17" spans="1:44" s="10" customFormat="1" ht="15.75" x14ac:dyDescent="0.4">
      <c r="A17" s="4" t="s">
        <v>28</v>
      </c>
      <c r="B17" s="117"/>
      <c r="C17" s="117"/>
      <c r="D17" s="117"/>
      <c r="E17" s="118"/>
      <c r="F17" s="118"/>
      <c r="G17" s="118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9"/>
      <c r="Z17" s="119"/>
      <c r="AA17" s="119"/>
      <c r="AB17" s="106" t="s">
        <v>29</v>
      </c>
    </row>
    <row r="18" spans="1:44" s="10" customFormat="1" ht="15.75" x14ac:dyDescent="0.4">
      <c r="A18" s="4" t="s">
        <v>30</v>
      </c>
      <c r="B18" s="117"/>
      <c r="C18" s="117"/>
      <c r="D18" s="117"/>
      <c r="E18" s="118"/>
      <c r="F18" s="118"/>
      <c r="G18" s="118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9"/>
      <c r="Z18" s="119"/>
      <c r="AA18" s="119"/>
      <c r="AB18" s="106" t="s">
        <v>31</v>
      </c>
    </row>
    <row r="19" spans="1:44" s="10" customFormat="1" ht="15.75" x14ac:dyDescent="0.4">
      <c r="A19" s="4" t="s">
        <v>32</v>
      </c>
      <c r="B19" s="117"/>
      <c r="C19" s="117"/>
      <c r="D19" s="117"/>
      <c r="E19" s="118"/>
      <c r="F19" s="118"/>
      <c r="G19" s="118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9"/>
      <c r="Z19" s="119"/>
      <c r="AA19" s="119"/>
      <c r="AB19" s="106" t="s">
        <v>33</v>
      </c>
    </row>
    <row r="20" spans="1:44" s="10" customFormat="1" ht="15.75" x14ac:dyDescent="0.4">
      <c r="A20" s="95" t="s">
        <v>34</v>
      </c>
      <c r="B20" s="120"/>
      <c r="C20" s="120"/>
      <c r="D20" s="120"/>
      <c r="E20" s="121"/>
      <c r="F20" s="121"/>
      <c r="G20" s="121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2"/>
      <c r="Z20" s="122"/>
      <c r="AA20" s="122"/>
      <c r="AB20" s="107" t="s">
        <v>35</v>
      </c>
    </row>
    <row r="21" spans="1:44" ht="18.75" x14ac:dyDescent="0.25">
      <c r="A21" s="5" t="s">
        <v>7</v>
      </c>
      <c r="AB21" s="7" t="s">
        <v>8</v>
      </c>
      <c r="AO21" s="10"/>
      <c r="AP21" s="98" t="s">
        <v>2</v>
      </c>
      <c r="AQ21" s="98" t="s">
        <v>3</v>
      </c>
    </row>
    <row r="22" spans="1:44" ht="15" customHeight="1" x14ac:dyDescent="0.25">
      <c r="AN22" s="19"/>
      <c r="AO22" s="19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20"/>
      <c r="C23" s="21"/>
      <c r="D23" s="21"/>
      <c r="E23" s="21"/>
      <c r="F23" s="22"/>
      <c r="G23" s="22"/>
      <c r="R23" s="23"/>
      <c r="S23" s="23"/>
      <c r="U23" s="23"/>
      <c r="V23" s="23"/>
      <c r="X23" s="23"/>
      <c r="Y23" s="23"/>
      <c r="Z23" s="23"/>
      <c r="AA23" s="23"/>
      <c r="AB23" s="23"/>
      <c r="AE23" s="23"/>
      <c r="AM23" s="1"/>
      <c r="AN23" s="19"/>
      <c r="AO23" s="19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14"/>
      <c r="T24" s="14"/>
      <c r="W24" s="14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20"/>
      <c r="C25" s="21"/>
      <c r="D25" s="21"/>
      <c r="E25" s="21"/>
      <c r="F25" s="22"/>
      <c r="G25" s="22"/>
      <c r="R25" s="23"/>
      <c r="S25" s="23"/>
      <c r="U25" s="23"/>
      <c r="V25" s="23"/>
      <c r="X25" s="23"/>
      <c r="Y25" s="23"/>
      <c r="Z25" s="23"/>
      <c r="AA25" s="23"/>
      <c r="AB25" s="23"/>
      <c r="AE25" s="23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14"/>
      <c r="T26" s="14"/>
      <c r="W26" s="14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1"/>
      <c r="E29" s="21"/>
      <c r="F29" s="22"/>
      <c r="G29" s="22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13" customFormat="1" ht="21.75" customHeight="1" x14ac:dyDescent="0.55000000000000004">
      <c r="A44" s="152" t="s">
        <v>9</v>
      </c>
      <c r="B44" s="125"/>
      <c r="D44" s="126"/>
      <c r="F44" s="126"/>
      <c r="G44" s="155" t="s">
        <v>36</v>
      </c>
      <c r="H44" s="156"/>
      <c r="I44" s="156"/>
      <c r="J44" s="156"/>
      <c r="K44" s="157"/>
      <c r="L44" s="112"/>
      <c r="M44" s="127"/>
      <c r="N44" s="112"/>
      <c r="O44" s="127"/>
      <c r="P44" s="158" t="s">
        <v>37</v>
      </c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26"/>
      <c r="AC44" s="160" t="s">
        <v>38</v>
      </c>
      <c r="AD44" s="161"/>
      <c r="AE44" s="161"/>
      <c r="AF44" s="161"/>
      <c r="AG44" s="161"/>
      <c r="AH44" s="161"/>
      <c r="AI44" s="161"/>
      <c r="AJ44" s="161"/>
      <c r="AK44" s="111"/>
      <c r="AL44" s="160" t="s">
        <v>39</v>
      </c>
      <c r="AM44" s="161"/>
      <c r="AN44" s="161"/>
      <c r="AO44" s="161"/>
      <c r="AP44" s="161"/>
      <c r="AQ44" s="161"/>
      <c r="AR44" s="161"/>
      <c r="AS44" s="111"/>
      <c r="AT44" s="160" t="s">
        <v>40</v>
      </c>
      <c r="AU44" s="161"/>
      <c r="AV44" s="161"/>
      <c r="AW44" s="161"/>
      <c r="AX44" s="161"/>
      <c r="AY44" s="123"/>
      <c r="AZ44" s="111"/>
      <c r="BA44" s="160" t="s">
        <v>41</v>
      </c>
      <c r="BB44" s="161"/>
      <c r="BC44" s="161"/>
      <c r="BD44" s="161"/>
      <c r="BE44" s="178"/>
      <c r="BF44" s="110"/>
      <c r="BG44" s="179" t="s">
        <v>42</v>
      </c>
      <c r="BH44" s="180"/>
      <c r="BI44" s="180"/>
      <c r="BJ44" s="180"/>
      <c r="BK44" s="181"/>
      <c r="BL44" s="160" t="s">
        <v>43</v>
      </c>
      <c r="BM44" s="161"/>
      <c r="BN44" s="161"/>
      <c r="BO44" s="161"/>
      <c r="BP44" s="178"/>
      <c r="BQ44" s="160" t="s">
        <v>44</v>
      </c>
      <c r="BR44" s="161"/>
      <c r="BS44" s="161"/>
      <c r="BT44" s="162" t="s">
        <v>11</v>
      </c>
    </row>
    <row r="45" spans="1:80" s="114" customFormat="1" ht="16.5" customHeight="1" x14ac:dyDescent="0.25">
      <c r="A45" s="153"/>
      <c r="B45" s="128"/>
      <c r="D45" s="129"/>
      <c r="F45" s="129"/>
      <c r="G45" s="165" t="s">
        <v>45</v>
      </c>
      <c r="H45" s="166"/>
      <c r="I45" s="166"/>
      <c r="J45" s="166"/>
      <c r="K45" s="167"/>
      <c r="L45" s="116"/>
      <c r="M45" s="129"/>
      <c r="N45" s="116"/>
      <c r="O45" s="129"/>
      <c r="P45" s="168" t="s">
        <v>46</v>
      </c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29"/>
      <c r="AC45" s="170" t="s">
        <v>61</v>
      </c>
      <c r="AD45" s="171"/>
      <c r="AE45" s="171"/>
      <c r="AF45" s="171"/>
      <c r="AG45" s="171"/>
      <c r="AH45" s="171"/>
      <c r="AI45" s="171"/>
      <c r="AJ45" s="171"/>
      <c r="AK45" s="115"/>
      <c r="AL45" s="170" t="s">
        <v>62</v>
      </c>
      <c r="AM45" s="171"/>
      <c r="AN45" s="171"/>
      <c r="AO45" s="171"/>
      <c r="AP45" s="171"/>
      <c r="AQ45" s="171"/>
      <c r="AR45" s="171"/>
      <c r="AS45" s="115"/>
      <c r="AT45" s="170" t="s">
        <v>63</v>
      </c>
      <c r="AU45" s="171"/>
      <c r="AV45" s="171"/>
      <c r="AW45" s="171"/>
      <c r="AX45" s="171"/>
      <c r="AY45" s="124"/>
      <c r="AZ45" s="115"/>
      <c r="BA45" s="172" t="s">
        <v>64</v>
      </c>
      <c r="BB45" s="173"/>
      <c r="BC45" s="173"/>
      <c r="BD45" s="173"/>
      <c r="BE45" s="174"/>
      <c r="BF45" s="116"/>
      <c r="BG45" s="175" t="s">
        <v>65</v>
      </c>
      <c r="BH45" s="176"/>
      <c r="BI45" s="176"/>
      <c r="BJ45" s="176"/>
      <c r="BK45" s="177"/>
      <c r="BL45" s="172" t="s">
        <v>66</v>
      </c>
      <c r="BM45" s="173"/>
      <c r="BN45" s="173"/>
      <c r="BO45" s="173"/>
      <c r="BP45" s="174"/>
      <c r="BQ45" s="172" t="s">
        <v>67</v>
      </c>
      <c r="BR45" s="173"/>
      <c r="BS45" s="173"/>
      <c r="BT45" s="163"/>
    </row>
    <row r="46" spans="1:80" ht="23.25" customHeight="1" x14ac:dyDescent="0.25">
      <c r="A46" s="154"/>
      <c r="B46" s="130"/>
      <c r="C46" s="131">
        <v>2011</v>
      </c>
      <c r="D46" s="131">
        <v>2012</v>
      </c>
      <c r="E46" s="132">
        <v>2013</v>
      </c>
      <c r="F46" s="133">
        <v>2014</v>
      </c>
      <c r="G46" s="134">
        <v>2015</v>
      </c>
      <c r="H46" s="135">
        <v>2016</v>
      </c>
      <c r="I46" s="136">
        <v>2017</v>
      </c>
      <c r="J46" s="136">
        <v>2018</v>
      </c>
      <c r="K46" s="136">
        <v>2019</v>
      </c>
      <c r="L46" s="137">
        <v>2011</v>
      </c>
      <c r="M46" s="137">
        <v>2012</v>
      </c>
      <c r="N46" s="137">
        <v>2013</v>
      </c>
      <c r="O46" s="136">
        <v>2014</v>
      </c>
      <c r="P46" s="134">
        <v>2015</v>
      </c>
      <c r="Q46" s="136">
        <v>2016</v>
      </c>
      <c r="R46" s="137">
        <v>2011</v>
      </c>
      <c r="S46" s="137">
        <v>2012</v>
      </c>
      <c r="T46" s="136">
        <v>2013</v>
      </c>
      <c r="U46" s="136">
        <v>2014</v>
      </c>
      <c r="V46" s="137">
        <v>2011</v>
      </c>
      <c r="W46" s="137">
        <v>2012</v>
      </c>
      <c r="X46" s="136">
        <v>2013</v>
      </c>
      <c r="Y46" s="136">
        <v>2017</v>
      </c>
      <c r="Z46" s="136">
        <v>2018</v>
      </c>
      <c r="AA46" s="138">
        <v>2019</v>
      </c>
      <c r="AB46" s="136">
        <v>2014</v>
      </c>
      <c r="AC46" s="26">
        <v>2015</v>
      </c>
      <c r="AD46" s="26">
        <v>2016</v>
      </c>
      <c r="AE46" s="99">
        <v>2011</v>
      </c>
      <c r="AF46" s="99">
        <v>2012</v>
      </c>
      <c r="AG46" s="99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99">
        <v>2012</v>
      </c>
      <c r="AQ46" s="99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99">
        <v>2013</v>
      </c>
      <c r="AW46" s="26">
        <v>2017</v>
      </c>
      <c r="AX46" s="26">
        <v>2018</v>
      </c>
      <c r="AY46" s="26">
        <v>2019</v>
      </c>
      <c r="AZ46" s="99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99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64"/>
      <c r="BU46" s="3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 t="shared" ref="Q47" si="1"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>SUM(X48:X59)</f>
        <v>2432</v>
      </c>
      <c r="Y47" s="34">
        <f t="shared" ref="Y47:AB47" si="2">SUM(Y48:Y59)</f>
        <v>5182</v>
      </c>
      <c r="Z47" s="34">
        <f t="shared" si="2"/>
        <v>4726</v>
      </c>
      <c r="AA47" s="35">
        <f t="shared" si="2"/>
        <v>4794</v>
      </c>
      <c r="AB47" s="34">
        <f t="shared" si="2"/>
        <v>2773</v>
      </c>
      <c r="AC47" s="34">
        <f>SUM(AC48:AC59)</f>
        <v>2151</v>
      </c>
      <c r="AD47" s="34">
        <f t="shared" ref="AD47" si="3">SUM(AD48:AD59)</f>
        <v>1998</v>
      </c>
      <c r="AE47" s="34">
        <f t="shared" si="0"/>
        <v>769</v>
      </c>
      <c r="AF47" s="34">
        <f t="shared" si="0"/>
        <v>3315</v>
      </c>
      <c r="AG47" s="34">
        <f>SUM(AG48:AG59)</f>
        <v>4519</v>
      </c>
      <c r="AH47" s="34">
        <f t="shared" ref="AH47:AK47" si="4">SUM(AH48:AH59)</f>
        <v>1845</v>
      </c>
      <c r="AI47" s="34">
        <f t="shared" si="4"/>
        <v>1799</v>
      </c>
      <c r="AJ47" s="34">
        <f t="shared" si="4"/>
        <v>2485</v>
      </c>
      <c r="AK47" s="34">
        <f t="shared" si="4"/>
        <v>4924</v>
      </c>
      <c r="AL47" s="32">
        <f>SUM(AL48:AL59)</f>
        <v>4265</v>
      </c>
      <c r="AM47" s="34">
        <f t="shared" ref="AM47:AO47" si="5">SUM(AM48:AM59)</f>
        <v>3963</v>
      </c>
      <c r="AN47" s="34">
        <f t="shared" si="5"/>
        <v>4305</v>
      </c>
      <c r="AO47" s="34">
        <f t="shared" si="5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 t="shared" ref="AU47:AY47" si="6">SUM(AU48:AU59)</f>
        <v>3870</v>
      </c>
      <c r="AV47" s="34">
        <f t="shared" si="0"/>
        <v>2906</v>
      </c>
      <c r="AW47" s="34">
        <f t="shared" si="0"/>
        <v>4198</v>
      </c>
      <c r="AX47" s="34">
        <f t="shared" si="6"/>
        <v>4532</v>
      </c>
      <c r="AY47" s="34">
        <f t="shared" si="6"/>
        <v>5159</v>
      </c>
      <c r="AZ47" s="34">
        <f t="shared" si="0"/>
        <v>2076</v>
      </c>
      <c r="BA47" s="32">
        <f>SUM(BA48:BA59)</f>
        <v>1988</v>
      </c>
      <c r="BB47" s="34">
        <f t="shared" ref="BB47:BF47" si="7">SUM(BB48:BB59)</f>
        <v>1916</v>
      </c>
      <c r="BC47" s="34">
        <f t="shared" si="7"/>
        <v>1916</v>
      </c>
      <c r="BD47" s="34">
        <f t="shared" si="7"/>
        <v>1975</v>
      </c>
      <c r="BE47" s="34">
        <f t="shared" si="7"/>
        <v>2043</v>
      </c>
      <c r="BF47" s="34">
        <f t="shared" si="7"/>
        <v>826</v>
      </c>
      <c r="BG47" s="32">
        <f>SUM(BG48:BG59)</f>
        <v>331</v>
      </c>
      <c r="BH47" s="34">
        <f t="shared" ref="BH47:BK47" si="8">SUM(BH48:BH59)</f>
        <v>269</v>
      </c>
      <c r="BI47" s="34">
        <f t="shared" si="8"/>
        <v>245</v>
      </c>
      <c r="BJ47" s="34">
        <f t="shared" si="8"/>
        <v>246</v>
      </c>
      <c r="BK47" s="35">
        <f t="shared" si="8"/>
        <v>241</v>
      </c>
      <c r="BL47" s="32">
        <f>SUM(BL48:BL59)</f>
        <v>552</v>
      </c>
      <c r="BM47" s="34">
        <f t="shared" ref="BM47:BS47" si="9">SUM(BM48:BM59)</f>
        <v>1475</v>
      </c>
      <c r="BN47" s="34">
        <f t="shared" si="9"/>
        <v>1911</v>
      </c>
      <c r="BO47" s="34">
        <f t="shared" si="9"/>
        <v>1898</v>
      </c>
      <c r="BP47" s="34">
        <f t="shared" si="9"/>
        <v>1940</v>
      </c>
      <c r="BQ47" s="32">
        <f t="shared" si="9"/>
        <v>488</v>
      </c>
      <c r="BR47" s="36">
        <f t="shared" si="9"/>
        <v>1941</v>
      </c>
      <c r="BS47" s="36">
        <f t="shared" si="9"/>
        <v>2224</v>
      </c>
      <c r="BT47" s="108" t="s">
        <v>5</v>
      </c>
    </row>
    <row r="48" spans="1:80" ht="23.25" customHeight="1" x14ac:dyDescent="0.4">
      <c r="A48" s="37" t="s">
        <v>12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55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55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55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56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56</v>
      </c>
      <c r="BR48" s="42">
        <v>171</v>
      </c>
      <c r="BS48" s="42">
        <v>176</v>
      </c>
      <c r="BT48" s="106" t="s">
        <v>13</v>
      </c>
      <c r="BY48" s="24"/>
      <c r="BZ48" s="24"/>
      <c r="CA48" s="24"/>
      <c r="CB48" s="24"/>
    </row>
    <row r="49" spans="1:80" ht="23.25" customHeight="1" x14ac:dyDescent="0.4">
      <c r="A49" s="37" t="s">
        <v>14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55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55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55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56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56</v>
      </c>
      <c r="BR49" s="42">
        <v>168</v>
      </c>
      <c r="BS49" s="42">
        <v>181</v>
      </c>
      <c r="BT49" s="106" t="s">
        <v>15</v>
      </c>
    </row>
    <row r="50" spans="1:80" ht="23.25" customHeight="1" x14ac:dyDescent="0.4">
      <c r="A50" s="37" t="s">
        <v>16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55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55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55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56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56</v>
      </c>
      <c r="BR50" s="42">
        <v>150</v>
      </c>
      <c r="BS50" s="42">
        <v>202</v>
      </c>
      <c r="BT50" s="106" t="s">
        <v>17</v>
      </c>
    </row>
    <row r="51" spans="1:80" ht="23.25" customHeight="1" x14ac:dyDescent="0.4">
      <c r="A51" s="37" t="s">
        <v>18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55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55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55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56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56</v>
      </c>
      <c r="BR51" s="42">
        <v>161</v>
      </c>
      <c r="BS51" s="42">
        <v>181</v>
      </c>
      <c r="BT51" s="106" t="s">
        <v>19</v>
      </c>
      <c r="BY51" s="24"/>
      <c r="BZ51" s="24"/>
      <c r="CA51" s="24"/>
      <c r="CB51" s="24"/>
    </row>
    <row r="52" spans="1:80" ht="23.25" customHeight="1" x14ac:dyDescent="0.4">
      <c r="A52" s="37" t="s">
        <v>20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55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55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55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56</v>
      </c>
      <c r="BR52" s="42">
        <v>148</v>
      </c>
      <c r="BS52" s="42">
        <v>184</v>
      </c>
      <c r="BT52" s="106" t="s">
        <v>21</v>
      </c>
    </row>
    <row r="53" spans="1:80" ht="23.25" customHeight="1" x14ac:dyDescent="0.4">
      <c r="A53" s="37" t="s">
        <v>22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55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55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55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56</v>
      </c>
      <c r="BR53" s="42">
        <v>123</v>
      </c>
      <c r="BS53" s="42">
        <v>166</v>
      </c>
      <c r="BT53" s="106" t="s">
        <v>23</v>
      </c>
    </row>
    <row r="54" spans="1:80" ht="23.25" customHeight="1" x14ac:dyDescent="0.4">
      <c r="A54" s="37" t="s">
        <v>24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55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55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55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56</v>
      </c>
      <c r="BR54" s="42">
        <v>157</v>
      </c>
      <c r="BS54" s="42">
        <v>176</v>
      </c>
      <c r="BT54" s="106" t="s">
        <v>25</v>
      </c>
      <c r="BY54" s="24"/>
      <c r="BZ54" s="24"/>
      <c r="CA54" s="24"/>
      <c r="CB54" s="24"/>
    </row>
    <row r="55" spans="1:80" ht="23.25" customHeight="1" x14ac:dyDescent="0.4">
      <c r="A55" s="37" t="s">
        <v>26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55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55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55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56</v>
      </c>
      <c r="BR55" s="42">
        <v>172</v>
      </c>
      <c r="BS55" s="42">
        <v>189</v>
      </c>
      <c r="BT55" s="106" t="s">
        <v>27</v>
      </c>
    </row>
    <row r="56" spans="1:80" ht="23.25" customHeight="1" x14ac:dyDescent="0.4">
      <c r="A56" s="37" t="s">
        <v>28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55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55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55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56</v>
      </c>
      <c r="BR56" s="42">
        <v>165</v>
      </c>
      <c r="BS56" s="42">
        <v>161</v>
      </c>
      <c r="BT56" s="106" t="s">
        <v>29</v>
      </c>
    </row>
    <row r="57" spans="1:80" ht="23.25" customHeight="1" x14ac:dyDescent="0.4">
      <c r="A57" s="37" t="s">
        <v>30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106" t="s">
        <v>31</v>
      </c>
      <c r="BY57" s="24"/>
      <c r="BZ57" s="24"/>
      <c r="CA57" s="24"/>
      <c r="CB57" s="24"/>
    </row>
    <row r="58" spans="1:80" ht="23.25" customHeight="1" x14ac:dyDescent="0.4">
      <c r="A58" s="37" t="s">
        <v>32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106" t="s">
        <v>33</v>
      </c>
    </row>
    <row r="59" spans="1:80" ht="23.25" customHeight="1" x14ac:dyDescent="0.4">
      <c r="A59" s="46" t="s">
        <v>34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107" t="s">
        <v>35</v>
      </c>
    </row>
    <row r="60" spans="1:80" ht="18.75" x14ac:dyDescent="0.25">
      <c r="A60" s="5" t="s">
        <v>7</v>
      </c>
      <c r="B60" s="5"/>
      <c r="C60" s="54"/>
      <c r="D60" s="54"/>
      <c r="E60" s="54"/>
      <c r="F60" s="54"/>
      <c r="G60" s="54"/>
      <c r="H60" s="54"/>
      <c r="I60" s="54"/>
      <c r="J60" s="54"/>
      <c r="K60" s="54"/>
      <c r="BT60" s="7" t="s">
        <v>8</v>
      </c>
      <c r="BX60" s="19"/>
      <c r="BY60" s="24"/>
      <c r="BZ60" s="24"/>
      <c r="CA60" s="24"/>
      <c r="CB60" s="24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1"/>
  <sheetViews>
    <sheetView tabSelected="1" zoomScale="142" zoomScaleNormal="142" workbookViewId="0">
      <selection activeCell="J7" sqref="J7"/>
    </sheetView>
  </sheetViews>
  <sheetFormatPr defaultColWidth="9.140625" defaultRowHeight="15" x14ac:dyDescent="0.25"/>
  <cols>
    <col min="1" max="1" width="12.140625" style="8" customWidth="1"/>
    <col min="2" max="7" width="14.5703125" style="8" customWidth="1"/>
    <col min="8" max="8" width="7" style="8" customWidth="1"/>
    <col min="9" max="10" width="14.5703125" style="8" customWidth="1"/>
    <col min="11" max="11" width="9.140625" style="8"/>
    <col min="12" max="12" width="8.85546875" style="8" customWidth="1"/>
    <col min="13" max="16384" width="9.140625" style="8"/>
  </cols>
  <sheetData>
    <row r="1" spans="1:12" ht="23.25" customHeight="1" x14ac:dyDescent="0.55000000000000004">
      <c r="A1" s="182" t="s">
        <v>70</v>
      </c>
      <c r="B1" s="182"/>
      <c r="C1" s="182"/>
      <c r="D1" s="182"/>
      <c r="E1" s="182"/>
      <c r="F1" s="182"/>
      <c r="G1" s="182"/>
      <c r="H1" s="60"/>
      <c r="I1" s="60"/>
      <c r="J1" s="60"/>
      <c r="K1" s="61"/>
      <c r="L1" s="57"/>
    </row>
    <row r="2" spans="1:12" ht="15" customHeight="1" x14ac:dyDescent="0.25">
      <c r="A2" s="183" t="s">
        <v>71</v>
      </c>
      <c r="B2" s="183"/>
      <c r="C2" s="183"/>
      <c r="D2" s="183"/>
      <c r="E2" s="183"/>
      <c r="F2" s="183"/>
      <c r="G2" s="183"/>
      <c r="H2" s="62"/>
      <c r="I2" s="62"/>
      <c r="J2" s="62"/>
      <c r="K2" s="61"/>
      <c r="L2" s="57"/>
    </row>
    <row r="3" spans="1:12" x14ac:dyDescent="0.25">
      <c r="A3" s="189" t="s">
        <v>60</v>
      </c>
      <c r="B3" s="189"/>
      <c r="C3" s="189"/>
      <c r="D3" s="189"/>
      <c r="E3" s="189"/>
      <c r="F3" s="189"/>
      <c r="G3" s="189"/>
      <c r="H3" s="59"/>
      <c r="I3" s="59"/>
      <c r="J3" s="59"/>
      <c r="K3" s="61"/>
      <c r="L3" s="57"/>
    </row>
    <row r="4" spans="1:12" ht="15" customHeight="1" x14ac:dyDescent="0.25">
      <c r="A4" s="139"/>
      <c r="B4" s="139"/>
      <c r="C4" s="184" t="s">
        <v>6</v>
      </c>
      <c r="D4" s="184"/>
      <c r="E4" s="185" t="s">
        <v>10</v>
      </c>
      <c r="F4" s="186"/>
      <c r="G4" s="187" t="s">
        <v>11</v>
      </c>
      <c r="H4" s="63"/>
      <c r="I4" s="63"/>
      <c r="J4" s="9"/>
      <c r="K4" s="56"/>
      <c r="L4" s="57"/>
    </row>
    <row r="5" spans="1:12" ht="15" customHeight="1" x14ac:dyDescent="0.25">
      <c r="A5" s="140" t="s">
        <v>9</v>
      </c>
      <c r="B5" s="141" t="s">
        <v>59</v>
      </c>
      <c r="C5" s="64" t="s">
        <v>57</v>
      </c>
      <c r="D5" s="64" t="s">
        <v>58</v>
      </c>
      <c r="E5" s="65" t="s">
        <v>57</v>
      </c>
      <c r="F5" s="64" t="s">
        <v>58</v>
      </c>
      <c r="G5" s="188"/>
      <c r="H5" s="11"/>
      <c r="I5" s="9"/>
      <c r="J5" s="9"/>
      <c r="K5" s="56"/>
      <c r="L5" s="57"/>
    </row>
    <row r="6" spans="1:12" ht="17.25" x14ac:dyDescent="0.4">
      <c r="A6" s="13" t="s">
        <v>4</v>
      </c>
      <c r="B6" s="66">
        <f t="shared" ref="B6:B18" si="0">SUM(C6:H6)</f>
        <v>834871.9</v>
      </c>
      <c r="C6" s="67">
        <f>SUM(C7:C18)</f>
        <v>607028.80000000005</v>
      </c>
      <c r="D6" s="68">
        <f>SUM(D7:D18)</f>
        <v>194624.09999999998</v>
      </c>
      <c r="E6" s="69">
        <f>SUM(E7:E18)</f>
        <v>16533.8</v>
      </c>
      <c r="F6" s="68">
        <f>SUM(F7:F18)</f>
        <v>16685.199999999993</v>
      </c>
      <c r="G6" s="100" t="s">
        <v>5</v>
      </c>
      <c r="H6" s="70"/>
      <c r="I6" s="9"/>
      <c r="J6" s="9"/>
      <c r="K6" s="56"/>
      <c r="L6" s="57"/>
    </row>
    <row r="7" spans="1:12" ht="17.25" x14ac:dyDescent="0.4">
      <c r="A7" s="12" t="s">
        <v>12</v>
      </c>
      <c r="B7" s="71">
        <f t="shared" si="0"/>
        <v>142709.39999999997</v>
      </c>
      <c r="C7" s="72">
        <v>52896.1</v>
      </c>
      <c r="D7" s="73">
        <v>79724.299999999988</v>
      </c>
      <c r="E7" s="74">
        <v>314.8</v>
      </c>
      <c r="F7" s="75">
        <v>9774.1999999999971</v>
      </c>
      <c r="G7" s="101" t="s">
        <v>13</v>
      </c>
      <c r="H7" s="76"/>
      <c r="I7" s="9"/>
      <c r="J7" s="9"/>
      <c r="K7" s="56"/>
      <c r="L7" s="57"/>
    </row>
    <row r="8" spans="1:12" ht="17.25" x14ac:dyDescent="0.4">
      <c r="A8" s="12" t="s">
        <v>14</v>
      </c>
      <c r="B8" s="71">
        <f t="shared" si="0"/>
        <v>28951.600000000006</v>
      </c>
      <c r="C8" s="72">
        <v>8025.2</v>
      </c>
      <c r="D8" s="73">
        <v>17312.000000000004</v>
      </c>
      <c r="E8" s="74">
        <v>181.19999999999996</v>
      </c>
      <c r="F8" s="75">
        <v>3433.2000000000007</v>
      </c>
      <c r="G8" s="101" t="s">
        <v>15</v>
      </c>
      <c r="H8" s="76"/>
      <c r="I8" s="9"/>
      <c r="J8" s="9"/>
      <c r="K8" s="56"/>
      <c r="L8" s="57"/>
    </row>
    <row r="9" spans="1:12" ht="17.25" x14ac:dyDescent="0.4">
      <c r="A9" s="12" t="s">
        <v>16</v>
      </c>
      <c r="B9" s="71">
        <f t="shared" si="0"/>
        <v>20839.5</v>
      </c>
      <c r="C9" s="72">
        <v>4971</v>
      </c>
      <c r="D9" s="73">
        <v>14011.7</v>
      </c>
      <c r="E9" s="74">
        <v>57.300000000000004</v>
      </c>
      <c r="F9" s="75">
        <v>1799.5000000000005</v>
      </c>
      <c r="G9" s="101" t="s">
        <v>17</v>
      </c>
      <c r="H9" s="76"/>
      <c r="I9" s="9"/>
      <c r="J9" s="9"/>
      <c r="K9" s="56"/>
      <c r="L9" s="57"/>
    </row>
    <row r="10" spans="1:12" ht="17.25" x14ac:dyDescent="0.4">
      <c r="A10" s="12" t="s">
        <v>18</v>
      </c>
      <c r="B10" s="71">
        <f t="shared" si="0"/>
        <v>283.2</v>
      </c>
      <c r="C10" s="72">
        <v>279.7</v>
      </c>
      <c r="D10" s="73">
        <v>0</v>
      </c>
      <c r="E10" s="74">
        <v>3.5</v>
      </c>
      <c r="F10" s="75">
        <v>0</v>
      </c>
      <c r="G10" s="101" t="s">
        <v>19</v>
      </c>
      <c r="H10" s="76"/>
      <c r="I10" s="9"/>
      <c r="J10" s="9"/>
      <c r="K10" s="56"/>
      <c r="L10" s="57"/>
    </row>
    <row r="11" spans="1:12" ht="17.25" x14ac:dyDescent="0.4">
      <c r="A11" s="12" t="s">
        <v>20</v>
      </c>
      <c r="B11" s="71">
        <f t="shared" si="0"/>
        <v>417.8</v>
      </c>
      <c r="C11" s="72">
        <v>417.8</v>
      </c>
      <c r="D11" s="73">
        <v>0</v>
      </c>
      <c r="E11" s="74">
        <v>0</v>
      </c>
      <c r="F11" s="75">
        <v>0</v>
      </c>
      <c r="G11" s="101" t="s">
        <v>21</v>
      </c>
      <c r="H11" s="76"/>
      <c r="I11" s="9"/>
      <c r="J11" s="9"/>
      <c r="K11" s="56"/>
      <c r="L11" s="61"/>
    </row>
    <row r="12" spans="1:12" ht="17.25" x14ac:dyDescent="0.4">
      <c r="A12" s="12" t="s">
        <v>22</v>
      </c>
      <c r="B12" s="71">
        <f t="shared" si="0"/>
        <v>6665.4999999999991</v>
      </c>
      <c r="C12" s="72">
        <v>6659.0999999999995</v>
      </c>
      <c r="D12" s="73">
        <v>0</v>
      </c>
      <c r="E12" s="74">
        <v>6.3999999999999995</v>
      </c>
      <c r="F12" s="75">
        <v>0</v>
      </c>
      <c r="G12" s="101" t="s">
        <v>23</v>
      </c>
      <c r="H12" s="76"/>
      <c r="I12" s="9"/>
      <c r="J12" s="9"/>
      <c r="K12" s="56"/>
      <c r="L12" s="61"/>
    </row>
    <row r="13" spans="1:12" ht="17.25" x14ac:dyDescent="0.4">
      <c r="A13" s="12" t="s">
        <v>24</v>
      </c>
      <c r="B13" s="71">
        <f t="shared" si="0"/>
        <v>4919</v>
      </c>
      <c r="C13" s="72">
        <v>4406.6000000000004</v>
      </c>
      <c r="D13" s="73">
        <v>155.4</v>
      </c>
      <c r="E13" s="74">
        <v>69.400000000000006</v>
      </c>
      <c r="F13" s="75">
        <v>287.59999999999997</v>
      </c>
      <c r="G13" s="101" t="s">
        <v>25</v>
      </c>
      <c r="H13" s="76"/>
      <c r="I13" s="9"/>
      <c r="J13" s="9"/>
      <c r="K13" s="56"/>
      <c r="L13" s="61"/>
    </row>
    <row r="14" spans="1:12" ht="17.25" x14ac:dyDescent="0.4">
      <c r="A14" s="12" t="s">
        <v>26</v>
      </c>
      <c r="B14" s="71">
        <f t="shared" si="0"/>
        <v>12889.699999999999</v>
      </c>
      <c r="C14" s="72">
        <v>11100.4</v>
      </c>
      <c r="D14" s="73">
        <v>1321.5</v>
      </c>
      <c r="E14" s="74">
        <v>54</v>
      </c>
      <c r="F14" s="75">
        <v>413.79999999999995</v>
      </c>
      <c r="G14" s="101" t="s">
        <v>27</v>
      </c>
      <c r="H14" s="76"/>
      <c r="I14" s="9"/>
      <c r="J14" s="9"/>
      <c r="K14" s="56"/>
      <c r="L14" s="61"/>
    </row>
    <row r="15" spans="1:12" ht="17.25" x14ac:dyDescent="0.4">
      <c r="A15" s="12" t="s">
        <v>28</v>
      </c>
      <c r="B15" s="71">
        <f t="shared" si="0"/>
        <v>12349.3</v>
      </c>
      <c r="C15" s="72">
        <v>10346.299999999999</v>
      </c>
      <c r="D15" s="73">
        <v>1753.1999999999998</v>
      </c>
      <c r="E15" s="74">
        <v>99.8</v>
      </c>
      <c r="F15" s="75">
        <v>150</v>
      </c>
      <c r="G15" s="101" t="s">
        <v>29</v>
      </c>
      <c r="H15" s="76"/>
      <c r="I15" s="9"/>
      <c r="J15" s="9"/>
      <c r="K15" s="56"/>
      <c r="L15" s="61"/>
    </row>
    <row r="16" spans="1:12" ht="17.25" x14ac:dyDescent="0.4">
      <c r="A16" s="12" t="s">
        <v>30</v>
      </c>
      <c r="B16" s="77">
        <f t="shared" si="0"/>
        <v>569737.6</v>
      </c>
      <c r="C16" s="78">
        <v>474395.2</v>
      </c>
      <c r="D16" s="79">
        <v>79088.5</v>
      </c>
      <c r="E16" s="80">
        <v>15609.4</v>
      </c>
      <c r="F16" s="81">
        <v>644.5</v>
      </c>
      <c r="G16" s="101" t="s">
        <v>31</v>
      </c>
      <c r="H16" s="76"/>
      <c r="I16" s="9"/>
      <c r="J16" s="9"/>
      <c r="K16" s="56"/>
      <c r="L16" s="61"/>
    </row>
    <row r="17" spans="1:12" s="9" customFormat="1" ht="17.25" x14ac:dyDescent="0.4">
      <c r="A17" s="12" t="s">
        <v>32</v>
      </c>
      <c r="B17" s="70">
        <f t="shared" si="0"/>
        <v>19328.2</v>
      </c>
      <c r="C17" s="82">
        <v>19152.400000000001</v>
      </c>
      <c r="D17" s="82">
        <v>10.5</v>
      </c>
      <c r="E17" s="83">
        <v>80.5</v>
      </c>
      <c r="F17" s="76">
        <v>84.8</v>
      </c>
      <c r="G17" s="101" t="s">
        <v>33</v>
      </c>
      <c r="H17" s="76"/>
      <c r="K17" s="56"/>
      <c r="L17" s="56"/>
    </row>
    <row r="18" spans="1:12" ht="17.25" x14ac:dyDescent="0.4">
      <c r="A18" s="96" t="s">
        <v>34</v>
      </c>
      <c r="B18" s="103">
        <f t="shared" si="0"/>
        <v>15781.100000000002</v>
      </c>
      <c r="C18" s="84">
        <v>14379.000000000002</v>
      </c>
      <c r="D18" s="85">
        <v>1247</v>
      </c>
      <c r="E18" s="86">
        <v>57.499999999999993</v>
      </c>
      <c r="F18" s="87">
        <v>97.6</v>
      </c>
      <c r="G18" s="102" t="s">
        <v>35</v>
      </c>
      <c r="H18" s="88"/>
      <c r="I18" s="9"/>
      <c r="J18" s="9"/>
      <c r="K18" s="56"/>
      <c r="L18" s="61"/>
    </row>
    <row r="19" spans="1:12" ht="18.75" x14ac:dyDescent="0.25">
      <c r="A19" s="5" t="s">
        <v>7</v>
      </c>
      <c r="B19" s="5"/>
      <c r="C19" s="6"/>
      <c r="D19" s="6"/>
      <c r="E19" s="6"/>
      <c r="F19" s="6"/>
      <c r="G19" s="89" t="s">
        <v>8</v>
      </c>
      <c r="H19" s="55"/>
      <c r="I19" s="14"/>
      <c r="J19" s="9"/>
      <c r="K19" s="56"/>
      <c r="L19" s="61"/>
    </row>
    <row r="20" spans="1:12" x14ac:dyDescent="0.25">
      <c r="A20" s="90"/>
      <c r="B20" s="91"/>
      <c r="C20" s="91"/>
      <c r="D20" s="91"/>
      <c r="E20" s="91"/>
      <c r="F20" s="91"/>
      <c r="G20" s="91"/>
      <c r="H20" s="92"/>
      <c r="I20" s="92"/>
      <c r="J20" s="9"/>
      <c r="K20" s="9"/>
    </row>
    <row r="21" spans="1:12" ht="17.25" x14ac:dyDescent="0.25">
      <c r="A21" s="91"/>
      <c r="B21" s="91"/>
      <c r="C21" s="91"/>
      <c r="D21" s="91"/>
      <c r="E21" s="91"/>
      <c r="F21" s="91"/>
      <c r="G21" s="91"/>
      <c r="H21" s="91"/>
      <c r="I21" s="91"/>
      <c r="J21" s="58"/>
    </row>
  </sheetData>
  <mergeCells count="6">
    <mergeCell ref="A1:G1"/>
    <mergeCell ref="A2:G2"/>
    <mergeCell ref="C4:D4"/>
    <mergeCell ref="E4:F4"/>
    <mergeCell ref="G4:G5"/>
    <mergeCell ref="A3:G3"/>
  </mergeCells>
  <pageMargins left="0.7" right="0.7" top="0.75" bottom="0.75" header="0.3" footer="0.3"/>
  <pageSetup paperSize="9" scale="76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11.24</vt:lpstr>
      <vt:lpstr>'11.24'!Print_Area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2021-08-25T06:40:58Z</cp:lastPrinted>
  <dcterms:created xsi:type="dcterms:W3CDTF">2019-03-24T03:32:16Z</dcterms:created>
  <dcterms:modified xsi:type="dcterms:W3CDTF">2021-08-29T03:17:18Z</dcterms:modified>
</cp:coreProperties>
</file>