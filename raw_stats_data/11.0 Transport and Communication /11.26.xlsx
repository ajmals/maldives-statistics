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11. Transport and Communication\"/>
    </mc:Choice>
  </mc:AlternateContent>
  <bookViews>
    <workbookView xWindow="-90" yWindow="-90" windowWidth="19380" windowHeight="10380" tabRatio="750" firstSheet="1" activeTab="1"/>
  </bookViews>
  <sheets>
    <sheet name="11.15" sheetId="4" state="hidden" r:id="rId1"/>
    <sheet name="11.26" sheetId="16" r:id="rId2"/>
  </sheets>
  <externalReferences>
    <externalReference r:id="rId3"/>
  </externalReferences>
  <definedNames>
    <definedName name="_xlnm.Print_Area" localSheetId="1">'11.26'!$A$1:$U$106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S47" i="4" l="1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AO22" i="4" l="1"/>
  <c r="AO23" i="4"/>
  <c r="AO24" i="4"/>
  <c r="AO25" i="4"/>
  <c r="AO26" i="4"/>
  <c r="AO27" i="4"/>
  <c r="AO29" i="4"/>
  <c r="AO30" i="4"/>
  <c r="AA8" i="4" l="1"/>
  <c r="AQ30" i="4" s="1"/>
  <c r="Z8" i="4"/>
  <c r="AP30" i="4" s="1"/>
  <c r="X8" i="4"/>
  <c r="AQ29" i="4" s="1"/>
  <c r="W8" i="4"/>
  <c r="AP29" i="4" s="1"/>
  <c r="U8" i="4"/>
  <c r="AQ28" i="4" s="1"/>
  <c r="T8" i="4"/>
  <c r="AP28" i="4" s="1"/>
  <c r="R8" i="4"/>
  <c r="AQ27" i="4" s="1"/>
  <c r="Q8" i="4"/>
  <c r="AP27" i="4" s="1"/>
  <c r="O8" i="4"/>
  <c r="AQ26" i="4" s="1"/>
  <c r="N8" i="4"/>
  <c r="AP26" i="4" s="1"/>
  <c r="L8" i="4"/>
  <c r="AQ25" i="4" s="1"/>
  <c r="K8" i="4"/>
  <c r="AP25" i="4" s="1"/>
  <c r="I8" i="4"/>
  <c r="AQ24" i="4" s="1"/>
  <c r="H8" i="4"/>
  <c r="AP24" i="4" s="1"/>
  <c r="F8" i="4"/>
  <c r="AQ23" i="4" s="1"/>
  <c r="E8" i="4"/>
  <c r="AP23" i="4" s="1"/>
  <c r="C8" i="4"/>
  <c r="AQ22" i="4" s="1"/>
  <c r="B8" i="4"/>
  <c r="AP22" i="4" l="1"/>
  <c r="AP32" i="4" s="1"/>
  <c r="AQ32" i="4"/>
  <c r="AR32" i="4" l="1"/>
</calcChain>
</file>

<file path=xl/sharedStrings.xml><?xml version="1.0" encoding="utf-8"?>
<sst xmlns="http://schemas.openxmlformats.org/spreadsheetml/2006/main" count="422" uniqueCount="82">
  <si>
    <t>iawa</t>
  </si>
  <si>
    <t>iruf</t>
  </si>
  <si>
    <t>In</t>
  </si>
  <si>
    <t>Out</t>
  </si>
  <si>
    <t>Total</t>
  </si>
  <si>
    <t>wlcmuj</t>
  </si>
  <si>
    <t>Source: Civil Aviation Authority</t>
  </si>
  <si>
    <t>މައުލޫމާތު ދެއްވީ: ސިވިލް އޭވިއޭޝަން އޮތޯރިޓީ</t>
  </si>
  <si>
    <t>Month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</si>
  <si>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</si>
  <si>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</si>
  <si>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</si>
  <si>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</si>
  <si>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</si>
  <si>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</si>
  <si>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</si>
  <si>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</si>
  <si>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</si>
  <si>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</si>
  <si>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</si>
  <si>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</si>
  <si>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</si>
  <si>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</si>
  <si>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</si>
  <si>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</si>
  <si>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</si>
  <si>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</si>
  <si>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</si>
  <si>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</si>
  <si>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</si>
  <si>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</si>
  <si>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</si>
  <si>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</si>
  <si>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</si>
  <si>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</si>
  <si>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</si>
  <si>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</si>
  <si>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</si>
  <si>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</si>
  <si>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</si>
  <si>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</si>
  <si>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</si>
  <si>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ދ.ކުޑަހުވަދޫ</t>
  </si>
  <si>
    <t>L.Kadhdhoo</t>
  </si>
  <si>
    <t>GDh.Kaadedhdhoo</t>
  </si>
  <si>
    <t xml:space="preserve">Gn.Fuvahmulah </t>
  </si>
  <si>
    <t>ADh.Maamigili</t>
  </si>
  <si>
    <t>B.Dharavandhoo</t>
  </si>
  <si>
    <t>GA. Koodoo</t>
  </si>
  <si>
    <t xml:space="preserve">Th. Thimarafushi  </t>
  </si>
  <si>
    <t xml:space="preserve">R.Ifuru  </t>
  </si>
  <si>
    <t>Dh.kudahuvadhoo</t>
  </si>
  <si>
    <t xml:space="preserve">THA. Thimarafushi  </t>
  </si>
  <si>
    <t>_</t>
  </si>
  <si>
    <t>-</t>
  </si>
  <si>
    <r>
      <t xml:space="preserve">Gn.Fuvahmulah </t>
    </r>
    <r>
      <rPr>
        <b/>
        <vertAlign val="superscript"/>
        <sz val="11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</si>
  <si>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11"/>
        <rFont val="Calibri"/>
        <family val="2"/>
        <scheme val="minor"/>
      </rPr>
      <t xml:space="preserve">1_/ </t>
    </r>
  </si>
  <si>
    <r>
      <t xml:space="preserve">B.Dharavandhoo </t>
    </r>
    <r>
      <rPr>
        <b/>
        <vertAlign val="superscript"/>
        <sz val="11"/>
        <rFont val="Calibri"/>
        <family val="2"/>
        <scheme val="minor"/>
      </rPr>
      <t xml:space="preserve">2_/ </t>
    </r>
  </si>
  <si>
    <r>
      <t xml:space="preserve">GA.Koodoo </t>
    </r>
    <r>
      <rPr>
        <b/>
        <vertAlign val="superscript"/>
        <sz val="11"/>
        <rFont val="Calibri"/>
        <family val="2"/>
        <scheme val="minor"/>
      </rPr>
      <t xml:space="preserve">3_/ </t>
    </r>
  </si>
  <si>
    <r>
      <t xml:space="preserve">Th. Thimarafushi  </t>
    </r>
    <r>
      <rPr>
        <b/>
        <vertAlign val="superscript"/>
        <sz val="11"/>
        <rFont val="Calibri"/>
        <family val="2"/>
        <scheme val="minor"/>
      </rPr>
      <t xml:space="preserve">4_/ </t>
    </r>
  </si>
  <si>
    <r>
      <t xml:space="preserve">Raa.Ifuru </t>
    </r>
    <r>
      <rPr>
        <b/>
        <vertAlign val="superscript"/>
        <sz val="11"/>
        <rFont val="Calibri"/>
        <family val="2"/>
        <scheme val="minor"/>
      </rPr>
      <t xml:space="preserve"> 5_/ </t>
    </r>
  </si>
  <si>
    <r>
      <t>Dh.kudahuvadhoo</t>
    </r>
    <r>
      <rPr>
        <b/>
        <vertAlign val="superscript"/>
        <sz val="11"/>
        <rFont val="Calibri"/>
        <family val="2"/>
        <scheme val="minor"/>
      </rPr>
      <t xml:space="preserve">6_/ </t>
    </r>
  </si>
  <si>
    <t>2020 ,ctogiruh urutwfurutwd egcnurwjcniswf iawgukwturwdnwb egiawv egEjcaWr cnutogeguhwmcswm  :11.15 ulwvWt</t>
  </si>
  <si>
    <t>Table 11.15 :  PASSENGER MOVEMENTS AT DOMESTIC AIRPORTS BY MONTH, 2020</t>
  </si>
  <si>
    <t>MONTH</t>
  </si>
  <si>
    <t>ACFT MVTS</t>
  </si>
  <si>
    <t>PASSENGERS</t>
  </si>
  <si>
    <t>CARGO (kg)</t>
  </si>
  <si>
    <t>MAIL (kg)</t>
  </si>
  <si>
    <t>IN</t>
  </si>
  <si>
    <t>OUT</t>
  </si>
  <si>
    <t xml:space="preserve"> </t>
  </si>
  <si>
    <t>Aircraft movements</t>
  </si>
  <si>
    <t>TABLE 11.26a: MONTHLY TRAFFIC AT KAADEDHDHOO AIRPORT - 2020</t>
  </si>
  <si>
    <t>TABLE 11.26b: MONTHLY TRAFFIC AT KADHDHOO AIRPORT - 2020</t>
  </si>
  <si>
    <t>TABLE 11.26c: MONTHLY TRAFFIC AT FOAMULAH AIRPORT - 2020</t>
  </si>
  <si>
    <t>TABLE 11.26d: MONTHLY TRAFFIC AT DHARAVANDHOO AIRPORT - 2020</t>
  </si>
  <si>
    <t>TABLE 11.26e: MONTHLY TRAFFIC AT KOODDOO AIRPORT - 2020</t>
  </si>
  <si>
    <t>TABLE 11.26f: MONTHLY TRAFFIC AT THIMARAFUSHI AIRPORT - 2020</t>
  </si>
  <si>
    <t>TABLE 11.26g: MONTHLY TRAFFIC AT R.IFURU AIRPORT - 2020</t>
  </si>
  <si>
    <t>TABLE 11.26h: MONTHLY TRAFFIC AT DHAALU AIRPORT - 2020</t>
  </si>
  <si>
    <t>TABLE 11.26i: MONTHLY TRAFFIC AT MAAMIGILLI AIRPORT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</si>
</sst>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General_)"/>
    <numFmt numFmtId="165" formatCode="_(* #,##0_);_(* \(#,##0\);_(* &quot;-&quot;??_);_(@_)"/>
    <numFmt numFmtId="167" formatCode="0.0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9"/>
      <name val="Calibri"/>
      <family val="2"/>
      <scheme val="minor"/>
    </font>
    <font>
      <sz val="9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Garamond"/>
      <family val="1"/>
    </font>
    <font>
      <b/>
      <sz val="10.5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Arial"/>
      <family val="2"/>
    </font>
    <font>
      <sz val="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_Faseyha"/>
    </font>
    <font>
      <b/>
      <sz val="11"/>
      <name val="A_Faseyha"/>
    </font>
    <font>
      <u/>
      <sz val="10"/>
      <color indexed="12"/>
      <name val="Arial"/>
      <family val="2"/>
    </font>
    <font>
      <b/>
      <sz val="9"/>
      <name val="A_Faseyha"/>
    </font>
    <font>
      <b/>
      <sz val="12"/>
      <color theme="1"/>
      <name val="A_Faseyha"/>
    </font>
    <font>
      <sz val="10"/>
      <name val="A_Faseyha"/>
    </font>
    <font>
      <b/>
      <sz val="10.5"/>
      <name val="Faruma"/>
    </font>
    <font>
      <b/>
      <sz val="12"/>
      <name val="Faruma"/>
    </font>
    <font>
      <sz val="12"/>
      <color theme="1"/>
      <name val="Faruma"/>
    </font>
    <font>
      <sz val="12"/>
      <color theme="1"/>
      <name val="A_Faseyha"/>
    </font>
    <font>
      <b/>
      <vertAlign val="superscript"/>
      <sz val="11"/>
      <name val="Calibri"/>
      <family val="2"/>
      <scheme val="minor"/>
    </font>
    <font>
      <sz val="10"/>
      <name val="Arial"/>
      <family val="2"/>
    </font>
    <font>
      <sz val="9"/>
      <name val="Univers Condensed"/>
      <family val="2"/>
    </font>
    <font>
      <b/>
      <sz val="9"/>
      <name val="Univers Condensed"/>
      <family val="2"/>
    </font>
    <font>
      <b/>
      <sz val="12"/>
      <color theme="1"/>
      <name val="Faruma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4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</borders>
  <cellStyleXfs count="16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10" fillId="0" borderId="0" applyFont="0" applyFill="0" applyBorder="0" applyAlignment="0" applyProtection="0"/>
    <xf numFmtId="0" fontId="4" fillId="0" borderId="0"/>
    <xf numFmtId="0" fontId="17" fillId="0" borderId="0"/>
    <xf numFmtId="165" fontId="2" fillId="0" borderId="0"/>
    <xf numFmtId="165" fontId="2" fillId="0" borderId="0"/>
    <xf numFmtId="167" fontId="2" fillId="0" borderId="0" applyFon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4" fillId="0" borderId="0"/>
    <xf numFmtId="0" fontId="4" fillId="0" borderId="0"/>
    <xf numFmtId="0" fontId="36" fillId="0" borderId="0"/>
    <xf numFmtId="43" fontId="4" fillId="0" borderId="0" applyFont="0" applyFill="0" applyBorder="0" applyAlignment="0" applyProtection="0"/>
    <xf numFmtId="0" fontId="4" fillId="0" borderId="0"/>
  </cellStyleXfs>
  <cellXfs count="175">
    <xf numFmtId="0" fontId="0" fillId="0" borderId="0" xfId="0"/>
    <xf numFmtId="164" fontId="0" fillId="2" borderId="0" xfId="0" applyNumberFormat="1" applyFill="1"/>
    <xf numFmtId="164" fontId="0" fillId="2" borderId="0" xfId="0" applyNumberFormat="1" applyFill="1" applyBorder="1"/>
    <xf numFmtId="164" fontId="8" fillId="2" borderId="0" xfId="0" applyNumberFormat="1" applyFont="1" applyFill="1"/>
    <xf numFmtId="38" fontId="9" fillId="2" borderId="0" xfId="3" applyNumberFormat="1" applyFont="1" applyFill="1" applyBorder="1" applyAlignment="1">
      <alignment horizontal="right" vertical="center" wrapText="1"/>
    </xf>
    <xf numFmtId="164" fontId="11" fillId="2" borderId="0" xfId="2" applyNumberFormat="1" applyFont="1" applyFill="1" applyBorder="1" applyAlignment="1" applyProtection="1">
      <alignment horizontal="left" vertical="center"/>
    </xf>
    <xf numFmtId="164" fontId="14" fillId="2" borderId="0" xfId="2" applyNumberFormat="1" applyFont="1" applyFill="1" applyAlignment="1" applyProtection="1">
      <alignment horizontal="left" vertical="center"/>
    </xf>
    <xf numFmtId="37" fontId="15" fillId="2" borderId="0" xfId="2" applyNumberFormat="1" applyFont="1" applyFill="1" applyAlignment="1" applyProtection="1">
      <alignment vertical="center"/>
    </xf>
    <xf numFmtId="0" fontId="13" fillId="2" borderId="2" xfId="0" applyNumberFormat="1" applyFont="1" applyFill="1" applyBorder="1" applyAlignment="1">
      <alignment horizontal="right" vertical="center"/>
    </xf>
    <xf numFmtId="164" fontId="2" fillId="2" borderId="0" xfId="0" applyNumberFormat="1" applyFont="1" applyFill="1"/>
    <xf numFmtId="0" fontId="13" fillId="2" borderId="16" xfId="0" applyNumberFormat="1" applyFont="1" applyFill="1" applyBorder="1" applyAlignment="1">
      <alignment horizontal="right" vertical="center"/>
    </xf>
    <xf numFmtId="0" fontId="13" fillId="2" borderId="0" xfId="0" applyNumberFormat="1" applyFont="1" applyFill="1" applyBorder="1" applyAlignment="1">
      <alignment horizontal="right" vertical="center"/>
    </xf>
    <xf numFmtId="164" fontId="18" fillId="2" borderId="0" xfId="2" applyNumberFormat="1" applyFont="1" applyFill="1" applyBorder="1" applyAlignment="1">
      <alignment horizontal="center" vertical="center" wrapText="1"/>
    </xf>
    <xf numFmtId="164" fontId="19" fillId="2" borderId="0" xfId="0" applyNumberFormat="1" applyFont="1" applyFill="1"/>
    <xf numFmtId="3" fontId="9" fillId="2" borderId="21" xfId="2" applyNumberFormat="1" applyFont="1" applyFill="1" applyBorder="1" applyAlignment="1">
      <alignment horizontal="right" vertical="center"/>
    </xf>
    <xf numFmtId="3" fontId="9" fillId="2" borderId="0" xfId="2" applyNumberFormat="1" applyFont="1" applyFill="1" applyBorder="1" applyAlignment="1">
      <alignment horizontal="right" vertical="center"/>
    </xf>
    <xf numFmtId="165" fontId="0" fillId="2" borderId="0" xfId="1" applyNumberFormat="1" applyFont="1" applyFill="1"/>
    <xf numFmtId="164" fontId="20" fillId="2" borderId="0" xfId="2" applyNumberFormat="1" applyFont="1" applyFill="1" applyAlignment="1" applyProtection="1">
      <alignment horizontal="left" vertical="center"/>
    </xf>
    <xf numFmtId="37" fontId="4" fillId="2" borderId="0" xfId="2" applyNumberFormat="1" applyFont="1" applyFill="1" applyAlignment="1" applyProtection="1">
      <alignment vertical="center"/>
    </xf>
    <xf numFmtId="164" fontId="12" fillId="2" borderId="0" xfId="2" applyNumberFormat="1" applyFont="1" applyFill="1" applyBorder="1" applyAlignment="1"/>
    <xf numFmtId="0" fontId="12" fillId="2" borderId="0" xfId="4" applyFont="1" applyFill="1" applyAlignment="1">
      <alignment vertical="center"/>
    </xf>
    <xf numFmtId="164" fontId="0" fillId="2" borderId="0" xfId="0" applyNumberFormat="1" applyFill="1" applyAlignment="1">
      <alignment horizontal="center" vertical="center"/>
    </xf>
    <xf numFmtId="0" fontId="6" fillId="2" borderId="33" xfId="2" applyNumberFormat="1" applyFont="1" applyFill="1" applyBorder="1" applyAlignment="1">
      <alignment horizontal="center" vertical="center"/>
    </xf>
    <xf numFmtId="0" fontId="6" fillId="2" borderId="35" xfId="2" applyNumberFormat="1" applyFont="1" applyFill="1" applyBorder="1" applyAlignment="1">
      <alignment horizontal="center" vertical="center"/>
    </xf>
    <xf numFmtId="0" fontId="6" fillId="2" borderId="36" xfId="2" applyNumberFormat="1" applyFont="1" applyFill="1" applyBorder="1" applyAlignment="1">
      <alignment horizontal="center" vertical="center"/>
    </xf>
    <xf numFmtId="0" fontId="6" fillId="2" borderId="20" xfId="2" applyNumberFormat="1" applyFont="1" applyFill="1" applyBorder="1" applyAlignment="1">
      <alignment horizontal="center" vertical="center"/>
    </xf>
    <xf numFmtId="164" fontId="9" fillId="2" borderId="2" xfId="2" applyNumberFormat="1" applyFont="1" applyFill="1" applyBorder="1" applyAlignment="1" applyProtection="1">
      <alignment horizontal="left" vertical="center"/>
    </xf>
    <xf numFmtId="3" fontId="6" fillId="2" borderId="2" xfId="2" applyNumberFormat="1" applyFont="1" applyFill="1" applyBorder="1" applyAlignment="1">
      <alignment horizontal="center" vertical="center"/>
    </xf>
    <xf numFmtId="3" fontId="6" fillId="2" borderId="3" xfId="2" applyNumberFormat="1" applyFont="1" applyFill="1" applyBorder="1" applyAlignment="1">
      <alignment horizontal="center" vertical="center"/>
    </xf>
    <xf numFmtId="3" fontId="6" fillId="2" borderId="37" xfId="2" applyNumberFormat="1" applyFont="1" applyFill="1" applyBorder="1" applyAlignment="1">
      <alignment horizontal="center" vertical="center"/>
    </xf>
    <xf numFmtId="3" fontId="6" fillId="2" borderId="16" xfId="2" applyNumberFormat="1" applyFont="1" applyFill="1" applyBorder="1" applyAlignment="1">
      <alignment horizontal="center" vertical="center"/>
    </xf>
    <xf numFmtId="3" fontId="6" fillId="2" borderId="38" xfId="2" applyNumberFormat="1" applyFont="1" applyFill="1" applyBorder="1" applyAlignment="1">
      <alignment horizontal="center" vertical="center"/>
    </xf>
    <xf numFmtId="3" fontId="6" fillId="2" borderId="39" xfId="2" applyNumberFormat="1" applyFont="1" applyFill="1" applyBorder="1" applyAlignment="1">
      <alignment horizontal="center" vertical="center"/>
    </xf>
    <xf numFmtId="3" fontId="6" fillId="2" borderId="22" xfId="2" applyNumberFormat="1" applyFont="1" applyFill="1" applyBorder="1" applyAlignment="1">
      <alignment horizontal="center" vertical="center"/>
    </xf>
    <xf numFmtId="164" fontId="15" fillId="2" borderId="1" xfId="2" applyNumberFormat="1" applyFont="1" applyFill="1" applyBorder="1" applyAlignment="1" applyProtection="1">
      <alignment horizontal="left" vertical="center"/>
    </xf>
    <xf numFmtId="3" fontId="15" fillId="2" borderId="1" xfId="3" applyNumberFormat="1" applyFont="1" applyFill="1" applyBorder="1" applyAlignment="1">
      <alignment horizontal="center" vertical="center"/>
    </xf>
    <xf numFmtId="0" fontId="15" fillId="2" borderId="4" xfId="0" applyNumberFormat="1" applyFont="1" applyFill="1" applyBorder="1" applyAlignment="1">
      <alignment horizontal="center" vertical="center"/>
    </xf>
    <xf numFmtId="0" fontId="15" fillId="2" borderId="40" xfId="0" applyNumberFormat="1" applyFont="1" applyFill="1" applyBorder="1" applyAlignment="1">
      <alignment horizontal="center" vertical="center"/>
    </xf>
    <xf numFmtId="0" fontId="15" fillId="2" borderId="14" xfId="0" applyNumberFormat="1" applyFont="1" applyFill="1" applyBorder="1" applyAlignment="1">
      <alignment horizontal="center" vertical="center"/>
    </xf>
    <xf numFmtId="0" fontId="15" fillId="2" borderId="7" xfId="0" applyNumberFormat="1" applyFont="1" applyFill="1" applyBorder="1" applyAlignment="1">
      <alignment horizontal="center" vertical="center"/>
    </xf>
    <xf numFmtId="3" fontId="15" fillId="2" borderId="7" xfId="3" applyNumberFormat="1" applyFont="1" applyFill="1" applyBorder="1" applyAlignment="1">
      <alignment horizontal="center" vertical="center"/>
    </xf>
    <xf numFmtId="0" fontId="21" fillId="2" borderId="7" xfId="0" applyNumberFormat="1" applyFont="1" applyFill="1" applyBorder="1" applyAlignment="1">
      <alignment horizontal="center" vertical="center"/>
    </xf>
    <xf numFmtId="0" fontId="15" fillId="2" borderId="41" xfId="0" applyNumberFormat="1" applyFont="1" applyFill="1" applyBorder="1" applyAlignment="1">
      <alignment horizontal="center" vertical="center"/>
    </xf>
    <xf numFmtId="164" fontId="15" fillId="2" borderId="5" xfId="2" applyNumberFormat="1" applyFont="1" applyFill="1" applyBorder="1" applyAlignment="1" applyProtection="1">
      <alignment horizontal="left" vertical="center"/>
    </xf>
    <xf numFmtId="3" fontId="15" fillId="2" borderId="5" xfId="3" applyNumberFormat="1" applyFont="1" applyFill="1" applyBorder="1" applyAlignment="1">
      <alignment horizontal="center" vertical="center"/>
    </xf>
    <xf numFmtId="0" fontId="15" fillId="2" borderId="6" xfId="0" applyNumberFormat="1" applyFont="1" applyFill="1" applyBorder="1" applyAlignment="1">
      <alignment horizontal="center" vertical="center"/>
    </xf>
    <xf numFmtId="0" fontId="15" fillId="2" borderId="28" xfId="0" applyNumberFormat="1" applyFont="1" applyFill="1" applyBorder="1" applyAlignment="1">
      <alignment horizontal="center" vertical="center"/>
    </xf>
    <xf numFmtId="0" fontId="15" fillId="2" borderId="15" xfId="0" applyNumberFormat="1" applyFont="1" applyFill="1" applyBorder="1" applyAlignment="1">
      <alignment horizontal="center" vertical="center"/>
    </xf>
    <xf numFmtId="0" fontId="15" fillId="2" borderId="26" xfId="0" applyNumberFormat="1" applyFont="1" applyFill="1" applyBorder="1" applyAlignment="1">
      <alignment horizontal="center" vertical="center"/>
    </xf>
    <xf numFmtId="3" fontId="15" fillId="2" borderId="26" xfId="3" applyNumberFormat="1" applyFont="1" applyFill="1" applyBorder="1" applyAlignment="1">
      <alignment horizontal="center" vertical="center"/>
    </xf>
    <xf numFmtId="0" fontId="15" fillId="2" borderId="27" xfId="0" applyNumberFormat="1" applyFont="1" applyFill="1" applyBorder="1" applyAlignment="1">
      <alignment horizontal="center" vertical="center"/>
    </xf>
    <xf numFmtId="37" fontId="7" fillId="2" borderId="0" xfId="2" applyNumberFormat="1" applyFont="1" applyFill="1" applyBorder="1" applyAlignment="1" applyProtection="1">
      <alignment vertical="center"/>
    </xf>
    <xf numFmtId="164" fontId="9" fillId="2" borderId="0" xfId="2" applyNumberFormat="1" applyFont="1" applyFill="1" applyBorder="1" applyAlignment="1" applyProtection="1">
      <alignment horizontal="left" vertical="center"/>
    </xf>
    <xf numFmtId="164" fontId="28" fillId="2" borderId="0" xfId="2" applyNumberFormat="1" applyFont="1" applyFill="1" applyBorder="1" applyAlignment="1">
      <alignment horizontal="right" vertical="center"/>
    </xf>
    <xf numFmtId="164" fontId="11" fillId="2" borderId="42" xfId="2" applyNumberFormat="1" applyFont="1" applyFill="1" applyBorder="1" applyAlignment="1" applyProtection="1">
      <alignment horizontal="left" vertical="center"/>
    </xf>
    <xf numFmtId="164" fontId="18" fillId="2" borderId="42" xfId="2" applyNumberFormat="1" applyFont="1" applyFill="1" applyBorder="1" applyAlignment="1">
      <alignment horizontal="right" vertical="center"/>
    </xf>
    <xf numFmtId="164" fontId="6" fillId="2" borderId="42" xfId="2" applyNumberFormat="1" applyFont="1" applyFill="1" applyBorder="1" applyAlignment="1">
      <alignment horizontal="right" vertical="center"/>
    </xf>
    <xf numFmtId="0" fontId="6" fillId="2" borderId="42" xfId="2" applyNumberFormat="1" applyFont="1" applyFill="1" applyBorder="1" applyAlignment="1">
      <alignment horizontal="center" vertical="center"/>
    </xf>
    <xf numFmtId="164" fontId="25" fillId="2" borderId="0" xfId="2" applyNumberFormat="1" applyFont="1" applyFill="1" applyBorder="1" applyAlignment="1">
      <alignment horizontal="right" vertical="center"/>
    </xf>
    <xf numFmtId="164" fontId="24" fillId="2" borderId="0" xfId="0" applyNumberFormat="1" applyFont="1" applyFill="1"/>
    <xf numFmtId="0" fontId="30" fillId="2" borderId="14" xfId="5" applyFont="1" applyFill="1" applyBorder="1" applyAlignment="1">
      <alignment horizontal="right"/>
    </xf>
    <xf numFmtId="0" fontId="30" fillId="2" borderId="15" xfId="5" applyFont="1" applyFill="1" applyBorder="1" applyAlignment="1">
      <alignment horizontal="right"/>
    </xf>
    <xf numFmtId="0" fontId="25" fillId="2" borderId="16" xfId="5" applyFont="1" applyFill="1" applyBorder="1" applyAlignment="1">
      <alignment horizontal="right"/>
    </xf>
    <xf numFmtId="164" fontId="31" fillId="2" borderId="8" xfId="2" applyNumberFormat="1" applyFont="1" applyFill="1" applyBorder="1" applyAlignment="1">
      <alignment horizontal="center" vertical="center"/>
    </xf>
    <xf numFmtId="164" fontId="33" fillId="2" borderId="8" xfId="0" applyNumberFormat="1" applyFont="1" applyFill="1" applyBorder="1"/>
    <xf numFmtId="164" fontId="32" fillId="2" borderId="22" xfId="2" applyNumberFormat="1" applyFont="1" applyFill="1" applyBorder="1" applyAlignment="1">
      <alignment vertical="center"/>
    </xf>
    <xf numFmtId="164" fontId="34" fillId="2" borderId="8" xfId="0" applyNumberFormat="1" applyFont="1" applyFill="1" applyBorder="1"/>
    <xf numFmtId="164" fontId="33" fillId="2" borderId="0" xfId="0" applyNumberFormat="1" applyFont="1" applyFill="1"/>
    <xf numFmtId="164" fontId="1" fillId="2" borderId="0" xfId="0" applyNumberFormat="1" applyFont="1" applyFill="1" applyAlignment="1">
      <alignment horizontal="center" vertical="center"/>
    </xf>
    <xf numFmtId="164" fontId="16" fillId="2" borderId="26" xfId="2" applyNumberFormat="1" applyFont="1" applyFill="1" applyBorder="1" applyAlignment="1">
      <alignment vertical="center" wrapText="1"/>
    </xf>
    <xf numFmtId="164" fontId="1" fillId="2" borderId="0" xfId="0" applyNumberFormat="1" applyFont="1" applyFill="1" applyBorder="1" applyAlignment="1">
      <alignment horizontal="center" vertical="center"/>
    </xf>
    <xf numFmtId="3" fontId="11" fillId="3" borderId="1" xfId="2" applyNumberFormat="1" applyFont="1" applyFill="1" applyBorder="1" applyAlignment="1">
      <alignment horizontal="right" vertical="center"/>
    </xf>
    <xf numFmtId="3" fontId="11" fillId="3" borderId="1" xfId="3" applyNumberFormat="1" applyFont="1" applyFill="1" applyBorder="1" applyAlignment="1">
      <alignment horizontal="right" vertical="center"/>
    </xf>
    <xf numFmtId="3" fontId="11" fillId="3" borderId="0" xfId="2" applyNumberFormat="1" applyFont="1" applyFill="1" applyBorder="1" applyAlignment="1">
      <alignment horizontal="right" vertical="center"/>
    </xf>
    <xf numFmtId="3" fontId="11" fillId="3" borderId="5" xfId="2" applyNumberFormat="1" applyFont="1" applyFill="1" applyBorder="1" applyAlignment="1">
      <alignment horizontal="right" vertical="center"/>
    </xf>
    <xf numFmtId="3" fontId="11" fillId="3" borderId="5" xfId="3" applyNumberFormat="1" applyFont="1" applyFill="1" applyBorder="1" applyAlignment="1">
      <alignment horizontal="right" vertical="center"/>
    </xf>
    <xf numFmtId="3" fontId="11" fillId="3" borderId="42" xfId="2" applyNumberFormat="1" applyFont="1" applyFill="1" applyBorder="1" applyAlignment="1">
      <alignment horizontal="right" vertical="center"/>
    </xf>
    <xf numFmtId="164" fontId="32" fillId="2" borderId="8" xfId="2" applyNumberFormat="1" applyFont="1" applyFill="1" applyBorder="1" applyAlignment="1">
      <alignment horizontal="center" vertical="center"/>
    </xf>
    <xf numFmtId="164" fontId="16" fillId="2" borderId="0" xfId="2" applyNumberFormat="1" applyFont="1" applyFill="1" applyBorder="1" applyAlignment="1">
      <alignment horizontal="center" vertical="center" wrapText="1"/>
    </xf>
    <xf numFmtId="0" fontId="0" fillId="2" borderId="0" xfId="0" applyFill="1"/>
    <xf numFmtId="0" fontId="36" fillId="2" borderId="0" xfId="13" applyFill="1"/>
    <xf numFmtId="0" fontId="38" fillId="2" borderId="0" xfId="13" applyFont="1" applyFill="1"/>
    <xf numFmtId="2" fontId="37" fillId="2" borderId="0" xfId="13" applyNumberFormat="1" applyFont="1" applyFill="1"/>
    <xf numFmtId="0" fontId="37" fillId="2" borderId="0" xfId="13" applyFont="1" applyFill="1"/>
    <xf numFmtId="165" fontId="5" fillId="2" borderId="8" xfId="1" applyNumberFormat="1" applyFont="1" applyFill="1" applyBorder="1"/>
    <xf numFmtId="0" fontId="38" fillId="2" borderId="42" xfId="13" applyFont="1" applyFill="1" applyBorder="1" applyAlignment="1">
      <alignment horizontal="right"/>
    </xf>
    <xf numFmtId="37" fontId="38" fillId="2" borderId="8" xfId="1" applyNumberFormat="1" applyFont="1" applyFill="1" applyBorder="1" applyAlignment="1">
      <alignment horizontal="right"/>
    </xf>
    <xf numFmtId="37" fontId="37" fillId="2" borderId="0" xfId="1" applyNumberFormat="1" applyFont="1" applyFill="1" applyAlignment="1">
      <alignment horizontal="right"/>
    </xf>
    <xf numFmtId="0" fontId="38" fillId="2" borderId="20" xfId="13" applyFont="1" applyFill="1" applyBorder="1" applyAlignment="1">
      <alignment horizontal="right"/>
    </xf>
    <xf numFmtId="0" fontId="38" fillId="2" borderId="29" xfId="13" applyFont="1" applyFill="1" applyBorder="1" applyAlignment="1">
      <alignment horizontal="right"/>
    </xf>
    <xf numFmtId="37" fontId="38" fillId="2" borderId="19" xfId="1" applyNumberFormat="1" applyFont="1" applyFill="1" applyBorder="1" applyAlignment="1">
      <alignment horizontal="right"/>
    </xf>
    <xf numFmtId="37" fontId="38" fillId="2" borderId="25" xfId="1" applyNumberFormat="1" applyFont="1" applyFill="1" applyBorder="1" applyAlignment="1">
      <alignment horizontal="right"/>
    </xf>
    <xf numFmtId="37" fontId="37" fillId="2" borderId="18" xfId="1" applyNumberFormat="1" applyFont="1" applyFill="1" applyBorder="1" applyAlignment="1">
      <alignment horizontal="right"/>
    </xf>
    <xf numFmtId="37" fontId="37" fillId="2" borderId="11" xfId="1" applyNumberFormat="1" applyFont="1" applyFill="1" applyBorder="1" applyAlignment="1">
      <alignment horizontal="right"/>
    </xf>
    <xf numFmtId="37" fontId="36" fillId="2" borderId="0" xfId="1" applyNumberFormat="1" applyFont="1" applyFill="1"/>
    <xf numFmtId="37" fontId="37" fillId="2" borderId="18" xfId="1" applyNumberFormat="1" applyFont="1" applyFill="1" applyBorder="1"/>
    <xf numFmtId="37" fontId="37" fillId="2" borderId="11" xfId="1" applyNumberFormat="1" applyFont="1" applyFill="1" applyBorder="1"/>
    <xf numFmtId="37" fontId="37" fillId="2" borderId="0" xfId="1" applyNumberFormat="1" applyFont="1" applyFill="1"/>
    <xf numFmtId="164" fontId="26" fillId="2" borderId="0" xfId="2" applyNumberFormat="1" applyFont="1" applyFill="1" applyBorder="1" applyAlignment="1">
      <alignment vertical="center"/>
    </xf>
    <xf numFmtId="164" fontId="39" fillId="2" borderId="21" xfId="2" applyNumberFormat="1" applyFont="1" applyFill="1" applyBorder="1" applyAlignment="1">
      <alignment horizontal="left" vertical="center"/>
    </xf>
    <xf numFmtId="164" fontId="39" fillId="2" borderId="22" xfId="2" applyNumberFormat="1" applyFont="1" applyFill="1" applyBorder="1" applyAlignment="1">
      <alignment vertical="center"/>
    </xf>
    <xf numFmtId="164" fontId="29" fillId="2" borderId="22" xfId="2" applyNumberFormat="1" applyFont="1" applyFill="1" applyBorder="1" applyAlignment="1">
      <alignment vertical="center"/>
    </xf>
    <xf numFmtId="164" fontId="22" fillId="2" borderId="1" xfId="2" applyNumberFormat="1" applyFont="1" applyFill="1" applyBorder="1" applyAlignment="1">
      <alignment horizontal="center" vertical="center"/>
    </xf>
    <xf numFmtId="164" fontId="22" fillId="2" borderId="26" xfId="2" applyNumberFormat="1" applyFont="1" applyFill="1" applyBorder="1" applyAlignment="1">
      <alignment vertical="center" wrapText="1"/>
    </xf>
    <xf numFmtId="164" fontId="23" fillId="2" borderId="5" xfId="2" applyNumberFormat="1" applyFont="1" applyFill="1" applyBorder="1" applyAlignment="1">
      <alignment horizontal="left" vertical="center"/>
    </xf>
    <xf numFmtId="0" fontId="40" fillId="2" borderId="30" xfId="2" applyNumberFormat="1" applyFont="1" applyFill="1" applyBorder="1" applyAlignment="1">
      <alignment horizontal="center" vertical="center"/>
    </xf>
    <xf numFmtId="0" fontId="40" fillId="2" borderId="31" xfId="2" applyNumberFormat="1" applyFont="1" applyFill="1" applyBorder="1" applyAlignment="1">
      <alignment horizontal="center" vertical="center"/>
    </xf>
    <xf numFmtId="0" fontId="40" fillId="2" borderId="32" xfId="2" applyNumberFormat="1" applyFont="1" applyFill="1" applyBorder="1" applyAlignment="1">
      <alignment horizontal="center" vertical="center"/>
    </xf>
    <xf numFmtId="0" fontId="40" fillId="2" borderId="33" xfId="2" applyNumberFormat="1" applyFont="1" applyFill="1" applyBorder="1" applyAlignment="1">
      <alignment horizontal="center" vertical="center"/>
    </xf>
    <xf numFmtId="0" fontId="40" fillId="2" borderId="34" xfId="2" applyNumberFormat="1" applyFont="1" applyFill="1" applyBorder="1" applyAlignment="1">
      <alignment horizontal="center" vertical="center"/>
    </xf>
    <xf numFmtId="0" fontId="40" fillId="2" borderId="35" xfId="2" applyNumberFormat="1" applyFont="1" applyFill="1" applyBorder="1" applyAlignment="1">
      <alignment horizontal="center" vertical="center"/>
    </xf>
    <xf numFmtId="0" fontId="40" fillId="2" borderId="42" xfId="2" applyNumberFormat="1" applyFont="1" applyFill="1" applyBorder="1" applyAlignment="1">
      <alignment horizontal="center" vertical="center"/>
    </xf>
    <xf numFmtId="0" fontId="40" fillId="2" borderId="36" xfId="2" applyNumberFormat="1" applyFont="1" applyFill="1" applyBorder="1" applyAlignment="1">
      <alignment horizontal="center" vertical="center"/>
    </xf>
    <xf numFmtId="164" fontId="28" fillId="2" borderId="0" xfId="2" applyNumberFormat="1" applyFont="1" applyFill="1" applyBorder="1" applyAlignment="1">
      <alignment horizontal="center" vertical="center"/>
    </xf>
    <xf numFmtId="0" fontId="38" fillId="2" borderId="0" xfId="13" applyFont="1" applyFill="1" applyAlignment="1">
      <alignment horizontal="center"/>
    </xf>
    <xf numFmtId="164" fontId="24" fillId="2" borderId="1" xfId="2" applyNumberFormat="1" applyFont="1" applyFill="1" applyBorder="1" applyAlignment="1" applyProtection="1">
      <alignment horizontal="left" vertical="center" indent="1"/>
    </xf>
    <xf numFmtId="164" fontId="24" fillId="2" borderId="5" xfId="2" applyNumberFormat="1" applyFont="1" applyFill="1" applyBorder="1" applyAlignment="1" applyProtection="1">
      <alignment horizontal="left" vertical="center" indent="1"/>
    </xf>
    <xf numFmtId="37" fontId="37" fillId="2" borderId="42" xfId="1" applyNumberFormat="1" applyFont="1" applyFill="1" applyBorder="1" applyAlignment="1">
      <alignment horizontal="right"/>
    </xf>
    <xf numFmtId="37" fontId="37" fillId="2" borderId="20" xfId="1" applyNumberFormat="1" applyFont="1" applyFill="1" applyBorder="1" applyAlignment="1">
      <alignment horizontal="right"/>
    </xf>
    <xf numFmtId="37" fontId="37" fillId="2" borderId="29" xfId="1" applyNumberFormat="1" applyFont="1" applyFill="1" applyBorder="1" applyAlignment="1">
      <alignment horizontal="right"/>
    </xf>
    <xf numFmtId="0" fontId="36" fillId="4" borderId="0" xfId="13" applyFill="1"/>
    <xf numFmtId="0" fontId="37" fillId="4" borderId="0" xfId="13" applyFont="1" applyFill="1"/>
    <xf numFmtId="0" fontId="38" fillId="2" borderId="0" xfId="13" applyFont="1" applyFill="1" applyBorder="1" applyAlignment="1">
      <alignment horizontal="center" vertical="center"/>
    </xf>
    <xf numFmtId="0" fontId="38" fillId="2" borderId="0" xfId="13" applyFont="1" applyFill="1" applyBorder="1" applyAlignment="1">
      <alignment horizontal="right"/>
    </xf>
    <xf numFmtId="37" fontId="38" fillId="2" borderId="0" xfId="1" applyNumberFormat="1" applyFont="1" applyFill="1" applyBorder="1" applyAlignment="1">
      <alignment horizontal="right"/>
    </xf>
    <xf numFmtId="37" fontId="37" fillId="2" borderId="0" xfId="1" applyNumberFormat="1" applyFont="1" applyFill="1" applyBorder="1" applyAlignment="1">
      <alignment horizontal="right"/>
    </xf>
    <xf numFmtId="164" fontId="28" fillId="2" borderId="0" xfId="2" applyNumberFormat="1" applyFont="1" applyFill="1" applyBorder="1" applyAlignment="1">
      <alignment horizontal="center" vertical="center"/>
    </xf>
    <xf numFmtId="0" fontId="25" fillId="2" borderId="12" xfId="5" applyFont="1" applyFill="1" applyBorder="1" applyAlignment="1">
      <alignment horizontal="right" vertical="center"/>
    </xf>
    <xf numFmtId="0" fontId="25" fillId="2" borderId="14" xfId="5" applyFont="1" applyFill="1" applyBorder="1" applyAlignment="1">
      <alignment horizontal="right" vertical="center"/>
    </xf>
    <xf numFmtId="0" fontId="25" fillId="2" borderId="15" xfId="5" applyFont="1" applyFill="1" applyBorder="1" applyAlignment="1">
      <alignment horizontal="right" vertical="center"/>
    </xf>
    <xf numFmtId="164" fontId="22" fillId="2" borderId="6" xfId="2" applyNumberFormat="1" applyFont="1" applyFill="1" applyBorder="1" applyAlignment="1">
      <alignment horizontal="center" vertical="center" wrapText="1"/>
    </xf>
    <xf numFmtId="164" fontId="22" fillId="2" borderId="26" xfId="2" applyNumberFormat="1" applyFont="1" applyFill="1" applyBorder="1" applyAlignment="1">
      <alignment horizontal="center" vertical="center" wrapText="1"/>
    </xf>
    <xf numFmtId="164" fontId="22" fillId="2" borderId="27" xfId="2" applyNumberFormat="1" applyFont="1" applyFill="1" applyBorder="1" applyAlignment="1">
      <alignment horizontal="center" vertical="center" wrapText="1"/>
    </xf>
    <xf numFmtId="164" fontId="22" fillId="2" borderId="18" xfId="2" applyNumberFormat="1" applyFont="1" applyFill="1" applyBorder="1" applyAlignment="1">
      <alignment horizontal="center" vertical="center" wrapText="1"/>
    </xf>
    <xf numFmtId="164" fontId="22" fillId="2" borderId="0" xfId="2" applyNumberFormat="1" applyFont="1" applyFill="1" applyBorder="1" applyAlignment="1">
      <alignment horizontal="center" vertical="center" wrapText="1"/>
    </xf>
    <xf numFmtId="164" fontId="16" fillId="2" borderId="18" xfId="2" applyNumberFormat="1" applyFont="1" applyFill="1" applyBorder="1" applyAlignment="1">
      <alignment horizontal="center" vertical="center" wrapText="1"/>
    </xf>
    <xf numFmtId="164" fontId="16" fillId="2" borderId="0" xfId="2" applyNumberFormat="1" applyFont="1" applyFill="1" applyBorder="1" applyAlignment="1">
      <alignment horizontal="center" vertical="center" wrapText="1"/>
    </xf>
    <xf numFmtId="164" fontId="16" fillId="2" borderId="20" xfId="2" applyNumberFormat="1" applyFont="1" applyFill="1" applyBorder="1" applyAlignment="1">
      <alignment horizontal="center" vertical="center" wrapText="1"/>
    </xf>
    <xf numFmtId="164" fontId="16" fillId="2" borderId="42" xfId="2" applyNumberFormat="1" applyFont="1" applyFill="1" applyBorder="1" applyAlignment="1">
      <alignment horizontal="center" vertical="center" wrapText="1"/>
    </xf>
    <xf numFmtId="164" fontId="16" fillId="2" borderId="29" xfId="2" applyNumberFormat="1" applyFont="1" applyFill="1" applyBorder="1" applyAlignment="1">
      <alignment horizontal="center" vertical="center" wrapText="1"/>
    </xf>
    <xf numFmtId="164" fontId="16" fillId="2" borderId="28" xfId="2" applyNumberFormat="1" applyFont="1" applyFill="1" applyBorder="1" applyAlignment="1">
      <alignment horizontal="center" vertical="center" wrapText="1"/>
    </xf>
    <xf numFmtId="164" fontId="16" fillId="2" borderId="26" xfId="2" applyNumberFormat="1" applyFont="1" applyFill="1" applyBorder="1" applyAlignment="1">
      <alignment horizontal="center" vertical="center" wrapText="1"/>
    </xf>
    <xf numFmtId="164" fontId="16" fillId="2" borderId="27" xfId="2" applyNumberFormat="1" applyFont="1" applyFill="1" applyBorder="1" applyAlignment="1">
      <alignment horizontal="center" vertical="center" wrapText="1"/>
    </xf>
    <xf numFmtId="164" fontId="32" fillId="2" borderId="19" xfId="2" applyNumberFormat="1" applyFont="1" applyFill="1" applyBorder="1" applyAlignment="1">
      <alignment horizontal="center" vertical="center"/>
    </xf>
    <xf numFmtId="164" fontId="32" fillId="2" borderId="8" xfId="2" applyNumberFormat="1" applyFont="1" applyFill="1" applyBorder="1" applyAlignment="1">
      <alignment horizontal="center" vertical="center"/>
    </xf>
    <xf numFmtId="164" fontId="32" fillId="2" borderId="25" xfId="2" applyNumberFormat="1" applyFont="1" applyFill="1" applyBorder="1" applyAlignment="1">
      <alignment horizontal="center" vertical="center"/>
    </xf>
    <xf numFmtId="164" fontId="32" fillId="2" borderId="24" xfId="2" applyNumberFormat="1" applyFont="1" applyFill="1" applyBorder="1" applyAlignment="1">
      <alignment horizontal="center" vertical="center"/>
    </xf>
    <xf numFmtId="164" fontId="32" fillId="2" borderId="22" xfId="2" applyNumberFormat="1" applyFont="1" applyFill="1" applyBorder="1" applyAlignment="1">
      <alignment horizontal="center" vertical="center"/>
    </xf>
    <xf numFmtId="164" fontId="32" fillId="2" borderId="23" xfId="2" applyNumberFormat="1" applyFont="1" applyFill="1" applyBorder="1" applyAlignment="1">
      <alignment horizontal="center" vertical="center"/>
    </xf>
    <xf numFmtId="164" fontId="9" fillId="2" borderId="21" xfId="2" applyNumberFormat="1" applyFont="1" applyFill="1" applyBorder="1" applyAlignment="1">
      <alignment horizontal="left" vertical="center"/>
    </xf>
    <xf numFmtId="164" fontId="9" fillId="2" borderId="1" xfId="2" applyNumberFormat="1" applyFont="1" applyFill="1" applyBorder="1" applyAlignment="1">
      <alignment horizontal="left" vertical="center"/>
    </xf>
    <xf numFmtId="164" fontId="9" fillId="2" borderId="5" xfId="2" applyNumberFormat="1" applyFont="1" applyFill="1" applyBorder="1" applyAlignment="1">
      <alignment horizontal="left" vertical="center"/>
    </xf>
    <xf numFmtId="164" fontId="29" fillId="2" borderId="13" xfId="2" applyNumberFormat="1" applyFont="1" applyFill="1" applyBorder="1" applyAlignment="1">
      <alignment horizontal="center" vertical="center"/>
    </xf>
    <xf numFmtId="164" fontId="29" fillId="2" borderId="22" xfId="2" applyNumberFormat="1" applyFont="1" applyFill="1" applyBorder="1" applyAlignment="1">
      <alignment horizontal="center" vertical="center"/>
    </xf>
    <xf numFmtId="164" fontId="29" fillId="2" borderId="23" xfId="2" applyNumberFormat="1" applyFont="1" applyFill="1" applyBorder="1" applyAlignment="1">
      <alignment horizontal="center" vertical="center"/>
    </xf>
    <xf numFmtId="164" fontId="29" fillId="2" borderId="19" xfId="2" applyNumberFormat="1" applyFont="1" applyFill="1" applyBorder="1" applyAlignment="1">
      <alignment horizontal="center" vertical="center"/>
    </xf>
    <xf numFmtId="164" fontId="29" fillId="2" borderId="8" xfId="2" applyNumberFormat="1" applyFont="1" applyFill="1" applyBorder="1" applyAlignment="1">
      <alignment horizontal="center" vertical="center"/>
    </xf>
    <xf numFmtId="164" fontId="26" fillId="2" borderId="0" xfId="2" applyNumberFormat="1" applyFont="1" applyFill="1" applyBorder="1" applyAlignment="1">
      <alignment horizontal="center" vertical="center"/>
    </xf>
    <xf numFmtId="164" fontId="3" fillId="2" borderId="0" xfId="2" applyNumberFormat="1" applyFont="1" applyFill="1" applyBorder="1" applyAlignment="1">
      <alignment horizontal="center" vertical="center"/>
    </xf>
    <xf numFmtId="164" fontId="9" fillId="2" borderId="8" xfId="2" applyNumberFormat="1" applyFont="1" applyFill="1" applyBorder="1" applyAlignment="1">
      <alignment horizontal="left" vertical="center"/>
    </xf>
    <xf numFmtId="164" fontId="9" fillId="2" borderId="0" xfId="2" applyNumberFormat="1" applyFont="1" applyFill="1" applyBorder="1" applyAlignment="1">
      <alignment horizontal="left" vertical="center"/>
    </xf>
    <xf numFmtId="164" fontId="9" fillId="2" borderId="42" xfId="2" applyNumberFormat="1" applyFont="1" applyFill="1" applyBorder="1" applyAlignment="1">
      <alignment horizontal="left" vertical="center"/>
    </xf>
    <xf numFmtId="164" fontId="31" fillId="2" borderId="8" xfId="2" applyNumberFormat="1" applyFont="1" applyFill="1" applyBorder="1" applyAlignment="1">
      <alignment horizontal="center" vertical="center"/>
    </xf>
    <xf numFmtId="164" fontId="18" fillId="2" borderId="42" xfId="2" applyNumberFormat="1" applyFont="1" applyFill="1" applyBorder="1" applyAlignment="1">
      <alignment horizontal="center" vertical="center" wrapText="1"/>
    </xf>
    <xf numFmtId="164" fontId="25" fillId="2" borderId="8" xfId="2" applyNumberFormat="1" applyFont="1" applyFill="1" applyBorder="1" applyAlignment="1">
      <alignment horizontal="right" vertical="center"/>
    </xf>
    <xf numFmtId="164" fontId="25" fillId="2" borderId="0" xfId="2" applyNumberFormat="1" applyFont="1" applyFill="1" applyBorder="1" applyAlignment="1">
      <alignment horizontal="right" vertical="center"/>
    </xf>
    <xf numFmtId="164" fontId="25" fillId="2" borderId="42" xfId="2" applyNumberFormat="1" applyFont="1" applyFill="1" applyBorder="1" applyAlignment="1">
      <alignment horizontal="right" vertical="center"/>
    </xf>
    <xf numFmtId="0" fontId="38" fillId="2" borderId="9" xfId="13" applyFont="1" applyFill="1" applyBorder="1" applyAlignment="1">
      <alignment horizontal="center" vertical="center"/>
    </xf>
    <xf numFmtId="0" fontId="38" fillId="2" borderId="17" xfId="13" applyFont="1" applyFill="1" applyBorder="1" applyAlignment="1">
      <alignment horizontal="center" vertical="center"/>
    </xf>
    <xf numFmtId="0" fontId="38" fillId="2" borderId="10" xfId="13" applyFont="1" applyFill="1" applyBorder="1" applyAlignment="1">
      <alignment horizontal="center" vertical="center"/>
    </xf>
    <xf numFmtId="0" fontId="38" fillId="2" borderId="0" xfId="13" applyFont="1" applyFill="1" applyAlignment="1">
      <alignment horizontal="center"/>
    </xf>
    <xf numFmtId="0" fontId="38" fillId="2" borderId="8" xfId="13" applyFont="1" applyFill="1" applyBorder="1" applyAlignment="1">
      <alignment horizontal="center" vertical="center"/>
    </xf>
    <xf numFmtId="0" fontId="38" fillId="2" borderId="42" xfId="13" applyFont="1" applyFill="1" applyBorder="1" applyAlignment="1">
      <alignment horizontal="center" vertical="center"/>
    </xf>
    <xf numFmtId="0" fontId="38" fillId="2" borderId="8" xfId="13" applyFont="1" applyFill="1" applyBorder="1" applyAlignment="1">
      <alignment horizontal="right" vertical="center" wrapText="1"/>
    </xf>
    <xf numFmtId="0" fontId="38" fillId="2" borderId="42" xfId="13" applyFont="1" applyFill="1" applyBorder="1" applyAlignment="1">
      <alignment horizontal="right" vertical="center" wrapText="1"/>
    </xf>
  </cellXfs>
  <cellStyles count="16">
    <cellStyle name="1" xfId="15"/>
    <cellStyle name="Comma" xfId="1" builtinId="3"/>
    <cellStyle name="Comma 2" xfId="3"/>
    <cellStyle name="Comma 3" xfId="14"/>
    <cellStyle name="Comma 4" xfId="8"/>
    <cellStyle name="Hyperlink 2" xfId="9"/>
    <cellStyle name="Normal" xfId="0" builtinId="0"/>
    <cellStyle name="Normal 2" xfId="2"/>
    <cellStyle name="Normal 2 3" xfId="11"/>
    <cellStyle name="Normal 3" xfId="6"/>
    <cellStyle name="Normal 3 2" xfId="12"/>
    <cellStyle name="Normal 4" xfId="7"/>
    <cellStyle name="Normal 5" xfId="10"/>
    <cellStyle name="Normal 6" xfId="13"/>
    <cellStyle name="Normal_IX-6(Trans &amp; Comm)" xfId="4"/>
    <cellStyle name="Normal_X-5 (Electricity)" xfId="5"/>
  </cellStyles>
  <dxfs count="0"/>
  <tableStyles count="0" defaultTableStyle="TableStyleMedium2" defaultPivotStyle="PivotStyleLight16"/>
  <colors>
    <mruColors>
      <color rgb="FFFF9900"/>
      <color rgb="FF249390"/>
      <color rgb="FF33CCCC"/>
      <color rgb="FFEAFAFA"/>
      <color rgb="FF196563"/>
      <color rgb="FFCF9F6F"/>
      <color rgb="FF996633"/>
      <color rgb="FFC28446"/>
      <color rgb="FF663300"/>
      <color rgb="FFE4C9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11.10: Passanger movement at Domestic airports, 2019</a:t>
            </a:r>
          </a:p>
        </c:rich>
      </c:tx>
      <c:layout>
        <c:manualLayout>
          <c:xMode val="edge"/>
          <c:yMode val="edge"/>
          <c:x val="0.26093412785515935"/>
          <c:y val="4.36760934392445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035039001789891E-2"/>
          <c:y val="0.15175900044906082"/>
          <c:w val="0.89363709798202262"/>
          <c:h val="0.73053875967374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'11.15'!$AP$21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rgbClr val="9A4D00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'11.15'!$AP$22:$AP$30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F-4A8D-B6BC-32BD3BA19818}"/>
            </c:ext>
          </c:extLst>
        </c:ser>
        <c:ser>
          <c:idx val="1"/>
          <c:order val="1"/>
          <c:tx>
            <c:strRef>
              <c:f>'11.15'!$AQ$21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'11.15'!$AQ$22:$AQ$30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F-4A8D-B6BC-32BD3BA1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81960"/>
        <c:axId val="412978432"/>
      </c:barChart>
      <c:catAx>
        <c:axId val="412981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12978432"/>
        <c:crosses val="autoZero"/>
        <c:auto val="1"/>
        <c:lblAlgn val="ctr"/>
        <c:lblOffset val="100"/>
        <c:noMultiLvlLbl val="0"/>
      </c:catAx>
      <c:valAx>
        <c:axId val="4129784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7.1291299536675387E-3"/>
              <c:y val="0.3557682846174902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4129819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486452562396716"/>
          <c:y val="0.227916852781404"/>
          <c:w val="0.14073558596968916"/>
          <c:h val="9.5300486094918216E-2"/>
        </c:manualLayout>
      </c:layout>
      <c:overlay val="1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21</xdr:row>
      <xdr:rowOff>0</xdr:rowOff>
    </xdr:from>
    <xdr:to>
      <xdr:col>22</xdr:col>
      <xdr:colOff>581025</xdr:colOff>
      <xdr:row>37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TRANSPORT%20&amp;%20COMMUNICATION%20-%20Civil%20Avi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"/>
      <sheetName val="11.17, 11.18 &amp;11.19"/>
      <sheetName val="11.20 &amp; 11.21"/>
      <sheetName val="11.22 &amp; 11.23"/>
      <sheetName val="11.24 &amp; 11.25"/>
    </sheetNames>
    <sheetDataSet>
      <sheetData sheetId="0"/>
      <sheetData sheetId="1"/>
      <sheetData sheetId="2">
        <row r="5">
          <cell r="B5" t="str">
            <v>International Flights</v>
          </cell>
        </row>
        <row r="6">
          <cell r="B6" t="str">
            <v>Arrival</v>
          </cell>
          <cell r="C6" t="str">
            <v>Departure</v>
          </cell>
          <cell r="D6" t="str">
            <v>Arrival</v>
          </cell>
          <cell r="E6" t="str">
            <v>Departure</v>
          </cell>
        </row>
        <row r="8">
          <cell r="A8" t="str">
            <v>January</v>
          </cell>
          <cell r="B8">
            <v>176608</v>
          </cell>
          <cell r="C8">
            <v>171359</v>
          </cell>
          <cell r="D8">
            <v>100248</v>
          </cell>
          <cell r="E8">
            <v>94294</v>
          </cell>
        </row>
        <row r="9">
          <cell r="A9" t="str">
            <v>February</v>
          </cell>
          <cell r="B9">
            <v>163541</v>
          </cell>
          <cell r="C9">
            <v>164620</v>
          </cell>
          <cell r="D9">
            <v>94774</v>
          </cell>
          <cell r="E9">
            <v>95166</v>
          </cell>
        </row>
        <row r="10">
          <cell r="A10" t="str">
            <v>March</v>
          </cell>
          <cell r="B10">
            <v>160259</v>
          </cell>
          <cell r="C10">
            <v>160415</v>
          </cell>
          <cell r="D10">
            <v>91796</v>
          </cell>
          <cell r="E10">
            <v>92842</v>
          </cell>
        </row>
        <row r="11">
          <cell r="A11" t="str">
            <v>April</v>
          </cell>
          <cell r="B11">
            <v>146459</v>
          </cell>
          <cell r="C11">
            <v>150877</v>
          </cell>
          <cell r="D11">
            <v>84640</v>
          </cell>
          <cell r="E11">
            <v>81740</v>
          </cell>
        </row>
        <row r="12">
          <cell r="A12" t="str">
            <v>May</v>
          </cell>
          <cell r="B12">
            <v>115413</v>
          </cell>
          <cell r="C12">
            <v>125457</v>
          </cell>
          <cell r="D12">
            <v>69951</v>
          </cell>
          <cell r="E12">
            <v>66606</v>
          </cell>
        </row>
        <row r="13">
          <cell r="A13" t="str">
            <v>June</v>
          </cell>
          <cell r="B13">
            <v>117702</v>
          </cell>
          <cell r="C13">
            <v>112218</v>
          </cell>
          <cell r="D13">
            <v>69442</v>
          </cell>
          <cell r="E13">
            <v>71382</v>
          </cell>
        </row>
        <row r="14">
          <cell r="A14" t="str">
            <v>July</v>
          </cell>
          <cell r="B14">
            <v>149505</v>
          </cell>
          <cell r="C14">
            <v>141188</v>
          </cell>
          <cell r="D14">
            <v>84244</v>
          </cell>
          <cell r="E14">
            <v>86831</v>
          </cell>
        </row>
        <row r="15">
          <cell r="A15" t="str">
            <v>August</v>
          </cell>
          <cell r="B15">
            <v>150842</v>
          </cell>
          <cell r="C15">
            <v>159725</v>
          </cell>
          <cell r="D15">
            <v>98729</v>
          </cell>
          <cell r="E15">
            <v>95383</v>
          </cell>
        </row>
        <row r="16">
          <cell r="A16" t="str">
            <v>September</v>
          </cell>
          <cell r="B16">
            <v>132459</v>
          </cell>
          <cell r="C16">
            <v>124019</v>
          </cell>
          <cell r="D16">
            <v>78698</v>
          </cell>
          <cell r="E16">
            <v>81579</v>
          </cell>
        </row>
        <row r="17">
          <cell r="A17" t="str">
            <v>October</v>
          </cell>
          <cell r="B17">
            <v>153081</v>
          </cell>
          <cell r="C17">
            <v>144251</v>
          </cell>
          <cell r="D17">
            <v>86499</v>
          </cell>
          <cell r="E17">
            <v>89081</v>
          </cell>
        </row>
        <row r="18">
          <cell r="A18" t="str">
            <v>November</v>
          </cell>
          <cell r="B18">
            <v>152499</v>
          </cell>
          <cell r="C18">
            <v>159675</v>
          </cell>
          <cell r="D18">
            <v>92303</v>
          </cell>
          <cell r="E18">
            <v>89172</v>
          </cell>
        </row>
        <row r="19">
          <cell r="A19" t="str">
            <v>December</v>
          </cell>
          <cell r="B19">
            <v>193540</v>
          </cell>
          <cell r="C19">
            <v>175261</v>
          </cell>
          <cell r="D19">
            <v>97716</v>
          </cell>
          <cell r="E19">
            <v>109769</v>
          </cell>
        </row>
      </sheetData>
      <sheetData sheetId="3">
        <row r="21">
          <cell r="AP21" t="str">
            <v>In</v>
          </cell>
        </row>
      </sheetData>
      <sheetData sheetId="4"/>
      <sheetData sheetId="5">
        <row r="65">
          <cell r="AA65" t="str">
            <v>Scheduled</v>
          </cell>
          <cell r="AB65" t="str">
            <v>Chartered</v>
          </cell>
          <cell r="AC65" t="str">
            <v>Non-Scheduled</v>
          </cell>
        </row>
        <row r="66">
          <cell r="Z66" t="str">
            <v>Jan</v>
          </cell>
          <cell r="AA66">
            <v>2116</v>
          </cell>
          <cell r="AB66">
            <v>0</v>
          </cell>
          <cell r="AC66">
            <v>320</v>
          </cell>
        </row>
        <row r="67">
          <cell r="Z67" t="str">
            <v>Feb</v>
          </cell>
          <cell r="AA67">
            <v>1980</v>
          </cell>
          <cell r="AB67">
            <v>0</v>
          </cell>
          <cell r="AC67">
            <v>162</v>
          </cell>
        </row>
        <row r="68">
          <cell r="Z68" t="str">
            <v>March</v>
          </cell>
          <cell r="AA68">
            <v>1938</v>
          </cell>
          <cell r="AB68">
            <v>0</v>
          </cell>
          <cell r="AC68">
            <v>140</v>
          </cell>
        </row>
        <row r="69">
          <cell r="Z69" t="str">
            <v>April</v>
          </cell>
          <cell r="AA69">
            <v>1726</v>
          </cell>
          <cell r="AB69">
            <v>0</v>
          </cell>
          <cell r="AC69">
            <v>192</v>
          </cell>
        </row>
        <row r="70">
          <cell r="Z70" t="str">
            <v>May</v>
          </cell>
          <cell r="AA70">
            <v>1614</v>
          </cell>
          <cell r="AB70">
            <v>0</v>
          </cell>
          <cell r="AC70">
            <v>96</v>
          </cell>
        </row>
        <row r="71">
          <cell r="Z71" t="str">
            <v>June</v>
          </cell>
          <cell r="AA71">
            <v>1612</v>
          </cell>
          <cell r="AB71">
            <v>0</v>
          </cell>
          <cell r="AC71">
            <v>48</v>
          </cell>
        </row>
        <row r="72">
          <cell r="Z72" t="str">
            <v>July</v>
          </cell>
          <cell r="AA72">
            <v>1732</v>
          </cell>
          <cell r="AB72">
            <v>0</v>
          </cell>
          <cell r="AC72">
            <v>72</v>
          </cell>
        </row>
        <row r="73">
          <cell r="Z73" t="str">
            <v>Aug</v>
          </cell>
          <cell r="AA73">
            <v>1666</v>
          </cell>
          <cell r="AB73">
            <v>0</v>
          </cell>
          <cell r="AC73">
            <v>58</v>
          </cell>
        </row>
        <row r="74">
          <cell r="Z74" t="str">
            <v>Sep</v>
          </cell>
          <cell r="AA74">
            <v>1618</v>
          </cell>
          <cell r="AB74">
            <v>0</v>
          </cell>
          <cell r="AC74">
            <v>34</v>
          </cell>
        </row>
        <row r="75">
          <cell r="Z75" t="str">
            <v>Oct</v>
          </cell>
          <cell r="AA75">
            <v>1856</v>
          </cell>
          <cell r="AB75">
            <v>0</v>
          </cell>
          <cell r="AC75">
            <v>20</v>
          </cell>
        </row>
        <row r="76">
          <cell r="Z76" t="str">
            <v>Nov</v>
          </cell>
          <cell r="AA76">
            <v>2132</v>
          </cell>
          <cell r="AB76">
            <v>0</v>
          </cell>
          <cell r="AC76">
            <v>154</v>
          </cell>
        </row>
        <row r="77">
          <cell r="Z77" t="str">
            <v>Dec</v>
          </cell>
          <cell r="AA77">
            <v>2290</v>
          </cell>
          <cell r="AB77">
            <v>0</v>
          </cell>
          <cell r="AC77">
            <v>244</v>
          </cell>
        </row>
        <row r="81">
          <cell r="AA81" t="str">
            <v>Scheduled</v>
          </cell>
          <cell r="AB81" t="str">
            <v>Non-Scheduled</v>
          </cell>
        </row>
        <row r="82">
          <cell r="Z82" t="str">
            <v>Jan</v>
          </cell>
          <cell r="AA82">
            <v>2690</v>
          </cell>
          <cell r="AB82">
            <v>9909</v>
          </cell>
        </row>
        <row r="83">
          <cell r="Z83" t="str">
            <v>Feb</v>
          </cell>
          <cell r="AA83">
            <v>2652</v>
          </cell>
          <cell r="AB83">
            <v>9985</v>
          </cell>
        </row>
        <row r="84">
          <cell r="Z84" t="str">
            <v>March</v>
          </cell>
          <cell r="AA84">
            <v>2538</v>
          </cell>
          <cell r="AB84">
            <v>9718</v>
          </cell>
        </row>
        <row r="85">
          <cell r="Z85" t="str">
            <v>April</v>
          </cell>
          <cell r="AA85">
            <v>2388</v>
          </cell>
          <cell r="AB85">
            <v>8909</v>
          </cell>
        </row>
        <row r="86">
          <cell r="Z86" t="str">
            <v>May</v>
          </cell>
          <cell r="AA86">
            <v>2168</v>
          </cell>
          <cell r="AB86">
            <v>7032</v>
          </cell>
        </row>
        <row r="87">
          <cell r="Z87" t="str">
            <v>June</v>
          </cell>
          <cell r="AA87">
            <v>2230</v>
          </cell>
          <cell r="AB87">
            <v>6447</v>
          </cell>
        </row>
        <row r="88">
          <cell r="Z88" t="str">
            <v>July</v>
          </cell>
          <cell r="AA88">
            <v>2510</v>
          </cell>
          <cell r="AB88">
            <v>8181</v>
          </cell>
        </row>
        <row r="89">
          <cell r="Z89" t="str">
            <v>Aug</v>
          </cell>
          <cell r="AA89">
            <v>2890</v>
          </cell>
          <cell r="AB89">
            <v>8720</v>
          </cell>
        </row>
        <row r="90">
          <cell r="Z90" t="str">
            <v>Sep</v>
          </cell>
          <cell r="AA90">
            <v>2560</v>
          </cell>
          <cell r="AB90">
            <v>7030</v>
          </cell>
        </row>
        <row r="91">
          <cell r="Z91" t="str">
            <v>Oct</v>
          </cell>
          <cell r="AA91">
            <v>2504</v>
          </cell>
          <cell r="AB91">
            <v>9231</v>
          </cell>
        </row>
        <row r="92">
          <cell r="Z92" t="str">
            <v>Nov</v>
          </cell>
          <cell r="AA92">
            <v>2504</v>
          </cell>
          <cell r="AB92">
            <v>9299</v>
          </cell>
        </row>
        <row r="93">
          <cell r="Z93" t="str">
            <v>Dec</v>
          </cell>
          <cell r="AA93">
            <v>2710</v>
          </cell>
          <cell r="AB93">
            <v>10569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B60"/>
  <sheetViews>
    <sheetView zoomScaleNormal="100" workbookViewId="0">
      <selection activeCell="A2" sqref="A2:AB2"/>
    </sheetView>
  </sheetViews>
  <sheetFormatPr defaultColWidth="9.140625" defaultRowHeight="15"/>
  <cols>
    <col min="1" max="3" width="12.5703125" style="1" customWidth="1"/>
    <col min="4" max="4" width="2.42578125" style="1" customWidth="1"/>
    <col min="5" max="6" width="12.5703125" style="1" customWidth="1"/>
    <col min="7" max="7" width="2" style="1" customWidth="1"/>
    <col min="8" max="9" width="12.5703125" style="1" customWidth="1"/>
    <col min="10" max="10" width="2.28515625" style="1" customWidth="1"/>
    <col min="11" max="12" width="12.5703125" style="1" customWidth="1"/>
    <col min="13" max="13" width="2.28515625" style="1" customWidth="1"/>
    <col min="14" max="15" width="12.5703125" style="1" customWidth="1"/>
    <col min="16" max="16" width="1.28515625" style="1" customWidth="1"/>
    <col min="17" max="17" width="9.7109375" style="1" customWidth="1"/>
    <col min="18" max="18" width="11.140625" style="1" customWidth="1"/>
    <col min="19" max="19" width="1.28515625" style="1" customWidth="1"/>
    <col min="20" max="20" width="9.7109375" style="1" customWidth="1"/>
    <col min="21" max="21" width="11.140625" style="1" customWidth="1"/>
    <col min="22" max="22" width="1.28515625" style="1" customWidth="1"/>
    <col min="23" max="23" width="9.7109375" style="1" customWidth="1"/>
    <col min="24" max="24" width="11.140625" style="1" customWidth="1"/>
    <col min="25" max="25" width="1.28515625" style="1" customWidth="1"/>
    <col min="26" max="27" width="9.7109375" style="1" customWidth="1"/>
    <col min="28" max="28" width="13.7109375" style="1" customWidth="1"/>
    <col min="29" max="40" width="9.140625" style="1"/>
    <col min="41" max="41" width="25.7109375" style="1" customWidth="1"/>
    <col min="42" max="16384" width="9.140625" style="1"/>
  </cols>
  <sheetData>
    <row r="1" spans="1:29" ht="18">
      <c r="A1" s="157" t="s">
        <v>62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  <c r="W1" s="157"/>
      <c r="X1" s="157"/>
      <c r="Y1" s="157"/>
      <c r="Z1" s="157"/>
      <c r="AA1" s="157"/>
      <c r="AB1" s="157"/>
    </row>
    <row r="2" spans="1:29" ht="15.75">
      <c r="A2" s="158" t="s">
        <v>63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  <c r="Y2" s="158"/>
      <c r="Z2" s="158"/>
      <c r="AA2" s="158"/>
      <c r="AB2" s="158"/>
    </row>
    <row r="3" spans="1:29" s="2" customFormat="1"/>
    <row r="4" spans="1:29" s="9" customFormat="1" ht="19.5">
      <c r="A4" s="159" t="s">
        <v>8</v>
      </c>
      <c r="B4" s="162" t="s">
        <v>34</v>
      </c>
      <c r="C4" s="162"/>
      <c r="D4" s="63"/>
      <c r="E4" s="162" t="s">
        <v>35</v>
      </c>
      <c r="F4" s="162"/>
      <c r="G4" s="63"/>
      <c r="H4" s="162" t="s">
        <v>36</v>
      </c>
      <c r="I4" s="162"/>
      <c r="J4" s="63"/>
      <c r="K4" s="162" t="s">
        <v>37</v>
      </c>
      <c r="L4" s="162"/>
      <c r="M4" s="63"/>
      <c r="N4" s="162" t="s">
        <v>38</v>
      </c>
      <c r="O4" s="162"/>
      <c r="P4" s="63"/>
      <c r="Q4" s="162" t="s">
        <v>39</v>
      </c>
      <c r="R4" s="162"/>
      <c r="S4" s="63"/>
      <c r="T4" s="162" t="s">
        <v>40</v>
      </c>
      <c r="U4" s="162"/>
      <c r="V4" s="63"/>
      <c r="W4" s="162" t="s">
        <v>41</v>
      </c>
      <c r="X4" s="162"/>
      <c r="Y4" s="63"/>
      <c r="Z4" s="162" t="s">
        <v>42</v>
      </c>
      <c r="AA4" s="162"/>
      <c r="AB4" s="164" t="s">
        <v>9</v>
      </c>
    </row>
    <row r="5" spans="1:29" s="13" customFormat="1" ht="15" customHeight="1">
      <c r="A5" s="160"/>
      <c r="B5" s="163" t="s">
        <v>43</v>
      </c>
      <c r="C5" s="163"/>
      <c r="D5" s="12"/>
      <c r="E5" s="163" t="s">
        <v>44</v>
      </c>
      <c r="F5" s="163"/>
      <c r="G5" s="12"/>
      <c r="H5" s="163" t="s">
        <v>45</v>
      </c>
      <c r="I5" s="163"/>
      <c r="J5" s="12"/>
      <c r="K5" s="163" t="s">
        <v>46</v>
      </c>
      <c r="L5" s="163"/>
      <c r="M5" s="12"/>
      <c r="N5" s="163" t="s">
        <v>47</v>
      </c>
      <c r="O5" s="163"/>
      <c r="P5" s="12"/>
      <c r="Q5" s="163" t="s">
        <v>48</v>
      </c>
      <c r="R5" s="163"/>
      <c r="S5" s="12"/>
      <c r="T5" s="163" t="s">
        <v>49</v>
      </c>
      <c r="U5" s="163"/>
      <c r="V5" s="12"/>
      <c r="W5" s="163" t="s">
        <v>50</v>
      </c>
      <c r="X5" s="163"/>
      <c r="Y5" s="12"/>
      <c r="Z5" s="163" t="s">
        <v>51</v>
      </c>
      <c r="AA5" s="163"/>
      <c r="AB5" s="165"/>
      <c r="AC5" s="3"/>
    </row>
    <row r="6" spans="1:29" s="59" customFormat="1" ht="14.25">
      <c r="A6" s="160"/>
      <c r="B6" s="53" t="s">
        <v>0</v>
      </c>
      <c r="C6" s="53" t="s">
        <v>1</v>
      </c>
      <c r="D6" s="53"/>
      <c r="E6" s="53" t="s">
        <v>0</v>
      </c>
      <c r="F6" s="53" t="s">
        <v>1</v>
      </c>
      <c r="G6" s="53"/>
      <c r="H6" s="53" t="s">
        <v>0</v>
      </c>
      <c r="I6" s="53" t="s">
        <v>1</v>
      </c>
      <c r="J6" s="53"/>
      <c r="K6" s="53" t="s">
        <v>0</v>
      </c>
      <c r="L6" s="53" t="s">
        <v>1</v>
      </c>
      <c r="M6" s="53"/>
      <c r="N6" s="53" t="s">
        <v>0</v>
      </c>
      <c r="O6" s="53" t="s">
        <v>1</v>
      </c>
      <c r="P6" s="53"/>
      <c r="Q6" s="53" t="s">
        <v>0</v>
      </c>
      <c r="R6" s="53" t="s">
        <v>1</v>
      </c>
      <c r="S6" s="53"/>
      <c r="T6" s="53" t="s">
        <v>0</v>
      </c>
      <c r="U6" s="53" t="s">
        <v>1</v>
      </c>
      <c r="V6" s="53"/>
      <c r="W6" s="53" t="s">
        <v>0</v>
      </c>
      <c r="X6" s="53" t="s">
        <v>1</v>
      </c>
      <c r="Y6" s="53"/>
      <c r="Z6" s="53" t="s">
        <v>0</v>
      </c>
      <c r="AA6" s="53" t="s">
        <v>1</v>
      </c>
      <c r="AB6" s="165"/>
    </row>
    <row r="7" spans="1:29" s="13" customFormat="1" ht="14.25">
      <c r="A7" s="161"/>
      <c r="B7" s="55" t="s">
        <v>2</v>
      </c>
      <c r="C7" s="55" t="s">
        <v>3</v>
      </c>
      <c r="D7" s="55"/>
      <c r="E7" s="55" t="s">
        <v>2</v>
      </c>
      <c r="F7" s="55" t="s">
        <v>3</v>
      </c>
      <c r="G7" s="55"/>
      <c r="H7" s="55" t="s">
        <v>2</v>
      </c>
      <c r="I7" s="55" t="s">
        <v>3</v>
      </c>
      <c r="J7" s="55"/>
      <c r="K7" s="55" t="s">
        <v>2</v>
      </c>
      <c r="L7" s="55" t="s">
        <v>3</v>
      </c>
      <c r="M7" s="55"/>
      <c r="N7" s="55" t="s">
        <v>2</v>
      </c>
      <c r="O7" s="55" t="s">
        <v>3</v>
      </c>
      <c r="P7" s="55"/>
      <c r="Q7" s="55" t="s">
        <v>2</v>
      </c>
      <c r="R7" s="55" t="s">
        <v>3</v>
      </c>
      <c r="S7" s="55"/>
      <c r="T7" s="55" t="s">
        <v>2</v>
      </c>
      <c r="U7" s="55" t="s">
        <v>3</v>
      </c>
      <c r="V7" s="55"/>
      <c r="W7" s="55" t="s">
        <v>2</v>
      </c>
      <c r="X7" s="55" t="s">
        <v>3</v>
      </c>
      <c r="Y7" s="55"/>
      <c r="Z7" s="55" t="s">
        <v>2</v>
      </c>
      <c r="AA7" s="55" t="s">
        <v>3</v>
      </c>
      <c r="AB7" s="166"/>
    </row>
    <row r="8" spans="1:29" s="9" customFormat="1" ht="15.75">
      <c r="A8" s="52" t="s">
        <v>4</v>
      </c>
      <c r="B8" s="14">
        <f>SUM(B9:B20)</f>
        <v>0</v>
      </c>
      <c r="C8" s="14">
        <f>SUM(C9:C20)</f>
        <v>0</v>
      </c>
      <c r="D8" s="14"/>
      <c r="E8" s="14">
        <f>SUM(E9:E20)</f>
        <v>0</v>
      </c>
      <c r="F8" s="14">
        <f>SUM(F9:F20)</f>
        <v>0</v>
      </c>
      <c r="G8" s="14"/>
      <c r="H8" s="14">
        <f>SUM(H9:H20)</f>
        <v>0</v>
      </c>
      <c r="I8" s="14">
        <f>SUM(I9:I20)</f>
        <v>0</v>
      </c>
      <c r="J8" s="14"/>
      <c r="K8" s="14">
        <f>SUM(K9:K20)</f>
        <v>0</v>
      </c>
      <c r="L8" s="14">
        <f>SUM(L9:L20)</f>
        <v>0</v>
      </c>
      <c r="M8" s="14"/>
      <c r="N8" s="14">
        <f>SUM(N9:N20)</f>
        <v>0</v>
      </c>
      <c r="O8" s="14">
        <f>SUM(O9:O20)</f>
        <v>0</v>
      </c>
      <c r="P8" s="14"/>
      <c r="Q8" s="14">
        <f>SUM(Q9:Q20)</f>
        <v>0</v>
      </c>
      <c r="R8" s="14">
        <f>SUM(R9:R20)</f>
        <v>0</v>
      </c>
      <c r="S8" s="14"/>
      <c r="T8" s="14">
        <f>SUM(T9:T20)</f>
        <v>0</v>
      </c>
      <c r="U8" s="14">
        <f>SUM(U9:U20)</f>
        <v>0</v>
      </c>
      <c r="V8" s="14"/>
      <c r="W8" s="14">
        <f>SUM(W9:W20)</f>
        <v>0</v>
      </c>
      <c r="X8" s="14">
        <f>SUM(X9:X20)</f>
        <v>0</v>
      </c>
      <c r="Y8" s="15"/>
      <c r="Z8" s="14">
        <f>SUM(Z9:Z20)</f>
        <v>0</v>
      </c>
      <c r="AA8" s="14">
        <f>SUM(AA9:AA20)</f>
        <v>0</v>
      </c>
      <c r="AB8" s="58" t="s">
        <v>5</v>
      </c>
    </row>
    <row r="9" spans="1:29" s="9" customFormat="1" ht="15.75">
      <c r="A9" s="5" t="s">
        <v>10</v>
      </c>
      <c r="B9" s="71"/>
      <c r="C9" s="71"/>
      <c r="D9" s="71"/>
      <c r="E9" s="72"/>
      <c r="F9" s="72"/>
      <c r="G9" s="72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3"/>
      <c r="Z9" s="73"/>
      <c r="AA9" s="73"/>
      <c r="AB9" s="60" t="s">
        <v>11</v>
      </c>
    </row>
    <row r="10" spans="1:29" s="9" customFormat="1" ht="15.75">
      <c r="A10" s="5" t="s">
        <v>12</v>
      </c>
      <c r="B10" s="71"/>
      <c r="C10" s="71"/>
      <c r="D10" s="71"/>
      <c r="E10" s="72"/>
      <c r="F10" s="72"/>
      <c r="G10" s="72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3"/>
      <c r="Z10" s="73"/>
      <c r="AA10" s="73"/>
      <c r="AB10" s="60" t="s">
        <v>13</v>
      </c>
    </row>
    <row r="11" spans="1:29" s="9" customFormat="1" ht="15.75">
      <c r="A11" s="5" t="s">
        <v>14</v>
      </c>
      <c r="B11" s="71"/>
      <c r="C11" s="71"/>
      <c r="D11" s="71"/>
      <c r="E11" s="72"/>
      <c r="F11" s="72"/>
      <c r="G11" s="72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3"/>
      <c r="Z11" s="73"/>
      <c r="AA11" s="73"/>
      <c r="AB11" s="60" t="s">
        <v>15</v>
      </c>
    </row>
    <row r="12" spans="1:29" s="9" customFormat="1" ht="15.75">
      <c r="A12" s="5" t="s">
        <v>16</v>
      </c>
      <c r="B12" s="71"/>
      <c r="C12" s="71"/>
      <c r="D12" s="71"/>
      <c r="E12" s="72"/>
      <c r="F12" s="72"/>
      <c r="G12" s="72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3"/>
      <c r="Z12" s="73"/>
      <c r="AA12" s="73"/>
      <c r="AB12" s="60" t="s">
        <v>17</v>
      </c>
    </row>
    <row r="13" spans="1:29" s="9" customFormat="1" ht="15.75">
      <c r="A13" s="5" t="s">
        <v>18</v>
      </c>
      <c r="B13" s="71"/>
      <c r="C13" s="71"/>
      <c r="D13" s="71"/>
      <c r="E13" s="72"/>
      <c r="F13" s="72"/>
      <c r="G13" s="72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3"/>
      <c r="Z13" s="73"/>
      <c r="AA13" s="73"/>
      <c r="AB13" s="60" t="s">
        <v>19</v>
      </c>
    </row>
    <row r="14" spans="1:29" s="9" customFormat="1" ht="15.75">
      <c r="A14" s="5" t="s">
        <v>20</v>
      </c>
      <c r="B14" s="71"/>
      <c r="C14" s="71"/>
      <c r="D14" s="71"/>
      <c r="E14" s="72"/>
      <c r="F14" s="72"/>
      <c r="G14" s="72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3"/>
      <c r="Z14" s="73"/>
      <c r="AA14" s="73"/>
      <c r="AB14" s="60" t="s">
        <v>21</v>
      </c>
    </row>
    <row r="15" spans="1:29" s="9" customFormat="1" ht="15.75">
      <c r="A15" s="5" t="s">
        <v>22</v>
      </c>
      <c r="B15" s="71"/>
      <c r="C15" s="71"/>
      <c r="D15" s="71"/>
      <c r="E15" s="72"/>
      <c r="F15" s="72"/>
      <c r="G15" s="72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3"/>
      <c r="Z15" s="73"/>
      <c r="AA15" s="73"/>
      <c r="AB15" s="60" t="s">
        <v>23</v>
      </c>
    </row>
    <row r="16" spans="1:29" s="9" customFormat="1" ht="15.75">
      <c r="A16" s="5" t="s">
        <v>24</v>
      </c>
      <c r="B16" s="71"/>
      <c r="C16" s="71"/>
      <c r="D16" s="71"/>
      <c r="E16" s="72"/>
      <c r="F16" s="72"/>
      <c r="G16" s="72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3"/>
      <c r="Z16" s="73"/>
      <c r="AA16" s="73"/>
      <c r="AB16" s="60" t="s">
        <v>25</v>
      </c>
    </row>
    <row r="17" spans="1:44" s="9" customFormat="1" ht="15.75">
      <c r="A17" s="5" t="s">
        <v>26</v>
      </c>
      <c r="B17" s="71"/>
      <c r="C17" s="71"/>
      <c r="D17" s="71"/>
      <c r="E17" s="72"/>
      <c r="F17" s="72"/>
      <c r="G17" s="72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3"/>
      <c r="Z17" s="73"/>
      <c r="AA17" s="73"/>
      <c r="AB17" s="60" t="s">
        <v>27</v>
      </c>
    </row>
    <row r="18" spans="1:44" s="9" customFormat="1" ht="15.75">
      <c r="A18" s="5" t="s">
        <v>28</v>
      </c>
      <c r="B18" s="71"/>
      <c r="C18" s="71"/>
      <c r="D18" s="71"/>
      <c r="E18" s="72"/>
      <c r="F18" s="72"/>
      <c r="G18" s="72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3"/>
      <c r="Z18" s="73"/>
      <c r="AA18" s="73"/>
      <c r="AB18" s="60" t="s">
        <v>29</v>
      </c>
    </row>
    <row r="19" spans="1:44" s="9" customFormat="1" ht="15.75">
      <c r="A19" s="5" t="s">
        <v>30</v>
      </c>
      <c r="B19" s="71"/>
      <c r="C19" s="71"/>
      <c r="D19" s="71"/>
      <c r="E19" s="72"/>
      <c r="F19" s="72"/>
      <c r="G19" s="72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3"/>
      <c r="Z19" s="73"/>
      <c r="AA19" s="73"/>
      <c r="AB19" s="60" t="s">
        <v>31</v>
      </c>
    </row>
    <row r="20" spans="1:44" s="9" customFormat="1" ht="15.75">
      <c r="A20" s="54" t="s">
        <v>32</v>
      </c>
      <c r="B20" s="74"/>
      <c r="C20" s="74"/>
      <c r="D20" s="74"/>
      <c r="E20" s="75"/>
      <c r="F20" s="75"/>
      <c r="G20" s="75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6"/>
      <c r="Z20" s="76"/>
      <c r="AA20" s="76"/>
      <c r="AB20" s="61" t="s">
        <v>33</v>
      </c>
    </row>
    <row r="21" spans="1:44" ht="18.75">
      <c r="A21" s="6" t="s">
        <v>6</v>
      </c>
      <c r="AB21" s="8" t="s">
        <v>7</v>
      </c>
      <c r="AO21" s="9"/>
      <c r="AP21" s="56" t="s">
        <v>2</v>
      </c>
      <c r="AQ21" s="56" t="s">
        <v>3</v>
      </c>
    </row>
    <row r="22" spans="1:44" ht="15" customHeight="1">
      <c r="AN22" s="16"/>
      <c r="AO22" s="16" t="str">
        <f>B5</f>
        <v>L.Kadhdhoo</v>
      </c>
      <c r="AP22" s="1">
        <f>B8</f>
        <v>0</v>
      </c>
      <c r="AQ22" s="1">
        <f>C8</f>
        <v>0</v>
      </c>
    </row>
    <row r="23" spans="1:44" s="9" customFormat="1" ht="17.25">
      <c r="B23" s="17"/>
      <c r="C23" s="18"/>
      <c r="D23" s="18"/>
      <c r="E23" s="18"/>
      <c r="F23" s="19"/>
      <c r="G23" s="19"/>
      <c r="R23" s="20"/>
      <c r="S23" s="20"/>
      <c r="U23" s="20"/>
      <c r="V23" s="20"/>
      <c r="X23" s="20"/>
      <c r="Y23" s="20"/>
      <c r="Z23" s="20"/>
      <c r="AA23" s="20"/>
      <c r="AB23" s="20"/>
      <c r="AE23" s="20"/>
      <c r="AM23" s="1"/>
      <c r="AN23" s="16"/>
      <c r="AO23" s="16" t="str">
        <f>E5</f>
        <v>GDh.Kaadedhdhoo</v>
      </c>
      <c r="AP23" s="1">
        <f>E8</f>
        <v>0</v>
      </c>
      <c r="AQ23" s="1">
        <f>F8</f>
        <v>0</v>
      </c>
    </row>
    <row r="24" spans="1:44" ht="18.75">
      <c r="A24" s="5"/>
      <c r="Q24" s="11"/>
      <c r="T24" s="11"/>
      <c r="W24" s="11"/>
      <c r="AO24" s="9" t="str">
        <f>H5</f>
        <v xml:space="preserve">Gn.Fuvahmulah </v>
      </c>
      <c r="AP24" s="1">
        <f>H8</f>
        <v>0</v>
      </c>
      <c r="AQ24" s="1">
        <f>I8</f>
        <v>0</v>
      </c>
    </row>
    <row r="25" spans="1:44" s="9" customFormat="1" ht="17.25">
      <c r="B25" s="17"/>
      <c r="C25" s="18"/>
      <c r="D25" s="18"/>
      <c r="E25" s="18"/>
      <c r="F25" s="19"/>
      <c r="G25" s="19"/>
      <c r="R25" s="20"/>
      <c r="S25" s="20"/>
      <c r="U25" s="20"/>
      <c r="V25" s="20"/>
      <c r="X25" s="20"/>
      <c r="Y25" s="20"/>
      <c r="Z25" s="20"/>
      <c r="AA25" s="20"/>
      <c r="AB25" s="20"/>
      <c r="AE25" s="20"/>
      <c r="AO25" s="1" t="str">
        <f>K5</f>
        <v>ADh.Maamigili</v>
      </c>
      <c r="AP25" s="1">
        <f>K8</f>
        <v>0</v>
      </c>
      <c r="AQ25" s="1">
        <f>L8</f>
        <v>0</v>
      </c>
    </row>
    <row r="26" spans="1:44" ht="18.75">
      <c r="A26" s="5"/>
      <c r="Q26" s="11"/>
      <c r="T26" s="11"/>
      <c r="W26" s="11"/>
      <c r="AO26" s="1" t="str">
        <f>N5</f>
        <v>B.Dharavandhoo</v>
      </c>
      <c r="AP26" s="1">
        <f>N8</f>
        <v>0</v>
      </c>
      <c r="AQ26" s="1">
        <f>O8</f>
        <v>0</v>
      </c>
    </row>
    <row r="27" spans="1:44">
      <c r="AO27" s="1" t="str">
        <f>Q5</f>
        <v>GA. Koodoo</v>
      </c>
      <c r="AP27" s="1">
        <f>Q8</f>
        <v>0</v>
      </c>
      <c r="AQ27" s="1">
        <f>R8</f>
        <v>0</v>
      </c>
    </row>
    <row r="28" spans="1:44">
      <c r="AO28" s="1" t="s">
        <v>52</v>
      </c>
      <c r="AP28" s="1">
        <f>T8</f>
        <v>0</v>
      </c>
      <c r="AQ28" s="1">
        <f>U8</f>
        <v>0</v>
      </c>
    </row>
    <row r="29" spans="1:44" ht="17.25">
      <c r="D29" s="18"/>
      <c r="E29" s="18"/>
      <c r="F29" s="19"/>
      <c r="G29" s="19"/>
      <c r="AO29" s="1" t="str">
        <f>W5</f>
        <v xml:space="preserve">R.Ifuru  </v>
      </c>
      <c r="AP29" s="1">
        <f>W8</f>
        <v>0</v>
      </c>
      <c r="AQ29" s="1">
        <f>X8</f>
        <v>0</v>
      </c>
    </row>
    <row r="30" spans="1:44">
      <c r="AO30" s="1" t="str">
        <f>Z5</f>
        <v>Dh.kudahuvadhoo</v>
      </c>
      <c r="AP30" s="1">
        <f>Z8</f>
        <v>0</v>
      </c>
      <c r="AQ30" s="1">
        <f>AA8</f>
        <v>0</v>
      </c>
    </row>
    <row r="32" spans="1:44">
      <c r="AP32" s="1">
        <f>SUM(AP22:AP30)</f>
        <v>0</v>
      </c>
      <c r="AQ32" s="1">
        <f>SUM(AQ22:AQ30)</f>
        <v>0</v>
      </c>
      <c r="AR32" s="1">
        <f>SUM(AP32:AQ32)</f>
        <v>0</v>
      </c>
    </row>
    <row r="44" spans="1:80" s="67" customFormat="1" ht="21.75" customHeight="1">
      <c r="A44" s="149" t="s">
        <v>8</v>
      </c>
      <c r="B44" s="99"/>
      <c r="D44" s="100"/>
      <c r="F44" s="100"/>
      <c r="G44" s="152" t="s">
        <v>34</v>
      </c>
      <c r="H44" s="153"/>
      <c r="I44" s="153"/>
      <c r="J44" s="153"/>
      <c r="K44" s="154"/>
      <c r="L44" s="66"/>
      <c r="M44" s="101"/>
      <c r="N44" s="66"/>
      <c r="O44" s="101"/>
      <c r="P44" s="155" t="s">
        <v>35</v>
      </c>
      <c r="Q44" s="156"/>
      <c r="R44" s="156"/>
      <c r="S44" s="156"/>
      <c r="T44" s="156"/>
      <c r="U44" s="156"/>
      <c r="V44" s="156"/>
      <c r="W44" s="156"/>
      <c r="X44" s="156"/>
      <c r="Y44" s="156"/>
      <c r="Z44" s="156"/>
      <c r="AA44" s="156"/>
      <c r="AB44" s="100"/>
      <c r="AC44" s="143" t="s">
        <v>36</v>
      </c>
      <c r="AD44" s="144"/>
      <c r="AE44" s="144"/>
      <c r="AF44" s="144"/>
      <c r="AG44" s="144"/>
      <c r="AH44" s="144"/>
      <c r="AI44" s="144"/>
      <c r="AJ44" s="144"/>
      <c r="AK44" s="65"/>
      <c r="AL44" s="143" t="s">
        <v>37</v>
      </c>
      <c r="AM44" s="144"/>
      <c r="AN44" s="144"/>
      <c r="AO44" s="144"/>
      <c r="AP44" s="144"/>
      <c r="AQ44" s="144"/>
      <c r="AR44" s="144"/>
      <c r="AS44" s="65"/>
      <c r="AT44" s="143" t="s">
        <v>38</v>
      </c>
      <c r="AU44" s="144"/>
      <c r="AV44" s="144"/>
      <c r="AW44" s="144"/>
      <c r="AX44" s="144"/>
      <c r="AY44" s="77"/>
      <c r="AZ44" s="65"/>
      <c r="BA44" s="143" t="s">
        <v>39</v>
      </c>
      <c r="BB44" s="144"/>
      <c r="BC44" s="144"/>
      <c r="BD44" s="144"/>
      <c r="BE44" s="145"/>
      <c r="BF44" s="64"/>
      <c r="BG44" s="146" t="s">
        <v>40</v>
      </c>
      <c r="BH44" s="147"/>
      <c r="BI44" s="147"/>
      <c r="BJ44" s="147"/>
      <c r="BK44" s="148"/>
      <c r="BL44" s="143" t="s">
        <v>41</v>
      </c>
      <c r="BM44" s="144"/>
      <c r="BN44" s="144"/>
      <c r="BO44" s="144"/>
      <c r="BP44" s="145"/>
      <c r="BQ44" s="143" t="s">
        <v>42</v>
      </c>
      <c r="BR44" s="144"/>
      <c r="BS44" s="144"/>
      <c r="BT44" s="127" t="s">
        <v>9</v>
      </c>
    </row>
    <row r="45" spans="1:80" s="68" customFormat="1" ht="16.5" customHeight="1">
      <c r="A45" s="150"/>
      <c r="B45" s="102"/>
      <c r="D45" s="103"/>
      <c r="F45" s="103"/>
      <c r="G45" s="130" t="s">
        <v>43</v>
      </c>
      <c r="H45" s="131"/>
      <c r="I45" s="131"/>
      <c r="J45" s="131"/>
      <c r="K45" s="132"/>
      <c r="L45" s="70"/>
      <c r="M45" s="103"/>
      <c r="N45" s="70"/>
      <c r="O45" s="103"/>
      <c r="P45" s="133" t="s">
        <v>44</v>
      </c>
      <c r="Q45" s="134"/>
      <c r="R45" s="134"/>
      <c r="S45" s="134"/>
      <c r="T45" s="134"/>
      <c r="U45" s="134"/>
      <c r="V45" s="134"/>
      <c r="W45" s="134"/>
      <c r="X45" s="134"/>
      <c r="Y45" s="134"/>
      <c r="Z45" s="134"/>
      <c r="AA45" s="134"/>
      <c r="AB45" s="103"/>
      <c r="AC45" s="135" t="s">
        <v>55</v>
      </c>
      <c r="AD45" s="136"/>
      <c r="AE45" s="136"/>
      <c r="AF45" s="136"/>
      <c r="AG45" s="136"/>
      <c r="AH45" s="136"/>
      <c r="AI45" s="136"/>
      <c r="AJ45" s="136"/>
      <c r="AK45" s="69"/>
      <c r="AL45" s="135" t="s">
        <v>56</v>
      </c>
      <c r="AM45" s="136"/>
      <c r="AN45" s="136"/>
      <c r="AO45" s="136"/>
      <c r="AP45" s="136"/>
      <c r="AQ45" s="136"/>
      <c r="AR45" s="136"/>
      <c r="AS45" s="69"/>
      <c r="AT45" s="135" t="s">
        <v>57</v>
      </c>
      <c r="AU45" s="136"/>
      <c r="AV45" s="136"/>
      <c r="AW45" s="136"/>
      <c r="AX45" s="136"/>
      <c r="AY45" s="78"/>
      <c r="AZ45" s="69"/>
      <c r="BA45" s="137" t="s">
        <v>58</v>
      </c>
      <c r="BB45" s="138"/>
      <c r="BC45" s="138"/>
      <c r="BD45" s="138"/>
      <c r="BE45" s="139"/>
      <c r="BF45" s="70"/>
      <c r="BG45" s="140" t="s">
        <v>59</v>
      </c>
      <c r="BH45" s="141"/>
      <c r="BI45" s="141"/>
      <c r="BJ45" s="141"/>
      <c r="BK45" s="142"/>
      <c r="BL45" s="137" t="s">
        <v>60</v>
      </c>
      <c r="BM45" s="138"/>
      <c r="BN45" s="138"/>
      <c r="BO45" s="138"/>
      <c r="BP45" s="139"/>
      <c r="BQ45" s="137" t="s">
        <v>61</v>
      </c>
      <c r="BR45" s="138"/>
      <c r="BS45" s="138"/>
      <c r="BT45" s="128"/>
    </row>
    <row r="46" spans="1:80" ht="23.25" customHeight="1">
      <c r="A46" s="151"/>
      <c r="B46" s="104"/>
      <c r="C46" s="105">
        <v>2011</v>
      </c>
      <c r="D46" s="105">
        <v>2012</v>
      </c>
      <c r="E46" s="106">
        <v>2013</v>
      </c>
      <c r="F46" s="107">
        <v>2014</v>
      </c>
      <c r="G46" s="108">
        <v>2015</v>
      </c>
      <c r="H46" s="109">
        <v>2016</v>
      </c>
      <c r="I46" s="110">
        <v>2017</v>
      </c>
      <c r="J46" s="110">
        <v>2018</v>
      </c>
      <c r="K46" s="110">
        <v>2019</v>
      </c>
      <c r="L46" s="111">
        <v>2011</v>
      </c>
      <c r="M46" s="111">
        <v>2012</v>
      </c>
      <c r="N46" s="111">
        <v>2013</v>
      </c>
      <c r="O46" s="110">
        <v>2014</v>
      </c>
      <c r="P46" s="108">
        <v>2015</v>
      </c>
      <c r="Q46" s="110">
        <v>2016</v>
      </c>
      <c r="R46" s="111">
        <v>2011</v>
      </c>
      <c r="S46" s="111">
        <v>2012</v>
      </c>
      <c r="T46" s="110">
        <v>2013</v>
      </c>
      <c r="U46" s="110">
        <v>2014</v>
      </c>
      <c r="V46" s="111">
        <v>2011</v>
      </c>
      <c r="W46" s="111">
        <v>2012</v>
      </c>
      <c r="X46" s="110">
        <v>2013</v>
      </c>
      <c r="Y46" s="110">
        <v>2017</v>
      </c>
      <c r="Z46" s="110">
        <v>2018</v>
      </c>
      <c r="AA46" s="112">
        <v>2019</v>
      </c>
      <c r="AB46" s="110">
        <v>2014</v>
      </c>
      <c r="AC46" s="23">
        <v>2015</v>
      </c>
      <c r="AD46" s="23">
        <v>2016</v>
      </c>
      <c r="AE46" s="57">
        <v>2011</v>
      </c>
      <c r="AF46" s="57">
        <v>2012</v>
      </c>
      <c r="AG46" s="57">
        <v>2013</v>
      </c>
      <c r="AH46" s="23">
        <v>2017</v>
      </c>
      <c r="AI46" s="23">
        <v>2018</v>
      </c>
      <c r="AJ46" s="23">
        <v>2019</v>
      </c>
      <c r="AK46" s="23">
        <v>2014</v>
      </c>
      <c r="AL46" s="22">
        <v>2015</v>
      </c>
      <c r="AM46" s="23">
        <v>2016</v>
      </c>
      <c r="AN46" s="23">
        <v>2017</v>
      </c>
      <c r="AO46" s="23">
        <v>2018</v>
      </c>
      <c r="AP46" s="57">
        <v>2012</v>
      </c>
      <c r="AQ46" s="57">
        <v>2013</v>
      </c>
      <c r="AR46" s="23">
        <v>2019</v>
      </c>
      <c r="AS46" s="23">
        <v>2014</v>
      </c>
      <c r="AT46" s="22">
        <v>2015</v>
      </c>
      <c r="AU46" s="23">
        <v>2016</v>
      </c>
      <c r="AV46" s="57">
        <v>2013</v>
      </c>
      <c r="AW46" s="23">
        <v>2017</v>
      </c>
      <c r="AX46" s="23">
        <v>2018</v>
      </c>
      <c r="AY46" s="23">
        <v>2019</v>
      </c>
      <c r="AZ46" s="57">
        <v>2014</v>
      </c>
      <c r="BA46" s="22">
        <v>2015</v>
      </c>
      <c r="BB46" s="23">
        <v>2016</v>
      </c>
      <c r="BC46" s="23">
        <v>2017</v>
      </c>
      <c r="BD46" s="23">
        <v>2018</v>
      </c>
      <c r="BE46" s="23">
        <v>2019</v>
      </c>
      <c r="BF46" s="57">
        <v>2014</v>
      </c>
      <c r="BG46" s="22">
        <v>2015</v>
      </c>
      <c r="BH46" s="23">
        <v>2016</v>
      </c>
      <c r="BI46" s="23">
        <v>2017</v>
      </c>
      <c r="BJ46" s="23">
        <v>2018</v>
      </c>
      <c r="BK46" s="24">
        <v>2019</v>
      </c>
      <c r="BL46" s="25">
        <v>2015</v>
      </c>
      <c r="BM46" s="23">
        <v>2016</v>
      </c>
      <c r="BN46" s="23">
        <v>2017</v>
      </c>
      <c r="BO46" s="23">
        <v>2018</v>
      </c>
      <c r="BP46" s="23">
        <v>2019</v>
      </c>
      <c r="BQ46" s="22">
        <v>2017</v>
      </c>
      <c r="BR46" s="23">
        <v>2018</v>
      </c>
      <c r="BS46" s="23">
        <v>2019</v>
      </c>
      <c r="BT46" s="129"/>
      <c r="BU46" s="3"/>
    </row>
    <row r="47" spans="1:80" ht="23.25" customHeight="1">
      <c r="A47" s="26" t="s">
        <v>4</v>
      </c>
      <c r="B47" s="26"/>
      <c r="C47" s="27">
        <f t="shared" ref="C47:AZ47" si="0">SUM(C48:C59)</f>
        <v>1542</v>
      </c>
      <c r="D47" s="27">
        <f t="shared" si="0"/>
        <v>1816</v>
      </c>
      <c r="E47" s="27">
        <f t="shared" si="0"/>
        <v>2310</v>
      </c>
      <c r="F47" s="28">
        <f t="shared" si="0"/>
        <v>2220</v>
      </c>
      <c r="G47" s="29">
        <f t="shared" si="0"/>
        <v>2088</v>
      </c>
      <c r="H47" s="30">
        <f t="shared" si="0"/>
        <v>2392</v>
      </c>
      <c r="I47" s="31">
        <f t="shared" si="0"/>
        <v>2619</v>
      </c>
      <c r="J47" s="31">
        <f t="shared" si="0"/>
        <v>2559</v>
      </c>
      <c r="K47" s="31">
        <f t="shared" si="0"/>
        <v>2583</v>
      </c>
      <c r="L47" s="31">
        <f t="shared" si="0"/>
        <v>3226</v>
      </c>
      <c r="M47" s="31">
        <f t="shared" si="0"/>
        <v>3982</v>
      </c>
      <c r="N47" s="31">
        <f t="shared" si="0"/>
        <v>4121</v>
      </c>
      <c r="O47" s="31">
        <f t="shared" si="0"/>
        <v>4410</v>
      </c>
      <c r="P47" s="29">
        <f>SUM(P48:P59)</f>
        <v>4290</v>
      </c>
      <c r="Q47" s="31">
        <f t="shared" ref="Q47" si="1">SUM(Q48:Q59)</f>
        <v>4978</v>
      </c>
      <c r="R47" s="31">
        <f t="shared" si="0"/>
        <v>1637</v>
      </c>
      <c r="S47" s="31">
        <f t="shared" si="0"/>
        <v>1397</v>
      </c>
      <c r="T47" s="31">
        <f t="shared" si="0"/>
        <v>1949</v>
      </c>
      <c r="U47" s="31">
        <f t="shared" si="0"/>
        <v>1977</v>
      </c>
      <c r="V47" s="31">
        <f t="shared" si="0"/>
        <v>262</v>
      </c>
      <c r="W47" s="31">
        <f t="shared" si="0"/>
        <v>710</v>
      </c>
      <c r="X47" s="31">
        <f>SUM(X48:X59)</f>
        <v>2432</v>
      </c>
      <c r="Y47" s="31">
        <f t="shared" ref="Y47:AB47" si="2">SUM(Y48:Y59)</f>
        <v>5182</v>
      </c>
      <c r="Z47" s="31">
        <f t="shared" si="2"/>
        <v>4726</v>
      </c>
      <c r="AA47" s="32">
        <f t="shared" si="2"/>
        <v>4794</v>
      </c>
      <c r="AB47" s="31">
        <f t="shared" si="2"/>
        <v>2773</v>
      </c>
      <c r="AC47" s="31">
        <f>SUM(AC48:AC59)</f>
        <v>2151</v>
      </c>
      <c r="AD47" s="31">
        <f t="shared" ref="AD47" si="3">SUM(AD48:AD59)</f>
        <v>1998</v>
      </c>
      <c r="AE47" s="31">
        <f t="shared" si="0"/>
        <v>769</v>
      </c>
      <c r="AF47" s="31">
        <f t="shared" si="0"/>
        <v>3315</v>
      </c>
      <c r="AG47" s="31">
        <f>SUM(AG48:AG59)</f>
        <v>4519</v>
      </c>
      <c r="AH47" s="31">
        <f t="shared" ref="AH47:AK47" si="4">SUM(AH48:AH59)</f>
        <v>1845</v>
      </c>
      <c r="AI47" s="31">
        <f t="shared" si="4"/>
        <v>1799</v>
      </c>
      <c r="AJ47" s="31">
        <f t="shared" si="4"/>
        <v>2485</v>
      </c>
      <c r="AK47" s="31">
        <f t="shared" si="4"/>
        <v>4924</v>
      </c>
      <c r="AL47" s="29">
        <f>SUM(AL48:AL59)</f>
        <v>4265</v>
      </c>
      <c r="AM47" s="31">
        <f t="shared" ref="AM47:AO47" si="5">SUM(AM48:AM59)</f>
        <v>3963</v>
      </c>
      <c r="AN47" s="31">
        <f t="shared" si="5"/>
        <v>4305</v>
      </c>
      <c r="AO47" s="31">
        <f t="shared" si="5"/>
        <v>4824</v>
      </c>
      <c r="AP47" s="31">
        <f t="shared" si="0"/>
        <v>173</v>
      </c>
      <c r="AQ47" s="31">
        <f t="shared" si="0"/>
        <v>3515</v>
      </c>
      <c r="AR47" s="31">
        <f t="shared" si="0"/>
        <v>4798</v>
      </c>
      <c r="AS47" s="31">
        <f t="shared" si="0"/>
        <v>4248</v>
      </c>
      <c r="AT47" s="29">
        <f>SUM(AT48:AT59)</f>
        <v>3934</v>
      </c>
      <c r="AU47" s="31">
        <f t="shared" ref="AU47:AY47" si="6">SUM(AU48:AU59)</f>
        <v>3870</v>
      </c>
      <c r="AV47" s="31">
        <f t="shared" si="0"/>
        <v>2906</v>
      </c>
      <c r="AW47" s="31">
        <f t="shared" si="0"/>
        <v>4198</v>
      </c>
      <c r="AX47" s="31">
        <f t="shared" si="6"/>
        <v>4532</v>
      </c>
      <c r="AY47" s="31">
        <f t="shared" si="6"/>
        <v>5159</v>
      </c>
      <c r="AZ47" s="31">
        <f t="shared" si="0"/>
        <v>2076</v>
      </c>
      <c r="BA47" s="29">
        <f>SUM(BA48:BA59)</f>
        <v>1988</v>
      </c>
      <c r="BB47" s="31">
        <f t="shared" ref="BB47:BF47" si="7">SUM(BB48:BB59)</f>
        <v>1916</v>
      </c>
      <c r="BC47" s="31">
        <f t="shared" si="7"/>
        <v>1916</v>
      </c>
      <c r="BD47" s="31">
        <f t="shared" si="7"/>
        <v>1975</v>
      </c>
      <c r="BE47" s="31">
        <f t="shared" si="7"/>
        <v>2043</v>
      </c>
      <c r="BF47" s="31">
        <f t="shared" si="7"/>
        <v>826</v>
      </c>
      <c r="BG47" s="29">
        <f>SUM(BG48:BG59)</f>
        <v>331</v>
      </c>
      <c r="BH47" s="31">
        <f t="shared" ref="BH47:BK47" si="8">SUM(BH48:BH59)</f>
        <v>269</v>
      </c>
      <c r="BI47" s="31">
        <f t="shared" si="8"/>
        <v>245</v>
      </c>
      <c r="BJ47" s="31">
        <f t="shared" si="8"/>
        <v>246</v>
      </c>
      <c r="BK47" s="32">
        <f t="shared" si="8"/>
        <v>241</v>
      </c>
      <c r="BL47" s="29">
        <f>SUM(BL48:BL59)</f>
        <v>552</v>
      </c>
      <c r="BM47" s="31">
        <f t="shared" ref="BM47:BS47" si="9">SUM(BM48:BM59)</f>
        <v>1475</v>
      </c>
      <c r="BN47" s="31">
        <f t="shared" si="9"/>
        <v>1911</v>
      </c>
      <c r="BO47" s="31">
        <f t="shared" si="9"/>
        <v>1898</v>
      </c>
      <c r="BP47" s="31">
        <f t="shared" si="9"/>
        <v>1940</v>
      </c>
      <c r="BQ47" s="29">
        <f t="shared" si="9"/>
        <v>488</v>
      </c>
      <c r="BR47" s="33">
        <f t="shared" si="9"/>
        <v>1941</v>
      </c>
      <c r="BS47" s="33">
        <f t="shared" si="9"/>
        <v>2224</v>
      </c>
      <c r="BT47" s="62" t="s">
        <v>5</v>
      </c>
    </row>
    <row r="48" spans="1:80" ht="23.25" customHeight="1">
      <c r="A48" s="34" t="s">
        <v>10</v>
      </c>
      <c r="B48" s="34"/>
      <c r="C48" s="35">
        <v>87</v>
      </c>
      <c r="D48" s="35">
        <v>140</v>
      </c>
      <c r="E48" s="35">
        <v>189</v>
      </c>
      <c r="F48" s="36">
        <v>215</v>
      </c>
      <c r="G48" s="37">
        <v>166</v>
      </c>
      <c r="H48" s="38">
        <v>174</v>
      </c>
      <c r="I48" s="39">
        <v>199</v>
      </c>
      <c r="J48" s="39">
        <v>264</v>
      </c>
      <c r="K48" s="39">
        <v>232</v>
      </c>
      <c r="L48" s="40">
        <v>290</v>
      </c>
      <c r="M48" s="40">
        <v>428</v>
      </c>
      <c r="N48" s="40">
        <v>290</v>
      </c>
      <c r="O48" s="39">
        <v>356</v>
      </c>
      <c r="P48" s="37">
        <v>376</v>
      </c>
      <c r="Q48" s="39">
        <v>400</v>
      </c>
      <c r="R48" s="39">
        <v>137</v>
      </c>
      <c r="S48" s="39">
        <v>111</v>
      </c>
      <c r="T48" s="39">
        <v>175</v>
      </c>
      <c r="U48" s="39">
        <v>164</v>
      </c>
      <c r="V48" s="41" t="s">
        <v>53</v>
      </c>
      <c r="W48" s="39">
        <v>48</v>
      </c>
      <c r="X48" s="39">
        <v>115</v>
      </c>
      <c r="Y48" s="39">
        <v>496</v>
      </c>
      <c r="Z48" s="39">
        <v>406</v>
      </c>
      <c r="AA48" s="42">
        <v>408</v>
      </c>
      <c r="AB48" s="39">
        <v>227</v>
      </c>
      <c r="AC48" s="39">
        <v>230</v>
      </c>
      <c r="AD48" s="39">
        <v>166</v>
      </c>
      <c r="AE48" s="41" t="s">
        <v>53</v>
      </c>
      <c r="AF48" s="39">
        <v>351</v>
      </c>
      <c r="AG48" s="39">
        <v>339</v>
      </c>
      <c r="AH48" s="39">
        <v>157</v>
      </c>
      <c r="AI48" s="39">
        <v>117</v>
      </c>
      <c r="AJ48" s="39">
        <v>261</v>
      </c>
      <c r="AK48" s="39">
        <v>400</v>
      </c>
      <c r="AL48" s="37">
        <v>359</v>
      </c>
      <c r="AM48" s="39">
        <v>339</v>
      </c>
      <c r="AN48" s="39">
        <v>321</v>
      </c>
      <c r="AO48" s="39">
        <v>400</v>
      </c>
      <c r="AP48" s="41" t="s">
        <v>53</v>
      </c>
      <c r="AQ48" s="39">
        <v>191</v>
      </c>
      <c r="AR48" s="39">
        <v>441</v>
      </c>
      <c r="AS48" s="39">
        <v>361</v>
      </c>
      <c r="AT48" s="37">
        <v>331</v>
      </c>
      <c r="AU48" s="39">
        <v>342</v>
      </c>
      <c r="AV48" s="39">
        <v>288</v>
      </c>
      <c r="AW48" s="39">
        <v>351</v>
      </c>
      <c r="AX48" s="39">
        <v>415</v>
      </c>
      <c r="AY48" s="39">
        <v>414</v>
      </c>
      <c r="AZ48" s="39">
        <v>174</v>
      </c>
      <c r="BA48" s="37">
        <v>181</v>
      </c>
      <c r="BB48" s="39">
        <v>164</v>
      </c>
      <c r="BC48" s="39">
        <v>155</v>
      </c>
      <c r="BD48" s="39">
        <v>179</v>
      </c>
      <c r="BE48" s="39">
        <v>169</v>
      </c>
      <c r="BF48" s="39">
        <v>57</v>
      </c>
      <c r="BG48" s="37">
        <v>30</v>
      </c>
      <c r="BH48" s="39">
        <v>29</v>
      </c>
      <c r="BI48" s="39">
        <v>19</v>
      </c>
      <c r="BJ48" s="39">
        <v>23</v>
      </c>
      <c r="BK48" s="42">
        <v>24</v>
      </c>
      <c r="BL48" s="37" t="s">
        <v>54</v>
      </c>
      <c r="BM48" s="39">
        <v>124</v>
      </c>
      <c r="BN48" s="39">
        <v>142</v>
      </c>
      <c r="BO48" s="39">
        <v>178</v>
      </c>
      <c r="BP48" s="39">
        <v>156</v>
      </c>
      <c r="BQ48" s="37" t="s">
        <v>54</v>
      </c>
      <c r="BR48" s="39">
        <v>171</v>
      </c>
      <c r="BS48" s="39">
        <v>176</v>
      </c>
      <c r="BT48" s="60" t="s">
        <v>11</v>
      </c>
      <c r="BY48" s="21"/>
      <c r="BZ48" s="21"/>
      <c r="CA48" s="21"/>
      <c r="CB48" s="21"/>
    </row>
    <row r="49" spans="1:80" ht="23.25" customHeight="1">
      <c r="A49" s="34" t="s">
        <v>12</v>
      </c>
      <c r="B49" s="34"/>
      <c r="C49" s="35">
        <v>69</v>
      </c>
      <c r="D49" s="35">
        <v>128</v>
      </c>
      <c r="E49" s="35">
        <v>161</v>
      </c>
      <c r="F49" s="36">
        <v>192</v>
      </c>
      <c r="G49" s="37">
        <v>161</v>
      </c>
      <c r="H49" s="38">
        <v>195</v>
      </c>
      <c r="I49" s="39">
        <v>195</v>
      </c>
      <c r="J49" s="39">
        <v>213</v>
      </c>
      <c r="K49" s="39">
        <v>223</v>
      </c>
      <c r="L49" s="40">
        <v>268</v>
      </c>
      <c r="M49" s="40">
        <v>332</v>
      </c>
      <c r="N49" s="40">
        <v>314</v>
      </c>
      <c r="O49" s="39">
        <v>360</v>
      </c>
      <c r="P49" s="37">
        <v>336</v>
      </c>
      <c r="Q49" s="39">
        <v>428</v>
      </c>
      <c r="R49" s="39">
        <v>185</v>
      </c>
      <c r="S49" s="39">
        <v>109</v>
      </c>
      <c r="T49" s="39">
        <v>158</v>
      </c>
      <c r="U49" s="39">
        <v>176</v>
      </c>
      <c r="V49" s="41" t="s">
        <v>53</v>
      </c>
      <c r="W49" s="39">
        <v>40</v>
      </c>
      <c r="X49" s="39">
        <v>83</v>
      </c>
      <c r="Y49" s="39">
        <v>462</v>
      </c>
      <c r="Z49" s="39">
        <v>408</v>
      </c>
      <c r="AA49" s="42">
        <v>356</v>
      </c>
      <c r="AB49" s="39">
        <v>212</v>
      </c>
      <c r="AC49" s="39">
        <v>199</v>
      </c>
      <c r="AD49" s="39">
        <v>120</v>
      </c>
      <c r="AE49" s="41" t="s">
        <v>53</v>
      </c>
      <c r="AF49" s="39">
        <v>351</v>
      </c>
      <c r="AG49" s="39">
        <v>427</v>
      </c>
      <c r="AH49" s="39">
        <v>102</v>
      </c>
      <c r="AI49" s="39">
        <v>89</v>
      </c>
      <c r="AJ49" s="39">
        <v>221</v>
      </c>
      <c r="AK49" s="39">
        <v>380</v>
      </c>
      <c r="AL49" s="37">
        <v>407</v>
      </c>
      <c r="AM49" s="39">
        <v>323</v>
      </c>
      <c r="AN49" s="39">
        <v>260</v>
      </c>
      <c r="AO49" s="39">
        <v>373</v>
      </c>
      <c r="AP49" s="41" t="s">
        <v>53</v>
      </c>
      <c r="AQ49" s="39">
        <v>213</v>
      </c>
      <c r="AR49" s="39">
        <v>375</v>
      </c>
      <c r="AS49" s="39">
        <v>356</v>
      </c>
      <c r="AT49" s="37">
        <v>304</v>
      </c>
      <c r="AU49" s="39">
        <v>320</v>
      </c>
      <c r="AV49" s="39">
        <v>304</v>
      </c>
      <c r="AW49" s="39">
        <v>308</v>
      </c>
      <c r="AX49" s="39">
        <v>365</v>
      </c>
      <c r="AY49" s="39">
        <v>376</v>
      </c>
      <c r="AZ49" s="39">
        <v>159</v>
      </c>
      <c r="BA49" s="37">
        <v>169</v>
      </c>
      <c r="BB49" s="39">
        <v>159</v>
      </c>
      <c r="BC49" s="39">
        <v>161</v>
      </c>
      <c r="BD49" s="39">
        <v>164</v>
      </c>
      <c r="BE49" s="39">
        <v>164</v>
      </c>
      <c r="BF49" s="39">
        <v>83</v>
      </c>
      <c r="BG49" s="37">
        <v>23</v>
      </c>
      <c r="BH49" s="39">
        <v>23</v>
      </c>
      <c r="BI49" s="39">
        <v>17</v>
      </c>
      <c r="BJ49" s="39">
        <v>15</v>
      </c>
      <c r="BK49" s="42">
        <v>19</v>
      </c>
      <c r="BL49" s="37" t="s">
        <v>54</v>
      </c>
      <c r="BM49" s="39">
        <v>143</v>
      </c>
      <c r="BN49" s="39">
        <v>136</v>
      </c>
      <c r="BO49" s="39">
        <v>180</v>
      </c>
      <c r="BP49" s="39">
        <v>161</v>
      </c>
      <c r="BQ49" s="37" t="s">
        <v>54</v>
      </c>
      <c r="BR49" s="39">
        <v>168</v>
      </c>
      <c r="BS49" s="39">
        <v>181</v>
      </c>
      <c r="BT49" s="60" t="s">
        <v>13</v>
      </c>
    </row>
    <row r="50" spans="1:80" ht="23.25" customHeight="1">
      <c r="A50" s="34" t="s">
        <v>14</v>
      </c>
      <c r="B50" s="34"/>
      <c r="C50" s="35">
        <v>80</v>
      </c>
      <c r="D50" s="35">
        <v>161</v>
      </c>
      <c r="E50" s="35">
        <v>184</v>
      </c>
      <c r="F50" s="36">
        <v>214</v>
      </c>
      <c r="G50" s="37">
        <v>173</v>
      </c>
      <c r="H50" s="38">
        <v>201</v>
      </c>
      <c r="I50" s="39">
        <v>193</v>
      </c>
      <c r="J50" s="39">
        <v>258</v>
      </c>
      <c r="K50" s="39">
        <v>218</v>
      </c>
      <c r="L50" s="40">
        <v>202</v>
      </c>
      <c r="M50" s="40">
        <v>320</v>
      </c>
      <c r="N50" s="40">
        <v>358</v>
      </c>
      <c r="O50" s="39">
        <v>388</v>
      </c>
      <c r="P50" s="37">
        <v>396</v>
      </c>
      <c r="Q50" s="39">
        <v>402</v>
      </c>
      <c r="R50" s="39">
        <v>131</v>
      </c>
      <c r="S50" s="39">
        <v>98</v>
      </c>
      <c r="T50" s="39">
        <v>141</v>
      </c>
      <c r="U50" s="39">
        <v>190</v>
      </c>
      <c r="V50" s="41" t="s">
        <v>53</v>
      </c>
      <c r="W50" s="39">
        <v>56</v>
      </c>
      <c r="X50" s="39">
        <v>197</v>
      </c>
      <c r="Y50" s="39">
        <v>446</v>
      </c>
      <c r="Z50" s="39">
        <v>388</v>
      </c>
      <c r="AA50" s="42">
        <v>400</v>
      </c>
      <c r="AB50" s="39">
        <v>246</v>
      </c>
      <c r="AC50" s="39">
        <v>235</v>
      </c>
      <c r="AD50" s="39">
        <v>168</v>
      </c>
      <c r="AE50" s="41" t="s">
        <v>53</v>
      </c>
      <c r="AF50" s="39">
        <v>233</v>
      </c>
      <c r="AG50" s="39">
        <v>348</v>
      </c>
      <c r="AH50" s="39">
        <v>183</v>
      </c>
      <c r="AI50" s="39">
        <v>149</v>
      </c>
      <c r="AJ50" s="39">
        <v>277</v>
      </c>
      <c r="AK50" s="39">
        <v>391</v>
      </c>
      <c r="AL50" s="37">
        <v>377</v>
      </c>
      <c r="AM50" s="39">
        <v>314</v>
      </c>
      <c r="AN50" s="39">
        <v>281</v>
      </c>
      <c r="AO50" s="39">
        <v>369</v>
      </c>
      <c r="AP50" s="41" t="s">
        <v>53</v>
      </c>
      <c r="AQ50" s="39">
        <v>231</v>
      </c>
      <c r="AR50" s="39">
        <v>436</v>
      </c>
      <c r="AS50" s="39">
        <v>393</v>
      </c>
      <c r="AT50" s="37">
        <v>356</v>
      </c>
      <c r="AU50" s="39">
        <v>343</v>
      </c>
      <c r="AV50" s="39">
        <v>364</v>
      </c>
      <c r="AW50" s="39">
        <v>327</v>
      </c>
      <c r="AX50" s="39">
        <v>397</v>
      </c>
      <c r="AY50" s="39">
        <v>414</v>
      </c>
      <c r="AZ50" s="39">
        <v>176</v>
      </c>
      <c r="BA50" s="37">
        <v>170</v>
      </c>
      <c r="BB50" s="39">
        <v>163</v>
      </c>
      <c r="BC50" s="39">
        <v>174</v>
      </c>
      <c r="BD50" s="39">
        <v>169</v>
      </c>
      <c r="BE50" s="39">
        <v>178</v>
      </c>
      <c r="BF50" s="39">
        <v>108</v>
      </c>
      <c r="BG50" s="37">
        <v>25</v>
      </c>
      <c r="BH50" s="39">
        <v>23</v>
      </c>
      <c r="BI50" s="39">
        <v>20</v>
      </c>
      <c r="BJ50" s="39">
        <v>19</v>
      </c>
      <c r="BK50" s="42">
        <v>17</v>
      </c>
      <c r="BL50" s="37" t="s">
        <v>54</v>
      </c>
      <c r="BM50" s="39">
        <v>114</v>
      </c>
      <c r="BN50" s="39">
        <v>148</v>
      </c>
      <c r="BO50" s="39">
        <v>156</v>
      </c>
      <c r="BP50" s="39">
        <v>160</v>
      </c>
      <c r="BQ50" s="37" t="s">
        <v>54</v>
      </c>
      <c r="BR50" s="39">
        <v>150</v>
      </c>
      <c r="BS50" s="39">
        <v>202</v>
      </c>
      <c r="BT50" s="60" t="s">
        <v>15</v>
      </c>
    </row>
    <row r="51" spans="1:80" ht="23.25" customHeight="1">
      <c r="A51" s="34" t="s">
        <v>16</v>
      </c>
      <c r="B51" s="34"/>
      <c r="C51" s="35">
        <v>147</v>
      </c>
      <c r="D51" s="35">
        <v>149</v>
      </c>
      <c r="E51" s="35">
        <v>190</v>
      </c>
      <c r="F51" s="36">
        <v>192</v>
      </c>
      <c r="G51" s="37">
        <v>173</v>
      </c>
      <c r="H51" s="38">
        <v>192</v>
      </c>
      <c r="I51" s="39">
        <v>211</v>
      </c>
      <c r="J51" s="39">
        <v>245</v>
      </c>
      <c r="K51" s="39">
        <v>213</v>
      </c>
      <c r="L51" s="40">
        <v>192</v>
      </c>
      <c r="M51" s="40">
        <v>358</v>
      </c>
      <c r="N51" s="40">
        <v>268</v>
      </c>
      <c r="O51" s="39">
        <v>354</v>
      </c>
      <c r="P51" s="37">
        <v>390</v>
      </c>
      <c r="Q51" s="39">
        <v>368</v>
      </c>
      <c r="R51" s="39">
        <v>167</v>
      </c>
      <c r="S51" s="39">
        <v>131</v>
      </c>
      <c r="T51" s="39">
        <v>174</v>
      </c>
      <c r="U51" s="39">
        <v>166</v>
      </c>
      <c r="V51" s="41" t="s">
        <v>53</v>
      </c>
      <c r="W51" s="39">
        <v>42</v>
      </c>
      <c r="X51" s="39">
        <v>241</v>
      </c>
      <c r="Y51" s="39">
        <v>436</v>
      </c>
      <c r="Z51" s="39">
        <v>438</v>
      </c>
      <c r="AA51" s="42">
        <v>412</v>
      </c>
      <c r="AB51" s="39">
        <v>230</v>
      </c>
      <c r="AC51" s="39">
        <v>229</v>
      </c>
      <c r="AD51" s="39">
        <v>139</v>
      </c>
      <c r="AE51" s="41" t="s">
        <v>53</v>
      </c>
      <c r="AF51" s="39">
        <v>226</v>
      </c>
      <c r="AG51" s="39">
        <v>284</v>
      </c>
      <c r="AH51" s="39">
        <v>138</v>
      </c>
      <c r="AI51" s="39">
        <v>120</v>
      </c>
      <c r="AJ51" s="39">
        <v>278</v>
      </c>
      <c r="AK51" s="39">
        <v>390</v>
      </c>
      <c r="AL51" s="37">
        <v>367</v>
      </c>
      <c r="AM51" s="39">
        <v>314</v>
      </c>
      <c r="AN51" s="39">
        <v>289</v>
      </c>
      <c r="AO51" s="39">
        <v>346</v>
      </c>
      <c r="AP51" s="41" t="s">
        <v>53</v>
      </c>
      <c r="AQ51" s="39">
        <v>239</v>
      </c>
      <c r="AR51" s="39">
        <v>437</v>
      </c>
      <c r="AS51" s="39">
        <v>358</v>
      </c>
      <c r="AT51" s="37">
        <v>341</v>
      </c>
      <c r="AU51" s="39">
        <v>328</v>
      </c>
      <c r="AV51" s="39">
        <v>289</v>
      </c>
      <c r="AW51" s="39">
        <v>316</v>
      </c>
      <c r="AX51" s="39">
        <v>353</v>
      </c>
      <c r="AY51" s="39">
        <v>471</v>
      </c>
      <c r="AZ51" s="39">
        <v>175</v>
      </c>
      <c r="BA51" s="37">
        <v>175</v>
      </c>
      <c r="BB51" s="39">
        <v>154</v>
      </c>
      <c r="BC51" s="39">
        <v>158</v>
      </c>
      <c r="BD51" s="39">
        <v>164</v>
      </c>
      <c r="BE51" s="39">
        <v>165</v>
      </c>
      <c r="BF51" s="39">
        <v>112</v>
      </c>
      <c r="BG51" s="37">
        <v>26</v>
      </c>
      <c r="BH51" s="39">
        <v>21</v>
      </c>
      <c r="BI51" s="39">
        <v>22</v>
      </c>
      <c r="BJ51" s="39">
        <v>21</v>
      </c>
      <c r="BK51" s="42">
        <v>21</v>
      </c>
      <c r="BL51" s="37" t="s">
        <v>54</v>
      </c>
      <c r="BM51" s="39">
        <v>106</v>
      </c>
      <c r="BN51" s="39">
        <v>156</v>
      </c>
      <c r="BO51" s="39">
        <v>146</v>
      </c>
      <c r="BP51" s="39">
        <v>156</v>
      </c>
      <c r="BQ51" s="37" t="s">
        <v>54</v>
      </c>
      <c r="BR51" s="39">
        <v>161</v>
      </c>
      <c r="BS51" s="39">
        <v>181</v>
      </c>
      <c r="BT51" s="60" t="s">
        <v>17</v>
      </c>
      <c r="BY51" s="21"/>
      <c r="BZ51" s="21"/>
      <c r="CA51" s="21"/>
      <c r="CB51" s="21"/>
    </row>
    <row r="52" spans="1:80" ht="23.25" customHeight="1">
      <c r="A52" s="34" t="s">
        <v>18</v>
      </c>
      <c r="B52" s="34"/>
      <c r="C52" s="35">
        <v>128</v>
      </c>
      <c r="D52" s="35">
        <v>139</v>
      </c>
      <c r="E52" s="35">
        <v>178</v>
      </c>
      <c r="F52" s="36">
        <v>186</v>
      </c>
      <c r="G52" s="37">
        <v>182</v>
      </c>
      <c r="H52" s="38">
        <v>194</v>
      </c>
      <c r="I52" s="39">
        <v>209</v>
      </c>
      <c r="J52" s="39">
        <v>200</v>
      </c>
      <c r="K52" s="39">
        <v>220</v>
      </c>
      <c r="L52" s="40">
        <v>274</v>
      </c>
      <c r="M52" s="40">
        <v>284</v>
      </c>
      <c r="N52" s="40">
        <v>274</v>
      </c>
      <c r="O52" s="39">
        <v>368</v>
      </c>
      <c r="P52" s="37">
        <v>356</v>
      </c>
      <c r="Q52" s="39">
        <v>364</v>
      </c>
      <c r="R52" s="39">
        <v>102</v>
      </c>
      <c r="S52" s="39">
        <v>99</v>
      </c>
      <c r="T52" s="39">
        <v>130</v>
      </c>
      <c r="U52" s="39">
        <v>154</v>
      </c>
      <c r="V52" s="41" t="s">
        <v>53</v>
      </c>
      <c r="W52" s="39">
        <v>68</v>
      </c>
      <c r="X52" s="39">
        <v>233</v>
      </c>
      <c r="Y52" s="39">
        <v>380</v>
      </c>
      <c r="Z52" s="39">
        <v>372</v>
      </c>
      <c r="AA52" s="42">
        <v>426</v>
      </c>
      <c r="AB52" s="39">
        <v>236</v>
      </c>
      <c r="AC52" s="39">
        <v>222</v>
      </c>
      <c r="AD52" s="39">
        <v>136</v>
      </c>
      <c r="AE52" s="41" t="s">
        <v>53</v>
      </c>
      <c r="AF52" s="39">
        <v>180</v>
      </c>
      <c r="AG52" s="39">
        <v>382</v>
      </c>
      <c r="AH52" s="39">
        <v>168</v>
      </c>
      <c r="AI52" s="39">
        <v>147</v>
      </c>
      <c r="AJ52" s="39">
        <v>211</v>
      </c>
      <c r="AK52" s="39">
        <v>411</v>
      </c>
      <c r="AL52" s="37">
        <v>397</v>
      </c>
      <c r="AM52" s="39">
        <v>370</v>
      </c>
      <c r="AN52" s="39">
        <v>325</v>
      </c>
      <c r="AO52" s="39">
        <v>527</v>
      </c>
      <c r="AP52" s="41" t="s">
        <v>53</v>
      </c>
      <c r="AQ52" s="39">
        <v>288</v>
      </c>
      <c r="AR52" s="39">
        <v>454</v>
      </c>
      <c r="AS52" s="39">
        <v>370</v>
      </c>
      <c r="AT52" s="37">
        <v>341</v>
      </c>
      <c r="AU52" s="39">
        <v>321</v>
      </c>
      <c r="AV52" s="39">
        <v>259</v>
      </c>
      <c r="AW52" s="39">
        <v>319</v>
      </c>
      <c r="AX52" s="39">
        <v>336</v>
      </c>
      <c r="AY52" s="39">
        <v>428</v>
      </c>
      <c r="AZ52" s="39">
        <v>181</v>
      </c>
      <c r="BA52" s="37">
        <v>166</v>
      </c>
      <c r="BB52" s="39">
        <v>163</v>
      </c>
      <c r="BC52" s="39">
        <v>142</v>
      </c>
      <c r="BD52" s="39">
        <v>158</v>
      </c>
      <c r="BE52" s="39">
        <v>149</v>
      </c>
      <c r="BF52" s="39">
        <v>91</v>
      </c>
      <c r="BG52" s="37">
        <v>28</v>
      </c>
      <c r="BH52" s="39">
        <v>21</v>
      </c>
      <c r="BI52" s="39">
        <v>20</v>
      </c>
      <c r="BJ52" s="39">
        <v>16</v>
      </c>
      <c r="BK52" s="42">
        <v>15</v>
      </c>
      <c r="BL52" s="37">
        <v>9</v>
      </c>
      <c r="BM52" s="39">
        <v>90</v>
      </c>
      <c r="BN52" s="39">
        <v>160</v>
      </c>
      <c r="BO52" s="39">
        <v>146</v>
      </c>
      <c r="BP52" s="39">
        <v>182</v>
      </c>
      <c r="BQ52" s="37" t="s">
        <v>54</v>
      </c>
      <c r="BR52" s="39">
        <v>148</v>
      </c>
      <c r="BS52" s="39">
        <v>184</v>
      </c>
      <c r="BT52" s="60" t="s">
        <v>19</v>
      </c>
    </row>
    <row r="53" spans="1:80" ht="23.25" customHeight="1">
      <c r="A53" s="34" t="s">
        <v>20</v>
      </c>
      <c r="B53" s="34"/>
      <c r="C53" s="35">
        <v>137</v>
      </c>
      <c r="D53" s="35">
        <v>136</v>
      </c>
      <c r="E53" s="35">
        <v>192</v>
      </c>
      <c r="F53" s="36">
        <v>180</v>
      </c>
      <c r="G53" s="37">
        <v>174</v>
      </c>
      <c r="H53" s="38">
        <v>185</v>
      </c>
      <c r="I53" s="39">
        <v>192</v>
      </c>
      <c r="J53" s="39">
        <v>175</v>
      </c>
      <c r="K53" s="39">
        <v>185</v>
      </c>
      <c r="L53" s="40">
        <v>278</v>
      </c>
      <c r="M53" s="40">
        <v>318</v>
      </c>
      <c r="N53" s="40">
        <v>328</v>
      </c>
      <c r="O53" s="39">
        <v>346</v>
      </c>
      <c r="P53" s="37">
        <v>340</v>
      </c>
      <c r="Q53" s="39">
        <v>336</v>
      </c>
      <c r="R53" s="39">
        <v>127</v>
      </c>
      <c r="S53" s="39">
        <v>102</v>
      </c>
      <c r="T53" s="39">
        <v>173</v>
      </c>
      <c r="U53" s="39">
        <v>169</v>
      </c>
      <c r="V53" s="41" t="s">
        <v>53</v>
      </c>
      <c r="W53" s="39">
        <v>58</v>
      </c>
      <c r="X53" s="39">
        <v>225</v>
      </c>
      <c r="Y53" s="39">
        <v>376</v>
      </c>
      <c r="Z53" s="39">
        <v>356</v>
      </c>
      <c r="AA53" s="42">
        <v>406</v>
      </c>
      <c r="AB53" s="39">
        <v>231</v>
      </c>
      <c r="AC53" s="39">
        <v>138</v>
      </c>
      <c r="AD53" s="39">
        <v>198</v>
      </c>
      <c r="AE53" s="41" t="s">
        <v>53</v>
      </c>
      <c r="AF53" s="39">
        <v>150</v>
      </c>
      <c r="AG53" s="39">
        <v>354</v>
      </c>
      <c r="AH53" s="39">
        <v>168</v>
      </c>
      <c r="AI53" s="39">
        <v>137</v>
      </c>
      <c r="AJ53" s="39">
        <v>190</v>
      </c>
      <c r="AK53" s="39">
        <v>407</v>
      </c>
      <c r="AL53" s="37">
        <v>345</v>
      </c>
      <c r="AM53" s="39">
        <v>327</v>
      </c>
      <c r="AN53" s="39">
        <v>395</v>
      </c>
      <c r="AO53" s="39">
        <v>374</v>
      </c>
      <c r="AP53" s="41" t="s">
        <v>53</v>
      </c>
      <c r="AQ53" s="39">
        <v>292</v>
      </c>
      <c r="AR53" s="39">
        <v>442</v>
      </c>
      <c r="AS53" s="39">
        <v>331</v>
      </c>
      <c r="AT53" s="37">
        <v>302</v>
      </c>
      <c r="AU53" s="39">
        <v>286</v>
      </c>
      <c r="AV53" s="39">
        <v>341</v>
      </c>
      <c r="AW53" s="39">
        <v>310</v>
      </c>
      <c r="AX53" s="39">
        <v>340</v>
      </c>
      <c r="AY53" s="39">
        <v>450</v>
      </c>
      <c r="AZ53" s="39">
        <v>168</v>
      </c>
      <c r="BA53" s="37">
        <v>146</v>
      </c>
      <c r="BB53" s="39">
        <v>144</v>
      </c>
      <c r="BC53" s="39">
        <v>145</v>
      </c>
      <c r="BD53" s="39">
        <v>155</v>
      </c>
      <c r="BE53" s="39">
        <v>153</v>
      </c>
      <c r="BF53" s="39">
        <v>68</v>
      </c>
      <c r="BG53" s="37">
        <v>28</v>
      </c>
      <c r="BH53" s="39">
        <v>18</v>
      </c>
      <c r="BI53" s="39">
        <v>20</v>
      </c>
      <c r="BJ53" s="39">
        <v>19</v>
      </c>
      <c r="BK53" s="42">
        <v>20</v>
      </c>
      <c r="BL53" s="37">
        <v>43</v>
      </c>
      <c r="BM53" s="39">
        <v>86</v>
      </c>
      <c r="BN53" s="39">
        <v>147</v>
      </c>
      <c r="BO53" s="39">
        <v>150</v>
      </c>
      <c r="BP53" s="39">
        <v>151</v>
      </c>
      <c r="BQ53" s="37" t="s">
        <v>54</v>
      </c>
      <c r="BR53" s="39">
        <v>123</v>
      </c>
      <c r="BS53" s="39">
        <v>166</v>
      </c>
      <c r="BT53" s="60" t="s">
        <v>21</v>
      </c>
    </row>
    <row r="54" spans="1:80" ht="23.25" customHeight="1">
      <c r="A54" s="34" t="s">
        <v>22</v>
      </c>
      <c r="B54" s="34"/>
      <c r="C54" s="35">
        <v>178</v>
      </c>
      <c r="D54" s="35">
        <v>154</v>
      </c>
      <c r="E54" s="35">
        <v>189</v>
      </c>
      <c r="F54" s="36">
        <v>178</v>
      </c>
      <c r="G54" s="37">
        <v>168</v>
      </c>
      <c r="H54" s="38">
        <v>193</v>
      </c>
      <c r="I54" s="39">
        <v>215</v>
      </c>
      <c r="J54" s="39">
        <v>195</v>
      </c>
      <c r="K54" s="39">
        <v>195</v>
      </c>
      <c r="L54" s="40">
        <v>322</v>
      </c>
      <c r="M54" s="40">
        <v>372</v>
      </c>
      <c r="N54" s="40">
        <v>308</v>
      </c>
      <c r="O54" s="39">
        <v>362</v>
      </c>
      <c r="P54" s="37">
        <v>356</v>
      </c>
      <c r="Q54" s="39">
        <v>402</v>
      </c>
      <c r="R54" s="39">
        <v>161</v>
      </c>
      <c r="S54" s="39">
        <v>146</v>
      </c>
      <c r="T54" s="39">
        <v>124</v>
      </c>
      <c r="U54" s="39">
        <v>161</v>
      </c>
      <c r="V54" s="41" t="s">
        <v>53</v>
      </c>
      <c r="W54" s="39">
        <v>60</v>
      </c>
      <c r="X54" s="39">
        <v>228</v>
      </c>
      <c r="Y54" s="39">
        <v>442</v>
      </c>
      <c r="Z54" s="39">
        <v>370</v>
      </c>
      <c r="AA54" s="42">
        <v>402</v>
      </c>
      <c r="AB54" s="39">
        <v>247</v>
      </c>
      <c r="AC54" s="39">
        <v>132</v>
      </c>
      <c r="AD54" s="39">
        <v>211</v>
      </c>
      <c r="AE54" s="41" t="s">
        <v>53</v>
      </c>
      <c r="AF54" s="39">
        <v>226</v>
      </c>
      <c r="AG54" s="39">
        <v>337</v>
      </c>
      <c r="AH54" s="39">
        <v>189</v>
      </c>
      <c r="AI54" s="39">
        <v>148</v>
      </c>
      <c r="AJ54" s="39">
        <v>151</v>
      </c>
      <c r="AK54" s="39">
        <v>452</v>
      </c>
      <c r="AL54" s="37">
        <v>353</v>
      </c>
      <c r="AM54" s="39">
        <v>338</v>
      </c>
      <c r="AN54" s="39">
        <v>428</v>
      </c>
      <c r="AO54" s="39">
        <v>403</v>
      </c>
      <c r="AP54" s="41" t="s">
        <v>53</v>
      </c>
      <c r="AQ54" s="39">
        <v>302</v>
      </c>
      <c r="AR54" s="39">
        <v>430</v>
      </c>
      <c r="AS54" s="39">
        <v>346</v>
      </c>
      <c r="AT54" s="37">
        <v>330</v>
      </c>
      <c r="AU54" s="39">
        <v>296</v>
      </c>
      <c r="AV54" s="39">
        <v>254</v>
      </c>
      <c r="AW54" s="39">
        <v>366</v>
      </c>
      <c r="AX54" s="39">
        <v>378</v>
      </c>
      <c r="AY54" s="39">
        <v>478</v>
      </c>
      <c r="AZ54" s="39">
        <v>173</v>
      </c>
      <c r="BA54" s="37">
        <v>152</v>
      </c>
      <c r="BB54" s="39">
        <v>162</v>
      </c>
      <c r="BC54" s="39">
        <v>154</v>
      </c>
      <c r="BD54" s="39">
        <v>166</v>
      </c>
      <c r="BE54" s="39">
        <v>153</v>
      </c>
      <c r="BF54" s="39">
        <v>58</v>
      </c>
      <c r="BG54" s="37">
        <v>26</v>
      </c>
      <c r="BH54" s="39">
        <v>25</v>
      </c>
      <c r="BI54" s="39">
        <v>21</v>
      </c>
      <c r="BJ54" s="39">
        <v>19</v>
      </c>
      <c r="BK54" s="42">
        <v>23</v>
      </c>
      <c r="BL54" s="37">
        <v>39</v>
      </c>
      <c r="BM54" s="39">
        <v>120</v>
      </c>
      <c r="BN54" s="39">
        <v>155</v>
      </c>
      <c r="BO54" s="39">
        <v>169</v>
      </c>
      <c r="BP54" s="39">
        <v>165</v>
      </c>
      <c r="BQ54" s="37" t="s">
        <v>54</v>
      </c>
      <c r="BR54" s="39">
        <v>157</v>
      </c>
      <c r="BS54" s="39">
        <v>176</v>
      </c>
      <c r="BT54" s="60" t="s">
        <v>23</v>
      </c>
      <c r="BY54" s="21"/>
      <c r="BZ54" s="21"/>
      <c r="CA54" s="21"/>
      <c r="CB54" s="21"/>
    </row>
    <row r="55" spans="1:80" ht="23.25" customHeight="1">
      <c r="A55" s="34" t="s">
        <v>24</v>
      </c>
      <c r="B55" s="34"/>
      <c r="C55" s="35">
        <v>139</v>
      </c>
      <c r="D55" s="35">
        <v>153</v>
      </c>
      <c r="E55" s="35">
        <v>200</v>
      </c>
      <c r="F55" s="36">
        <v>189</v>
      </c>
      <c r="G55" s="37">
        <v>173</v>
      </c>
      <c r="H55" s="38">
        <v>214</v>
      </c>
      <c r="I55" s="39">
        <v>217</v>
      </c>
      <c r="J55" s="39">
        <v>210</v>
      </c>
      <c r="K55" s="39">
        <v>221</v>
      </c>
      <c r="L55" s="40">
        <v>254</v>
      </c>
      <c r="M55" s="40">
        <v>362</v>
      </c>
      <c r="N55" s="40">
        <v>464</v>
      </c>
      <c r="O55" s="39">
        <v>392</v>
      </c>
      <c r="P55" s="37">
        <v>346</v>
      </c>
      <c r="Q55" s="39">
        <v>438</v>
      </c>
      <c r="R55" s="39">
        <v>121</v>
      </c>
      <c r="S55" s="39">
        <v>145</v>
      </c>
      <c r="T55" s="39">
        <v>138</v>
      </c>
      <c r="U55" s="39">
        <v>159</v>
      </c>
      <c r="V55" s="41" t="s">
        <v>53</v>
      </c>
      <c r="W55" s="39">
        <v>66</v>
      </c>
      <c r="X55" s="39">
        <v>226</v>
      </c>
      <c r="Y55" s="39">
        <v>436</v>
      </c>
      <c r="Z55" s="39">
        <v>412</v>
      </c>
      <c r="AA55" s="42">
        <v>424</v>
      </c>
      <c r="AB55" s="39">
        <v>226</v>
      </c>
      <c r="AC55" s="39">
        <v>99</v>
      </c>
      <c r="AD55" s="39">
        <v>149</v>
      </c>
      <c r="AE55" s="41" t="s">
        <v>53</v>
      </c>
      <c r="AF55" s="39">
        <v>250</v>
      </c>
      <c r="AG55" s="39">
        <v>402</v>
      </c>
      <c r="AH55" s="39">
        <v>146</v>
      </c>
      <c r="AI55" s="39">
        <v>180</v>
      </c>
      <c r="AJ55" s="39">
        <v>177</v>
      </c>
      <c r="AK55" s="39">
        <v>464</v>
      </c>
      <c r="AL55" s="37">
        <v>365</v>
      </c>
      <c r="AM55" s="39">
        <v>381</v>
      </c>
      <c r="AN55" s="39">
        <v>421</v>
      </c>
      <c r="AO55" s="39">
        <v>450</v>
      </c>
      <c r="AP55" s="41" t="s">
        <v>53</v>
      </c>
      <c r="AQ55" s="39">
        <v>333</v>
      </c>
      <c r="AR55" s="39">
        <v>420</v>
      </c>
      <c r="AS55" s="39">
        <v>370</v>
      </c>
      <c r="AT55" s="37">
        <v>341</v>
      </c>
      <c r="AU55" s="39">
        <v>329</v>
      </c>
      <c r="AV55" s="39">
        <v>159</v>
      </c>
      <c r="AW55" s="39">
        <v>397</v>
      </c>
      <c r="AX55" s="39">
        <v>430</v>
      </c>
      <c r="AY55" s="39">
        <v>480</v>
      </c>
      <c r="AZ55" s="39">
        <v>172</v>
      </c>
      <c r="BA55" s="37">
        <v>163</v>
      </c>
      <c r="BB55" s="39">
        <v>156</v>
      </c>
      <c r="BC55" s="39">
        <v>148</v>
      </c>
      <c r="BD55" s="39">
        <v>165</v>
      </c>
      <c r="BE55" s="39">
        <v>161</v>
      </c>
      <c r="BF55" s="39">
        <v>60</v>
      </c>
      <c r="BG55" s="37">
        <v>26</v>
      </c>
      <c r="BH55" s="39">
        <v>19</v>
      </c>
      <c r="BI55" s="39">
        <v>22</v>
      </c>
      <c r="BJ55" s="39">
        <v>27</v>
      </c>
      <c r="BK55" s="42">
        <v>30</v>
      </c>
      <c r="BL55" s="37">
        <v>54</v>
      </c>
      <c r="BM55" s="39">
        <v>149</v>
      </c>
      <c r="BN55" s="39">
        <v>173</v>
      </c>
      <c r="BO55" s="39">
        <v>147</v>
      </c>
      <c r="BP55" s="39">
        <v>155</v>
      </c>
      <c r="BQ55" s="37" t="s">
        <v>54</v>
      </c>
      <c r="BR55" s="39">
        <v>172</v>
      </c>
      <c r="BS55" s="39">
        <v>189</v>
      </c>
      <c r="BT55" s="60" t="s">
        <v>25</v>
      </c>
    </row>
    <row r="56" spans="1:80" ht="23.25" customHeight="1">
      <c r="A56" s="34" t="s">
        <v>26</v>
      </c>
      <c r="B56" s="34"/>
      <c r="C56" s="35">
        <v>148</v>
      </c>
      <c r="D56" s="35">
        <v>155</v>
      </c>
      <c r="E56" s="35">
        <v>200</v>
      </c>
      <c r="F56" s="36">
        <v>185</v>
      </c>
      <c r="G56" s="37">
        <v>177</v>
      </c>
      <c r="H56" s="38">
        <v>233</v>
      </c>
      <c r="I56" s="39">
        <v>242</v>
      </c>
      <c r="J56" s="39">
        <v>215</v>
      </c>
      <c r="K56" s="39">
        <v>228</v>
      </c>
      <c r="L56" s="40">
        <v>272</v>
      </c>
      <c r="M56" s="40">
        <v>286</v>
      </c>
      <c r="N56" s="40">
        <v>376</v>
      </c>
      <c r="O56" s="39">
        <v>346</v>
      </c>
      <c r="P56" s="37">
        <v>320</v>
      </c>
      <c r="Q56" s="39">
        <v>432</v>
      </c>
      <c r="R56" s="39">
        <v>139</v>
      </c>
      <c r="S56" s="39">
        <v>100</v>
      </c>
      <c r="T56" s="39">
        <v>202</v>
      </c>
      <c r="U56" s="39">
        <v>139</v>
      </c>
      <c r="V56" s="41" t="s">
        <v>53</v>
      </c>
      <c r="W56" s="39">
        <v>54</v>
      </c>
      <c r="X56" s="39">
        <v>199</v>
      </c>
      <c r="Y56" s="39">
        <v>434</v>
      </c>
      <c r="Z56" s="39">
        <v>402</v>
      </c>
      <c r="AA56" s="42">
        <v>392</v>
      </c>
      <c r="AB56" s="39">
        <v>223</v>
      </c>
      <c r="AC56" s="39">
        <v>185</v>
      </c>
      <c r="AD56" s="39">
        <v>167</v>
      </c>
      <c r="AE56" s="41" t="s">
        <v>53</v>
      </c>
      <c r="AF56" s="39">
        <v>308</v>
      </c>
      <c r="AG56" s="39">
        <v>387</v>
      </c>
      <c r="AH56" s="39">
        <v>172</v>
      </c>
      <c r="AI56" s="39">
        <v>191</v>
      </c>
      <c r="AJ56" s="39">
        <v>178</v>
      </c>
      <c r="AK56" s="39">
        <v>409</v>
      </c>
      <c r="AL56" s="37">
        <v>341</v>
      </c>
      <c r="AM56" s="39">
        <v>317</v>
      </c>
      <c r="AN56" s="39">
        <v>419</v>
      </c>
      <c r="AO56" s="39">
        <v>375</v>
      </c>
      <c r="AP56" s="41" t="s">
        <v>53</v>
      </c>
      <c r="AQ56" s="39">
        <v>335</v>
      </c>
      <c r="AR56" s="39">
        <v>318</v>
      </c>
      <c r="AS56" s="39">
        <v>357</v>
      </c>
      <c r="AT56" s="37">
        <v>314</v>
      </c>
      <c r="AU56" s="39">
        <v>331</v>
      </c>
      <c r="AV56" s="39">
        <v>159</v>
      </c>
      <c r="AW56" s="39">
        <v>362</v>
      </c>
      <c r="AX56" s="39">
        <v>360</v>
      </c>
      <c r="AY56" s="39">
        <v>380</v>
      </c>
      <c r="AZ56" s="39">
        <v>166</v>
      </c>
      <c r="BA56" s="37">
        <v>151</v>
      </c>
      <c r="BB56" s="39">
        <v>155</v>
      </c>
      <c r="BC56" s="39">
        <v>166</v>
      </c>
      <c r="BD56" s="39">
        <v>158</v>
      </c>
      <c r="BE56" s="39">
        <v>154</v>
      </c>
      <c r="BF56" s="39">
        <v>46</v>
      </c>
      <c r="BG56" s="37">
        <v>32</v>
      </c>
      <c r="BH56" s="39">
        <v>24</v>
      </c>
      <c r="BI56" s="39">
        <v>21</v>
      </c>
      <c r="BJ56" s="39">
        <v>23</v>
      </c>
      <c r="BK56" s="42">
        <v>21</v>
      </c>
      <c r="BL56" s="37">
        <v>69</v>
      </c>
      <c r="BM56" s="39">
        <v>130</v>
      </c>
      <c r="BN56" s="39">
        <v>173</v>
      </c>
      <c r="BO56" s="39">
        <v>141</v>
      </c>
      <c r="BP56" s="39">
        <v>154</v>
      </c>
      <c r="BQ56" s="37" t="s">
        <v>54</v>
      </c>
      <c r="BR56" s="39">
        <v>165</v>
      </c>
      <c r="BS56" s="39">
        <v>161</v>
      </c>
      <c r="BT56" s="60" t="s">
        <v>27</v>
      </c>
    </row>
    <row r="57" spans="1:80" ht="23.25" customHeight="1">
      <c r="A57" s="34" t="s">
        <v>28</v>
      </c>
      <c r="B57" s="34"/>
      <c r="C57" s="35">
        <v>144</v>
      </c>
      <c r="D57" s="35">
        <v>157</v>
      </c>
      <c r="E57" s="35">
        <v>204</v>
      </c>
      <c r="F57" s="36">
        <v>180</v>
      </c>
      <c r="G57" s="37">
        <v>163</v>
      </c>
      <c r="H57" s="38">
        <v>228</v>
      </c>
      <c r="I57" s="39">
        <v>238</v>
      </c>
      <c r="J57" s="39">
        <v>168</v>
      </c>
      <c r="K57" s="39">
        <v>217</v>
      </c>
      <c r="L57" s="40">
        <v>190</v>
      </c>
      <c r="M57" s="40">
        <v>272</v>
      </c>
      <c r="N57" s="40">
        <v>380</v>
      </c>
      <c r="O57" s="39">
        <v>366</v>
      </c>
      <c r="P57" s="37">
        <v>334</v>
      </c>
      <c r="Q57" s="39">
        <v>492</v>
      </c>
      <c r="R57" s="39">
        <v>104</v>
      </c>
      <c r="S57" s="39">
        <v>122</v>
      </c>
      <c r="T57" s="39">
        <v>165</v>
      </c>
      <c r="U57" s="39">
        <v>177</v>
      </c>
      <c r="V57" s="39">
        <v>4</v>
      </c>
      <c r="W57" s="39">
        <v>52</v>
      </c>
      <c r="X57" s="39">
        <v>210</v>
      </c>
      <c r="Y57" s="39">
        <v>446</v>
      </c>
      <c r="Z57" s="39">
        <v>394</v>
      </c>
      <c r="AA57" s="42">
        <v>408</v>
      </c>
      <c r="AB57" s="39">
        <v>251</v>
      </c>
      <c r="AC57" s="39">
        <v>104</v>
      </c>
      <c r="AD57" s="39">
        <v>172</v>
      </c>
      <c r="AE57" s="39">
        <v>186</v>
      </c>
      <c r="AF57" s="39">
        <v>365</v>
      </c>
      <c r="AG57" s="39">
        <v>439</v>
      </c>
      <c r="AH57" s="39">
        <v>122</v>
      </c>
      <c r="AI57" s="39">
        <v>105</v>
      </c>
      <c r="AJ57" s="39">
        <v>151</v>
      </c>
      <c r="AK57" s="39">
        <v>451</v>
      </c>
      <c r="AL57" s="37">
        <v>336</v>
      </c>
      <c r="AM57" s="39">
        <v>326</v>
      </c>
      <c r="AN57" s="39">
        <v>402</v>
      </c>
      <c r="AO57" s="39">
        <v>414</v>
      </c>
      <c r="AP57" s="39">
        <v>30</v>
      </c>
      <c r="AQ57" s="39">
        <v>357</v>
      </c>
      <c r="AR57" s="39">
        <v>350</v>
      </c>
      <c r="AS57" s="39">
        <v>368</v>
      </c>
      <c r="AT57" s="37">
        <v>328</v>
      </c>
      <c r="AU57" s="39">
        <v>321</v>
      </c>
      <c r="AV57" s="39">
        <v>160</v>
      </c>
      <c r="AW57" s="39">
        <v>387</v>
      </c>
      <c r="AX57" s="39">
        <v>392</v>
      </c>
      <c r="AY57" s="39">
        <v>441</v>
      </c>
      <c r="AZ57" s="39">
        <v>185</v>
      </c>
      <c r="BA57" s="37">
        <v>173</v>
      </c>
      <c r="BB57" s="39">
        <v>167</v>
      </c>
      <c r="BC57" s="39">
        <v>163</v>
      </c>
      <c r="BD57" s="39">
        <v>167</v>
      </c>
      <c r="BE57" s="39">
        <v>165</v>
      </c>
      <c r="BF57" s="39">
        <v>54</v>
      </c>
      <c r="BG57" s="37">
        <v>27</v>
      </c>
      <c r="BH57" s="39">
        <v>20</v>
      </c>
      <c r="BI57" s="39">
        <v>19</v>
      </c>
      <c r="BJ57" s="39">
        <v>18</v>
      </c>
      <c r="BK57" s="42">
        <v>19</v>
      </c>
      <c r="BL57" s="37">
        <v>87</v>
      </c>
      <c r="BM57" s="39">
        <v>150</v>
      </c>
      <c r="BN57" s="39">
        <v>188</v>
      </c>
      <c r="BO57" s="39">
        <v>171</v>
      </c>
      <c r="BP57" s="39">
        <v>171</v>
      </c>
      <c r="BQ57" s="37">
        <v>132</v>
      </c>
      <c r="BR57" s="39">
        <v>180</v>
      </c>
      <c r="BS57" s="39">
        <v>186</v>
      </c>
      <c r="BT57" s="60" t="s">
        <v>29</v>
      </c>
      <c r="BY57" s="21"/>
      <c r="BZ57" s="21"/>
      <c r="CA57" s="21"/>
      <c r="CB57" s="21"/>
    </row>
    <row r="58" spans="1:80" ht="23.25" customHeight="1">
      <c r="A58" s="34" t="s">
        <v>30</v>
      </c>
      <c r="B58" s="34"/>
      <c r="C58" s="35">
        <v>151</v>
      </c>
      <c r="D58" s="35">
        <v>170</v>
      </c>
      <c r="E58" s="35">
        <v>203</v>
      </c>
      <c r="F58" s="36">
        <v>147</v>
      </c>
      <c r="G58" s="37">
        <v>179</v>
      </c>
      <c r="H58" s="38">
        <v>202</v>
      </c>
      <c r="I58" s="39">
        <v>241</v>
      </c>
      <c r="J58" s="39">
        <v>204</v>
      </c>
      <c r="K58" s="39">
        <v>226</v>
      </c>
      <c r="L58" s="40">
        <v>354</v>
      </c>
      <c r="M58" s="40">
        <v>282</v>
      </c>
      <c r="N58" s="40">
        <v>390</v>
      </c>
      <c r="O58" s="39">
        <v>374</v>
      </c>
      <c r="P58" s="37">
        <v>334</v>
      </c>
      <c r="Q58" s="39">
        <v>458</v>
      </c>
      <c r="R58" s="39">
        <v>142</v>
      </c>
      <c r="S58" s="39">
        <v>129</v>
      </c>
      <c r="T58" s="39">
        <v>199</v>
      </c>
      <c r="U58" s="39">
        <v>160</v>
      </c>
      <c r="V58" s="39">
        <v>144</v>
      </c>
      <c r="W58" s="39">
        <v>84</v>
      </c>
      <c r="X58" s="39">
        <v>253</v>
      </c>
      <c r="Y58" s="39">
        <v>410</v>
      </c>
      <c r="Z58" s="39">
        <v>390</v>
      </c>
      <c r="AA58" s="42">
        <v>348</v>
      </c>
      <c r="AB58" s="39">
        <v>224</v>
      </c>
      <c r="AC58" s="39">
        <v>162</v>
      </c>
      <c r="AD58" s="39">
        <v>177</v>
      </c>
      <c r="AE58" s="39">
        <v>275</v>
      </c>
      <c r="AF58" s="39">
        <v>325</v>
      </c>
      <c r="AG58" s="39">
        <v>415</v>
      </c>
      <c r="AH58" s="39">
        <v>133</v>
      </c>
      <c r="AI58" s="39">
        <v>148</v>
      </c>
      <c r="AJ58" s="39">
        <v>173</v>
      </c>
      <c r="AK58" s="39">
        <v>375</v>
      </c>
      <c r="AL58" s="37">
        <v>304</v>
      </c>
      <c r="AM58" s="39">
        <v>298</v>
      </c>
      <c r="AN58" s="39">
        <v>365</v>
      </c>
      <c r="AO58" s="39">
        <v>383</v>
      </c>
      <c r="AP58" s="39">
        <v>49</v>
      </c>
      <c r="AQ58" s="39">
        <v>365</v>
      </c>
      <c r="AR58" s="39">
        <v>349</v>
      </c>
      <c r="AS58" s="39">
        <v>309</v>
      </c>
      <c r="AT58" s="37">
        <v>319</v>
      </c>
      <c r="AU58" s="39">
        <v>324</v>
      </c>
      <c r="AV58" s="39">
        <v>159</v>
      </c>
      <c r="AW58" s="39">
        <v>370</v>
      </c>
      <c r="AX58" s="39">
        <v>379</v>
      </c>
      <c r="AY58" s="39">
        <v>374</v>
      </c>
      <c r="AZ58" s="39">
        <v>169</v>
      </c>
      <c r="BA58" s="37">
        <v>164</v>
      </c>
      <c r="BB58" s="39">
        <v>160</v>
      </c>
      <c r="BC58" s="39">
        <v>170</v>
      </c>
      <c r="BD58" s="39">
        <v>159</v>
      </c>
      <c r="BE58" s="39">
        <v>177</v>
      </c>
      <c r="BF58" s="39">
        <v>50</v>
      </c>
      <c r="BG58" s="37">
        <v>30</v>
      </c>
      <c r="BH58" s="39">
        <v>22</v>
      </c>
      <c r="BI58" s="39">
        <v>21</v>
      </c>
      <c r="BJ58" s="39">
        <v>24</v>
      </c>
      <c r="BK58" s="42">
        <v>17</v>
      </c>
      <c r="BL58" s="37">
        <v>127</v>
      </c>
      <c r="BM58" s="39">
        <v>132</v>
      </c>
      <c r="BN58" s="39">
        <v>164</v>
      </c>
      <c r="BO58" s="39">
        <v>156</v>
      </c>
      <c r="BP58" s="39">
        <v>168</v>
      </c>
      <c r="BQ58" s="37">
        <v>178</v>
      </c>
      <c r="BR58" s="39">
        <v>175</v>
      </c>
      <c r="BS58" s="39">
        <v>210</v>
      </c>
      <c r="BT58" s="60" t="s">
        <v>31</v>
      </c>
    </row>
    <row r="59" spans="1:80" ht="23.25" customHeight="1">
      <c r="A59" s="43" t="s">
        <v>32</v>
      </c>
      <c r="B59" s="43"/>
      <c r="C59" s="44">
        <v>134</v>
      </c>
      <c r="D59" s="44">
        <v>174</v>
      </c>
      <c r="E59" s="44">
        <v>220</v>
      </c>
      <c r="F59" s="45">
        <v>162</v>
      </c>
      <c r="G59" s="46">
        <v>199</v>
      </c>
      <c r="H59" s="47">
        <v>181</v>
      </c>
      <c r="I59" s="48">
        <v>267</v>
      </c>
      <c r="J59" s="48">
        <v>212</v>
      </c>
      <c r="K59" s="48">
        <v>205</v>
      </c>
      <c r="L59" s="49">
        <v>330</v>
      </c>
      <c r="M59" s="49">
        <v>368</v>
      </c>
      <c r="N59" s="49">
        <v>371</v>
      </c>
      <c r="O59" s="48">
        <v>398</v>
      </c>
      <c r="P59" s="46">
        <v>406</v>
      </c>
      <c r="Q59" s="48">
        <v>458</v>
      </c>
      <c r="R59" s="48">
        <v>121</v>
      </c>
      <c r="S59" s="48">
        <v>105</v>
      </c>
      <c r="T59" s="48">
        <v>170</v>
      </c>
      <c r="U59" s="48">
        <v>162</v>
      </c>
      <c r="V59" s="48">
        <v>114</v>
      </c>
      <c r="W59" s="48">
        <v>82</v>
      </c>
      <c r="X59" s="48">
        <v>222</v>
      </c>
      <c r="Y59" s="48">
        <v>418</v>
      </c>
      <c r="Z59" s="48">
        <v>390</v>
      </c>
      <c r="AA59" s="50">
        <v>412</v>
      </c>
      <c r="AB59" s="48">
        <v>220</v>
      </c>
      <c r="AC59" s="48">
        <v>216</v>
      </c>
      <c r="AD59" s="48">
        <v>195</v>
      </c>
      <c r="AE59" s="48">
        <v>308</v>
      </c>
      <c r="AF59" s="48">
        <v>350</v>
      </c>
      <c r="AG59" s="48">
        <v>405</v>
      </c>
      <c r="AH59" s="48">
        <v>167</v>
      </c>
      <c r="AI59" s="48">
        <v>268</v>
      </c>
      <c r="AJ59" s="48">
        <v>217</v>
      </c>
      <c r="AK59" s="48">
        <v>394</v>
      </c>
      <c r="AL59" s="46">
        <v>314</v>
      </c>
      <c r="AM59" s="48">
        <v>316</v>
      </c>
      <c r="AN59" s="48">
        <v>399</v>
      </c>
      <c r="AO59" s="48">
        <v>410</v>
      </c>
      <c r="AP59" s="48">
        <v>94</v>
      </c>
      <c r="AQ59" s="48">
        <v>369</v>
      </c>
      <c r="AR59" s="48">
        <v>346</v>
      </c>
      <c r="AS59" s="48">
        <v>329</v>
      </c>
      <c r="AT59" s="46">
        <v>327</v>
      </c>
      <c r="AU59" s="48">
        <v>329</v>
      </c>
      <c r="AV59" s="48">
        <v>170</v>
      </c>
      <c r="AW59" s="48">
        <v>385</v>
      </c>
      <c r="AX59" s="48">
        <v>387</v>
      </c>
      <c r="AY59" s="48">
        <v>453</v>
      </c>
      <c r="AZ59" s="48">
        <v>178</v>
      </c>
      <c r="BA59" s="46">
        <v>178</v>
      </c>
      <c r="BB59" s="48">
        <v>169</v>
      </c>
      <c r="BC59" s="48">
        <v>180</v>
      </c>
      <c r="BD59" s="48">
        <v>171</v>
      </c>
      <c r="BE59" s="48">
        <v>255</v>
      </c>
      <c r="BF59" s="48">
        <v>39</v>
      </c>
      <c r="BG59" s="46">
        <v>30</v>
      </c>
      <c r="BH59" s="48">
        <v>24</v>
      </c>
      <c r="BI59" s="48">
        <v>23</v>
      </c>
      <c r="BJ59" s="48">
        <v>22</v>
      </c>
      <c r="BK59" s="50">
        <v>15</v>
      </c>
      <c r="BL59" s="46">
        <v>124</v>
      </c>
      <c r="BM59" s="48">
        <v>131</v>
      </c>
      <c r="BN59" s="48">
        <v>169</v>
      </c>
      <c r="BO59" s="48">
        <v>158</v>
      </c>
      <c r="BP59" s="48">
        <v>161</v>
      </c>
      <c r="BQ59" s="46">
        <v>178</v>
      </c>
      <c r="BR59" s="48">
        <v>171</v>
      </c>
      <c r="BS59" s="48">
        <v>212</v>
      </c>
      <c r="BT59" s="61" t="s">
        <v>33</v>
      </c>
    </row>
    <row r="60" spans="1:80" ht="18.75">
      <c r="A60" s="6" t="s">
        <v>6</v>
      </c>
      <c r="B60" s="6"/>
      <c r="C60" s="51"/>
      <c r="D60" s="51"/>
      <c r="E60" s="51"/>
      <c r="F60" s="51"/>
      <c r="G60" s="51"/>
      <c r="H60" s="51"/>
      <c r="I60" s="51"/>
      <c r="J60" s="51"/>
      <c r="K60" s="51"/>
      <c r="BT60" s="8" t="s">
        <v>7</v>
      </c>
      <c r="BX60" s="16"/>
      <c r="BY60" s="21"/>
      <c r="BZ60" s="21"/>
      <c r="CA60" s="21"/>
      <c r="CB60" s="21"/>
    </row>
  </sheetData>
  <mergeCells count="42">
    <mergeCell ref="W5:X5"/>
    <mergeCell ref="Z5:AA5"/>
    <mergeCell ref="W4:X4"/>
    <mergeCell ref="Z4:AA4"/>
    <mergeCell ref="Q5:R5"/>
    <mergeCell ref="T5:U5"/>
    <mergeCell ref="A1:AB1"/>
    <mergeCell ref="A2:AB2"/>
    <mergeCell ref="A4:A7"/>
    <mergeCell ref="B4:C4"/>
    <mergeCell ref="E4:F4"/>
    <mergeCell ref="H4:I4"/>
    <mergeCell ref="K4:L4"/>
    <mergeCell ref="N4:O4"/>
    <mergeCell ref="Q4:R4"/>
    <mergeCell ref="T4:U4"/>
    <mergeCell ref="B5:C5"/>
    <mergeCell ref="E5:F5"/>
    <mergeCell ref="H5:I5"/>
    <mergeCell ref="K5:L5"/>
    <mergeCell ref="AB4:AB7"/>
    <mergeCell ref="N5:O5"/>
    <mergeCell ref="A44:A46"/>
    <mergeCell ref="G44:K44"/>
    <mergeCell ref="P44:AA44"/>
    <mergeCell ref="AC44:AJ44"/>
    <mergeCell ref="AL44:AR44"/>
    <mergeCell ref="BT44:BT46"/>
    <mergeCell ref="G45:K45"/>
    <mergeCell ref="P45:AA45"/>
    <mergeCell ref="AC45:AJ45"/>
    <mergeCell ref="AL45:AR45"/>
    <mergeCell ref="AT45:AX45"/>
    <mergeCell ref="BA45:BE45"/>
    <mergeCell ref="BG45:BK45"/>
    <mergeCell ref="BL45:BP45"/>
    <mergeCell ref="BQ45:BS45"/>
    <mergeCell ref="AT44:AX44"/>
    <mergeCell ref="BA44:BE44"/>
    <mergeCell ref="BG44:BK44"/>
    <mergeCell ref="BL44:BP44"/>
    <mergeCell ref="BQ44:BS4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D104"/>
  <sheetViews>
    <sheetView tabSelected="1" zoomScale="98" zoomScaleNormal="98" workbookViewId="0">
      <selection activeCell="W61" sqref="W61"/>
    </sheetView>
  </sheetViews>
  <sheetFormatPr defaultColWidth="9.140625" defaultRowHeight="15"/>
  <cols>
    <col min="1" max="1" width="13.42578125" style="79" customWidth="1"/>
    <col min="2" max="8" width="10.5703125" style="79" customWidth="1"/>
    <col min="9" max="9" width="1.140625" style="79" customWidth="1"/>
    <col min="10" max="12" width="1.28515625" style="79" customWidth="1"/>
    <col min="13" max="13" width="13.42578125" style="79" customWidth="1"/>
    <col min="14" max="20" width="10.5703125" style="79" customWidth="1"/>
    <col min="21" max="16384" width="9.140625" style="79"/>
  </cols>
  <sheetData>
    <row r="1" spans="1:30" ht="27.75" customHeight="1">
      <c r="A1" s="126"/>
      <c r="B1" s="126"/>
      <c r="C1" s="126"/>
      <c r="D1" s="126"/>
      <c r="E1" s="126"/>
      <c r="F1" s="126"/>
      <c r="G1" s="126"/>
      <c r="H1" s="126"/>
      <c r="I1" s="113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</row>
    <row r="2" spans="1:30">
      <c r="A2" s="170" t="s">
        <v>73</v>
      </c>
      <c r="B2" s="170"/>
      <c r="C2" s="170"/>
      <c r="D2" s="170"/>
      <c r="E2" s="170"/>
      <c r="F2" s="170"/>
      <c r="G2" s="170"/>
      <c r="H2" s="170"/>
      <c r="I2" s="114"/>
      <c r="J2" s="80"/>
      <c r="K2" s="80"/>
      <c r="L2" s="80"/>
      <c r="M2" s="170" t="s">
        <v>74</v>
      </c>
      <c r="N2" s="170"/>
      <c r="O2" s="170"/>
      <c r="P2" s="170"/>
      <c r="Q2" s="170"/>
      <c r="R2" s="170"/>
      <c r="S2" s="170"/>
      <c r="T2" s="170"/>
    </row>
    <row r="3" spans="1:30">
      <c r="M3" s="81"/>
      <c r="N3" s="80"/>
      <c r="O3" s="80"/>
      <c r="P3" s="80"/>
      <c r="Q3" s="80"/>
      <c r="R3" s="80"/>
      <c r="S3" s="80"/>
      <c r="T3" s="80"/>
    </row>
    <row r="4" spans="1:30">
      <c r="A4" s="171" t="s">
        <v>64</v>
      </c>
      <c r="B4" s="173" t="s">
        <v>72</v>
      </c>
      <c r="C4" s="167" t="s">
        <v>66</v>
      </c>
      <c r="D4" s="167"/>
      <c r="E4" s="168" t="s">
        <v>67</v>
      </c>
      <c r="F4" s="169"/>
      <c r="G4" s="167" t="s">
        <v>68</v>
      </c>
      <c r="H4" s="167"/>
      <c r="I4" s="122"/>
      <c r="J4" s="120"/>
      <c r="K4" s="120"/>
      <c r="L4" s="80"/>
      <c r="M4" s="171" t="s">
        <v>64</v>
      </c>
      <c r="N4" s="173" t="s">
        <v>72</v>
      </c>
      <c r="O4" s="167" t="s">
        <v>66</v>
      </c>
      <c r="P4" s="167"/>
      <c r="Q4" s="168" t="s">
        <v>67</v>
      </c>
      <c r="R4" s="169"/>
      <c r="S4" s="167" t="s">
        <v>68</v>
      </c>
      <c r="T4" s="167"/>
    </row>
    <row r="5" spans="1:30">
      <c r="A5" s="172"/>
      <c r="B5" s="174"/>
      <c r="C5" s="85" t="s">
        <v>69</v>
      </c>
      <c r="D5" s="85" t="s">
        <v>70</v>
      </c>
      <c r="E5" s="88" t="s">
        <v>69</v>
      </c>
      <c r="F5" s="89" t="s">
        <v>70</v>
      </c>
      <c r="G5" s="85" t="s">
        <v>69</v>
      </c>
      <c r="H5" s="85" t="s">
        <v>70</v>
      </c>
      <c r="I5" s="123"/>
      <c r="J5" s="120"/>
      <c r="K5" s="120"/>
      <c r="L5" s="80"/>
      <c r="M5" s="172"/>
      <c r="N5" s="174"/>
      <c r="O5" s="85" t="s">
        <v>69</v>
      </c>
      <c r="P5" s="85" t="s">
        <v>70</v>
      </c>
      <c r="Q5" s="88" t="s">
        <v>69</v>
      </c>
      <c r="R5" s="89" t="s">
        <v>70</v>
      </c>
      <c r="S5" s="85" t="s">
        <v>69</v>
      </c>
      <c r="T5" s="85" t="s">
        <v>70</v>
      </c>
    </row>
    <row r="6" spans="1:30">
      <c r="A6" s="84" t="s">
        <v>4</v>
      </c>
      <c r="B6" s="86">
        <v>1258</v>
      </c>
      <c r="C6" s="86">
        <v>17142</v>
      </c>
      <c r="D6" s="86">
        <v>17055</v>
      </c>
      <c r="E6" s="90">
        <v>34153.699999999997</v>
      </c>
      <c r="F6" s="91">
        <v>28816</v>
      </c>
      <c r="G6" s="86">
        <v>1716</v>
      </c>
      <c r="H6" s="86">
        <v>51.2</v>
      </c>
      <c r="I6" s="124"/>
      <c r="J6" s="120"/>
      <c r="K6" s="120"/>
      <c r="L6" s="80"/>
      <c r="M6" s="84" t="s">
        <v>4</v>
      </c>
      <c r="N6" s="86">
        <v>867</v>
      </c>
      <c r="O6" s="86">
        <v>12474</v>
      </c>
      <c r="P6" s="86">
        <v>12571</v>
      </c>
      <c r="Q6" s="90">
        <v>23953</v>
      </c>
      <c r="R6" s="91">
        <v>16411</v>
      </c>
      <c r="S6" s="86">
        <v>1515</v>
      </c>
      <c r="T6" s="86">
        <v>247</v>
      </c>
    </row>
    <row r="7" spans="1:30">
      <c r="A7" s="115" t="s">
        <v>10</v>
      </c>
      <c r="B7" s="87">
        <v>440</v>
      </c>
      <c r="C7" s="87">
        <v>6817</v>
      </c>
      <c r="D7" s="87">
        <v>6916</v>
      </c>
      <c r="E7" s="92">
        <v>9089.7000000000007</v>
      </c>
      <c r="F7" s="93">
        <v>8865</v>
      </c>
      <c r="G7" s="87">
        <v>1040</v>
      </c>
      <c r="H7" s="87">
        <v>8</v>
      </c>
      <c r="I7" s="87"/>
      <c r="J7" s="120"/>
      <c r="K7" s="120"/>
      <c r="L7" s="80"/>
      <c r="M7" s="115" t="s">
        <v>10</v>
      </c>
      <c r="N7" s="87">
        <v>217</v>
      </c>
      <c r="O7" s="87">
        <v>3869</v>
      </c>
      <c r="P7" s="87">
        <v>4275</v>
      </c>
      <c r="Q7" s="92">
        <v>2939</v>
      </c>
      <c r="R7" s="93">
        <v>1459</v>
      </c>
      <c r="S7" s="87">
        <v>917</v>
      </c>
      <c r="T7" s="87">
        <v>75</v>
      </c>
    </row>
    <row r="8" spans="1:30">
      <c r="A8" s="115" t="s">
        <v>12</v>
      </c>
      <c r="B8" s="87">
        <v>360</v>
      </c>
      <c r="C8" s="87">
        <v>4928</v>
      </c>
      <c r="D8" s="87">
        <v>5026</v>
      </c>
      <c r="E8" s="92">
        <v>6404</v>
      </c>
      <c r="F8" s="93">
        <v>9626</v>
      </c>
      <c r="G8" s="87">
        <v>373</v>
      </c>
      <c r="H8" s="87">
        <v>35.200000000000003</v>
      </c>
      <c r="I8" s="87"/>
      <c r="J8" s="120"/>
      <c r="K8" s="120"/>
      <c r="L8" s="80"/>
      <c r="M8" s="115" t="s">
        <v>12</v>
      </c>
      <c r="N8" s="87">
        <v>196</v>
      </c>
      <c r="O8" s="87">
        <v>3148</v>
      </c>
      <c r="P8" s="87">
        <v>3252</v>
      </c>
      <c r="Q8" s="92">
        <v>4655</v>
      </c>
      <c r="R8" s="93">
        <v>1768</v>
      </c>
      <c r="S8" s="87">
        <v>393</v>
      </c>
      <c r="T8" s="87">
        <v>39</v>
      </c>
    </row>
    <row r="9" spans="1:30">
      <c r="A9" s="115" t="s">
        <v>14</v>
      </c>
      <c r="B9" s="87">
        <v>262</v>
      </c>
      <c r="C9" s="87">
        <v>3494</v>
      </c>
      <c r="D9" s="87">
        <v>3577</v>
      </c>
      <c r="E9" s="92">
        <v>6375</v>
      </c>
      <c r="F9" s="93">
        <v>5723</v>
      </c>
      <c r="G9" s="87">
        <v>179</v>
      </c>
      <c r="H9" s="87">
        <v>8</v>
      </c>
      <c r="I9" s="87"/>
      <c r="J9" s="120"/>
      <c r="K9" s="120"/>
      <c r="L9" s="80"/>
      <c r="M9" s="115" t="s">
        <v>14</v>
      </c>
      <c r="N9" s="87">
        <v>137</v>
      </c>
      <c r="O9" s="87">
        <v>2512</v>
      </c>
      <c r="P9" s="87">
        <v>2290</v>
      </c>
      <c r="Q9" s="92">
        <v>3597</v>
      </c>
      <c r="R9" s="93">
        <v>2294</v>
      </c>
      <c r="S9" s="87">
        <v>124</v>
      </c>
      <c r="T9" s="87">
        <v>60</v>
      </c>
    </row>
    <row r="10" spans="1:30">
      <c r="A10" s="115" t="s">
        <v>16</v>
      </c>
      <c r="B10" s="87">
        <v>28</v>
      </c>
      <c r="C10" s="87">
        <v>388</v>
      </c>
      <c r="D10" s="87">
        <v>265</v>
      </c>
      <c r="E10" s="92">
        <v>494</v>
      </c>
      <c r="F10" s="93">
        <v>170</v>
      </c>
      <c r="G10" s="87">
        <v>0</v>
      </c>
      <c r="H10" s="87">
        <v>0</v>
      </c>
      <c r="I10" s="87"/>
      <c r="J10" s="120"/>
      <c r="K10" s="120"/>
      <c r="L10" s="80"/>
      <c r="M10" s="115" t="s">
        <v>16</v>
      </c>
      <c r="N10" s="87">
        <v>18</v>
      </c>
      <c r="O10" s="87">
        <v>351</v>
      </c>
      <c r="P10" s="87">
        <v>246</v>
      </c>
      <c r="Q10" s="92">
        <v>452</v>
      </c>
      <c r="R10" s="93">
        <v>152</v>
      </c>
      <c r="S10" s="87">
        <v>0</v>
      </c>
      <c r="T10" s="87">
        <v>0</v>
      </c>
    </row>
    <row r="11" spans="1:30">
      <c r="A11" s="115" t="s">
        <v>18</v>
      </c>
      <c r="B11" s="87">
        <v>26</v>
      </c>
      <c r="C11" s="87">
        <v>71</v>
      </c>
      <c r="D11" s="87">
        <v>125</v>
      </c>
      <c r="E11" s="92">
        <v>5733</v>
      </c>
      <c r="F11" s="93">
        <v>272</v>
      </c>
      <c r="G11" s="87">
        <v>0</v>
      </c>
      <c r="H11" s="87">
        <v>0</v>
      </c>
      <c r="I11" s="87"/>
      <c r="J11" s="120"/>
      <c r="K11" s="120"/>
      <c r="L11" s="80"/>
      <c r="M11" s="115" t="s">
        <v>18</v>
      </c>
      <c r="N11" s="87">
        <v>21</v>
      </c>
      <c r="O11" s="87">
        <v>85</v>
      </c>
      <c r="P11" s="87">
        <v>69</v>
      </c>
      <c r="Q11" s="92">
        <v>6232</v>
      </c>
      <c r="R11" s="93">
        <v>2182</v>
      </c>
      <c r="S11" s="87">
        <v>0</v>
      </c>
      <c r="T11" s="87">
        <v>0</v>
      </c>
    </row>
    <row r="12" spans="1:30">
      <c r="A12" s="115" t="s">
        <v>20</v>
      </c>
      <c r="B12" s="87">
        <v>60</v>
      </c>
      <c r="C12" s="87">
        <v>378</v>
      </c>
      <c r="D12" s="87">
        <v>292</v>
      </c>
      <c r="E12" s="92">
        <v>3218</v>
      </c>
      <c r="F12" s="93">
        <v>2319</v>
      </c>
      <c r="G12" s="87">
        <v>0</v>
      </c>
      <c r="H12" s="87">
        <v>0</v>
      </c>
      <c r="I12" s="87"/>
      <c r="J12" s="121"/>
      <c r="K12" s="121"/>
      <c r="L12" s="80"/>
      <c r="M12" s="115" t="s">
        <v>20</v>
      </c>
      <c r="N12" s="87">
        <v>32</v>
      </c>
      <c r="O12" s="87">
        <v>341</v>
      </c>
      <c r="P12" s="87">
        <v>208</v>
      </c>
      <c r="Q12" s="92">
        <v>992</v>
      </c>
      <c r="R12" s="93">
        <v>671</v>
      </c>
      <c r="S12" s="87">
        <v>0</v>
      </c>
      <c r="T12" s="87">
        <v>0</v>
      </c>
    </row>
    <row r="13" spans="1:30">
      <c r="A13" s="115" t="s">
        <v>22</v>
      </c>
      <c r="B13" s="87">
        <v>48</v>
      </c>
      <c r="C13" s="87">
        <v>544</v>
      </c>
      <c r="D13" s="87">
        <v>587</v>
      </c>
      <c r="E13" s="92">
        <v>1516</v>
      </c>
      <c r="F13" s="93">
        <v>849</v>
      </c>
      <c r="G13" s="87">
        <v>71</v>
      </c>
      <c r="H13" s="87">
        <v>0</v>
      </c>
      <c r="I13" s="87"/>
      <c r="J13" s="120"/>
      <c r="K13" s="120"/>
      <c r="L13" s="80"/>
      <c r="M13" s="115" t="s">
        <v>22</v>
      </c>
      <c r="N13" s="87">
        <v>34</v>
      </c>
      <c r="O13" s="87">
        <v>431</v>
      </c>
      <c r="P13" s="87">
        <v>354</v>
      </c>
      <c r="Q13" s="92">
        <v>1301</v>
      </c>
      <c r="R13" s="93">
        <v>874</v>
      </c>
      <c r="S13" s="87">
        <v>48</v>
      </c>
      <c r="T13" s="87">
        <v>47</v>
      </c>
    </row>
    <row r="14" spans="1:30">
      <c r="A14" s="115" t="s">
        <v>24</v>
      </c>
      <c r="B14" s="87">
        <v>34</v>
      </c>
      <c r="C14" s="87">
        <v>522</v>
      </c>
      <c r="D14" s="87">
        <v>267</v>
      </c>
      <c r="E14" s="92">
        <v>1324</v>
      </c>
      <c r="F14" s="93">
        <v>992</v>
      </c>
      <c r="G14" s="87">
        <v>53</v>
      </c>
      <c r="H14" s="87">
        <v>0</v>
      </c>
      <c r="I14" s="87"/>
      <c r="J14" s="120"/>
      <c r="K14" s="120"/>
      <c r="L14" s="80"/>
      <c r="M14" s="115" t="s">
        <v>24</v>
      </c>
      <c r="N14" s="87">
        <v>84</v>
      </c>
      <c r="O14" s="87">
        <v>491</v>
      </c>
      <c r="P14" s="87">
        <v>453</v>
      </c>
      <c r="Q14" s="92">
        <v>1201</v>
      </c>
      <c r="R14" s="93">
        <v>2308</v>
      </c>
      <c r="S14" s="87">
        <v>20</v>
      </c>
      <c r="T14" s="87">
        <v>8</v>
      </c>
    </row>
    <row r="15" spans="1:30">
      <c r="A15" s="115" t="s">
        <v>26</v>
      </c>
      <c r="B15" s="94">
        <v>30</v>
      </c>
      <c r="C15" s="94">
        <v>344</v>
      </c>
      <c r="D15" s="94">
        <v>265</v>
      </c>
      <c r="E15" s="95">
        <v>1170</v>
      </c>
      <c r="F15" s="96">
        <v>1544</v>
      </c>
      <c r="G15" s="97">
        <v>3</v>
      </c>
      <c r="H15" s="97">
        <v>47</v>
      </c>
      <c r="I15" s="97"/>
      <c r="J15" s="120"/>
      <c r="K15" s="120"/>
      <c r="L15" s="80"/>
      <c r="M15" s="115" t="s">
        <v>26</v>
      </c>
      <c r="N15" s="94">
        <v>54</v>
      </c>
      <c r="O15" s="94">
        <v>491</v>
      </c>
      <c r="P15" s="94">
        <v>593</v>
      </c>
      <c r="Q15" s="95">
        <v>1270</v>
      </c>
      <c r="R15" s="96">
        <v>2768</v>
      </c>
      <c r="S15" s="97">
        <v>5</v>
      </c>
      <c r="T15" s="97">
        <v>12</v>
      </c>
    </row>
    <row r="16" spans="1:30">
      <c r="A16" s="115" t="s">
        <v>28</v>
      </c>
      <c r="B16" s="97">
        <v>54</v>
      </c>
      <c r="C16" s="97">
        <v>567</v>
      </c>
      <c r="D16" s="97">
        <v>683</v>
      </c>
      <c r="E16" s="95">
        <v>1997</v>
      </c>
      <c r="F16" s="96">
        <v>1781</v>
      </c>
      <c r="G16" s="97">
        <v>0</v>
      </c>
      <c r="H16" s="97">
        <v>10</v>
      </c>
      <c r="I16" s="97"/>
      <c r="J16" s="120"/>
      <c r="K16" s="120"/>
      <c r="L16" s="80"/>
      <c r="M16" s="115" t="s">
        <v>28</v>
      </c>
      <c r="N16" s="97">
        <v>74</v>
      </c>
      <c r="O16" s="97">
        <v>755</v>
      </c>
      <c r="P16" s="97">
        <v>831</v>
      </c>
      <c r="Q16" s="95">
        <v>1314</v>
      </c>
      <c r="R16" s="96">
        <v>1935</v>
      </c>
      <c r="S16" s="97">
        <v>8</v>
      </c>
      <c r="T16" s="97">
        <v>6</v>
      </c>
    </row>
    <row r="17" spans="1:20">
      <c r="A17" s="115" t="s">
        <v>30</v>
      </c>
      <c r="B17" s="87">
        <v>152</v>
      </c>
      <c r="C17" s="87">
        <v>1144</v>
      </c>
      <c r="D17" s="87">
        <v>1115</v>
      </c>
      <c r="E17" s="92">
        <v>1877</v>
      </c>
      <c r="F17" s="93">
        <v>2419</v>
      </c>
      <c r="G17" s="87">
        <v>8</v>
      </c>
      <c r="H17" s="87">
        <v>16</v>
      </c>
      <c r="I17" s="87"/>
      <c r="J17" s="120"/>
      <c r="K17" s="120"/>
      <c r="L17" s="80"/>
      <c r="M17" s="115" t="s">
        <v>30</v>
      </c>
      <c r="N17" s="87">
        <v>128</v>
      </c>
      <c r="O17" s="87">
        <v>1133</v>
      </c>
      <c r="P17" s="87">
        <v>1109</v>
      </c>
      <c r="Q17" s="92">
        <v>1732</v>
      </c>
      <c r="R17" s="93">
        <v>2535</v>
      </c>
      <c r="S17" s="87">
        <v>0</v>
      </c>
      <c r="T17" s="87">
        <v>4</v>
      </c>
    </row>
    <row r="18" spans="1:20">
      <c r="A18" s="116" t="s">
        <v>32</v>
      </c>
      <c r="B18" s="117">
        <v>248</v>
      </c>
      <c r="C18" s="117">
        <v>2698</v>
      </c>
      <c r="D18" s="117">
        <v>2302</v>
      </c>
      <c r="E18" s="118">
        <v>2704</v>
      </c>
      <c r="F18" s="119">
        <v>1569</v>
      </c>
      <c r="G18" s="117">
        <v>0</v>
      </c>
      <c r="H18" s="117">
        <v>3</v>
      </c>
      <c r="I18" s="125"/>
      <c r="J18" s="120"/>
      <c r="K18" s="120"/>
      <c r="M18" s="116" t="s">
        <v>32</v>
      </c>
      <c r="N18" s="117">
        <v>201</v>
      </c>
      <c r="O18" s="117">
        <v>2539</v>
      </c>
      <c r="P18" s="117">
        <v>2249</v>
      </c>
      <c r="Q18" s="118">
        <v>3936</v>
      </c>
      <c r="R18" s="119">
        <v>4426</v>
      </c>
      <c r="S18" s="117">
        <v>15</v>
      </c>
      <c r="T18" s="117">
        <v>5</v>
      </c>
    </row>
    <row r="19" spans="1:20" ht="18.75">
      <c r="A19" s="6" t="s">
        <v>6</v>
      </c>
      <c r="B19" s="4"/>
      <c r="C19" s="4"/>
      <c r="D19" s="7"/>
      <c r="E19" s="2"/>
      <c r="H19" s="10" t="s">
        <v>7</v>
      </c>
      <c r="I19" s="11"/>
      <c r="M19" s="6" t="s">
        <v>6</v>
      </c>
      <c r="N19" s="4"/>
      <c r="O19" s="4"/>
      <c r="P19" s="7"/>
      <c r="Q19" s="2"/>
      <c r="T19" s="10" t="s">
        <v>7</v>
      </c>
    </row>
    <row r="20" spans="1:20">
      <c r="A20" s="81"/>
      <c r="B20" s="80"/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</row>
    <row r="22" spans="1:20">
      <c r="A22" s="170" t="s">
        <v>75</v>
      </c>
      <c r="B22" s="170"/>
      <c r="C22" s="170"/>
      <c r="D22" s="170"/>
      <c r="E22" s="170"/>
      <c r="F22" s="170"/>
      <c r="G22" s="170"/>
      <c r="H22" s="170"/>
      <c r="I22" s="114"/>
      <c r="J22" s="80"/>
      <c r="K22" s="80"/>
      <c r="L22" s="80"/>
      <c r="M22" s="170" t="s">
        <v>76</v>
      </c>
      <c r="N22" s="170"/>
      <c r="O22" s="170"/>
      <c r="P22" s="170"/>
      <c r="Q22" s="170"/>
      <c r="R22" s="170"/>
      <c r="S22" s="170"/>
      <c r="T22" s="170"/>
    </row>
    <row r="23" spans="1:20">
      <c r="A23" s="81"/>
      <c r="B23" s="80"/>
      <c r="C23" s="80"/>
      <c r="D23" s="80"/>
      <c r="E23" s="80"/>
      <c r="F23" s="80"/>
      <c r="G23" s="80"/>
      <c r="H23" s="80"/>
      <c r="I23" s="80"/>
      <c r="J23" s="80"/>
      <c r="K23" s="80"/>
      <c r="L23" s="80"/>
      <c r="M23" s="81"/>
      <c r="N23" s="80"/>
      <c r="O23" s="80"/>
      <c r="P23" s="80"/>
      <c r="Q23" s="80"/>
      <c r="R23" s="80"/>
      <c r="S23" s="80"/>
      <c r="T23" s="80"/>
    </row>
    <row r="24" spans="1:20">
      <c r="A24" s="171" t="s">
        <v>64</v>
      </c>
      <c r="B24" s="173" t="s">
        <v>72</v>
      </c>
      <c r="C24" s="167" t="s">
        <v>66</v>
      </c>
      <c r="D24" s="167"/>
      <c r="E24" s="168" t="s">
        <v>67</v>
      </c>
      <c r="F24" s="169"/>
      <c r="G24" s="167" t="s">
        <v>68</v>
      </c>
      <c r="H24" s="167"/>
      <c r="I24" s="122"/>
      <c r="J24" s="120"/>
      <c r="K24" s="120"/>
      <c r="L24" s="80"/>
      <c r="M24" s="171" t="s">
        <v>64</v>
      </c>
      <c r="N24" s="173" t="s">
        <v>72</v>
      </c>
      <c r="O24" s="167" t="s">
        <v>66</v>
      </c>
      <c r="P24" s="167"/>
      <c r="Q24" s="168" t="s">
        <v>67</v>
      </c>
      <c r="R24" s="169"/>
      <c r="S24" s="167" t="s">
        <v>68</v>
      </c>
      <c r="T24" s="167"/>
    </row>
    <row r="25" spans="1:20">
      <c r="A25" s="172"/>
      <c r="B25" s="174"/>
      <c r="C25" s="85" t="s">
        <v>69</v>
      </c>
      <c r="D25" s="85" t="s">
        <v>70</v>
      </c>
      <c r="E25" s="88" t="s">
        <v>69</v>
      </c>
      <c r="F25" s="89" t="s">
        <v>70</v>
      </c>
      <c r="G25" s="85" t="s">
        <v>69</v>
      </c>
      <c r="H25" s="85" t="s">
        <v>70</v>
      </c>
      <c r="I25" s="123"/>
      <c r="J25" s="120"/>
      <c r="K25" s="120"/>
      <c r="L25" s="80"/>
      <c r="M25" s="172"/>
      <c r="N25" s="174"/>
      <c r="O25" s="85" t="s">
        <v>69</v>
      </c>
      <c r="P25" s="85" t="s">
        <v>70</v>
      </c>
      <c r="Q25" s="88" t="s">
        <v>69</v>
      </c>
      <c r="R25" s="89" t="s">
        <v>70</v>
      </c>
      <c r="S25" s="85" t="s">
        <v>69</v>
      </c>
      <c r="T25" s="85" t="s">
        <v>70</v>
      </c>
    </row>
    <row r="26" spans="1:20">
      <c r="A26" s="84" t="s">
        <v>4</v>
      </c>
      <c r="B26" s="86">
        <v>1040</v>
      </c>
      <c r="C26" s="86">
        <v>7998</v>
      </c>
      <c r="D26" s="86">
        <v>6943</v>
      </c>
      <c r="E26" s="90">
        <v>890</v>
      </c>
      <c r="F26" s="91">
        <v>8005</v>
      </c>
      <c r="G26" s="86">
        <v>1519</v>
      </c>
      <c r="H26" s="86">
        <v>132</v>
      </c>
      <c r="I26" s="124"/>
      <c r="J26" s="120"/>
      <c r="K26" s="120"/>
      <c r="L26" s="80"/>
      <c r="M26" s="84" t="s">
        <v>4</v>
      </c>
      <c r="N26" s="86">
        <v>1178</v>
      </c>
      <c r="O26" s="86">
        <v>25344</v>
      </c>
      <c r="P26" s="86">
        <v>26615</v>
      </c>
      <c r="Q26" s="90">
        <v>3013</v>
      </c>
      <c r="R26" s="91">
        <v>1459</v>
      </c>
      <c r="S26" s="86">
        <v>0</v>
      </c>
      <c r="T26" s="86">
        <v>0</v>
      </c>
    </row>
    <row r="27" spans="1:20">
      <c r="A27" s="115" t="s">
        <v>10</v>
      </c>
      <c r="B27" s="87">
        <v>192</v>
      </c>
      <c r="C27" s="87">
        <v>2128</v>
      </c>
      <c r="D27" s="87">
        <v>1691</v>
      </c>
      <c r="E27" s="92">
        <v>825</v>
      </c>
      <c r="F27" s="93">
        <v>172</v>
      </c>
      <c r="G27" s="87">
        <v>909</v>
      </c>
      <c r="H27" s="87">
        <v>41</v>
      </c>
      <c r="I27" s="87"/>
      <c r="J27" s="120"/>
      <c r="K27" s="120"/>
      <c r="L27" s="80"/>
      <c r="M27" s="115" t="s">
        <v>10</v>
      </c>
      <c r="N27" s="87">
        <v>456</v>
      </c>
      <c r="O27" s="87">
        <v>11577</v>
      </c>
      <c r="P27" s="87">
        <v>12091</v>
      </c>
      <c r="Q27" s="92">
        <v>986</v>
      </c>
      <c r="R27" s="93">
        <v>488</v>
      </c>
      <c r="S27" s="87">
        <v>0</v>
      </c>
      <c r="T27" s="87">
        <v>0</v>
      </c>
    </row>
    <row r="28" spans="1:20">
      <c r="A28" s="115" t="s">
        <v>12</v>
      </c>
      <c r="B28" s="87">
        <v>182</v>
      </c>
      <c r="C28" s="87">
        <v>1671</v>
      </c>
      <c r="D28" s="87">
        <v>1678</v>
      </c>
      <c r="E28" s="92">
        <v>1060</v>
      </c>
      <c r="F28" s="93">
        <v>530</v>
      </c>
      <c r="G28" s="87">
        <v>336</v>
      </c>
      <c r="H28" s="87">
        <v>28</v>
      </c>
      <c r="I28" s="87"/>
      <c r="J28" s="120"/>
      <c r="K28" s="120"/>
      <c r="L28" s="80"/>
      <c r="M28" s="115" t="s">
        <v>12</v>
      </c>
      <c r="N28" s="87">
        <v>441</v>
      </c>
      <c r="O28" s="87">
        <v>9168</v>
      </c>
      <c r="P28" s="87">
        <v>9025</v>
      </c>
      <c r="Q28" s="92">
        <v>1231</v>
      </c>
      <c r="R28" s="93">
        <v>320</v>
      </c>
      <c r="S28" s="87">
        <v>0</v>
      </c>
      <c r="T28" s="87">
        <v>0</v>
      </c>
    </row>
    <row r="29" spans="1:20">
      <c r="A29" s="115" t="s">
        <v>14</v>
      </c>
      <c r="B29" s="87">
        <v>175</v>
      </c>
      <c r="C29" s="87">
        <v>1873</v>
      </c>
      <c r="D29" s="87">
        <v>1360</v>
      </c>
      <c r="E29" s="92">
        <v>704</v>
      </c>
      <c r="F29" s="93">
        <v>396</v>
      </c>
      <c r="G29" s="87">
        <v>113</v>
      </c>
      <c r="H29" s="87">
        <v>7</v>
      </c>
      <c r="I29" s="87"/>
      <c r="J29" s="120"/>
      <c r="K29" s="120"/>
      <c r="L29" s="80"/>
      <c r="M29" s="115" t="s">
        <v>14</v>
      </c>
      <c r="N29" s="87">
        <v>241</v>
      </c>
      <c r="O29" s="87">
        <v>4076</v>
      </c>
      <c r="P29" s="87">
        <v>5014</v>
      </c>
      <c r="Q29" s="92">
        <v>361</v>
      </c>
      <c r="R29" s="93">
        <v>120</v>
      </c>
      <c r="S29" s="87">
        <v>0</v>
      </c>
      <c r="T29" s="87">
        <v>0</v>
      </c>
    </row>
    <row r="30" spans="1:20">
      <c r="A30" s="115" t="s">
        <v>16</v>
      </c>
      <c r="B30" s="87">
        <v>88</v>
      </c>
      <c r="C30" s="87">
        <v>700</v>
      </c>
      <c r="D30" s="87">
        <v>269</v>
      </c>
      <c r="E30" s="92">
        <v>192</v>
      </c>
      <c r="F30" s="93">
        <v>418</v>
      </c>
      <c r="G30" s="87">
        <v>0</v>
      </c>
      <c r="H30" s="87">
        <v>2</v>
      </c>
      <c r="I30" s="87"/>
      <c r="J30" s="120"/>
      <c r="K30" s="120"/>
      <c r="L30" s="80"/>
      <c r="M30" s="115" t="s">
        <v>16</v>
      </c>
      <c r="N30" s="87">
        <v>3</v>
      </c>
      <c r="O30" s="87">
        <v>25</v>
      </c>
      <c r="P30" s="87">
        <v>15</v>
      </c>
      <c r="Q30" s="92">
        <v>25</v>
      </c>
      <c r="R30" s="93">
        <v>0</v>
      </c>
      <c r="S30" s="87">
        <v>0</v>
      </c>
      <c r="T30" s="87">
        <v>0</v>
      </c>
    </row>
    <row r="31" spans="1:20">
      <c r="A31" s="115" t="s">
        <v>18</v>
      </c>
      <c r="B31" s="87">
        <v>29</v>
      </c>
      <c r="C31" s="87">
        <v>47</v>
      </c>
      <c r="D31" s="87">
        <v>52</v>
      </c>
      <c r="E31" s="92">
        <v>2125</v>
      </c>
      <c r="F31" s="93">
        <v>3536</v>
      </c>
      <c r="G31" s="87">
        <v>0</v>
      </c>
      <c r="H31" s="87">
        <v>0</v>
      </c>
      <c r="I31" s="87"/>
      <c r="J31" s="120"/>
      <c r="K31" s="120"/>
      <c r="L31" s="80"/>
      <c r="M31" s="115" t="s">
        <v>18</v>
      </c>
      <c r="N31" s="87">
        <v>0</v>
      </c>
      <c r="O31" s="87">
        <v>0</v>
      </c>
      <c r="P31" s="87">
        <v>0</v>
      </c>
      <c r="Q31" s="92">
        <v>0</v>
      </c>
      <c r="R31" s="93">
        <v>0</v>
      </c>
      <c r="S31" s="87">
        <v>0</v>
      </c>
      <c r="T31" s="87">
        <v>0</v>
      </c>
    </row>
    <row r="32" spans="1:20">
      <c r="A32" s="115" t="s">
        <v>20</v>
      </c>
      <c r="B32" s="87">
        <v>73</v>
      </c>
      <c r="C32" s="87">
        <v>292</v>
      </c>
      <c r="D32" s="87">
        <v>220</v>
      </c>
      <c r="E32" s="92">
        <v>1809</v>
      </c>
      <c r="F32" s="93">
        <v>1968</v>
      </c>
      <c r="G32" s="87">
        <v>0</v>
      </c>
      <c r="H32" s="87">
        <v>0</v>
      </c>
      <c r="I32" s="87"/>
      <c r="J32" s="121"/>
      <c r="K32" s="121"/>
      <c r="L32" s="80"/>
      <c r="M32" s="115" t="s">
        <v>20</v>
      </c>
      <c r="N32" s="87">
        <v>4</v>
      </c>
      <c r="O32" s="87">
        <v>35</v>
      </c>
      <c r="P32" s="87">
        <v>85</v>
      </c>
      <c r="Q32" s="92">
        <v>8</v>
      </c>
      <c r="R32" s="93">
        <v>19</v>
      </c>
      <c r="S32" s="87">
        <v>0</v>
      </c>
      <c r="T32" s="87">
        <v>0</v>
      </c>
    </row>
    <row r="33" spans="1:20">
      <c r="A33" s="115" t="s">
        <v>22</v>
      </c>
      <c r="B33" s="87">
        <v>98</v>
      </c>
      <c r="C33" s="87">
        <v>386</v>
      </c>
      <c r="D33" s="87">
        <v>502</v>
      </c>
      <c r="E33" s="92">
        <v>1038</v>
      </c>
      <c r="F33" s="93">
        <v>398</v>
      </c>
      <c r="G33" s="87">
        <v>47</v>
      </c>
      <c r="H33" s="87">
        <v>7</v>
      </c>
      <c r="I33" s="87"/>
      <c r="J33" s="120"/>
      <c r="K33" s="120"/>
      <c r="L33" s="80"/>
      <c r="M33" s="115" t="s">
        <v>22</v>
      </c>
      <c r="N33" s="87">
        <v>11</v>
      </c>
      <c r="O33" s="87">
        <v>188</v>
      </c>
      <c r="P33" s="87">
        <v>116</v>
      </c>
      <c r="Q33" s="92">
        <v>15</v>
      </c>
      <c r="R33" s="93">
        <v>213</v>
      </c>
      <c r="S33" s="87">
        <v>0</v>
      </c>
      <c r="T33" s="87">
        <v>0</v>
      </c>
    </row>
    <row r="34" spans="1:20">
      <c r="A34" s="115" t="s">
        <v>24</v>
      </c>
      <c r="B34" s="87">
        <v>84</v>
      </c>
      <c r="C34" s="87">
        <v>310</v>
      </c>
      <c r="D34" s="87">
        <v>344</v>
      </c>
      <c r="E34" s="92">
        <v>1510</v>
      </c>
      <c r="F34" s="93">
        <v>298</v>
      </c>
      <c r="G34" s="87">
        <v>95</v>
      </c>
      <c r="H34" s="87">
        <v>10</v>
      </c>
      <c r="I34" s="87"/>
      <c r="J34" s="120"/>
      <c r="K34" s="120"/>
      <c r="L34" s="80"/>
      <c r="M34" s="115" t="s">
        <v>24</v>
      </c>
      <c r="N34" s="87">
        <v>6</v>
      </c>
      <c r="O34" s="87">
        <v>84</v>
      </c>
      <c r="P34" s="87">
        <v>108</v>
      </c>
      <c r="Q34" s="92">
        <v>202</v>
      </c>
      <c r="R34" s="93">
        <v>104</v>
      </c>
      <c r="S34" s="87">
        <v>0</v>
      </c>
      <c r="T34" s="87">
        <v>0</v>
      </c>
    </row>
    <row r="35" spans="1:20">
      <c r="A35" s="115" t="s">
        <v>26</v>
      </c>
      <c r="B35" s="94">
        <v>64</v>
      </c>
      <c r="C35" s="94">
        <v>318</v>
      </c>
      <c r="D35" s="94">
        <v>384</v>
      </c>
      <c r="E35" s="95">
        <v>1458</v>
      </c>
      <c r="F35" s="96">
        <v>164</v>
      </c>
      <c r="G35" s="97">
        <v>13</v>
      </c>
      <c r="H35" s="97">
        <v>22</v>
      </c>
      <c r="I35" s="97"/>
      <c r="J35" s="120"/>
      <c r="K35" s="120"/>
      <c r="L35" s="80"/>
      <c r="M35" s="115" t="s">
        <v>26</v>
      </c>
      <c r="N35" s="94">
        <v>7</v>
      </c>
      <c r="O35" s="94">
        <v>114</v>
      </c>
      <c r="P35" s="94">
        <v>75</v>
      </c>
      <c r="Q35" s="95">
        <v>95</v>
      </c>
      <c r="R35" s="96">
        <v>179</v>
      </c>
      <c r="S35" s="97">
        <v>0</v>
      </c>
      <c r="T35" s="97">
        <v>0</v>
      </c>
    </row>
    <row r="36" spans="1:20">
      <c r="A36" s="115" t="s">
        <v>28</v>
      </c>
      <c r="B36" s="97">
        <v>55</v>
      </c>
      <c r="C36" s="97">
        <v>273</v>
      </c>
      <c r="D36" s="97">
        <v>443</v>
      </c>
      <c r="E36" s="95">
        <v>1176</v>
      </c>
      <c r="F36" s="96">
        <v>125</v>
      </c>
      <c r="G36" s="97">
        <v>6</v>
      </c>
      <c r="H36" s="97">
        <v>15</v>
      </c>
      <c r="I36" s="97"/>
      <c r="J36" s="120"/>
      <c r="K36" s="120"/>
      <c r="L36" s="80"/>
      <c r="M36" s="115" t="s">
        <v>28</v>
      </c>
      <c r="N36" s="97">
        <v>9</v>
      </c>
      <c r="O36" s="97">
        <v>77</v>
      </c>
      <c r="P36" s="97">
        <v>86</v>
      </c>
      <c r="Q36" s="95">
        <v>90</v>
      </c>
      <c r="R36" s="96">
        <v>16</v>
      </c>
      <c r="S36" s="97">
        <v>0</v>
      </c>
      <c r="T36" s="97">
        <v>0</v>
      </c>
    </row>
    <row r="37" spans="1:20">
      <c r="A37" s="115" t="s">
        <v>30</v>
      </c>
      <c r="B37" s="87">
        <v>153</v>
      </c>
      <c r="C37" s="87">
        <v>655</v>
      </c>
      <c r="D37" s="87">
        <v>677</v>
      </c>
      <c r="E37" s="92">
        <v>738</v>
      </c>
      <c r="F37" s="93">
        <v>255</v>
      </c>
      <c r="G37" s="87">
        <v>8</v>
      </c>
      <c r="H37" s="87">
        <v>22</v>
      </c>
      <c r="I37" s="87"/>
      <c r="J37" s="120"/>
      <c r="K37" s="120"/>
      <c r="L37" s="80"/>
      <c r="M37" s="115" t="s">
        <v>30</v>
      </c>
      <c r="N37" s="87">
        <v>67</v>
      </c>
      <c r="O37" s="87">
        <v>702</v>
      </c>
      <c r="P37" s="87">
        <v>496</v>
      </c>
      <c r="Q37" s="92">
        <v>81</v>
      </c>
      <c r="R37" s="93">
        <v>35</v>
      </c>
      <c r="S37" s="87">
        <v>0</v>
      </c>
      <c r="T37" s="87">
        <v>0</v>
      </c>
    </row>
    <row r="38" spans="1:20">
      <c r="A38" s="116" t="s">
        <v>32</v>
      </c>
      <c r="B38" s="117">
        <v>245</v>
      </c>
      <c r="C38" s="117">
        <v>1244</v>
      </c>
      <c r="D38" s="117">
        <v>1384</v>
      </c>
      <c r="E38" s="118">
        <v>737</v>
      </c>
      <c r="F38" s="119">
        <v>752</v>
      </c>
      <c r="G38" s="117">
        <v>3</v>
      </c>
      <c r="H38" s="117">
        <v>15</v>
      </c>
      <c r="I38" s="125"/>
      <c r="J38" s="120"/>
      <c r="K38" s="120"/>
      <c r="M38" s="116" t="s">
        <v>32</v>
      </c>
      <c r="N38" s="117">
        <v>105</v>
      </c>
      <c r="O38" s="117">
        <v>2963</v>
      </c>
      <c r="P38" s="117">
        <v>1799</v>
      </c>
      <c r="Q38" s="118">
        <v>165</v>
      </c>
      <c r="R38" s="119">
        <v>25</v>
      </c>
      <c r="S38" s="117">
        <v>0</v>
      </c>
      <c r="T38" s="117">
        <v>0</v>
      </c>
    </row>
    <row r="39" spans="1:20" ht="18.75">
      <c r="A39" s="6" t="s">
        <v>6</v>
      </c>
      <c r="B39" s="4"/>
      <c r="C39" s="4"/>
      <c r="D39" s="7"/>
      <c r="E39" s="2"/>
      <c r="H39" s="10" t="s">
        <v>7</v>
      </c>
      <c r="I39" s="11"/>
      <c r="J39" s="80"/>
      <c r="K39" s="80"/>
      <c r="L39" s="80"/>
      <c r="M39" s="6" t="s">
        <v>6</v>
      </c>
      <c r="N39" s="4"/>
      <c r="O39" s="4"/>
      <c r="P39" s="7"/>
      <c r="Q39" s="2"/>
      <c r="T39" s="10" t="s">
        <v>7</v>
      </c>
    </row>
    <row r="40" spans="1:20">
      <c r="A40" s="80"/>
      <c r="J40" s="80"/>
      <c r="K40" s="80"/>
      <c r="L40" s="80"/>
      <c r="M40" s="80"/>
      <c r="N40" s="80"/>
      <c r="O40" s="80"/>
    </row>
    <row r="41" spans="1:20">
      <c r="A41" s="80"/>
      <c r="J41" s="80"/>
      <c r="K41" s="80"/>
    </row>
    <row r="42" spans="1:20">
      <c r="A42" s="80"/>
      <c r="B42" s="80"/>
      <c r="C42" s="80"/>
      <c r="D42" s="80"/>
      <c r="E42" s="80"/>
      <c r="F42" s="80"/>
      <c r="G42" s="80"/>
      <c r="H42" s="80"/>
      <c r="I42" s="80"/>
      <c r="J42" s="80"/>
      <c r="K42" s="80"/>
    </row>
    <row r="44" spans="1:20">
      <c r="A44" s="170" t="s">
        <v>77</v>
      </c>
      <c r="B44" s="170"/>
      <c r="C44" s="170"/>
      <c r="D44" s="170"/>
      <c r="E44" s="170"/>
      <c r="F44" s="170"/>
      <c r="G44" s="170"/>
      <c r="H44" s="170"/>
      <c r="I44" s="114"/>
      <c r="J44" s="80"/>
      <c r="K44" s="80"/>
      <c r="M44" s="170" t="s">
        <v>78</v>
      </c>
      <c r="N44" s="170"/>
      <c r="O44" s="170"/>
      <c r="P44" s="170"/>
      <c r="Q44" s="170"/>
      <c r="R44" s="170"/>
      <c r="S44" s="170"/>
      <c r="T44" s="170"/>
    </row>
    <row r="45" spans="1:20">
      <c r="A45" s="81"/>
      <c r="B45" s="80"/>
      <c r="C45" s="80"/>
      <c r="D45" s="80"/>
      <c r="E45" s="80"/>
      <c r="F45" s="80"/>
      <c r="G45" s="80"/>
      <c r="H45" s="80"/>
      <c r="I45" s="80"/>
      <c r="J45" s="80"/>
      <c r="K45" s="80"/>
      <c r="M45" s="81"/>
      <c r="N45" s="80"/>
      <c r="O45" s="80"/>
      <c r="P45" s="80"/>
      <c r="Q45" s="80"/>
      <c r="R45" s="80"/>
      <c r="S45" s="80"/>
      <c r="T45" s="80"/>
    </row>
    <row r="46" spans="1:20">
      <c r="A46" s="171" t="s">
        <v>64</v>
      </c>
      <c r="B46" s="173" t="s">
        <v>72</v>
      </c>
      <c r="C46" s="167" t="s">
        <v>66</v>
      </c>
      <c r="D46" s="167"/>
      <c r="E46" s="168" t="s">
        <v>67</v>
      </c>
      <c r="F46" s="169"/>
      <c r="G46" s="167" t="s">
        <v>68</v>
      </c>
      <c r="H46" s="167"/>
      <c r="I46" s="122"/>
      <c r="J46" s="120"/>
      <c r="K46" s="120"/>
      <c r="L46" s="80"/>
      <c r="M46" s="171" t="s">
        <v>64</v>
      </c>
      <c r="N46" s="173" t="s">
        <v>72</v>
      </c>
      <c r="O46" s="167" t="s">
        <v>66</v>
      </c>
      <c r="P46" s="167"/>
      <c r="Q46" s="168" t="s">
        <v>67</v>
      </c>
      <c r="R46" s="169"/>
      <c r="S46" s="167" t="s">
        <v>68</v>
      </c>
      <c r="T46" s="167"/>
    </row>
    <row r="47" spans="1:20">
      <c r="A47" s="172"/>
      <c r="B47" s="174"/>
      <c r="C47" s="85" t="s">
        <v>69</v>
      </c>
      <c r="D47" s="85" t="s">
        <v>70</v>
      </c>
      <c r="E47" s="88" t="s">
        <v>69</v>
      </c>
      <c r="F47" s="89" t="s">
        <v>70</v>
      </c>
      <c r="G47" s="85" t="s">
        <v>69</v>
      </c>
      <c r="H47" s="85" t="s">
        <v>70</v>
      </c>
      <c r="I47" s="123"/>
      <c r="J47" s="120"/>
      <c r="K47" s="120"/>
      <c r="L47" s="80"/>
      <c r="M47" s="172"/>
      <c r="N47" s="174"/>
      <c r="O47" s="85" t="s">
        <v>69</v>
      </c>
      <c r="P47" s="85" t="s">
        <v>70</v>
      </c>
      <c r="Q47" s="88" t="s">
        <v>69</v>
      </c>
      <c r="R47" s="89" t="s">
        <v>70</v>
      </c>
      <c r="S47" s="85" t="s">
        <v>69</v>
      </c>
      <c r="T47" s="85" t="s">
        <v>70</v>
      </c>
    </row>
    <row r="48" spans="1:20">
      <c r="A48" s="84" t="s">
        <v>4</v>
      </c>
      <c r="B48" s="86">
        <v>852</v>
      </c>
      <c r="C48" s="86">
        <v>17149</v>
      </c>
      <c r="D48" s="86">
        <v>17483</v>
      </c>
      <c r="E48" s="90">
        <v>27288.1</v>
      </c>
      <c r="F48" s="91">
        <v>12131.400000000001</v>
      </c>
      <c r="G48" s="86">
        <v>1115</v>
      </c>
      <c r="H48" s="86">
        <v>61.5</v>
      </c>
      <c r="I48" s="124"/>
      <c r="J48" s="120"/>
      <c r="K48" s="120"/>
      <c r="L48" s="80"/>
      <c r="M48" s="84" t="s">
        <v>4</v>
      </c>
      <c r="N48" s="86">
        <v>158</v>
      </c>
      <c r="O48" s="86">
        <v>1649</v>
      </c>
      <c r="P48" s="86">
        <v>1504</v>
      </c>
      <c r="Q48" s="90">
        <v>1181</v>
      </c>
      <c r="R48" s="91">
        <v>770</v>
      </c>
      <c r="S48" s="86">
        <v>0</v>
      </c>
      <c r="T48" s="86">
        <v>0</v>
      </c>
    </row>
    <row r="49" spans="1:20">
      <c r="A49" s="115" t="s">
        <v>10</v>
      </c>
      <c r="B49" s="87">
        <v>211</v>
      </c>
      <c r="C49" s="87">
        <v>5987</v>
      </c>
      <c r="D49" s="87">
        <v>6082</v>
      </c>
      <c r="E49" s="92">
        <v>4714</v>
      </c>
      <c r="F49" s="93">
        <v>1132.3</v>
      </c>
      <c r="G49" s="87">
        <v>644</v>
      </c>
      <c r="H49" s="87">
        <v>19.399999999999999</v>
      </c>
      <c r="I49" s="87"/>
      <c r="J49" s="120" t="s">
        <v>71</v>
      </c>
      <c r="K49" s="120"/>
      <c r="L49" s="80"/>
      <c r="M49" s="115" t="s">
        <v>10</v>
      </c>
      <c r="N49" s="87">
        <v>38</v>
      </c>
      <c r="O49" s="87">
        <v>536</v>
      </c>
      <c r="P49" s="87">
        <v>558</v>
      </c>
      <c r="Q49" s="92">
        <v>461</v>
      </c>
      <c r="R49" s="93">
        <v>155</v>
      </c>
      <c r="S49" s="87">
        <v>0</v>
      </c>
      <c r="T49" s="87">
        <v>0</v>
      </c>
    </row>
    <row r="50" spans="1:20">
      <c r="A50" s="115" t="s">
        <v>12</v>
      </c>
      <c r="B50" s="87">
        <v>258</v>
      </c>
      <c r="C50" s="87">
        <v>4756</v>
      </c>
      <c r="D50" s="87">
        <v>5265</v>
      </c>
      <c r="E50" s="92">
        <v>6216</v>
      </c>
      <c r="F50" s="93">
        <v>215.6</v>
      </c>
      <c r="G50" s="87">
        <v>268</v>
      </c>
      <c r="H50" s="87">
        <v>21.1</v>
      </c>
      <c r="I50" s="87"/>
      <c r="J50" s="120"/>
      <c r="K50" s="120"/>
      <c r="L50" s="80"/>
      <c r="M50" s="115" t="s">
        <v>12</v>
      </c>
      <c r="N50" s="87">
        <v>34</v>
      </c>
      <c r="O50" s="87">
        <v>380</v>
      </c>
      <c r="P50" s="87">
        <v>405</v>
      </c>
      <c r="Q50" s="92">
        <v>331</v>
      </c>
      <c r="R50" s="93">
        <v>292</v>
      </c>
      <c r="S50" s="87">
        <v>0</v>
      </c>
      <c r="T50" s="87">
        <v>0</v>
      </c>
    </row>
    <row r="51" spans="1:20">
      <c r="A51" s="115" t="s">
        <v>14</v>
      </c>
      <c r="B51" s="87">
        <v>169</v>
      </c>
      <c r="C51" s="87">
        <v>3418</v>
      </c>
      <c r="D51" s="87">
        <v>3469</v>
      </c>
      <c r="E51" s="92">
        <v>4350</v>
      </c>
      <c r="F51" s="93">
        <v>503</v>
      </c>
      <c r="G51" s="87">
        <v>140</v>
      </c>
      <c r="H51" s="87">
        <v>13</v>
      </c>
      <c r="I51" s="87"/>
      <c r="J51" s="120"/>
      <c r="K51" s="120"/>
      <c r="L51" s="80"/>
      <c r="M51" s="115" t="s">
        <v>14</v>
      </c>
      <c r="N51" s="87">
        <v>24</v>
      </c>
      <c r="O51" s="87">
        <v>252</v>
      </c>
      <c r="P51" s="87">
        <v>179</v>
      </c>
      <c r="Q51" s="92">
        <v>186</v>
      </c>
      <c r="R51" s="93">
        <v>28</v>
      </c>
      <c r="S51" s="87">
        <v>0</v>
      </c>
      <c r="T51" s="87">
        <v>0</v>
      </c>
    </row>
    <row r="52" spans="1:20">
      <c r="A52" s="115" t="s">
        <v>16</v>
      </c>
      <c r="B52" s="87">
        <v>11</v>
      </c>
      <c r="C52" s="87">
        <v>304</v>
      </c>
      <c r="D52" s="87">
        <v>279</v>
      </c>
      <c r="E52" s="92">
        <v>271.10000000000002</v>
      </c>
      <c r="F52" s="93">
        <v>934.3</v>
      </c>
      <c r="G52" s="87">
        <v>0</v>
      </c>
      <c r="H52" s="87">
        <v>0</v>
      </c>
      <c r="I52" s="87"/>
      <c r="J52" s="120"/>
      <c r="K52" s="120"/>
      <c r="L52" s="80"/>
      <c r="M52" s="115" t="s">
        <v>16</v>
      </c>
      <c r="N52" s="87">
        <v>8</v>
      </c>
      <c r="O52" s="87">
        <v>49</v>
      </c>
      <c r="P52" s="87">
        <v>32</v>
      </c>
      <c r="Q52" s="92">
        <v>57</v>
      </c>
      <c r="R52" s="93">
        <v>79</v>
      </c>
      <c r="S52" s="87">
        <v>0</v>
      </c>
      <c r="T52" s="87">
        <v>0</v>
      </c>
    </row>
    <row r="53" spans="1:20">
      <c r="A53" s="115" t="s">
        <v>18</v>
      </c>
      <c r="B53" s="87">
        <v>13</v>
      </c>
      <c r="C53" s="87">
        <v>31</v>
      </c>
      <c r="D53" s="87">
        <v>64</v>
      </c>
      <c r="E53" s="92">
        <v>5130</v>
      </c>
      <c r="F53" s="93">
        <v>5948</v>
      </c>
      <c r="G53" s="87">
        <v>0</v>
      </c>
      <c r="H53" s="87">
        <v>0</v>
      </c>
      <c r="I53" s="87"/>
      <c r="J53" s="120"/>
      <c r="K53" s="120"/>
      <c r="L53" s="80"/>
      <c r="M53" s="115" t="s">
        <v>18</v>
      </c>
      <c r="N53" s="87">
        <v>2</v>
      </c>
      <c r="O53" s="87">
        <v>3</v>
      </c>
      <c r="P53" s="87">
        <v>0</v>
      </c>
      <c r="Q53" s="92">
        <v>22</v>
      </c>
      <c r="R53" s="93">
        <v>0</v>
      </c>
      <c r="S53" s="87">
        <v>0</v>
      </c>
      <c r="T53" s="87">
        <v>0</v>
      </c>
    </row>
    <row r="54" spans="1:20">
      <c r="A54" s="115" t="s">
        <v>20</v>
      </c>
      <c r="B54" s="87">
        <v>21</v>
      </c>
      <c r="C54" s="87">
        <v>484</v>
      </c>
      <c r="D54" s="87">
        <v>198</v>
      </c>
      <c r="E54" s="92">
        <v>645</v>
      </c>
      <c r="F54" s="93">
        <v>493</v>
      </c>
      <c r="G54" s="87">
        <v>11</v>
      </c>
      <c r="H54" s="87">
        <v>0</v>
      </c>
      <c r="I54" s="87"/>
      <c r="J54" s="121"/>
      <c r="K54" s="121"/>
      <c r="L54" s="80"/>
      <c r="M54" s="115" t="s">
        <v>20</v>
      </c>
      <c r="N54" s="87">
        <v>14</v>
      </c>
      <c r="O54" s="87">
        <v>175</v>
      </c>
      <c r="P54" s="87">
        <v>45</v>
      </c>
      <c r="Q54" s="92">
        <v>0</v>
      </c>
      <c r="R54" s="93">
        <v>0</v>
      </c>
      <c r="S54" s="87">
        <v>0</v>
      </c>
      <c r="T54" s="87">
        <v>0</v>
      </c>
    </row>
    <row r="55" spans="1:20">
      <c r="A55" s="115" t="s">
        <v>22</v>
      </c>
      <c r="B55" s="87">
        <v>16</v>
      </c>
      <c r="C55" s="87">
        <v>265</v>
      </c>
      <c r="D55" s="87">
        <v>289</v>
      </c>
      <c r="E55" s="92">
        <v>875</v>
      </c>
      <c r="F55" s="93">
        <v>306</v>
      </c>
      <c r="G55" s="87">
        <v>31</v>
      </c>
      <c r="H55" s="87">
        <v>0</v>
      </c>
      <c r="I55" s="87"/>
      <c r="J55" s="120"/>
      <c r="K55" s="120"/>
      <c r="L55" s="80"/>
      <c r="M55" s="115" t="s">
        <v>22</v>
      </c>
      <c r="N55" s="87">
        <v>14</v>
      </c>
      <c r="O55" s="87">
        <v>62</v>
      </c>
      <c r="P55" s="87">
        <v>62</v>
      </c>
      <c r="Q55" s="92">
        <v>32</v>
      </c>
      <c r="R55" s="93">
        <v>11</v>
      </c>
      <c r="S55" s="87">
        <v>0</v>
      </c>
      <c r="T55" s="87">
        <v>0</v>
      </c>
    </row>
    <row r="56" spans="1:20">
      <c r="A56" s="115" t="s">
        <v>24</v>
      </c>
      <c r="B56" s="87">
        <v>45</v>
      </c>
      <c r="C56" s="87">
        <v>447</v>
      </c>
      <c r="D56" s="87">
        <v>467</v>
      </c>
      <c r="E56" s="92">
        <v>1370</v>
      </c>
      <c r="F56" s="93">
        <v>799.2</v>
      </c>
      <c r="G56" s="87">
        <v>11</v>
      </c>
      <c r="H56" s="87">
        <v>3</v>
      </c>
      <c r="I56" s="87"/>
      <c r="J56" s="120"/>
      <c r="K56" s="120"/>
      <c r="L56" s="80"/>
      <c r="M56" s="115" t="s">
        <v>24</v>
      </c>
      <c r="N56" s="87">
        <v>8</v>
      </c>
      <c r="O56" s="87">
        <v>32</v>
      </c>
      <c r="P56" s="87">
        <v>32</v>
      </c>
      <c r="Q56" s="92">
        <v>0</v>
      </c>
      <c r="R56" s="93">
        <v>12</v>
      </c>
      <c r="S56" s="87">
        <v>0</v>
      </c>
      <c r="T56" s="87">
        <v>0</v>
      </c>
    </row>
    <row r="57" spans="1:20">
      <c r="A57" s="115" t="s">
        <v>26</v>
      </c>
      <c r="B57" s="94">
        <v>46</v>
      </c>
      <c r="C57" s="94">
        <v>480</v>
      </c>
      <c r="D57" s="94">
        <v>447</v>
      </c>
      <c r="E57" s="95">
        <v>2011</v>
      </c>
      <c r="F57" s="96">
        <v>1118</v>
      </c>
      <c r="G57" s="97">
        <v>2</v>
      </c>
      <c r="H57" s="97">
        <v>4</v>
      </c>
      <c r="I57" s="97"/>
      <c r="J57" s="120"/>
      <c r="K57" s="120"/>
      <c r="L57" s="80"/>
      <c r="M57" s="115" t="s">
        <v>26</v>
      </c>
      <c r="N57" s="94">
        <v>6</v>
      </c>
      <c r="O57" s="94">
        <v>60</v>
      </c>
      <c r="P57" s="94">
        <v>62</v>
      </c>
      <c r="Q57" s="95">
        <v>34</v>
      </c>
      <c r="R57" s="96">
        <v>114</v>
      </c>
      <c r="S57" s="97">
        <v>0</v>
      </c>
      <c r="T57" s="97">
        <v>0</v>
      </c>
    </row>
    <row r="58" spans="1:20">
      <c r="A58" s="115" t="s">
        <v>28</v>
      </c>
      <c r="B58" s="97">
        <v>62</v>
      </c>
      <c r="C58" s="97">
        <v>977</v>
      </c>
      <c r="D58" s="97">
        <v>923</v>
      </c>
      <c r="E58" s="95">
        <v>1706</v>
      </c>
      <c r="F58" s="96">
        <v>682</v>
      </c>
      <c r="G58" s="97">
        <v>8</v>
      </c>
      <c r="H58" s="97">
        <v>1</v>
      </c>
      <c r="I58" s="97"/>
      <c r="J58" s="120"/>
      <c r="K58" s="120"/>
      <c r="L58" s="80"/>
      <c r="M58" s="115" t="s">
        <v>28</v>
      </c>
      <c r="N58" s="97">
        <v>10</v>
      </c>
      <c r="O58" s="97">
        <v>100</v>
      </c>
      <c r="P58" s="97">
        <v>129</v>
      </c>
      <c r="Q58" s="95">
        <v>58</v>
      </c>
      <c r="R58" s="96">
        <v>79</v>
      </c>
      <c r="S58" s="97">
        <v>0</v>
      </c>
      <c r="T58" s="97">
        <v>0</v>
      </c>
    </row>
    <row r="59" spans="1:20">
      <c r="A59" s="115" t="s">
        <v>30</v>
      </c>
      <c r="B59" s="87">
        <v>89</v>
      </c>
      <c r="C59" s="87">
        <v>1044</v>
      </c>
      <c r="D59" s="87">
        <v>1146</v>
      </c>
      <c r="E59" s="92">
        <v>2057</v>
      </c>
      <c r="F59" s="93">
        <v>542.79999999999995</v>
      </c>
      <c r="G59" s="87">
        <v>6</v>
      </c>
      <c r="H59" s="87">
        <v>2</v>
      </c>
      <c r="I59" s="87"/>
      <c r="J59" s="120"/>
      <c r="K59" s="120"/>
      <c r="L59" s="80"/>
      <c r="M59" s="115" t="s">
        <v>30</v>
      </c>
      <c r="N59" s="87">
        <v>7</v>
      </c>
      <c r="O59" s="87">
        <v>94</v>
      </c>
      <c r="P59" s="87">
        <v>125</v>
      </c>
      <c r="Q59" s="92">
        <v>105</v>
      </c>
      <c r="R59" s="93">
        <v>35</v>
      </c>
      <c r="S59" s="87">
        <v>0</v>
      </c>
      <c r="T59" s="87">
        <v>0</v>
      </c>
    </row>
    <row r="60" spans="1:20">
      <c r="A60" s="116" t="s">
        <v>32</v>
      </c>
      <c r="B60" s="117">
        <v>141</v>
      </c>
      <c r="C60" s="117">
        <v>3106</v>
      </c>
      <c r="D60" s="117">
        <v>2351</v>
      </c>
      <c r="E60" s="118">
        <v>4220</v>
      </c>
      <c r="F60" s="119">
        <v>1473.7</v>
      </c>
      <c r="G60" s="117">
        <v>0</v>
      </c>
      <c r="H60" s="117">
        <v>3</v>
      </c>
      <c r="I60" s="125"/>
      <c r="J60" s="120"/>
      <c r="K60" s="120"/>
      <c r="M60" s="116" t="s">
        <v>32</v>
      </c>
      <c r="N60" s="117">
        <v>7</v>
      </c>
      <c r="O60" s="117">
        <v>131</v>
      </c>
      <c r="P60" s="117">
        <v>147</v>
      </c>
      <c r="Q60" s="118">
        <v>35</v>
      </c>
      <c r="R60" s="119">
        <v>78</v>
      </c>
      <c r="S60" s="117">
        <v>0</v>
      </c>
      <c r="T60" s="117">
        <v>0</v>
      </c>
    </row>
    <row r="61" spans="1:20" ht="18.75">
      <c r="A61" s="6" t="s">
        <v>6</v>
      </c>
      <c r="B61" s="4"/>
      <c r="C61" s="4"/>
      <c r="D61" s="7"/>
      <c r="E61" s="2"/>
      <c r="H61" s="10" t="s">
        <v>7</v>
      </c>
      <c r="I61" s="11"/>
      <c r="J61" s="80"/>
      <c r="K61" s="80"/>
      <c r="M61" s="6" t="s">
        <v>6</v>
      </c>
      <c r="N61" s="4"/>
      <c r="O61" s="4"/>
      <c r="P61" s="7"/>
      <c r="Q61" s="2"/>
      <c r="T61" s="10" t="s">
        <v>7</v>
      </c>
    </row>
    <row r="62" spans="1:20">
      <c r="A62" s="80"/>
      <c r="J62" s="80"/>
      <c r="K62" s="80"/>
    </row>
    <row r="63" spans="1:20">
      <c r="A63" s="80"/>
      <c r="B63" s="80"/>
      <c r="C63" s="80"/>
      <c r="D63" s="80"/>
      <c r="E63" s="80"/>
      <c r="F63" s="80"/>
      <c r="G63" s="80"/>
      <c r="H63" s="80"/>
      <c r="I63" s="80"/>
    </row>
    <row r="65" spans="1:20">
      <c r="A65" s="170" t="s">
        <v>79</v>
      </c>
      <c r="B65" s="170"/>
      <c r="C65" s="170"/>
      <c r="D65" s="170"/>
      <c r="E65" s="170"/>
      <c r="F65" s="170"/>
      <c r="G65" s="170"/>
      <c r="H65" s="170"/>
      <c r="I65" s="114"/>
      <c r="M65" s="170" t="s">
        <v>80</v>
      </c>
      <c r="N65" s="170"/>
      <c r="O65" s="170"/>
      <c r="P65" s="170"/>
      <c r="Q65" s="170"/>
      <c r="R65" s="170"/>
      <c r="S65" s="170"/>
      <c r="T65" s="170"/>
    </row>
    <row r="66" spans="1:20">
      <c r="A66" s="81"/>
      <c r="B66" s="80"/>
      <c r="C66" s="80"/>
      <c r="D66" s="80"/>
      <c r="E66" s="80"/>
      <c r="F66" s="80"/>
      <c r="G66" s="80"/>
      <c r="H66" s="80"/>
      <c r="I66" s="80"/>
      <c r="M66" s="81"/>
      <c r="N66" s="80"/>
      <c r="O66" s="80"/>
      <c r="P66" s="80"/>
      <c r="Q66" s="80"/>
      <c r="R66" s="80"/>
      <c r="S66" s="80"/>
      <c r="T66" s="80"/>
    </row>
    <row r="67" spans="1:20">
      <c r="A67" s="171" t="s">
        <v>64</v>
      </c>
      <c r="B67" s="173" t="s">
        <v>65</v>
      </c>
      <c r="C67" s="167" t="s">
        <v>66</v>
      </c>
      <c r="D67" s="167"/>
      <c r="E67" s="168" t="s">
        <v>67</v>
      </c>
      <c r="F67" s="169"/>
      <c r="G67" s="167" t="s">
        <v>68</v>
      </c>
      <c r="H67" s="167"/>
      <c r="I67" s="122"/>
      <c r="J67" s="120"/>
      <c r="K67" s="120"/>
      <c r="M67" s="171" t="s">
        <v>64</v>
      </c>
      <c r="N67" s="173" t="s">
        <v>65</v>
      </c>
      <c r="O67" s="167" t="s">
        <v>66</v>
      </c>
      <c r="P67" s="167"/>
      <c r="Q67" s="168" t="s">
        <v>67</v>
      </c>
      <c r="R67" s="169"/>
      <c r="S67" s="167" t="s">
        <v>68</v>
      </c>
      <c r="T67" s="167"/>
    </row>
    <row r="68" spans="1:20">
      <c r="A68" s="172"/>
      <c r="B68" s="174"/>
      <c r="C68" s="85" t="s">
        <v>69</v>
      </c>
      <c r="D68" s="85" t="s">
        <v>70</v>
      </c>
      <c r="E68" s="88" t="s">
        <v>69</v>
      </c>
      <c r="F68" s="89" t="s">
        <v>70</v>
      </c>
      <c r="G68" s="85" t="s">
        <v>69</v>
      </c>
      <c r="H68" s="85" t="s">
        <v>70</v>
      </c>
      <c r="I68" s="123"/>
      <c r="J68" s="120"/>
      <c r="K68" s="120"/>
      <c r="M68" s="172"/>
      <c r="N68" s="174"/>
      <c r="O68" s="85" t="s">
        <v>69</v>
      </c>
      <c r="P68" s="85" t="s">
        <v>70</v>
      </c>
      <c r="Q68" s="88" t="s">
        <v>69</v>
      </c>
      <c r="R68" s="89" t="s">
        <v>70</v>
      </c>
      <c r="S68" s="85" t="s">
        <v>69</v>
      </c>
      <c r="T68" s="85" t="s">
        <v>70</v>
      </c>
    </row>
    <row r="69" spans="1:20">
      <c r="A69" s="84" t="s">
        <v>4</v>
      </c>
      <c r="B69" s="86">
        <v>420</v>
      </c>
      <c r="C69" s="86">
        <v>6498</v>
      </c>
      <c r="D69" s="86">
        <v>6322</v>
      </c>
      <c r="E69" s="90">
        <v>3247</v>
      </c>
      <c r="F69" s="91">
        <v>1161</v>
      </c>
      <c r="G69" s="86">
        <v>0</v>
      </c>
      <c r="H69" s="86">
        <v>0</v>
      </c>
      <c r="I69" s="124"/>
      <c r="J69" s="120"/>
      <c r="K69" s="120"/>
      <c r="M69" s="84" t="s">
        <v>4</v>
      </c>
      <c r="N69" s="86">
        <v>420</v>
      </c>
      <c r="O69" s="86">
        <v>13437</v>
      </c>
      <c r="P69" s="86">
        <v>13664</v>
      </c>
      <c r="Q69" s="90">
        <v>41</v>
      </c>
      <c r="R69" s="91">
        <v>86</v>
      </c>
      <c r="S69" s="86">
        <v>0</v>
      </c>
      <c r="T69" s="86">
        <v>0</v>
      </c>
    </row>
    <row r="70" spans="1:20">
      <c r="A70" s="115" t="s">
        <v>10</v>
      </c>
      <c r="B70" s="87">
        <v>155</v>
      </c>
      <c r="C70" s="87">
        <v>2863</v>
      </c>
      <c r="D70" s="87">
        <v>2796</v>
      </c>
      <c r="E70" s="92">
        <v>1127</v>
      </c>
      <c r="F70" s="93">
        <v>244</v>
      </c>
      <c r="G70" s="87">
        <v>0</v>
      </c>
      <c r="H70" s="87">
        <v>0</v>
      </c>
      <c r="I70" s="87"/>
      <c r="J70" s="120"/>
      <c r="K70" s="120"/>
      <c r="M70" s="115" t="s">
        <v>10</v>
      </c>
      <c r="N70" s="87">
        <v>214</v>
      </c>
      <c r="O70" s="87">
        <v>7497</v>
      </c>
      <c r="P70" s="87">
        <v>7643</v>
      </c>
      <c r="Q70" s="92">
        <v>29</v>
      </c>
      <c r="R70" s="93">
        <v>25</v>
      </c>
      <c r="S70" s="87">
        <v>0</v>
      </c>
      <c r="T70" s="87">
        <v>0</v>
      </c>
    </row>
    <row r="71" spans="1:20">
      <c r="A71" s="115" t="s">
        <v>12</v>
      </c>
      <c r="B71" s="87">
        <v>130</v>
      </c>
      <c r="C71" s="87">
        <v>2080</v>
      </c>
      <c r="D71" s="87">
        <v>2044</v>
      </c>
      <c r="E71" s="92">
        <v>800</v>
      </c>
      <c r="F71" s="93">
        <v>616</v>
      </c>
      <c r="G71" s="87">
        <v>0</v>
      </c>
      <c r="H71" s="87">
        <v>0</v>
      </c>
      <c r="I71" s="87"/>
      <c r="J71" s="120"/>
      <c r="K71" s="120"/>
      <c r="M71" s="115" t="s">
        <v>12</v>
      </c>
      <c r="N71" s="87">
        <v>192</v>
      </c>
      <c r="O71" s="87">
        <v>5882</v>
      </c>
      <c r="P71" s="87">
        <v>5921</v>
      </c>
      <c r="Q71" s="92">
        <v>1</v>
      </c>
      <c r="R71" s="93">
        <v>61</v>
      </c>
      <c r="S71" s="87">
        <v>0</v>
      </c>
      <c r="T71" s="87">
        <v>0</v>
      </c>
    </row>
    <row r="72" spans="1:20">
      <c r="A72" s="115" t="s">
        <v>14</v>
      </c>
      <c r="B72" s="87">
        <v>77</v>
      </c>
      <c r="C72" s="87">
        <v>856</v>
      </c>
      <c r="D72" s="87">
        <v>971</v>
      </c>
      <c r="E72" s="92">
        <v>1000</v>
      </c>
      <c r="F72" s="93">
        <v>139</v>
      </c>
      <c r="G72" s="87">
        <v>0</v>
      </c>
      <c r="H72" s="87">
        <v>0</v>
      </c>
      <c r="I72" s="87"/>
      <c r="J72" s="120"/>
      <c r="K72" s="120"/>
      <c r="M72" s="115" t="s">
        <v>14</v>
      </c>
      <c r="N72" s="87">
        <v>7</v>
      </c>
      <c r="O72" s="87">
        <v>47</v>
      </c>
      <c r="P72" s="87">
        <v>63</v>
      </c>
      <c r="Q72" s="92">
        <v>7</v>
      </c>
      <c r="R72" s="93">
        <v>0</v>
      </c>
      <c r="S72" s="87">
        <v>0</v>
      </c>
      <c r="T72" s="87">
        <v>0</v>
      </c>
    </row>
    <row r="73" spans="1:20">
      <c r="A73" s="115" t="s">
        <v>16</v>
      </c>
      <c r="B73" s="87">
        <v>7</v>
      </c>
      <c r="C73" s="87">
        <v>122</v>
      </c>
      <c r="D73" s="87">
        <v>12</v>
      </c>
      <c r="E73" s="92">
        <v>33</v>
      </c>
      <c r="F73" s="93">
        <v>0</v>
      </c>
      <c r="G73" s="87">
        <v>0</v>
      </c>
      <c r="H73" s="87">
        <v>0</v>
      </c>
      <c r="I73" s="87"/>
      <c r="J73" s="120"/>
      <c r="K73" s="120"/>
      <c r="M73" s="115" t="s">
        <v>16</v>
      </c>
      <c r="N73" s="87">
        <v>1</v>
      </c>
      <c r="O73" s="87">
        <v>2</v>
      </c>
      <c r="P73" s="87">
        <v>0</v>
      </c>
      <c r="Q73" s="92">
        <v>0</v>
      </c>
      <c r="R73" s="93">
        <v>0</v>
      </c>
      <c r="S73" s="87">
        <v>0</v>
      </c>
      <c r="T73" s="87">
        <v>0</v>
      </c>
    </row>
    <row r="74" spans="1:20">
      <c r="A74" s="115" t="s">
        <v>18</v>
      </c>
      <c r="B74" s="87">
        <v>3</v>
      </c>
      <c r="C74" s="87">
        <v>2</v>
      </c>
      <c r="D74" s="87">
        <v>11</v>
      </c>
      <c r="E74" s="92">
        <v>0</v>
      </c>
      <c r="F74" s="93">
        <v>0</v>
      </c>
      <c r="G74" s="87">
        <v>0</v>
      </c>
      <c r="H74" s="87">
        <v>0</v>
      </c>
      <c r="I74" s="87"/>
      <c r="J74" s="120"/>
      <c r="K74" s="120"/>
      <c r="M74" s="115" t="s">
        <v>18</v>
      </c>
      <c r="N74" s="87">
        <v>0</v>
      </c>
      <c r="O74" s="87">
        <v>0</v>
      </c>
      <c r="P74" s="87">
        <v>0</v>
      </c>
      <c r="Q74" s="92">
        <v>0</v>
      </c>
      <c r="R74" s="93">
        <v>0</v>
      </c>
      <c r="S74" s="87">
        <v>0</v>
      </c>
      <c r="T74" s="87">
        <v>0</v>
      </c>
    </row>
    <row r="75" spans="1:20">
      <c r="A75" s="115" t="s">
        <v>20</v>
      </c>
      <c r="B75" s="87">
        <v>10</v>
      </c>
      <c r="C75" s="87">
        <v>131</v>
      </c>
      <c r="D75" s="87">
        <v>69</v>
      </c>
      <c r="E75" s="92">
        <v>8</v>
      </c>
      <c r="F75" s="93">
        <v>0</v>
      </c>
      <c r="G75" s="87">
        <v>0</v>
      </c>
      <c r="H75" s="87">
        <v>0</v>
      </c>
      <c r="I75" s="87"/>
      <c r="J75" s="120"/>
      <c r="K75" s="120"/>
      <c r="M75" s="115" t="s">
        <v>20</v>
      </c>
      <c r="N75" s="87">
        <v>0</v>
      </c>
      <c r="O75" s="87">
        <v>0</v>
      </c>
      <c r="P75" s="87">
        <v>0</v>
      </c>
      <c r="Q75" s="92">
        <v>0</v>
      </c>
      <c r="R75" s="93">
        <v>0</v>
      </c>
      <c r="S75" s="87">
        <v>0</v>
      </c>
      <c r="T75" s="87">
        <v>0</v>
      </c>
    </row>
    <row r="76" spans="1:20">
      <c r="A76" s="115" t="s">
        <v>22</v>
      </c>
      <c r="B76" s="87">
        <v>8</v>
      </c>
      <c r="C76" s="87">
        <v>98</v>
      </c>
      <c r="D76" s="87">
        <v>62</v>
      </c>
      <c r="E76" s="92">
        <v>221</v>
      </c>
      <c r="F76" s="93">
        <v>0</v>
      </c>
      <c r="G76" s="87">
        <v>0</v>
      </c>
      <c r="H76" s="87">
        <v>0</v>
      </c>
      <c r="I76" s="87"/>
      <c r="J76" s="120"/>
      <c r="K76" s="120"/>
      <c r="M76" s="115" t="s">
        <v>22</v>
      </c>
      <c r="N76" s="87">
        <v>0</v>
      </c>
      <c r="O76" s="87">
        <v>2</v>
      </c>
      <c r="P76" s="87">
        <v>4</v>
      </c>
      <c r="Q76" s="92">
        <v>0</v>
      </c>
      <c r="R76" s="93">
        <v>0</v>
      </c>
      <c r="S76" s="87">
        <v>0</v>
      </c>
      <c r="T76" s="87">
        <v>0</v>
      </c>
    </row>
    <row r="77" spans="1:20">
      <c r="A77" s="115" t="s">
        <v>24</v>
      </c>
      <c r="B77" s="87">
        <v>6</v>
      </c>
      <c r="C77" s="87">
        <v>49</v>
      </c>
      <c r="D77" s="87">
        <v>68</v>
      </c>
      <c r="E77" s="92">
        <v>0</v>
      </c>
      <c r="F77" s="93">
        <v>28</v>
      </c>
      <c r="G77" s="87">
        <v>0</v>
      </c>
      <c r="H77" s="87">
        <v>0</v>
      </c>
      <c r="I77" s="87"/>
      <c r="J77" s="120"/>
      <c r="K77" s="120"/>
      <c r="M77" s="115" t="s">
        <v>24</v>
      </c>
      <c r="N77" s="87"/>
      <c r="O77" s="87">
        <v>3</v>
      </c>
      <c r="P77" s="87">
        <v>11</v>
      </c>
      <c r="Q77" s="92">
        <v>3</v>
      </c>
      <c r="R77" s="93">
        <v>0</v>
      </c>
      <c r="S77" s="87">
        <v>0</v>
      </c>
      <c r="T77" s="87">
        <v>0</v>
      </c>
    </row>
    <row r="78" spans="1:20">
      <c r="A78" s="115" t="s">
        <v>26</v>
      </c>
      <c r="B78" s="94">
        <v>9</v>
      </c>
      <c r="C78" s="94">
        <v>92</v>
      </c>
      <c r="D78" s="94">
        <v>119</v>
      </c>
      <c r="E78" s="95">
        <v>16</v>
      </c>
      <c r="F78" s="96">
        <v>59</v>
      </c>
      <c r="G78" s="97">
        <v>0</v>
      </c>
      <c r="H78" s="97">
        <v>0</v>
      </c>
      <c r="I78" s="97"/>
      <c r="J78" s="120"/>
      <c r="K78" s="120"/>
      <c r="M78" s="115" t="s">
        <v>26</v>
      </c>
      <c r="N78" s="94">
        <v>3</v>
      </c>
      <c r="O78" s="94">
        <v>1</v>
      </c>
      <c r="P78" s="94">
        <v>8</v>
      </c>
      <c r="Q78" s="95">
        <v>1</v>
      </c>
      <c r="R78" s="96">
        <v>0</v>
      </c>
      <c r="S78" s="97">
        <v>0</v>
      </c>
      <c r="T78" s="97">
        <v>0</v>
      </c>
    </row>
    <row r="79" spans="1:20">
      <c r="A79" s="115" t="s">
        <v>28</v>
      </c>
      <c r="B79" s="97">
        <v>15</v>
      </c>
      <c r="C79" s="97">
        <v>205</v>
      </c>
      <c r="D79" s="97">
        <v>170</v>
      </c>
      <c r="E79" s="95">
        <v>42</v>
      </c>
      <c r="F79" s="96">
        <v>75</v>
      </c>
      <c r="G79" s="97">
        <v>0</v>
      </c>
      <c r="H79" s="97">
        <v>0</v>
      </c>
      <c r="I79" s="97"/>
      <c r="J79" s="120"/>
      <c r="K79" s="120"/>
      <c r="M79" s="115" t="s">
        <v>28</v>
      </c>
      <c r="N79" s="97">
        <v>3</v>
      </c>
      <c r="O79" s="97">
        <v>3</v>
      </c>
      <c r="P79" s="97">
        <v>14</v>
      </c>
      <c r="Q79" s="95">
        <v>0</v>
      </c>
      <c r="R79" s="96">
        <v>0</v>
      </c>
      <c r="S79" s="97">
        <v>0</v>
      </c>
      <c r="T79" s="97">
        <v>0</v>
      </c>
    </row>
    <row r="80" spans="1:20">
      <c r="A80" s="115" t="s">
        <v>30</v>
      </c>
      <c r="B80" s="87">
        <v>20</v>
      </c>
      <c r="C80" s="87">
        <v>154</v>
      </c>
      <c r="D80" s="87">
        <v>113</v>
      </c>
      <c r="E80" s="92">
        <v>93</v>
      </c>
      <c r="F80" s="93">
        <v>39</v>
      </c>
      <c r="G80" s="87">
        <v>0</v>
      </c>
      <c r="H80" s="87">
        <v>0</v>
      </c>
      <c r="I80" s="87"/>
      <c r="J80" s="120"/>
      <c r="K80" s="120"/>
      <c r="M80" s="115" t="s">
        <v>30</v>
      </c>
      <c r="N80" s="87">
        <v>54</v>
      </c>
      <c r="O80" s="87">
        <v>464</v>
      </c>
      <c r="P80" s="87">
        <v>345</v>
      </c>
      <c r="Q80" s="92">
        <v>0</v>
      </c>
      <c r="R80" s="93">
        <v>0</v>
      </c>
      <c r="S80" s="87">
        <v>0</v>
      </c>
      <c r="T80" s="87">
        <v>0</v>
      </c>
    </row>
    <row r="81" spans="1:20">
      <c r="A81" s="116" t="s">
        <v>32</v>
      </c>
      <c r="B81" s="117">
        <v>34</v>
      </c>
      <c r="C81" s="117">
        <v>388</v>
      </c>
      <c r="D81" s="117">
        <v>307</v>
      </c>
      <c r="E81" s="118">
        <v>348</v>
      </c>
      <c r="F81" s="119">
        <v>747</v>
      </c>
      <c r="G81" s="117">
        <v>0</v>
      </c>
      <c r="H81" s="117">
        <v>0</v>
      </c>
      <c r="I81" s="125"/>
      <c r="J81" s="120"/>
      <c r="K81" s="120"/>
      <c r="M81" s="116" t="s">
        <v>32</v>
      </c>
      <c r="N81" s="117">
        <v>244</v>
      </c>
      <c r="O81" s="117">
        <v>2763</v>
      </c>
      <c r="P81" s="117">
        <v>1599</v>
      </c>
      <c r="Q81" s="118">
        <v>0</v>
      </c>
      <c r="R81" s="119">
        <v>0</v>
      </c>
      <c r="S81" s="117">
        <v>0</v>
      </c>
      <c r="T81" s="117">
        <v>0</v>
      </c>
    </row>
    <row r="82" spans="1:20" ht="18.75">
      <c r="A82" s="6" t="s">
        <v>6</v>
      </c>
      <c r="B82" s="4"/>
      <c r="C82" s="4"/>
      <c r="D82" s="7"/>
      <c r="E82" s="2"/>
      <c r="H82" s="10" t="s">
        <v>7</v>
      </c>
      <c r="I82" s="82"/>
      <c r="J82" s="80"/>
      <c r="K82" s="80"/>
      <c r="M82" s="6" t="s">
        <v>6</v>
      </c>
      <c r="N82" s="4"/>
      <c r="O82" s="4"/>
      <c r="P82" s="7"/>
      <c r="Q82" s="2"/>
      <c r="T82" s="10" t="s">
        <v>7</v>
      </c>
    </row>
    <row r="83" spans="1:20">
      <c r="A83" s="80"/>
      <c r="J83" s="80"/>
      <c r="K83" s="80"/>
    </row>
    <row r="85" spans="1:20">
      <c r="A85" s="170" t="s">
        <v>81</v>
      </c>
      <c r="B85" s="170"/>
      <c r="C85" s="170"/>
      <c r="D85" s="170"/>
      <c r="E85" s="170"/>
      <c r="F85" s="170"/>
      <c r="G85" s="170"/>
      <c r="H85" s="170"/>
      <c r="I85" s="114"/>
      <c r="J85" s="80"/>
      <c r="K85" s="80"/>
    </row>
    <row r="86" spans="1:20">
      <c r="A86" s="81"/>
      <c r="B86" s="80"/>
      <c r="C86" s="80"/>
      <c r="D86" s="80"/>
      <c r="E86" s="80"/>
      <c r="F86" s="80"/>
      <c r="G86" s="80"/>
      <c r="H86" s="80"/>
      <c r="I86" s="80"/>
      <c r="J86" s="80"/>
      <c r="K86" s="80"/>
    </row>
    <row r="87" spans="1:20">
      <c r="A87" s="171" t="s">
        <v>64</v>
      </c>
      <c r="B87" s="173" t="s">
        <v>65</v>
      </c>
      <c r="C87" s="167" t="s">
        <v>66</v>
      </c>
      <c r="D87" s="167"/>
      <c r="E87" s="168" t="s">
        <v>67</v>
      </c>
      <c r="F87" s="169"/>
      <c r="G87" s="167" t="s">
        <v>68</v>
      </c>
      <c r="H87" s="167"/>
      <c r="I87" s="122"/>
      <c r="J87" s="80"/>
      <c r="K87" s="80"/>
    </row>
    <row r="88" spans="1:20">
      <c r="A88" s="172"/>
      <c r="B88" s="174"/>
      <c r="C88" s="85" t="s">
        <v>69</v>
      </c>
      <c r="D88" s="85" t="s">
        <v>70</v>
      </c>
      <c r="E88" s="88" t="s">
        <v>69</v>
      </c>
      <c r="F88" s="89" t="s">
        <v>70</v>
      </c>
      <c r="G88" s="85" t="s">
        <v>69</v>
      </c>
      <c r="H88" s="85" t="s">
        <v>70</v>
      </c>
      <c r="I88" s="123"/>
      <c r="J88" s="80"/>
      <c r="K88" s="80"/>
    </row>
    <row r="89" spans="1:20">
      <c r="A89" s="84" t="s">
        <v>4</v>
      </c>
      <c r="B89" s="86">
        <v>914</v>
      </c>
      <c r="C89" s="86">
        <v>20201</v>
      </c>
      <c r="D89" s="86">
        <v>21960</v>
      </c>
      <c r="E89" s="90">
        <v>0</v>
      </c>
      <c r="F89" s="91">
        <v>0</v>
      </c>
      <c r="G89" s="86">
        <v>0</v>
      </c>
      <c r="H89" s="86">
        <v>0</v>
      </c>
      <c r="I89" s="124"/>
      <c r="J89" s="80"/>
      <c r="K89" s="80"/>
    </row>
    <row r="90" spans="1:20">
      <c r="A90" s="115" t="s">
        <v>10</v>
      </c>
      <c r="B90" s="87">
        <v>346</v>
      </c>
      <c r="C90" s="87">
        <v>8201</v>
      </c>
      <c r="D90" s="87">
        <v>9082</v>
      </c>
      <c r="E90" s="92">
        <v>0</v>
      </c>
      <c r="F90" s="93">
        <v>0</v>
      </c>
      <c r="G90" s="87">
        <v>0</v>
      </c>
      <c r="H90" s="87">
        <v>0</v>
      </c>
      <c r="I90" s="87"/>
      <c r="J90" s="83" t="s">
        <v>71</v>
      </c>
      <c r="K90" s="83"/>
    </row>
    <row r="91" spans="1:20">
      <c r="A91" s="115" t="s">
        <v>12</v>
      </c>
      <c r="B91" s="87">
        <v>286</v>
      </c>
      <c r="C91" s="87">
        <v>7364</v>
      </c>
      <c r="D91" s="87">
        <v>7277</v>
      </c>
      <c r="E91" s="92">
        <v>0</v>
      </c>
      <c r="F91" s="93">
        <v>0</v>
      </c>
      <c r="G91" s="87">
        <v>0</v>
      </c>
      <c r="H91" s="87">
        <v>0</v>
      </c>
      <c r="I91" s="87"/>
      <c r="J91" s="80"/>
      <c r="K91" s="80"/>
    </row>
    <row r="92" spans="1:20">
      <c r="A92" s="115" t="s">
        <v>14</v>
      </c>
      <c r="B92" s="87">
        <v>178</v>
      </c>
      <c r="C92" s="87">
        <v>3346</v>
      </c>
      <c r="D92" s="87">
        <v>4675</v>
      </c>
      <c r="E92" s="92">
        <v>0</v>
      </c>
      <c r="F92" s="93">
        <v>0</v>
      </c>
      <c r="G92" s="87">
        <v>0</v>
      </c>
      <c r="H92" s="87">
        <v>0</v>
      </c>
      <c r="I92" s="87"/>
      <c r="J92" s="80"/>
      <c r="K92" s="80"/>
    </row>
    <row r="93" spans="1:20">
      <c r="A93" s="115" t="s">
        <v>16</v>
      </c>
      <c r="B93" s="87">
        <v>2</v>
      </c>
      <c r="C93" s="87">
        <v>0</v>
      </c>
      <c r="D93" s="87">
        <v>0</v>
      </c>
      <c r="E93" s="92">
        <v>0</v>
      </c>
      <c r="F93" s="93">
        <v>0</v>
      </c>
      <c r="G93" s="87">
        <v>0</v>
      </c>
      <c r="H93" s="87">
        <v>0</v>
      </c>
      <c r="I93" s="87"/>
      <c r="J93" s="80"/>
      <c r="K93" s="80"/>
    </row>
    <row r="94" spans="1:20">
      <c r="A94" s="115" t="s">
        <v>18</v>
      </c>
      <c r="B94" s="87">
        <v>0</v>
      </c>
      <c r="C94" s="87">
        <v>0</v>
      </c>
      <c r="D94" s="87">
        <v>0</v>
      </c>
      <c r="E94" s="92">
        <v>0</v>
      </c>
      <c r="F94" s="93">
        <v>0</v>
      </c>
      <c r="G94" s="87">
        <v>0</v>
      </c>
      <c r="H94" s="87">
        <v>0</v>
      </c>
      <c r="I94" s="87"/>
      <c r="J94" s="80"/>
      <c r="K94" s="80"/>
    </row>
    <row r="95" spans="1:20">
      <c r="A95" s="115" t="s">
        <v>20</v>
      </c>
      <c r="B95" s="87">
        <v>0</v>
      </c>
      <c r="C95" s="87">
        <v>0</v>
      </c>
      <c r="D95" s="87">
        <v>0</v>
      </c>
      <c r="E95" s="92">
        <v>0</v>
      </c>
      <c r="F95" s="93">
        <v>0</v>
      </c>
      <c r="G95" s="87">
        <v>0</v>
      </c>
      <c r="H95" s="87">
        <v>0</v>
      </c>
      <c r="I95" s="87"/>
      <c r="J95" s="80"/>
      <c r="K95" s="80"/>
    </row>
    <row r="96" spans="1:20">
      <c r="A96" s="115" t="s">
        <v>22</v>
      </c>
      <c r="B96" s="87">
        <v>0</v>
      </c>
      <c r="C96" s="87">
        <v>0</v>
      </c>
      <c r="D96" s="87">
        <v>0</v>
      </c>
      <c r="E96" s="92">
        <v>0</v>
      </c>
      <c r="F96" s="93">
        <v>0</v>
      </c>
      <c r="G96" s="87">
        <v>0</v>
      </c>
      <c r="H96" s="87">
        <v>0</v>
      </c>
      <c r="I96" s="87"/>
      <c r="J96" s="80"/>
      <c r="K96" s="80"/>
    </row>
    <row r="97" spans="1:9">
      <c r="A97" s="115" t="s">
        <v>24</v>
      </c>
      <c r="B97" s="87">
        <v>0</v>
      </c>
      <c r="C97" s="87">
        <v>0</v>
      </c>
      <c r="D97" s="87">
        <v>0</v>
      </c>
      <c r="E97" s="92">
        <v>0</v>
      </c>
      <c r="F97" s="93">
        <v>0</v>
      </c>
      <c r="G97" s="87">
        <v>0</v>
      </c>
      <c r="H97" s="87">
        <v>0</v>
      </c>
      <c r="I97" s="87"/>
    </row>
    <row r="98" spans="1:9">
      <c r="A98" s="115" t="s">
        <v>26</v>
      </c>
      <c r="B98" s="94">
        <v>0</v>
      </c>
      <c r="C98" s="94">
        <v>0</v>
      </c>
      <c r="D98" s="94">
        <v>0</v>
      </c>
      <c r="E98" s="95">
        <v>0</v>
      </c>
      <c r="F98" s="96">
        <v>0</v>
      </c>
      <c r="G98" s="97">
        <v>0</v>
      </c>
      <c r="H98" s="97">
        <v>0</v>
      </c>
      <c r="I98" s="97"/>
    </row>
    <row r="99" spans="1:9">
      <c r="A99" s="115" t="s">
        <v>28</v>
      </c>
      <c r="B99" s="97">
        <v>102</v>
      </c>
      <c r="C99" s="97">
        <v>1290</v>
      </c>
      <c r="D99" s="97">
        <v>926</v>
      </c>
      <c r="E99" s="95">
        <v>0</v>
      </c>
      <c r="F99" s="96">
        <v>0</v>
      </c>
      <c r="G99" s="97">
        <v>0</v>
      </c>
      <c r="H99" s="97">
        <v>0</v>
      </c>
      <c r="I99" s="97"/>
    </row>
    <row r="100" spans="1:9">
      <c r="A100" s="115" t="s">
        <v>30</v>
      </c>
      <c r="B100" s="87">
        <v>125</v>
      </c>
      <c r="C100" s="87">
        <v>1653</v>
      </c>
      <c r="D100" s="87">
        <v>1363</v>
      </c>
      <c r="E100" s="92">
        <v>0</v>
      </c>
      <c r="F100" s="93">
        <v>0</v>
      </c>
      <c r="G100" s="87">
        <v>0</v>
      </c>
      <c r="H100" s="87">
        <v>0</v>
      </c>
      <c r="I100" s="87"/>
    </row>
    <row r="101" spans="1:9">
      <c r="A101" s="116" t="s">
        <v>32</v>
      </c>
      <c r="B101" s="117">
        <v>190</v>
      </c>
      <c r="C101" s="117">
        <v>3729</v>
      </c>
      <c r="D101" s="117">
        <v>2923</v>
      </c>
      <c r="E101" s="118">
        <v>0</v>
      </c>
      <c r="F101" s="119">
        <v>0</v>
      </c>
      <c r="G101" s="117">
        <v>0</v>
      </c>
      <c r="H101" s="117">
        <v>0</v>
      </c>
      <c r="I101" s="125"/>
    </row>
    <row r="102" spans="1:9" ht="18.75">
      <c r="A102" s="6" t="s">
        <v>6</v>
      </c>
      <c r="B102" s="4"/>
      <c r="C102" s="4"/>
      <c r="D102" s="7"/>
      <c r="E102" s="2"/>
      <c r="H102" s="10" t="s">
        <v>7</v>
      </c>
      <c r="I102" s="82"/>
    </row>
    <row r="103" spans="1:9">
      <c r="A103" s="80"/>
    </row>
    <row r="104" spans="1:9">
      <c r="A104" s="80"/>
      <c r="B104" s="80"/>
      <c r="C104" s="80"/>
      <c r="D104" s="80"/>
      <c r="E104" s="80"/>
      <c r="F104" s="80"/>
      <c r="G104" s="80"/>
      <c r="H104" s="80"/>
      <c r="I104" s="80"/>
    </row>
  </sheetData>
  <mergeCells count="55">
    <mergeCell ref="M67:M68"/>
    <mergeCell ref="N67:N68"/>
    <mergeCell ref="A24:A25"/>
    <mergeCell ref="B24:B25"/>
    <mergeCell ref="M24:M25"/>
    <mergeCell ref="N24:N25"/>
    <mergeCell ref="A46:A47"/>
    <mergeCell ref="B46:B47"/>
    <mergeCell ref="M46:M47"/>
    <mergeCell ref="N46:N47"/>
    <mergeCell ref="A85:H85"/>
    <mergeCell ref="C87:D87"/>
    <mergeCell ref="E87:F87"/>
    <mergeCell ref="G87:H87"/>
    <mergeCell ref="A65:H65"/>
    <mergeCell ref="C67:D67"/>
    <mergeCell ref="E67:F67"/>
    <mergeCell ref="G67:H67"/>
    <mergeCell ref="M65:T65"/>
    <mergeCell ref="O67:P67"/>
    <mergeCell ref="Q67:R67"/>
    <mergeCell ref="S67:T67"/>
    <mergeCell ref="A87:A88"/>
    <mergeCell ref="B87:B88"/>
    <mergeCell ref="A67:A68"/>
    <mergeCell ref="B67:B68"/>
    <mergeCell ref="O46:P46"/>
    <mergeCell ref="Q46:R46"/>
    <mergeCell ref="S46:T46"/>
    <mergeCell ref="A22:H22"/>
    <mergeCell ref="C24:D24"/>
    <mergeCell ref="E24:F24"/>
    <mergeCell ref="G24:H24"/>
    <mergeCell ref="M22:T22"/>
    <mergeCell ref="O24:P24"/>
    <mergeCell ref="Q24:R24"/>
    <mergeCell ref="S24:T24"/>
    <mergeCell ref="A44:H44"/>
    <mergeCell ref="C46:D46"/>
    <mergeCell ref="E46:F46"/>
    <mergeCell ref="G46:H46"/>
    <mergeCell ref="M44:T44"/>
    <mergeCell ref="A1:H1"/>
    <mergeCell ref="O4:P4"/>
    <mergeCell ref="Q4:R4"/>
    <mergeCell ref="S4:T4"/>
    <mergeCell ref="A2:H2"/>
    <mergeCell ref="C4:D4"/>
    <mergeCell ref="E4:F4"/>
    <mergeCell ref="G4:H4"/>
    <mergeCell ref="M2:T2"/>
    <mergeCell ref="A4:A5"/>
    <mergeCell ref="B4:B5"/>
    <mergeCell ref="M4:M5"/>
    <mergeCell ref="N4:N5"/>
  </mergeCells>
  <pageMargins left="0.7" right="0.7" top="0.75" bottom="0.75" header="0.3" footer="0.3"/>
  <pageSetup paperSize="9" scale="46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11.15</vt:lpstr>
      <vt:lpstr>11.26</vt:lpstr>
      <vt:lpstr>'11.26'!Print_Area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2021-08-25T06:51:22Z</cp:lastPrinted>
  <dcterms:created xsi:type="dcterms:W3CDTF">2019-03-24T03:32:16Z</dcterms:created>
  <dcterms:modified xsi:type="dcterms:W3CDTF">2021-08-25T07:01:13Z</dcterms:modified>
</cp:coreProperties>
</file>