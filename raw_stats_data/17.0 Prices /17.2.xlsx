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7. Prices\"/>
    </mc:Choice>
  </mc:AlternateContent>
  <bookViews>
    <workbookView xWindow="0" yWindow="0" windowWidth="28800" windowHeight="11700" tabRatio="793"/>
  </bookViews>
  <sheets>
    <sheet name="17.2" sheetId="2" r:id="rId1"/>
  </sheets>
  <externalReferences>
    <externalReference r:id="rId2"/>
  </externalReferences>
  <definedNames>
    <definedName name="_xlnm.Print_Area" localSheetId="0">'17.2'!$A$1:$U$53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8" i="2" l="1"/>
  <c r="S44" i="2"/>
  <c r="S27" i="2" l="1"/>
  <c r="S43" i="2"/>
  <c r="S33" i="2" l="1"/>
  <c r="S34" i="2" l="1"/>
  <c r="S29" i="2"/>
</calcChain>
</file>

<file path=xl/sharedStrings.xml><?xml version="1.0" encoding="utf-8"?>
<sst xmlns="http://schemas.openxmlformats.org/spreadsheetml/2006/main" count="227" uniqueCount="64">
  <si>
    <t>na</t>
  </si>
  <si>
    <t xml:space="preserve">Source:  National  Bureau of Statistics   </t>
  </si>
  <si>
    <t>Major Groups - Republic</t>
  </si>
  <si>
    <t>Annual CPI</t>
  </si>
  <si>
    <t xml:space="preserve">iawa.Ip.Is </t>
  </si>
  <si>
    <t>cSwa ejcaWr - cawtiawb uDnwgiawm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</si>
  <si>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</si>
  <si>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</si>
  <si>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</si>
  <si>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</si>
  <si>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</si>
  <si>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</si>
  <si>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</si>
  <si>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Clothing and footwear</t>
  </si>
  <si>
    <t>cnWviawf iaWTUb idwa unuawncnwa</t>
  </si>
  <si>
    <t>Housing, water, electricity, gas and other fuel</t>
  </si>
  <si>
    <t>cawtctwvWb egulet idwa csEg ,uTcnwrwk ,cnef ,ilukegEg</t>
  </si>
  <si>
    <t xml:space="preserve">  Actual rentals for housing</t>
  </si>
  <si>
    <t xml:space="preserve"> ilukegEg</t>
  </si>
  <si>
    <t xml:space="preserve">Furnishing,  household equipment &amp; routine maintenance </t>
  </si>
  <si>
    <t>cnurukctWmWrwm  iaWCcaekwt  ELugcneg Wfih ,cnixem,rwCInrwf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</si>
  <si>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</si>
  <si>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</si>
  <si>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</si>
  <si>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</si>
  <si>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</si>
  <si>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</si>
  <si>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</si>
  <si>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</si>
  <si>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Education</t>
  </si>
  <si>
    <t>cmIluAwt</t>
  </si>
  <si>
    <t>Hotels, cafés and restaurants</t>
  </si>
  <si>
    <t xml:space="preserve">  cTcnwrOTcser idwa Efek ,WToh</t>
  </si>
  <si>
    <t>Miscellaneous goods and services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</si>
  <si>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</si>
  <si>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</si>
  <si>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</si>
  <si>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</si>
  <si>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</si>
  <si>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</si>
  <si>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Note:</t>
  </si>
  <si>
    <t>Prior to June 2004,  the food and non-beverages category includes tobacco &amp; narcotics category</t>
  </si>
  <si>
    <t>Prior to January 1996, the fish category seperately is not available</t>
  </si>
  <si>
    <t>Prior to June 2004, the transport category includes communication category</t>
  </si>
  <si>
    <t>Prior to June 2004, the recreation &amp; cultute category includes education category</t>
  </si>
  <si>
    <t xml:space="preserve">Prior to June 1996, the housing, water. Electricity, gas and other fuels category includes only rent </t>
  </si>
  <si>
    <t>na- Not available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</si>
  <si>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</si>
  <si>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</si>
  <si>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</si>
  <si>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</si>
  <si>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</si>
  <si>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</si>
  <si>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</si>
  <si>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</si>
  <si>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</si>
  <si>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</si>
  <si>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</si>
  <si>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އިންޝުއަރެންސް އަދި މާލީ ޚިދުމަތްތައް</t>
  </si>
  <si>
    <t>Table 17.2 :   CPI GROUPS, REPUBLIC,  1985 - 2020</t>
  </si>
  <si>
    <t>2020 - 1985 ,cSwaejcaWr ,uDnwgcnim egugwa egurWzWb : 17.2 ulwvWt</t>
  </si>
  <si>
    <t>(Index - base: Aug 2019 =100)</t>
  </si>
  <si>
    <t>In 2019, base of index: Aug 2019=100, COICOP 2018 has been adopted in the rebased series</t>
  </si>
  <si>
    <r>
      <t xml:space="preserve">(cnegiawlwbcSwa 100 IkwDnwgcnim eg </t>
    </r>
    <r>
      <rPr>
        <b/>
        <sz val="9"/>
        <color theme="1"/>
        <rFont val="Faruma"/>
      </rPr>
      <t>އޮގަސްޓް</t>
    </r>
    <r>
      <rPr>
        <b/>
        <sz val="9"/>
        <color theme="1"/>
        <rFont val="A_Faseyha"/>
      </rPr>
      <t xml:space="preserve"> 2019 )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</si>
</sst>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ރ_._-;_-* #,##0.00\ _ރ_.\-;_-* &quot;-&quot;??\ _ރ_._-;_-@_-"/>
    <numFmt numFmtId="164" formatCode="_(* #,##0.00_);_(* \(#,##0.00\);_(* &quot;-&quot;??_);_(@_)"/>
    <numFmt numFmtId="165" formatCode="General_)"/>
    <numFmt numFmtId="166" formatCode="0.0"/>
    <numFmt numFmtId="172" formatCode="0.00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color theme="1"/>
      <name val="A_Randhoo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9"/>
      <color theme="1"/>
      <name val="A_Randhoo"/>
    </font>
    <font>
      <b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2"/>
      <color theme="1"/>
      <name val="A_Faseyha"/>
    </font>
    <font>
      <sz val="11"/>
      <color theme="1"/>
      <name val="A_Faseyha"/>
    </font>
    <font>
      <b/>
      <sz val="9"/>
      <color theme="1"/>
      <name val="A_Faseyha"/>
    </font>
    <font>
      <b/>
      <sz val="10"/>
      <color theme="1"/>
      <name val="A_Faseyha"/>
    </font>
    <font>
      <sz val="10"/>
      <color theme="1"/>
      <name val="Calibri"/>
      <family val="2"/>
      <scheme val="minor"/>
    </font>
    <font>
      <sz val="9"/>
      <color theme="1"/>
      <name val="A_Faseyha"/>
    </font>
    <font>
      <b/>
      <sz val="10"/>
      <color theme="1"/>
      <name val="Arial"/>
      <family val="2"/>
    </font>
    <font>
      <sz val="9"/>
      <color theme="1"/>
      <name val="Faruma"/>
    </font>
    <font>
      <sz val="9"/>
      <color theme="1"/>
      <name val="A_Randhoo"/>
    </font>
    <font>
      <b/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</borders>
  <cellStyleXfs count="21">
    <xf numFmtId="0" fontId="0" fillId="0" borderId="0"/>
    <xf numFmtId="165" fontId="3" fillId="0" borderId="0"/>
    <xf numFmtId="0" fontId="6" fillId="0" borderId="0"/>
    <xf numFmtId="165" fontId="3" fillId="0" borderId="0"/>
    <xf numFmtId="165" fontId="3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12" fillId="0" borderId="0"/>
    <xf numFmtId="0" fontId="6" fillId="0" borderId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2" fontId="13" fillId="0" borderId="0"/>
    <xf numFmtId="9" fontId="6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2" fillId="0" borderId="0"/>
    <xf numFmtId="0" fontId="6" fillId="0" borderId="0"/>
    <xf numFmtId="0" fontId="6" fillId="0" borderId="0"/>
  </cellStyleXfs>
  <cellXfs count="63">
    <xf numFmtId="0" fontId="0" fillId="0" borderId="0" xfId="0"/>
    <xf numFmtId="165" fontId="4" fillId="2" borderId="0" xfId="1" applyFont="1" applyFill="1" applyBorder="1" applyAlignment="1">
      <alignment horizontal="center" vertical="center"/>
    </xf>
    <xf numFmtId="0" fontId="7" fillId="2" borderId="0" xfId="0" applyFont="1" applyFill="1"/>
    <xf numFmtId="0" fontId="7" fillId="2" borderId="0" xfId="0" applyFont="1" applyFill="1" applyBorder="1"/>
    <xf numFmtId="0" fontId="7" fillId="2" borderId="0" xfId="2" applyFont="1" applyFill="1" applyBorder="1"/>
    <xf numFmtId="0" fontId="7" fillId="2" borderId="0" xfId="2" applyFont="1" applyFill="1"/>
    <xf numFmtId="0" fontId="10" fillId="2" borderId="0" xfId="0" applyFont="1" applyFill="1"/>
    <xf numFmtId="0" fontId="10" fillId="2" borderId="0" xfId="0" applyFont="1" applyFill="1" applyAlignment="1">
      <alignment horizontal="left" vertical="center" indent="1"/>
    </xf>
    <xf numFmtId="0" fontId="11" fillId="2" borderId="0" xfId="0" applyFont="1" applyFill="1"/>
    <xf numFmtId="0" fontId="15" fillId="2" borderId="0" xfId="0" applyFont="1" applyFill="1"/>
    <xf numFmtId="0" fontId="9" fillId="2" borderId="1" xfId="2" applyNumberFormat="1" applyFont="1" applyFill="1" applyBorder="1" applyAlignment="1">
      <alignment horizontal="right" vertical="center"/>
    </xf>
    <xf numFmtId="165" fontId="18" fillId="2" borderId="0" xfId="4" applyFont="1" applyFill="1" applyAlignment="1">
      <alignment vertical="center" wrapText="1"/>
    </xf>
    <xf numFmtId="166" fontId="18" fillId="2" borderId="0" xfId="5" applyNumberFormat="1" applyFont="1" applyFill="1" applyBorder="1" applyAlignment="1">
      <alignment horizontal="right" vertical="center"/>
    </xf>
    <xf numFmtId="166" fontId="18" fillId="2" borderId="0" xfId="2" applyNumberFormat="1" applyFont="1" applyFill="1" applyBorder="1" applyAlignment="1">
      <alignment horizontal="right" vertical="center"/>
    </xf>
    <xf numFmtId="166" fontId="18" fillId="2" borderId="0" xfId="2" applyNumberFormat="1" applyFont="1" applyFill="1" applyAlignment="1">
      <alignment horizontal="right" vertical="center"/>
    </xf>
    <xf numFmtId="166" fontId="18" fillId="2" borderId="0" xfId="4" applyNumberFormat="1" applyFont="1" applyFill="1" applyBorder="1" applyAlignment="1">
      <alignment horizontal="right" vertical="center"/>
    </xf>
    <xf numFmtId="165" fontId="19" fillId="2" borderId="0" xfId="3" applyFont="1" applyFill="1" applyAlignment="1">
      <alignment horizontal="right" vertical="center"/>
    </xf>
    <xf numFmtId="0" fontId="7" fillId="2" borderId="0" xfId="2" applyFont="1" applyFill="1" applyAlignment="1">
      <alignment vertical="center"/>
    </xf>
    <xf numFmtId="165" fontId="18" fillId="2" borderId="0" xfId="4" applyFont="1" applyFill="1" applyAlignment="1">
      <alignment vertical="center"/>
    </xf>
    <xf numFmtId="165" fontId="19" fillId="2" borderId="0" xfId="3" applyFont="1" applyFill="1" applyAlignment="1">
      <alignment horizontal="right" vertical="center" indent="1"/>
    </xf>
    <xf numFmtId="0" fontId="18" fillId="2" borderId="0" xfId="5" applyFont="1" applyFill="1" applyAlignment="1">
      <alignment vertical="center"/>
    </xf>
    <xf numFmtId="165" fontId="18" fillId="2" borderId="0" xfId="4" applyFont="1" applyFill="1" applyBorder="1" applyAlignment="1">
      <alignment vertical="center" wrapText="1"/>
    </xf>
    <xf numFmtId="165" fontId="19" fillId="2" borderId="0" xfId="1" applyFont="1" applyFill="1" applyAlignment="1">
      <alignment horizontal="right" vertical="center"/>
    </xf>
    <xf numFmtId="165" fontId="5" fillId="2" borderId="0" xfId="4" applyFont="1" applyFill="1" applyBorder="1" applyAlignment="1">
      <alignment vertical="center"/>
    </xf>
    <xf numFmtId="166" fontId="5" fillId="2" borderId="0" xfId="5" applyNumberFormat="1" applyFont="1" applyFill="1" applyBorder="1" applyAlignment="1">
      <alignment horizontal="right" vertical="center"/>
    </xf>
    <xf numFmtId="166" fontId="5" fillId="2" borderId="0" xfId="2" applyNumberFormat="1" applyFont="1" applyFill="1" applyBorder="1" applyAlignment="1">
      <alignment horizontal="right" vertical="center"/>
    </xf>
    <xf numFmtId="166" fontId="5" fillId="2" borderId="0" xfId="4" applyNumberFormat="1" applyFont="1" applyFill="1" applyBorder="1" applyAlignment="1">
      <alignment horizontal="right" vertical="center"/>
    </xf>
    <xf numFmtId="165" fontId="16" fillId="2" borderId="0" xfId="3" applyFont="1" applyFill="1" applyBorder="1" applyAlignment="1">
      <alignment horizontal="right" vertical="center"/>
    </xf>
    <xf numFmtId="0" fontId="20" fillId="2" borderId="0" xfId="2" applyFont="1" applyFill="1" applyAlignment="1">
      <alignment vertical="center"/>
    </xf>
    <xf numFmtId="165" fontId="5" fillId="2" borderId="4" xfId="4" applyFont="1" applyFill="1" applyBorder="1" applyAlignment="1">
      <alignment vertical="center"/>
    </xf>
    <xf numFmtId="166" fontId="5" fillId="2" borderId="4" xfId="4" applyNumberFormat="1" applyFont="1" applyFill="1" applyBorder="1" applyAlignment="1">
      <alignment horizontal="right" vertical="center"/>
    </xf>
    <xf numFmtId="165" fontId="16" fillId="2" borderId="4" xfId="1" applyFont="1" applyFill="1" applyBorder="1" applyAlignment="1">
      <alignment horizontal="right" vertical="center"/>
    </xf>
    <xf numFmtId="0" fontId="7" fillId="2" borderId="0" xfId="2" applyFont="1" applyFill="1" applyBorder="1" applyAlignment="1">
      <alignment vertical="center"/>
    </xf>
    <xf numFmtId="165" fontId="9" fillId="2" borderId="0" xfId="1" applyFont="1" applyFill="1" applyBorder="1" applyAlignment="1" applyProtection="1">
      <alignment horizontal="center" vertical="center"/>
    </xf>
    <xf numFmtId="165" fontId="16" fillId="2" borderId="0" xfId="1" applyFont="1" applyFill="1" applyBorder="1" applyAlignment="1" applyProtection="1">
      <alignment horizontal="center" vertical="center"/>
    </xf>
    <xf numFmtId="165" fontId="8" fillId="2" borderId="0" xfId="3" applyFont="1" applyFill="1" applyBorder="1" applyAlignment="1">
      <alignment horizontal="right" vertical="center"/>
    </xf>
    <xf numFmtId="0" fontId="9" fillId="2" borderId="0" xfId="2" applyNumberFormat="1" applyFont="1" applyFill="1" applyBorder="1" applyAlignment="1">
      <alignment horizontal="right" vertical="center"/>
    </xf>
    <xf numFmtId="0" fontId="1" fillId="2" borderId="0" xfId="0" applyFont="1" applyFill="1"/>
    <xf numFmtId="2" fontId="1" fillId="2" borderId="0" xfId="0" applyNumberFormat="1" applyFont="1" applyFill="1"/>
    <xf numFmtId="2" fontId="7" fillId="2" borderId="0" xfId="2" applyNumberFormat="1" applyFont="1" applyFill="1" applyAlignment="1">
      <alignment vertical="center"/>
    </xf>
    <xf numFmtId="165" fontId="21" fillId="2" borderId="0" xfId="1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2" fontId="1" fillId="2" borderId="0" xfId="0" applyNumberFormat="1" applyFont="1" applyFill="1" applyAlignment="1">
      <alignment vertical="center"/>
    </xf>
    <xf numFmtId="165" fontId="5" fillId="2" borderId="1" xfId="4" applyFont="1" applyFill="1" applyBorder="1" applyAlignment="1">
      <alignment vertical="center"/>
    </xf>
    <xf numFmtId="166" fontId="5" fillId="2" borderId="1" xfId="4" applyNumberFormat="1" applyFont="1" applyFill="1" applyBorder="1" applyAlignment="1">
      <alignment horizontal="right" vertical="center"/>
    </xf>
    <xf numFmtId="165" fontId="16" fillId="2" borderId="1" xfId="1" applyFont="1" applyFill="1" applyBorder="1" applyAlignment="1">
      <alignment horizontal="right" vertical="center"/>
    </xf>
    <xf numFmtId="0" fontId="1" fillId="2" borderId="0" xfId="0" applyFont="1" applyFill="1" applyBorder="1"/>
    <xf numFmtId="166" fontId="1" fillId="2" borderId="0" xfId="0" applyNumberFormat="1" applyFont="1" applyFill="1"/>
    <xf numFmtId="165" fontId="10" fillId="2" borderId="0" xfId="1" applyFont="1" applyFill="1" applyBorder="1" applyAlignment="1" applyProtection="1">
      <alignment horizontal="left" vertical="center"/>
    </xf>
    <xf numFmtId="165" fontId="22" fillId="2" borderId="0" xfId="1" applyFont="1" applyFill="1" applyAlignment="1">
      <alignment horizontal="right" vertical="center"/>
    </xf>
    <xf numFmtId="165" fontId="14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165" fontId="4" fillId="2" borderId="0" xfId="1" applyFont="1" applyFill="1" applyAlignment="1">
      <alignment horizontal="center" vertical="center"/>
    </xf>
    <xf numFmtId="165" fontId="16" fillId="2" borderId="0" xfId="1" applyFont="1" applyFill="1" applyAlignment="1">
      <alignment horizontal="center" vertical="center" wrapText="1"/>
    </xf>
    <xf numFmtId="165" fontId="9" fillId="2" borderId="1" xfId="1" applyFont="1" applyFill="1" applyBorder="1" applyAlignment="1" applyProtection="1">
      <alignment horizontal="center" vertical="center"/>
    </xf>
    <xf numFmtId="165" fontId="16" fillId="2" borderId="2" xfId="3" applyFont="1" applyFill="1" applyBorder="1" applyAlignment="1">
      <alignment horizontal="left" vertical="center"/>
    </xf>
    <xf numFmtId="0" fontId="9" fillId="2" borderId="2" xfId="2" applyFont="1" applyFill="1" applyBorder="1" applyAlignment="1">
      <alignment horizontal="right" vertical="center"/>
    </xf>
    <xf numFmtId="0" fontId="17" fillId="2" borderId="2" xfId="2" applyFont="1" applyFill="1" applyBorder="1" applyAlignment="1">
      <alignment horizontal="right" vertical="center"/>
    </xf>
    <xf numFmtId="0" fontId="17" fillId="2" borderId="1" xfId="2" applyFont="1" applyFill="1" applyBorder="1" applyAlignment="1">
      <alignment horizontal="right" vertical="center"/>
    </xf>
    <xf numFmtId="0" fontId="5" fillId="2" borderId="2" xfId="2" applyFont="1" applyFill="1" applyBorder="1" applyAlignment="1">
      <alignment horizontal="left" vertical="center"/>
    </xf>
    <xf numFmtId="0" fontId="5" fillId="2" borderId="1" xfId="2" applyFont="1" applyFill="1" applyBorder="1" applyAlignment="1">
      <alignment horizontal="left" vertical="center"/>
    </xf>
    <xf numFmtId="0" fontId="9" fillId="2" borderId="3" xfId="2" applyFont="1" applyFill="1" applyBorder="1" applyAlignment="1">
      <alignment horizontal="right" vertical="center"/>
    </xf>
    <xf numFmtId="165" fontId="16" fillId="2" borderId="3" xfId="3" applyFont="1" applyFill="1" applyBorder="1" applyAlignment="1">
      <alignment horizontal="left" vertical="center"/>
    </xf>
  </cellXfs>
  <cellStyles count="21">
    <cellStyle name="1" xfId="10"/>
    <cellStyle name="Comma 2" xfId="11"/>
    <cellStyle name="Comma 2 2" xfId="16"/>
    <cellStyle name="Comma 3" xfId="12"/>
    <cellStyle name="Comma 3 2" xfId="6"/>
    <cellStyle name="Normal" xfId="0" builtinId="0"/>
    <cellStyle name="Normal - Style1" xfId="13"/>
    <cellStyle name="Normal 2" xfId="15"/>
    <cellStyle name="Normal 3" xfId="7"/>
    <cellStyle name="Normal 4" xfId="8"/>
    <cellStyle name="Normal 5" xfId="9"/>
    <cellStyle name="Normal 5 2" xfId="19"/>
    <cellStyle name="Normal 6" xfId="18"/>
    <cellStyle name="Normal 6 2" xfId="20"/>
    <cellStyle name="Normal_17 Prices_done" xfId="2"/>
    <cellStyle name="Normal_CPI new tables" xfId="5"/>
    <cellStyle name="Normal_Dec97" xfId="4"/>
    <cellStyle name="Normal_XII-11(Commerce)" xfId="3"/>
    <cellStyle name="Normal_XII-12 (Commerce)" xfId="1"/>
    <cellStyle name="Percent 2" xfId="14"/>
    <cellStyle name="Percent 2 2" xfId="17"/>
  </cellStyles>
  <dxfs count="0"/>
  <tableStyles count="0" defaultTableStyle="TableStyleMedium2" defaultPivotStyle="PivotStyleLight16"/>
  <colors>
    <mruColors>
      <color rgb="FF33CCCC"/>
      <color rgb="FFD0F5F4"/>
      <color rgb="FF196563"/>
      <color rgb="FFEAFAFA"/>
      <color rgb="FFFF9900"/>
      <color rgb="FF249390"/>
      <color rgb="FFD1A375"/>
      <color rgb="FF996633"/>
      <color rgb="FFB85C00"/>
      <color rgb="FFFCF9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ST2\PES\STI\CPI%20(consumer%20price%20index)\Rebasing%202018\Documenation\Writeup\Tables\2020\December\Graphs%20&amp;%20tables%20used_annual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ublic data"/>
      <sheetName val="Chnages in rep."/>
      <sheetName val="Major categories"/>
      <sheetName val="Sheet1"/>
      <sheetName val="graph"/>
      <sheetName val="Male"/>
      <sheetName val="Male,month on month &amp;monthly19"/>
      <sheetName val="ATOLLS"/>
      <sheetName val="ATOLLS Month on Month &amp; Monthly"/>
      <sheetName val="Annual 2020"/>
      <sheetName val="Annual CPI 2020"/>
      <sheetName val="Inflation &amp; Index table annual"/>
      <sheetName val="Republic 2020 monthly"/>
      <sheetName val="Male' 2020 monthly"/>
      <sheetName val="Atolls 2020 monthly"/>
      <sheetName val="Table 4"/>
      <sheetName val="Table 5"/>
      <sheetName val="Table 6"/>
    </sheetNames>
    <sheetDataSet>
      <sheetData sheetId="0">
        <row r="3">
          <cell r="CE3">
            <v>98.338306764350818</v>
          </cell>
        </row>
        <row r="4">
          <cell r="CE4">
            <v>102.47540524074198</v>
          </cell>
        </row>
        <row r="36">
          <cell r="CE36">
            <v>101.15085971078189</v>
          </cell>
        </row>
        <row r="228">
          <cell r="CE228">
            <v>95.666467120853881</v>
          </cell>
        </row>
        <row r="263">
          <cell r="CE263">
            <v>99.461737147374166</v>
          </cell>
        </row>
        <row r="570">
          <cell r="CE570">
            <v>98.217948718411449</v>
          </cell>
        </row>
        <row r="571">
          <cell r="CE571">
            <v>102.77972111001579</v>
          </cell>
        </row>
      </sheetData>
      <sheetData sheetId="1"/>
      <sheetData sheetId="2"/>
      <sheetData sheetId="3"/>
      <sheetData sheetId="4"/>
      <sheetData sheetId="5">
        <row r="4">
          <cell r="DP4">
            <v>-1.5939042827482597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65"/>
  <sheetViews>
    <sheetView tabSelected="1" zoomScale="96" zoomScaleNormal="96" workbookViewId="0">
      <pane xSplit="1" topLeftCell="B1" activePane="topRight" state="frozen"/>
      <selection activeCell="A25" sqref="A25"/>
      <selection pane="topRight" activeCell="D19" sqref="D19"/>
    </sheetView>
  </sheetViews>
  <sheetFormatPr defaultColWidth="9.140625" defaultRowHeight="18"/>
  <cols>
    <col min="1" max="1" width="36.28515625" style="37" customWidth="1"/>
    <col min="2" max="2" width="12.42578125" style="37" customWidth="1"/>
    <col min="3" max="3" width="9.140625" style="37" customWidth="1"/>
    <col min="4" max="4" width="9.42578125" style="37" customWidth="1"/>
    <col min="5" max="16" width="9.140625" style="37" customWidth="1"/>
    <col min="17" max="19" width="9.42578125" style="37" customWidth="1"/>
    <col min="20" max="20" width="42.7109375" style="9" customWidth="1"/>
    <col min="21" max="21" width="3.42578125" style="46" customWidth="1"/>
    <col min="22" max="28" width="9.140625" style="37"/>
    <col min="29" max="29" width="11.42578125" style="37" bestFit="1" customWidth="1"/>
    <col min="30" max="16384" width="9.140625" style="37"/>
  </cols>
  <sheetData>
    <row r="1" spans="1:29" s="2" customFormat="1" ht="18.75">
      <c r="A1" s="50" t="s">
        <v>60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1"/>
      <c r="V1" s="52"/>
      <c r="W1" s="52"/>
      <c r="X1" s="52"/>
      <c r="Y1" s="52"/>
      <c r="Z1" s="52"/>
      <c r="AA1" s="52"/>
      <c r="AB1" s="52"/>
      <c r="AC1" s="52"/>
    </row>
    <row r="2" spans="1:29" s="2" customFormat="1" ht="12.75" customHeight="1">
      <c r="A2" s="51" t="s">
        <v>59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3"/>
    </row>
    <row r="3" spans="1:29" s="5" customFormat="1" ht="15" customHeight="1">
      <c r="A3" s="53" t="s">
        <v>63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4"/>
    </row>
    <row r="4" spans="1:29" s="5" customFormat="1" ht="12.75">
      <c r="A4" s="54" t="s">
        <v>61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4"/>
    </row>
    <row r="5" spans="1:29" s="5" customFormat="1" ht="16.5" customHeight="1">
      <c r="A5" s="59" t="s">
        <v>2</v>
      </c>
      <c r="B5" s="61" t="s">
        <v>3</v>
      </c>
      <c r="C5" s="61"/>
      <c r="D5" s="61"/>
      <c r="E5" s="61"/>
      <c r="F5" s="61"/>
      <c r="G5" s="61"/>
      <c r="H5" s="61"/>
      <c r="I5" s="61"/>
      <c r="J5" s="61"/>
      <c r="K5" s="62" t="s">
        <v>4</v>
      </c>
      <c r="L5" s="62"/>
      <c r="M5" s="62"/>
      <c r="N5" s="62"/>
      <c r="O5" s="62"/>
      <c r="P5" s="62"/>
      <c r="Q5" s="62"/>
      <c r="R5" s="62"/>
      <c r="S5" s="62"/>
      <c r="T5" s="57" t="s">
        <v>5</v>
      </c>
      <c r="U5" s="4"/>
    </row>
    <row r="6" spans="1:29" s="5" customFormat="1" ht="12.75">
      <c r="A6" s="60"/>
      <c r="B6" s="10">
        <v>1985</v>
      </c>
      <c r="C6" s="10">
        <v>1986</v>
      </c>
      <c r="D6" s="10">
        <v>1987</v>
      </c>
      <c r="E6" s="10">
        <v>1988</v>
      </c>
      <c r="F6" s="10">
        <v>1989</v>
      </c>
      <c r="G6" s="10">
        <v>1990</v>
      </c>
      <c r="H6" s="10">
        <v>1991</v>
      </c>
      <c r="I6" s="10">
        <v>1992</v>
      </c>
      <c r="J6" s="10">
        <v>1993</v>
      </c>
      <c r="K6" s="10">
        <v>1994</v>
      </c>
      <c r="L6" s="10">
        <v>1995</v>
      </c>
      <c r="M6" s="10">
        <v>1996</v>
      </c>
      <c r="N6" s="10">
        <v>1997</v>
      </c>
      <c r="O6" s="10">
        <v>1998</v>
      </c>
      <c r="P6" s="10">
        <v>1999</v>
      </c>
      <c r="Q6" s="10">
        <v>2000</v>
      </c>
      <c r="R6" s="10">
        <v>2001</v>
      </c>
      <c r="S6" s="10">
        <v>2002</v>
      </c>
      <c r="T6" s="58"/>
      <c r="U6" s="4"/>
    </row>
    <row r="7" spans="1:29" s="17" customFormat="1" ht="14.25">
      <c r="A7" s="11" t="s">
        <v>6</v>
      </c>
      <c r="B7" s="12">
        <v>11.699594901872009</v>
      </c>
      <c r="C7" s="12">
        <v>12.903989387728332</v>
      </c>
      <c r="D7" s="13">
        <v>14.592398142836798</v>
      </c>
      <c r="E7" s="14">
        <v>14.877069261227041</v>
      </c>
      <c r="F7" s="14">
        <v>15.298801617530147</v>
      </c>
      <c r="G7" s="14">
        <v>16.29535905526048</v>
      </c>
      <c r="H7" s="14">
        <v>18.471688322607356</v>
      </c>
      <c r="I7" s="15">
        <v>21.170492833540941</v>
      </c>
      <c r="J7" s="15">
        <v>25.301409527164143</v>
      </c>
      <c r="K7" s="15">
        <v>26.532201208722398</v>
      </c>
      <c r="L7" s="15">
        <v>27.136852354619823</v>
      </c>
      <c r="M7" s="15">
        <v>31.9356707451945</v>
      </c>
      <c r="N7" s="15">
        <v>38.159275961663987</v>
      </c>
      <c r="O7" s="15">
        <v>36.351999952980222</v>
      </c>
      <c r="P7" s="12">
        <v>37.88127174803676</v>
      </c>
      <c r="Q7" s="12">
        <v>36.062016002775628</v>
      </c>
      <c r="R7" s="13">
        <v>36.808604310800881</v>
      </c>
      <c r="S7" s="14">
        <v>38.128946386747792</v>
      </c>
      <c r="T7" s="16" t="s">
        <v>7</v>
      </c>
      <c r="U7" s="12"/>
    </row>
    <row r="8" spans="1:29" s="17" customFormat="1" ht="14.25">
      <c r="A8" s="11" t="s">
        <v>8</v>
      </c>
      <c r="B8" s="12" t="s">
        <v>0</v>
      </c>
      <c r="C8" s="12" t="s">
        <v>0</v>
      </c>
      <c r="D8" s="13" t="s">
        <v>0</v>
      </c>
      <c r="E8" s="14" t="s">
        <v>0</v>
      </c>
      <c r="F8" s="14" t="s">
        <v>0</v>
      </c>
      <c r="G8" s="14" t="s">
        <v>0</v>
      </c>
      <c r="H8" s="14" t="s">
        <v>0</v>
      </c>
      <c r="I8" s="15" t="s">
        <v>0</v>
      </c>
      <c r="J8" s="15" t="s">
        <v>0</v>
      </c>
      <c r="K8" s="15" t="s">
        <v>0</v>
      </c>
      <c r="L8" s="15" t="s">
        <v>0</v>
      </c>
      <c r="M8" s="15">
        <v>41.173251873014323</v>
      </c>
      <c r="N8" s="15">
        <v>42.624751514227562</v>
      </c>
      <c r="O8" s="15">
        <v>44.288075275917208</v>
      </c>
      <c r="P8" s="12">
        <v>46.533226521264908</v>
      </c>
      <c r="Q8" s="12">
        <v>41.652576490944334</v>
      </c>
      <c r="R8" s="13">
        <v>45.910648918272614</v>
      </c>
      <c r="S8" s="14">
        <v>48.6042576324582</v>
      </c>
      <c r="T8" s="16" t="s">
        <v>9</v>
      </c>
      <c r="U8" s="12"/>
    </row>
    <row r="9" spans="1:29" s="17" customFormat="1" ht="14.25">
      <c r="A9" s="18" t="s">
        <v>10</v>
      </c>
      <c r="B9" s="12" t="s">
        <v>0</v>
      </c>
      <c r="C9" s="12" t="s">
        <v>0</v>
      </c>
      <c r="D9" s="13" t="s">
        <v>0</v>
      </c>
      <c r="E9" s="14" t="s">
        <v>0</v>
      </c>
      <c r="F9" s="14" t="s">
        <v>0</v>
      </c>
      <c r="G9" s="14" t="s">
        <v>0</v>
      </c>
      <c r="H9" s="14" t="s">
        <v>0</v>
      </c>
      <c r="I9" s="15" t="s">
        <v>0</v>
      </c>
      <c r="J9" s="15" t="s">
        <v>0</v>
      </c>
      <c r="K9" s="15" t="s">
        <v>0</v>
      </c>
      <c r="L9" s="15" t="s">
        <v>0</v>
      </c>
      <c r="M9" s="15">
        <v>13.434248622960844</v>
      </c>
      <c r="N9" s="15">
        <v>26.23412246934571</v>
      </c>
      <c r="O9" s="15">
        <v>19.287072439844124</v>
      </c>
      <c r="P9" s="12">
        <v>19.506594145473219</v>
      </c>
      <c r="Q9" s="12">
        <v>22.668981482599438</v>
      </c>
      <c r="R9" s="13">
        <v>17.877360053440171</v>
      </c>
      <c r="S9" s="14">
        <v>16.896893340132923</v>
      </c>
      <c r="T9" s="16" t="s">
        <v>11</v>
      </c>
      <c r="U9" s="12"/>
    </row>
    <row r="10" spans="1:29" s="17" customFormat="1" ht="14.25">
      <c r="A10" s="18" t="s">
        <v>12</v>
      </c>
      <c r="B10" s="12" t="s">
        <v>0</v>
      </c>
      <c r="C10" s="12" t="s">
        <v>0</v>
      </c>
      <c r="D10" s="13" t="s">
        <v>0</v>
      </c>
      <c r="E10" s="14" t="s">
        <v>0</v>
      </c>
      <c r="F10" s="14" t="s">
        <v>0</v>
      </c>
      <c r="G10" s="14" t="s">
        <v>0</v>
      </c>
      <c r="H10" s="14" t="s">
        <v>0</v>
      </c>
      <c r="I10" s="15" t="s">
        <v>0</v>
      </c>
      <c r="J10" s="15" t="s">
        <v>0</v>
      </c>
      <c r="K10" s="15" t="s">
        <v>0</v>
      </c>
      <c r="L10" s="15" t="s">
        <v>0</v>
      </c>
      <c r="M10" s="15" t="s">
        <v>0</v>
      </c>
      <c r="N10" s="15" t="s">
        <v>0</v>
      </c>
      <c r="O10" s="15" t="s">
        <v>0</v>
      </c>
      <c r="P10" s="12" t="s">
        <v>0</v>
      </c>
      <c r="Q10" s="12" t="s">
        <v>0</v>
      </c>
      <c r="R10" s="13" t="s">
        <v>0</v>
      </c>
      <c r="S10" s="14" t="s">
        <v>0</v>
      </c>
      <c r="T10" s="16" t="s">
        <v>39</v>
      </c>
      <c r="U10" s="12"/>
    </row>
    <row r="11" spans="1:29" s="17" customFormat="1" ht="14.25">
      <c r="A11" s="18" t="s">
        <v>13</v>
      </c>
      <c r="B11" s="12">
        <v>47.804575495994293</v>
      </c>
      <c r="C11" s="12">
        <v>55.812011516481903</v>
      </c>
      <c r="D11" s="13">
        <v>57.767686933049305</v>
      </c>
      <c r="E11" s="14">
        <v>63.547477515481887</v>
      </c>
      <c r="F11" s="14">
        <v>69.575291073484962</v>
      </c>
      <c r="G11" s="14">
        <v>57.432998457969113</v>
      </c>
      <c r="H11" s="14">
        <v>57.917641053911467</v>
      </c>
      <c r="I11" s="15">
        <v>64.991712451390114</v>
      </c>
      <c r="J11" s="15">
        <v>83.482252905990904</v>
      </c>
      <c r="K11" s="15">
        <v>82.835112498467893</v>
      </c>
      <c r="L11" s="15">
        <v>66.898923608363262</v>
      </c>
      <c r="M11" s="15">
        <v>66.378360443545176</v>
      </c>
      <c r="N11" s="15">
        <v>69.173661718741002</v>
      </c>
      <c r="O11" s="15">
        <v>74.503474856249071</v>
      </c>
      <c r="P11" s="12">
        <v>72.282657864079042</v>
      </c>
      <c r="Q11" s="12">
        <v>70.217968187904901</v>
      </c>
      <c r="R11" s="13">
        <v>69.502735591750223</v>
      </c>
      <c r="S11" s="14">
        <v>66.827359017012071</v>
      </c>
      <c r="T11" s="16" t="s">
        <v>14</v>
      </c>
      <c r="U11" s="12"/>
    </row>
    <row r="12" spans="1:29" s="17" customFormat="1" ht="14.25">
      <c r="A12" s="18" t="s">
        <v>15</v>
      </c>
      <c r="B12" s="12">
        <v>10.204764304469098</v>
      </c>
      <c r="C12" s="12">
        <v>9.8496337787633976</v>
      </c>
      <c r="D12" s="13">
        <v>11.341611796743322</v>
      </c>
      <c r="E12" s="14">
        <v>17.907497053398945</v>
      </c>
      <c r="F12" s="14">
        <v>22.385580157418627</v>
      </c>
      <c r="G12" s="14">
        <v>27.579834200569483</v>
      </c>
      <c r="H12" s="14">
        <v>33.309201713618791</v>
      </c>
      <c r="I12" s="15">
        <v>48.621720795522229</v>
      </c>
      <c r="J12" s="15">
        <v>62.321377792450598</v>
      </c>
      <c r="K12" s="15">
        <v>64.471502397404024</v>
      </c>
      <c r="L12" s="15">
        <v>64.963634865704208</v>
      </c>
      <c r="M12" s="15">
        <v>64.610653390078411</v>
      </c>
      <c r="N12" s="15">
        <v>63.50833821663187</v>
      </c>
      <c r="O12" s="15">
        <v>62.923760325754237</v>
      </c>
      <c r="P12" s="12">
        <v>66.795015834085234</v>
      </c>
      <c r="Q12" s="12">
        <v>68.707947323183646</v>
      </c>
      <c r="R12" s="13">
        <v>69.86401911799372</v>
      </c>
      <c r="S12" s="14">
        <v>68.879580172344831</v>
      </c>
      <c r="T12" s="16" t="s">
        <v>16</v>
      </c>
      <c r="U12" s="12"/>
    </row>
    <row r="13" spans="1:29" s="17" customFormat="1" ht="14.25">
      <c r="A13" s="18" t="s">
        <v>17</v>
      </c>
      <c r="B13" s="12" t="s">
        <v>0</v>
      </c>
      <c r="C13" s="12" t="s">
        <v>0</v>
      </c>
      <c r="D13" s="13" t="s">
        <v>0</v>
      </c>
      <c r="E13" s="14" t="s">
        <v>0</v>
      </c>
      <c r="F13" s="14" t="s">
        <v>0</v>
      </c>
      <c r="G13" s="14" t="s">
        <v>0</v>
      </c>
      <c r="H13" s="14" t="s">
        <v>0</v>
      </c>
      <c r="I13" s="15" t="s">
        <v>0</v>
      </c>
      <c r="J13" s="15" t="s">
        <v>0</v>
      </c>
      <c r="K13" s="15" t="s">
        <v>0</v>
      </c>
      <c r="L13" s="15" t="s">
        <v>0</v>
      </c>
      <c r="M13" s="15" t="s">
        <v>0</v>
      </c>
      <c r="N13" s="15" t="s">
        <v>0</v>
      </c>
      <c r="O13" s="15" t="s">
        <v>0</v>
      </c>
      <c r="P13" s="12" t="s">
        <v>0</v>
      </c>
      <c r="Q13" s="12" t="s">
        <v>0</v>
      </c>
      <c r="R13" s="13" t="s">
        <v>0</v>
      </c>
      <c r="S13" s="14" t="s">
        <v>0</v>
      </c>
      <c r="T13" s="19" t="s">
        <v>18</v>
      </c>
      <c r="U13" s="12"/>
    </row>
    <row r="14" spans="1:29" s="17" customFormat="1" ht="25.5">
      <c r="A14" s="11" t="s">
        <v>19</v>
      </c>
      <c r="B14" s="12">
        <v>26.261203720486094</v>
      </c>
      <c r="C14" s="12">
        <v>28.943530037849627</v>
      </c>
      <c r="D14" s="13">
        <v>29.819992936126649</v>
      </c>
      <c r="E14" s="14">
        <v>33.008218794039784</v>
      </c>
      <c r="F14" s="14">
        <v>41.073610832228653</v>
      </c>
      <c r="G14" s="14">
        <v>40.429152818789667</v>
      </c>
      <c r="H14" s="14">
        <v>45.142902859943369</v>
      </c>
      <c r="I14" s="15">
        <v>54.905060782086593</v>
      </c>
      <c r="J14" s="15">
        <v>62.220119561771497</v>
      </c>
      <c r="K14" s="15">
        <v>61.580264819857085</v>
      </c>
      <c r="L14" s="15">
        <v>58.315164327483721</v>
      </c>
      <c r="M14" s="15">
        <v>60.055200963768975</v>
      </c>
      <c r="N14" s="15">
        <v>58.101438532913271</v>
      </c>
      <c r="O14" s="15">
        <v>60.97718977414457</v>
      </c>
      <c r="P14" s="12">
        <v>63.490134457774161</v>
      </c>
      <c r="Q14" s="12">
        <v>63.378664124983324</v>
      </c>
      <c r="R14" s="13">
        <v>60.996873478131285</v>
      </c>
      <c r="S14" s="14">
        <v>60.043925744583106</v>
      </c>
      <c r="T14" s="16" t="s">
        <v>20</v>
      </c>
      <c r="U14" s="12"/>
    </row>
    <row r="15" spans="1:29" s="17" customFormat="1" ht="14.25">
      <c r="A15" s="20" t="s">
        <v>21</v>
      </c>
      <c r="B15" s="12">
        <v>18.035538361026862</v>
      </c>
      <c r="C15" s="12">
        <v>20.539439182088646</v>
      </c>
      <c r="D15" s="13">
        <v>21.00430098370563</v>
      </c>
      <c r="E15" s="14">
        <v>25.97606209193248</v>
      </c>
      <c r="F15" s="14">
        <v>22.998747478159572</v>
      </c>
      <c r="G15" s="14">
        <v>26.707868186987856</v>
      </c>
      <c r="H15" s="14">
        <v>35.893928335103759</v>
      </c>
      <c r="I15" s="15">
        <v>44.277933889891017</v>
      </c>
      <c r="J15" s="15">
        <v>62.323856811532188</v>
      </c>
      <c r="K15" s="15">
        <v>64.665880658312105</v>
      </c>
      <c r="L15" s="15">
        <v>75.112748636306392</v>
      </c>
      <c r="M15" s="15">
        <v>80.885342624848462</v>
      </c>
      <c r="N15" s="15">
        <v>79.998391162904298</v>
      </c>
      <c r="O15" s="15">
        <v>77.949055289524594</v>
      </c>
      <c r="P15" s="12">
        <v>73.611256736536745</v>
      </c>
      <c r="Q15" s="12">
        <v>78.742087402842955</v>
      </c>
      <c r="R15" s="13">
        <v>79.09915371406781</v>
      </c>
      <c r="S15" s="14">
        <v>79.33529712747081</v>
      </c>
      <c r="T15" s="16" t="s">
        <v>22</v>
      </c>
      <c r="U15" s="12"/>
    </row>
    <row r="16" spans="1:29" s="17" customFormat="1" ht="14.25">
      <c r="A16" s="20" t="s">
        <v>23</v>
      </c>
      <c r="B16" s="12">
        <v>26.633045378488706</v>
      </c>
      <c r="C16" s="12">
        <v>26.815989348327438</v>
      </c>
      <c r="D16" s="13">
        <v>27.424303985277021</v>
      </c>
      <c r="E16" s="14">
        <v>28.039535218439799</v>
      </c>
      <c r="F16" s="14">
        <v>28.912409660543702</v>
      </c>
      <c r="G16" s="14">
        <v>28.483234865515595</v>
      </c>
      <c r="H16" s="14">
        <v>40.066804373546546</v>
      </c>
      <c r="I16" s="15">
        <v>40.7373683764148</v>
      </c>
      <c r="J16" s="15">
        <v>41.864773559163886</v>
      </c>
      <c r="K16" s="15">
        <v>42.111004384353265</v>
      </c>
      <c r="L16" s="15">
        <v>42.271123586688482</v>
      </c>
      <c r="M16" s="15">
        <v>50.136676800322043</v>
      </c>
      <c r="N16" s="15">
        <v>50.445770621352203</v>
      </c>
      <c r="O16" s="15">
        <v>49.699827051476007</v>
      </c>
      <c r="P16" s="12">
        <v>49.334752200113655</v>
      </c>
      <c r="Q16" s="12">
        <v>50.985994179760731</v>
      </c>
      <c r="R16" s="13">
        <v>51.100439827008927</v>
      </c>
      <c r="S16" s="14">
        <v>51.615749048175957</v>
      </c>
      <c r="T16" s="16" t="s">
        <v>24</v>
      </c>
      <c r="U16" s="12"/>
    </row>
    <row r="17" spans="1:24" s="17" customFormat="1" ht="14.25">
      <c r="A17" s="20" t="s">
        <v>25</v>
      </c>
      <c r="B17" s="12" t="s">
        <v>0</v>
      </c>
      <c r="C17" s="12" t="s">
        <v>0</v>
      </c>
      <c r="D17" s="13" t="s">
        <v>0</v>
      </c>
      <c r="E17" s="14" t="s">
        <v>0</v>
      </c>
      <c r="F17" s="14" t="s">
        <v>0</v>
      </c>
      <c r="G17" s="14" t="s">
        <v>0</v>
      </c>
      <c r="H17" s="14" t="s">
        <v>0</v>
      </c>
      <c r="I17" s="15" t="s">
        <v>0</v>
      </c>
      <c r="J17" s="15" t="s">
        <v>0</v>
      </c>
      <c r="K17" s="15" t="s">
        <v>0</v>
      </c>
      <c r="L17" s="15" t="s">
        <v>0</v>
      </c>
      <c r="M17" s="15" t="s">
        <v>0</v>
      </c>
      <c r="N17" s="15" t="s">
        <v>0</v>
      </c>
      <c r="O17" s="15" t="s">
        <v>0</v>
      </c>
      <c r="P17" s="12" t="s">
        <v>0</v>
      </c>
      <c r="Q17" s="12" t="s">
        <v>0</v>
      </c>
      <c r="R17" s="13" t="s">
        <v>0</v>
      </c>
      <c r="S17" s="14" t="s">
        <v>0</v>
      </c>
      <c r="T17" s="16" t="s">
        <v>26</v>
      </c>
      <c r="U17" s="12"/>
    </row>
    <row r="18" spans="1:24" s="17" customFormat="1" ht="14.25">
      <c r="A18" s="21" t="s">
        <v>27</v>
      </c>
      <c r="B18" s="12">
        <v>52.800966962502493</v>
      </c>
      <c r="C18" s="12">
        <v>52.797323380612234</v>
      </c>
      <c r="D18" s="13">
        <v>54.487034482213907</v>
      </c>
      <c r="E18" s="14">
        <v>58.396597850448046</v>
      </c>
      <c r="F18" s="14">
        <v>60.252091928055911</v>
      </c>
      <c r="G18" s="14">
        <v>59.621752261043326</v>
      </c>
      <c r="H18" s="14">
        <v>80.631556335675342</v>
      </c>
      <c r="I18" s="15">
        <v>79.70517564008027</v>
      </c>
      <c r="J18" s="15">
        <v>94.564613483976714</v>
      </c>
      <c r="K18" s="15">
        <v>100.97185223797464</v>
      </c>
      <c r="L18" s="15">
        <v>103.10152585282354</v>
      </c>
      <c r="M18" s="15">
        <v>107.1504562283596</v>
      </c>
      <c r="N18" s="15">
        <v>107.18218916107703</v>
      </c>
      <c r="O18" s="15">
        <v>106.70694299334495</v>
      </c>
      <c r="P18" s="12">
        <v>110.02742300835376</v>
      </c>
      <c r="Q18" s="12">
        <v>110.12369869519806</v>
      </c>
      <c r="R18" s="13">
        <v>107.4664562560165</v>
      </c>
      <c r="S18" s="14">
        <v>109.45485039081306</v>
      </c>
      <c r="T18" s="22" t="s">
        <v>28</v>
      </c>
      <c r="U18" s="12"/>
    </row>
    <row r="19" spans="1:24" s="17" customFormat="1" ht="14.25">
      <c r="A19" s="18" t="s">
        <v>29</v>
      </c>
      <c r="B19" s="12" t="s">
        <v>0</v>
      </c>
      <c r="C19" s="12" t="s">
        <v>0</v>
      </c>
      <c r="D19" s="13" t="s">
        <v>0</v>
      </c>
      <c r="E19" s="14" t="s">
        <v>0</v>
      </c>
      <c r="F19" s="14" t="s">
        <v>0</v>
      </c>
      <c r="G19" s="14" t="s">
        <v>0</v>
      </c>
      <c r="H19" s="14" t="s">
        <v>0</v>
      </c>
      <c r="I19" s="15" t="s">
        <v>0</v>
      </c>
      <c r="J19" s="15" t="s">
        <v>0</v>
      </c>
      <c r="K19" s="15" t="s">
        <v>0</v>
      </c>
      <c r="L19" s="15" t="s">
        <v>0</v>
      </c>
      <c r="M19" s="15">
        <v>37.657299893035209</v>
      </c>
      <c r="N19" s="15">
        <v>39.054634384042494</v>
      </c>
      <c r="O19" s="15">
        <v>38.741762066537547</v>
      </c>
      <c r="P19" s="12">
        <v>41.650803202303599</v>
      </c>
      <c r="Q19" s="12">
        <v>42.298730432776651</v>
      </c>
      <c r="R19" s="13">
        <v>42.494585923608234</v>
      </c>
      <c r="S19" s="14">
        <v>42.674973982442431</v>
      </c>
      <c r="T19" s="22" t="s">
        <v>30</v>
      </c>
      <c r="U19" s="12"/>
    </row>
    <row r="20" spans="1:24" s="17" customFormat="1" ht="14.25">
      <c r="A20" s="18" t="s">
        <v>31</v>
      </c>
      <c r="B20" s="12" t="s">
        <v>0</v>
      </c>
      <c r="C20" s="12" t="s">
        <v>0</v>
      </c>
      <c r="D20" s="13" t="s">
        <v>0</v>
      </c>
      <c r="E20" s="14" t="s">
        <v>0</v>
      </c>
      <c r="F20" s="14" t="s">
        <v>0</v>
      </c>
      <c r="G20" s="14" t="s">
        <v>0</v>
      </c>
      <c r="H20" s="14" t="s">
        <v>0</v>
      </c>
      <c r="I20" s="15" t="s">
        <v>0</v>
      </c>
      <c r="J20" s="15" t="s">
        <v>0</v>
      </c>
      <c r="K20" s="15" t="s">
        <v>0</v>
      </c>
      <c r="L20" s="15" t="s">
        <v>0</v>
      </c>
      <c r="M20" s="15" t="s">
        <v>0</v>
      </c>
      <c r="N20" s="15" t="s">
        <v>0</v>
      </c>
      <c r="O20" s="15" t="s">
        <v>0</v>
      </c>
      <c r="P20" s="12" t="s">
        <v>0</v>
      </c>
      <c r="Q20" s="12" t="s">
        <v>0</v>
      </c>
      <c r="R20" s="13" t="s">
        <v>0</v>
      </c>
      <c r="S20" s="14" t="s">
        <v>0</v>
      </c>
      <c r="T20" s="22" t="s">
        <v>32</v>
      </c>
      <c r="U20" s="12"/>
    </row>
    <row r="21" spans="1:24" s="17" customFormat="1" ht="14.25">
      <c r="A21" s="21" t="s">
        <v>33</v>
      </c>
      <c r="B21" s="12" t="s">
        <v>0</v>
      </c>
      <c r="C21" s="12" t="s">
        <v>0</v>
      </c>
      <c r="D21" s="13" t="s">
        <v>0</v>
      </c>
      <c r="E21" s="14" t="s">
        <v>0</v>
      </c>
      <c r="F21" s="14" t="s">
        <v>0</v>
      </c>
      <c r="G21" s="14" t="s">
        <v>0</v>
      </c>
      <c r="H21" s="14" t="s">
        <v>0</v>
      </c>
      <c r="I21" s="15" t="s">
        <v>0</v>
      </c>
      <c r="J21" s="15" t="s">
        <v>0</v>
      </c>
      <c r="K21" s="15" t="s">
        <v>0</v>
      </c>
      <c r="L21" s="15" t="s">
        <v>0</v>
      </c>
      <c r="M21" s="15">
        <v>64.462976814896209</v>
      </c>
      <c r="N21" s="15">
        <v>65.490900455143503</v>
      </c>
      <c r="O21" s="15">
        <v>64.672638958801642</v>
      </c>
      <c r="P21" s="12">
        <v>63.893061526641425</v>
      </c>
      <c r="Q21" s="12">
        <v>63.891823066612233</v>
      </c>
      <c r="R21" s="13">
        <v>64.20586461633458</v>
      </c>
      <c r="S21" s="14">
        <v>63.443453218784704</v>
      </c>
      <c r="T21" s="22" t="s">
        <v>34</v>
      </c>
      <c r="U21" s="12"/>
    </row>
    <row r="22" spans="1:24" s="28" customFormat="1" ht="14.25">
      <c r="A22" s="23" t="s">
        <v>35</v>
      </c>
      <c r="B22" s="24">
        <v>19.983834923687986</v>
      </c>
      <c r="C22" s="24">
        <v>21.926701979082694</v>
      </c>
      <c r="D22" s="25">
        <v>24.054484998592145</v>
      </c>
      <c r="E22" s="25">
        <v>25.607529210717953</v>
      </c>
      <c r="F22" s="25">
        <v>27.442528620379068</v>
      </c>
      <c r="G22" s="25">
        <v>28.444156759333893</v>
      </c>
      <c r="H22" s="25">
        <v>32.629338118318124</v>
      </c>
      <c r="I22" s="26">
        <v>38.12933861854161</v>
      </c>
      <c r="J22" s="26">
        <v>45.803767606699893</v>
      </c>
      <c r="K22" s="26">
        <v>47.354729431842429</v>
      </c>
      <c r="L22" s="26">
        <v>49.953964864365126</v>
      </c>
      <c r="M22" s="26">
        <v>53.071714655723049</v>
      </c>
      <c r="N22" s="26">
        <v>57.090747863520427</v>
      </c>
      <c r="O22" s="26">
        <v>56.289049701769336</v>
      </c>
      <c r="P22" s="24">
        <v>57.951664068964227</v>
      </c>
      <c r="Q22" s="24">
        <v>57.270872947786074</v>
      </c>
      <c r="R22" s="25">
        <v>57.656063878870128</v>
      </c>
      <c r="S22" s="25">
        <v>60.065321906553883</v>
      </c>
      <c r="T22" s="27" t="s">
        <v>36</v>
      </c>
      <c r="U22" s="24"/>
    </row>
    <row r="23" spans="1:24" s="32" customFormat="1" ht="14.25">
      <c r="A23" s="29" t="s">
        <v>37</v>
      </c>
      <c r="B23" s="30">
        <v>25.411240394067452</v>
      </c>
      <c r="C23" s="30">
        <v>26.787488915714615</v>
      </c>
      <c r="D23" s="30">
        <v>28.795864452129283</v>
      </c>
      <c r="E23" s="30">
        <v>31.618302719746634</v>
      </c>
      <c r="F23" s="30">
        <v>34.805497752187811</v>
      </c>
      <c r="G23" s="30">
        <v>33.944955093428696</v>
      </c>
      <c r="H23" s="30">
        <v>38.123279247763726</v>
      </c>
      <c r="I23" s="30">
        <v>45.354670643591369</v>
      </c>
      <c r="J23" s="30">
        <v>52.769325753784358</v>
      </c>
      <c r="K23" s="30">
        <v>54.175232895872313</v>
      </c>
      <c r="L23" s="30">
        <v>54.087142366503457</v>
      </c>
      <c r="M23" s="30">
        <v>55.859134271345404</v>
      </c>
      <c r="N23" s="30">
        <v>56.967120908230989</v>
      </c>
      <c r="O23" s="30">
        <v>58.077067779447027</v>
      </c>
      <c r="P23" s="30">
        <v>59.894169672452726</v>
      </c>
      <c r="Q23" s="30">
        <v>58.205925423322817</v>
      </c>
      <c r="R23" s="30">
        <v>60.032775754695813</v>
      </c>
      <c r="S23" s="30">
        <v>60.922204377547509</v>
      </c>
      <c r="T23" s="31" t="s">
        <v>38</v>
      </c>
      <c r="U23" s="26"/>
    </row>
    <row r="24" spans="1:24" s="5" customFormat="1" ht="14.25">
      <c r="A24" s="33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33"/>
      <c r="Q24" s="33"/>
      <c r="R24" s="33"/>
      <c r="S24" s="33"/>
      <c r="T24" s="34"/>
      <c r="U24" s="33"/>
    </row>
    <row r="25" spans="1:24" s="5" customFormat="1" ht="15" customHeight="1">
      <c r="A25" s="59" t="s">
        <v>2</v>
      </c>
      <c r="B25" s="56" t="s">
        <v>3</v>
      </c>
      <c r="C25" s="56"/>
      <c r="D25" s="56"/>
      <c r="E25" s="56"/>
      <c r="F25" s="56"/>
      <c r="G25" s="56"/>
      <c r="H25" s="56"/>
      <c r="I25" s="56"/>
      <c r="J25" s="56"/>
      <c r="K25" s="55" t="s">
        <v>4</v>
      </c>
      <c r="L25" s="55"/>
      <c r="M25" s="55"/>
      <c r="N25" s="55"/>
      <c r="O25" s="55"/>
      <c r="P25" s="55"/>
      <c r="Q25" s="55"/>
      <c r="R25" s="55"/>
      <c r="S25" s="55"/>
      <c r="T25" s="57" t="s">
        <v>5</v>
      </c>
      <c r="U25" s="35"/>
    </row>
    <row r="26" spans="1:24" s="5" customFormat="1" ht="12.75" customHeight="1">
      <c r="A26" s="60"/>
      <c r="B26" s="10">
        <v>2003</v>
      </c>
      <c r="C26" s="10">
        <v>2004</v>
      </c>
      <c r="D26" s="10">
        <v>2005</v>
      </c>
      <c r="E26" s="10">
        <v>2006</v>
      </c>
      <c r="F26" s="10">
        <v>2007</v>
      </c>
      <c r="G26" s="10">
        <v>2008</v>
      </c>
      <c r="H26" s="10">
        <v>2009</v>
      </c>
      <c r="I26" s="10">
        <v>2010</v>
      </c>
      <c r="J26" s="10">
        <v>2011</v>
      </c>
      <c r="K26" s="10">
        <v>2012</v>
      </c>
      <c r="L26" s="10">
        <v>2013</v>
      </c>
      <c r="M26" s="10">
        <v>2014</v>
      </c>
      <c r="N26" s="10">
        <v>2015</v>
      </c>
      <c r="O26" s="10">
        <v>2016</v>
      </c>
      <c r="P26" s="10">
        <v>2017</v>
      </c>
      <c r="Q26" s="10">
        <v>2018</v>
      </c>
      <c r="R26" s="10">
        <v>2019</v>
      </c>
      <c r="S26" s="10">
        <v>2020</v>
      </c>
      <c r="T26" s="58"/>
      <c r="U26" s="36"/>
    </row>
    <row r="27" spans="1:24" s="17" customFormat="1" ht="15">
      <c r="A27" s="11" t="s">
        <v>6</v>
      </c>
      <c r="B27" s="14">
        <v>35.81140892385924</v>
      </c>
      <c r="C27" s="14">
        <v>41.527298612668822</v>
      </c>
      <c r="D27" s="14">
        <v>44.75043511836828</v>
      </c>
      <c r="E27" s="15">
        <v>46.54226956659236</v>
      </c>
      <c r="F27" s="15">
        <v>54.070703301292049</v>
      </c>
      <c r="G27" s="15">
        <v>64.381973226397193</v>
      </c>
      <c r="H27" s="15">
        <v>64.715472651196961</v>
      </c>
      <c r="I27" s="15">
        <v>69.554480633976965</v>
      </c>
      <c r="J27" s="15">
        <v>83.416709968576413</v>
      </c>
      <c r="K27" s="15">
        <v>98.126990664931839</v>
      </c>
      <c r="L27" s="15">
        <v>105.15731822206406</v>
      </c>
      <c r="M27" s="15">
        <v>105.91516633353841</v>
      </c>
      <c r="N27" s="15">
        <v>106.42761479980396</v>
      </c>
      <c r="O27" s="15">
        <v>107.04157551050889</v>
      </c>
      <c r="P27" s="15">
        <v>113.03489126776282</v>
      </c>
      <c r="Q27" s="15">
        <v>111.81011866226531</v>
      </c>
      <c r="R27" s="15">
        <v>99.755867509454859</v>
      </c>
      <c r="S27" s="15">
        <f>'[1]Republic data'!$CE$4</f>
        <v>102.47540524074198</v>
      </c>
      <c r="T27" s="16" t="s">
        <v>7</v>
      </c>
      <c r="U27" s="12"/>
      <c r="V27" s="37"/>
      <c r="W27" s="38"/>
      <c r="X27" s="39"/>
    </row>
    <row r="28" spans="1:24" s="17" customFormat="1" ht="15">
      <c r="A28" s="11" t="s">
        <v>8</v>
      </c>
      <c r="B28" s="14">
        <v>45.843901333903837</v>
      </c>
      <c r="C28" s="14">
        <v>50.212785992574339</v>
      </c>
      <c r="D28" s="14">
        <v>53.663452161377535</v>
      </c>
      <c r="E28" s="15">
        <v>56.866771691184077</v>
      </c>
      <c r="F28" s="15">
        <v>62.767090501684173</v>
      </c>
      <c r="G28" s="15">
        <v>76.153290746199403</v>
      </c>
      <c r="H28" s="15">
        <v>78.381813378991197</v>
      </c>
      <c r="I28" s="15">
        <v>84.204150454829019</v>
      </c>
      <c r="J28" s="15">
        <v>94.794400673064558</v>
      </c>
      <c r="K28" s="15">
        <v>100.0268178957039</v>
      </c>
      <c r="L28" s="15">
        <v>105.46827201556327</v>
      </c>
      <c r="M28" s="15">
        <v>105.77637644985344</v>
      </c>
      <c r="N28" s="15">
        <v>106.72890504792964</v>
      </c>
      <c r="O28" s="15">
        <v>108.34446887815083</v>
      </c>
      <c r="P28" s="15">
        <v>115.49732275295001</v>
      </c>
      <c r="Q28" s="15">
        <v>112.9320821179051</v>
      </c>
      <c r="R28" s="15">
        <v>100.0189697454872</v>
      </c>
      <c r="S28" s="15">
        <f>'[1]Republic data'!$CE$571</f>
        <v>102.77972111001579</v>
      </c>
      <c r="T28" s="16" t="s">
        <v>9</v>
      </c>
      <c r="U28" s="12"/>
      <c r="V28" s="37"/>
    </row>
    <row r="29" spans="1:24" s="17" customFormat="1" ht="15">
      <c r="A29" s="18" t="s">
        <v>10</v>
      </c>
      <c r="B29" s="14">
        <v>15.569489394288871</v>
      </c>
      <c r="C29" s="14">
        <v>22.111974744984995</v>
      </c>
      <c r="D29" s="14">
        <v>24.339042071617914</v>
      </c>
      <c r="E29" s="15">
        <v>22.898483196595674</v>
      </c>
      <c r="F29" s="15">
        <v>34.155406788630842</v>
      </c>
      <c r="G29" s="15">
        <v>37.424884799955599</v>
      </c>
      <c r="H29" s="15">
        <v>33.418656908585071</v>
      </c>
      <c r="I29" s="15">
        <v>36.005776836416281</v>
      </c>
      <c r="J29" s="15">
        <v>57.361052741283949</v>
      </c>
      <c r="K29" s="15">
        <v>93.7760772522998</v>
      </c>
      <c r="L29" s="15">
        <v>104.44563486657425</v>
      </c>
      <c r="M29" s="15">
        <v>106.23281626157906</v>
      </c>
      <c r="N29" s="15">
        <v>105.73804850653096</v>
      </c>
      <c r="O29" s="15">
        <v>104.05962917920893</v>
      </c>
      <c r="P29" s="15">
        <v>107.39909733735</v>
      </c>
      <c r="Q29" s="15">
        <v>109.24226860370483</v>
      </c>
      <c r="R29" s="15">
        <v>98.715192256714488</v>
      </c>
      <c r="S29" s="15">
        <f>'[1]Republic data'!$CE$36</f>
        <v>101.15085971078189</v>
      </c>
      <c r="T29" s="16" t="s">
        <v>11</v>
      </c>
      <c r="U29" s="12"/>
      <c r="V29" s="37"/>
    </row>
    <row r="30" spans="1:24" s="17" customFormat="1" ht="15">
      <c r="A30" s="18" t="s">
        <v>12</v>
      </c>
      <c r="B30" s="14" t="s">
        <v>0</v>
      </c>
      <c r="C30" s="14">
        <v>45.823324733206455</v>
      </c>
      <c r="D30" s="14">
        <v>47.18724050196397</v>
      </c>
      <c r="E30" s="15">
        <v>49.327553362016907</v>
      </c>
      <c r="F30" s="15">
        <v>49.926435555846972</v>
      </c>
      <c r="G30" s="15">
        <v>51.632567552779186</v>
      </c>
      <c r="H30" s="15">
        <v>50.700704461040182</v>
      </c>
      <c r="I30" s="15">
        <v>50.532891620339313</v>
      </c>
      <c r="J30" s="15">
        <v>64.296766109008189</v>
      </c>
      <c r="K30" s="15">
        <v>101.2436810917912</v>
      </c>
      <c r="L30" s="15">
        <v>98.00579870542515</v>
      </c>
      <c r="M30" s="15">
        <v>100.18505236961772</v>
      </c>
      <c r="N30" s="15">
        <v>117.46360163260034</v>
      </c>
      <c r="O30" s="15">
        <v>122.18459773517431</v>
      </c>
      <c r="P30" s="15">
        <v>154.41417266945828</v>
      </c>
      <c r="Q30" s="15">
        <v>167.34151423693964</v>
      </c>
      <c r="R30" s="15">
        <v>100.23444513498929</v>
      </c>
      <c r="S30" s="15">
        <v>112.71042998288897</v>
      </c>
      <c r="T30" s="16" t="s">
        <v>39</v>
      </c>
      <c r="U30" s="12"/>
      <c r="V30" s="37"/>
      <c r="W30" s="38"/>
      <c r="X30" s="39"/>
    </row>
    <row r="31" spans="1:24" s="17" customFormat="1" ht="15">
      <c r="A31" s="18" t="s">
        <v>47</v>
      </c>
      <c r="B31" s="14">
        <v>66.688348890071822</v>
      </c>
      <c r="C31" s="14">
        <v>64.342030981784291</v>
      </c>
      <c r="D31" s="14">
        <v>67.10119333434308</v>
      </c>
      <c r="E31" s="15">
        <v>67.493428550865232</v>
      </c>
      <c r="F31" s="15">
        <v>66.522696340505789</v>
      </c>
      <c r="G31" s="15">
        <v>68.251967675022911</v>
      </c>
      <c r="H31" s="15">
        <v>70.445891756658199</v>
      </c>
      <c r="I31" s="15">
        <v>72.534285938334179</v>
      </c>
      <c r="J31" s="15">
        <v>81.881292827210913</v>
      </c>
      <c r="K31" s="15">
        <v>98.359038463336105</v>
      </c>
      <c r="L31" s="15">
        <v>101.52586212230904</v>
      </c>
      <c r="M31" s="15">
        <v>102.46527730468375</v>
      </c>
      <c r="N31" s="15">
        <v>101.54061731751705</v>
      </c>
      <c r="O31" s="15">
        <v>100.99558210523537</v>
      </c>
      <c r="P31" s="15">
        <v>100.29057707007946</v>
      </c>
      <c r="Q31" s="15">
        <v>98.155711491556062</v>
      </c>
      <c r="R31" s="15">
        <v>99.962545178697326</v>
      </c>
      <c r="S31" s="15">
        <v>98.02332989811508</v>
      </c>
      <c r="T31" s="16" t="s">
        <v>14</v>
      </c>
      <c r="U31" s="12"/>
      <c r="V31" s="37"/>
      <c r="W31" s="38"/>
      <c r="X31" s="39"/>
    </row>
    <row r="32" spans="1:24" s="17" customFormat="1" ht="15">
      <c r="A32" s="18" t="s">
        <v>48</v>
      </c>
      <c r="B32" s="14">
        <v>68.257995144620992</v>
      </c>
      <c r="C32" s="14">
        <v>66.965128272733068</v>
      </c>
      <c r="D32" s="14">
        <v>68.275974814689803</v>
      </c>
      <c r="E32" s="15">
        <v>70.128284933346336</v>
      </c>
      <c r="F32" s="15">
        <v>72.790167958905229</v>
      </c>
      <c r="G32" s="15">
        <v>80.824789456236729</v>
      </c>
      <c r="H32" s="15">
        <v>87.147430127106858</v>
      </c>
      <c r="I32" s="15">
        <v>93.758762276598645</v>
      </c>
      <c r="J32" s="15">
        <v>96.487654366096692</v>
      </c>
      <c r="K32" s="15">
        <v>99.951850044063292</v>
      </c>
      <c r="L32" s="15">
        <v>103.51724004351574</v>
      </c>
      <c r="M32" s="15">
        <v>106.69055604936631</v>
      </c>
      <c r="N32" s="15">
        <v>107.78553856963902</v>
      </c>
      <c r="O32" s="15">
        <v>108.10803524718015</v>
      </c>
      <c r="P32" s="15">
        <v>109.47834485115725</v>
      </c>
      <c r="Q32" s="15">
        <v>109.29547192198891</v>
      </c>
      <c r="R32" s="15">
        <v>99.542874629829512</v>
      </c>
      <c r="S32" s="15">
        <v>94.86124691140401</v>
      </c>
      <c r="T32" s="16" t="s">
        <v>16</v>
      </c>
      <c r="U32" s="12"/>
      <c r="V32" s="37"/>
      <c r="W32" s="38"/>
      <c r="X32" s="39"/>
    </row>
    <row r="33" spans="1:29" s="17" customFormat="1" ht="15">
      <c r="A33" s="18" t="s">
        <v>49</v>
      </c>
      <c r="B33" s="14" t="s">
        <v>0</v>
      </c>
      <c r="C33" s="14">
        <v>60.947667204895041</v>
      </c>
      <c r="D33" s="14">
        <v>61.604967281380162</v>
      </c>
      <c r="E33" s="15">
        <v>64.647461828276832</v>
      </c>
      <c r="F33" s="15">
        <v>67.343842950624648</v>
      </c>
      <c r="G33" s="15">
        <v>74.851279000594886</v>
      </c>
      <c r="H33" s="15">
        <v>85.550267697798958</v>
      </c>
      <c r="I33" s="15">
        <v>91.040551259171139</v>
      </c>
      <c r="J33" s="15">
        <v>95.103608962918898</v>
      </c>
      <c r="K33" s="15">
        <v>100.07057660044312</v>
      </c>
      <c r="L33" s="15">
        <v>104.08964183574052</v>
      </c>
      <c r="M33" s="15">
        <v>108.54742074440985</v>
      </c>
      <c r="N33" s="15">
        <v>112.36921152715941</v>
      </c>
      <c r="O33" s="15">
        <v>116.59514145414504</v>
      </c>
      <c r="P33" s="15">
        <v>122.00177799672292</v>
      </c>
      <c r="Q33" s="15">
        <v>129.26555175057555</v>
      </c>
      <c r="R33" s="15">
        <v>99.287613094180429</v>
      </c>
      <c r="S33" s="15">
        <f>'[1]Republic data'!$CE$228</f>
        <v>95.666467120853881</v>
      </c>
      <c r="T33" s="19" t="s">
        <v>18</v>
      </c>
      <c r="U33" s="12"/>
      <c r="V33" s="37"/>
      <c r="W33" s="38"/>
      <c r="X33" s="39"/>
    </row>
    <row r="34" spans="1:29" s="17" customFormat="1" ht="25.5">
      <c r="A34" s="11" t="s">
        <v>50</v>
      </c>
      <c r="B34" s="14">
        <v>58.92339401773711</v>
      </c>
      <c r="C34" s="14">
        <v>58.42681841227688</v>
      </c>
      <c r="D34" s="14">
        <v>60.832156737250706</v>
      </c>
      <c r="E34" s="15">
        <v>62.787235480784801</v>
      </c>
      <c r="F34" s="15">
        <v>65.996050857083574</v>
      </c>
      <c r="G34" s="15">
        <v>68.380911967950468</v>
      </c>
      <c r="H34" s="15">
        <v>75.858602553560274</v>
      </c>
      <c r="I34" s="15">
        <v>80.397772506783596</v>
      </c>
      <c r="J34" s="15">
        <v>83.774232067142066</v>
      </c>
      <c r="K34" s="15">
        <v>98.65523637265558</v>
      </c>
      <c r="L34" s="15">
        <v>97.029807398560521</v>
      </c>
      <c r="M34" s="15">
        <v>96.030794344264748</v>
      </c>
      <c r="N34" s="15">
        <v>96.619226474540611</v>
      </c>
      <c r="O34" s="15">
        <v>97.499129166170533</v>
      </c>
      <c r="P34" s="15">
        <v>98.588794205371599</v>
      </c>
      <c r="Q34" s="15">
        <v>97.270333580269437</v>
      </c>
      <c r="R34" s="15">
        <v>100.03347598488823</v>
      </c>
      <c r="S34" s="15">
        <f>'[1]Republic data'!$CE$263</f>
        <v>99.461737147374166</v>
      </c>
      <c r="T34" s="16" t="s">
        <v>20</v>
      </c>
      <c r="U34" s="12"/>
      <c r="V34" s="37"/>
    </row>
    <row r="35" spans="1:29" s="17" customFormat="1" ht="15">
      <c r="A35" s="20" t="s">
        <v>21</v>
      </c>
      <c r="B35" s="14">
        <v>77.867989569323143</v>
      </c>
      <c r="C35" s="14">
        <v>77.960591924121815</v>
      </c>
      <c r="D35" s="14">
        <v>78.158616291651526</v>
      </c>
      <c r="E35" s="15">
        <v>87.683380878679159</v>
      </c>
      <c r="F35" s="15">
        <v>95.725018168451655</v>
      </c>
      <c r="G35" s="15">
        <v>115.02993652927483</v>
      </c>
      <c r="H35" s="15">
        <v>117.62003560285746</v>
      </c>
      <c r="I35" s="15">
        <v>123.09882000085349</v>
      </c>
      <c r="J35" s="15">
        <v>136.10400273752558</v>
      </c>
      <c r="K35" s="15">
        <v>103.11447443846129</v>
      </c>
      <c r="L35" s="15">
        <v>110.75985912203326</v>
      </c>
      <c r="M35" s="15">
        <v>120.99690521142638</v>
      </c>
      <c r="N35" s="15">
        <v>123.58711110547449</v>
      </c>
      <c r="O35" s="15">
        <v>125.81722828813672</v>
      </c>
      <c r="P35" s="15">
        <v>125.52846282798579</v>
      </c>
      <c r="Q35" s="15">
        <v>126.1113957972745</v>
      </c>
      <c r="R35" s="15">
        <v>99.651230898131658</v>
      </c>
      <c r="S35" s="15">
        <v>100.16020770865238</v>
      </c>
      <c r="T35" s="16" t="s">
        <v>22</v>
      </c>
      <c r="U35" s="12"/>
      <c r="V35" s="37"/>
      <c r="W35" s="38"/>
      <c r="X35" s="39"/>
    </row>
    <row r="36" spans="1:29" s="17" customFormat="1" ht="15">
      <c r="A36" s="20" t="s">
        <v>51</v>
      </c>
      <c r="B36" s="14">
        <v>50.47072121396149</v>
      </c>
      <c r="C36" s="14">
        <v>51.834003783602441</v>
      </c>
      <c r="D36" s="14">
        <v>57.992964094282662</v>
      </c>
      <c r="E36" s="15">
        <v>60.859975065826738</v>
      </c>
      <c r="F36" s="15">
        <v>63.749393784738366</v>
      </c>
      <c r="G36" s="15">
        <v>77.220453300900303</v>
      </c>
      <c r="H36" s="15">
        <v>77.979582923899997</v>
      </c>
      <c r="I36" s="15">
        <v>80.571924425587255</v>
      </c>
      <c r="J36" s="15">
        <v>91.644770975471246</v>
      </c>
      <c r="K36" s="15">
        <v>99.95473548796538</v>
      </c>
      <c r="L36" s="15">
        <v>102.17949400970934</v>
      </c>
      <c r="M36" s="15">
        <v>105.37961599773739</v>
      </c>
      <c r="N36" s="15">
        <v>102.92917404156066</v>
      </c>
      <c r="O36" s="15">
        <v>101.34706519435288</v>
      </c>
      <c r="P36" s="15">
        <v>101.83981865912176</v>
      </c>
      <c r="Q36" s="15">
        <v>102.86901120705778</v>
      </c>
      <c r="R36" s="15">
        <v>99.177907186017364</v>
      </c>
      <c r="S36" s="15">
        <v>98.121113915620427</v>
      </c>
      <c r="T36" s="16" t="s">
        <v>24</v>
      </c>
      <c r="U36" s="12"/>
      <c r="V36" s="37"/>
      <c r="W36" s="38"/>
      <c r="X36" s="39"/>
    </row>
    <row r="37" spans="1:29" s="17" customFormat="1" ht="15">
      <c r="A37" s="20" t="s">
        <v>52</v>
      </c>
      <c r="B37" s="14" t="s">
        <v>0</v>
      </c>
      <c r="C37" s="14">
        <v>148.1682122103943</v>
      </c>
      <c r="D37" s="14">
        <v>127.63735958634521</v>
      </c>
      <c r="E37" s="15">
        <v>115.34450273124089</v>
      </c>
      <c r="F37" s="15">
        <v>104.72754551977413</v>
      </c>
      <c r="G37" s="15">
        <v>100.9097966458598</v>
      </c>
      <c r="H37" s="15">
        <v>100.15439105359373</v>
      </c>
      <c r="I37" s="15">
        <v>100.38298344923554</v>
      </c>
      <c r="J37" s="15">
        <v>100.6195512642537</v>
      </c>
      <c r="K37" s="15">
        <v>100.00528180711392</v>
      </c>
      <c r="L37" s="15">
        <v>99.050815085253589</v>
      </c>
      <c r="M37" s="15">
        <v>100.28780520090577</v>
      </c>
      <c r="N37" s="15">
        <v>100.55782006117782</v>
      </c>
      <c r="O37" s="15">
        <v>99.79368976091358</v>
      </c>
      <c r="P37" s="15">
        <v>99.659396804799613</v>
      </c>
      <c r="Q37" s="15">
        <v>100.41005623870753</v>
      </c>
      <c r="R37" s="15">
        <v>100.25721192236689</v>
      </c>
      <c r="S37" s="15">
        <v>90.470883420594149</v>
      </c>
      <c r="T37" s="16" t="s">
        <v>26</v>
      </c>
      <c r="U37" s="12"/>
      <c r="V37" s="37"/>
      <c r="W37" s="38"/>
      <c r="X37" s="39"/>
    </row>
    <row r="38" spans="1:29" s="17" customFormat="1" ht="15">
      <c r="A38" s="21" t="s">
        <v>53</v>
      </c>
      <c r="B38" s="14">
        <v>109.41914650710019</v>
      </c>
      <c r="C38" s="14">
        <v>106.35930088537327</v>
      </c>
      <c r="D38" s="14">
        <v>97.644369088905876</v>
      </c>
      <c r="E38" s="15">
        <v>94.874945972791352</v>
      </c>
      <c r="F38" s="15">
        <v>96.624178349214034</v>
      </c>
      <c r="G38" s="15">
        <v>90.077187080296483</v>
      </c>
      <c r="H38" s="15">
        <v>94.587232125872092</v>
      </c>
      <c r="I38" s="15">
        <v>100.01905005623114</v>
      </c>
      <c r="J38" s="15">
        <v>97.89290317146407</v>
      </c>
      <c r="K38" s="15">
        <v>99.531777140452178</v>
      </c>
      <c r="L38" s="15">
        <v>98.82807875047888</v>
      </c>
      <c r="M38" s="15">
        <v>102.2003441480955</v>
      </c>
      <c r="N38" s="15">
        <v>101.95630588932649</v>
      </c>
      <c r="O38" s="15">
        <v>100.69713942933714</v>
      </c>
      <c r="P38" s="15">
        <v>100.58404074832116</v>
      </c>
      <c r="Q38" s="15">
        <v>99.029706628505878</v>
      </c>
      <c r="R38" s="15">
        <v>100.42641155289699</v>
      </c>
      <c r="S38" s="15">
        <v>100.19763794724838</v>
      </c>
      <c r="T38" s="22" t="s">
        <v>28</v>
      </c>
      <c r="U38" s="12"/>
      <c r="V38" s="37"/>
      <c r="W38" s="38"/>
      <c r="X38" s="39"/>
    </row>
    <row r="39" spans="1:29" s="17" customFormat="1" ht="15">
      <c r="A39" s="18" t="s">
        <v>54</v>
      </c>
      <c r="B39" s="14">
        <v>43.713028818656035</v>
      </c>
      <c r="C39" s="14">
        <v>44.108660800348986</v>
      </c>
      <c r="D39" s="14">
        <v>44.900128272781792</v>
      </c>
      <c r="E39" s="15">
        <v>47.049388033467601</v>
      </c>
      <c r="F39" s="15">
        <v>48.13102192510862</v>
      </c>
      <c r="G39" s="15">
        <v>49.012472981378899</v>
      </c>
      <c r="H39" s="15">
        <v>66.212440093936394</v>
      </c>
      <c r="I39" s="15">
        <v>72.465176121953334</v>
      </c>
      <c r="J39" s="15">
        <v>85.752154766717368</v>
      </c>
      <c r="K39" s="15">
        <v>100.26897294373833</v>
      </c>
      <c r="L39" s="15">
        <v>105.75107702222947</v>
      </c>
      <c r="M39" s="15">
        <v>110.56855328746506</v>
      </c>
      <c r="N39" s="15">
        <v>119.00762505009182</v>
      </c>
      <c r="O39" s="15">
        <v>124.80292719209795</v>
      </c>
      <c r="P39" s="15">
        <v>130.07859259520549</v>
      </c>
      <c r="Q39" s="15">
        <v>133.11915518648536</v>
      </c>
      <c r="R39" s="15">
        <v>99.997620891203681</v>
      </c>
      <c r="S39" s="15">
        <v>99.911814142191687</v>
      </c>
      <c r="T39" s="22" t="s">
        <v>30</v>
      </c>
      <c r="U39" s="12"/>
      <c r="V39" s="37"/>
      <c r="W39" s="38"/>
      <c r="X39" s="39"/>
    </row>
    <row r="40" spans="1:29" s="17" customFormat="1" ht="15">
      <c r="A40" s="18" t="s">
        <v>55</v>
      </c>
      <c r="B40" s="14" t="s">
        <v>0</v>
      </c>
      <c r="C40" s="14">
        <v>47.710450635191421</v>
      </c>
      <c r="D40" s="14">
        <v>46.12928666919646</v>
      </c>
      <c r="E40" s="15">
        <v>49.094342913656533</v>
      </c>
      <c r="F40" s="15">
        <v>57.310377045571919</v>
      </c>
      <c r="G40" s="15">
        <v>66.268774405103429</v>
      </c>
      <c r="H40" s="15">
        <v>67.972496509520113</v>
      </c>
      <c r="I40" s="15">
        <v>70.167294544238487</v>
      </c>
      <c r="J40" s="15">
        <v>81.124231104476152</v>
      </c>
      <c r="K40" s="15">
        <v>103.56604942649903</v>
      </c>
      <c r="L40" s="15">
        <v>115.92908544747458</v>
      </c>
      <c r="M40" s="15">
        <v>121.3287709962447</v>
      </c>
      <c r="N40" s="15">
        <v>121.06073734975051</v>
      </c>
      <c r="O40" s="15">
        <v>123.14673548135868</v>
      </c>
      <c r="P40" s="15">
        <v>125.6295963585136</v>
      </c>
      <c r="Q40" s="15">
        <v>128.2294953174422</v>
      </c>
      <c r="R40" s="15">
        <v>99.155419008916851</v>
      </c>
      <c r="S40" s="15">
        <v>100.13952412632808</v>
      </c>
      <c r="T40" s="22" t="s">
        <v>32</v>
      </c>
      <c r="U40" s="12"/>
      <c r="V40" s="37"/>
      <c r="W40" s="38"/>
      <c r="X40" s="39"/>
    </row>
    <row r="41" spans="1:29" s="17" customFormat="1" ht="17.25">
      <c r="A41" s="18" t="s">
        <v>56</v>
      </c>
      <c r="B41" s="14" t="s">
        <v>0</v>
      </c>
      <c r="C41" s="14" t="s">
        <v>0</v>
      </c>
      <c r="D41" s="14" t="s">
        <v>0</v>
      </c>
      <c r="E41" s="14" t="s">
        <v>0</v>
      </c>
      <c r="F41" s="14" t="s">
        <v>0</v>
      </c>
      <c r="G41" s="14" t="s">
        <v>0</v>
      </c>
      <c r="H41" s="14" t="s">
        <v>0</v>
      </c>
      <c r="I41" s="14" t="s">
        <v>0</v>
      </c>
      <c r="J41" s="14" t="s">
        <v>0</v>
      </c>
      <c r="K41" s="14" t="s">
        <v>0</v>
      </c>
      <c r="L41" s="14" t="s">
        <v>0</v>
      </c>
      <c r="M41" s="14" t="s">
        <v>0</v>
      </c>
      <c r="N41" s="14" t="s">
        <v>0</v>
      </c>
      <c r="O41" s="14" t="s">
        <v>0</v>
      </c>
      <c r="P41" s="14" t="s">
        <v>0</v>
      </c>
      <c r="Q41" s="14" t="s">
        <v>0</v>
      </c>
      <c r="R41" s="14">
        <v>100</v>
      </c>
      <c r="S41" s="14">
        <v>100</v>
      </c>
      <c r="T41" s="40" t="s">
        <v>58</v>
      </c>
      <c r="U41" s="12"/>
      <c r="V41" s="37"/>
      <c r="W41" s="38"/>
      <c r="X41" s="39"/>
    </row>
    <row r="42" spans="1:29" s="17" customFormat="1" ht="25.5">
      <c r="A42" s="21" t="s">
        <v>57</v>
      </c>
      <c r="B42" s="14">
        <v>63.177962242280323</v>
      </c>
      <c r="C42" s="14">
        <v>65.350865449984198</v>
      </c>
      <c r="D42" s="14">
        <v>65.654739792094361</v>
      </c>
      <c r="E42" s="15">
        <v>66.045812015945941</v>
      </c>
      <c r="F42" s="15">
        <v>67.578746700557247</v>
      </c>
      <c r="G42" s="15">
        <v>71.846737489273423</v>
      </c>
      <c r="H42" s="15">
        <v>76.948539555294857</v>
      </c>
      <c r="I42" s="15">
        <v>80.738363693637908</v>
      </c>
      <c r="J42" s="15">
        <v>86.725904563278689</v>
      </c>
      <c r="K42" s="15">
        <v>100.59989156921542</v>
      </c>
      <c r="L42" s="15">
        <v>99.01609787482279</v>
      </c>
      <c r="M42" s="15">
        <v>98.892634758290214</v>
      </c>
      <c r="N42" s="15">
        <v>98.735605526974709</v>
      </c>
      <c r="O42" s="15">
        <v>98.469134997835681</v>
      </c>
      <c r="P42" s="15">
        <v>98.317889337161489</v>
      </c>
      <c r="Q42" s="15">
        <v>97.662171177004552</v>
      </c>
      <c r="R42" s="15">
        <v>99.967391567614428</v>
      </c>
      <c r="S42" s="15">
        <v>99.879452184790821</v>
      </c>
      <c r="T42" s="22" t="s">
        <v>34</v>
      </c>
      <c r="U42" s="12"/>
      <c r="V42" s="37"/>
      <c r="W42" s="38"/>
      <c r="X42" s="39"/>
    </row>
    <row r="43" spans="1:29" s="28" customFormat="1" ht="15">
      <c r="A43" s="23" t="s">
        <v>35</v>
      </c>
      <c r="B43" s="25">
        <v>59.308107744495715</v>
      </c>
      <c r="C43" s="25">
        <v>58.308521705702333</v>
      </c>
      <c r="D43" s="25">
        <v>59.066692841739666</v>
      </c>
      <c r="E43" s="26">
        <v>60.684187749186492</v>
      </c>
      <c r="F43" s="26">
        <v>64.807540880908348</v>
      </c>
      <c r="G43" s="26">
        <v>72.611313924073201</v>
      </c>
      <c r="H43" s="26">
        <v>75.900734670117231</v>
      </c>
      <c r="I43" s="26">
        <v>80.568542845421106</v>
      </c>
      <c r="J43" s="26">
        <v>89.651368722070842</v>
      </c>
      <c r="K43" s="26">
        <v>99.409647361204449</v>
      </c>
      <c r="L43" s="26">
        <v>103.19281073321666</v>
      </c>
      <c r="M43" s="26">
        <v>105.38050013404563</v>
      </c>
      <c r="N43" s="26">
        <v>106.38499407837655</v>
      </c>
      <c r="O43" s="26">
        <v>106.91958868829052</v>
      </c>
      <c r="P43" s="26">
        <v>109.93201964009602</v>
      </c>
      <c r="Q43" s="26">
        <v>109.78539958307455</v>
      </c>
      <c r="R43" s="26">
        <v>99.704026856120265</v>
      </c>
      <c r="S43" s="26">
        <f>'[1]Republic data'!$CE$3</f>
        <v>98.338306764350818</v>
      </c>
      <c r="T43" s="27" t="s">
        <v>36</v>
      </c>
      <c r="U43" s="12"/>
      <c r="V43" s="41"/>
      <c r="W43" s="42"/>
      <c r="Y43" s="17"/>
      <c r="AC43" s="17"/>
    </row>
    <row r="44" spans="1:29" s="32" customFormat="1" ht="15">
      <c r="A44" s="43" t="s">
        <v>37</v>
      </c>
      <c r="B44" s="44">
        <v>59.418093264539635</v>
      </c>
      <c r="C44" s="44">
        <v>60.873310045111914</v>
      </c>
      <c r="D44" s="44">
        <v>62.088248980371048</v>
      </c>
      <c r="E44" s="44">
        <v>64.052485645287277</v>
      </c>
      <c r="F44" s="44">
        <v>67.18924401230818</v>
      </c>
      <c r="G44" s="44">
        <v>75.385471686170362</v>
      </c>
      <c r="H44" s="44">
        <v>79.51493809042644</v>
      </c>
      <c r="I44" s="44">
        <v>84.338371332150743</v>
      </c>
      <c r="J44" s="44">
        <v>91.679051572020867</v>
      </c>
      <c r="K44" s="44">
        <v>100.14126599840249</v>
      </c>
      <c r="L44" s="44">
        <v>103.074234913911</v>
      </c>
      <c r="M44" s="44">
        <v>105.29983112357628</v>
      </c>
      <c r="N44" s="44">
        <v>106.44622541898161</v>
      </c>
      <c r="O44" s="44">
        <v>107.1902747590181</v>
      </c>
      <c r="P44" s="44">
        <v>110.17175267946645</v>
      </c>
      <c r="Q44" s="44">
        <v>109.83680520270974</v>
      </c>
      <c r="R44" s="44">
        <v>99.768516719136173</v>
      </c>
      <c r="S44" s="44">
        <f>'[1]Republic data'!$CE$570</f>
        <v>98.217948718411449</v>
      </c>
      <c r="T44" s="45" t="s">
        <v>38</v>
      </c>
      <c r="U44" s="12"/>
      <c r="V44" s="41"/>
      <c r="W44" s="42"/>
      <c r="Y44" s="17"/>
      <c r="AC44" s="17"/>
    </row>
    <row r="45" spans="1:29">
      <c r="A45" s="6" t="s">
        <v>40</v>
      </c>
    </row>
    <row r="46" spans="1:29">
      <c r="A46" s="7" t="s">
        <v>41</v>
      </c>
      <c r="B46" s="8"/>
    </row>
    <row r="47" spans="1:29">
      <c r="A47" s="7" t="s">
        <v>42</v>
      </c>
    </row>
    <row r="48" spans="1:29">
      <c r="A48" s="7" t="s">
        <v>43</v>
      </c>
    </row>
    <row r="49" spans="1:23">
      <c r="A49" s="7" t="s">
        <v>44</v>
      </c>
    </row>
    <row r="50" spans="1:23">
      <c r="A50" s="7" t="s">
        <v>45</v>
      </c>
    </row>
    <row r="51" spans="1:23">
      <c r="A51" s="7" t="s">
        <v>46</v>
      </c>
      <c r="W51" s="47"/>
    </row>
    <row r="52" spans="1:23" ht="15" customHeight="1">
      <c r="A52" s="7" t="s">
        <v>62</v>
      </c>
      <c r="B52" s="7"/>
      <c r="C52" s="7"/>
      <c r="D52" s="7"/>
      <c r="E52" s="7"/>
      <c r="F52" s="7"/>
      <c r="G52" s="7"/>
      <c r="H52" s="7"/>
      <c r="I52" s="7"/>
      <c r="J52" s="7"/>
      <c r="W52" s="47"/>
    </row>
    <row r="53" spans="1:23">
      <c r="A53" s="48" t="s">
        <v>1</v>
      </c>
      <c r="J53" s="49"/>
      <c r="W53" s="47"/>
    </row>
    <row r="54" spans="1:23">
      <c r="W54" s="47"/>
    </row>
    <row r="55" spans="1:23">
      <c r="W55" s="47"/>
    </row>
    <row r="56" spans="1:23">
      <c r="W56" s="47"/>
    </row>
    <row r="57" spans="1:23">
      <c r="W57" s="47"/>
    </row>
    <row r="58" spans="1:23">
      <c r="W58" s="47"/>
    </row>
    <row r="59" spans="1:23">
      <c r="W59" s="47"/>
    </row>
    <row r="60" spans="1:23">
      <c r="W60" s="47"/>
    </row>
    <row r="61" spans="1:23">
      <c r="W61" s="47"/>
    </row>
    <row r="62" spans="1:23">
      <c r="W62" s="47"/>
    </row>
    <row r="63" spans="1:23">
      <c r="W63" s="47"/>
    </row>
    <row r="64" spans="1:23">
      <c r="W64" s="47"/>
    </row>
    <row r="65" spans="23:23">
      <c r="W65" s="47"/>
    </row>
  </sheetData>
  <mergeCells count="14">
    <mergeCell ref="K25:S25"/>
    <mergeCell ref="B25:J25"/>
    <mergeCell ref="T5:T6"/>
    <mergeCell ref="B24:O24"/>
    <mergeCell ref="A25:A26"/>
    <mergeCell ref="T25:T26"/>
    <mergeCell ref="A5:A6"/>
    <mergeCell ref="B5:J5"/>
    <mergeCell ref="K5:S5"/>
    <mergeCell ref="V1:AC1"/>
    <mergeCell ref="A1:T1"/>
    <mergeCell ref="A2:T2"/>
    <mergeCell ref="A3:T3"/>
    <mergeCell ref="A4:T4"/>
  </mergeCells>
  <pageMargins left="0.7" right="0.7" top="0.75" bottom="0.75" header="0.3" footer="0.3"/>
  <pageSetup scale="3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17.2</vt:lpstr>
      <vt:lpstr>'17.2'!Print_Area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2021-06-16T22:01:25Z</cp:lastPrinted>
  <dcterms:created xsi:type="dcterms:W3CDTF">2019-03-21T03:27:43Z</dcterms:created>
  <dcterms:modified xsi:type="dcterms:W3CDTF">2021-06-16T22:01:43Z</dcterms:modified>
</cp:coreProperties>
</file>