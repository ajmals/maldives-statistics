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6" sheetId="6" r:id="rId1"/>
  </sheets>
  <definedNames>
    <definedName name="_xlnm.Print_Area" localSheetId="0">'17.6'!$A$1:$R$115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4" i="6" l="1"/>
  <c r="N56" i="6" l="1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55" i="6"/>
  <c r="N9" i="6" l="1"/>
  <c r="AM82" i="6" s="1"/>
  <c r="AM97" i="6"/>
  <c r="N25" i="6"/>
  <c r="AM98" i="6" s="1"/>
  <c r="N26" i="6"/>
  <c r="AM99" i="6" s="1"/>
  <c r="N33" i="6" l="1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32" i="6"/>
  <c r="N22" i="6"/>
  <c r="AM95" i="6" s="1"/>
  <c r="N10" i="6"/>
  <c r="AM83" i="6" s="1"/>
  <c r="N11" i="6"/>
  <c r="AM84" i="6" s="1"/>
  <c r="N12" i="6"/>
  <c r="AM85" i="6" s="1"/>
  <c r="N13" i="6"/>
  <c r="AM86" i="6" s="1"/>
  <c r="N14" i="6"/>
  <c r="AM87" i="6" s="1"/>
  <c r="N15" i="6"/>
  <c r="AM88" i="6" s="1"/>
  <c r="N16" i="6"/>
  <c r="AM89" i="6" s="1"/>
  <c r="N17" i="6"/>
  <c r="AM90" i="6" s="1"/>
  <c r="N18" i="6"/>
  <c r="AM91" i="6" s="1"/>
  <c r="N19" i="6"/>
  <c r="AM92" i="6" s="1"/>
  <c r="N20" i="6"/>
  <c r="AM93" i="6" s="1"/>
  <c r="N21" i="6"/>
  <c r="AM94" i="6" s="1"/>
  <c r="N23" i="6"/>
  <c r="AM96" i="6" s="1"/>
</calcChain>
</file>

<file path=xl/sharedStrings.xml><?xml version="1.0" encoding="utf-8"?>
<sst xmlns="http://schemas.openxmlformats.org/spreadsheetml/2006/main" count="261" uniqueCount="91">
  <si>
    <t>Republic</t>
  </si>
  <si>
    <t>Male'</t>
  </si>
  <si>
    <t>na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</si>
  <si>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</si>
  <si>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</si>
  <si>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</si>
  <si>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</si>
  <si>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</si>
  <si>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</si>
  <si>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</si>
  <si>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</si>
  <si>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</si>
  <si>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</si>
  <si>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</si>
  <si>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</si>
  <si>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</si>
  <si>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</si>
  <si>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</si>
  <si>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</si>
  <si>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</si>
  <si>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</si>
  <si>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</si>
  <si>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</si>
  <si>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</si>
  <si>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</si>
  <si>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</si>
  <si>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</si>
  <si>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</si>
  <si>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</si>
  <si>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</si>
  <si>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</si>
  <si>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</si>
  <si>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</si>
  <si>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</si>
  <si>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</si>
  <si>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</si>
  <si>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</si>
  <si>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</si>
  <si>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</si>
  <si>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</si>
  <si>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</si>
  <si>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</si>
  <si>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</si>
  <si>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</si>
  <si>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</si>
  <si>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</si>
  <si>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</si>
  <si>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</si>
  <si>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</si>
  <si>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</si>
  <si>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</si>
  <si>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</si>
  <si>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</si>
  <si>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</si>
  <si>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</si>
  <si>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</si>
  <si>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</si>
  <si>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</si>
  <si>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</si>
  <si>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</si>
  <si>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</si>
  <si>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</si>
  <si>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</si>
  <si>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</si>
  <si>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</si>
  <si>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Jan - Dec</t>
  </si>
  <si>
    <t xml:space="preserve">     ilukegEg</t>
  </si>
  <si>
    <t>cSwa elWm</t>
  </si>
  <si>
    <t>Atolls</t>
  </si>
  <si>
    <t xml:space="preserve"> cSwkwtuLotwa</t>
  </si>
  <si>
    <t>ilukegEg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</si>
  <si>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</si>
  <si>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</si>
  <si>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</si>
  <si>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</si>
  <si>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</si>
  <si>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</si>
  <si>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</si>
  <si>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</si>
  <si>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</si>
  <si>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</si>
  <si>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</si>
  <si>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</si>
  <si>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އިންޝުއަރެންސް އަދި މާލީ ޚިދުމަތްތައް</t>
  </si>
  <si>
    <t>2020 ,uDnwgcnim egugwa egurWzWb eguhwmcswmikea : 17.6 ulwvWt</t>
  </si>
  <si>
    <t>Table  17.6 : CONSUMER PRICE INDEX, FOR MALE' AND ATOLLS BY MONTH,  2020</t>
  </si>
  <si>
    <t>Monthly CPI , 2020</t>
  </si>
  <si>
    <t xml:space="preserve"> 2020 ،iawa.Ip.Is eguhwmcswm</t>
  </si>
  <si>
    <t>Jan '20</t>
  </si>
  <si>
    <t>(cnegiawlwbcSwa 100 IkwDnwgcnim eg އޮގަސްޓް 2019 )</t>
  </si>
  <si>
    <t>Jan '19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</si>
</sst>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66" formatCode="0.0"/>
    <numFmt numFmtId="168" formatCode="_(* #,##0.0_);_(* \(#,##0.0\);_(* &quot;-&quot;??_);_(@_)"/>
    <numFmt numFmtId="170" formatCode="_-* #,##0.00_-;\-* #,##0.00_-;_-* &quot;-&quot;??_-;_-@_-"/>
    <numFmt numFmtId="171" formatCode="[$-409]mmm\-yy;@"/>
    <numFmt numFmtId="172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9"/>
      <color rgb="FFFF0000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b/>
      <sz val="9"/>
      <name val="A_Faseyh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2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16" fillId="0" borderId="0"/>
    <xf numFmtId="0" fontId="4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2" fontId="17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/>
    <xf numFmtId="0" fontId="4" fillId="0" borderId="0"/>
    <xf numFmtId="0" fontId="4" fillId="0" borderId="0"/>
  </cellStyleXfs>
  <cellXfs count="102">
    <xf numFmtId="0" fontId="0" fillId="0" borderId="0" xfId="0"/>
    <xf numFmtId="2" fontId="0" fillId="2" borderId="0" xfId="0" applyNumberFormat="1" applyFill="1"/>
    <xf numFmtId="165" fontId="9" fillId="2" borderId="0" xfId="4" applyFont="1" applyFill="1" applyAlignment="1">
      <alignment vertical="center" wrapText="1"/>
    </xf>
    <xf numFmtId="165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5" fontId="9" fillId="2" borderId="0" xfId="4" applyFont="1" applyFill="1" applyBorder="1" applyAlignment="1">
      <alignment vertical="center" wrapText="1"/>
    </xf>
    <xf numFmtId="165" fontId="8" fillId="2" borderId="0" xfId="4" applyFont="1" applyFill="1" applyBorder="1" applyAlignment="1">
      <alignment vertical="center"/>
    </xf>
    <xf numFmtId="165" fontId="8" fillId="2" borderId="1" xfId="4" applyFont="1" applyFill="1" applyBorder="1" applyAlignment="1">
      <alignment vertical="center"/>
    </xf>
    <xf numFmtId="0" fontId="12" fillId="2" borderId="0" xfId="2" applyFont="1" applyFill="1" applyAlignment="1">
      <alignment vertical="center"/>
    </xf>
    <xf numFmtId="166" fontId="4" fillId="2" borderId="0" xfId="2" applyNumberFormat="1" applyFont="1" applyFill="1"/>
    <xf numFmtId="0" fontId="12" fillId="2" borderId="0" xfId="2" applyFont="1" applyFill="1"/>
    <xf numFmtId="0" fontId="12" fillId="2" borderId="2" xfId="2" applyFont="1" applyFill="1" applyBorder="1"/>
    <xf numFmtId="165" fontId="13" fillId="2" borderId="0" xfId="4" applyFont="1" applyFill="1" applyAlignment="1">
      <alignment vertical="center" wrapText="1"/>
    </xf>
    <xf numFmtId="2" fontId="4" fillId="2" borderId="0" xfId="2" applyNumberFormat="1" applyFont="1" applyFill="1"/>
    <xf numFmtId="165" fontId="3" fillId="2" borderId="0" xfId="3" applyFont="1" applyFill="1" applyAlignment="1">
      <alignment vertical="center"/>
    </xf>
    <xf numFmtId="165" fontId="12" fillId="2" borderId="0" xfId="3" applyFont="1" applyFill="1" applyAlignment="1">
      <alignment vertical="center"/>
    </xf>
    <xf numFmtId="165" fontId="5" fillId="2" borderId="0" xfId="3" applyFont="1" applyFill="1" applyAlignment="1" applyProtection="1">
      <alignment vertical="center"/>
    </xf>
    <xf numFmtId="165" fontId="5" fillId="2" borderId="0" xfId="3" applyFont="1" applyFill="1" applyAlignment="1">
      <alignment vertical="center"/>
    </xf>
    <xf numFmtId="165" fontId="3" fillId="2" borderId="0" xfId="3" applyFont="1" applyFill="1" applyAlignment="1">
      <alignment vertical="center" wrapText="1"/>
    </xf>
    <xf numFmtId="165" fontId="12" fillId="2" borderId="0" xfId="3" applyFont="1" applyFill="1" applyBorder="1" applyAlignment="1">
      <alignment vertical="center"/>
    </xf>
    <xf numFmtId="165" fontId="5" fillId="2" borderId="0" xfId="3" applyFont="1" applyFill="1" applyBorder="1" applyAlignment="1" applyProtection="1">
      <alignment vertical="center"/>
    </xf>
    <xf numFmtId="165" fontId="5" fillId="2" borderId="0" xfId="3" applyFont="1" applyFill="1" applyBorder="1" applyAlignment="1">
      <alignment vertical="center"/>
    </xf>
    <xf numFmtId="3" fontId="13" fillId="2" borderId="1" xfId="6" applyNumberFormat="1" applyFont="1" applyFill="1" applyBorder="1" applyAlignment="1" applyProtection="1">
      <alignment horizontal="left" vertical="center"/>
    </xf>
    <xf numFmtId="3" fontId="14" fillId="2" borderId="1" xfId="6" applyNumberFormat="1" applyFont="1" applyFill="1" applyBorder="1" applyAlignment="1" applyProtection="1">
      <alignment horizontal="center" vertical="center"/>
    </xf>
    <xf numFmtId="3" fontId="14" fillId="2" borderId="1" xfId="6" applyNumberFormat="1" applyFont="1" applyFill="1" applyBorder="1" applyAlignment="1" applyProtection="1">
      <alignment horizontal="right" vertical="center"/>
    </xf>
    <xf numFmtId="0" fontId="4" fillId="2" borderId="1" xfId="2" applyFont="1" applyFill="1" applyBorder="1"/>
    <xf numFmtId="0" fontId="12" fillId="2" borderId="1" xfId="2" applyFont="1" applyFill="1" applyBorder="1"/>
    <xf numFmtId="0" fontId="5" fillId="2" borderId="2" xfId="2" applyFont="1" applyFill="1" applyBorder="1"/>
    <xf numFmtId="0" fontId="14" fillId="2" borderId="2" xfId="2" applyFont="1" applyFill="1" applyBorder="1"/>
    <xf numFmtId="0" fontId="14" fillId="2" borderId="2" xfId="2" applyFont="1" applyFill="1" applyBorder="1" applyAlignment="1">
      <alignment horizontal="right"/>
    </xf>
    <xf numFmtId="0" fontId="14" fillId="2" borderId="0" xfId="2" applyFont="1" applyFill="1"/>
    <xf numFmtId="0" fontId="14" fillId="2" borderId="3" xfId="2" applyFont="1" applyFill="1" applyBorder="1"/>
    <xf numFmtId="165" fontId="3" fillId="2" borderId="3" xfId="3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left"/>
    </xf>
    <xf numFmtId="0" fontId="12" fillId="2" borderId="0" xfId="2" applyFont="1" applyFill="1" applyAlignment="1"/>
    <xf numFmtId="0" fontId="5" fillId="2" borderId="1" xfId="2" applyFont="1" applyFill="1" applyBorder="1" applyAlignment="1">
      <alignment horizontal="left"/>
    </xf>
    <xf numFmtId="0" fontId="12" fillId="2" borderId="1" xfId="2" applyFont="1" applyFill="1" applyBorder="1" applyAlignment="1"/>
    <xf numFmtId="166" fontId="12" fillId="2" borderId="0" xfId="2" applyNumberFormat="1" applyFont="1" applyFill="1"/>
    <xf numFmtId="0" fontId="14" fillId="2" borderId="1" xfId="2" applyFont="1" applyFill="1" applyBorder="1"/>
    <xf numFmtId="3" fontId="13" fillId="2" borderId="0" xfId="6" applyNumberFormat="1" applyFont="1" applyFill="1" applyBorder="1" applyAlignment="1" applyProtection="1">
      <alignment horizontal="left" vertical="center"/>
    </xf>
    <xf numFmtId="3" fontId="10" fillId="2" borderId="0" xfId="6" applyNumberFormat="1" applyFont="1" applyFill="1" applyBorder="1" applyAlignment="1" applyProtection="1">
      <alignment horizontal="right" vertical="center"/>
    </xf>
    <xf numFmtId="0" fontId="12" fillId="2" borderId="0" xfId="2" applyFont="1" applyFill="1" applyBorder="1" applyAlignment="1"/>
    <xf numFmtId="2" fontId="12" fillId="2" borderId="0" xfId="2" applyNumberFormat="1" applyFont="1" applyFill="1"/>
    <xf numFmtId="0" fontId="5" fillId="2" borderId="2" xfId="2" applyFont="1" applyFill="1" applyBorder="1" applyAlignment="1">
      <alignment horizontal="left"/>
    </xf>
    <xf numFmtId="0" fontId="13" fillId="2" borderId="1" xfId="2" applyFont="1" applyFill="1" applyBorder="1"/>
    <xf numFmtId="0" fontId="13" fillId="2" borderId="0" xfId="2" applyFont="1" applyFill="1"/>
    <xf numFmtId="0" fontId="12" fillId="2" borderId="0" xfId="2" applyFont="1" applyFill="1" applyAlignment="1">
      <alignment horizontal="right"/>
    </xf>
    <xf numFmtId="168" fontId="12" fillId="2" borderId="0" xfId="2" applyNumberFormat="1" applyFont="1" applyFill="1"/>
    <xf numFmtId="0" fontId="15" fillId="2" borderId="0" xfId="2" applyFont="1" applyFill="1"/>
    <xf numFmtId="166" fontId="5" fillId="2" borderId="0" xfId="3" applyNumberFormat="1" applyFont="1" applyFill="1" applyBorder="1" applyAlignment="1">
      <alignment horizontal="right" vertical="center"/>
    </xf>
    <xf numFmtId="165" fontId="13" fillId="2" borderId="0" xfId="4" applyFont="1" applyFill="1" applyAlignment="1">
      <alignment wrapText="1"/>
    </xf>
    <xf numFmtId="165" fontId="13" fillId="2" borderId="0" xfId="4" applyFont="1" applyFill="1"/>
    <xf numFmtId="0" fontId="13" fillId="2" borderId="0" xfId="5" applyFont="1" applyFill="1"/>
    <xf numFmtId="165" fontId="13" fillId="2" borderId="0" xfId="4" applyFont="1" applyFill="1" applyBorder="1" applyAlignment="1">
      <alignment wrapText="1"/>
    </xf>
    <xf numFmtId="171" fontId="12" fillId="2" borderId="0" xfId="2" applyNumberFormat="1" applyFont="1" applyFill="1"/>
    <xf numFmtId="0" fontId="13" fillId="2" borderId="0" xfId="2" applyFont="1" applyFill="1" applyBorder="1"/>
    <xf numFmtId="0" fontId="12" fillId="2" borderId="0" xfId="2" applyFont="1" applyFill="1" applyBorder="1" applyAlignment="1">
      <alignment horizontal="right"/>
    </xf>
    <xf numFmtId="168" fontId="9" fillId="2" borderId="0" xfId="0" applyNumberFormat="1" applyFont="1" applyFill="1" applyAlignment="1">
      <alignment horizontal="left"/>
    </xf>
    <xf numFmtId="0" fontId="12" fillId="2" borderId="0" xfId="2" applyFont="1" applyFill="1" applyAlignment="1">
      <alignment horizontal="right" vertical="center"/>
    </xf>
    <xf numFmtId="0" fontId="12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0" fontId="4" fillId="2" borderId="0" xfId="2" applyFont="1" applyFill="1"/>
    <xf numFmtId="0" fontId="12" fillId="2" borderId="0" xfId="2" applyFont="1" applyFill="1" applyBorder="1"/>
    <xf numFmtId="165" fontId="7" fillId="2" borderId="0" xfId="1" applyFont="1" applyFill="1" applyAlignment="1">
      <alignment horizontal="right" vertical="center"/>
    </xf>
    <xf numFmtId="165" fontId="6" fillId="2" borderId="0" xfId="1" applyFont="1" applyFill="1" applyBorder="1" applyAlignment="1" applyProtection="1">
      <alignment horizontal="left" vertical="center"/>
    </xf>
    <xf numFmtId="165" fontId="20" fillId="2" borderId="0" xfId="3" applyFont="1" applyFill="1" applyAlignment="1">
      <alignment horizontal="right" vertical="center"/>
    </xf>
    <xf numFmtId="165" fontId="20" fillId="2" borderId="0" xfId="1" applyFont="1" applyFill="1" applyAlignment="1">
      <alignment horizontal="right" vertical="center"/>
    </xf>
    <xf numFmtId="165" fontId="19" fillId="2" borderId="0" xfId="3" applyFont="1" applyFill="1" applyBorder="1" applyAlignment="1">
      <alignment horizontal="right" vertical="center"/>
    </xf>
    <xf numFmtId="165" fontId="19" fillId="2" borderId="1" xfId="1" applyFont="1" applyFill="1" applyBorder="1" applyAlignment="1">
      <alignment horizontal="right" vertical="center"/>
    </xf>
    <xf numFmtId="165" fontId="19" fillId="2" borderId="3" xfId="3" applyFont="1" applyFill="1" applyBorder="1" applyAlignment="1">
      <alignment horizontal="right" vertical="center"/>
    </xf>
    <xf numFmtId="0" fontId="20" fillId="2" borderId="1" xfId="2" applyFont="1" applyFill="1" applyBorder="1" applyAlignment="1">
      <alignment vertical="center"/>
    </xf>
    <xf numFmtId="165" fontId="20" fillId="2" borderId="0" xfId="3" applyFont="1" applyFill="1" applyAlignment="1">
      <alignment horizontal="center" vertical="center"/>
    </xf>
    <xf numFmtId="165" fontId="19" fillId="2" borderId="2" xfId="3" applyFont="1" applyFill="1" applyBorder="1" applyAlignment="1">
      <alignment horizontal="right" vertical="center"/>
    </xf>
    <xf numFmtId="165" fontId="19" fillId="2" borderId="4" xfId="3" applyFont="1" applyFill="1" applyBorder="1" applyAlignment="1">
      <alignment horizontal="right" vertical="center" wrapText="1"/>
    </xf>
    <xf numFmtId="165" fontId="19" fillId="2" borderId="0" xfId="3" applyFont="1" applyFill="1" applyBorder="1" applyAlignment="1">
      <alignment horizontal="right" vertical="center" wrapText="1"/>
    </xf>
    <xf numFmtId="2" fontId="11" fillId="2" borderId="0" xfId="2" applyNumberFormat="1" applyFont="1" applyFill="1"/>
    <xf numFmtId="170" fontId="19" fillId="2" borderId="0" xfId="3" applyNumberFormat="1" applyFont="1" applyFill="1" applyBorder="1" applyAlignment="1">
      <alignment horizontal="right"/>
    </xf>
    <xf numFmtId="17" fontId="8" fillId="2" borderId="1" xfId="2" applyNumberFormat="1" applyFont="1" applyFill="1" applyBorder="1" applyAlignment="1">
      <alignment horizontal="right" vertical="center"/>
    </xf>
    <xf numFmtId="0" fontId="8" fillId="2" borderId="1" xfId="2" applyFont="1" applyFill="1" applyBorder="1" applyAlignment="1">
      <alignment horizontal="right" vertical="center"/>
    </xf>
    <xf numFmtId="165" fontId="8" fillId="2" borderId="1" xfId="3" applyFont="1" applyFill="1" applyBorder="1" applyAlignment="1">
      <alignment horizontal="right" vertical="center"/>
    </xf>
    <xf numFmtId="3" fontId="20" fillId="2" borderId="1" xfId="6" applyNumberFormat="1" applyFont="1" applyFill="1" applyBorder="1" applyAlignment="1" applyProtection="1">
      <alignment horizontal="right" vertical="center"/>
    </xf>
    <xf numFmtId="165" fontId="19" fillId="2" borderId="0" xfId="3" applyFont="1" applyFill="1" applyBorder="1" applyAlignment="1">
      <alignment horizontal="right"/>
    </xf>
    <xf numFmtId="0" fontId="20" fillId="2" borderId="0" xfId="2" applyFont="1" applyFill="1"/>
    <xf numFmtId="0" fontId="20" fillId="2" borderId="1" xfId="2" applyFont="1" applyFill="1" applyBorder="1" applyAlignment="1"/>
    <xf numFmtId="0" fontId="20" fillId="2" borderId="1" xfId="2" applyFont="1" applyFill="1" applyBorder="1"/>
    <xf numFmtId="0" fontId="20" fillId="2" borderId="0" xfId="2" applyFont="1" applyFill="1" applyBorder="1"/>
    <xf numFmtId="168" fontId="9" fillId="2" borderId="0" xfId="0" applyNumberFormat="1" applyFont="1" applyFill="1" applyAlignment="1">
      <alignment horizontal="right" vertical="center"/>
    </xf>
    <xf numFmtId="0" fontId="4" fillId="2" borderId="0" xfId="2" applyFont="1" applyFill="1" applyBorder="1" applyAlignment="1">
      <alignment horizontal="right" vertical="center"/>
    </xf>
    <xf numFmtId="0" fontId="4" fillId="2" borderId="1" xfId="2" applyFont="1" applyFill="1" applyBorder="1" applyAlignment="1">
      <alignment horizontal="right" vertical="center"/>
    </xf>
    <xf numFmtId="0" fontId="12" fillId="2" borderId="0" xfId="2" applyFont="1" applyFill="1" applyBorder="1" applyAlignment="1">
      <alignment horizontal="right" vertical="center"/>
    </xf>
    <xf numFmtId="170" fontId="19" fillId="2" borderId="0" xfId="3" applyNumberFormat="1" applyFont="1" applyFill="1" applyBorder="1" applyAlignment="1">
      <alignment horizontal="right" vertical="center"/>
    </xf>
    <xf numFmtId="168" fontId="8" fillId="2" borderId="0" xfId="0" applyNumberFormat="1" applyFont="1" applyFill="1" applyBorder="1" applyAlignment="1">
      <alignment horizontal="right" vertical="center"/>
    </xf>
    <xf numFmtId="168" fontId="8" fillId="2" borderId="1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2" fontId="14" fillId="2" borderId="0" xfId="2" applyNumberFormat="1" applyFont="1" applyFill="1"/>
    <xf numFmtId="164" fontId="8" fillId="2" borderId="0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5" fontId="18" fillId="2" borderId="0" xfId="3" applyFont="1" applyFill="1" applyAlignment="1">
      <alignment horizontal="center" vertical="center"/>
    </xf>
    <xf numFmtId="165" fontId="8" fillId="2" borderId="0" xfId="3" applyFont="1" applyFill="1" applyAlignment="1" applyProtection="1">
      <alignment horizontal="center" vertical="center"/>
    </xf>
    <xf numFmtId="165" fontId="19" fillId="2" borderId="0" xfId="3" applyFont="1" applyFill="1" applyAlignment="1">
      <alignment horizontal="center" vertical="center" wrapText="1"/>
    </xf>
    <xf numFmtId="165" fontId="5" fillId="2" borderId="0" xfId="3" applyFont="1" applyFill="1" applyBorder="1" applyAlignment="1" applyProtection="1">
      <alignment horizontal="center" vertical="center"/>
    </xf>
    <xf numFmtId="168" fontId="8" fillId="2" borderId="0" xfId="0" applyNumberFormat="1" applyFont="1" applyFill="1" applyBorder="1" applyAlignment="1">
      <alignment horizontal="left"/>
    </xf>
  </cellXfs>
  <cellStyles count="22">
    <cellStyle name="1" xfId="11"/>
    <cellStyle name="Comma 2" xfId="12"/>
    <cellStyle name="Comma 2 2" xfId="17"/>
    <cellStyle name="Comma 3" xfId="13"/>
    <cellStyle name="Comma 3 2" xfId="7"/>
    <cellStyle name="Normal" xfId="0" builtinId="0"/>
    <cellStyle name="Normal - Style1" xfId="14"/>
    <cellStyle name="Normal 2" xfId="16"/>
    <cellStyle name="Normal 3" xfId="8"/>
    <cellStyle name="Normal 4" xfId="9"/>
    <cellStyle name="Normal 5" xfId="10"/>
    <cellStyle name="Normal 5 2" xfId="20"/>
    <cellStyle name="Normal 6" xfId="19"/>
    <cellStyle name="Normal 6 2" xfId="21"/>
    <cellStyle name="Normal_17 Prices_done" xfId="2"/>
    <cellStyle name="Normal_CPI new tables" xfId="5"/>
    <cellStyle name="Normal_Dec97" xfId="4"/>
    <cellStyle name="Normal_II-15(Population)" xfId="6"/>
    <cellStyle name="Normal_XII-11(Commerce)" xfId="3"/>
    <cellStyle name="Normal_XII-12 (Commerce)" xfId="1"/>
    <cellStyle name="Percent 2" xfId="15"/>
    <cellStyle name="Percent 2 2" xfId="18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EAFAFA"/>
      <color rgb="FFFF9900"/>
      <color rgb="FFD0F5F4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688203921325397E-2"/>
          <c:y val="0.122980545186643"/>
          <c:w val="0.91787753419041496"/>
          <c:h val="0.452192929560931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'17.6'!$AL$81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'17.6'!$AB$82:$AB$99</c:f>
              <c:strCache>
                <c:ptCount val="18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and Aracanuts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Insurance and Financial Services</c:v>
                </c:pt>
                <c:pt idx="15">
                  <c:v>Personal Care, Social Protection and Miscellaneous goods and services</c:v>
                </c:pt>
                <c:pt idx="16">
                  <c:v>All groups CPI (Total)</c:v>
                </c:pt>
                <c:pt idx="17">
                  <c:v>Total excluding fish</c:v>
                </c:pt>
              </c:strCache>
            </c:strRef>
          </c:cat>
          <c:val>
            <c:numRef>
              <c:f>'17.6'!$AL$82:$AL$99</c:f>
              <c:numCache>
                <c:formatCode>0.0</c:formatCode>
                <c:ptCount val="18"/>
                <c:pt idx="0">
                  <c:v>99.755867509454859</c:v>
                </c:pt>
                <c:pt idx="1">
                  <c:v>100.0189697454872</c:v>
                </c:pt>
                <c:pt idx="2">
                  <c:v>102.19215981021229</c:v>
                </c:pt>
                <c:pt idx="3">
                  <c:v>100.23444513498929</c:v>
                </c:pt>
                <c:pt idx="4">
                  <c:v>99.962545178697326</c:v>
                </c:pt>
                <c:pt idx="5">
                  <c:v>99.542874629829512</c:v>
                </c:pt>
                <c:pt idx="6">
                  <c:v>99.287613094180429</c:v>
                </c:pt>
                <c:pt idx="7">
                  <c:v>100.03347598488823</c:v>
                </c:pt>
                <c:pt idx="8">
                  <c:v>99.651230898131658</c:v>
                </c:pt>
                <c:pt idx="9">
                  <c:v>99.177907186017364</c:v>
                </c:pt>
                <c:pt idx="10">
                  <c:v>100.25721192236689</c:v>
                </c:pt>
                <c:pt idx="11">
                  <c:v>100.42641155289699</c:v>
                </c:pt>
                <c:pt idx="12">
                  <c:v>99.997620891203681</c:v>
                </c:pt>
                <c:pt idx="13">
                  <c:v>99.155419008916851</c:v>
                </c:pt>
                <c:pt idx="14" formatCode="General">
                  <c:v>100</c:v>
                </c:pt>
                <c:pt idx="15">
                  <c:v>99.967391567614428</c:v>
                </c:pt>
                <c:pt idx="16">
                  <c:v>99.704026856120265</c:v>
                </c:pt>
                <c:pt idx="17">
                  <c:v>99.768516719136173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067-4188-99F5-3377ED319B60}"/>
            </c:ext>
          </c:extLst>
        </c:ser>
        <c:ser>
          <c:idx val="2"/>
          <c:order val="1"/>
          <c:tx>
            <c:strRef>
              <c:f>'17.6'!$AM$81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'17.6'!$AB$82:$AB$99</c:f>
              <c:strCache>
                <c:ptCount val="18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and Aracanuts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Insurance and Financial Services</c:v>
                </c:pt>
                <c:pt idx="15">
                  <c:v>Personal Care, Social Protection and Miscellaneous goods and services</c:v>
                </c:pt>
                <c:pt idx="16">
                  <c:v>All groups CPI (Total)</c:v>
                </c:pt>
                <c:pt idx="17">
                  <c:v>Total excluding fish</c:v>
                </c:pt>
              </c:strCache>
            </c:strRef>
          </c:cat>
          <c:val>
            <c:numRef>
              <c:f>'17.6'!$AM$82:$AM$99</c:f>
              <c:numCache>
                <c:formatCode>0.0</c:formatCode>
                <c:ptCount val="18"/>
                <c:pt idx="0">
                  <c:v>102.47540524074198</c:v>
                </c:pt>
                <c:pt idx="1">
                  <c:v>102.77972111001579</c:v>
                </c:pt>
                <c:pt idx="2">
                  <c:v>101.15085971078189</c:v>
                </c:pt>
                <c:pt idx="3">
                  <c:v>112.71042998288897</c:v>
                </c:pt>
                <c:pt idx="4">
                  <c:v>98.02332989811508</c:v>
                </c:pt>
                <c:pt idx="5">
                  <c:v>94.86124691140401</c:v>
                </c:pt>
                <c:pt idx="6">
                  <c:v>95.666467120853881</c:v>
                </c:pt>
                <c:pt idx="7">
                  <c:v>99.461737147374166</c:v>
                </c:pt>
                <c:pt idx="8">
                  <c:v>100.16020770865238</c:v>
                </c:pt>
                <c:pt idx="9">
                  <c:v>98.121113915620427</c:v>
                </c:pt>
                <c:pt idx="10">
                  <c:v>90.470883420594149</c:v>
                </c:pt>
                <c:pt idx="11">
                  <c:v>100.19763794724838</c:v>
                </c:pt>
                <c:pt idx="12">
                  <c:v>99.911814142191687</c:v>
                </c:pt>
                <c:pt idx="13">
                  <c:v>100.13952412632808</c:v>
                </c:pt>
                <c:pt idx="14">
                  <c:v>100</c:v>
                </c:pt>
                <c:pt idx="15">
                  <c:v>99.879452184790821</c:v>
                </c:pt>
                <c:pt idx="16">
                  <c:v>98.338306764350818</c:v>
                </c:pt>
                <c:pt idx="17">
                  <c:v>98.217948718411449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067-4188-99F5-3377ED319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82456"/>
        <c:axId val="88883632"/>
      </c:barChart>
      <c:catAx>
        <c:axId val="88882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8883632"/>
        <c:crosses val="autoZero"/>
        <c:auto val="1"/>
        <c:lblAlgn val="ctr"/>
        <c:lblOffset val="100"/>
        <c:noMultiLvlLbl val="0"/>
      </c:catAx>
      <c:valAx>
        <c:axId val="88883632"/>
        <c:scaling>
          <c:orientation val="minMax"/>
          <c:max val="115"/>
          <c:min val="0"/>
        </c:scaling>
        <c:delete val="0"/>
        <c:axPos val="l"/>
        <c:majorGridlines>
          <c:spPr>
            <a:ln>
              <a:solidFill>
                <a:srgbClr val="EAFAFA"/>
              </a:solidFill>
            </a:ln>
          </c:spPr>
        </c:majorGridlines>
        <c:numFmt formatCode="0" sourceLinked="0"/>
        <c:majorTickMark val="none"/>
        <c:minorTickMark val="none"/>
        <c:tickLblPos val="nextTo"/>
        <c:crossAx val="88882456"/>
        <c:crosses val="autoZero"/>
        <c:crossBetween val="between"/>
        <c:majorUnit val="10"/>
      </c:valAx>
      <c:spPr>
        <a:solidFill>
          <a:srgbClr val="FCF9F6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7530953193636843"/>
          <c:y val="0.84614818628535893"/>
          <c:w val="0.17641749218191299"/>
          <c:h val="5.156728304147539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59724847420102E-2"/>
          <c:y val="0.15285599615551601"/>
          <c:w val="0.92474503881256398"/>
          <c:h val="0.76666197605023034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196563"/>
              </a:solidFill>
            </a:ln>
          </c:spPr>
          <c:marker>
            <c:symbol val="diamond"/>
            <c:size val="7"/>
            <c:spPr>
              <a:solidFill>
                <a:srgbClr val="33CCCC"/>
              </a:solidFill>
              <a:ln>
                <a:solidFill>
                  <a:srgbClr val="249390"/>
                </a:solidFill>
              </a:ln>
            </c:spPr>
          </c:marker>
          <c:cat>
            <c:strRef>
              <c:f>'17.6'!$AD$103:$AD$126</c:f>
              <c:strCache>
                <c:ptCount val="24"/>
                <c:pt idx="0">
                  <c:v>Jan '19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 '20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'17.6'!$AE$103:$AE$126</c:f>
              <c:numCache>
                <c:formatCode>_(* #,##0.0_);_(* \(#,##0.0\);_(* "-"??_);_(@_)</c:formatCode>
                <c:ptCount val="24"/>
                <c:pt idx="0">
                  <c:v>99.024145997101201</c:v>
                </c:pt>
                <c:pt idx="1">
                  <c:v>99.344804114687122</c:v>
                </c:pt>
                <c:pt idx="2">
                  <c:v>99.132707625477963</c:v>
                </c:pt>
                <c:pt idx="3">
                  <c:v>99.533742480414617</c:v>
                </c:pt>
                <c:pt idx="4">
                  <c:v>99.847391328514448</c:v>
                </c:pt>
                <c:pt idx="5">
                  <c:v>100.09029082934444</c:v>
                </c:pt>
                <c:pt idx="6">
                  <c:v>99.363852263327374</c:v>
                </c:pt>
                <c:pt idx="7">
                  <c:v>100</c:v>
                </c:pt>
                <c:pt idx="8">
                  <c:v>99.76655720061612</c:v>
                </c:pt>
                <c:pt idx="9">
                  <c:v>100.04280196173474</c:v>
                </c:pt>
                <c:pt idx="10">
                  <c:v>99.911763852084249</c:v>
                </c:pt>
                <c:pt idx="11">
                  <c:v>100.39026462014091</c:v>
                </c:pt>
                <c:pt idx="12">
                  <c:v>100.25198249012915</c:v>
                </c:pt>
                <c:pt idx="13">
                  <c:v>100.25305581995573</c:v>
                </c:pt>
                <c:pt idx="14">
                  <c:v>99.134360875184882</c:v>
                </c:pt>
                <c:pt idx="15">
                  <c:v>95.928851542873616</c:v>
                </c:pt>
                <c:pt idx="16">
                  <c:v>95.980515573689644</c:v>
                </c:pt>
                <c:pt idx="17">
                  <c:v>95.584066696262042</c:v>
                </c:pt>
                <c:pt idx="18">
                  <c:v>98.274426578525649</c:v>
                </c:pt>
                <c:pt idx="19">
                  <c:v>98.804137332519716</c:v>
                </c:pt>
                <c:pt idx="20">
                  <c:v>98.878005829685932</c:v>
                </c:pt>
                <c:pt idx="21">
                  <c:v>98.89643815543414</c:v>
                </c:pt>
                <c:pt idx="22">
                  <c:v>99.020036660051346</c:v>
                </c:pt>
                <c:pt idx="23">
                  <c:v>99.053803617897771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53-4B1B-A47A-85A5959E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325520"/>
        <c:axId val="400329048"/>
      </c:lineChart>
      <c:catAx>
        <c:axId val="400325520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txPr>
          <a:bodyPr rot="0" vert="horz"/>
          <a:lstStyle/>
          <a:p>
            <a:pPr>
              <a:defRPr lang="en-AU" sz="1050"/>
            </a:pPr>
            <a:endParaRPr lang="en-US"/>
          </a:p>
        </c:txPr>
        <c:crossAx val="400329048"/>
        <c:crosses val="autoZero"/>
        <c:auto val="1"/>
        <c:lblAlgn val="ctr"/>
        <c:lblOffset val="100"/>
        <c:noMultiLvlLbl val="0"/>
      </c:catAx>
      <c:valAx>
        <c:axId val="400329048"/>
        <c:scaling>
          <c:orientation val="minMax"/>
          <c:max val="200"/>
          <c:min val="0"/>
        </c:scaling>
        <c:delete val="0"/>
        <c:axPos val="l"/>
        <c:majorGridlines>
          <c:spPr>
            <a:ln>
              <a:solidFill>
                <a:srgbClr val="EAFAFA"/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00325520"/>
        <c:crosses val="autoZero"/>
        <c:crossBetween val="between"/>
        <c:majorUnit val="50"/>
      </c:valAx>
      <c:spPr>
        <a:solidFill>
          <a:srgbClr val="EAFAFA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793102</xdr:colOff>
      <xdr:row>92</xdr:row>
      <xdr:rowOff>33120</xdr:rowOff>
    </xdr:from>
    <xdr:to>
      <xdr:col>12</xdr:col>
      <xdr:colOff>513184</xdr:colOff>
      <xdr:row>111</xdr:row>
      <xdr:rowOff>98961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790983</xdr:colOff>
      <xdr:row>73</xdr:row>
      <xdr:rowOff>103302</xdr:rowOff>
    </xdr:from>
    <xdr:to>
      <xdr:col>12</xdr:col>
      <xdr:colOff>495513</xdr:colOff>
      <xdr:row>91</xdr:row>
      <xdr:rowOff>89065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0.23014</cdr:x>
      <cdr:y>0.03055</cdr:y>
    </cdr:from>
    <cdr:to>
      <cdr:x>0.87928</cdr:x>
      <cdr:y>0.09456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2284207" y="155193"/>
          <a:ext cx="6443028" cy="32514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  </a:t>
          </a:r>
          <a:r>
            <a:rPr lang="en-US" sz="14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Figure 17.5: Consumer Price Index by </a:t>
          </a:r>
          <a:r>
            <a:rPr lang="en-US" sz="12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Major</a:t>
          </a:r>
          <a:r>
            <a:rPr lang="en-US" sz="14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 Catagories, Republic, 2019 - 2020</a:t>
          </a:r>
          <a:endParaRPr lang="en-US" sz="1200" b="1">
            <a:latin typeface="+mn-lt"/>
            <a:cs typeface="Consolas" pitchFamily="49" charset="0"/>
          </a:endParaRPr>
        </a:p>
        <a:p xmlns:a="http://schemas.openxmlformats.org/drawingml/2006/main">
          <a:endParaRPr lang="en-US" sz="1200" b="1">
            <a:latin typeface="+mn-lt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0.11888</cdr:x>
      <cdr:y>0.01996</cdr:y>
    </cdr:from>
    <cdr:to>
      <cdr:x>0.87042</cdr:x>
      <cdr:y>0.0807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1057575" y="68152"/>
          <a:ext cx="6685816" cy="20741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17.4: Consumer Price Index by Month, Republic, 2019 - 2020</a:t>
          </a:r>
          <a:endParaRPr lang="en-US" sz="11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234"/>
  <sheetViews>
    <sheetView tabSelected="1" zoomScale="84" zoomScaleNormal="84" zoomScaleSheetLayoutView="91" workbookViewId="0">
      <selection activeCell="P26" sqref="P26"/>
    </sheetView>
  </sheetViews>
  <sheetFormatPr defaultColWidth="9.140625" defaultRowHeight="14.25"/>
  <cols>
    <col min="1" max="1" width="37.42578125" style="45" customWidth="1"/>
    <col min="2" max="2" width="10.5703125" style="10" customWidth="1"/>
    <col min="3" max="4" width="10.5703125" style="46" customWidth="1"/>
    <col min="5" max="13" width="10.5703125" style="10" customWidth="1"/>
    <col min="14" max="14" width="9.85546875" style="10" customWidth="1"/>
    <col min="15" max="15" width="7.7109375" style="10" customWidth="1"/>
    <col min="16" max="16" width="8.85546875" style="10" customWidth="1"/>
    <col min="17" max="17" width="6.42578125" style="10" customWidth="1"/>
    <col min="18" max="18" width="17.7109375" style="82" customWidth="1"/>
    <col min="19" max="26" width="6.42578125" style="10" customWidth="1"/>
    <col min="27" max="27" width="9.140625" style="10"/>
    <col min="28" max="40" width="10.140625" style="10" customWidth="1"/>
    <col min="41" max="16384" width="9.140625" style="10"/>
  </cols>
  <sheetData>
    <row r="1" spans="1:30" s="15" customFormat="1" ht="23.25" customHeight="1">
      <c r="A1" s="97" t="s">
        <v>84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14"/>
      <c r="T1" s="14"/>
      <c r="U1" s="14"/>
      <c r="V1" s="14"/>
      <c r="W1" s="14"/>
      <c r="X1" s="14"/>
      <c r="Y1" s="14"/>
      <c r="Z1" s="14"/>
    </row>
    <row r="2" spans="1:30" s="17" customFormat="1" ht="12.75">
      <c r="A2" s="98" t="s">
        <v>85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16"/>
      <c r="T2" s="16"/>
      <c r="U2" s="16"/>
      <c r="V2" s="16"/>
      <c r="W2" s="16"/>
      <c r="X2" s="16"/>
      <c r="Y2" s="16"/>
      <c r="Z2" s="16"/>
    </row>
    <row r="3" spans="1:30" s="15" customFormat="1" ht="15" customHeight="1">
      <c r="A3" s="99" t="s">
        <v>89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18"/>
      <c r="T3" s="18"/>
      <c r="U3" s="18"/>
      <c r="V3" s="18"/>
      <c r="W3" s="18"/>
      <c r="X3" s="18"/>
      <c r="Y3" s="18"/>
      <c r="Z3" s="18"/>
      <c r="AA3" s="19"/>
    </row>
    <row r="4" spans="1:30" s="21" customFormat="1" ht="12">
      <c r="A4" s="100" t="s">
        <v>82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20"/>
      <c r="T4" s="20"/>
      <c r="U4" s="20"/>
      <c r="V4" s="20"/>
      <c r="W4" s="20"/>
      <c r="X4" s="20"/>
      <c r="Y4" s="20"/>
      <c r="Z4" s="20"/>
    </row>
    <row r="5" spans="1:30" ht="6" customHeight="1">
      <c r="A5" s="22"/>
      <c r="B5" s="23"/>
      <c r="C5" s="24"/>
      <c r="D5" s="24"/>
      <c r="E5" s="23"/>
      <c r="F5" s="25"/>
      <c r="G5" s="25"/>
      <c r="H5" s="25"/>
      <c r="I5" s="25"/>
      <c r="J5" s="25"/>
      <c r="K5" s="25"/>
      <c r="L5" s="25"/>
      <c r="M5" s="25"/>
      <c r="O5" s="26"/>
      <c r="P5" s="26"/>
      <c r="Q5" s="26"/>
      <c r="R5" s="80"/>
    </row>
    <row r="6" spans="1:30">
      <c r="A6" s="27"/>
      <c r="B6" s="28" t="s">
        <v>86</v>
      </c>
      <c r="C6" s="29"/>
      <c r="D6" s="29"/>
      <c r="E6" s="28"/>
      <c r="F6" s="30"/>
      <c r="G6" s="31"/>
      <c r="H6" s="32"/>
      <c r="I6" s="32"/>
      <c r="J6" s="32"/>
      <c r="K6" s="32"/>
      <c r="L6" s="32"/>
      <c r="M6" s="31"/>
      <c r="N6" s="69" t="s">
        <v>87</v>
      </c>
      <c r="R6" s="67" t="s">
        <v>62</v>
      </c>
    </row>
    <row r="7" spans="1:30" s="34" customFormat="1" ht="20.25" customHeight="1">
      <c r="A7" s="33" t="s">
        <v>63</v>
      </c>
      <c r="B7" s="73" t="s">
        <v>37</v>
      </c>
      <c r="C7" s="73" t="s">
        <v>38</v>
      </c>
      <c r="D7" s="73" t="s">
        <v>39</v>
      </c>
      <c r="E7" s="73" t="s">
        <v>40</v>
      </c>
      <c r="F7" s="73" t="s">
        <v>41</v>
      </c>
      <c r="G7" s="74" t="s">
        <v>42</v>
      </c>
      <c r="H7" s="74" t="s">
        <v>43</v>
      </c>
      <c r="I7" s="74" t="s">
        <v>44</v>
      </c>
      <c r="J7" s="74" t="s">
        <v>45</v>
      </c>
      <c r="K7" s="74" t="s">
        <v>46</v>
      </c>
      <c r="L7" s="74" t="s">
        <v>47</v>
      </c>
      <c r="M7" s="74" t="s">
        <v>48</v>
      </c>
      <c r="N7" s="76" t="s">
        <v>49</v>
      </c>
      <c r="R7" s="81" t="s">
        <v>64</v>
      </c>
    </row>
    <row r="8" spans="1:30" s="8" customFormat="1" ht="18" customHeight="1">
      <c r="A8" s="60" t="s">
        <v>0</v>
      </c>
      <c r="B8" s="77" t="s">
        <v>50</v>
      </c>
      <c r="C8" s="78" t="s">
        <v>51</v>
      </c>
      <c r="D8" s="78" t="s">
        <v>52</v>
      </c>
      <c r="E8" s="78" t="s">
        <v>53</v>
      </c>
      <c r="F8" s="78" t="s">
        <v>54</v>
      </c>
      <c r="G8" s="78" t="s">
        <v>55</v>
      </c>
      <c r="H8" s="78" t="s">
        <v>56</v>
      </c>
      <c r="I8" s="78" t="s">
        <v>57</v>
      </c>
      <c r="J8" s="78" t="s">
        <v>58</v>
      </c>
      <c r="K8" s="78" t="s">
        <v>59</v>
      </c>
      <c r="L8" s="78" t="s">
        <v>60</v>
      </c>
      <c r="M8" s="78" t="s">
        <v>61</v>
      </c>
      <c r="N8" s="79" t="s">
        <v>65</v>
      </c>
      <c r="O8" s="59"/>
      <c r="P8" s="59"/>
      <c r="Q8" s="59"/>
      <c r="R8" s="70"/>
    </row>
    <row r="9" spans="1:30" ht="19.5" customHeight="1">
      <c r="A9" s="2" t="s">
        <v>5</v>
      </c>
      <c r="B9" s="93">
        <v>102.47347996504308</v>
      </c>
      <c r="C9" s="93">
        <v>102.56569068815743</v>
      </c>
      <c r="D9" s="93">
        <v>101.61895522133183</v>
      </c>
      <c r="E9" s="93">
        <v>102.4835359313046</v>
      </c>
      <c r="F9" s="93">
        <v>103.54601209538312</v>
      </c>
      <c r="G9" s="93">
        <v>101.65922466907723</v>
      </c>
      <c r="H9" s="93">
        <v>101.217825430011</v>
      </c>
      <c r="I9" s="93">
        <v>102.39076326511839</v>
      </c>
      <c r="J9" s="93">
        <v>103.09264210146198</v>
      </c>
      <c r="K9" s="93">
        <v>103.076285795557</v>
      </c>
      <c r="L9" s="93">
        <v>102.7847085471623</v>
      </c>
      <c r="M9" s="93">
        <v>102.79573917929575</v>
      </c>
      <c r="N9" s="93">
        <f>AVERAGE(B9:M9)</f>
        <v>102.47540524074198</v>
      </c>
      <c r="O9" s="62"/>
      <c r="P9" s="62"/>
      <c r="Q9" s="62"/>
      <c r="R9" s="65" t="s">
        <v>6</v>
      </c>
      <c r="S9" s="37"/>
      <c r="T9" s="37"/>
      <c r="U9" s="37"/>
      <c r="V9" s="37"/>
      <c r="W9" s="37"/>
      <c r="X9" s="37"/>
      <c r="Y9" s="37"/>
      <c r="Z9" s="37"/>
    </row>
    <row r="10" spans="1:30" ht="19.5" customHeight="1">
      <c r="A10" s="2" t="s">
        <v>7</v>
      </c>
      <c r="B10" s="93">
        <v>102.85709028867964</v>
      </c>
      <c r="C10" s="93">
        <v>102.17619569512593</v>
      </c>
      <c r="D10" s="93">
        <v>101.54857843097243</v>
      </c>
      <c r="E10" s="93">
        <v>102.33905948271212</v>
      </c>
      <c r="F10" s="93">
        <v>103.16784472350815</v>
      </c>
      <c r="G10" s="93">
        <v>101.86915890903676</v>
      </c>
      <c r="H10" s="93">
        <v>101.54142284830557</v>
      </c>
      <c r="I10" s="93">
        <v>102.83599879480947</v>
      </c>
      <c r="J10" s="93">
        <v>103.65203580291326</v>
      </c>
      <c r="K10" s="93">
        <v>103.63425745350885</v>
      </c>
      <c r="L10" s="93">
        <v>103.82915227523112</v>
      </c>
      <c r="M10" s="93">
        <v>103.90585861538624</v>
      </c>
      <c r="N10" s="93">
        <f t="shared" ref="N10:N26" si="0">AVERAGE(B10:M10)</f>
        <v>102.77972111001579</v>
      </c>
      <c r="R10" s="65" t="s">
        <v>8</v>
      </c>
      <c r="S10" s="37"/>
      <c r="T10" s="37"/>
      <c r="U10" s="37"/>
      <c r="V10" s="37"/>
      <c r="W10" s="37"/>
      <c r="X10" s="37"/>
      <c r="Y10" s="37"/>
      <c r="Z10" s="37"/>
    </row>
    <row r="11" spans="1:30" ht="19.5" customHeight="1">
      <c r="A11" s="3" t="s">
        <v>9</v>
      </c>
      <c r="B11" s="93">
        <v>100.80380253207898</v>
      </c>
      <c r="C11" s="93">
        <v>104.26098135174566</v>
      </c>
      <c r="D11" s="93">
        <v>101.92527267794658</v>
      </c>
      <c r="E11" s="93">
        <v>103.11237475796284</v>
      </c>
      <c r="F11" s="93">
        <v>105.19199888926599</v>
      </c>
      <c r="G11" s="93">
        <v>100.74547850201897</v>
      </c>
      <c r="H11" s="93">
        <v>99.809356279415951</v>
      </c>
      <c r="I11" s="93">
        <v>100.45285995419677</v>
      </c>
      <c r="J11" s="93">
        <v>100.65786133070162</v>
      </c>
      <c r="K11" s="93">
        <v>100.64769451916997</v>
      </c>
      <c r="L11" s="93">
        <v>98.238730466526661</v>
      </c>
      <c r="M11" s="93">
        <v>97.963905268352619</v>
      </c>
      <c r="N11" s="93">
        <f t="shared" si="0"/>
        <v>101.15085971078189</v>
      </c>
      <c r="R11" s="65" t="s">
        <v>10</v>
      </c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  <row r="12" spans="1:30" ht="19.5" customHeight="1">
      <c r="A12" s="3" t="s">
        <v>11</v>
      </c>
      <c r="B12" s="93">
        <v>99.557855021155788</v>
      </c>
      <c r="C12" s="93">
        <v>99.249561471620993</v>
      </c>
      <c r="D12" s="93">
        <v>99.132943813977604</v>
      </c>
      <c r="E12" s="93">
        <v>99.943418124915084</v>
      </c>
      <c r="F12" s="93">
        <v>100.15345246814675</v>
      </c>
      <c r="G12" s="93">
        <v>100.67060754224462</v>
      </c>
      <c r="H12" s="93">
        <v>103.95834798730094</v>
      </c>
      <c r="I12" s="93">
        <v>129.46576685357672</v>
      </c>
      <c r="J12" s="93">
        <v>129.80326408071292</v>
      </c>
      <c r="K12" s="93">
        <v>130.0352862786809</v>
      </c>
      <c r="L12" s="93">
        <v>130.24843151055089</v>
      </c>
      <c r="M12" s="93">
        <v>130.30622464178447</v>
      </c>
      <c r="N12" s="93">
        <f t="shared" si="0"/>
        <v>112.71042998288897</v>
      </c>
      <c r="R12" s="65" t="s">
        <v>36</v>
      </c>
      <c r="S12" s="37"/>
      <c r="T12" s="37"/>
      <c r="U12" s="37"/>
      <c r="V12" s="37"/>
      <c r="W12" s="37"/>
      <c r="X12" s="37"/>
      <c r="Y12" s="37"/>
      <c r="Z12" s="37"/>
    </row>
    <row r="13" spans="1:30" ht="19.5" customHeight="1">
      <c r="A13" s="3" t="s">
        <v>71</v>
      </c>
      <c r="B13" s="93">
        <v>98.954449746328805</v>
      </c>
      <c r="C13" s="93">
        <v>98.089211620407255</v>
      </c>
      <c r="D13" s="93">
        <v>98.117187279329755</v>
      </c>
      <c r="E13" s="93">
        <v>97.881542888451989</v>
      </c>
      <c r="F13" s="93">
        <v>97.744670023009206</v>
      </c>
      <c r="G13" s="93">
        <v>97.7592450898523</v>
      </c>
      <c r="H13" s="93">
        <v>97.781012625894903</v>
      </c>
      <c r="I13" s="93">
        <v>97.844758409326957</v>
      </c>
      <c r="J13" s="93">
        <v>97.85922893118051</v>
      </c>
      <c r="K13" s="93">
        <v>97.958656436215179</v>
      </c>
      <c r="L13" s="93">
        <v>98.091258500838279</v>
      </c>
      <c r="M13" s="93">
        <v>98.198737226546015</v>
      </c>
      <c r="N13" s="93">
        <f t="shared" si="0"/>
        <v>98.02332989811508</v>
      </c>
      <c r="R13" s="65" t="s">
        <v>13</v>
      </c>
      <c r="S13" s="37"/>
      <c r="T13" s="37"/>
      <c r="U13" s="37"/>
      <c r="V13" s="37"/>
      <c r="W13" s="37"/>
      <c r="X13" s="37"/>
      <c r="Y13" s="37"/>
      <c r="Z13" s="37"/>
    </row>
    <row r="14" spans="1:30" ht="19.5" customHeight="1">
      <c r="A14" s="3" t="s">
        <v>72</v>
      </c>
      <c r="B14" s="93">
        <v>100.07308134750944</v>
      </c>
      <c r="C14" s="93">
        <v>100.12787823970154</v>
      </c>
      <c r="D14" s="93">
        <v>100.07850085348144</v>
      </c>
      <c r="E14" s="93">
        <v>86.667298732251552</v>
      </c>
      <c r="F14" s="93">
        <v>86.385429489995218</v>
      </c>
      <c r="G14" s="93">
        <v>86.271649561335622</v>
      </c>
      <c r="H14" s="93">
        <v>96.591550417460951</v>
      </c>
      <c r="I14" s="93">
        <v>96.553526771711404</v>
      </c>
      <c r="J14" s="93">
        <v>96.34792546433124</v>
      </c>
      <c r="K14" s="93">
        <v>96.384281216197593</v>
      </c>
      <c r="L14" s="93">
        <v>96.423974545737551</v>
      </c>
      <c r="M14" s="93">
        <v>96.429866297134851</v>
      </c>
      <c r="N14" s="93">
        <f t="shared" si="0"/>
        <v>94.86124691140401</v>
      </c>
      <c r="R14" s="65" t="s">
        <v>15</v>
      </c>
      <c r="S14" s="37"/>
      <c r="T14" s="37"/>
      <c r="U14" s="37"/>
      <c r="V14" s="37"/>
      <c r="W14" s="37"/>
      <c r="X14" s="37"/>
      <c r="Y14" s="37"/>
      <c r="Z14" s="37"/>
    </row>
    <row r="15" spans="1:30" ht="19.5" customHeight="1">
      <c r="A15" s="3" t="s">
        <v>73</v>
      </c>
      <c r="B15" s="93">
        <v>100.13947693376284</v>
      </c>
      <c r="C15" s="93">
        <v>100.13947693376284</v>
      </c>
      <c r="D15" s="93">
        <v>100.05647711494839</v>
      </c>
      <c r="E15" s="93">
        <v>95.043301505239413</v>
      </c>
      <c r="F15" s="93">
        <v>94.57221764818776</v>
      </c>
      <c r="G15" s="93">
        <v>94.381829837690972</v>
      </c>
      <c r="H15" s="93">
        <v>94.171989421382705</v>
      </c>
      <c r="I15" s="93">
        <v>94.108074420013295</v>
      </c>
      <c r="J15" s="93">
        <v>93.762473476607667</v>
      </c>
      <c r="K15" s="93">
        <v>93.823584868861587</v>
      </c>
      <c r="L15" s="93">
        <v>93.895283330756499</v>
      </c>
      <c r="M15" s="93">
        <v>93.903419959032618</v>
      </c>
      <c r="N15" s="93">
        <f t="shared" si="0"/>
        <v>95.666467120853881</v>
      </c>
      <c r="R15" s="71" t="s">
        <v>66</v>
      </c>
      <c r="S15" s="37"/>
      <c r="T15" s="37"/>
      <c r="U15" s="37"/>
      <c r="V15" s="37"/>
      <c r="W15" s="37"/>
      <c r="X15" s="37"/>
      <c r="Y15" s="37"/>
      <c r="Z15" s="37"/>
    </row>
    <row r="16" spans="1:30" ht="25.5">
      <c r="A16" s="2" t="s">
        <v>74</v>
      </c>
      <c r="B16" s="93">
        <v>98.694265245136904</v>
      </c>
      <c r="C16" s="93">
        <v>99.908818421583973</v>
      </c>
      <c r="D16" s="93">
        <v>99.758503287001929</v>
      </c>
      <c r="E16" s="93">
        <v>99.401519224805341</v>
      </c>
      <c r="F16" s="93">
        <v>99.401499985160768</v>
      </c>
      <c r="G16" s="93">
        <v>99.46839869957698</v>
      </c>
      <c r="H16" s="93">
        <v>99.472633787957591</v>
      </c>
      <c r="I16" s="93">
        <v>99.481382798977236</v>
      </c>
      <c r="J16" s="93">
        <v>99.471779855713777</v>
      </c>
      <c r="K16" s="93">
        <v>99.52558892363416</v>
      </c>
      <c r="L16" s="93">
        <v>99.464630687566952</v>
      </c>
      <c r="M16" s="93">
        <v>99.491824851374474</v>
      </c>
      <c r="N16" s="93">
        <f t="shared" si="0"/>
        <v>99.461737147374166</v>
      </c>
      <c r="R16" s="65" t="s">
        <v>18</v>
      </c>
      <c r="S16" s="37"/>
      <c r="T16" s="37"/>
      <c r="U16" s="37"/>
      <c r="V16" s="37"/>
      <c r="W16" s="37"/>
      <c r="X16" s="37"/>
      <c r="Y16" s="37"/>
      <c r="Z16" s="37"/>
    </row>
    <row r="17" spans="1:40" ht="19.5" customHeight="1">
      <c r="A17" s="4" t="s">
        <v>19</v>
      </c>
      <c r="B17" s="93">
        <v>100.15415229917572</v>
      </c>
      <c r="C17" s="93">
        <v>100.15412666021531</v>
      </c>
      <c r="D17" s="93">
        <v>100.15410102697437</v>
      </c>
      <c r="E17" s="93">
        <v>100.15407539945161</v>
      </c>
      <c r="F17" s="93">
        <v>100.15404977764577</v>
      </c>
      <c r="G17" s="93">
        <v>100.15402416155557</v>
      </c>
      <c r="H17" s="93">
        <v>100.16936882587268</v>
      </c>
      <c r="I17" s="93">
        <v>100.16577005706962</v>
      </c>
      <c r="J17" s="93">
        <v>100.16574445811868</v>
      </c>
      <c r="K17" s="93">
        <v>100.16571886487827</v>
      </c>
      <c r="L17" s="93">
        <v>100.16569327734713</v>
      </c>
      <c r="M17" s="93">
        <v>100.16566769552399</v>
      </c>
      <c r="N17" s="93">
        <f t="shared" si="0"/>
        <v>100.16020770865238</v>
      </c>
      <c r="R17" s="65" t="s">
        <v>20</v>
      </c>
      <c r="S17" s="37"/>
      <c r="T17" s="37"/>
      <c r="U17" s="37"/>
      <c r="V17" s="37"/>
      <c r="W17" s="37"/>
      <c r="X17" s="37"/>
      <c r="Y17" s="37"/>
      <c r="Z17" s="37"/>
    </row>
    <row r="18" spans="1:40" ht="19.5" customHeight="1">
      <c r="A18" s="4" t="s">
        <v>75</v>
      </c>
      <c r="B18" s="93">
        <v>98.758066291618448</v>
      </c>
      <c r="C18" s="93">
        <v>98.672225830973701</v>
      </c>
      <c r="D18" s="93">
        <v>97.706528309233789</v>
      </c>
      <c r="E18" s="93">
        <v>97.50490748728275</v>
      </c>
      <c r="F18" s="93">
        <v>97.504934128127715</v>
      </c>
      <c r="G18" s="93">
        <v>97.351063252138843</v>
      </c>
      <c r="H18" s="93">
        <v>97.351063252138843</v>
      </c>
      <c r="I18" s="93">
        <v>97.344358578071706</v>
      </c>
      <c r="J18" s="93">
        <v>97.392116823205058</v>
      </c>
      <c r="K18" s="93">
        <v>97.393307615503616</v>
      </c>
      <c r="L18" s="93">
        <v>100.39156885182376</v>
      </c>
      <c r="M18" s="93">
        <v>100.08322656732688</v>
      </c>
      <c r="N18" s="93">
        <f t="shared" si="0"/>
        <v>98.121113915620427</v>
      </c>
      <c r="R18" s="65" t="s">
        <v>22</v>
      </c>
      <c r="S18" s="37"/>
      <c r="T18" s="37"/>
      <c r="U18" s="37"/>
      <c r="V18" s="37"/>
      <c r="W18" s="37"/>
      <c r="X18" s="37"/>
      <c r="Y18" s="37"/>
      <c r="Z18" s="37"/>
    </row>
    <row r="19" spans="1:40" ht="19.5" customHeight="1">
      <c r="A19" s="4" t="s">
        <v>76</v>
      </c>
      <c r="B19" s="93">
        <v>99.065602137709945</v>
      </c>
      <c r="C19" s="93">
        <v>98.524447613264726</v>
      </c>
      <c r="D19" s="93">
        <v>90.49225435410726</v>
      </c>
      <c r="E19" s="93">
        <v>88.313643783556529</v>
      </c>
      <c r="F19" s="93">
        <v>88.836583270845253</v>
      </c>
      <c r="G19" s="93">
        <v>87.985231844725575</v>
      </c>
      <c r="H19" s="93">
        <v>90.654897063508542</v>
      </c>
      <c r="I19" s="93">
        <v>89.016495856551813</v>
      </c>
      <c r="J19" s="93">
        <v>88.473444206418989</v>
      </c>
      <c r="K19" s="93">
        <v>88.412230203714543</v>
      </c>
      <c r="L19" s="93">
        <v>87.643347276152426</v>
      </c>
      <c r="M19" s="93">
        <v>88.232423436574095</v>
      </c>
      <c r="N19" s="93">
        <f t="shared" si="0"/>
        <v>90.470883420594149</v>
      </c>
      <c r="R19" s="65" t="s">
        <v>24</v>
      </c>
      <c r="S19" s="37"/>
      <c r="T19" s="37"/>
      <c r="U19" s="37"/>
      <c r="V19" s="37"/>
      <c r="W19" s="37"/>
      <c r="X19" s="37"/>
      <c r="Y19" s="37"/>
      <c r="Z19" s="37"/>
    </row>
    <row r="20" spans="1:40" ht="19.5" customHeight="1">
      <c r="A20" s="5" t="s">
        <v>77</v>
      </c>
      <c r="B20" s="93">
        <v>100.13220984627817</v>
      </c>
      <c r="C20" s="93">
        <v>100.18178245455256</v>
      </c>
      <c r="D20" s="93">
        <v>100.18399293850999</v>
      </c>
      <c r="E20" s="93">
        <v>100.33361170625896</v>
      </c>
      <c r="F20" s="93">
        <v>98.769980430952316</v>
      </c>
      <c r="G20" s="93">
        <v>100.16441925445841</v>
      </c>
      <c r="H20" s="93">
        <v>100.28951652605477</v>
      </c>
      <c r="I20" s="93">
        <v>100.28951652605477</v>
      </c>
      <c r="J20" s="93">
        <v>100.50967754258855</v>
      </c>
      <c r="K20" s="93">
        <v>100.50967754258855</v>
      </c>
      <c r="L20" s="93">
        <v>100.50967754258855</v>
      </c>
      <c r="M20" s="93">
        <v>100.49759305609493</v>
      </c>
      <c r="N20" s="93">
        <f t="shared" si="0"/>
        <v>100.19763794724838</v>
      </c>
      <c r="R20" s="66" t="s">
        <v>26</v>
      </c>
      <c r="S20" s="37"/>
      <c r="T20" s="37"/>
      <c r="U20" s="37"/>
      <c r="V20" s="37"/>
      <c r="W20" s="37"/>
      <c r="X20" s="37"/>
      <c r="Y20" s="37"/>
      <c r="Z20" s="37"/>
    </row>
    <row r="21" spans="1:40" ht="19.5" customHeight="1">
      <c r="A21" s="3" t="s">
        <v>78</v>
      </c>
      <c r="B21" s="93">
        <v>100.03756931194668</v>
      </c>
      <c r="C21" s="93">
        <v>100.03756931194668</v>
      </c>
      <c r="D21" s="93">
        <v>100.03862823747514</v>
      </c>
      <c r="E21" s="93">
        <v>100.03818644226132</v>
      </c>
      <c r="F21" s="93">
        <v>99.279915058188521</v>
      </c>
      <c r="G21" s="93">
        <v>99.279915058188521</v>
      </c>
      <c r="H21" s="93">
        <v>100.03818644226131</v>
      </c>
      <c r="I21" s="93">
        <v>100.03818644226131</v>
      </c>
      <c r="J21" s="93">
        <v>100.03840335044265</v>
      </c>
      <c r="K21" s="93">
        <v>100.03840335044265</v>
      </c>
      <c r="L21" s="93">
        <v>100.03840335044265</v>
      </c>
      <c r="M21" s="93">
        <v>100.03840335044265</v>
      </c>
      <c r="N21" s="93">
        <f t="shared" si="0"/>
        <v>99.911814142191687</v>
      </c>
      <c r="R21" s="66" t="s">
        <v>28</v>
      </c>
      <c r="S21" s="37"/>
      <c r="T21" s="37"/>
      <c r="U21" s="37"/>
      <c r="V21" s="37"/>
      <c r="W21" s="37"/>
      <c r="X21" s="37"/>
      <c r="Y21" s="37"/>
      <c r="Z21" s="37"/>
    </row>
    <row r="22" spans="1:40" ht="19.5" customHeight="1">
      <c r="A22" s="3" t="s">
        <v>79</v>
      </c>
      <c r="B22" s="93">
        <v>100.3255244181501</v>
      </c>
      <c r="C22" s="93">
        <v>100.32320254296495</v>
      </c>
      <c r="D22" s="93">
        <v>100.34576776398259</v>
      </c>
      <c r="E22" s="93">
        <v>100.29725947625583</v>
      </c>
      <c r="F22" s="93">
        <v>98.229454787020842</v>
      </c>
      <c r="G22" s="93">
        <v>100.12691955419922</v>
      </c>
      <c r="H22" s="93">
        <v>100.29725947625583</v>
      </c>
      <c r="I22" s="93">
        <v>100.24070893768902</v>
      </c>
      <c r="J22" s="93">
        <v>100.24070893768902</v>
      </c>
      <c r="K22" s="93">
        <v>100.35104638277926</v>
      </c>
      <c r="L22" s="93">
        <v>100.49569630219816</v>
      </c>
      <c r="M22" s="93">
        <v>100.40074093675237</v>
      </c>
      <c r="N22" s="93">
        <f>AVERAGE(B22:M22)</f>
        <v>100.13952412632808</v>
      </c>
      <c r="R22" s="66" t="s">
        <v>30</v>
      </c>
      <c r="S22" s="37"/>
      <c r="T22" s="37"/>
      <c r="U22" s="37"/>
      <c r="V22" s="37"/>
      <c r="W22" s="37"/>
      <c r="X22" s="37"/>
      <c r="Y22" s="37"/>
      <c r="Z22" s="37"/>
      <c r="AF22" s="61"/>
      <c r="AG22" s="61"/>
      <c r="AH22" s="61"/>
    </row>
    <row r="23" spans="1:40" ht="19.5" customHeight="1">
      <c r="A23" s="3" t="s">
        <v>80</v>
      </c>
      <c r="B23" s="93">
        <v>100</v>
      </c>
      <c r="C23" s="93">
        <v>100</v>
      </c>
      <c r="D23" s="93">
        <v>100</v>
      </c>
      <c r="E23" s="93">
        <v>100</v>
      </c>
      <c r="F23" s="93">
        <v>100</v>
      </c>
      <c r="G23" s="93">
        <v>100</v>
      </c>
      <c r="H23" s="93">
        <v>100</v>
      </c>
      <c r="I23" s="93">
        <v>100</v>
      </c>
      <c r="J23" s="93">
        <v>100</v>
      </c>
      <c r="K23" s="93">
        <v>100</v>
      </c>
      <c r="L23" s="93">
        <v>100</v>
      </c>
      <c r="M23" s="93">
        <v>100</v>
      </c>
      <c r="N23" s="93">
        <f t="shared" si="0"/>
        <v>100</v>
      </c>
      <c r="R23" s="63" t="s">
        <v>83</v>
      </c>
      <c r="S23" s="37"/>
      <c r="T23" s="37"/>
      <c r="U23" s="37"/>
      <c r="V23" s="37"/>
      <c r="W23" s="37"/>
      <c r="X23" s="37"/>
      <c r="Y23" s="37"/>
      <c r="Z23" s="37"/>
      <c r="AF23" s="61"/>
      <c r="AG23" s="61"/>
      <c r="AH23" s="61"/>
    </row>
    <row r="24" spans="1:40" s="61" customFormat="1" ht="25.5" customHeight="1">
      <c r="A24" s="5" t="s">
        <v>81</v>
      </c>
      <c r="B24" s="93">
        <v>99.938995221973485</v>
      </c>
      <c r="C24" s="93">
        <v>99.749073900324817</v>
      </c>
      <c r="D24" s="93">
        <v>99.762115399211098</v>
      </c>
      <c r="E24" s="93">
        <v>99.768044076201562</v>
      </c>
      <c r="F24" s="93">
        <v>99.854692018209846</v>
      </c>
      <c r="G24" s="93">
        <v>99.861099313267047</v>
      </c>
      <c r="H24" s="93">
        <v>99.853220531357252</v>
      </c>
      <c r="I24" s="93">
        <v>99.840937277164286</v>
      </c>
      <c r="J24" s="93">
        <v>99.976267795771676</v>
      </c>
      <c r="K24" s="93">
        <v>100.015936960033</v>
      </c>
      <c r="L24" s="93">
        <v>100.0321155232733</v>
      </c>
      <c r="M24" s="93">
        <v>99.900928200702637</v>
      </c>
      <c r="N24" s="93">
        <f>AVERAGE(B24:M24)</f>
        <v>99.879452184790821</v>
      </c>
      <c r="O24" s="10"/>
      <c r="P24" s="10"/>
      <c r="Q24" s="10"/>
      <c r="R24" s="66" t="s">
        <v>31</v>
      </c>
      <c r="S24" s="37"/>
      <c r="T24" s="37"/>
      <c r="U24" s="37"/>
      <c r="V24" s="37"/>
      <c r="W24" s="37"/>
      <c r="X24" s="37"/>
      <c r="Y24" s="37"/>
      <c r="Z24" s="37"/>
      <c r="AB24" s="10"/>
      <c r="AC24" s="10"/>
      <c r="AD24" s="10"/>
      <c r="AE24" s="10"/>
    </row>
    <row r="25" spans="1:40" s="30" customFormat="1" ht="19.5" customHeight="1">
      <c r="A25" s="6" t="s">
        <v>32</v>
      </c>
      <c r="B25" s="95">
        <v>100.25198249012915</v>
      </c>
      <c r="C25" s="95">
        <v>100.25305581995573</v>
      </c>
      <c r="D25" s="95">
        <v>99.134360875184882</v>
      </c>
      <c r="E25" s="95">
        <v>95.928851542873616</v>
      </c>
      <c r="F25" s="95">
        <v>95.980515573689644</v>
      </c>
      <c r="G25" s="95">
        <v>95.584066696262042</v>
      </c>
      <c r="H25" s="95">
        <v>98.274426578525649</v>
      </c>
      <c r="I25" s="95">
        <v>98.804137332519716</v>
      </c>
      <c r="J25" s="95">
        <v>98.878005829685932</v>
      </c>
      <c r="K25" s="95">
        <v>98.89643815543414</v>
      </c>
      <c r="L25" s="95">
        <v>99.020036660051346</v>
      </c>
      <c r="M25" s="95">
        <v>99.053803617897771</v>
      </c>
      <c r="N25" s="95">
        <f t="shared" si="0"/>
        <v>98.338306764350818</v>
      </c>
      <c r="R25" s="67" t="s">
        <v>33</v>
      </c>
      <c r="S25" s="37"/>
      <c r="T25" s="42"/>
      <c r="U25" s="42"/>
      <c r="V25" s="42"/>
      <c r="W25" s="42"/>
      <c r="X25" s="42"/>
      <c r="Y25" s="42"/>
      <c r="Z25" s="42"/>
      <c r="AA25" s="94"/>
      <c r="AB25" s="75"/>
      <c r="AC25" s="75"/>
      <c r="AD25" s="75"/>
      <c r="AE25" s="75"/>
    </row>
    <row r="26" spans="1:40" s="30" customFormat="1" ht="19.5" customHeight="1">
      <c r="A26" s="7" t="s">
        <v>34</v>
      </c>
      <c r="B26" s="96">
        <v>100.22836836331116</v>
      </c>
      <c r="C26" s="96">
        <v>100.08154399619121</v>
      </c>
      <c r="D26" s="96">
        <v>99.014928922305288</v>
      </c>
      <c r="E26" s="96">
        <v>95.621445839373834</v>
      </c>
      <c r="F26" s="96">
        <v>95.586327036377867</v>
      </c>
      <c r="G26" s="96">
        <v>95.363193542561078</v>
      </c>
      <c r="H26" s="96">
        <v>98.208742076590184</v>
      </c>
      <c r="I26" s="96">
        <v>98.733583271202249</v>
      </c>
      <c r="J26" s="96">
        <v>98.801840177256693</v>
      </c>
      <c r="K26" s="96">
        <v>98.821496350642292</v>
      </c>
      <c r="L26" s="96">
        <v>99.053471225915118</v>
      </c>
      <c r="M26" s="96">
        <v>99.100443819210284</v>
      </c>
      <c r="N26" s="96">
        <f t="shared" si="0"/>
        <v>98.217948718411449</v>
      </c>
      <c r="O26" s="38"/>
      <c r="P26" s="38"/>
      <c r="Q26" s="38"/>
      <c r="R26" s="68" t="s">
        <v>35</v>
      </c>
      <c r="S26" s="37"/>
      <c r="T26" s="42"/>
      <c r="U26" s="42"/>
      <c r="V26" s="42"/>
      <c r="W26" s="42"/>
      <c r="X26" s="42"/>
      <c r="Y26" s="42"/>
      <c r="Z26" s="42"/>
      <c r="AA26" s="94"/>
      <c r="AB26" s="75"/>
      <c r="AC26" s="75"/>
      <c r="AD26" s="75"/>
      <c r="AE26" s="75"/>
    </row>
    <row r="27" spans="1:40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</row>
    <row r="28" spans="1:40">
      <c r="A28" s="39"/>
      <c r="B28" s="87"/>
      <c r="C28" s="87"/>
      <c r="D28" s="87"/>
      <c r="E28" s="87"/>
      <c r="F28" s="88"/>
      <c r="G28" s="87"/>
      <c r="H28" s="87"/>
      <c r="I28" s="58"/>
      <c r="J28" s="89"/>
      <c r="K28" s="89"/>
      <c r="L28" s="89"/>
      <c r="M28" s="40"/>
      <c r="N28" s="58"/>
    </row>
    <row r="29" spans="1:40">
      <c r="A29" s="27"/>
      <c r="B29" s="28" t="s">
        <v>86</v>
      </c>
      <c r="C29" s="29"/>
      <c r="D29" s="29"/>
      <c r="E29" s="28"/>
      <c r="F29" s="30"/>
      <c r="G29" s="31"/>
      <c r="H29" s="32"/>
      <c r="I29" s="32"/>
      <c r="J29" s="32"/>
      <c r="K29" s="32"/>
      <c r="L29" s="32"/>
      <c r="M29" s="31"/>
      <c r="N29" s="69" t="s">
        <v>87</v>
      </c>
      <c r="O29" s="11"/>
      <c r="P29" s="11"/>
      <c r="Q29" s="11"/>
      <c r="R29" s="72" t="s">
        <v>62</v>
      </c>
    </row>
    <row r="30" spans="1:40" s="34" customFormat="1">
      <c r="A30" s="33" t="s">
        <v>63</v>
      </c>
      <c r="B30" s="73" t="s">
        <v>37</v>
      </c>
      <c r="C30" s="73" t="s">
        <v>38</v>
      </c>
      <c r="D30" s="73" t="s">
        <v>39</v>
      </c>
      <c r="E30" s="73" t="s">
        <v>40</v>
      </c>
      <c r="F30" s="73" t="s">
        <v>41</v>
      </c>
      <c r="G30" s="74" t="s">
        <v>42</v>
      </c>
      <c r="H30" s="74" t="s">
        <v>43</v>
      </c>
      <c r="I30" s="74" t="s">
        <v>44</v>
      </c>
      <c r="J30" s="74" t="s">
        <v>45</v>
      </c>
      <c r="K30" s="74" t="s">
        <v>46</v>
      </c>
      <c r="L30" s="74" t="s">
        <v>47</v>
      </c>
      <c r="M30" s="74" t="s">
        <v>48</v>
      </c>
      <c r="N30" s="90" t="s">
        <v>49</v>
      </c>
      <c r="O30" s="41"/>
      <c r="P30" s="41"/>
      <c r="Q30" s="41"/>
      <c r="R30" s="81" t="s">
        <v>67</v>
      </c>
    </row>
    <row r="31" spans="1:40" s="34" customFormat="1" ht="18" customHeight="1">
      <c r="A31" s="35" t="s">
        <v>1</v>
      </c>
      <c r="B31" s="77" t="s">
        <v>50</v>
      </c>
      <c r="C31" s="78" t="s">
        <v>51</v>
      </c>
      <c r="D31" s="78" t="s">
        <v>52</v>
      </c>
      <c r="E31" s="78" t="s">
        <v>53</v>
      </c>
      <c r="F31" s="78" t="s">
        <v>54</v>
      </c>
      <c r="G31" s="78" t="s">
        <v>55</v>
      </c>
      <c r="H31" s="78" t="s">
        <v>56</v>
      </c>
      <c r="I31" s="78" t="s">
        <v>57</v>
      </c>
      <c r="J31" s="78" t="s">
        <v>58</v>
      </c>
      <c r="K31" s="78" t="s">
        <v>59</v>
      </c>
      <c r="L31" s="78" t="s">
        <v>60</v>
      </c>
      <c r="M31" s="78" t="s">
        <v>61</v>
      </c>
      <c r="N31" s="79" t="s">
        <v>65</v>
      </c>
      <c r="O31" s="36"/>
      <c r="P31" s="36"/>
      <c r="Q31" s="36"/>
      <c r="R31" s="83"/>
    </row>
    <row r="32" spans="1:40" ht="19.5" customHeight="1">
      <c r="A32" s="2" t="s">
        <v>5</v>
      </c>
      <c r="B32" s="93">
        <v>102.02389428292753</v>
      </c>
      <c r="C32" s="93">
        <v>102.2749971750647</v>
      </c>
      <c r="D32" s="93">
        <v>101.17162493579148</v>
      </c>
      <c r="E32" s="93">
        <v>101.5978898335914</v>
      </c>
      <c r="F32" s="93">
        <v>103.1587817727055</v>
      </c>
      <c r="G32" s="93">
        <v>101.76495617947666</v>
      </c>
      <c r="H32" s="93">
        <v>101.68064521331077</v>
      </c>
      <c r="I32" s="93">
        <v>102.46821435212586</v>
      </c>
      <c r="J32" s="93">
        <v>103.49424765507693</v>
      </c>
      <c r="K32" s="93">
        <v>103.14337062611503</v>
      </c>
      <c r="L32" s="93">
        <v>103.3899113688298</v>
      </c>
      <c r="M32" s="93">
        <v>102.91425705684087</v>
      </c>
      <c r="N32" s="93">
        <f>AVERAGE(B32:M32)</f>
        <v>102.42356587098804</v>
      </c>
      <c r="O32" s="62"/>
      <c r="P32" s="62"/>
      <c r="Q32" s="62"/>
      <c r="R32" s="65" t="s">
        <v>6</v>
      </c>
      <c r="S32" s="37"/>
      <c r="T32" s="37"/>
      <c r="U32" s="42"/>
      <c r="V32" s="37"/>
      <c r="W32" s="37"/>
      <c r="X32" s="37"/>
      <c r="Y32" s="37"/>
      <c r="Z32" s="37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</row>
    <row r="33" spans="1:40" ht="19.5" customHeight="1">
      <c r="A33" s="2" t="s">
        <v>7</v>
      </c>
      <c r="B33" s="93">
        <v>102.79641623662479</v>
      </c>
      <c r="C33" s="93">
        <v>102.40817959335853</v>
      </c>
      <c r="D33" s="93">
        <v>101.76685711624613</v>
      </c>
      <c r="E33" s="93">
        <v>101.91935798191409</v>
      </c>
      <c r="F33" s="93">
        <v>103.89345059010522</v>
      </c>
      <c r="G33" s="93">
        <v>102.68608469382838</v>
      </c>
      <c r="H33" s="93">
        <v>102.23389329276823</v>
      </c>
      <c r="I33" s="93">
        <v>103.48213500203353</v>
      </c>
      <c r="J33" s="93">
        <v>104.58594065860211</v>
      </c>
      <c r="K33" s="93">
        <v>104.16930272493379</v>
      </c>
      <c r="L33" s="93">
        <v>104.50550763059518</v>
      </c>
      <c r="M33" s="93">
        <v>104.16422209651414</v>
      </c>
      <c r="N33" s="93">
        <f t="shared" ref="N33:N49" si="1">AVERAGE(B33:M33)</f>
        <v>103.21761230146035</v>
      </c>
      <c r="R33" s="65" t="s">
        <v>8</v>
      </c>
      <c r="S33" s="37"/>
      <c r="T33" s="37"/>
      <c r="U33" s="42"/>
      <c r="V33" s="37"/>
      <c r="W33" s="37"/>
      <c r="X33" s="37"/>
      <c r="Y33" s="37"/>
      <c r="Z33" s="37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</row>
    <row r="34" spans="1:40" ht="19.5" customHeight="1">
      <c r="A34" s="3" t="s">
        <v>9</v>
      </c>
      <c r="B34" s="93">
        <v>98.424414980878581</v>
      </c>
      <c r="C34" s="93">
        <v>101.65444865116683</v>
      </c>
      <c r="D34" s="93">
        <v>98.398207425511117</v>
      </c>
      <c r="E34" s="93">
        <v>100.10004509194023</v>
      </c>
      <c r="F34" s="93">
        <v>99.735674908965507</v>
      </c>
      <c r="G34" s="93">
        <v>97.473061294072153</v>
      </c>
      <c r="H34" s="93">
        <v>99.102847907519632</v>
      </c>
      <c r="I34" s="93">
        <v>97.743964930092218</v>
      </c>
      <c r="J34" s="93">
        <v>98.407626683887941</v>
      </c>
      <c r="K34" s="93">
        <v>98.363155206563675</v>
      </c>
      <c r="L34" s="93">
        <v>98.191915849803834</v>
      </c>
      <c r="M34" s="93">
        <v>97.090185304503692</v>
      </c>
      <c r="N34" s="93">
        <f t="shared" si="1"/>
        <v>98.723795686242113</v>
      </c>
      <c r="R34" s="65" t="s">
        <v>10</v>
      </c>
      <c r="S34" s="37"/>
      <c r="T34" s="37"/>
      <c r="U34" s="42"/>
      <c r="V34" s="37"/>
      <c r="W34" s="37"/>
      <c r="X34" s="37"/>
      <c r="Y34" s="37"/>
      <c r="Z34" s="37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</row>
    <row r="35" spans="1:40" ht="19.5" customHeight="1">
      <c r="A35" s="3" t="s">
        <v>11</v>
      </c>
      <c r="B35" s="93">
        <v>99.296352679338611</v>
      </c>
      <c r="C35" s="93">
        <v>99.450372842147203</v>
      </c>
      <c r="D35" s="93">
        <v>99.383073214636397</v>
      </c>
      <c r="E35" s="93">
        <v>99.423055401961463</v>
      </c>
      <c r="F35" s="93">
        <v>99.678626453160803</v>
      </c>
      <c r="G35" s="93">
        <v>101.11824394399984</v>
      </c>
      <c r="H35" s="93">
        <v>101.70289598299966</v>
      </c>
      <c r="I35" s="93">
        <v>131.4607352076624</v>
      </c>
      <c r="J35" s="93">
        <v>131.4607352076624</v>
      </c>
      <c r="K35" s="93">
        <v>131.4607352076624</v>
      </c>
      <c r="L35" s="93">
        <v>131.4607352076624</v>
      </c>
      <c r="M35" s="93">
        <v>131.6002385103331</v>
      </c>
      <c r="N35" s="93">
        <f t="shared" si="1"/>
        <v>113.12464998826887</v>
      </c>
      <c r="R35" s="65" t="s">
        <v>36</v>
      </c>
      <c r="S35" s="37"/>
      <c r="T35" s="37"/>
      <c r="U35" s="42"/>
      <c r="V35" s="37"/>
      <c r="W35" s="37"/>
      <c r="X35" s="37"/>
      <c r="Y35" s="37"/>
      <c r="Z35" s="37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</row>
    <row r="36" spans="1:40" ht="19.5" customHeight="1">
      <c r="A36" s="3" t="s">
        <v>71</v>
      </c>
      <c r="B36" s="93">
        <v>99.638150270408133</v>
      </c>
      <c r="C36" s="93">
        <v>97.8820984863776</v>
      </c>
      <c r="D36" s="93">
        <v>97.8820984863776</v>
      </c>
      <c r="E36" s="93">
        <v>97.8820984863776</v>
      </c>
      <c r="F36" s="93">
        <v>97.8820984863776</v>
      </c>
      <c r="G36" s="93">
        <v>97.8820984863776</v>
      </c>
      <c r="H36" s="93">
        <v>97.8820984863776</v>
      </c>
      <c r="I36" s="93">
        <v>97.844026204391653</v>
      </c>
      <c r="J36" s="93">
        <v>97.844026204391653</v>
      </c>
      <c r="K36" s="93">
        <v>97.850344300511779</v>
      </c>
      <c r="L36" s="93">
        <v>97.850344300511779</v>
      </c>
      <c r="M36" s="93">
        <v>97.850344300511779</v>
      </c>
      <c r="N36" s="93">
        <f t="shared" si="1"/>
        <v>98.014152208249357</v>
      </c>
      <c r="R36" s="65" t="s">
        <v>13</v>
      </c>
      <c r="S36" s="37"/>
      <c r="T36" s="37"/>
      <c r="U36" s="42"/>
      <c r="V36" s="37"/>
      <c r="W36" s="37"/>
      <c r="X36" s="37"/>
      <c r="Y36" s="37"/>
      <c r="Z36" s="37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</row>
    <row r="37" spans="1:40" ht="19.5" customHeight="1">
      <c r="A37" s="3" t="s">
        <v>72</v>
      </c>
      <c r="B37" s="93">
        <v>100.08898857444208</v>
      </c>
      <c r="C37" s="93">
        <v>100.08201820957373</v>
      </c>
      <c r="D37" s="93">
        <v>100.02053017151063</v>
      </c>
      <c r="E37" s="93">
        <v>88.645919967654962</v>
      </c>
      <c r="F37" s="93">
        <v>88.296930991265086</v>
      </c>
      <c r="G37" s="93">
        <v>88.155223678262004</v>
      </c>
      <c r="H37" s="93">
        <v>95.661176098240745</v>
      </c>
      <c r="I37" s="93">
        <v>95.613826501083452</v>
      </c>
      <c r="J37" s="93">
        <v>95.357797944430459</v>
      </c>
      <c r="K37" s="93">
        <v>95.403070567656812</v>
      </c>
      <c r="L37" s="93">
        <v>95.45618631869938</v>
      </c>
      <c r="M37" s="93">
        <v>95.462214106666778</v>
      </c>
      <c r="N37" s="93">
        <f t="shared" si="1"/>
        <v>94.853656927457166</v>
      </c>
      <c r="R37" s="65" t="s">
        <v>15</v>
      </c>
      <c r="S37" s="37"/>
      <c r="T37" s="37"/>
      <c r="U37" s="42"/>
      <c r="V37" s="37"/>
      <c r="W37" s="37"/>
      <c r="X37" s="37"/>
      <c r="Y37" s="37"/>
      <c r="Z37" s="37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</row>
    <row r="38" spans="1:40" ht="19.5" customHeight="1">
      <c r="A38" s="3" t="s">
        <v>73</v>
      </c>
      <c r="B38" s="93">
        <v>100.13947693843284</v>
      </c>
      <c r="C38" s="93">
        <v>100.13947693843284</v>
      </c>
      <c r="D38" s="93">
        <v>100.0564771187655</v>
      </c>
      <c r="E38" s="93">
        <v>95.043301528346703</v>
      </c>
      <c r="F38" s="93">
        <v>94.572217671734947</v>
      </c>
      <c r="G38" s="93">
        <v>94.381829862219959</v>
      </c>
      <c r="H38" s="93">
        <v>94.171989446931534</v>
      </c>
      <c r="I38" s="93">
        <v>94.108074445751257</v>
      </c>
      <c r="J38" s="93">
        <v>93.762473501221407</v>
      </c>
      <c r="K38" s="93">
        <v>93.823584892672827</v>
      </c>
      <c r="L38" s="93">
        <v>93.895283354632326</v>
      </c>
      <c r="M38" s="93">
        <v>93.903419982992034</v>
      </c>
      <c r="N38" s="93">
        <f t="shared" si="1"/>
        <v>95.666467140177858</v>
      </c>
      <c r="R38" s="71" t="s">
        <v>66</v>
      </c>
      <c r="S38" s="37"/>
      <c r="T38" s="37"/>
      <c r="U38" s="42"/>
      <c r="V38" s="37"/>
      <c r="W38" s="37"/>
      <c r="X38" s="37"/>
      <c r="Y38" s="37"/>
      <c r="Z38" s="37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</row>
    <row r="39" spans="1:40" ht="25.5">
      <c r="A39" s="2" t="s">
        <v>74</v>
      </c>
      <c r="B39" s="93">
        <v>97.147963240027792</v>
      </c>
      <c r="C39" s="93">
        <v>99.654871094100642</v>
      </c>
      <c r="D39" s="93">
        <v>99.309485752676935</v>
      </c>
      <c r="E39" s="93">
        <v>99.192336387705552</v>
      </c>
      <c r="F39" s="93">
        <v>99.228758253537308</v>
      </c>
      <c r="G39" s="93">
        <v>99.176900648991676</v>
      </c>
      <c r="H39" s="93">
        <v>99.176900648991676</v>
      </c>
      <c r="I39" s="93">
        <v>99.190644164917586</v>
      </c>
      <c r="J39" s="93">
        <v>99.216335340265616</v>
      </c>
      <c r="K39" s="93">
        <v>99.216335340265616</v>
      </c>
      <c r="L39" s="93">
        <v>99.216335340265616</v>
      </c>
      <c r="M39" s="93">
        <v>99.2814002400101</v>
      </c>
      <c r="N39" s="93">
        <f t="shared" si="1"/>
        <v>99.084022204313001</v>
      </c>
      <c r="R39" s="65" t="s">
        <v>18</v>
      </c>
      <c r="S39" s="37"/>
      <c r="T39" s="37"/>
      <c r="U39" s="42"/>
      <c r="V39" s="37"/>
      <c r="W39" s="37"/>
      <c r="X39" s="37"/>
      <c r="Y39" s="37"/>
      <c r="Z39" s="37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</row>
    <row r="40" spans="1:40" ht="19.5" customHeight="1">
      <c r="A40" s="4" t="s">
        <v>19</v>
      </c>
      <c r="B40" s="93">
        <v>100.00171429194947</v>
      </c>
      <c r="C40" s="93">
        <v>100.00171429194947</v>
      </c>
      <c r="D40" s="93">
        <v>100.00171429194947</v>
      </c>
      <c r="E40" s="93">
        <v>100.00171429194947</v>
      </c>
      <c r="F40" s="93">
        <v>100.00171429194947</v>
      </c>
      <c r="G40" s="93">
        <v>100.00171429194947</v>
      </c>
      <c r="H40" s="93">
        <v>100.00171429194947</v>
      </c>
      <c r="I40" s="93">
        <v>100.00171429194947</v>
      </c>
      <c r="J40" s="93">
        <v>100.00171429194947</v>
      </c>
      <c r="K40" s="93">
        <v>100.00171429194947</v>
      </c>
      <c r="L40" s="93">
        <v>100.00171429194947</v>
      </c>
      <c r="M40" s="93">
        <v>100.00171429194947</v>
      </c>
      <c r="N40" s="93">
        <f t="shared" si="1"/>
        <v>100.00171429194948</v>
      </c>
      <c r="R40" s="65" t="s">
        <v>20</v>
      </c>
      <c r="S40" s="37"/>
      <c r="T40" s="37"/>
      <c r="U40" s="42"/>
      <c r="V40" s="37"/>
      <c r="W40" s="37"/>
      <c r="X40" s="37"/>
      <c r="Y40" s="37"/>
      <c r="Z40" s="37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</row>
    <row r="41" spans="1:40" ht="19.5" customHeight="1">
      <c r="A41" s="4" t="s">
        <v>75</v>
      </c>
      <c r="B41" s="93">
        <v>100.18083658946264</v>
      </c>
      <c r="C41" s="93">
        <v>100.15775661916577</v>
      </c>
      <c r="D41" s="93">
        <v>98.514104573913784</v>
      </c>
      <c r="E41" s="93">
        <v>98.517631077205067</v>
      </c>
      <c r="F41" s="93">
        <v>98.517631077205067</v>
      </c>
      <c r="G41" s="93">
        <v>98.517631077205067</v>
      </c>
      <c r="H41" s="93">
        <v>98.517631077205067</v>
      </c>
      <c r="I41" s="93">
        <v>98.517631077205067</v>
      </c>
      <c r="J41" s="93">
        <v>98.517631077205067</v>
      </c>
      <c r="K41" s="93">
        <v>98.517631077205067</v>
      </c>
      <c r="L41" s="93">
        <v>98.517631077205067</v>
      </c>
      <c r="M41" s="93">
        <v>98.517631077205067</v>
      </c>
      <c r="N41" s="93">
        <f t="shared" si="1"/>
        <v>98.792614789782348</v>
      </c>
      <c r="R41" s="65" t="s">
        <v>22</v>
      </c>
      <c r="S41" s="37"/>
      <c r="T41" s="37"/>
      <c r="U41" s="42"/>
      <c r="V41" s="37"/>
      <c r="W41" s="37"/>
      <c r="X41" s="37"/>
      <c r="Y41" s="37"/>
      <c r="Z41" s="37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</row>
    <row r="42" spans="1:40" ht="19.5" customHeight="1">
      <c r="A42" s="4" t="s">
        <v>76</v>
      </c>
      <c r="B42" s="93">
        <v>99.20351702592076</v>
      </c>
      <c r="C42" s="93">
        <v>98.761859292096233</v>
      </c>
      <c r="D42" s="93">
        <v>90.952184411559287</v>
      </c>
      <c r="E42" s="93">
        <v>88.851870710090097</v>
      </c>
      <c r="F42" s="93">
        <v>89.482343243409488</v>
      </c>
      <c r="G42" s="93">
        <v>88.670599586125292</v>
      </c>
      <c r="H42" s="93">
        <v>91.27646846798325</v>
      </c>
      <c r="I42" s="93">
        <v>89.589149597316251</v>
      </c>
      <c r="J42" s="93">
        <v>88.8915119179794</v>
      </c>
      <c r="K42" s="93">
        <v>88.927386888789798</v>
      </c>
      <c r="L42" s="93">
        <v>88.087578426864084</v>
      </c>
      <c r="M42" s="93">
        <v>88.766628155209943</v>
      </c>
      <c r="N42" s="93">
        <f t="shared" si="1"/>
        <v>90.955091476945327</v>
      </c>
      <c r="R42" s="65" t="s">
        <v>24</v>
      </c>
      <c r="S42" s="37"/>
      <c r="T42" s="37"/>
      <c r="U42" s="42"/>
      <c r="V42" s="37"/>
      <c r="W42" s="37"/>
      <c r="X42" s="37"/>
      <c r="Y42" s="37"/>
      <c r="Z42" s="37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</row>
    <row r="43" spans="1:40" ht="19.5" customHeight="1">
      <c r="A43" s="5" t="s">
        <v>77</v>
      </c>
      <c r="B43" s="93">
        <v>100.04034267243077</v>
      </c>
      <c r="C43" s="93">
        <v>100.16132447307763</v>
      </c>
      <c r="D43" s="93">
        <v>100.1653450599155</v>
      </c>
      <c r="E43" s="93">
        <v>100.1653450599155</v>
      </c>
      <c r="F43" s="93">
        <v>97.416799863501993</v>
      </c>
      <c r="G43" s="93">
        <v>99.953105255454048</v>
      </c>
      <c r="H43" s="93">
        <v>100.18064114954984</v>
      </c>
      <c r="I43" s="93">
        <v>100.18064114954984</v>
      </c>
      <c r="J43" s="93">
        <v>100.18064114954984</v>
      </c>
      <c r="K43" s="93">
        <v>100.18064114954984</v>
      </c>
      <c r="L43" s="93">
        <v>100.18064114954984</v>
      </c>
      <c r="M43" s="93">
        <v>100.18064114954984</v>
      </c>
      <c r="N43" s="93">
        <f t="shared" si="1"/>
        <v>99.915509106799547</v>
      </c>
      <c r="R43" s="66" t="s">
        <v>26</v>
      </c>
      <c r="S43" s="37"/>
      <c r="T43" s="37"/>
      <c r="U43" s="42"/>
      <c r="V43" s="37"/>
      <c r="W43" s="37"/>
      <c r="X43" s="37"/>
      <c r="Y43" s="37"/>
      <c r="Z43" s="37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</row>
    <row r="44" spans="1:40" ht="19.5" customHeight="1">
      <c r="A44" s="3" t="s">
        <v>78</v>
      </c>
      <c r="B44" s="93">
        <v>99.999999621514505</v>
      </c>
      <c r="C44" s="93">
        <v>99.999999621514505</v>
      </c>
      <c r="D44" s="93">
        <v>100.00042356043194</v>
      </c>
      <c r="E44" s="93">
        <v>100.00042356043194</v>
      </c>
      <c r="F44" s="93">
        <v>99.001655914313716</v>
      </c>
      <c r="G44" s="93">
        <v>99.001655914313716</v>
      </c>
      <c r="H44" s="93">
        <v>100.00042356043194</v>
      </c>
      <c r="I44" s="93">
        <v>100.00042356043194</v>
      </c>
      <c r="J44" s="93">
        <v>100.00068480306915</v>
      </c>
      <c r="K44" s="93">
        <v>100.00068480306915</v>
      </c>
      <c r="L44" s="93">
        <v>100.00068480306915</v>
      </c>
      <c r="M44" s="93">
        <v>100.00068480306915</v>
      </c>
      <c r="N44" s="93">
        <f t="shared" si="1"/>
        <v>99.83397871047174</v>
      </c>
      <c r="R44" s="66" t="s">
        <v>28</v>
      </c>
      <c r="S44" s="37"/>
      <c r="T44" s="37"/>
      <c r="U44" s="42"/>
      <c r="V44" s="37"/>
      <c r="W44" s="37"/>
      <c r="X44" s="37"/>
      <c r="Y44" s="37"/>
      <c r="Z44" s="37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</row>
    <row r="45" spans="1:40" ht="19.5" customHeight="1">
      <c r="A45" s="3" t="s">
        <v>79</v>
      </c>
      <c r="B45" s="93">
        <v>100.53051422310951</v>
      </c>
      <c r="C45" s="93">
        <v>100.52685945025803</v>
      </c>
      <c r="D45" s="93">
        <v>100.52685945025803</v>
      </c>
      <c r="E45" s="93">
        <v>100.52685945025803</v>
      </c>
      <c r="F45" s="93">
        <v>97.2720090221855</v>
      </c>
      <c r="G45" s="93">
        <v>100.25873404600192</v>
      </c>
      <c r="H45" s="93">
        <v>100.52685945025803</v>
      </c>
      <c r="I45" s="93">
        <v>100.52685945025803</v>
      </c>
      <c r="J45" s="93">
        <v>100.52685945025803</v>
      </c>
      <c r="K45" s="93">
        <v>100.52685945025803</v>
      </c>
      <c r="L45" s="93">
        <v>100.52685945025803</v>
      </c>
      <c r="M45" s="93">
        <v>100.52685945025803</v>
      </c>
      <c r="N45" s="93">
        <f t="shared" si="1"/>
        <v>100.23358269530161</v>
      </c>
      <c r="R45" s="66" t="s">
        <v>30</v>
      </c>
      <c r="S45" s="37"/>
      <c r="T45" s="37"/>
      <c r="U45" s="42"/>
      <c r="V45" s="37"/>
      <c r="W45" s="37"/>
      <c r="X45" s="37"/>
      <c r="Y45" s="37"/>
      <c r="Z45" s="37"/>
      <c r="AB45" s="42"/>
      <c r="AC45" s="42"/>
      <c r="AD45" s="42"/>
      <c r="AE45" s="42"/>
      <c r="AF45" s="13"/>
      <c r="AG45" s="13"/>
      <c r="AH45" s="13"/>
      <c r="AI45" s="42"/>
      <c r="AJ45" s="42"/>
      <c r="AK45" s="42"/>
      <c r="AL45" s="42"/>
      <c r="AM45" s="42"/>
      <c r="AN45" s="42"/>
    </row>
    <row r="46" spans="1:40" ht="19.5" customHeight="1">
      <c r="A46" s="3" t="s">
        <v>80</v>
      </c>
      <c r="B46" s="93">
        <v>100</v>
      </c>
      <c r="C46" s="93">
        <v>100</v>
      </c>
      <c r="D46" s="93">
        <v>100</v>
      </c>
      <c r="E46" s="93">
        <v>100</v>
      </c>
      <c r="F46" s="93">
        <v>100</v>
      </c>
      <c r="G46" s="93">
        <v>100</v>
      </c>
      <c r="H46" s="93">
        <v>100</v>
      </c>
      <c r="I46" s="93">
        <v>100</v>
      </c>
      <c r="J46" s="93">
        <v>100</v>
      </c>
      <c r="K46" s="93">
        <v>100</v>
      </c>
      <c r="L46" s="93">
        <v>100</v>
      </c>
      <c r="M46" s="93">
        <v>100</v>
      </c>
      <c r="N46" s="93">
        <f t="shared" si="1"/>
        <v>100</v>
      </c>
      <c r="R46" s="63" t="s">
        <v>83</v>
      </c>
      <c r="S46" s="37"/>
      <c r="T46" s="37"/>
      <c r="U46" s="42"/>
      <c r="V46" s="37"/>
      <c r="W46" s="37"/>
      <c r="X46" s="37"/>
      <c r="Y46" s="37"/>
      <c r="Z46" s="37"/>
      <c r="AB46" s="42"/>
      <c r="AC46" s="42"/>
      <c r="AD46" s="42"/>
      <c r="AE46" s="42"/>
      <c r="AF46" s="13"/>
      <c r="AG46" s="13"/>
      <c r="AH46" s="13"/>
      <c r="AI46" s="42"/>
      <c r="AJ46" s="42"/>
      <c r="AK46" s="42"/>
      <c r="AL46" s="42"/>
      <c r="AM46" s="42"/>
      <c r="AN46" s="42"/>
    </row>
    <row r="47" spans="1:40" s="61" customFormat="1" ht="25.5" customHeight="1">
      <c r="A47" s="5" t="s">
        <v>81</v>
      </c>
      <c r="B47" s="93">
        <v>100.12234545196368</v>
      </c>
      <c r="C47" s="93">
        <v>99.859905727685373</v>
      </c>
      <c r="D47" s="93">
        <v>99.889911939971327</v>
      </c>
      <c r="E47" s="93">
        <v>99.904370393822461</v>
      </c>
      <c r="F47" s="93">
        <v>99.884874736442569</v>
      </c>
      <c r="G47" s="93">
        <v>99.898939012989345</v>
      </c>
      <c r="H47" s="93">
        <v>99.891567802670181</v>
      </c>
      <c r="I47" s="93">
        <v>99.805650507084138</v>
      </c>
      <c r="J47" s="93">
        <v>99.972345525254582</v>
      </c>
      <c r="K47" s="93">
        <v>99.972345525254582</v>
      </c>
      <c r="L47" s="93">
        <v>99.972345525254582</v>
      </c>
      <c r="M47" s="93">
        <v>99.86917467748691</v>
      </c>
      <c r="N47" s="93">
        <f t="shared" si="1"/>
        <v>99.920314735489967</v>
      </c>
      <c r="O47" s="10"/>
      <c r="P47" s="10"/>
      <c r="Q47" s="10"/>
      <c r="R47" s="66" t="s">
        <v>31</v>
      </c>
      <c r="S47" s="37"/>
      <c r="T47" s="37"/>
      <c r="U47" s="42"/>
      <c r="V47" s="37"/>
      <c r="W47" s="37"/>
      <c r="X47" s="37"/>
      <c r="Y47" s="37"/>
      <c r="Z47" s="37"/>
      <c r="AB47" s="42"/>
      <c r="AC47" s="42"/>
      <c r="AD47" s="42"/>
      <c r="AE47" s="42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ht="19.5" customHeight="1">
      <c r="A48" s="6" t="s">
        <v>32</v>
      </c>
      <c r="B48" s="95">
        <v>100.19648536912554</v>
      </c>
      <c r="C48" s="95">
        <v>100.26016493377236</v>
      </c>
      <c r="D48" s="95">
        <v>99.181301519700398</v>
      </c>
      <c r="E48" s="95">
        <v>95.431492749228184</v>
      </c>
      <c r="F48" s="95">
        <v>95.374336316314299</v>
      </c>
      <c r="G48" s="95">
        <v>95.238018537321196</v>
      </c>
      <c r="H48" s="95">
        <v>97.938042386666027</v>
      </c>
      <c r="I48" s="95">
        <v>98.284510381505868</v>
      </c>
      <c r="J48" s="95">
        <v>98.336175954429464</v>
      </c>
      <c r="K48" s="95">
        <v>98.289570271670499</v>
      </c>
      <c r="L48" s="95">
        <v>98.273588668386765</v>
      </c>
      <c r="M48" s="95">
        <v>98.251623022707449</v>
      </c>
      <c r="N48" s="95">
        <f t="shared" si="1"/>
        <v>97.921275842569003</v>
      </c>
      <c r="R48" s="67" t="s">
        <v>33</v>
      </c>
      <c r="S48" s="37"/>
      <c r="T48" s="37"/>
      <c r="U48" s="42"/>
      <c r="V48" s="42"/>
      <c r="W48" s="42"/>
      <c r="X48" s="42"/>
      <c r="Y48" s="42"/>
      <c r="Z48" s="42"/>
      <c r="AA48" s="42"/>
      <c r="AB48" s="13"/>
      <c r="AC48" s="13"/>
      <c r="AD48" s="13"/>
      <c r="AE48" s="13"/>
      <c r="AF48" s="42"/>
      <c r="AG48" s="42"/>
      <c r="AH48" s="42"/>
      <c r="AI48" s="42"/>
      <c r="AJ48" s="42"/>
      <c r="AK48" s="42"/>
      <c r="AL48" s="42"/>
      <c r="AM48" s="42"/>
      <c r="AN48" s="42"/>
    </row>
    <row r="49" spans="1:40" ht="19.5" customHeight="1">
      <c r="A49" s="7" t="s">
        <v>34</v>
      </c>
      <c r="B49" s="96">
        <v>100.256100485994</v>
      </c>
      <c r="C49" s="96">
        <v>100.21325912951563</v>
      </c>
      <c r="D49" s="96">
        <v>99.20764598448784</v>
      </c>
      <c r="E49" s="96">
        <v>95.274435616868644</v>
      </c>
      <c r="F49" s="96">
        <v>95.227614317217487</v>
      </c>
      <c r="G49" s="96">
        <v>95.162828332669349</v>
      </c>
      <c r="H49" s="96">
        <v>97.898856574570004</v>
      </c>
      <c r="I49" s="96">
        <v>98.302695144635152</v>
      </c>
      <c r="J49" s="96">
        <v>98.333772244274783</v>
      </c>
      <c r="K49" s="96">
        <v>98.287094763630563</v>
      </c>
      <c r="L49" s="96">
        <v>98.276336265015573</v>
      </c>
      <c r="M49" s="96">
        <v>98.290695536849853</v>
      </c>
      <c r="N49" s="96">
        <f t="shared" si="1"/>
        <v>97.894277866310745</v>
      </c>
      <c r="O49" s="26"/>
      <c r="P49" s="26"/>
      <c r="Q49" s="26"/>
      <c r="R49" s="68" t="s">
        <v>35</v>
      </c>
      <c r="S49" s="37"/>
      <c r="T49" s="37"/>
      <c r="U49" s="42"/>
      <c r="V49" s="42"/>
      <c r="W49" s="42"/>
      <c r="X49" s="42"/>
      <c r="Y49" s="42"/>
      <c r="Z49" s="42"/>
      <c r="AA49" s="42"/>
      <c r="AB49" s="13"/>
      <c r="AC49" s="13"/>
      <c r="AD49" s="13"/>
      <c r="AE49" s="13"/>
      <c r="AF49" s="42"/>
      <c r="AG49" s="42"/>
      <c r="AH49" s="42"/>
      <c r="AI49" s="42"/>
      <c r="AJ49" s="42"/>
      <c r="AK49" s="42"/>
      <c r="AL49" s="42"/>
      <c r="AM49" s="42"/>
      <c r="AN49" s="42"/>
    </row>
    <row r="50" spans="1:40"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</row>
    <row r="51" spans="1:40">
      <c r="A51" s="39"/>
      <c r="B51" s="87"/>
      <c r="C51" s="87"/>
      <c r="D51" s="87"/>
      <c r="E51" s="87"/>
      <c r="F51" s="88"/>
      <c r="G51" s="87"/>
      <c r="H51" s="87"/>
      <c r="I51" s="58"/>
      <c r="J51" s="89"/>
      <c r="K51" s="89"/>
      <c r="L51" s="89"/>
      <c r="M51" s="40"/>
      <c r="N51" s="58"/>
    </row>
    <row r="52" spans="1:40">
      <c r="A52" s="43" t="s">
        <v>63</v>
      </c>
      <c r="B52" s="28" t="s">
        <v>86</v>
      </c>
      <c r="C52" s="29"/>
      <c r="D52" s="29"/>
      <c r="E52" s="28"/>
      <c r="F52" s="30"/>
      <c r="G52" s="31"/>
      <c r="H52" s="32"/>
      <c r="I52" s="32"/>
      <c r="J52" s="32"/>
      <c r="K52" s="32"/>
      <c r="L52" s="32"/>
      <c r="M52" s="31"/>
      <c r="N52" s="69" t="s">
        <v>87</v>
      </c>
      <c r="O52" s="11"/>
      <c r="P52" s="11"/>
      <c r="Q52" s="11"/>
      <c r="R52" s="72" t="s">
        <v>62</v>
      </c>
    </row>
    <row r="53" spans="1:40">
      <c r="A53" s="33" t="s">
        <v>68</v>
      </c>
      <c r="B53" s="73" t="s">
        <v>37</v>
      </c>
      <c r="C53" s="73" t="s">
        <v>38</v>
      </c>
      <c r="D53" s="73" t="s">
        <v>39</v>
      </c>
      <c r="E53" s="73" t="s">
        <v>40</v>
      </c>
      <c r="F53" s="73" t="s">
        <v>41</v>
      </c>
      <c r="G53" s="74" t="s">
        <v>42</v>
      </c>
      <c r="H53" s="74" t="s">
        <v>43</v>
      </c>
      <c r="I53" s="74" t="s">
        <v>44</v>
      </c>
      <c r="J53" s="74" t="s">
        <v>45</v>
      </c>
      <c r="K53" s="74" t="s">
        <v>46</v>
      </c>
      <c r="L53" s="74" t="s">
        <v>47</v>
      </c>
      <c r="M53" s="74" t="s">
        <v>48</v>
      </c>
      <c r="N53" s="90" t="s">
        <v>49</v>
      </c>
      <c r="O53" s="62"/>
      <c r="P53" s="62"/>
      <c r="Q53" s="62"/>
      <c r="R53" s="67" t="s">
        <v>69</v>
      </c>
    </row>
    <row r="54" spans="1:40">
      <c r="A54" s="44"/>
      <c r="B54" s="77" t="s">
        <v>50</v>
      </c>
      <c r="C54" s="78" t="s">
        <v>51</v>
      </c>
      <c r="D54" s="78" t="s">
        <v>52</v>
      </c>
      <c r="E54" s="78" t="s">
        <v>53</v>
      </c>
      <c r="F54" s="78" t="s">
        <v>54</v>
      </c>
      <c r="G54" s="78" t="s">
        <v>55</v>
      </c>
      <c r="H54" s="78" t="s">
        <v>56</v>
      </c>
      <c r="I54" s="78" t="s">
        <v>57</v>
      </c>
      <c r="J54" s="78" t="s">
        <v>58</v>
      </c>
      <c r="K54" s="78" t="s">
        <v>59</v>
      </c>
      <c r="L54" s="78" t="s">
        <v>60</v>
      </c>
      <c r="M54" s="78" t="s">
        <v>61</v>
      </c>
      <c r="N54" s="79" t="s">
        <v>65</v>
      </c>
      <c r="O54" s="26"/>
      <c r="P54" s="26"/>
      <c r="Q54" s="26"/>
      <c r="R54" s="84"/>
    </row>
    <row r="55" spans="1:40" ht="22.5" customHeight="1">
      <c r="A55" s="2" t="s">
        <v>5</v>
      </c>
      <c r="B55" s="86">
        <v>102.88666126799808</v>
      </c>
      <c r="C55" s="86">
        <v>102.83284582516053</v>
      </c>
      <c r="D55" s="86">
        <v>102.03006375432842</v>
      </c>
      <c r="E55" s="86">
        <v>103.29746845444062</v>
      </c>
      <c r="F55" s="86">
        <v>103.9018871501997</v>
      </c>
      <c r="G55" s="86">
        <v>101.56205457454783</v>
      </c>
      <c r="H55" s="86">
        <v>100.79248163303487</v>
      </c>
      <c r="I55" s="86">
        <v>102.31958363836864</v>
      </c>
      <c r="J55" s="86">
        <v>102.72355582376791</v>
      </c>
      <c r="K55" s="86">
        <v>103.0146330365811</v>
      </c>
      <c r="L55" s="86">
        <v>102.22851091819884</v>
      </c>
      <c r="M55" s="86">
        <v>102.68681807033808</v>
      </c>
      <c r="N55" s="86">
        <f>AVERAGE(B55:M55)</f>
        <v>102.52304701224706</v>
      </c>
      <c r="R55" s="65" t="s">
        <v>6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22.5" customHeight="1">
      <c r="A56" s="2" t="s">
        <v>7</v>
      </c>
      <c r="B56" s="86">
        <v>102.914199807884</v>
      </c>
      <c r="C56" s="86">
        <v>101.95784059203788</v>
      </c>
      <c r="D56" s="86">
        <v>101.34312337487596</v>
      </c>
      <c r="E56" s="86">
        <v>102.73410398869373</v>
      </c>
      <c r="F56" s="86">
        <v>102.48486739185199</v>
      </c>
      <c r="G56" s="86">
        <v>101.10022660247374</v>
      </c>
      <c r="H56" s="86">
        <v>100.88963426971007</v>
      </c>
      <c r="I56" s="86">
        <v>102.22782236872033</v>
      </c>
      <c r="J56" s="86">
        <v>102.7729968153284</v>
      </c>
      <c r="K56" s="86">
        <v>103.13064549470977</v>
      </c>
      <c r="L56" s="86">
        <v>103.19253204223291</v>
      </c>
      <c r="M56" s="86">
        <v>103.66267370046037</v>
      </c>
      <c r="N56" s="86">
        <f t="shared" ref="N56:N72" si="2">AVERAGE(B56:M56)</f>
        <v>102.36755553741493</v>
      </c>
      <c r="R56" s="65" t="s">
        <v>8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22.5" customHeight="1">
      <c r="A57" s="3" t="s">
        <v>9</v>
      </c>
      <c r="B57" s="86">
        <v>102.77379512981763</v>
      </c>
      <c r="C57" s="86">
        <v>106.41903674012218</v>
      </c>
      <c r="D57" s="86">
        <v>104.84547474235328</v>
      </c>
      <c r="E57" s="86">
        <v>105.60640610692037</v>
      </c>
      <c r="F57" s="86">
        <v>109.70951342641358</v>
      </c>
      <c r="G57" s="86">
        <v>103.45484700027623</v>
      </c>
      <c r="H57" s="86">
        <v>100.39430355384128</v>
      </c>
      <c r="I57" s="86">
        <v>102.69566531091338</v>
      </c>
      <c r="J57" s="86">
        <v>102.52092293878715</v>
      </c>
      <c r="K57" s="86">
        <v>102.5391583678427</v>
      </c>
      <c r="L57" s="86">
        <v>98.277490208866027</v>
      </c>
      <c r="M57" s="86">
        <v>98.687293881700029</v>
      </c>
      <c r="N57" s="86">
        <f t="shared" si="2"/>
        <v>103.16032561732116</v>
      </c>
      <c r="R57" s="65" t="s">
        <v>10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22.5" customHeight="1">
      <c r="A58" s="3" t="s">
        <v>11</v>
      </c>
      <c r="B58" s="86">
        <v>99.742814113674271</v>
      </c>
      <c r="C58" s="86">
        <v>99.107528751753833</v>
      </c>
      <c r="D58" s="86">
        <v>98.95602873690197</v>
      </c>
      <c r="E58" s="86">
        <v>100.31146766645699</v>
      </c>
      <c r="F58" s="86">
        <v>100.48929415975716</v>
      </c>
      <c r="G58" s="86">
        <v>100.35399690667037</v>
      </c>
      <c r="H58" s="86">
        <v>105.55361613303025</v>
      </c>
      <c r="I58" s="86">
        <v>128.05473728569334</v>
      </c>
      <c r="J58" s="86">
        <v>128.63094434779637</v>
      </c>
      <c r="K58" s="86">
        <v>129.0270745032002</v>
      </c>
      <c r="L58" s="86">
        <v>129.39097612366447</v>
      </c>
      <c r="M58" s="86">
        <v>129.39097612366447</v>
      </c>
      <c r="N58" s="86">
        <f t="shared" si="2"/>
        <v>112.41745457102199</v>
      </c>
      <c r="R58" s="65" t="s">
        <v>36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22.5" customHeight="1">
      <c r="A59" s="3" t="s">
        <v>71</v>
      </c>
      <c r="B59" s="86">
        <v>98.273893349940749</v>
      </c>
      <c r="C59" s="86">
        <v>98.295372305057427</v>
      </c>
      <c r="D59" s="86">
        <v>98.351194971481533</v>
      </c>
      <c r="E59" s="86">
        <v>97.880989845549763</v>
      </c>
      <c r="F59" s="86">
        <v>97.607873550727575</v>
      </c>
      <c r="G59" s="86">
        <v>97.636956658179855</v>
      </c>
      <c r="H59" s="86">
        <v>97.680391628085133</v>
      </c>
      <c r="I59" s="86">
        <v>97.845487247077727</v>
      </c>
      <c r="J59" s="86">
        <v>97.874361745321011</v>
      </c>
      <c r="K59" s="86">
        <v>98.066470477836148</v>
      </c>
      <c r="L59" s="86">
        <v>98.331064811113791</v>
      </c>
      <c r="M59" s="86">
        <v>98.5455280010422</v>
      </c>
      <c r="N59" s="86">
        <f t="shared" si="2"/>
        <v>98.03246538261773</v>
      </c>
      <c r="R59" s="65" t="s">
        <v>13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22.5" customHeight="1">
      <c r="A60" s="3" t="s">
        <v>72</v>
      </c>
      <c r="B60" s="86">
        <v>100.01741300543425</v>
      </c>
      <c r="C60" s="86">
        <v>100.28836830220828</v>
      </c>
      <c r="D60" s="86">
        <v>100.28137290452726</v>
      </c>
      <c r="E60" s="86">
        <v>79.742989156742141</v>
      </c>
      <c r="F60" s="86">
        <v>79.696009649545061</v>
      </c>
      <c r="G60" s="86">
        <v>79.679963360537329</v>
      </c>
      <c r="H60" s="86">
        <v>99.847453918401058</v>
      </c>
      <c r="I60" s="86">
        <v>99.842067026709358</v>
      </c>
      <c r="J60" s="86">
        <v>99.812939052758907</v>
      </c>
      <c r="K60" s="86">
        <v>99.818089651947815</v>
      </c>
      <c r="L60" s="86">
        <v>99.810810372443569</v>
      </c>
      <c r="M60" s="86">
        <v>99.816226055299808</v>
      </c>
      <c r="N60" s="86">
        <f t="shared" si="2"/>
        <v>94.887808538046215</v>
      </c>
      <c r="R60" s="65" t="s">
        <v>15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.6" customHeight="1">
      <c r="A61" s="3" t="s">
        <v>73</v>
      </c>
      <c r="B61" s="86">
        <v>100.13947679011274</v>
      </c>
      <c r="C61" s="86">
        <v>100.13947679011274</v>
      </c>
      <c r="D61" s="86">
        <v>100.05647699753364</v>
      </c>
      <c r="E61" s="86">
        <v>95.04330079445063</v>
      </c>
      <c r="F61" s="86">
        <v>94.572216923867458</v>
      </c>
      <c r="G61" s="86">
        <v>94.38182908316989</v>
      </c>
      <c r="H61" s="86">
        <v>94.171988635490919</v>
      </c>
      <c r="I61" s="86">
        <v>94.108073628303771</v>
      </c>
      <c r="J61" s="86">
        <v>93.762472719479902</v>
      </c>
      <c r="K61" s="86">
        <v>93.823584136418646</v>
      </c>
      <c r="L61" s="86">
        <v>93.895282596326922</v>
      </c>
      <c r="M61" s="86">
        <v>93.903419222031118</v>
      </c>
      <c r="N61" s="86">
        <f t="shared" si="2"/>
        <v>95.666466526441525</v>
      </c>
      <c r="R61" s="71" t="s">
        <v>70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30" customHeight="1">
      <c r="A62" s="2" t="s">
        <v>74</v>
      </c>
      <c r="B62" s="86">
        <v>100.02520340868041</v>
      </c>
      <c r="C62" s="86">
        <v>100.12739680314242</v>
      </c>
      <c r="D62" s="86">
        <v>100.14498314058723</v>
      </c>
      <c r="E62" s="86">
        <v>99.581567766509608</v>
      </c>
      <c r="F62" s="86">
        <v>99.550182818329517</v>
      </c>
      <c r="G62" s="86">
        <v>99.719297863414624</v>
      </c>
      <c r="H62" s="86">
        <v>99.727178191038973</v>
      </c>
      <c r="I62" s="86">
        <v>99.731628315317337</v>
      </c>
      <c r="J62" s="86">
        <v>99.69164690183689</v>
      </c>
      <c r="K62" s="86">
        <v>99.791770688229676</v>
      </c>
      <c r="L62" s="86">
        <v>99.678344278095523</v>
      </c>
      <c r="M62" s="86">
        <v>99.672942217120678</v>
      </c>
      <c r="N62" s="86">
        <f t="shared" si="2"/>
        <v>99.786845199358581</v>
      </c>
      <c r="R62" s="65" t="s">
        <v>18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22.5" customHeight="1">
      <c r="A63" s="4" t="s">
        <v>19</v>
      </c>
      <c r="B63" s="86">
        <v>100.2775943175411</v>
      </c>
      <c r="C63" s="86">
        <v>100.27754791653402</v>
      </c>
      <c r="D63" s="86">
        <v>100.27750152587794</v>
      </c>
      <c r="E63" s="86">
        <v>100.27745514557056</v>
      </c>
      <c r="F63" s="86">
        <v>100.27740877560954</v>
      </c>
      <c r="G63" s="86">
        <v>100.27736241599261</v>
      </c>
      <c r="H63" s="86">
        <v>100.30513295997655</v>
      </c>
      <c r="I63" s="86">
        <v>100.29861996202051</v>
      </c>
      <c r="J63" s="86">
        <v>100.29857363342197</v>
      </c>
      <c r="K63" s="86">
        <v>100.29852731515825</v>
      </c>
      <c r="L63" s="86">
        <v>100.2984810072271</v>
      </c>
      <c r="M63" s="86">
        <v>100.29843470962616</v>
      </c>
      <c r="N63" s="86">
        <f t="shared" si="2"/>
        <v>100.28855330704636</v>
      </c>
      <c r="R63" s="65" t="s">
        <v>20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22.5" customHeight="1">
      <c r="A64" s="4" t="s">
        <v>75</v>
      </c>
      <c r="B64" s="86">
        <v>97.497753299744332</v>
      </c>
      <c r="C64" s="86">
        <v>97.356318579448754</v>
      </c>
      <c r="D64" s="86">
        <v>96.99116416377224</v>
      </c>
      <c r="E64" s="86">
        <v>96.60782051583665</v>
      </c>
      <c r="F64" s="86">
        <v>96.607870755573899</v>
      </c>
      <c r="G64" s="86">
        <v>96.317698563502105</v>
      </c>
      <c r="H64" s="86">
        <v>96.317698563502105</v>
      </c>
      <c r="I64" s="86">
        <v>96.305054780468524</v>
      </c>
      <c r="J64" s="86">
        <v>96.395118053266444</v>
      </c>
      <c r="K64" s="86">
        <v>96.397363668684946</v>
      </c>
      <c r="L64" s="86">
        <v>102.05153330771246</v>
      </c>
      <c r="M64" s="86">
        <v>101.47005642961014</v>
      </c>
      <c r="N64" s="86">
        <f t="shared" si="2"/>
        <v>97.526287556760209</v>
      </c>
      <c r="R64" s="65" t="s">
        <v>22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22.5" customHeight="1">
      <c r="A65" s="4" t="s">
        <v>76</v>
      </c>
      <c r="B65" s="86">
        <v>98.911978413649948</v>
      </c>
      <c r="C65" s="86">
        <v>98.259994175999253</v>
      </c>
      <c r="D65" s="86">
        <v>89.979937162326507</v>
      </c>
      <c r="E65" s="86">
        <v>87.71411152191213</v>
      </c>
      <c r="F65" s="86">
        <v>88.1172696918604</v>
      </c>
      <c r="G65" s="86">
        <v>87.221799077238643</v>
      </c>
      <c r="H65" s="86">
        <v>89.962527188410903</v>
      </c>
      <c r="I65" s="86">
        <v>88.378615484139331</v>
      </c>
      <c r="J65" s="86">
        <v>88.007757581919165</v>
      </c>
      <c r="K65" s="86">
        <v>87.838395939246226</v>
      </c>
      <c r="L65" s="86">
        <v>87.1485171341631</v>
      </c>
      <c r="M65" s="86">
        <v>87.637371521933545</v>
      </c>
      <c r="N65" s="86">
        <f t="shared" si="2"/>
        <v>89.931522907733253</v>
      </c>
      <c r="R65" s="65" t="s">
        <v>24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22.5" customHeight="1">
      <c r="A66" s="5" t="s">
        <v>77</v>
      </c>
      <c r="B66" s="86">
        <v>100.24439734467647</v>
      </c>
      <c r="C66" s="86">
        <v>100.20676558691456</v>
      </c>
      <c r="D66" s="86">
        <v>100.20676558691456</v>
      </c>
      <c r="E66" s="86">
        <v>100.53909766306542</v>
      </c>
      <c r="F66" s="86">
        <v>100.42247431299552</v>
      </c>
      <c r="G66" s="86">
        <v>100.42247431299552</v>
      </c>
      <c r="H66" s="86">
        <v>100.42247431299552</v>
      </c>
      <c r="I66" s="86">
        <v>100.42247431299552</v>
      </c>
      <c r="J66" s="86">
        <v>100.91149429901036</v>
      </c>
      <c r="K66" s="86">
        <v>100.91149429901036</v>
      </c>
      <c r="L66" s="86">
        <v>100.91149429901036</v>
      </c>
      <c r="M66" s="86">
        <v>100.88465232894156</v>
      </c>
      <c r="N66" s="86">
        <f t="shared" si="2"/>
        <v>100.54217155496046</v>
      </c>
      <c r="R66" s="66" t="s">
        <v>26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8" customHeight="1">
      <c r="A67" s="3" t="s">
        <v>78</v>
      </c>
      <c r="B67" s="86">
        <v>100.14978985724414</v>
      </c>
      <c r="C67" s="86">
        <v>100.14978985724414</v>
      </c>
      <c r="D67" s="86">
        <v>100.15274548575101</v>
      </c>
      <c r="E67" s="86">
        <v>100.15098404964503</v>
      </c>
      <c r="F67" s="86">
        <v>100.1110742319907</v>
      </c>
      <c r="G67" s="86">
        <v>100.1110742319907</v>
      </c>
      <c r="H67" s="86">
        <v>100.15098404964505</v>
      </c>
      <c r="I67" s="86">
        <v>100.15098404964505</v>
      </c>
      <c r="J67" s="86">
        <v>100.15106853094828</v>
      </c>
      <c r="K67" s="86">
        <v>100.15106853094828</v>
      </c>
      <c r="L67" s="86">
        <v>100.15106853094828</v>
      </c>
      <c r="M67" s="86">
        <v>100.15106853094828</v>
      </c>
      <c r="N67" s="86">
        <f t="shared" si="2"/>
        <v>100.14430832807909</v>
      </c>
      <c r="R67" s="66" t="s">
        <v>28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s="61" customFormat="1" ht="22.5" customHeight="1">
      <c r="A68" s="3" t="s">
        <v>79</v>
      </c>
      <c r="B68" s="86">
        <v>99.968437183790058</v>
      </c>
      <c r="C68" s="86">
        <v>99.968437183790058</v>
      </c>
      <c r="D68" s="86">
        <v>100.03031046877466</v>
      </c>
      <c r="E68" s="86">
        <v>99.89730192840689</v>
      </c>
      <c r="F68" s="86">
        <v>99.89730192840689</v>
      </c>
      <c r="G68" s="86">
        <v>99.89730192840689</v>
      </c>
      <c r="H68" s="86">
        <v>99.89730192840689</v>
      </c>
      <c r="I68" s="86">
        <v>99.742241732628642</v>
      </c>
      <c r="J68" s="86">
        <v>99.742241732628642</v>
      </c>
      <c r="K68" s="86">
        <v>100.04478431261045</v>
      </c>
      <c r="L68" s="86">
        <v>100.44141085928615</v>
      </c>
      <c r="M68" s="86">
        <v>100.18104556605685</v>
      </c>
      <c r="N68" s="86">
        <f t="shared" si="2"/>
        <v>99.975676396099402</v>
      </c>
      <c r="R68" s="66" t="s">
        <v>30</v>
      </c>
      <c r="AA68" s="10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s="61" customFormat="1" ht="22.5" customHeight="1">
      <c r="A69" s="3" t="s">
        <v>80</v>
      </c>
      <c r="B69" s="86">
        <v>100</v>
      </c>
      <c r="C69" s="86">
        <v>100</v>
      </c>
      <c r="D69" s="86">
        <v>100</v>
      </c>
      <c r="E69" s="86">
        <v>100</v>
      </c>
      <c r="F69" s="86">
        <v>100</v>
      </c>
      <c r="G69" s="86">
        <v>100</v>
      </c>
      <c r="H69" s="86">
        <v>100</v>
      </c>
      <c r="I69" s="86">
        <v>100</v>
      </c>
      <c r="J69" s="86">
        <v>100</v>
      </c>
      <c r="K69" s="86">
        <v>100</v>
      </c>
      <c r="L69" s="86">
        <v>100</v>
      </c>
      <c r="M69" s="86">
        <v>100</v>
      </c>
      <c r="N69" s="86">
        <f t="shared" si="2"/>
        <v>100</v>
      </c>
      <c r="R69" s="63" t="s">
        <v>83</v>
      </c>
      <c r="AA69" s="10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s="61" customFormat="1" ht="33.75" customHeight="1">
      <c r="A70" s="5" t="s">
        <v>81</v>
      </c>
      <c r="B70" s="86">
        <v>99.755147763181512</v>
      </c>
      <c r="C70" s="86">
        <v>99.637941507337914</v>
      </c>
      <c r="D70" s="86">
        <v>99.633972286096764</v>
      </c>
      <c r="E70" s="86">
        <v>99.63134805426364</v>
      </c>
      <c r="F70" s="86">
        <v>99.824427447247444</v>
      </c>
      <c r="G70" s="86">
        <v>99.823156995792104</v>
      </c>
      <c r="H70" s="86">
        <v>99.814769265804642</v>
      </c>
      <c r="I70" s="86">
        <v>99.876319741688974</v>
      </c>
      <c r="J70" s="86">
        <v>99.98020070312235</v>
      </c>
      <c r="K70" s="86">
        <v>100.05964661073565</v>
      </c>
      <c r="L70" s="86">
        <v>100.09204761197773</v>
      </c>
      <c r="M70" s="86">
        <v>99.932767836525414</v>
      </c>
      <c r="N70" s="86">
        <f t="shared" si="2"/>
        <v>99.838478818647857</v>
      </c>
      <c r="R70" s="66" t="s">
        <v>31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22.5" customHeight="1">
      <c r="A71" s="6" t="s">
        <v>32</v>
      </c>
      <c r="B71" s="91">
        <v>100.32587779110438</v>
      </c>
      <c r="C71" s="91">
        <v>100.24358992162354</v>
      </c>
      <c r="D71" s="91">
        <v>99.071858659002885</v>
      </c>
      <c r="E71" s="91">
        <v>96.591092702135128</v>
      </c>
      <c r="F71" s="91">
        <v>96.787652914485719</v>
      </c>
      <c r="G71" s="91">
        <v>96.044835334245874</v>
      </c>
      <c r="H71" s="91">
        <v>98.722327490343375</v>
      </c>
      <c r="I71" s="91">
        <v>99.496028898165306</v>
      </c>
      <c r="J71" s="91">
        <v>99.599460942769028</v>
      </c>
      <c r="K71" s="91">
        <v>99.704492413239635</v>
      </c>
      <c r="L71" s="91">
        <v>100.01394405576691</v>
      </c>
      <c r="M71" s="91">
        <v>100.12191986331926</v>
      </c>
      <c r="N71" s="91">
        <f t="shared" si="2"/>
        <v>98.893590082183422</v>
      </c>
      <c r="R71" s="67" t="s">
        <v>33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22.5" customHeight="1">
      <c r="A72" s="7" t="s">
        <v>34</v>
      </c>
      <c r="B72" s="92">
        <v>100.19067125601445</v>
      </c>
      <c r="C72" s="92">
        <v>99.902499659400817</v>
      </c>
      <c r="D72" s="92">
        <v>98.752962831425805</v>
      </c>
      <c r="E72" s="92">
        <v>96.093147257273245</v>
      </c>
      <c r="F72" s="92">
        <v>96.073936009465001</v>
      </c>
      <c r="G72" s="92">
        <v>95.6355559903337</v>
      </c>
      <c r="H72" s="92">
        <v>98.629978746893713</v>
      </c>
      <c r="I72" s="92">
        <v>99.319302443364919</v>
      </c>
      <c r="J72" s="92">
        <v>99.438098976974004</v>
      </c>
      <c r="K72" s="92">
        <v>99.547924478612941</v>
      </c>
      <c r="L72" s="92">
        <v>100.10985411950561</v>
      </c>
      <c r="M72" s="92">
        <v>100.20115898020327</v>
      </c>
      <c r="N72" s="92">
        <f t="shared" si="2"/>
        <v>98.657924229122273</v>
      </c>
      <c r="O72" s="26"/>
      <c r="P72" s="26"/>
      <c r="Q72" s="26"/>
      <c r="R72" s="68" t="s">
        <v>35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7.25">
      <c r="A73" s="64" t="s">
        <v>3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R73" s="63" t="s">
        <v>4</v>
      </c>
    </row>
    <row r="74" spans="1:40" ht="15" customHeight="1"/>
    <row r="75" spans="1:40" ht="15" customHeight="1"/>
    <row r="76" spans="1:40" ht="15" customHeight="1"/>
    <row r="77" spans="1:40" ht="15" customHeight="1">
      <c r="Q77" s="47"/>
    </row>
    <row r="78" spans="1:40" ht="15" customHeight="1">
      <c r="Q78" s="47"/>
    </row>
    <row r="79" spans="1:40" ht="15" customHeight="1">
      <c r="Q79" s="47"/>
    </row>
    <row r="80" spans="1:40" ht="15" customHeight="1">
      <c r="Q80" s="47"/>
    </row>
    <row r="81" spans="17:40" ht="15" customHeight="1">
      <c r="Q81" s="47"/>
      <c r="AC81" s="10">
        <v>2010</v>
      </c>
      <c r="AD81" s="10">
        <v>2011</v>
      </c>
      <c r="AE81" s="10">
        <v>2012</v>
      </c>
      <c r="AF81" s="10">
        <v>2013</v>
      </c>
      <c r="AG81" s="10">
        <v>2014</v>
      </c>
      <c r="AH81" s="48">
        <v>2015</v>
      </c>
      <c r="AI81" s="10">
        <v>2016</v>
      </c>
      <c r="AJ81" s="48">
        <v>2017</v>
      </c>
      <c r="AK81" s="48">
        <v>2018</v>
      </c>
      <c r="AL81" s="48">
        <v>2019</v>
      </c>
      <c r="AM81" s="48">
        <v>2020</v>
      </c>
    </row>
    <row r="82" spans="17:40" ht="15" customHeight="1">
      <c r="Q82" s="47"/>
      <c r="R82" s="2"/>
      <c r="AB82" s="12" t="s">
        <v>5</v>
      </c>
      <c r="AC82" s="49">
        <v>69.554480633976965</v>
      </c>
      <c r="AD82" s="49">
        <v>83.416709968576413</v>
      </c>
      <c r="AE82" s="49">
        <v>98.126990664931839</v>
      </c>
      <c r="AF82" s="49">
        <v>105.15731822206406</v>
      </c>
      <c r="AG82" s="49">
        <v>105.91516633353841</v>
      </c>
      <c r="AH82" s="49">
        <v>106.42761479980396</v>
      </c>
      <c r="AI82" s="49">
        <v>107.04157551050889</v>
      </c>
      <c r="AJ82" s="49">
        <v>113.03489126776282</v>
      </c>
      <c r="AK82" s="49">
        <v>111.81011866226531</v>
      </c>
      <c r="AL82" s="49">
        <v>99.755867509454859</v>
      </c>
      <c r="AM82" s="49">
        <f t="shared" ref="AM82:AM99" si="3">N9</f>
        <v>102.47540524074198</v>
      </c>
      <c r="AN82" s="37"/>
    </row>
    <row r="83" spans="17:40" ht="15" customHeight="1">
      <c r="Q83" s="47"/>
      <c r="R83" s="2"/>
      <c r="AB83" s="50" t="s">
        <v>7</v>
      </c>
      <c r="AC83" s="49">
        <v>84.204150454829019</v>
      </c>
      <c r="AD83" s="49">
        <v>94.794400673064558</v>
      </c>
      <c r="AE83" s="49">
        <v>100.0268178957039</v>
      </c>
      <c r="AF83" s="49">
        <v>105.46827201556327</v>
      </c>
      <c r="AG83" s="49">
        <v>105.77637644985344</v>
      </c>
      <c r="AH83" s="49">
        <v>106.72890504792964</v>
      </c>
      <c r="AI83" s="49">
        <v>108.34446887815083</v>
      </c>
      <c r="AJ83" s="49">
        <v>115.49732275295001</v>
      </c>
      <c r="AK83" s="49">
        <v>112.9320821179051</v>
      </c>
      <c r="AL83" s="49">
        <v>100.0189697454872</v>
      </c>
      <c r="AM83" s="49">
        <f t="shared" si="3"/>
        <v>102.77972111001579</v>
      </c>
      <c r="AN83" s="37"/>
    </row>
    <row r="84" spans="17:40" ht="15" customHeight="1">
      <c r="Q84" s="47"/>
      <c r="R84" s="2"/>
      <c r="AB84" s="51" t="s">
        <v>9</v>
      </c>
      <c r="AC84" s="49">
        <v>36.005776836416281</v>
      </c>
      <c r="AD84" s="49">
        <v>57.361052741283949</v>
      </c>
      <c r="AE84" s="49">
        <v>93.7760772522998</v>
      </c>
      <c r="AF84" s="49">
        <v>104.44563486657425</v>
      </c>
      <c r="AG84" s="49">
        <v>106.23281626157906</v>
      </c>
      <c r="AH84" s="49">
        <v>105.73804850653096</v>
      </c>
      <c r="AI84" s="49">
        <v>104.05962917920893</v>
      </c>
      <c r="AJ84" s="49">
        <v>107.39909733735</v>
      </c>
      <c r="AK84" s="49">
        <v>109.24226860370483</v>
      </c>
      <c r="AL84" s="49">
        <v>102.19215981021229</v>
      </c>
      <c r="AM84" s="49">
        <f t="shared" si="3"/>
        <v>101.15085971078189</v>
      </c>
      <c r="AN84" s="37"/>
    </row>
    <row r="85" spans="17:40" ht="15" customHeight="1">
      <c r="Q85" s="47"/>
      <c r="R85" s="2"/>
      <c r="AB85" s="3" t="s">
        <v>11</v>
      </c>
      <c r="AC85" s="49">
        <v>50.532891620339313</v>
      </c>
      <c r="AD85" s="49">
        <v>64.296766109008189</v>
      </c>
      <c r="AE85" s="49">
        <v>101.2436810917912</v>
      </c>
      <c r="AF85" s="49">
        <v>98.00579870542515</v>
      </c>
      <c r="AG85" s="49">
        <v>100.18505236961772</v>
      </c>
      <c r="AH85" s="49">
        <v>117.46360163260034</v>
      </c>
      <c r="AI85" s="49">
        <v>122.18459773517431</v>
      </c>
      <c r="AJ85" s="49">
        <v>154.41417266945828</v>
      </c>
      <c r="AK85" s="49">
        <v>167.34151423693964</v>
      </c>
      <c r="AL85" s="49">
        <v>100.23444513498929</v>
      </c>
      <c r="AM85" s="49">
        <f t="shared" si="3"/>
        <v>112.71042998288897</v>
      </c>
      <c r="AN85" s="37"/>
    </row>
    <row r="86" spans="17:40" ht="15" customHeight="1">
      <c r="Q86" s="47"/>
      <c r="R86" s="2"/>
      <c r="AB86" s="51" t="s">
        <v>12</v>
      </c>
      <c r="AC86" s="49">
        <v>72.534285938334179</v>
      </c>
      <c r="AD86" s="49">
        <v>81.881292827210913</v>
      </c>
      <c r="AE86" s="49">
        <v>98.359038463336105</v>
      </c>
      <c r="AF86" s="49">
        <v>101.52586212230904</v>
      </c>
      <c r="AG86" s="49">
        <v>102.46527730468375</v>
      </c>
      <c r="AH86" s="49">
        <v>101.54061731751705</v>
      </c>
      <c r="AI86" s="49">
        <v>100.99558210523537</v>
      </c>
      <c r="AJ86" s="49">
        <v>100.29057707007946</v>
      </c>
      <c r="AK86" s="49">
        <v>98.155711491556062</v>
      </c>
      <c r="AL86" s="49">
        <v>99.962545178697326</v>
      </c>
      <c r="AM86" s="49">
        <f t="shared" si="3"/>
        <v>98.02332989811508</v>
      </c>
      <c r="AN86" s="37"/>
    </row>
    <row r="87" spans="17:40" ht="15" customHeight="1">
      <c r="Q87" s="47"/>
      <c r="R87" s="2"/>
      <c r="AB87" s="51" t="s">
        <v>14</v>
      </c>
      <c r="AC87" s="49">
        <v>93.758762276598645</v>
      </c>
      <c r="AD87" s="49">
        <v>96.487654366096692</v>
      </c>
      <c r="AE87" s="49">
        <v>99.951850044063292</v>
      </c>
      <c r="AF87" s="49">
        <v>103.51724004351574</v>
      </c>
      <c r="AG87" s="49">
        <v>106.69055604936631</v>
      </c>
      <c r="AH87" s="49">
        <v>107.78553856963902</v>
      </c>
      <c r="AI87" s="49">
        <v>108.10803524718015</v>
      </c>
      <c r="AJ87" s="49">
        <v>109.47834485115725</v>
      </c>
      <c r="AK87" s="49">
        <v>109.29547192198891</v>
      </c>
      <c r="AL87" s="49">
        <v>99.542874629829512</v>
      </c>
      <c r="AM87" s="49">
        <f t="shared" si="3"/>
        <v>94.86124691140401</v>
      </c>
      <c r="AN87" s="37"/>
    </row>
    <row r="88" spans="17:40" ht="15" customHeight="1">
      <c r="Q88" s="47"/>
      <c r="R88" s="2"/>
      <c r="AB88" s="51" t="s">
        <v>16</v>
      </c>
      <c r="AC88" s="49">
        <v>91.040551259171139</v>
      </c>
      <c r="AD88" s="49">
        <v>95.103608962918898</v>
      </c>
      <c r="AE88" s="49">
        <v>100.07057660044312</v>
      </c>
      <c r="AF88" s="49">
        <v>104.08964183574052</v>
      </c>
      <c r="AG88" s="49">
        <v>108.54742074440985</v>
      </c>
      <c r="AH88" s="49">
        <v>112.36921152715941</v>
      </c>
      <c r="AI88" s="49">
        <v>116.59514145414504</v>
      </c>
      <c r="AJ88" s="49">
        <v>122.00177799672292</v>
      </c>
      <c r="AK88" s="49">
        <v>129.26555175057555</v>
      </c>
      <c r="AL88" s="49">
        <v>99.287613094180429</v>
      </c>
      <c r="AM88" s="49">
        <f t="shared" si="3"/>
        <v>95.666467120853881</v>
      </c>
      <c r="AN88" s="37"/>
    </row>
    <row r="89" spans="17:40" ht="15" customHeight="1">
      <c r="Q89" s="47"/>
      <c r="R89" s="2"/>
      <c r="AB89" s="12" t="s">
        <v>17</v>
      </c>
      <c r="AC89" s="49">
        <v>80.397772506783596</v>
      </c>
      <c r="AD89" s="49">
        <v>83.774232067142066</v>
      </c>
      <c r="AE89" s="49">
        <v>98.65523637265558</v>
      </c>
      <c r="AF89" s="49">
        <v>97.029807398560521</v>
      </c>
      <c r="AG89" s="49">
        <v>96.030794344264748</v>
      </c>
      <c r="AH89" s="49">
        <v>96.619226474540611</v>
      </c>
      <c r="AI89" s="49">
        <v>97.499129166170533</v>
      </c>
      <c r="AJ89" s="49">
        <v>98.588794205371599</v>
      </c>
      <c r="AK89" s="49">
        <v>97.270333580269437</v>
      </c>
      <c r="AL89" s="49">
        <v>100.03347598488823</v>
      </c>
      <c r="AM89" s="49">
        <f t="shared" si="3"/>
        <v>99.461737147374166</v>
      </c>
      <c r="AN89" s="37"/>
    </row>
    <row r="90" spans="17:40" ht="15" customHeight="1">
      <c r="Q90" s="47"/>
      <c r="R90" s="2"/>
      <c r="AB90" s="52" t="s">
        <v>19</v>
      </c>
      <c r="AC90" s="49">
        <v>123.09882000085349</v>
      </c>
      <c r="AD90" s="49">
        <v>136.10400273752558</v>
      </c>
      <c r="AE90" s="49">
        <v>103.11447443846129</v>
      </c>
      <c r="AF90" s="49">
        <v>110.75985912203326</v>
      </c>
      <c r="AG90" s="49">
        <v>120.99690521142638</v>
      </c>
      <c r="AH90" s="49">
        <v>123.58711110547449</v>
      </c>
      <c r="AI90" s="49">
        <v>125.81722828813672</v>
      </c>
      <c r="AJ90" s="49">
        <v>125.52846282798579</v>
      </c>
      <c r="AK90" s="49">
        <v>126.1113957972745</v>
      </c>
      <c r="AL90" s="49">
        <v>99.651230898131658</v>
      </c>
      <c r="AM90" s="49">
        <f t="shared" si="3"/>
        <v>100.16020770865238</v>
      </c>
      <c r="AN90" s="37"/>
    </row>
    <row r="91" spans="17:40" ht="12.75">
      <c r="R91" s="2"/>
      <c r="AB91" s="52" t="s">
        <v>21</v>
      </c>
      <c r="AC91" s="49">
        <v>80.571924425587255</v>
      </c>
      <c r="AD91" s="49">
        <v>91.644770975471246</v>
      </c>
      <c r="AE91" s="49">
        <v>99.95473548796538</v>
      </c>
      <c r="AF91" s="49">
        <v>102.17949400970934</v>
      </c>
      <c r="AG91" s="49">
        <v>105.37961599773739</v>
      </c>
      <c r="AH91" s="49">
        <v>102.92917404156066</v>
      </c>
      <c r="AI91" s="49">
        <v>101.34706519435288</v>
      </c>
      <c r="AJ91" s="49">
        <v>101.83981865912176</v>
      </c>
      <c r="AK91" s="49">
        <v>102.86901120705778</v>
      </c>
      <c r="AL91" s="49">
        <v>99.177907186017364</v>
      </c>
      <c r="AM91" s="49">
        <f t="shared" si="3"/>
        <v>98.121113915620427</v>
      </c>
      <c r="AN91" s="37"/>
    </row>
    <row r="92" spans="17:40" ht="12.75">
      <c r="R92" s="2"/>
      <c r="AB92" s="52" t="s">
        <v>23</v>
      </c>
      <c r="AC92" s="49">
        <v>100.38298344923554</v>
      </c>
      <c r="AD92" s="49">
        <v>100.6195512642537</v>
      </c>
      <c r="AE92" s="49">
        <v>100.00528180711392</v>
      </c>
      <c r="AF92" s="49">
        <v>99.050815085253589</v>
      </c>
      <c r="AG92" s="49">
        <v>100.28780520090577</v>
      </c>
      <c r="AH92" s="49">
        <v>100.55782006117782</v>
      </c>
      <c r="AI92" s="49">
        <v>99.79368976091358</v>
      </c>
      <c r="AJ92" s="49">
        <v>99.659396804799613</v>
      </c>
      <c r="AK92" s="49">
        <v>100.41005623870753</v>
      </c>
      <c r="AL92" s="49">
        <v>100.25721192236689</v>
      </c>
      <c r="AM92" s="49">
        <f t="shared" si="3"/>
        <v>90.470883420594149</v>
      </c>
      <c r="AN92" s="37"/>
    </row>
    <row r="93" spans="17:40" ht="24">
      <c r="R93" s="2"/>
      <c r="AB93" s="53" t="s">
        <v>25</v>
      </c>
      <c r="AC93" s="49">
        <v>100.01905005623114</v>
      </c>
      <c r="AD93" s="49">
        <v>97.89290317146407</v>
      </c>
      <c r="AE93" s="49">
        <v>99.531777140452178</v>
      </c>
      <c r="AF93" s="49">
        <v>98.82807875047888</v>
      </c>
      <c r="AG93" s="49">
        <v>102.2003441480955</v>
      </c>
      <c r="AH93" s="49">
        <v>101.95630588932649</v>
      </c>
      <c r="AI93" s="49">
        <v>100.69713942933714</v>
      </c>
      <c r="AJ93" s="49">
        <v>100.58404074832116</v>
      </c>
      <c r="AK93" s="49">
        <v>99.029706628505878</v>
      </c>
      <c r="AL93" s="49">
        <v>100.42641155289699</v>
      </c>
      <c r="AM93" s="49">
        <f t="shared" si="3"/>
        <v>100.19763794724838</v>
      </c>
      <c r="AN93" s="37"/>
    </row>
    <row r="94" spans="17:40" ht="12.75">
      <c r="R94" s="2"/>
      <c r="AB94" s="51" t="s">
        <v>27</v>
      </c>
      <c r="AC94" s="49">
        <v>72.465176121953334</v>
      </c>
      <c r="AD94" s="49">
        <v>85.752154766717368</v>
      </c>
      <c r="AE94" s="49">
        <v>100.26897294373833</v>
      </c>
      <c r="AF94" s="49">
        <v>105.75107702222947</v>
      </c>
      <c r="AG94" s="49">
        <v>110.56855328746506</v>
      </c>
      <c r="AH94" s="49">
        <v>119.00762505009182</v>
      </c>
      <c r="AI94" s="49">
        <v>124.80292719209795</v>
      </c>
      <c r="AJ94" s="49">
        <v>130.07859259520549</v>
      </c>
      <c r="AK94" s="49">
        <v>133.11915518648536</v>
      </c>
      <c r="AL94" s="49">
        <v>99.997620891203681</v>
      </c>
      <c r="AM94" s="49">
        <f t="shared" si="3"/>
        <v>99.911814142191687</v>
      </c>
      <c r="AN94" s="37"/>
    </row>
    <row r="95" spans="17:40" ht="12.75">
      <c r="R95" s="2"/>
      <c r="AB95" s="45" t="s">
        <v>29</v>
      </c>
      <c r="AC95" s="49">
        <v>70.167294544238487</v>
      </c>
      <c r="AD95" s="49">
        <v>81.124231104476152</v>
      </c>
      <c r="AE95" s="49">
        <v>103.56604942649903</v>
      </c>
      <c r="AF95" s="49">
        <v>115.92908544747458</v>
      </c>
      <c r="AG95" s="49">
        <v>121.3287709962447</v>
      </c>
      <c r="AH95" s="49">
        <v>121.06073734975051</v>
      </c>
      <c r="AI95" s="49">
        <v>123.14673548135868</v>
      </c>
      <c r="AJ95" s="49">
        <v>125.6295963585136</v>
      </c>
      <c r="AK95" s="49">
        <v>128.2294953174422</v>
      </c>
      <c r="AL95" s="49">
        <v>99.155419008916851</v>
      </c>
      <c r="AM95" s="49">
        <f t="shared" si="3"/>
        <v>100.13952412632808</v>
      </c>
      <c r="AN95" s="37"/>
    </row>
    <row r="96" spans="17:40" ht="12.75">
      <c r="R96" s="2"/>
      <c r="AB96" s="3" t="s">
        <v>80</v>
      </c>
      <c r="AC96" s="10" t="s">
        <v>2</v>
      </c>
      <c r="AD96" s="10" t="s">
        <v>2</v>
      </c>
      <c r="AE96" s="10" t="s">
        <v>2</v>
      </c>
      <c r="AF96" s="10" t="s">
        <v>2</v>
      </c>
      <c r="AG96" s="10" t="s">
        <v>2</v>
      </c>
      <c r="AH96" s="10" t="s">
        <v>2</v>
      </c>
      <c r="AI96" s="10" t="s">
        <v>2</v>
      </c>
      <c r="AJ96" s="10" t="s">
        <v>2</v>
      </c>
      <c r="AK96" s="10" t="s">
        <v>2</v>
      </c>
      <c r="AL96" s="10">
        <v>100</v>
      </c>
      <c r="AM96" s="49">
        <f t="shared" si="3"/>
        <v>100</v>
      </c>
      <c r="AN96" s="37"/>
    </row>
    <row r="97" spans="18:40" ht="108">
      <c r="R97" s="2"/>
      <c r="AB97" s="53" t="s">
        <v>81</v>
      </c>
      <c r="AC97" s="49">
        <v>80.738363693637908</v>
      </c>
      <c r="AD97" s="49">
        <v>86.725904563278689</v>
      </c>
      <c r="AE97" s="49">
        <v>100.59989156921542</v>
      </c>
      <c r="AF97" s="49">
        <v>99.01609787482279</v>
      </c>
      <c r="AG97" s="49">
        <v>98.892634758290214</v>
      </c>
      <c r="AH97" s="49">
        <v>98.735605526974709</v>
      </c>
      <c r="AI97" s="49">
        <v>98.469134997835681</v>
      </c>
      <c r="AJ97" s="49">
        <v>98.317889337161489</v>
      </c>
      <c r="AK97" s="49">
        <v>97.662171177004552</v>
      </c>
      <c r="AL97" s="49">
        <v>99.967391567614428</v>
      </c>
      <c r="AM97" s="49">
        <f t="shared" si="3"/>
        <v>99.879452184790821</v>
      </c>
      <c r="AN97" s="37"/>
    </row>
    <row r="98" spans="18:40" ht="24">
      <c r="R98" s="2"/>
      <c r="AB98" s="53" t="s">
        <v>32</v>
      </c>
      <c r="AC98" s="49">
        <v>80.568542845421106</v>
      </c>
      <c r="AD98" s="49">
        <v>89.651368722070842</v>
      </c>
      <c r="AE98" s="49">
        <v>99.409647361204449</v>
      </c>
      <c r="AF98" s="49">
        <v>103.19281073321666</v>
      </c>
      <c r="AG98" s="49">
        <v>105.38050013404563</v>
      </c>
      <c r="AH98" s="49">
        <v>106.38499407837655</v>
      </c>
      <c r="AI98" s="49">
        <v>106.91958868829052</v>
      </c>
      <c r="AJ98" s="49">
        <v>109.93201964009602</v>
      </c>
      <c r="AK98" s="49">
        <v>109.78539958307455</v>
      </c>
      <c r="AL98" s="49">
        <v>99.704026856120265</v>
      </c>
      <c r="AM98" s="49">
        <f t="shared" si="3"/>
        <v>98.338306764350818</v>
      </c>
      <c r="AN98" s="37"/>
    </row>
    <row r="99" spans="18:40" ht="36">
      <c r="R99" s="2"/>
      <c r="AB99" s="53" t="s">
        <v>34</v>
      </c>
      <c r="AC99" s="49">
        <v>84.338371332150743</v>
      </c>
      <c r="AD99" s="49">
        <v>91.679051572020867</v>
      </c>
      <c r="AE99" s="49">
        <v>100.14126599840249</v>
      </c>
      <c r="AF99" s="49">
        <v>103.07423491391059</v>
      </c>
      <c r="AG99" s="49">
        <v>105.29983112357628</v>
      </c>
      <c r="AH99" s="49">
        <v>106.44622541898161</v>
      </c>
      <c r="AI99" s="49">
        <v>107.1902747590181</v>
      </c>
      <c r="AJ99" s="49">
        <v>110.17175267946645</v>
      </c>
      <c r="AK99" s="49">
        <v>109.83680520270974</v>
      </c>
      <c r="AL99" s="49">
        <v>99.768516719136173</v>
      </c>
      <c r="AM99" s="49">
        <f t="shared" si="3"/>
        <v>98.217948718411449</v>
      </c>
      <c r="AN99" s="37"/>
    </row>
    <row r="100" spans="18:40" ht="12.75">
      <c r="R100" s="2"/>
    </row>
    <row r="101" spans="18:40" ht="12.75">
      <c r="R101" s="2"/>
      <c r="AB101" s="17"/>
      <c r="AC101" s="17"/>
      <c r="AD101" s="17"/>
      <c r="AE101" s="17"/>
    </row>
    <row r="102" spans="18:40" ht="12.75">
      <c r="R102" s="2"/>
      <c r="AB102" s="15"/>
      <c r="AC102" s="15"/>
      <c r="AD102" s="15"/>
      <c r="AE102" s="15"/>
    </row>
    <row r="103" spans="18:40" ht="12.75">
      <c r="R103" s="2"/>
      <c r="AD103" s="54" t="s">
        <v>90</v>
      </c>
      <c r="AE103" s="57">
        <v>99.024145997101201</v>
      </c>
      <c r="AF103" s="54"/>
      <c r="AG103" s="37"/>
    </row>
    <row r="104" spans="18:40" ht="12.75">
      <c r="R104" s="2"/>
      <c r="AD104" s="54" t="s">
        <v>51</v>
      </c>
      <c r="AE104" s="57">
        <v>99.344804114687122</v>
      </c>
      <c r="AF104" s="54"/>
      <c r="AG104" s="37"/>
    </row>
    <row r="105" spans="18:40" ht="15">
      <c r="AD105" s="54" t="s">
        <v>52</v>
      </c>
      <c r="AE105" s="57">
        <v>99.132707625477963</v>
      </c>
      <c r="AF105" s="54"/>
      <c r="AG105" s="37"/>
    </row>
    <row r="106" spans="18:40" ht="15">
      <c r="AD106" s="54" t="s">
        <v>53</v>
      </c>
      <c r="AE106" s="57">
        <v>99.533742480414617</v>
      </c>
      <c r="AF106" s="54"/>
      <c r="AG106" s="37"/>
    </row>
    <row r="107" spans="18:40" ht="15">
      <c r="AD107" s="54" t="s">
        <v>54</v>
      </c>
      <c r="AE107" s="57">
        <v>99.847391328514448</v>
      </c>
      <c r="AF107" s="54"/>
      <c r="AG107" s="37"/>
    </row>
    <row r="108" spans="18:40" ht="15">
      <c r="AD108" s="54" t="s">
        <v>55</v>
      </c>
      <c r="AE108" s="57">
        <v>100.09029082934444</v>
      </c>
      <c r="AF108" s="54"/>
      <c r="AG108" s="37"/>
    </row>
    <row r="109" spans="18:40" ht="15">
      <c r="AD109" s="54" t="s">
        <v>56</v>
      </c>
      <c r="AE109" s="57">
        <v>99.363852263327374</v>
      </c>
      <c r="AF109" s="54"/>
      <c r="AG109" s="37"/>
    </row>
    <row r="110" spans="18:40" ht="15">
      <c r="AD110" s="54" t="s">
        <v>57</v>
      </c>
      <c r="AE110" s="57">
        <v>100</v>
      </c>
      <c r="AF110" s="54"/>
      <c r="AG110" s="37"/>
    </row>
    <row r="111" spans="18:40" ht="15">
      <c r="AD111" s="54" t="s">
        <v>58</v>
      </c>
      <c r="AE111" s="57">
        <v>99.76655720061612</v>
      </c>
      <c r="AF111" s="54"/>
      <c r="AG111" s="37"/>
    </row>
    <row r="112" spans="18:40" ht="15">
      <c r="AD112" s="54" t="s">
        <v>59</v>
      </c>
      <c r="AE112" s="57">
        <v>100.04280196173474</v>
      </c>
      <c r="AF112" s="54"/>
      <c r="AG112" s="37"/>
    </row>
    <row r="113" spans="1:33" ht="15">
      <c r="AD113" s="54" t="s">
        <v>60</v>
      </c>
      <c r="AE113" s="57">
        <v>99.911763852084249</v>
      </c>
      <c r="AF113" s="54"/>
      <c r="AG113" s="37"/>
    </row>
    <row r="114" spans="1:33" ht="15">
      <c r="AD114" s="54" t="s">
        <v>61</v>
      </c>
      <c r="AE114" s="57">
        <v>100.39026462014091</v>
      </c>
      <c r="AF114" s="54"/>
      <c r="AG114" s="37"/>
    </row>
    <row r="115" spans="1:33" ht="15">
      <c r="AD115" s="54" t="s">
        <v>88</v>
      </c>
      <c r="AE115" s="57">
        <v>100.25198249012915</v>
      </c>
      <c r="AF115" s="54"/>
      <c r="AG115" s="37"/>
    </row>
    <row r="116" spans="1:33" ht="15">
      <c r="AD116" s="54" t="s">
        <v>51</v>
      </c>
      <c r="AE116" s="57">
        <v>100.25305581995573</v>
      </c>
      <c r="AF116" s="54"/>
      <c r="AG116" s="37"/>
    </row>
    <row r="117" spans="1:33" ht="15">
      <c r="A117" s="55"/>
      <c r="B117" s="62"/>
      <c r="C117" s="56"/>
      <c r="D117" s="56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85"/>
      <c r="AD117" s="54" t="s">
        <v>52</v>
      </c>
      <c r="AE117" s="57">
        <v>99.134360875184882</v>
      </c>
      <c r="AF117" s="54"/>
      <c r="AG117" s="37"/>
    </row>
    <row r="118" spans="1:33" ht="15">
      <c r="A118" s="55"/>
      <c r="B118" s="62"/>
      <c r="C118" s="56"/>
      <c r="D118" s="56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85"/>
      <c r="AD118" s="54" t="s">
        <v>53</v>
      </c>
      <c r="AE118" s="57">
        <v>95.928851542873616</v>
      </c>
      <c r="AF118" s="54"/>
      <c r="AG118" s="37"/>
    </row>
    <row r="119" spans="1:33" ht="15">
      <c r="A119" s="55"/>
      <c r="B119" s="62"/>
      <c r="C119" s="56"/>
      <c r="D119" s="56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85"/>
      <c r="AD119" s="54" t="s">
        <v>54</v>
      </c>
      <c r="AE119" s="57">
        <v>95.980515573689644</v>
      </c>
      <c r="AF119" s="54"/>
      <c r="AG119" s="37"/>
    </row>
    <row r="120" spans="1:33" ht="15">
      <c r="A120" s="55"/>
      <c r="B120" s="62"/>
      <c r="C120" s="56"/>
      <c r="D120" s="56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85"/>
      <c r="AD120" s="54" t="s">
        <v>55</v>
      </c>
      <c r="AE120" s="57">
        <v>95.584066696262042</v>
      </c>
      <c r="AF120" s="54"/>
      <c r="AG120" s="37"/>
    </row>
    <row r="121" spans="1:33" ht="15">
      <c r="A121" s="55"/>
      <c r="B121" s="62"/>
      <c r="C121" s="56"/>
      <c r="D121" s="56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85"/>
      <c r="AD121" s="54" t="s">
        <v>56</v>
      </c>
      <c r="AE121" s="57">
        <v>98.274426578525649</v>
      </c>
      <c r="AF121" s="54"/>
      <c r="AG121" s="37"/>
    </row>
    <row r="122" spans="1:33" ht="15">
      <c r="A122" s="55"/>
      <c r="B122" s="62"/>
      <c r="C122" s="56"/>
      <c r="D122" s="56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85"/>
      <c r="AD122" s="54" t="s">
        <v>57</v>
      </c>
      <c r="AE122" s="57">
        <v>98.804137332519716</v>
      </c>
      <c r="AF122" s="54"/>
      <c r="AG122" s="37"/>
    </row>
    <row r="123" spans="1:33" ht="15">
      <c r="A123" s="55"/>
      <c r="B123" s="62"/>
      <c r="C123" s="56"/>
      <c r="D123" s="56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85"/>
      <c r="AD123" s="54" t="s">
        <v>58</v>
      </c>
      <c r="AE123" s="57">
        <v>98.878005829685932</v>
      </c>
      <c r="AF123" s="54"/>
      <c r="AG123" s="37"/>
    </row>
    <row r="124" spans="1:33" ht="15">
      <c r="A124" s="55"/>
      <c r="B124" s="62"/>
      <c r="C124" s="56"/>
      <c r="D124" s="56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85"/>
      <c r="AD124" s="54" t="s">
        <v>59</v>
      </c>
      <c r="AE124" s="57">
        <v>98.89643815543414</v>
      </c>
      <c r="AF124" s="54"/>
      <c r="AG124" s="37"/>
    </row>
    <row r="125" spans="1:33" ht="15">
      <c r="A125" s="55"/>
      <c r="B125" s="62"/>
      <c r="C125" s="56"/>
      <c r="D125" s="56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85"/>
      <c r="AD125" s="54" t="s">
        <v>60</v>
      </c>
      <c r="AE125" s="57">
        <v>99.020036660051346</v>
      </c>
      <c r="AF125" s="54"/>
      <c r="AG125" s="37"/>
    </row>
    <row r="126" spans="1:33" ht="15">
      <c r="A126" s="55"/>
      <c r="B126" s="62"/>
      <c r="C126" s="56"/>
      <c r="D126" s="56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85"/>
      <c r="AD126" s="54" t="s">
        <v>61</v>
      </c>
      <c r="AE126" s="57">
        <v>99.053803617897771</v>
      </c>
      <c r="AF126" s="54"/>
      <c r="AG126" s="37"/>
    </row>
    <row r="127" spans="1:33">
      <c r="A127" s="55"/>
      <c r="B127" s="62"/>
      <c r="C127" s="56"/>
      <c r="D127" s="56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85"/>
      <c r="AF127" s="54"/>
      <c r="AG127" s="37"/>
    </row>
    <row r="128" spans="1:33">
      <c r="A128" s="55"/>
      <c r="B128" s="62"/>
      <c r="C128" s="56"/>
      <c r="D128" s="56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85"/>
      <c r="AF128" s="54"/>
      <c r="AG128" s="37"/>
    </row>
    <row r="129" spans="32:33">
      <c r="AF129" s="54"/>
      <c r="AG129" s="37"/>
    </row>
    <row r="130" spans="32:33">
      <c r="AF130" s="54"/>
      <c r="AG130" s="37"/>
    </row>
    <row r="131" spans="32:33">
      <c r="AF131" s="54"/>
      <c r="AG131" s="37"/>
    </row>
    <row r="132" spans="32:33">
      <c r="AF132" s="54"/>
      <c r="AG132" s="37"/>
    </row>
    <row r="133" spans="32:33">
      <c r="AF133" s="54"/>
      <c r="AG133" s="37"/>
    </row>
    <row r="134" spans="32:33">
      <c r="AF134" s="54"/>
      <c r="AG134" s="37"/>
    </row>
    <row r="135" spans="32:33">
      <c r="AF135" s="54"/>
      <c r="AG135" s="37"/>
    </row>
    <row r="136" spans="32:33">
      <c r="AF136" s="54"/>
      <c r="AG136" s="37"/>
    </row>
    <row r="137" spans="32:33">
      <c r="AF137" s="54"/>
      <c r="AG137" s="37"/>
    </row>
    <row r="138" spans="32:33">
      <c r="AF138" s="54"/>
      <c r="AG138" s="37"/>
    </row>
    <row r="139" spans="32:33">
      <c r="AF139" s="54"/>
      <c r="AG139" s="37"/>
    </row>
    <row r="140" spans="32:33">
      <c r="AF140" s="54"/>
      <c r="AG140" s="37"/>
    </row>
    <row r="141" spans="32:33">
      <c r="AF141" s="54"/>
      <c r="AG141" s="37"/>
    </row>
    <row r="142" spans="32:33">
      <c r="AF142" s="54"/>
      <c r="AG142" s="37"/>
    </row>
    <row r="143" spans="32:33">
      <c r="AF143" s="54"/>
      <c r="AG143" s="37"/>
    </row>
    <row r="144" spans="32:33">
      <c r="AF144" s="54"/>
      <c r="AG144" s="37"/>
    </row>
    <row r="145" spans="32:33">
      <c r="AF145" s="54"/>
      <c r="AG145" s="37"/>
    </row>
    <row r="146" spans="32:33">
      <c r="AF146" s="54"/>
      <c r="AG146" s="37"/>
    </row>
    <row r="147" spans="32:33">
      <c r="AF147" s="54"/>
      <c r="AG147" s="37"/>
    </row>
    <row r="148" spans="32:33">
      <c r="AF148" s="54"/>
      <c r="AG148" s="37"/>
    </row>
    <row r="149" spans="32:33">
      <c r="AF149" s="54"/>
      <c r="AG149" s="37"/>
    </row>
    <row r="150" spans="32:33">
      <c r="AF150" s="54"/>
      <c r="AG150" s="37"/>
    </row>
    <row r="151" spans="32:33">
      <c r="AF151" s="54"/>
      <c r="AG151" s="47"/>
    </row>
    <row r="152" spans="32:33">
      <c r="AF152" s="54"/>
      <c r="AG152" s="47"/>
    </row>
    <row r="153" spans="32:33">
      <c r="AF153" s="54"/>
      <c r="AG153" s="47"/>
    </row>
    <row r="154" spans="32:33">
      <c r="AF154" s="54"/>
      <c r="AG154" s="47"/>
    </row>
    <row r="155" spans="32:33">
      <c r="AF155" s="54"/>
      <c r="AG155" s="47"/>
    </row>
    <row r="156" spans="32:33">
      <c r="AF156" s="54"/>
      <c r="AG156" s="47"/>
    </row>
    <row r="157" spans="32:33">
      <c r="AF157" s="54"/>
      <c r="AG157" s="47"/>
    </row>
    <row r="158" spans="32:33">
      <c r="AF158" s="54"/>
      <c r="AG158" s="47"/>
    </row>
    <row r="159" spans="32:33">
      <c r="AF159" s="54"/>
      <c r="AG159" s="47"/>
    </row>
    <row r="160" spans="32:33">
      <c r="AF160" s="54"/>
      <c r="AG160" s="47"/>
    </row>
    <row r="161" spans="32:33">
      <c r="AF161" s="54"/>
      <c r="AG161" s="47"/>
    </row>
    <row r="162" spans="32:33">
      <c r="AF162" s="54"/>
      <c r="AG162" s="47"/>
    </row>
    <row r="163" spans="32:33">
      <c r="AF163" s="54"/>
      <c r="AG163" s="37"/>
    </row>
    <row r="164" spans="32:33" ht="15">
      <c r="AF164" s="54"/>
      <c r="AG164" s="9"/>
    </row>
    <row r="165" spans="32:33" ht="15">
      <c r="AF165" s="54"/>
      <c r="AG165" s="9"/>
    </row>
    <row r="166" spans="32:33">
      <c r="AF166" s="54"/>
      <c r="AG166" s="37"/>
    </row>
    <row r="167" spans="32:33">
      <c r="AF167" s="54"/>
      <c r="AG167" s="37"/>
    </row>
    <row r="168" spans="32:33">
      <c r="AF168" s="54"/>
      <c r="AG168" s="37"/>
    </row>
    <row r="169" spans="32:33">
      <c r="AF169" s="54"/>
      <c r="AG169" s="37"/>
    </row>
    <row r="170" spans="32:33">
      <c r="AF170" s="54"/>
      <c r="AG170" s="37"/>
    </row>
    <row r="171" spans="32:33">
      <c r="AF171" s="54"/>
      <c r="AG171" s="37"/>
    </row>
    <row r="172" spans="32:33">
      <c r="AF172" s="54"/>
      <c r="AG172" s="37"/>
    </row>
    <row r="173" spans="32:33">
      <c r="AF173" s="54"/>
      <c r="AG173" s="37"/>
    </row>
    <row r="174" spans="32:33">
      <c r="AF174" s="54"/>
      <c r="AG174" s="37"/>
    </row>
    <row r="175" spans="32:33" ht="15">
      <c r="AF175" s="54"/>
      <c r="AG175" s="57"/>
    </row>
    <row r="176" spans="32:33" ht="15">
      <c r="AF176" s="54"/>
      <c r="AG176" s="57"/>
    </row>
    <row r="177" spans="32:33" ht="15">
      <c r="AF177" s="54"/>
      <c r="AG177" s="57"/>
    </row>
    <row r="178" spans="32:33" ht="15">
      <c r="AF178" s="54"/>
      <c r="AG178" s="57"/>
    </row>
    <row r="179" spans="32:33" ht="15">
      <c r="AF179" s="54"/>
      <c r="AG179" s="57"/>
    </row>
    <row r="180" spans="32:33" ht="15">
      <c r="AF180" s="54"/>
      <c r="AG180" s="57"/>
    </row>
    <row r="181" spans="32:33" ht="15">
      <c r="AF181" s="54"/>
      <c r="AG181" s="57"/>
    </row>
    <row r="182" spans="32:33" ht="15">
      <c r="AF182" s="54"/>
      <c r="AG182" s="57"/>
    </row>
    <row r="183" spans="32:33" ht="15">
      <c r="AF183" s="54"/>
      <c r="AG183" s="57"/>
    </row>
    <row r="184" spans="32:33" ht="15">
      <c r="AF184" s="54"/>
      <c r="AG184" s="57"/>
    </row>
    <row r="185" spans="32:33" ht="15">
      <c r="AF185" s="54"/>
      <c r="AG185" s="57"/>
    </row>
    <row r="186" spans="32:33" ht="15">
      <c r="AF186" s="54"/>
      <c r="AG186" s="57"/>
    </row>
    <row r="187" spans="32:33" ht="15">
      <c r="AF187" s="54"/>
      <c r="AG187" s="57"/>
    </row>
    <row r="188" spans="32:33" ht="15">
      <c r="AF188" s="54"/>
      <c r="AG188" s="57"/>
    </row>
    <row r="189" spans="32:33" ht="15">
      <c r="AF189" s="54"/>
      <c r="AG189" s="57"/>
    </row>
    <row r="190" spans="32:33" ht="15">
      <c r="AF190" s="54"/>
      <c r="AG190" s="57"/>
    </row>
    <row r="191" spans="32:33" ht="15">
      <c r="AF191" s="54"/>
      <c r="AG191" s="57"/>
    </row>
    <row r="192" spans="32:33" ht="15">
      <c r="AF192" s="54"/>
      <c r="AG192" s="57"/>
    </row>
    <row r="193" spans="32:33" ht="15">
      <c r="AF193" s="54"/>
      <c r="AG193" s="57"/>
    </row>
    <row r="194" spans="32:33" ht="15">
      <c r="AF194" s="54"/>
      <c r="AG194" s="57"/>
    </row>
    <row r="195" spans="32:33" ht="15">
      <c r="AF195" s="54"/>
      <c r="AG195" s="57"/>
    </row>
    <row r="196" spans="32:33" ht="15">
      <c r="AF196" s="54"/>
      <c r="AG196" s="57"/>
    </row>
    <row r="197" spans="32:33" ht="15">
      <c r="AF197" s="54"/>
      <c r="AG197" s="57"/>
    </row>
    <row r="198" spans="32:33" ht="15">
      <c r="AF198" s="54"/>
      <c r="AG198" s="57"/>
    </row>
    <row r="199" spans="32:33" ht="15">
      <c r="AF199" s="54"/>
      <c r="AG199" s="101"/>
    </row>
    <row r="200" spans="32:33" ht="15">
      <c r="AF200" s="54"/>
      <c r="AG200" s="101"/>
    </row>
    <row r="201" spans="32:33" ht="15">
      <c r="AF201" s="54"/>
      <c r="AG201" s="101"/>
    </row>
    <row r="202" spans="32:33" ht="15">
      <c r="AF202" s="54"/>
      <c r="AG202" s="101"/>
    </row>
    <row r="203" spans="32:33" ht="15">
      <c r="AF203" s="54"/>
      <c r="AG203" s="101"/>
    </row>
    <row r="204" spans="32:33" ht="15">
      <c r="AF204" s="54"/>
      <c r="AG204" s="101"/>
    </row>
    <row r="205" spans="32:33" ht="15">
      <c r="AF205" s="54"/>
      <c r="AG205" s="101"/>
    </row>
    <row r="206" spans="32:33" ht="15">
      <c r="AF206" s="54"/>
      <c r="AG206" s="101"/>
    </row>
    <row r="207" spans="32:33" ht="15">
      <c r="AF207" s="54"/>
      <c r="AG207" s="101"/>
    </row>
    <row r="208" spans="32:33" ht="15">
      <c r="AF208" s="54"/>
      <c r="AG208" s="101"/>
    </row>
    <row r="209" spans="32:33" ht="15">
      <c r="AF209" s="54"/>
      <c r="AG209" s="101"/>
    </row>
    <row r="210" spans="32:33" ht="15">
      <c r="AF210" s="54"/>
      <c r="AG210" s="101"/>
    </row>
    <row r="211" spans="32:33" ht="15">
      <c r="AF211" s="54"/>
      <c r="AG211" s="57"/>
    </row>
    <row r="212" spans="32:33" ht="15">
      <c r="AF212" s="54"/>
      <c r="AG212" s="57"/>
    </row>
    <row r="213" spans="32:33" ht="15">
      <c r="AF213" s="54"/>
      <c r="AG213" s="57"/>
    </row>
    <row r="214" spans="32:33" ht="15">
      <c r="AF214" s="54"/>
      <c r="AG214" s="57"/>
    </row>
    <row r="215" spans="32:33" ht="15">
      <c r="AF215" s="54"/>
      <c r="AG215" s="57"/>
    </row>
    <row r="216" spans="32:33" ht="15">
      <c r="AF216" s="54"/>
      <c r="AG216" s="57"/>
    </row>
    <row r="217" spans="32:33" ht="15">
      <c r="AF217" s="54"/>
      <c r="AG217" s="57"/>
    </row>
    <row r="218" spans="32:33" ht="15">
      <c r="AF218" s="54"/>
      <c r="AG218" s="57"/>
    </row>
    <row r="219" spans="32:33" ht="15">
      <c r="AF219" s="54"/>
      <c r="AG219" s="57"/>
    </row>
    <row r="220" spans="32:33" ht="15">
      <c r="AF220" s="54"/>
      <c r="AG220" s="57"/>
    </row>
    <row r="221" spans="32:33" ht="15">
      <c r="AF221" s="54"/>
      <c r="AG221" s="57"/>
    </row>
    <row r="222" spans="32:33" ht="15">
      <c r="AF222" s="54"/>
      <c r="AG222" s="57"/>
    </row>
    <row r="223" spans="32:33" ht="15">
      <c r="AF223" s="54"/>
      <c r="AG223" s="57"/>
    </row>
    <row r="224" spans="32:33" ht="15">
      <c r="AF224" s="54"/>
      <c r="AG224" s="57"/>
    </row>
    <row r="225" spans="32:33" ht="15">
      <c r="AF225" s="54"/>
      <c r="AG225" s="57"/>
    </row>
    <row r="226" spans="32:33" ht="15">
      <c r="AF226" s="54"/>
      <c r="AG226" s="57"/>
    </row>
    <row r="227" spans="32:33" ht="15">
      <c r="AF227" s="54"/>
      <c r="AG227" s="57"/>
    </row>
    <row r="228" spans="32:33" ht="15">
      <c r="AF228" s="54"/>
      <c r="AG228" s="57"/>
    </row>
    <row r="229" spans="32:33" ht="15">
      <c r="AF229" s="54"/>
      <c r="AG229" s="57"/>
    </row>
    <row r="230" spans="32:33" ht="15">
      <c r="AF230" s="54"/>
      <c r="AG230" s="57"/>
    </row>
    <row r="231" spans="32:33" ht="15">
      <c r="AF231" s="54"/>
      <c r="AG231" s="57"/>
    </row>
    <row r="232" spans="32:33" ht="15">
      <c r="AF232" s="54"/>
      <c r="AG232" s="57"/>
    </row>
    <row r="233" spans="32:33" ht="15">
      <c r="AF233" s="54"/>
      <c r="AG233" s="57"/>
    </row>
    <row r="234" spans="32:33" ht="15">
      <c r="AF234" s="54"/>
      <c r="AG234" s="57"/>
    </row>
  </sheetData>
  <mergeCells count="4">
    <mergeCell ref="A1:R1"/>
    <mergeCell ref="A2:R2"/>
    <mergeCell ref="A3:R3"/>
    <mergeCell ref="A4:R4"/>
  </mergeCells>
  <pageMargins left="0.7" right="0.7" top="0.75" bottom="0.75" header="0.3" footer="0.3"/>
  <pageSetup scale="42" orientation="portrait" horizontalDpi="0" verticalDpi="0" r:id="rId1"/>
  <rowBreaks count="1" manualBreakCount="1">
    <brk id="73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2021-06-20T03:03:05Z</cp:lastPrinted>
  <dcterms:created xsi:type="dcterms:W3CDTF">2019-03-21T03:27:43Z</dcterms:created>
  <dcterms:modified xsi:type="dcterms:W3CDTF">2021-06-20T03:03:45Z</dcterms:modified>
</cp:coreProperties>
</file>