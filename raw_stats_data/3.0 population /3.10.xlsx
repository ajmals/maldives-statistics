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mc:AlternateContent xmlns:mc="http://schemas.openxmlformats.org/markup-compatibility/2006">
    <mc:Choice Requires="x15">
      <x15ac:absPath xmlns:x15ac="http://schemas.microsoft.com/office/spreadsheetml/2010/11/ac" url="F:\April 2021\YEARBOOK 2021_ Work from Home\CHECKING\FINAL TABLES\web\3.Population\"/>
    </mc:Choice>
  </mc:AlternateContent>
  <bookViews>
    <workbookView xWindow="-105" yWindow="-105" windowWidth="19425" windowHeight="10425" tabRatio="975"/>
  </bookViews>
  <sheets>
    <sheet name="3.10" sheetId="10" r:id="rId1"/>
  </sheets>
  <definedNames>
    <definedName name="_xlnm.Print_Area" localSheetId="0">'3.10'!$A$1:$V$49</definedName>
  </definedNames>
  <calcPr calcId="152511"/>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S34" i="10" l="1"/>
  <c r="S23" i="10"/>
  <c r="Q23" i="10"/>
  <c r="P23" i="10"/>
  <c r="P5" i="10" s="1"/>
  <c r="O23" i="10"/>
  <c r="N23" i="10"/>
  <c r="M23" i="10"/>
  <c r="L23" i="10"/>
  <c r="L5" i="10" s="1"/>
  <c r="K23" i="10"/>
  <c r="J23" i="10"/>
  <c r="I23" i="10"/>
  <c r="H23" i="10"/>
  <c r="G23" i="10"/>
  <c r="F23" i="10"/>
  <c r="E23" i="10"/>
  <c r="D23" i="10"/>
  <c r="C23" i="10"/>
  <c r="B23" i="10"/>
  <c r="S14" i="10"/>
  <c r="Q14" i="10"/>
  <c r="Q5" i="10" s="1"/>
  <c r="P14" i="10"/>
  <c r="O14" i="10"/>
  <c r="N14" i="10"/>
  <c r="M14" i="10"/>
  <c r="M5" i="10" s="1"/>
  <c r="L14" i="10"/>
  <c r="K14" i="10"/>
  <c r="J14" i="10"/>
  <c r="I14" i="10"/>
  <c r="H14" i="10"/>
  <c r="G14" i="10"/>
  <c r="F14" i="10"/>
  <c r="E14" i="10"/>
  <c r="D14" i="10"/>
  <c r="C14" i="10"/>
  <c r="B14" i="10"/>
  <c r="S12" i="10"/>
  <c r="Q12" i="10"/>
  <c r="O12" i="10"/>
  <c r="F12" i="10"/>
  <c r="D12" i="10"/>
  <c r="C12" i="10"/>
  <c r="B12" i="10"/>
  <c r="S11" i="10"/>
  <c r="Q11" i="10"/>
  <c r="O11" i="10"/>
  <c r="F11" i="10"/>
  <c r="D11" i="10"/>
  <c r="C11" i="10"/>
  <c r="B11" i="10"/>
  <c r="S10" i="10"/>
  <c r="Q10" i="10"/>
  <c r="O10" i="10"/>
  <c r="F10" i="10"/>
  <c r="D10" i="10"/>
  <c r="C10" i="10"/>
  <c r="B10" i="10"/>
  <c r="S9" i="10"/>
  <c r="Q9" i="10"/>
  <c r="O9" i="10"/>
  <c r="F9" i="10"/>
  <c r="F5" i="10" s="1"/>
  <c r="D9" i="10"/>
  <c r="C9" i="10"/>
  <c r="B9" i="10"/>
  <c r="S8" i="10"/>
  <c r="Q8" i="10"/>
  <c r="O8" i="10"/>
  <c r="F8" i="10"/>
  <c r="D8" i="10"/>
  <c r="C8" i="10"/>
  <c r="B8" i="10"/>
  <c r="S7" i="10"/>
  <c r="Q7" i="10"/>
  <c r="O7" i="10"/>
  <c r="F7" i="10"/>
  <c r="D7" i="10"/>
  <c r="C7" i="10"/>
  <c r="C5" i="10" s="1"/>
  <c r="B7" i="10"/>
  <c r="S6" i="10"/>
  <c r="Q6" i="10"/>
  <c r="O6" i="10"/>
  <c r="F6" i="10"/>
  <c r="D6" i="10"/>
  <c r="C6" i="10"/>
  <c r="B6" i="10"/>
  <c r="B5" i="10" s="1"/>
  <c r="S5" i="10"/>
  <c r="O5" i="10"/>
  <c r="N5" i="10"/>
  <c r="H5" i="10"/>
  <c r="G5" i="10"/>
  <c r="E5" i="10"/>
  <c r="D5" i="10"/>
</calcChain>
</file>

<file path=xl/comments1.xml><?xml version="1.0" encoding="utf-8"?>
<comments xmlns="http://schemas.openxmlformats.org/spreadsheetml/2006/main">
  <authors>
    <author>Ahmed Nabeeh Abdul Sattar</author>
  </authors>
  <commentList>
    <comment ref="E24" authorId="0" shapeId="0">
      <text>
        <r>
          <rPr>
            <b/>
            <sz val="8"/>
            <color indexed="81"/>
            <rFont val="Tahoma"/>
            <family val="2"/>
          </rPr>
          <t>Nabeeh:</t>
        </r>
        <r>
          <rPr>
            <sz val="8"/>
            <color indexed="81"/>
            <rFont val="Tahoma"/>
            <family val="2"/>
          </rPr>
          <t xml:space="preserve">
not matching with the data from table 3.11</t>
        </r>
      </text>
    </comment>
  </commentList>
</comments>
</file>

<file path=xl/sharedStrings.xml><?xml version="1.0" encoding="utf-8"?>
<sst xmlns="http://schemas.openxmlformats.org/spreadsheetml/2006/main" count="222" uniqueCount="44">
  <si>
    <t>cnehirif</t>
  </si>
  <si>
    <t>cnehcnwa</t>
  </si>
  <si>
    <t>Both Sexes</t>
  </si>
  <si>
    <t>Male</t>
  </si>
  <si>
    <t>Female</t>
  </si>
  <si>
    <t>-</t>
  </si>
  <si>
    <r>
      <rPr>
        <b/>
        <i/>
        <sz val="9"/>
        <rFont val="Calibri"/>
        <family val="2"/>
      </rPr>
      <t>Source:</t>
    </r>
    <r>
      <rPr>
        <i/>
        <sz val="9"/>
        <rFont val="Calibri"/>
        <family val="2"/>
      </rPr>
      <t xml:space="preserve"> Ministry of Health </t>
    </r>
  </si>
  <si>
    <t>Age Group and Sex</t>
  </si>
  <si>
    <r>
      <t>2007</t>
    </r>
    <r>
      <rPr>
        <b/>
        <vertAlign val="superscript"/>
        <sz val="10"/>
        <rFont val="Calibri"/>
        <family val="2"/>
      </rPr>
      <t>1_/</t>
    </r>
  </si>
  <si>
    <r>
      <t>2008</t>
    </r>
    <r>
      <rPr>
        <b/>
        <vertAlign val="superscript"/>
        <sz val="10"/>
        <rFont val="Calibri"/>
        <family val="2"/>
      </rPr>
      <t>1_/</t>
    </r>
  </si>
  <si>
    <r>
      <t>2009</t>
    </r>
    <r>
      <rPr>
        <b/>
        <vertAlign val="superscript"/>
        <sz val="10"/>
        <rFont val="Calibri"/>
        <family val="2"/>
      </rPr>
      <t>1_/</t>
    </r>
  </si>
  <si>
    <t>uscnij iaWawrufurumua</t>
  </si>
  <si>
    <t>cscnij ed</t>
  </si>
  <si>
    <t xml:space="preserve">   All Ages</t>
  </si>
  <si>
    <t>caerumua Whiruh</t>
  </si>
  <si>
    <t xml:space="preserve">   Under 1</t>
  </si>
  <si>
    <t>cSwdcnurwhwa 1</t>
  </si>
  <si>
    <t xml:space="preserve">   1 - 4</t>
  </si>
  <si>
    <t>4 - 1</t>
  </si>
  <si>
    <t xml:space="preserve">   5 - 14</t>
  </si>
  <si>
    <t>14 - 5</t>
  </si>
  <si>
    <t xml:space="preserve">  15 - 44</t>
  </si>
  <si>
    <t>44 - 15</t>
  </si>
  <si>
    <t xml:space="preserve">  45 - 64</t>
  </si>
  <si>
    <t>64 - 45</t>
  </si>
  <si>
    <t xml:space="preserve">  65 &amp; Over</t>
  </si>
  <si>
    <t>itwmcnurwhwa 65</t>
  </si>
  <si>
    <t xml:space="preserve">  Not Stated</t>
  </si>
  <si>
    <t>WrukuncnWywb</t>
  </si>
  <si>
    <t>Please note that the birth/death figures in the The Maldives Health Statistics (published annually) are taken from the VRS. Under-reporting is challenge with regards to the VRS system, whereby data received from various sources are entered at various points in time. For instance, a 2004 birth record may be entered into the system today as it may have only been reported today. Therefore, the statistics are correct at the point of data retrieval and will change as more events are reported and recorded in the system. These continuous changes will therefore not be reflected once statistics are published.</t>
  </si>
  <si>
    <r>
      <t>1_/:</t>
    </r>
    <r>
      <rPr>
        <i/>
        <sz val="9"/>
        <rFont val="Calibri"/>
        <family val="2"/>
      </rPr>
      <t xml:space="preserve"> From 2007 - 2009  figures are revised. (taken from VRS database (1998- 2008) and E-Government birth and death registration (from Nov.2009 onwards)</t>
    </r>
  </si>
  <si>
    <t>Sex  Not Stated</t>
  </si>
  <si>
    <t>Age Not Stated</t>
  </si>
  <si>
    <t>ޖިންސު ބަޔާންނުކުރާ</t>
  </si>
  <si>
    <t>އުމުރު ބަޔާންނުކުރާ</t>
  </si>
  <si>
    <t>2020 - 2007 ,cscnij iaWa wrufegurumua egcnuhImivurwm : 3.10 ulwvWt</t>
  </si>
  <si>
    <t>Table 3.10 : DEATHS BY AGE GROUP AND SEX, 2007 - 2020</t>
  </si>
  <si>
    <r>
      <t xml:space="preserve">2003 </t>
    </r>
    <r>
      <rPr>
        <b/>
        <vertAlign val="superscript"/>
        <sz val="10"/>
        <rFont val="Calibri"/>
        <family val="2"/>
      </rPr>
      <t>1_/</t>
    </r>
  </si>
  <si>
    <r>
      <t>2020</t>
    </r>
    <r>
      <rPr>
        <b/>
        <vertAlign val="superscript"/>
        <sz val="10"/>
        <rFont val="Calibri"/>
        <family val="2"/>
      </rPr>
      <t>1</t>
    </r>
    <r>
      <rPr>
        <b/>
        <vertAlign val="superscript"/>
        <sz val="11"/>
        <rFont val="Calibri"/>
        <family val="2"/>
      </rPr>
      <t>_/</t>
    </r>
  </si>
  <si>
    <t>Sex Not Stated</t>
  </si>
  <si>
    <t>2_/: 2020 figures are tentative and is expected to change</t>
  </si>
  <si>
    <t>Data includes Maldivians and foreigners</t>
  </si>
  <si>
    <r>
      <rPr>
        <i/>
        <sz val="9"/>
        <rFont val="Arial"/>
        <family val="2"/>
      </rPr>
      <t xml:space="preserve">Source: Ministry of Health </t>
    </r>
  </si>
  <si>
    <r>
      <t xml:space="preserve"> </t>
    </r>
    <r>
      <rPr>
        <i/>
        <sz val="10"/>
        <rFont val="Calibri"/>
        <family val="2"/>
      </rPr>
      <t>Health Information Management &amp; Research Division / Health Statistics &amp; Publication Section</t>
    </r>
  </si>
</sst>
</file>

<file path=xl/styles.xml><?xml version="1.0" encoding="utf-8"?>
<styleSheet xmlns="http://schemas.openxmlformats.org/spreadsheetml/2006/main" xmlns:mc="http://schemas.openxmlformats.org/markup-compatibility/2006" xmlns:x14ac="http://schemas.microsoft.com/office/spreadsheetml/2009/9/ac" mc:Ignorable="x14ac">
  <numFmts count="5">
    <numFmt numFmtId="43" formatCode="_-* #,##0.00\ _ރ_._-;_-* #,##0.00\ _ރ_.\-;_-* &quot;-&quot;??\ _ރ_._-;_-@_-"/>
    <numFmt numFmtId="164" formatCode="_-* #,##0.00_-;\-* #,##0.00_-;_-* &quot;-&quot;??_-;_-@_-"/>
    <numFmt numFmtId="166" formatCode="_(* #,##0.00_);_(* \(#,##0.00\);_(* &quot;-&quot;??_);_(@_)"/>
    <numFmt numFmtId="167" formatCode="General_)"/>
    <numFmt numFmtId="168" formatCode="_(* #,##0.0_);_(* \(#,##0.0\);_(* &quot;-&quot;??_);_(@_)"/>
  </numFmts>
  <fonts count="25" x14ac:knownFonts="1">
    <font>
      <sz val="11"/>
      <color theme="1"/>
      <name val="Calibri"/>
      <family val="2"/>
      <scheme val="minor"/>
    </font>
    <font>
      <sz val="11"/>
      <color theme="1"/>
      <name val="Calibri"/>
      <family val="2"/>
      <scheme val="minor"/>
    </font>
    <font>
      <b/>
      <sz val="11"/>
      <color theme="1"/>
      <name val="Calibri"/>
      <family val="2"/>
      <scheme val="minor"/>
    </font>
    <font>
      <sz val="10"/>
      <name val="Courier"/>
      <family val="3"/>
    </font>
    <font>
      <sz val="10"/>
      <name val="Arial"/>
      <family val="2"/>
    </font>
    <font>
      <b/>
      <sz val="11"/>
      <name val="Calibri"/>
      <family val="2"/>
    </font>
    <font>
      <b/>
      <sz val="10"/>
      <name val="Arial"/>
      <family val="2"/>
    </font>
    <font>
      <b/>
      <i/>
      <sz val="9"/>
      <name val="Calibri"/>
      <family val="2"/>
    </font>
    <font>
      <sz val="11"/>
      <name val="Calibri"/>
      <family val="2"/>
    </font>
    <font>
      <i/>
      <sz val="9"/>
      <name val="Calibri"/>
      <family val="2"/>
    </font>
    <font>
      <sz val="10"/>
      <name val="Arial"/>
      <family val="2"/>
    </font>
    <font>
      <b/>
      <sz val="10"/>
      <name val="Calibri"/>
      <family val="2"/>
    </font>
    <font>
      <sz val="11"/>
      <color theme="1"/>
      <name val="Calibri"/>
      <family val="2"/>
      <charset val="1"/>
      <scheme val="minor"/>
    </font>
    <font>
      <sz val="10"/>
      <name val="Faruma"/>
    </font>
    <font>
      <b/>
      <vertAlign val="superscript"/>
      <sz val="10"/>
      <name val="Calibri"/>
      <family val="2"/>
    </font>
    <font>
      <b/>
      <sz val="10"/>
      <name val="A_Faseyha"/>
    </font>
    <font>
      <sz val="10"/>
      <name val="A_Faseyha"/>
    </font>
    <font>
      <b/>
      <vertAlign val="superscript"/>
      <sz val="11"/>
      <name val="Calibri"/>
      <family val="2"/>
    </font>
    <font>
      <sz val="9"/>
      <name val="Calibri"/>
      <family val="2"/>
    </font>
    <font>
      <sz val="11"/>
      <name val="Faruma"/>
    </font>
    <font>
      <b/>
      <sz val="11"/>
      <name val="Faruma"/>
    </font>
    <font>
      <i/>
      <sz val="9"/>
      <name val="Arial"/>
      <family val="2"/>
    </font>
    <font>
      <i/>
      <sz val="10"/>
      <name val="Calibri"/>
      <family val="2"/>
    </font>
    <font>
      <b/>
      <sz val="8"/>
      <color indexed="81"/>
      <name val="Tahoma"/>
      <family val="2"/>
    </font>
    <font>
      <sz val="8"/>
      <color indexed="81"/>
      <name val="Tahoma"/>
      <family val="2"/>
    </font>
  </fonts>
  <fills count="4">
    <fill>
      <patternFill patternType="none"/>
    </fill>
    <fill>
      <patternFill patternType="gray125"/>
    </fill>
    <fill>
      <patternFill patternType="solid">
        <fgColor indexed="9"/>
        <bgColor indexed="64"/>
      </patternFill>
    </fill>
    <fill>
      <patternFill patternType="solid">
        <fgColor theme="0"/>
        <bgColor indexed="64"/>
      </patternFill>
    </fill>
  </fills>
  <borders count="4">
    <border>
      <left/>
      <right/>
      <top/>
      <bottom/>
      <diagonal/>
    </border>
    <border>
      <left/>
      <right/>
      <top/>
      <bottom style="thin">
        <color indexed="64"/>
      </bottom>
      <diagonal/>
    </border>
    <border>
      <left/>
      <right/>
      <top/>
      <bottom style="hair">
        <color indexed="64"/>
      </bottom>
      <diagonal/>
    </border>
    <border>
      <left/>
      <right/>
      <top style="thin">
        <color indexed="64"/>
      </top>
      <bottom style="thin">
        <color indexed="64"/>
      </bottom>
      <diagonal/>
    </border>
  </borders>
  <cellStyleXfs count="17">
    <xf numFmtId="0" fontId="0" fillId="0" borderId="0"/>
    <xf numFmtId="0" fontId="10" fillId="0" borderId="0"/>
    <xf numFmtId="0" fontId="10" fillId="0" borderId="0"/>
    <xf numFmtId="43" fontId="10" fillId="0" borderId="0" applyFont="0" applyFill="0" applyBorder="0" applyAlignment="0" applyProtection="0"/>
    <xf numFmtId="0" fontId="10" fillId="0" borderId="0"/>
    <xf numFmtId="166" fontId="10" fillId="0" borderId="0" applyFont="0" applyFill="0" applyBorder="0" applyAlignment="0" applyProtection="0"/>
    <xf numFmtId="0" fontId="12" fillId="0" borderId="0"/>
    <xf numFmtId="0" fontId="10" fillId="0" borderId="0"/>
    <xf numFmtId="0" fontId="10" fillId="0" borderId="0"/>
    <xf numFmtId="0" fontId="1" fillId="0" borderId="0"/>
    <xf numFmtId="167" fontId="3" fillId="0" borderId="0"/>
    <xf numFmtId="0" fontId="4" fillId="0" borderId="0"/>
    <xf numFmtId="166" fontId="4" fillId="0" borderId="0" applyFont="0" applyFill="0" applyBorder="0" applyAlignment="0" applyProtection="0"/>
    <xf numFmtId="166" fontId="1" fillId="0" borderId="0" applyFont="0" applyFill="0" applyBorder="0" applyAlignment="0" applyProtection="0"/>
    <xf numFmtId="0" fontId="4" fillId="0" borderId="0"/>
    <xf numFmtId="164" fontId="4" fillId="0" borderId="0" applyFont="0" applyFill="0" applyBorder="0" applyAlignment="0" applyProtection="0"/>
    <xf numFmtId="164" fontId="4" fillId="0" borderId="0" applyFont="0" applyFill="0" applyBorder="0" applyAlignment="0" applyProtection="0"/>
  </cellStyleXfs>
  <cellXfs count="56">
    <xf numFmtId="0" fontId="0" fillId="0" borderId="0" xfId="0"/>
    <xf numFmtId="167" fontId="6" fillId="2" borderId="0" xfId="0" applyNumberFormat="1" applyFont="1" applyFill="1" applyAlignment="1">
      <alignment vertical="center"/>
    </xf>
    <xf numFmtId="167" fontId="11" fillId="2" borderId="3" xfId="0" applyNumberFormat="1" applyFont="1" applyFill="1" applyBorder="1" applyAlignment="1" applyProtection="1">
      <alignment horizontal="center" vertical="center" wrapText="1"/>
    </xf>
    <xf numFmtId="167" fontId="11" fillId="2" borderId="3" xfId="0" applyNumberFormat="1" applyFont="1" applyFill="1" applyBorder="1" applyAlignment="1" applyProtection="1">
      <alignment horizontal="right" vertical="center"/>
    </xf>
    <xf numFmtId="167" fontId="11" fillId="2" borderId="3" xfId="0" applyNumberFormat="1" applyFont="1" applyFill="1" applyBorder="1" applyAlignment="1" applyProtection="1">
      <alignment vertical="center"/>
    </xf>
    <xf numFmtId="167" fontId="5" fillId="2" borderId="0" xfId="0" applyNumberFormat="1" applyFont="1" applyFill="1" applyAlignment="1" applyProtection="1">
      <alignment horizontal="left" vertical="center"/>
    </xf>
    <xf numFmtId="167" fontId="5" fillId="2" borderId="0" xfId="0" applyNumberFormat="1" applyFont="1" applyFill="1" applyBorder="1" applyAlignment="1">
      <alignment vertical="center"/>
    </xf>
    <xf numFmtId="3" fontId="5" fillId="2" borderId="0" xfId="0" applyNumberFormat="1" applyFont="1" applyFill="1" applyBorder="1" applyAlignment="1" applyProtection="1">
      <alignment vertical="center"/>
    </xf>
    <xf numFmtId="3" fontId="5" fillId="2" borderId="0" xfId="0" applyNumberFormat="1" applyFont="1" applyFill="1" applyBorder="1" applyAlignment="1" applyProtection="1">
      <alignment horizontal="right" vertical="center"/>
    </xf>
    <xf numFmtId="167" fontId="8" fillId="2" borderId="0" xfId="0" applyNumberFormat="1" applyFont="1" applyFill="1" applyAlignment="1" applyProtection="1">
      <alignment horizontal="left" vertical="center"/>
    </xf>
    <xf numFmtId="3" fontId="8" fillId="2" borderId="0" xfId="0" applyNumberFormat="1" applyFont="1" applyFill="1" applyBorder="1" applyAlignment="1" applyProtection="1">
      <alignment horizontal="right" vertical="center"/>
      <protection locked="0"/>
    </xf>
    <xf numFmtId="3" fontId="8" fillId="2" borderId="0" xfId="0" applyNumberFormat="1" applyFont="1" applyFill="1" applyBorder="1" applyAlignment="1" applyProtection="1">
      <alignment vertical="center"/>
    </xf>
    <xf numFmtId="3" fontId="8" fillId="2" borderId="0" xfId="0" applyNumberFormat="1" applyFont="1" applyFill="1" applyBorder="1" applyAlignment="1" applyProtection="1">
      <alignment horizontal="right" vertical="center"/>
    </xf>
    <xf numFmtId="3" fontId="8" fillId="2" borderId="0" xfId="0" applyNumberFormat="1" applyFont="1" applyFill="1" applyBorder="1" applyAlignment="1" applyProtection="1">
      <alignment vertical="center"/>
      <protection locked="0"/>
    </xf>
    <xf numFmtId="3" fontId="8" fillId="2" borderId="0" xfId="0" applyNumberFormat="1" applyFont="1" applyFill="1" applyBorder="1" applyProtection="1">
      <protection locked="0"/>
    </xf>
    <xf numFmtId="3" fontId="8" fillId="2" borderId="0" xfId="0" applyNumberFormat="1" applyFont="1" applyFill="1" applyBorder="1" applyAlignment="1" applyProtection="1">
      <alignment horizontal="right"/>
      <protection locked="0"/>
    </xf>
    <xf numFmtId="3" fontId="8" fillId="2" borderId="0" xfId="0" applyNumberFormat="1" applyFont="1" applyFill="1" applyBorder="1"/>
    <xf numFmtId="3" fontId="8" fillId="2" borderId="0" xfId="0" applyNumberFormat="1" applyFont="1" applyFill="1" applyBorder="1" applyAlignment="1">
      <alignment horizontal="right"/>
    </xf>
    <xf numFmtId="167" fontId="8" fillId="2" borderId="0" xfId="0" applyNumberFormat="1" applyFont="1" applyFill="1" applyBorder="1" applyAlignment="1" applyProtection="1">
      <alignment horizontal="left" vertical="center"/>
    </xf>
    <xf numFmtId="167" fontId="15" fillId="2" borderId="3" xfId="0" applyNumberFormat="1" applyFont="1" applyFill="1" applyBorder="1" applyAlignment="1">
      <alignment horizontal="right" vertical="center"/>
    </xf>
    <xf numFmtId="167" fontId="15" fillId="2" borderId="0" xfId="0" applyNumberFormat="1" applyFont="1" applyFill="1" applyAlignment="1">
      <alignment horizontal="right" vertical="center"/>
    </xf>
    <xf numFmtId="167" fontId="16" fillId="2" borderId="0" xfId="0" applyNumberFormat="1" applyFont="1" applyFill="1" applyAlignment="1">
      <alignment horizontal="right" vertical="center"/>
    </xf>
    <xf numFmtId="167" fontId="16" fillId="2" borderId="0" xfId="0" applyNumberFormat="1" applyFont="1" applyFill="1" applyBorder="1" applyAlignment="1">
      <alignment horizontal="right" vertical="center"/>
    </xf>
    <xf numFmtId="167" fontId="13" fillId="2" borderId="0" xfId="0" quotePrefix="1" applyNumberFormat="1" applyFont="1" applyFill="1" applyAlignment="1">
      <alignment horizontal="right" vertical="center"/>
    </xf>
    <xf numFmtId="167" fontId="13" fillId="2" borderId="0" xfId="0" quotePrefix="1" applyNumberFormat="1" applyFont="1" applyFill="1" applyBorder="1" applyAlignment="1">
      <alignment horizontal="right" vertical="center"/>
    </xf>
    <xf numFmtId="3" fontId="8" fillId="2" borderId="2" xfId="0" applyNumberFormat="1" applyFont="1" applyFill="1" applyBorder="1" applyAlignment="1" applyProtection="1">
      <alignment horizontal="right" vertical="center"/>
      <protection locked="0"/>
    </xf>
    <xf numFmtId="167" fontId="16" fillId="2" borderId="2" xfId="0" applyNumberFormat="1" applyFont="1" applyFill="1" applyBorder="1" applyAlignment="1">
      <alignment horizontal="right" vertical="center"/>
    </xf>
    <xf numFmtId="3" fontId="8" fillId="2" borderId="2" xfId="0" applyNumberFormat="1" applyFont="1" applyFill="1" applyBorder="1" applyProtection="1">
      <protection locked="0"/>
    </xf>
    <xf numFmtId="3" fontId="8" fillId="2" borderId="2" xfId="0" applyNumberFormat="1" applyFont="1" applyFill="1" applyBorder="1" applyAlignment="1" applyProtection="1">
      <alignment horizontal="right"/>
      <protection locked="0"/>
    </xf>
    <xf numFmtId="167" fontId="8" fillId="3" borderId="2" xfId="0" applyNumberFormat="1" applyFont="1" applyFill="1" applyBorder="1" applyAlignment="1" applyProtection="1">
      <alignment horizontal="left" vertical="center"/>
    </xf>
    <xf numFmtId="168" fontId="2" fillId="3" borderId="0" xfId="13" applyNumberFormat="1" applyFont="1" applyFill="1" applyBorder="1" applyAlignment="1">
      <alignment horizontal="right" vertical="center"/>
    </xf>
    <xf numFmtId="167" fontId="13" fillId="2" borderId="0" xfId="0" applyNumberFormat="1" applyFont="1" applyFill="1" applyBorder="1" applyAlignment="1">
      <alignment horizontal="right" vertical="center"/>
    </xf>
    <xf numFmtId="167" fontId="15" fillId="2" borderId="0" xfId="0" applyNumberFormat="1" applyFont="1" applyFill="1" applyAlignment="1">
      <alignment horizontal="center" vertical="center"/>
    </xf>
    <xf numFmtId="167" fontId="5" fillId="2" borderId="1" xfId="0" applyNumberFormat="1" applyFont="1" applyFill="1" applyBorder="1" applyAlignment="1" applyProtection="1">
      <alignment horizontal="center" vertical="center"/>
    </xf>
    <xf numFmtId="0" fontId="9" fillId="0" borderId="0" xfId="0" applyFont="1" applyBorder="1" applyAlignment="1">
      <alignment horizontal="left" vertical="center" wrapText="1"/>
    </xf>
    <xf numFmtId="0" fontId="9" fillId="2" borderId="0" xfId="0" applyFont="1" applyFill="1" applyBorder="1" applyAlignment="1">
      <alignment horizontal="left" vertical="center" wrapText="1"/>
    </xf>
    <xf numFmtId="167" fontId="4" fillId="2" borderId="0" xfId="0" applyNumberFormat="1" applyFont="1" applyFill="1" applyAlignment="1">
      <alignment vertical="top"/>
    </xf>
    <xf numFmtId="3" fontId="5" fillId="2" borderId="0" xfId="0" applyNumberFormat="1" applyFont="1" applyFill="1" applyAlignment="1" applyProtection="1">
      <alignment vertical="center"/>
    </xf>
    <xf numFmtId="3" fontId="8" fillId="2" borderId="0" xfId="0" applyNumberFormat="1" applyFont="1" applyFill="1" applyAlignment="1" applyProtection="1">
      <alignment vertical="center"/>
    </xf>
    <xf numFmtId="167" fontId="4" fillId="2" borderId="0" xfId="0" applyNumberFormat="1" applyFont="1" applyFill="1" applyAlignment="1">
      <alignment vertical="center"/>
    </xf>
    <xf numFmtId="3" fontId="8" fillId="2" borderId="0" xfId="0" applyNumberFormat="1" applyFont="1" applyFill="1" applyAlignment="1" applyProtection="1">
      <alignment vertical="center"/>
      <protection locked="0"/>
    </xf>
    <xf numFmtId="3" fontId="8" fillId="2" borderId="0" xfId="0" applyNumberFormat="1" applyFont="1" applyFill="1" applyProtection="1">
      <protection locked="0"/>
    </xf>
    <xf numFmtId="167" fontId="4" fillId="2" borderId="0" xfId="0" applyNumberFormat="1" applyFont="1" applyFill="1"/>
    <xf numFmtId="3" fontId="8" fillId="2" borderId="0" xfId="0" applyNumberFormat="1" applyFont="1" applyFill="1"/>
    <xf numFmtId="167" fontId="4" fillId="2" borderId="0" xfId="0" applyNumberFormat="1" applyFont="1" applyFill="1" applyBorder="1"/>
    <xf numFmtId="3" fontId="18" fillId="2" borderId="2" xfId="0" applyNumberFormat="1" applyFont="1" applyFill="1" applyBorder="1" applyAlignment="1" applyProtection="1">
      <alignment horizontal="right"/>
      <protection locked="0"/>
    </xf>
    <xf numFmtId="3" fontId="18" fillId="2" borderId="2" xfId="0" applyNumberFormat="1" applyFont="1" applyFill="1" applyBorder="1" applyProtection="1">
      <protection locked="0"/>
    </xf>
    <xf numFmtId="3" fontId="18" fillId="2" borderId="0" xfId="0" applyNumberFormat="1" applyFont="1" applyFill="1" applyBorder="1" applyAlignment="1" applyProtection="1">
      <alignment horizontal="right"/>
      <protection locked="0"/>
    </xf>
    <xf numFmtId="3" fontId="18" fillId="2" borderId="0" xfId="0" applyNumberFormat="1" applyFont="1" applyFill="1" applyBorder="1" applyProtection="1">
      <protection locked="0"/>
    </xf>
    <xf numFmtId="167" fontId="19" fillId="2" borderId="2" xfId="0" applyNumberFormat="1" applyFont="1" applyFill="1" applyBorder="1" applyAlignment="1">
      <alignment horizontal="right" vertical="center"/>
    </xf>
    <xf numFmtId="167" fontId="20" fillId="2" borderId="0" xfId="0" applyNumberFormat="1" applyFont="1" applyFill="1" applyBorder="1" applyAlignment="1">
      <alignment horizontal="right" vertical="center"/>
    </xf>
    <xf numFmtId="167" fontId="8" fillId="3" borderId="1" xfId="0" applyNumberFormat="1" applyFont="1" applyFill="1" applyBorder="1" applyAlignment="1" applyProtection="1">
      <alignment horizontal="left" vertical="center"/>
    </xf>
    <xf numFmtId="3" fontId="18" fillId="2" borderId="1" xfId="0" applyNumberFormat="1" applyFont="1" applyFill="1" applyBorder="1" applyAlignment="1" applyProtection="1">
      <alignment horizontal="right"/>
      <protection locked="0"/>
    </xf>
    <xf numFmtId="3" fontId="18" fillId="2" borderId="1" xfId="0" applyNumberFormat="1" applyFont="1" applyFill="1" applyBorder="1" applyProtection="1">
      <protection locked="0"/>
    </xf>
    <xf numFmtId="3" fontId="8" fillId="2" borderId="1" xfId="0" applyNumberFormat="1" applyFont="1" applyFill="1" applyBorder="1" applyAlignment="1" applyProtection="1">
      <alignment horizontal="right"/>
      <protection locked="0"/>
    </xf>
    <xf numFmtId="167" fontId="16" fillId="2" borderId="1" xfId="0" applyNumberFormat="1" applyFont="1" applyFill="1" applyBorder="1" applyAlignment="1">
      <alignment horizontal="right" vertical="center"/>
    </xf>
  </cellXfs>
  <cellStyles count="17">
    <cellStyle name="1" xfId="14"/>
    <cellStyle name="Comma" xfId="13" builtinId="3"/>
    <cellStyle name="Comma 2" xfId="12"/>
    <cellStyle name="Comma 3" xfId="5"/>
    <cellStyle name="Comma 3 2" xfId="16"/>
    <cellStyle name="Comma 4" xfId="3"/>
    <cellStyle name="Comma 7" xfId="15"/>
    <cellStyle name="Normal" xfId="0" builtinId="0"/>
    <cellStyle name="Normal 11" xfId="6"/>
    <cellStyle name="Normal 2" xfId="4"/>
    <cellStyle name="Normal 20" xfId="2"/>
    <cellStyle name="Normal 3" xfId="11"/>
    <cellStyle name="Normal 32" xfId="7"/>
    <cellStyle name="Normal 4" xfId="10"/>
    <cellStyle name="Normal 44" xfId="8"/>
    <cellStyle name="Normal 48" xfId="9"/>
    <cellStyle name="Normal 5" xfId="1"/>
  </cellStyles>
  <dxfs count="0"/>
  <tableStyles count="0" defaultTableStyle="TableStyleMedium2" defaultPivotStyle="PivotStyleLight16"/>
  <colors>
    <mruColors>
      <color rgb="FFFF9900"/>
      <color rgb="FF196563"/>
      <color rgb="FF249390"/>
      <color rgb="FF33CCCC"/>
      <color rgb="FFEAFAFA"/>
      <color rgb="FFBEF1F0"/>
      <color rgb="FF00FFCC"/>
      <color rgb="FFA85400"/>
      <color rgb="FFCD9B69"/>
      <color rgb="FF6633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rgb="FF92D050"/>
  </sheetPr>
  <dimension ref="A1:AR49"/>
  <sheetViews>
    <sheetView tabSelected="1" zoomScaleNormal="100" workbookViewId="0">
      <selection activeCell="P9" sqref="P9"/>
    </sheetView>
  </sheetViews>
  <sheetFormatPr defaultColWidth="11.140625" defaultRowHeight="12.75" x14ac:dyDescent="0.2"/>
  <cols>
    <col min="1" max="1" width="16.5703125" style="42" customWidth="1"/>
    <col min="2" max="3" width="10.42578125" style="42" hidden="1" customWidth="1"/>
    <col min="4" max="4" width="12" style="42" hidden="1" customWidth="1"/>
    <col min="5" max="5" width="9.140625" style="42" hidden="1" customWidth="1"/>
    <col min="6" max="19" width="9.140625" style="42" customWidth="1"/>
    <col min="20" max="20" width="20.28515625" style="42" customWidth="1"/>
    <col min="21" max="21" width="1.140625" style="42" customWidth="1"/>
    <col min="22" max="22" width="6.140625" style="42" customWidth="1"/>
    <col min="23" max="258" width="11.140625" style="42"/>
    <col min="259" max="259" width="16.5703125" style="42" customWidth="1"/>
    <col min="260" max="263" width="0" style="42" hidden="1" customWidth="1"/>
    <col min="264" max="274" width="9.140625" style="42" customWidth="1"/>
    <col min="275" max="275" width="0" style="42" hidden="1" customWidth="1"/>
    <col min="276" max="276" width="26.140625" style="42" customWidth="1"/>
    <col min="277" max="277" width="1.140625" style="42" customWidth="1"/>
    <col min="278" max="514" width="11.140625" style="42"/>
    <col min="515" max="515" width="16.5703125" style="42" customWidth="1"/>
    <col min="516" max="519" width="0" style="42" hidden="1" customWidth="1"/>
    <col min="520" max="530" width="9.140625" style="42" customWidth="1"/>
    <col min="531" max="531" width="0" style="42" hidden="1" customWidth="1"/>
    <col min="532" max="532" width="26.140625" style="42" customWidth="1"/>
    <col min="533" max="533" width="1.140625" style="42" customWidth="1"/>
    <col min="534" max="770" width="11.140625" style="42"/>
    <col min="771" max="771" width="16.5703125" style="42" customWidth="1"/>
    <col min="772" max="775" width="0" style="42" hidden="1" customWidth="1"/>
    <col min="776" max="786" width="9.140625" style="42" customWidth="1"/>
    <col min="787" max="787" width="0" style="42" hidden="1" customWidth="1"/>
    <col min="788" max="788" width="26.140625" style="42" customWidth="1"/>
    <col min="789" max="789" width="1.140625" style="42" customWidth="1"/>
    <col min="790" max="1026" width="11.140625" style="42"/>
    <col min="1027" max="1027" width="16.5703125" style="42" customWidth="1"/>
    <col min="1028" max="1031" width="0" style="42" hidden="1" customWidth="1"/>
    <col min="1032" max="1042" width="9.140625" style="42" customWidth="1"/>
    <col min="1043" max="1043" width="0" style="42" hidden="1" customWidth="1"/>
    <col min="1044" max="1044" width="26.140625" style="42" customWidth="1"/>
    <col min="1045" max="1045" width="1.140625" style="42" customWidth="1"/>
    <col min="1046" max="1282" width="11.140625" style="42"/>
    <col min="1283" max="1283" width="16.5703125" style="42" customWidth="1"/>
    <col min="1284" max="1287" width="0" style="42" hidden="1" customWidth="1"/>
    <col min="1288" max="1298" width="9.140625" style="42" customWidth="1"/>
    <col min="1299" max="1299" width="0" style="42" hidden="1" customWidth="1"/>
    <col min="1300" max="1300" width="26.140625" style="42" customWidth="1"/>
    <col min="1301" max="1301" width="1.140625" style="42" customWidth="1"/>
    <col min="1302" max="1538" width="11.140625" style="42"/>
    <col min="1539" max="1539" width="16.5703125" style="42" customWidth="1"/>
    <col min="1540" max="1543" width="0" style="42" hidden="1" customWidth="1"/>
    <col min="1544" max="1554" width="9.140625" style="42" customWidth="1"/>
    <col min="1555" max="1555" width="0" style="42" hidden="1" customWidth="1"/>
    <col min="1556" max="1556" width="26.140625" style="42" customWidth="1"/>
    <col min="1557" max="1557" width="1.140625" style="42" customWidth="1"/>
    <col min="1558" max="1794" width="11.140625" style="42"/>
    <col min="1795" max="1795" width="16.5703125" style="42" customWidth="1"/>
    <col min="1796" max="1799" width="0" style="42" hidden="1" customWidth="1"/>
    <col min="1800" max="1810" width="9.140625" style="42" customWidth="1"/>
    <col min="1811" max="1811" width="0" style="42" hidden="1" customWidth="1"/>
    <col min="1812" max="1812" width="26.140625" style="42" customWidth="1"/>
    <col min="1813" max="1813" width="1.140625" style="42" customWidth="1"/>
    <col min="1814" max="2050" width="11.140625" style="42"/>
    <col min="2051" max="2051" width="16.5703125" style="42" customWidth="1"/>
    <col min="2052" max="2055" width="0" style="42" hidden="1" customWidth="1"/>
    <col min="2056" max="2066" width="9.140625" style="42" customWidth="1"/>
    <col min="2067" max="2067" width="0" style="42" hidden="1" customWidth="1"/>
    <col min="2068" max="2068" width="26.140625" style="42" customWidth="1"/>
    <col min="2069" max="2069" width="1.140625" style="42" customWidth="1"/>
    <col min="2070" max="2306" width="11.140625" style="42"/>
    <col min="2307" max="2307" width="16.5703125" style="42" customWidth="1"/>
    <col min="2308" max="2311" width="0" style="42" hidden="1" customWidth="1"/>
    <col min="2312" max="2322" width="9.140625" style="42" customWidth="1"/>
    <col min="2323" max="2323" width="0" style="42" hidden="1" customWidth="1"/>
    <col min="2324" max="2324" width="26.140625" style="42" customWidth="1"/>
    <col min="2325" max="2325" width="1.140625" style="42" customWidth="1"/>
    <col min="2326" max="2562" width="11.140625" style="42"/>
    <col min="2563" max="2563" width="16.5703125" style="42" customWidth="1"/>
    <col min="2564" max="2567" width="0" style="42" hidden="1" customWidth="1"/>
    <col min="2568" max="2578" width="9.140625" style="42" customWidth="1"/>
    <col min="2579" max="2579" width="0" style="42" hidden="1" customWidth="1"/>
    <col min="2580" max="2580" width="26.140625" style="42" customWidth="1"/>
    <col min="2581" max="2581" width="1.140625" style="42" customWidth="1"/>
    <col min="2582" max="2818" width="11.140625" style="42"/>
    <col min="2819" max="2819" width="16.5703125" style="42" customWidth="1"/>
    <col min="2820" max="2823" width="0" style="42" hidden="1" customWidth="1"/>
    <col min="2824" max="2834" width="9.140625" style="42" customWidth="1"/>
    <col min="2835" max="2835" width="0" style="42" hidden="1" customWidth="1"/>
    <col min="2836" max="2836" width="26.140625" style="42" customWidth="1"/>
    <col min="2837" max="2837" width="1.140625" style="42" customWidth="1"/>
    <col min="2838" max="3074" width="11.140625" style="42"/>
    <col min="3075" max="3075" width="16.5703125" style="42" customWidth="1"/>
    <col min="3076" max="3079" width="0" style="42" hidden="1" customWidth="1"/>
    <col min="3080" max="3090" width="9.140625" style="42" customWidth="1"/>
    <col min="3091" max="3091" width="0" style="42" hidden="1" customWidth="1"/>
    <col min="3092" max="3092" width="26.140625" style="42" customWidth="1"/>
    <col min="3093" max="3093" width="1.140625" style="42" customWidth="1"/>
    <col min="3094" max="3330" width="11.140625" style="42"/>
    <col min="3331" max="3331" width="16.5703125" style="42" customWidth="1"/>
    <col min="3332" max="3335" width="0" style="42" hidden="1" customWidth="1"/>
    <col min="3336" max="3346" width="9.140625" style="42" customWidth="1"/>
    <col min="3347" max="3347" width="0" style="42" hidden="1" customWidth="1"/>
    <col min="3348" max="3348" width="26.140625" style="42" customWidth="1"/>
    <col min="3349" max="3349" width="1.140625" style="42" customWidth="1"/>
    <col min="3350" max="3586" width="11.140625" style="42"/>
    <col min="3587" max="3587" width="16.5703125" style="42" customWidth="1"/>
    <col min="3588" max="3591" width="0" style="42" hidden="1" customWidth="1"/>
    <col min="3592" max="3602" width="9.140625" style="42" customWidth="1"/>
    <col min="3603" max="3603" width="0" style="42" hidden="1" customWidth="1"/>
    <col min="3604" max="3604" width="26.140625" style="42" customWidth="1"/>
    <col min="3605" max="3605" width="1.140625" style="42" customWidth="1"/>
    <col min="3606" max="3842" width="11.140625" style="42"/>
    <col min="3843" max="3843" width="16.5703125" style="42" customWidth="1"/>
    <col min="3844" max="3847" width="0" style="42" hidden="1" customWidth="1"/>
    <col min="3848" max="3858" width="9.140625" style="42" customWidth="1"/>
    <col min="3859" max="3859" width="0" style="42" hidden="1" customWidth="1"/>
    <col min="3860" max="3860" width="26.140625" style="42" customWidth="1"/>
    <col min="3861" max="3861" width="1.140625" style="42" customWidth="1"/>
    <col min="3862" max="4098" width="11.140625" style="42"/>
    <col min="4099" max="4099" width="16.5703125" style="42" customWidth="1"/>
    <col min="4100" max="4103" width="0" style="42" hidden="1" customWidth="1"/>
    <col min="4104" max="4114" width="9.140625" style="42" customWidth="1"/>
    <col min="4115" max="4115" width="0" style="42" hidden="1" customWidth="1"/>
    <col min="4116" max="4116" width="26.140625" style="42" customWidth="1"/>
    <col min="4117" max="4117" width="1.140625" style="42" customWidth="1"/>
    <col min="4118" max="4354" width="11.140625" style="42"/>
    <col min="4355" max="4355" width="16.5703125" style="42" customWidth="1"/>
    <col min="4356" max="4359" width="0" style="42" hidden="1" customWidth="1"/>
    <col min="4360" max="4370" width="9.140625" style="42" customWidth="1"/>
    <col min="4371" max="4371" width="0" style="42" hidden="1" customWidth="1"/>
    <col min="4372" max="4372" width="26.140625" style="42" customWidth="1"/>
    <col min="4373" max="4373" width="1.140625" style="42" customWidth="1"/>
    <col min="4374" max="4610" width="11.140625" style="42"/>
    <col min="4611" max="4611" width="16.5703125" style="42" customWidth="1"/>
    <col min="4612" max="4615" width="0" style="42" hidden="1" customWidth="1"/>
    <col min="4616" max="4626" width="9.140625" style="42" customWidth="1"/>
    <col min="4627" max="4627" width="0" style="42" hidden="1" customWidth="1"/>
    <col min="4628" max="4628" width="26.140625" style="42" customWidth="1"/>
    <col min="4629" max="4629" width="1.140625" style="42" customWidth="1"/>
    <col min="4630" max="4866" width="11.140625" style="42"/>
    <col min="4867" max="4867" width="16.5703125" style="42" customWidth="1"/>
    <col min="4868" max="4871" width="0" style="42" hidden="1" customWidth="1"/>
    <col min="4872" max="4882" width="9.140625" style="42" customWidth="1"/>
    <col min="4883" max="4883" width="0" style="42" hidden="1" customWidth="1"/>
    <col min="4884" max="4884" width="26.140625" style="42" customWidth="1"/>
    <col min="4885" max="4885" width="1.140625" style="42" customWidth="1"/>
    <col min="4886" max="5122" width="11.140625" style="42"/>
    <col min="5123" max="5123" width="16.5703125" style="42" customWidth="1"/>
    <col min="5124" max="5127" width="0" style="42" hidden="1" customWidth="1"/>
    <col min="5128" max="5138" width="9.140625" style="42" customWidth="1"/>
    <col min="5139" max="5139" width="0" style="42" hidden="1" customWidth="1"/>
    <col min="5140" max="5140" width="26.140625" style="42" customWidth="1"/>
    <col min="5141" max="5141" width="1.140625" style="42" customWidth="1"/>
    <col min="5142" max="5378" width="11.140625" style="42"/>
    <col min="5379" max="5379" width="16.5703125" style="42" customWidth="1"/>
    <col min="5380" max="5383" width="0" style="42" hidden="1" customWidth="1"/>
    <col min="5384" max="5394" width="9.140625" style="42" customWidth="1"/>
    <col min="5395" max="5395" width="0" style="42" hidden="1" customWidth="1"/>
    <col min="5396" max="5396" width="26.140625" style="42" customWidth="1"/>
    <col min="5397" max="5397" width="1.140625" style="42" customWidth="1"/>
    <col min="5398" max="5634" width="11.140625" style="42"/>
    <col min="5635" max="5635" width="16.5703125" style="42" customWidth="1"/>
    <col min="5636" max="5639" width="0" style="42" hidden="1" customWidth="1"/>
    <col min="5640" max="5650" width="9.140625" style="42" customWidth="1"/>
    <col min="5651" max="5651" width="0" style="42" hidden="1" customWidth="1"/>
    <col min="5652" max="5652" width="26.140625" style="42" customWidth="1"/>
    <col min="5653" max="5653" width="1.140625" style="42" customWidth="1"/>
    <col min="5654" max="5890" width="11.140625" style="42"/>
    <col min="5891" max="5891" width="16.5703125" style="42" customWidth="1"/>
    <col min="5892" max="5895" width="0" style="42" hidden="1" customWidth="1"/>
    <col min="5896" max="5906" width="9.140625" style="42" customWidth="1"/>
    <col min="5907" max="5907" width="0" style="42" hidden="1" customWidth="1"/>
    <col min="5908" max="5908" width="26.140625" style="42" customWidth="1"/>
    <col min="5909" max="5909" width="1.140625" style="42" customWidth="1"/>
    <col min="5910" max="6146" width="11.140625" style="42"/>
    <col min="6147" max="6147" width="16.5703125" style="42" customWidth="1"/>
    <col min="6148" max="6151" width="0" style="42" hidden="1" customWidth="1"/>
    <col min="6152" max="6162" width="9.140625" style="42" customWidth="1"/>
    <col min="6163" max="6163" width="0" style="42" hidden="1" customWidth="1"/>
    <col min="6164" max="6164" width="26.140625" style="42" customWidth="1"/>
    <col min="6165" max="6165" width="1.140625" style="42" customWidth="1"/>
    <col min="6166" max="6402" width="11.140625" style="42"/>
    <col min="6403" max="6403" width="16.5703125" style="42" customWidth="1"/>
    <col min="6404" max="6407" width="0" style="42" hidden="1" customWidth="1"/>
    <col min="6408" max="6418" width="9.140625" style="42" customWidth="1"/>
    <col min="6419" max="6419" width="0" style="42" hidden="1" customWidth="1"/>
    <col min="6420" max="6420" width="26.140625" style="42" customWidth="1"/>
    <col min="6421" max="6421" width="1.140625" style="42" customWidth="1"/>
    <col min="6422" max="6658" width="11.140625" style="42"/>
    <col min="6659" max="6659" width="16.5703125" style="42" customWidth="1"/>
    <col min="6660" max="6663" width="0" style="42" hidden="1" customWidth="1"/>
    <col min="6664" max="6674" width="9.140625" style="42" customWidth="1"/>
    <col min="6675" max="6675" width="0" style="42" hidden="1" customWidth="1"/>
    <col min="6676" max="6676" width="26.140625" style="42" customWidth="1"/>
    <col min="6677" max="6677" width="1.140625" style="42" customWidth="1"/>
    <col min="6678" max="6914" width="11.140625" style="42"/>
    <col min="6915" max="6915" width="16.5703125" style="42" customWidth="1"/>
    <col min="6916" max="6919" width="0" style="42" hidden="1" customWidth="1"/>
    <col min="6920" max="6930" width="9.140625" style="42" customWidth="1"/>
    <col min="6931" max="6931" width="0" style="42" hidden="1" customWidth="1"/>
    <col min="6932" max="6932" width="26.140625" style="42" customWidth="1"/>
    <col min="6933" max="6933" width="1.140625" style="42" customWidth="1"/>
    <col min="6934" max="7170" width="11.140625" style="42"/>
    <col min="7171" max="7171" width="16.5703125" style="42" customWidth="1"/>
    <col min="7172" max="7175" width="0" style="42" hidden="1" customWidth="1"/>
    <col min="7176" max="7186" width="9.140625" style="42" customWidth="1"/>
    <col min="7187" max="7187" width="0" style="42" hidden="1" customWidth="1"/>
    <col min="7188" max="7188" width="26.140625" style="42" customWidth="1"/>
    <col min="7189" max="7189" width="1.140625" style="42" customWidth="1"/>
    <col min="7190" max="7426" width="11.140625" style="42"/>
    <col min="7427" max="7427" width="16.5703125" style="42" customWidth="1"/>
    <col min="7428" max="7431" width="0" style="42" hidden="1" customWidth="1"/>
    <col min="7432" max="7442" width="9.140625" style="42" customWidth="1"/>
    <col min="7443" max="7443" width="0" style="42" hidden="1" customWidth="1"/>
    <col min="7444" max="7444" width="26.140625" style="42" customWidth="1"/>
    <col min="7445" max="7445" width="1.140625" style="42" customWidth="1"/>
    <col min="7446" max="7682" width="11.140625" style="42"/>
    <col min="7683" max="7683" width="16.5703125" style="42" customWidth="1"/>
    <col min="7684" max="7687" width="0" style="42" hidden="1" customWidth="1"/>
    <col min="7688" max="7698" width="9.140625" style="42" customWidth="1"/>
    <col min="7699" max="7699" width="0" style="42" hidden="1" customWidth="1"/>
    <col min="7700" max="7700" width="26.140625" style="42" customWidth="1"/>
    <col min="7701" max="7701" width="1.140625" style="42" customWidth="1"/>
    <col min="7702" max="7938" width="11.140625" style="42"/>
    <col min="7939" max="7939" width="16.5703125" style="42" customWidth="1"/>
    <col min="7940" max="7943" width="0" style="42" hidden="1" customWidth="1"/>
    <col min="7944" max="7954" width="9.140625" style="42" customWidth="1"/>
    <col min="7955" max="7955" width="0" style="42" hidden="1" customWidth="1"/>
    <col min="7956" max="7956" width="26.140625" style="42" customWidth="1"/>
    <col min="7957" max="7957" width="1.140625" style="42" customWidth="1"/>
    <col min="7958" max="8194" width="11.140625" style="42"/>
    <col min="8195" max="8195" width="16.5703125" style="42" customWidth="1"/>
    <col min="8196" max="8199" width="0" style="42" hidden="1" customWidth="1"/>
    <col min="8200" max="8210" width="9.140625" style="42" customWidth="1"/>
    <col min="8211" max="8211" width="0" style="42" hidden="1" customWidth="1"/>
    <col min="8212" max="8212" width="26.140625" style="42" customWidth="1"/>
    <col min="8213" max="8213" width="1.140625" style="42" customWidth="1"/>
    <col min="8214" max="8450" width="11.140625" style="42"/>
    <col min="8451" max="8451" width="16.5703125" style="42" customWidth="1"/>
    <col min="8452" max="8455" width="0" style="42" hidden="1" customWidth="1"/>
    <col min="8456" max="8466" width="9.140625" style="42" customWidth="1"/>
    <col min="8467" max="8467" width="0" style="42" hidden="1" customWidth="1"/>
    <col min="8468" max="8468" width="26.140625" style="42" customWidth="1"/>
    <col min="8469" max="8469" width="1.140625" style="42" customWidth="1"/>
    <col min="8470" max="8706" width="11.140625" style="42"/>
    <col min="8707" max="8707" width="16.5703125" style="42" customWidth="1"/>
    <col min="8708" max="8711" width="0" style="42" hidden="1" customWidth="1"/>
    <col min="8712" max="8722" width="9.140625" style="42" customWidth="1"/>
    <col min="8723" max="8723" width="0" style="42" hidden="1" customWidth="1"/>
    <col min="8724" max="8724" width="26.140625" style="42" customWidth="1"/>
    <col min="8725" max="8725" width="1.140625" style="42" customWidth="1"/>
    <col min="8726" max="8962" width="11.140625" style="42"/>
    <col min="8963" max="8963" width="16.5703125" style="42" customWidth="1"/>
    <col min="8964" max="8967" width="0" style="42" hidden="1" customWidth="1"/>
    <col min="8968" max="8978" width="9.140625" style="42" customWidth="1"/>
    <col min="8979" max="8979" width="0" style="42" hidden="1" customWidth="1"/>
    <col min="8980" max="8980" width="26.140625" style="42" customWidth="1"/>
    <col min="8981" max="8981" width="1.140625" style="42" customWidth="1"/>
    <col min="8982" max="9218" width="11.140625" style="42"/>
    <col min="9219" max="9219" width="16.5703125" style="42" customWidth="1"/>
    <col min="9220" max="9223" width="0" style="42" hidden="1" customWidth="1"/>
    <col min="9224" max="9234" width="9.140625" style="42" customWidth="1"/>
    <col min="9235" max="9235" width="0" style="42" hidden="1" customWidth="1"/>
    <col min="9236" max="9236" width="26.140625" style="42" customWidth="1"/>
    <col min="9237" max="9237" width="1.140625" style="42" customWidth="1"/>
    <col min="9238" max="9474" width="11.140625" style="42"/>
    <col min="9475" max="9475" width="16.5703125" style="42" customWidth="1"/>
    <col min="9476" max="9479" width="0" style="42" hidden="1" customWidth="1"/>
    <col min="9480" max="9490" width="9.140625" style="42" customWidth="1"/>
    <col min="9491" max="9491" width="0" style="42" hidden="1" customWidth="1"/>
    <col min="9492" max="9492" width="26.140625" style="42" customWidth="1"/>
    <col min="9493" max="9493" width="1.140625" style="42" customWidth="1"/>
    <col min="9494" max="9730" width="11.140625" style="42"/>
    <col min="9731" max="9731" width="16.5703125" style="42" customWidth="1"/>
    <col min="9732" max="9735" width="0" style="42" hidden="1" customWidth="1"/>
    <col min="9736" max="9746" width="9.140625" style="42" customWidth="1"/>
    <col min="9747" max="9747" width="0" style="42" hidden="1" customWidth="1"/>
    <col min="9748" max="9748" width="26.140625" style="42" customWidth="1"/>
    <col min="9749" max="9749" width="1.140625" style="42" customWidth="1"/>
    <col min="9750" max="9986" width="11.140625" style="42"/>
    <col min="9987" max="9987" width="16.5703125" style="42" customWidth="1"/>
    <col min="9988" max="9991" width="0" style="42" hidden="1" customWidth="1"/>
    <col min="9992" max="10002" width="9.140625" style="42" customWidth="1"/>
    <col min="10003" max="10003" width="0" style="42" hidden="1" customWidth="1"/>
    <col min="10004" max="10004" width="26.140625" style="42" customWidth="1"/>
    <col min="10005" max="10005" width="1.140625" style="42" customWidth="1"/>
    <col min="10006" max="10242" width="11.140625" style="42"/>
    <col min="10243" max="10243" width="16.5703125" style="42" customWidth="1"/>
    <col min="10244" max="10247" width="0" style="42" hidden="1" customWidth="1"/>
    <col min="10248" max="10258" width="9.140625" style="42" customWidth="1"/>
    <col min="10259" max="10259" width="0" style="42" hidden="1" customWidth="1"/>
    <col min="10260" max="10260" width="26.140625" style="42" customWidth="1"/>
    <col min="10261" max="10261" width="1.140625" style="42" customWidth="1"/>
    <col min="10262" max="10498" width="11.140625" style="42"/>
    <col min="10499" max="10499" width="16.5703125" style="42" customWidth="1"/>
    <col min="10500" max="10503" width="0" style="42" hidden="1" customWidth="1"/>
    <col min="10504" max="10514" width="9.140625" style="42" customWidth="1"/>
    <col min="10515" max="10515" width="0" style="42" hidden="1" customWidth="1"/>
    <col min="10516" max="10516" width="26.140625" style="42" customWidth="1"/>
    <col min="10517" max="10517" width="1.140625" style="42" customWidth="1"/>
    <col min="10518" max="10754" width="11.140625" style="42"/>
    <col min="10755" max="10755" width="16.5703125" style="42" customWidth="1"/>
    <col min="10756" max="10759" width="0" style="42" hidden="1" customWidth="1"/>
    <col min="10760" max="10770" width="9.140625" style="42" customWidth="1"/>
    <col min="10771" max="10771" width="0" style="42" hidden="1" customWidth="1"/>
    <col min="10772" max="10772" width="26.140625" style="42" customWidth="1"/>
    <col min="10773" max="10773" width="1.140625" style="42" customWidth="1"/>
    <col min="10774" max="11010" width="11.140625" style="42"/>
    <col min="11011" max="11011" width="16.5703125" style="42" customWidth="1"/>
    <col min="11012" max="11015" width="0" style="42" hidden="1" customWidth="1"/>
    <col min="11016" max="11026" width="9.140625" style="42" customWidth="1"/>
    <col min="11027" max="11027" width="0" style="42" hidden="1" customWidth="1"/>
    <col min="11028" max="11028" width="26.140625" style="42" customWidth="1"/>
    <col min="11029" max="11029" width="1.140625" style="42" customWidth="1"/>
    <col min="11030" max="11266" width="11.140625" style="42"/>
    <col min="11267" max="11267" width="16.5703125" style="42" customWidth="1"/>
    <col min="11268" max="11271" width="0" style="42" hidden="1" customWidth="1"/>
    <col min="11272" max="11282" width="9.140625" style="42" customWidth="1"/>
    <col min="11283" max="11283" width="0" style="42" hidden="1" customWidth="1"/>
    <col min="11284" max="11284" width="26.140625" style="42" customWidth="1"/>
    <col min="11285" max="11285" width="1.140625" style="42" customWidth="1"/>
    <col min="11286" max="11522" width="11.140625" style="42"/>
    <col min="11523" max="11523" width="16.5703125" style="42" customWidth="1"/>
    <col min="11524" max="11527" width="0" style="42" hidden="1" customWidth="1"/>
    <col min="11528" max="11538" width="9.140625" style="42" customWidth="1"/>
    <col min="11539" max="11539" width="0" style="42" hidden="1" customWidth="1"/>
    <col min="11540" max="11540" width="26.140625" style="42" customWidth="1"/>
    <col min="11541" max="11541" width="1.140625" style="42" customWidth="1"/>
    <col min="11542" max="11778" width="11.140625" style="42"/>
    <col min="11779" max="11779" width="16.5703125" style="42" customWidth="1"/>
    <col min="11780" max="11783" width="0" style="42" hidden="1" customWidth="1"/>
    <col min="11784" max="11794" width="9.140625" style="42" customWidth="1"/>
    <col min="11795" max="11795" width="0" style="42" hidden="1" customWidth="1"/>
    <col min="11796" max="11796" width="26.140625" style="42" customWidth="1"/>
    <col min="11797" max="11797" width="1.140625" style="42" customWidth="1"/>
    <col min="11798" max="12034" width="11.140625" style="42"/>
    <col min="12035" max="12035" width="16.5703125" style="42" customWidth="1"/>
    <col min="12036" max="12039" width="0" style="42" hidden="1" customWidth="1"/>
    <col min="12040" max="12050" width="9.140625" style="42" customWidth="1"/>
    <col min="12051" max="12051" width="0" style="42" hidden="1" customWidth="1"/>
    <col min="12052" max="12052" width="26.140625" style="42" customWidth="1"/>
    <col min="12053" max="12053" width="1.140625" style="42" customWidth="1"/>
    <col min="12054" max="12290" width="11.140625" style="42"/>
    <col min="12291" max="12291" width="16.5703125" style="42" customWidth="1"/>
    <col min="12292" max="12295" width="0" style="42" hidden="1" customWidth="1"/>
    <col min="12296" max="12306" width="9.140625" style="42" customWidth="1"/>
    <col min="12307" max="12307" width="0" style="42" hidden="1" customWidth="1"/>
    <col min="12308" max="12308" width="26.140625" style="42" customWidth="1"/>
    <col min="12309" max="12309" width="1.140625" style="42" customWidth="1"/>
    <col min="12310" max="12546" width="11.140625" style="42"/>
    <col min="12547" max="12547" width="16.5703125" style="42" customWidth="1"/>
    <col min="12548" max="12551" width="0" style="42" hidden="1" customWidth="1"/>
    <col min="12552" max="12562" width="9.140625" style="42" customWidth="1"/>
    <col min="12563" max="12563" width="0" style="42" hidden="1" customWidth="1"/>
    <col min="12564" max="12564" width="26.140625" style="42" customWidth="1"/>
    <col min="12565" max="12565" width="1.140625" style="42" customWidth="1"/>
    <col min="12566" max="12802" width="11.140625" style="42"/>
    <col min="12803" max="12803" width="16.5703125" style="42" customWidth="1"/>
    <col min="12804" max="12807" width="0" style="42" hidden="1" customWidth="1"/>
    <col min="12808" max="12818" width="9.140625" style="42" customWidth="1"/>
    <col min="12819" max="12819" width="0" style="42" hidden="1" customWidth="1"/>
    <col min="12820" max="12820" width="26.140625" style="42" customWidth="1"/>
    <col min="12821" max="12821" width="1.140625" style="42" customWidth="1"/>
    <col min="12822" max="13058" width="11.140625" style="42"/>
    <col min="13059" max="13059" width="16.5703125" style="42" customWidth="1"/>
    <col min="13060" max="13063" width="0" style="42" hidden="1" customWidth="1"/>
    <col min="13064" max="13074" width="9.140625" style="42" customWidth="1"/>
    <col min="13075" max="13075" width="0" style="42" hidden="1" customWidth="1"/>
    <col min="13076" max="13076" width="26.140625" style="42" customWidth="1"/>
    <col min="13077" max="13077" width="1.140625" style="42" customWidth="1"/>
    <col min="13078" max="13314" width="11.140625" style="42"/>
    <col min="13315" max="13315" width="16.5703125" style="42" customWidth="1"/>
    <col min="13316" max="13319" width="0" style="42" hidden="1" customWidth="1"/>
    <col min="13320" max="13330" width="9.140625" style="42" customWidth="1"/>
    <col min="13331" max="13331" width="0" style="42" hidden="1" customWidth="1"/>
    <col min="13332" max="13332" width="26.140625" style="42" customWidth="1"/>
    <col min="13333" max="13333" width="1.140625" style="42" customWidth="1"/>
    <col min="13334" max="13570" width="11.140625" style="42"/>
    <col min="13571" max="13571" width="16.5703125" style="42" customWidth="1"/>
    <col min="13572" max="13575" width="0" style="42" hidden="1" customWidth="1"/>
    <col min="13576" max="13586" width="9.140625" style="42" customWidth="1"/>
    <col min="13587" max="13587" width="0" style="42" hidden="1" customWidth="1"/>
    <col min="13588" max="13588" width="26.140625" style="42" customWidth="1"/>
    <col min="13589" max="13589" width="1.140625" style="42" customWidth="1"/>
    <col min="13590" max="13826" width="11.140625" style="42"/>
    <col min="13827" max="13827" width="16.5703125" style="42" customWidth="1"/>
    <col min="13828" max="13831" width="0" style="42" hidden="1" customWidth="1"/>
    <col min="13832" max="13842" width="9.140625" style="42" customWidth="1"/>
    <col min="13843" max="13843" width="0" style="42" hidden="1" customWidth="1"/>
    <col min="13844" max="13844" width="26.140625" style="42" customWidth="1"/>
    <col min="13845" max="13845" width="1.140625" style="42" customWidth="1"/>
    <col min="13846" max="14082" width="11.140625" style="42"/>
    <col min="14083" max="14083" width="16.5703125" style="42" customWidth="1"/>
    <col min="14084" max="14087" width="0" style="42" hidden="1" customWidth="1"/>
    <col min="14088" max="14098" width="9.140625" style="42" customWidth="1"/>
    <col min="14099" max="14099" width="0" style="42" hidden="1" customWidth="1"/>
    <col min="14100" max="14100" width="26.140625" style="42" customWidth="1"/>
    <col min="14101" max="14101" width="1.140625" style="42" customWidth="1"/>
    <col min="14102" max="14338" width="11.140625" style="42"/>
    <col min="14339" max="14339" width="16.5703125" style="42" customWidth="1"/>
    <col min="14340" max="14343" width="0" style="42" hidden="1" customWidth="1"/>
    <col min="14344" max="14354" width="9.140625" style="42" customWidth="1"/>
    <col min="14355" max="14355" width="0" style="42" hidden="1" customWidth="1"/>
    <col min="14356" max="14356" width="26.140625" style="42" customWidth="1"/>
    <col min="14357" max="14357" width="1.140625" style="42" customWidth="1"/>
    <col min="14358" max="14594" width="11.140625" style="42"/>
    <col min="14595" max="14595" width="16.5703125" style="42" customWidth="1"/>
    <col min="14596" max="14599" width="0" style="42" hidden="1" customWidth="1"/>
    <col min="14600" max="14610" width="9.140625" style="42" customWidth="1"/>
    <col min="14611" max="14611" width="0" style="42" hidden="1" customWidth="1"/>
    <col min="14612" max="14612" width="26.140625" style="42" customWidth="1"/>
    <col min="14613" max="14613" width="1.140625" style="42" customWidth="1"/>
    <col min="14614" max="14850" width="11.140625" style="42"/>
    <col min="14851" max="14851" width="16.5703125" style="42" customWidth="1"/>
    <col min="14852" max="14855" width="0" style="42" hidden="1" customWidth="1"/>
    <col min="14856" max="14866" width="9.140625" style="42" customWidth="1"/>
    <col min="14867" max="14867" width="0" style="42" hidden="1" customWidth="1"/>
    <col min="14868" max="14868" width="26.140625" style="42" customWidth="1"/>
    <col min="14869" max="14869" width="1.140625" style="42" customWidth="1"/>
    <col min="14870" max="15106" width="11.140625" style="42"/>
    <col min="15107" max="15107" width="16.5703125" style="42" customWidth="1"/>
    <col min="15108" max="15111" width="0" style="42" hidden="1" customWidth="1"/>
    <col min="15112" max="15122" width="9.140625" style="42" customWidth="1"/>
    <col min="15123" max="15123" width="0" style="42" hidden="1" customWidth="1"/>
    <col min="15124" max="15124" width="26.140625" style="42" customWidth="1"/>
    <col min="15125" max="15125" width="1.140625" style="42" customWidth="1"/>
    <col min="15126" max="15362" width="11.140625" style="42"/>
    <col min="15363" max="15363" width="16.5703125" style="42" customWidth="1"/>
    <col min="15364" max="15367" width="0" style="42" hidden="1" customWidth="1"/>
    <col min="15368" max="15378" width="9.140625" style="42" customWidth="1"/>
    <col min="15379" max="15379" width="0" style="42" hidden="1" customWidth="1"/>
    <col min="15380" max="15380" width="26.140625" style="42" customWidth="1"/>
    <col min="15381" max="15381" width="1.140625" style="42" customWidth="1"/>
    <col min="15382" max="15618" width="11.140625" style="42"/>
    <col min="15619" max="15619" width="16.5703125" style="42" customWidth="1"/>
    <col min="15620" max="15623" width="0" style="42" hidden="1" customWidth="1"/>
    <col min="15624" max="15634" width="9.140625" style="42" customWidth="1"/>
    <col min="15635" max="15635" width="0" style="42" hidden="1" customWidth="1"/>
    <col min="15636" max="15636" width="26.140625" style="42" customWidth="1"/>
    <col min="15637" max="15637" width="1.140625" style="42" customWidth="1"/>
    <col min="15638" max="15874" width="11.140625" style="42"/>
    <col min="15875" max="15875" width="16.5703125" style="42" customWidth="1"/>
    <col min="15876" max="15879" width="0" style="42" hidden="1" customWidth="1"/>
    <col min="15880" max="15890" width="9.140625" style="42" customWidth="1"/>
    <col min="15891" max="15891" width="0" style="42" hidden="1" customWidth="1"/>
    <col min="15892" max="15892" width="26.140625" style="42" customWidth="1"/>
    <col min="15893" max="15893" width="1.140625" style="42" customWidth="1"/>
    <col min="15894" max="16130" width="11.140625" style="42"/>
    <col min="16131" max="16131" width="16.5703125" style="42" customWidth="1"/>
    <col min="16132" max="16135" width="0" style="42" hidden="1" customWidth="1"/>
    <col min="16136" max="16146" width="9.140625" style="42" customWidth="1"/>
    <col min="16147" max="16147" width="0" style="42" hidden="1" customWidth="1"/>
    <col min="16148" max="16148" width="26.140625" style="42" customWidth="1"/>
    <col min="16149" max="16149" width="1.140625" style="42" customWidth="1"/>
    <col min="16150" max="16384" width="11.140625" style="42"/>
  </cols>
  <sheetData>
    <row r="1" spans="1:30" s="36" customFormat="1" ht="15.75" x14ac:dyDescent="0.25">
      <c r="A1" s="32" t="s">
        <v>35</v>
      </c>
      <c r="B1" s="32"/>
      <c r="C1" s="32"/>
      <c r="D1" s="32"/>
      <c r="E1" s="32"/>
      <c r="F1" s="32"/>
      <c r="G1" s="32"/>
      <c r="H1" s="32"/>
      <c r="I1" s="32"/>
      <c r="J1" s="32"/>
      <c r="K1" s="32"/>
      <c r="L1" s="32"/>
      <c r="M1" s="32"/>
      <c r="N1" s="32"/>
      <c r="O1" s="32"/>
      <c r="P1" s="32"/>
      <c r="Q1" s="32"/>
      <c r="R1" s="32"/>
      <c r="S1" s="32"/>
      <c r="T1" s="32"/>
    </row>
    <row r="2" spans="1:30" s="1" customFormat="1" ht="15" x14ac:dyDescent="0.25">
      <c r="A2" s="33" t="s">
        <v>36</v>
      </c>
      <c r="B2" s="33"/>
      <c r="C2" s="33"/>
      <c r="D2" s="33"/>
      <c r="E2" s="33"/>
      <c r="F2" s="33"/>
      <c r="G2" s="33"/>
      <c r="H2" s="33"/>
      <c r="I2" s="33"/>
      <c r="J2" s="33"/>
      <c r="K2" s="33"/>
      <c r="L2" s="33"/>
      <c r="M2" s="33"/>
      <c r="N2" s="33"/>
      <c r="O2" s="33"/>
      <c r="P2" s="33"/>
      <c r="Q2" s="33"/>
      <c r="R2" s="33"/>
      <c r="S2" s="33"/>
      <c r="T2" s="33"/>
      <c r="V2" s="36"/>
      <c r="W2" s="36"/>
      <c r="X2" s="36"/>
      <c r="Y2" s="36"/>
      <c r="Z2" s="36"/>
      <c r="AA2" s="36"/>
      <c r="AB2" s="36"/>
      <c r="AC2" s="36"/>
    </row>
    <row r="3" spans="1:30" s="1" customFormat="1" ht="17.25" x14ac:dyDescent="0.25">
      <c r="A3" s="2" t="s">
        <v>7</v>
      </c>
      <c r="B3" s="3" t="s">
        <v>37</v>
      </c>
      <c r="C3" s="3">
        <v>2004</v>
      </c>
      <c r="D3" s="3">
        <v>2005</v>
      </c>
      <c r="E3" s="4">
        <v>2006</v>
      </c>
      <c r="F3" s="3" t="s">
        <v>8</v>
      </c>
      <c r="G3" s="3" t="s">
        <v>9</v>
      </c>
      <c r="H3" s="3" t="s">
        <v>10</v>
      </c>
      <c r="I3" s="4">
        <v>2010</v>
      </c>
      <c r="J3" s="4">
        <v>2011</v>
      </c>
      <c r="K3" s="4">
        <v>2012</v>
      </c>
      <c r="L3" s="4">
        <v>2013</v>
      </c>
      <c r="M3" s="4">
        <v>2014</v>
      </c>
      <c r="N3" s="4">
        <v>2015</v>
      </c>
      <c r="O3" s="4">
        <v>2016</v>
      </c>
      <c r="P3" s="4">
        <v>2017</v>
      </c>
      <c r="Q3" s="3">
        <v>2018</v>
      </c>
      <c r="R3" s="3">
        <v>2019</v>
      </c>
      <c r="S3" s="3" t="s">
        <v>38</v>
      </c>
      <c r="T3" s="19" t="s">
        <v>11</v>
      </c>
      <c r="V3" s="36"/>
      <c r="W3" s="36"/>
      <c r="X3" s="36"/>
      <c r="Y3" s="36"/>
      <c r="Z3" s="36"/>
      <c r="AA3" s="36"/>
      <c r="AB3" s="36"/>
      <c r="AC3" s="36"/>
    </row>
    <row r="4" spans="1:30" s="1" customFormat="1" ht="15.75" x14ac:dyDescent="0.25">
      <c r="A4" s="5" t="s">
        <v>2</v>
      </c>
      <c r="B4" s="6"/>
      <c r="C4" s="6"/>
      <c r="D4" s="6"/>
      <c r="E4" s="6"/>
      <c r="F4" s="6"/>
      <c r="G4" s="6"/>
      <c r="H4" s="6"/>
      <c r="I4" s="6"/>
      <c r="J4" s="6"/>
      <c r="K4" s="6"/>
      <c r="L4" s="6"/>
      <c r="M4" s="6"/>
      <c r="N4" s="6"/>
      <c r="O4" s="6"/>
      <c r="P4" s="6"/>
      <c r="Q4" s="6"/>
      <c r="R4" s="6"/>
      <c r="S4" s="6"/>
      <c r="T4" s="20" t="s">
        <v>12</v>
      </c>
      <c r="V4" s="36"/>
      <c r="W4" s="36"/>
      <c r="X4" s="36"/>
      <c r="Y4" s="36"/>
      <c r="Z4" s="36"/>
      <c r="AA4" s="36"/>
      <c r="AB4" s="36"/>
      <c r="AC4" s="36"/>
    </row>
    <row r="5" spans="1:30" s="1" customFormat="1" ht="15.75" x14ac:dyDescent="0.25">
      <c r="A5" s="5" t="s">
        <v>13</v>
      </c>
      <c r="B5" s="37">
        <f t="shared" ref="B5:H5" si="0">SUM(B6:B12)</f>
        <v>1022</v>
      </c>
      <c r="C5" s="37">
        <f t="shared" si="0"/>
        <v>1007</v>
      </c>
      <c r="D5" s="37">
        <f t="shared" si="0"/>
        <v>1015</v>
      </c>
      <c r="E5" s="37">
        <f t="shared" si="0"/>
        <v>1083</v>
      </c>
      <c r="F5" s="7">
        <f>SUM(F6:F12)</f>
        <v>1126</v>
      </c>
      <c r="G5" s="7">
        <f t="shared" si="0"/>
        <v>1090</v>
      </c>
      <c r="H5" s="7">
        <f t="shared" si="0"/>
        <v>1164</v>
      </c>
      <c r="I5" s="7">
        <v>1105</v>
      </c>
      <c r="J5" s="7">
        <v>1137</v>
      </c>
      <c r="K5" s="8">
        <v>1135</v>
      </c>
      <c r="L5" s="8">
        <f>L14+L23</f>
        <v>1120</v>
      </c>
      <c r="M5" s="8">
        <f>M14+M23</f>
        <v>1143</v>
      </c>
      <c r="N5" s="8">
        <f>N14+N23</f>
        <v>1130</v>
      </c>
      <c r="O5" s="8">
        <f>SUM(O14+O23)</f>
        <v>1226</v>
      </c>
      <c r="P5" s="8">
        <f>SUM(P14+P23)</f>
        <v>1241</v>
      </c>
      <c r="Q5" s="8">
        <f>SUM(Q14+Q23)+Q31+Q32</f>
        <v>1216</v>
      </c>
      <c r="R5" s="8">
        <v>1041</v>
      </c>
      <c r="S5" s="8">
        <f>S14+S23+S34</f>
        <v>1275</v>
      </c>
      <c r="T5" s="20" t="s">
        <v>14</v>
      </c>
      <c r="V5" s="36"/>
      <c r="W5" s="36"/>
    </row>
    <row r="6" spans="1:30" s="1" customFormat="1" ht="15.75" x14ac:dyDescent="0.25">
      <c r="A6" s="9" t="s">
        <v>15</v>
      </c>
      <c r="B6" s="10">
        <f t="shared" ref="B6:D12" si="1">SUM(B15+B24)</f>
        <v>72</v>
      </c>
      <c r="C6" s="10">
        <f t="shared" si="1"/>
        <v>76</v>
      </c>
      <c r="D6" s="10">
        <f t="shared" si="1"/>
        <v>67</v>
      </c>
      <c r="E6" s="10">
        <v>93</v>
      </c>
      <c r="F6" s="10">
        <f>F15+F24</f>
        <v>66</v>
      </c>
      <c r="G6" s="10">
        <v>76</v>
      </c>
      <c r="H6" s="10">
        <v>81</v>
      </c>
      <c r="I6" s="10">
        <v>78</v>
      </c>
      <c r="J6" s="10">
        <v>65</v>
      </c>
      <c r="K6" s="10">
        <v>66</v>
      </c>
      <c r="L6" s="10">
        <v>46</v>
      </c>
      <c r="M6" s="10">
        <v>59</v>
      </c>
      <c r="N6" s="10">
        <v>63</v>
      </c>
      <c r="O6" s="10">
        <f t="shared" ref="O6:O11" si="2">O15+O24</f>
        <v>53</v>
      </c>
      <c r="P6" s="10">
        <v>64</v>
      </c>
      <c r="Q6" s="10">
        <f t="shared" ref="Q6:Q12" si="3">SUM(Q15+Q24)</f>
        <v>45</v>
      </c>
      <c r="R6" s="10">
        <v>43</v>
      </c>
      <c r="S6" s="10">
        <f t="shared" ref="S6:S12" si="4">S15+S24+S35</f>
        <v>45</v>
      </c>
      <c r="T6" s="21" t="s">
        <v>16</v>
      </c>
      <c r="V6" s="36"/>
      <c r="W6" s="36"/>
      <c r="X6" s="36"/>
      <c r="Y6" s="36"/>
      <c r="Z6" s="36"/>
      <c r="AA6" s="36"/>
      <c r="AB6" s="36"/>
      <c r="AC6" s="36"/>
    </row>
    <row r="7" spans="1:30" s="1" customFormat="1" ht="18.75" x14ac:dyDescent="0.25">
      <c r="A7" s="9" t="s">
        <v>17</v>
      </c>
      <c r="B7" s="10">
        <f t="shared" si="1"/>
        <v>23</v>
      </c>
      <c r="C7" s="10">
        <f t="shared" si="1"/>
        <v>39</v>
      </c>
      <c r="D7" s="10">
        <f t="shared" si="1"/>
        <v>20</v>
      </c>
      <c r="E7" s="10">
        <v>15</v>
      </c>
      <c r="F7" s="10">
        <f t="shared" ref="F7:F12" si="5">F16+F25</f>
        <v>10</v>
      </c>
      <c r="G7" s="10">
        <v>20</v>
      </c>
      <c r="H7" s="10">
        <v>10</v>
      </c>
      <c r="I7" s="10">
        <v>11</v>
      </c>
      <c r="J7" s="10">
        <v>16</v>
      </c>
      <c r="K7" s="10">
        <v>18</v>
      </c>
      <c r="L7" s="10">
        <v>21</v>
      </c>
      <c r="M7" s="10">
        <v>15</v>
      </c>
      <c r="N7" s="10">
        <v>13</v>
      </c>
      <c r="O7" s="10">
        <f t="shared" si="2"/>
        <v>10</v>
      </c>
      <c r="P7" s="10">
        <v>8</v>
      </c>
      <c r="Q7" s="10">
        <f t="shared" si="3"/>
        <v>9</v>
      </c>
      <c r="R7" s="10">
        <v>7</v>
      </c>
      <c r="S7" s="10">
        <f t="shared" si="4"/>
        <v>4</v>
      </c>
      <c r="T7" s="23" t="s">
        <v>18</v>
      </c>
      <c r="V7" s="36"/>
      <c r="W7" s="36"/>
      <c r="X7" s="36"/>
      <c r="Y7" s="36"/>
      <c r="Z7" s="36"/>
      <c r="AA7" s="36"/>
      <c r="AB7" s="36"/>
      <c r="AC7" s="36"/>
    </row>
    <row r="8" spans="1:30" s="1" customFormat="1" ht="18.75" x14ac:dyDescent="0.25">
      <c r="A8" s="9" t="s">
        <v>19</v>
      </c>
      <c r="B8" s="10">
        <f t="shared" si="1"/>
        <v>27</v>
      </c>
      <c r="C8" s="10">
        <f t="shared" si="1"/>
        <v>36</v>
      </c>
      <c r="D8" s="10">
        <f t="shared" si="1"/>
        <v>25</v>
      </c>
      <c r="E8" s="10">
        <v>30</v>
      </c>
      <c r="F8" s="10">
        <f t="shared" si="5"/>
        <v>22</v>
      </c>
      <c r="G8" s="10">
        <v>23</v>
      </c>
      <c r="H8" s="10">
        <v>24</v>
      </c>
      <c r="I8" s="10">
        <v>20</v>
      </c>
      <c r="J8" s="10">
        <v>19</v>
      </c>
      <c r="K8" s="10">
        <v>14</v>
      </c>
      <c r="L8" s="10">
        <v>13</v>
      </c>
      <c r="M8" s="10">
        <v>8</v>
      </c>
      <c r="N8" s="10">
        <v>19</v>
      </c>
      <c r="O8" s="10">
        <f t="shared" si="2"/>
        <v>15</v>
      </c>
      <c r="P8" s="10">
        <v>13</v>
      </c>
      <c r="Q8" s="10">
        <f t="shared" si="3"/>
        <v>7</v>
      </c>
      <c r="R8" s="10">
        <v>5</v>
      </c>
      <c r="S8" s="10">
        <f t="shared" si="4"/>
        <v>6</v>
      </c>
      <c r="T8" s="23" t="s">
        <v>20</v>
      </c>
      <c r="V8" s="36"/>
      <c r="W8" s="36"/>
    </row>
    <row r="9" spans="1:30" s="1" customFormat="1" ht="18.75" x14ac:dyDescent="0.25">
      <c r="A9" s="9" t="s">
        <v>21</v>
      </c>
      <c r="B9" s="10">
        <f t="shared" si="1"/>
        <v>102</v>
      </c>
      <c r="C9" s="10">
        <f t="shared" si="1"/>
        <v>107</v>
      </c>
      <c r="D9" s="10">
        <f t="shared" si="1"/>
        <v>72</v>
      </c>
      <c r="E9" s="10">
        <v>89</v>
      </c>
      <c r="F9" s="10">
        <f t="shared" si="5"/>
        <v>98</v>
      </c>
      <c r="G9" s="10">
        <v>104</v>
      </c>
      <c r="H9" s="10">
        <v>96</v>
      </c>
      <c r="I9" s="10">
        <v>100</v>
      </c>
      <c r="J9" s="10">
        <v>88</v>
      </c>
      <c r="K9" s="10">
        <v>85</v>
      </c>
      <c r="L9" s="10">
        <v>109</v>
      </c>
      <c r="M9" s="10">
        <v>102</v>
      </c>
      <c r="N9" s="10">
        <v>83</v>
      </c>
      <c r="O9" s="10">
        <f t="shared" si="2"/>
        <v>92</v>
      </c>
      <c r="P9" s="10">
        <v>121</v>
      </c>
      <c r="Q9" s="10">
        <f t="shared" si="3"/>
        <v>113</v>
      </c>
      <c r="R9" s="10">
        <v>101</v>
      </c>
      <c r="S9" s="10">
        <f t="shared" si="4"/>
        <v>136</v>
      </c>
      <c r="T9" s="23" t="s">
        <v>22</v>
      </c>
      <c r="V9" s="36"/>
      <c r="W9" s="36"/>
      <c r="X9" s="36"/>
      <c r="Y9" s="36"/>
      <c r="Z9" s="36"/>
      <c r="AA9" s="36"/>
      <c r="AB9" s="36"/>
      <c r="AC9" s="36"/>
    </row>
    <row r="10" spans="1:30" s="1" customFormat="1" ht="18.75" x14ac:dyDescent="0.25">
      <c r="A10" s="9" t="s">
        <v>23</v>
      </c>
      <c r="B10" s="10">
        <f t="shared" si="1"/>
        <v>219</v>
      </c>
      <c r="C10" s="10">
        <f t="shared" si="1"/>
        <v>184</v>
      </c>
      <c r="D10" s="10">
        <f t="shared" si="1"/>
        <v>190</v>
      </c>
      <c r="E10" s="10">
        <v>213</v>
      </c>
      <c r="F10" s="10">
        <f t="shared" si="5"/>
        <v>179</v>
      </c>
      <c r="G10" s="10">
        <v>182</v>
      </c>
      <c r="H10" s="10">
        <v>163</v>
      </c>
      <c r="I10" s="10">
        <v>195</v>
      </c>
      <c r="J10" s="10">
        <v>157</v>
      </c>
      <c r="K10" s="10">
        <v>213</v>
      </c>
      <c r="L10" s="10">
        <v>190</v>
      </c>
      <c r="M10" s="10">
        <v>211</v>
      </c>
      <c r="N10" s="10">
        <v>181</v>
      </c>
      <c r="O10" s="10">
        <f t="shared" si="2"/>
        <v>197</v>
      </c>
      <c r="P10" s="10">
        <v>222</v>
      </c>
      <c r="Q10" s="10">
        <f t="shared" si="3"/>
        <v>226</v>
      </c>
      <c r="R10" s="10">
        <v>200</v>
      </c>
      <c r="S10" s="10">
        <f t="shared" si="4"/>
        <v>254</v>
      </c>
      <c r="T10" s="23" t="s">
        <v>24</v>
      </c>
      <c r="V10" s="36"/>
      <c r="W10" s="36"/>
      <c r="X10" s="36"/>
      <c r="Y10" s="36"/>
      <c r="Z10" s="36"/>
      <c r="AA10" s="36"/>
      <c r="AB10" s="36"/>
      <c r="AC10" s="36"/>
    </row>
    <row r="11" spans="1:30" s="1" customFormat="1" ht="18" customHeight="1" x14ac:dyDescent="0.25">
      <c r="A11" s="9" t="s">
        <v>25</v>
      </c>
      <c r="B11" s="10">
        <f t="shared" si="1"/>
        <v>579</v>
      </c>
      <c r="C11" s="10">
        <f t="shared" si="1"/>
        <v>558</v>
      </c>
      <c r="D11" s="10">
        <f t="shared" si="1"/>
        <v>641</v>
      </c>
      <c r="E11" s="10">
        <v>643</v>
      </c>
      <c r="F11" s="10">
        <f t="shared" si="5"/>
        <v>751</v>
      </c>
      <c r="G11" s="10">
        <v>685</v>
      </c>
      <c r="H11" s="10">
        <v>790</v>
      </c>
      <c r="I11" s="10">
        <v>701</v>
      </c>
      <c r="J11" s="10">
        <v>792</v>
      </c>
      <c r="K11" s="10">
        <v>739</v>
      </c>
      <c r="L11" s="10">
        <v>741</v>
      </c>
      <c r="M11" s="10">
        <v>748</v>
      </c>
      <c r="N11" s="10">
        <v>771</v>
      </c>
      <c r="O11" s="10">
        <f t="shared" si="2"/>
        <v>859</v>
      </c>
      <c r="P11" s="10">
        <v>813</v>
      </c>
      <c r="Q11" s="10">
        <f t="shared" si="3"/>
        <v>812</v>
      </c>
      <c r="R11" s="10">
        <v>685</v>
      </c>
      <c r="S11" s="10">
        <f t="shared" si="4"/>
        <v>781</v>
      </c>
      <c r="T11" s="21" t="s">
        <v>26</v>
      </c>
      <c r="V11" s="36"/>
      <c r="W11" s="36"/>
    </row>
    <row r="12" spans="1:30" s="1" customFormat="1" ht="16.5" customHeight="1" x14ac:dyDescent="0.25">
      <c r="A12" s="29" t="s">
        <v>27</v>
      </c>
      <c r="B12" s="25">
        <f>B30</f>
        <v>0</v>
      </c>
      <c r="C12" s="25">
        <f>SUM(C21+C30)</f>
        <v>7</v>
      </c>
      <c r="D12" s="25">
        <f t="shared" si="1"/>
        <v>0</v>
      </c>
      <c r="E12" s="25">
        <v>0</v>
      </c>
      <c r="F12" s="25">
        <f t="shared" si="5"/>
        <v>0</v>
      </c>
      <c r="G12" s="25">
        <v>0</v>
      </c>
      <c r="H12" s="25">
        <v>0</v>
      </c>
      <c r="I12" s="25">
        <v>0</v>
      </c>
      <c r="J12" s="25">
        <v>0</v>
      </c>
      <c r="K12" s="25">
        <v>0</v>
      </c>
      <c r="L12" s="25">
        <v>0</v>
      </c>
      <c r="M12" s="25">
        <v>0</v>
      </c>
      <c r="N12" s="25">
        <v>0</v>
      </c>
      <c r="O12" s="25">
        <f>O21+O30</f>
        <v>0</v>
      </c>
      <c r="P12" s="25">
        <v>0</v>
      </c>
      <c r="Q12" s="25">
        <f t="shared" si="3"/>
        <v>2</v>
      </c>
      <c r="R12" s="25">
        <v>0</v>
      </c>
      <c r="S12" s="25">
        <f t="shared" si="4"/>
        <v>49</v>
      </c>
      <c r="T12" s="26" t="s">
        <v>28</v>
      </c>
      <c r="V12" s="36"/>
      <c r="W12" s="36"/>
      <c r="X12" s="36"/>
      <c r="Y12" s="36"/>
      <c r="Z12" s="36"/>
      <c r="AA12" s="36"/>
      <c r="AB12" s="36"/>
      <c r="AC12" s="36"/>
    </row>
    <row r="13" spans="1:30" s="39" customFormat="1" ht="15.75" x14ac:dyDescent="0.25">
      <c r="A13" s="5" t="s">
        <v>3</v>
      </c>
      <c r="B13" s="38"/>
      <c r="C13" s="38"/>
      <c r="D13" s="38"/>
      <c r="E13" s="38"/>
      <c r="F13" s="11"/>
      <c r="G13" s="11"/>
      <c r="H13" s="11"/>
      <c r="I13" s="11"/>
      <c r="J13" s="11"/>
      <c r="K13" s="12"/>
      <c r="L13" s="12"/>
      <c r="M13" s="12"/>
      <c r="N13" s="12"/>
      <c r="O13" s="12"/>
      <c r="P13" s="12"/>
      <c r="Q13" s="12"/>
      <c r="R13" s="12"/>
      <c r="S13" s="12"/>
      <c r="T13" s="20" t="s">
        <v>0</v>
      </c>
      <c r="V13" s="36"/>
      <c r="W13" s="36"/>
      <c r="X13" s="36"/>
      <c r="Y13" s="36"/>
      <c r="Z13" s="36"/>
      <c r="AA13" s="36"/>
      <c r="AB13" s="36"/>
      <c r="AC13" s="36"/>
      <c r="AD13" s="1"/>
    </row>
    <row r="14" spans="1:30" s="39" customFormat="1" ht="15.75" x14ac:dyDescent="0.25">
      <c r="A14" s="5" t="s">
        <v>13</v>
      </c>
      <c r="B14" s="37">
        <f>SUM(B15:B20)</f>
        <v>590</v>
      </c>
      <c r="C14" s="37">
        <f t="shared" ref="C14:N14" si="6">SUM(C15:C21)</f>
        <v>577</v>
      </c>
      <c r="D14" s="37">
        <f t="shared" si="6"/>
        <v>606</v>
      </c>
      <c r="E14" s="37">
        <f t="shared" si="6"/>
        <v>648</v>
      </c>
      <c r="F14" s="7">
        <f t="shared" si="6"/>
        <v>690</v>
      </c>
      <c r="G14" s="7">
        <f t="shared" si="6"/>
        <v>643</v>
      </c>
      <c r="H14" s="7">
        <f t="shared" si="6"/>
        <v>676</v>
      </c>
      <c r="I14" s="7">
        <f t="shared" si="6"/>
        <v>660</v>
      </c>
      <c r="J14" s="7">
        <f t="shared" si="6"/>
        <v>686</v>
      </c>
      <c r="K14" s="7">
        <f>SUM(K15:K21)</f>
        <v>656</v>
      </c>
      <c r="L14" s="7">
        <f t="shared" si="6"/>
        <v>649</v>
      </c>
      <c r="M14" s="7">
        <f t="shared" si="6"/>
        <v>663</v>
      </c>
      <c r="N14" s="7">
        <f t="shared" si="6"/>
        <v>666</v>
      </c>
      <c r="O14" s="7">
        <f>SUM(O15:O21)</f>
        <v>658</v>
      </c>
      <c r="P14" s="7">
        <f>SUM(P15:P21)</f>
        <v>750</v>
      </c>
      <c r="Q14" s="7">
        <f>SUM(Q15:Q21)</f>
        <v>716</v>
      </c>
      <c r="R14" s="7">
        <v>633</v>
      </c>
      <c r="S14" s="7">
        <f>SUM(S15:S21)</f>
        <v>713</v>
      </c>
      <c r="T14" s="20" t="s">
        <v>14</v>
      </c>
      <c r="V14" s="36"/>
      <c r="W14" s="36"/>
    </row>
    <row r="15" spans="1:30" s="39" customFormat="1" ht="15.75" x14ac:dyDescent="0.25">
      <c r="A15" s="9" t="s">
        <v>15</v>
      </c>
      <c r="B15" s="40">
        <v>41</v>
      </c>
      <c r="C15" s="40">
        <v>42</v>
      </c>
      <c r="D15" s="40">
        <v>32</v>
      </c>
      <c r="E15" s="40">
        <v>54</v>
      </c>
      <c r="F15" s="13">
        <v>47</v>
      </c>
      <c r="G15" s="13">
        <v>38</v>
      </c>
      <c r="H15" s="13">
        <v>42</v>
      </c>
      <c r="I15" s="13">
        <v>45</v>
      </c>
      <c r="J15" s="13">
        <v>37</v>
      </c>
      <c r="K15" s="10">
        <v>40</v>
      </c>
      <c r="L15" s="10">
        <v>29</v>
      </c>
      <c r="M15" s="10">
        <v>32</v>
      </c>
      <c r="N15" s="10">
        <v>34</v>
      </c>
      <c r="O15" s="10">
        <v>21</v>
      </c>
      <c r="P15" s="10">
        <v>42</v>
      </c>
      <c r="Q15" s="10">
        <v>24</v>
      </c>
      <c r="R15" s="10">
        <v>23</v>
      </c>
      <c r="S15" s="10">
        <v>12</v>
      </c>
      <c r="T15" s="21" t="s">
        <v>16</v>
      </c>
      <c r="V15" s="36"/>
      <c r="W15" s="36"/>
    </row>
    <row r="16" spans="1:30" s="39" customFormat="1" ht="18.75" x14ac:dyDescent="0.25">
      <c r="A16" s="9" t="s">
        <v>17</v>
      </c>
      <c r="B16" s="40">
        <v>18</v>
      </c>
      <c r="C16" s="40">
        <v>20</v>
      </c>
      <c r="D16" s="40">
        <v>8</v>
      </c>
      <c r="E16" s="40">
        <v>9</v>
      </c>
      <c r="F16" s="13">
        <v>5</v>
      </c>
      <c r="G16" s="13">
        <v>10</v>
      </c>
      <c r="H16" s="13">
        <v>5</v>
      </c>
      <c r="I16" s="13">
        <v>5</v>
      </c>
      <c r="J16" s="13">
        <v>9</v>
      </c>
      <c r="K16" s="10">
        <v>15</v>
      </c>
      <c r="L16" s="10">
        <v>11</v>
      </c>
      <c r="M16" s="10">
        <v>6</v>
      </c>
      <c r="N16" s="10">
        <v>8</v>
      </c>
      <c r="O16" s="10">
        <v>5</v>
      </c>
      <c r="P16" s="10">
        <v>5</v>
      </c>
      <c r="Q16" s="10">
        <v>4</v>
      </c>
      <c r="R16" s="10">
        <v>6</v>
      </c>
      <c r="S16" s="10">
        <v>1</v>
      </c>
      <c r="T16" s="23" t="s">
        <v>18</v>
      </c>
      <c r="V16" s="36"/>
      <c r="W16" s="36"/>
    </row>
    <row r="17" spans="1:44" s="39" customFormat="1" ht="18.75" x14ac:dyDescent="0.25">
      <c r="A17" s="9" t="s">
        <v>19</v>
      </c>
      <c r="B17" s="40">
        <v>18</v>
      </c>
      <c r="C17" s="40">
        <v>21</v>
      </c>
      <c r="D17" s="40">
        <v>16</v>
      </c>
      <c r="E17" s="40">
        <v>17</v>
      </c>
      <c r="F17" s="13">
        <v>12</v>
      </c>
      <c r="G17" s="13">
        <v>13</v>
      </c>
      <c r="H17" s="13">
        <v>14</v>
      </c>
      <c r="I17" s="13">
        <v>14</v>
      </c>
      <c r="J17" s="13">
        <v>10</v>
      </c>
      <c r="K17" s="10">
        <v>6</v>
      </c>
      <c r="L17" s="10">
        <v>7</v>
      </c>
      <c r="M17" s="10">
        <v>6</v>
      </c>
      <c r="N17" s="10">
        <v>10</v>
      </c>
      <c r="O17" s="10">
        <v>11</v>
      </c>
      <c r="P17" s="10">
        <v>4</v>
      </c>
      <c r="Q17" s="10">
        <v>3</v>
      </c>
      <c r="R17" s="10">
        <v>2</v>
      </c>
      <c r="S17" s="10">
        <v>3</v>
      </c>
      <c r="T17" s="23" t="s">
        <v>20</v>
      </c>
    </row>
    <row r="18" spans="1:44" s="39" customFormat="1" ht="18.75" x14ac:dyDescent="0.25">
      <c r="A18" s="9" t="s">
        <v>21</v>
      </c>
      <c r="B18" s="40">
        <v>62</v>
      </c>
      <c r="C18" s="40">
        <v>60</v>
      </c>
      <c r="D18" s="40">
        <v>42</v>
      </c>
      <c r="E18" s="40">
        <v>62</v>
      </c>
      <c r="F18" s="13">
        <v>65</v>
      </c>
      <c r="G18" s="13">
        <v>63</v>
      </c>
      <c r="H18" s="13">
        <v>61</v>
      </c>
      <c r="I18" s="13">
        <v>64</v>
      </c>
      <c r="J18" s="13">
        <v>56</v>
      </c>
      <c r="K18" s="10">
        <v>45</v>
      </c>
      <c r="L18" s="10">
        <v>66</v>
      </c>
      <c r="M18" s="10">
        <v>71</v>
      </c>
      <c r="N18" s="10">
        <v>52</v>
      </c>
      <c r="O18" s="10">
        <v>52</v>
      </c>
      <c r="P18" s="10">
        <v>81</v>
      </c>
      <c r="Q18" s="10">
        <v>76</v>
      </c>
      <c r="R18" s="10">
        <v>57</v>
      </c>
      <c r="S18" s="10">
        <v>100</v>
      </c>
      <c r="T18" s="23" t="s">
        <v>22</v>
      </c>
    </row>
    <row r="19" spans="1:44" s="39" customFormat="1" ht="18.75" x14ac:dyDescent="0.25">
      <c r="A19" s="9" t="s">
        <v>23</v>
      </c>
      <c r="B19" s="13">
        <v>117</v>
      </c>
      <c r="C19" s="13">
        <v>115</v>
      </c>
      <c r="D19" s="13">
        <v>116</v>
      </c>
      <c r="E19" s="13">
        <v>123</v>
      </c>
      <c r="F19" s="13">
        <v>98</v>
      </c>
      <c r="G19" s="13">
        <v>114</v>
      </c>
      <c r="H19" s="13">
        <v>94</v>
      </c>
      <c r="I19" s="13">
        <v>125</v>
      </c>
      <c r="J19" s="13">
        <v>99</v>
      </c>
      <c r="K19" s="10">
        <v>127</v>
      </c>
      <c r="L19" s="10">
        <v>121</v>
      </c>
      <c r="M19" s="10">
        <v>131</v>
      </c>
      <c r="N19" s="10">
        <v>129</v>
      </c>
      <c r="O19" s="10">
        <v>113</v>
      </c>
      <c r="P19" s="10">
        <v>143</v>
      </c>
      <c r="Q19" s="10">
        <v>136</v>
      </c>
      <c r="R19" s="10">
        <v>134</v>
      </c>
      <c r="S19" s="10">
        <v>154</v>
      </c>
      <c r="T19" s="23" t="s">
        <v>24</v>
      </c>
    </row>
    <row r="20" spans="1:44" ht="15.75" x14ac:dyDescent="0.25">
      <c r="A20" s="9" t="s">
        <v>25</v>
      </c>
      <c r="B20" s="41">
        <v>334</v>
      </c>
      <c r="C20" s="41">
        <v>318</v>
      </c>
      <c r="D20" s="41">
        <v>392</v>
      </c>
      <c r="E20" s="41">
        <v>383</v>
      </c>
      <c r="F20" s="14">
        <v>463</v>
      </c>
      <c r="G20" s="14">
        <v>405</v>
      </c>
      <c r="H20" s="14">
        <v>460</v>
      </c>
      <c r="I20" s="14">
        <v>407</v>
      </c>
      <c r="J20" s="14">
        <v>475</v>
      </c>
      <c r="K20" s="15">
        <v>423</v>
      </c>
      <c r="L20" s="15">
        <v>415</v>
      </c>
      <c r="M20" s="15">
        <v>417</v>
      </c>
      <c r="N20" s="15">
        <v>433</v>
      </c>
      <c r="O20" s="15">
        <v>456</v>
      </c>
      <c r="P20" s="15">
        <v>475</v>
      </c>
      <c r="Q20" s="15">
        <v>471</v>
      </c>
      <c r="R20" s="15">
        <v>411</v>
      </c>
      <c r="S20" s="15">
        <v>412</v>
      </c>
      <c r="T20" s="21" t="s">
        <v>26</v>
      </c>
    </row>
    <row r="21" spans="1:44" ht="18" customHeight="1" x14ac:dyDescent="0.25">
      <c r="A21" s="29" t="s">
        <v>27</v>
      </c>
      <c r="B21" s="27">
        <v>0</v>
      </c>
      <c r="C21" s="27">
        <v>1</v>
      </c>
      <c r="D21" s="27">
        <v>0</v>
      </c>
      <c r="E21" s="27">
        <v>0</v>
      </c>
      <c r="F21" s="27">
        <v>0</v>
      </c>
      <c r="G21" s="27">
        <v>0</v>
      </c>
      <c r="H21" s="27">
        <v>0</v>
      </c>
      <c r="I21" s="27">
        <v>0</v>
      </c>
      <c r="J21" s="27">
        <v>0</v>
      </c>
      <c r="K21" s="28">
        <v>0</v>
      </c>
      <c r="L21" s="28">
        <v>0</v>
      </c>
      <c r="M21" s="28">
        <v>0</v>
      </c>
      <c r="N21" s="28">
        <v>0</v>
      </c>
      <c r="O21" s="28">
        <v>0</v>
      </c>
      <c r="P21" s="28">
        <v>0</v>
      </c>
      <c r="Q21" s="28">
        <v>2</v>
      </c>
      <c r="R21" s="28">
        <v>0</v>
      </c>
      <c r="S21" s="28">
        <v>31</v>
      </c>
      <c r="T21" s="26" t="s">
        <v>28</v>
      </c>
    </row>
    <row r="22" spans="1:44" ht="15.75" x14ac:dyDescent="0.25">
      <c r="A22" s="5" t="s">
        <v>4</v>
      </c>
      <c r="B22" s="43"/>
      <c r="C22" s="43"/>
      <c r="D22" s="43"/>
      <c r="E22" s="43"/>
      <c r="F22" s="16"/>
      <c r="G22" s="16"/>
      <c r="H22" s="16"/>
      <c r="I22" s="16"/>
      <c r="J22" s="16"/>
      <c r="K22" s="17"/>
      <c r="L22" s="17"/>
      <c r="M22" s="17"/>
      <c r="N22" s="17"/>
      <c r="O22" s="17"/>
      <c r="P22" s="17"/>
      <c r="Q22" s="17"/>
      <c r="R22" s="17"/>
      <c r="S22" s="17"/>
      <c r="T22" s="20" t="s">
        <v>1</v>
      </c>
      <c r="W22" s="44"/>
      <c r="X22" s="44"/>
      <c r="Y22" s="44"/>
      <c r="Z22" s="44"/>
      <c r="AA22" s="44"/>
      <c r="AB22" s="44"/>
      <c r="AC22" s="44"/>
      <c r="AD22" s="44"/>
      <c r="AE22" s="44"/>
      <c r="AF22" s="44"/>
      <c r="AG22" s="44"/>
      <c r="AH22" s="44"/>
      <c r="AI22" s="44"/>
      <c r="AJ22" s="44"/>
      <c r="AK22" s="44"/>
      <c r="AL22" s="44"/>
      <c r="AM22" s="44"/>
      <c r="AN22" s="44"/>
      <c r="AO22" s="44"/>
      <c r="AP22" s="44"/>
      <c r="AQ22" s="44"/>
      <c r="AR22" s="44"/>
    </row>
    <row r="23" spans="1:44" ht="15.75" x14ac:dyDescent="0.2">
      <c r="A23" s="5" t="s">
        <v>13</v>
      </c>
      <c r="B23" s="37">
        <f>SUM(B24:B30)</f>
        <v>432</v>
      </c>
      <c r="C23" s="37">
        <f>SUM(C24:C30)</f>
        <v>430</v>
      </c>
      <c r="D23" s="37">
        <f>SUM(D24:D30)</f>
        <v>409</v>
      </c>
      <c r="E23" s="37">
        <f>SUM(E24:E30)</f>
        <v>435</v>
      </c>
      <c r="F23" s="7">
        <f>SUM(F24:F30)</f>
        <v>436</v>
      </c>
      <c r="G23" s="7">
        <f t="shared" ref="G23:N23" si="7">SUM(G24:G30)</f>
        <v>447</v>
      </c>
      <c r="H23" s="7">
        <f t="shared" si="7"/>
        <v>488</v>
      </c>
      <c r="I23" s="7">
        <f t="shared" si="7"/>
        <v>445</v>
      </c>
      <c r="J23" s="7">
        <f t="shared" si="7"/>
        <v>451</v>
      </c>
      <c r="K23" s="7">
        <f t="shared" si="7"/>
        <v>479</v>
      </c>
      <c r="L23" s="7">
        <f t="shared" si="7"/>
        <v>471</v>
      </c>
      <c r="M23" s="7">
        <f t="shared" si="7"/>
        <v>480</v>
      </c>
      <c r="N23" s="7">
        <f t="shared" si="7"/>
        <v>464</v>
      </c>
      <c r="O23" s="7">
        <f>SUM(O24:O30)</f>
        <v>568</v>
      </c>
      <c r="P23" s="7">
        <f>SUM(P24:P30)</f>
        <v>491</v>
      </c>
      <c r="Q23" s="7">
        <f>SUM(Q24:Q30)</f>
        <v>498</v>
      </c>
      <c r="R23" s="7">
        <v>408</v>
      </c>
      <c r="S23" s="7">
        <f>SUM(S24:S30)</f>
        <v>526</v>
      </c>
      <c r="T23" s="20" t="s">
        <v>14</v>
      </c>
      <c r="W23" s="44"/>
      <c r="X23" s="44"/>
      <c r="Y23" s="44"/>
      <c r="Z23" s="44"/>
      <c r="AA23" s="44"/>
      <c r="AB23" s="44"/>
      <c r="AC23" s="44"/>
      <c r="AD23" s="44"/>
      <c r="AE23" s="44"/>
      <c r="AF23" s="44"/>
      <c r="AG23" s="44"/>
      <c r="AH23" s="44"/>
      <c r="AI23" s="44"/>
      <c r="AJ23" s="44"/>
      <c r="AK23" s="44"/>
      <c r="AL23" s="44"/>
      <c r="AM23" s="44"/>
      <c r="AN23" s="44"/>
      <c r="AO23" s="44"/>
      <c r="AP23" s="44"/>
      <c r="AQ23" s="44"/>
      <c r="AR23" s="44"/>
    </row>
    <row r="24" spans="1:44" ht="15.75" x14ac:dyDescent="0.25">
      <c r="A24" s="9" t="s">
        <v>15</v>
      </c>
      <c r="B24" s="41">
        <v>31</v>
      </c>
      <c r="C24" s="41">
        <v>34</v>
      </c>
      <c r="D24" s="41">
        <v>35</v>
      </c>
      <c r="E24" s="41">
        <v>39</v>
      </c>
      <c r="F24" s="14">
        <v>19</v>
      </c>
      <c r="G24" s="14">
        <v>38</v>
      </c>
      <c r="H24" s="14">
        <v>39</v>
      </c>
      <c r="I24" s="14">
        <v>33</v>
      </c>
      <c r="J24" s="14">
        <v>28</v>
      </c>
      <c r="K24" s="15">
        <v>26</v>
      </c>
      <c r="L24" s="15">
        <v>17</v>
      </c>
      <c r="M24" s="15">
        <v>27</v>
      </c>
      <c r="N24" s="15">
        <v>29</v>
      </c>
      <c r="O24" s="15">
        <v>32</v>
      </c>
      <c r="P24" s="15">
        <v>22</v>
      </c>
      <c r="Q24" s="15">
        <v>21</v>
      </c>
      <c r="R24" s="15">
        <v>20</v>
      </c>
      <c r="S24" s="15">
        <v>11</v>
      </c>
      <c r="T24" s="21" t="s">
        <v>16</v>
      </c>
      <c r="W24" s="44"/>
      <c r="X24" s="44"/>
      <c r="Y24" s="44"/>
      <c r="Z24" s="44"/>
      <c r="AA24" s="44"/>
      <c r="AB24" s="44"/>
      <c r="AC24" s="44"/>
      <c r="AD24" s="44"/>
      <c r="AE24" s="44"/>
      <c r="AF24" s="44"/>
      <c r="AG24" s="44"/>
      <c r="AH24" s="44"/>
      <c r="AI24" s="44"/>
      <c r="AJ24" s="44"/>
      <c r="AK24" s="44"/>
      <c r="AL24" s="44"/>
      <c r="AM24" s="44"/>
      <c r="AN24" s="44"/>
      <c r="AO24" s="44"/>
      <c r="AP24" s="44"/>
      <c r="AQ24" s="44"/>
      <c r="AR24" s="44"/>
    </row>
    <row r="25" spans="1:44" ht="18.75" x14ac:dyDescent="0.25">
      <c r="A25" s="9" t="s">
        <v>17</v>
      </c>
      <c r="B25" s="41">
        <v>5</v>
      </c>
      <c r="C25" s="41">
        <v>19</v>
      </c>
      <c r="D25" s="41">
        <v>12</v>
      </c>
      <c r="E25" s="41">
        <v>6</v>
      </c>
      <c r="F25" s="14">
        <v>5</v>
      </c>
      <c r="G25" s="14">
        <v>10</v>
      </c>
      <c r="H25" s="14">
        <v>5</v>
      </c>
      <c r="I25" s="14">
        <v>6</v>
      </c>
      <c r="J25" s="14">
        <v>7</v>
      </c>
      <c r="K25" s="15">
        <v>3</v>
      </c>
      <c r="L25" s="15">
        <v>10</v>
      </c>
      <c r="M25" s="15">
        <v>9</v>
      </c>
      <c r="N25" s="15">
        <v>5</v>
      </c>
      <c r="O25" s="15">
        <v>5</v>
      </c>
      <c r="P25" s="15">
        <v>3</v>
      </c>
      <c r="Q25" s="15">
        <v>5</v>
      </c>
      <c r="R25" s="15">
        <v>1</v>
      </c>
      <c r="S25" s="15">
        <v>3</v>
      </c>
      <c r="T25" s="23" t="s">
        <v>18</v>
      </c>
      <c r="W25" s="44"/>
      <c r="X25" s="44"/>
      <c r="Y25" s="44"/>
      <c r="Z25" s="44"/>
      <c r="AA25" s="44"/>
      <c r="AB25" s="44"/>
      <c r="AC25" s="44"/>
      <c r="AD25" s="44"/>
      <c r="AE25" s="44"/>
      <c r="AF25" s="44"/>
      <c r="AG25" s="44"/>
      <c r="AH25" s="44"/>
      <c r="AI25" s="44"/>
      <c r="AJ25" s="44"/>
      <c r="AK25" s="44"/>
      <c r="AL25" s="44"/>
      <c r="AM25" s="44"/>
      <c r="AN25" s="44"/>
      <c r="AO25" s="44"/>
      <c r="AP25" s="44"/>
      <c r="AQ25" s="44"/>
      <c r="AR25" s="44"/>
    </row>
    <row r="26" spans="1:44" ht="18.75" x14ac:dyDescent="0.25">
      <c r="A26" s="9" t="s">
        <v>19</v>
      </c>
      <c r="B26" s="41">
        <v>9</v>
      </c>
      <c r="C26" s="41">
        <v>15</v>
      </c>
      <c r="D26" s="41">
        <v>9</v>
      </c>
      <c r="E26" s="41">
        <v>13</v>
      </c>
      <c r="F26" s="14">
        <v>10</v>
      </c>
      <c r="G26" s="14">
        <v>10</v>
      </c>
      <c r="H26" s="14">
        <v>10</v>
      </c>
      <c r="I26" s="14">
        <v>6</v>
      </c>
      <c r="J26" s="14">
        <v>9</v>
      </c>
      <c r="K26" s="15">
        <v>8</v>
      </c>
      <c r="L26" s="15">
        <v>6</v>
      </c>
      <c r="M26" s="15">
        <v>2</v>
      </c>
      <c r="N26" s="15">
        <v>9</v>
      </c>
      <c r="O26" s="15">
        <v>4</v>
      </c>
      <c r="P26" s="15">
        <v>9</v>
      </c>
      <c r="Q26" s="15">
        <v>4</v>
      </c>
      <c r="R26" s="15">
        <v>3</v>
      </c>
      <c r="S26" s="15">
        <v>3</v>
      </c>
      <c r="T26" s="23" t="s">
        <v>20</v>
      </c>
      <c r="W26" s="44"/>
      <c r="X26" s="44"/>
      <c r="Y26" s="44"/>
      <c r="Z26" s="44"/>
      <c r="AA26" s="44"/>
      <c r="AB26" s="44"/>
      <c r="AC26" s="44"/>
      <c r="AD26" s="44"/>
      <c r="AE26" s="44"/>
      <c r="AF26" s="44"/>
      <c r="AG26" s="44"/>
      <c r="AH26" s="44"/>
      <c r="AI26" s="44"/>
      <c r="AJ26" s="44"/>
      <c r="AK26" s="44"/>
      <c r="AL26" s="44"/>
      <c r="AM26" s="44"/>
      <c r="AN26" s="44"/>
      <c r="AO26" s="44"/>
      <c r="AP26" s="44"/>
      <c r="AQ26" s="44"/>
      <c r="AR26" s="44"/>
    </row>
    <row r="27" spans="1:44" ht="18.75" x14ac:dyDescent="0.25">
      <c r="A27" s="18" t="s">
        <v>21</v>
      </c>
      <c r="B27" s="14">
        <v>40</v>
      </c>
      <c r="C27" s="14">
        <v>47</v>
      </c>
      <c r="D27" s="14">
        <v>30</v>
      </c>
      <c r="E27" s="14">
        <v>27</v>
      </c>
      <c r="F27" s="14">
        <v>33</v>
      </c>
      <c r="G27" s="14">
        <v>41</v>
      </c>
      <c r="H27" s="14">
        <v>35</v>
      </c>
      <c r="I27" s="14">
        <v>36</v>
      </c>
      <c r="J27" s="14">
        <v>32</v>
      </c>
      <c r="K27" s="15">
        <v>40</v>
      </c>
      <c r="L27" s="15">
        <v>43</v>
      </c>
      <c r="M27" s="15">
        <v>31</v>
      </c>
      <c r="N27" s="15">
        <v>31</v>
      </c>
      <c r="O27" s="15">
        <v>40</v>
      </c>
      <c r="P27" s="15">
        <v>40</v>
      </c>
      <c r="Q27" s="15">
        <v>37</v>
      </c>
      <c r="R27" s="15">
        <v>44</v>
      </c>
      <c r="S27" s="15">
        <v>36</v>
      </c>
      <c r="T27" s="24" t="s">
        <v>22</v>
      </c>
      <c r="W27" s="44"/>
      <c r="X27" s="44"/>
      <c r="Y27" s="44"/>
      <c r="Z27" s="44"/>
      <c r="AA27" s="44"/>
      <c r="AB27" s="44"/>
      <c r="AC27" s="44"/>
      <c r="AD27" s="44"/>
      <c r="AE27" s="44"/>
      <c r="AF27" s="44"/>
      <c r="AG27" s="44"/>
      <c r="AH27" s="44"/>
      <c r="AI27" s="44"/>
      <c r="AJ27" s="44"/>
      <c r="AK27" s="44"/>
      <c r="AL27" s="44"/>
      <c r="AM27" s="44"/>
      <c r="AN27" s="44"/>
      <c r="AO27" s="44"/>
      <c r="AP27" s="44"/>
      <c r="AQ27" s="44"/>
      <c r="AR27" s="44"/>
    </row>
    <row r="28" spans="1:44" ht="18.75" x14ac:dyDescent="0.25">
      <c r="A28" s="18" t="s">
        <v>23</v>
      </c>
      <c r="B28" s="14">
        <v>102</v>
      </c>
      <c r="C28" s="14">
        <v>69</v>
      </c>
      <c r="D28" s="14">
        <v>74</v>
      </c>
      <c r="E28" s="14">
        <v>90</v>
      </c>
      <c r="F28" s="14">
        <v>81</v>
      </c>
      <c r="G28" s="14">
        <v>68</v>
      </c>
      <c r="H28" s="14">
        <v>69</v>
      </c>
      <c r="I28" s="14">
        <v>70</v>
      </c>
      <c r="J28" s="14">
        <v>58</v>
      </c>
      <c r="K28" s="15">
        <v>86</v>
      </c>
      <c r="L28" s="15">
        <v>69</v>
      </c>
      <c r="M28" s="15">
        <v>80</v>
      </c>
      <c r="N28" s="15">
        <v>52</v>
      </c>
      <c r="O28" s="15">
        <v>84</v>
      </c>
      <c r="P28" s="15">
        <v>79</v>
      </c>
      <c r="Q28" s="15">
        <v>90</v>
      </c>
      <c r="R28" s="15">
        <v>66</v>
      </c>
      <c r="S28" s="15">
        <v>100</v>
      </c>
      <c r="T28" s="24" t="s">
        <v>24</v>
      </c>
      <c r="W28" s="44"/>
      <c r="X28" s="44"/>
      <c r="Y28" s="44"/>
      <c r="Z28" s="44"/>
      <c r="AA28" s="44"/>
      <c r="AB28" s="44"/>
      <c r="AC28" s="44"/>
      <c r="AD28" s="44"/>
      <c r="AE28" s="44"/>
      <c r="AF28" s="44"/>
      <c r="AG28" s="44"/>
      <c r="AH28" s="44"/>
      <c r="AI28" s="44"/>
      <c r="AJ28" s="44"/>
      <c r="AK28" s="44"/>
      <c r="AL28" s="44"/>
      <c r="AM28" s="44"/>
      <c r="AN28" s="44"/>
      <c r="AO28" s="44"/>
      <c r="AP28" s="44"/>
      <c r="AQ28" s="44"/>
      <c r="AR28" s="44"/>
    </row>
    <row r="29" spans="1:44" ht="15.75" x14ac:dyDescent="0.25">
      <c r="A29" s="18" t="s">
        <v>25</v>
      </c>
      <c r="B29" s="14">
        <v>245</v>
      </c>
      <c r="C29" s="14">
        <v>240</v>
      </c>
      <c r="D29" s="14">
        <v>249</v>
      </c>
      <c r="E29" s="14">
        <v>260</v>
      </c>
      <c r="F29" s="14">
        <v>288</v>
      </c>
      <c r="G29" s="14">
        <v>280</v>
      </c>
      <c r="H29" s="14">
        <v>330</v>
      </c>
      <c r="I29" s="14">
        <v>294</v>
      </c>
      <c r="J29" s="14">
        <v>317</v>
      </c>
      <c r="K29" s="15">
        <v>316</v>
      </c>
      <c r="L29" s="15">
        <v>326</v>
      </c>
      <c r="M29" s="15">
        <v>331</v>
      </c>
      <c r="N29" s="15">
        <v>338</v>
      </c>
      <c r="O29" s="15">
        <v>403</v>
      </c>
      <c r="P29" s="15">
        <v>338</v>
      </c>
      <c r="Q29" s="15">
        <v>341</v>
      </c>
      <c r="R29" s="15">
        <v>274</v>
      </c>
      <c r="S29" s="15">
        <v>369</v>
      </c>
      <c r="T29" s="22" t="s">
        <v>26</v>
      </c>
      <c r="W29" s="44"/>
      <c r="X29" s="44"/>
      <c r="Y29" s="44"/>
      <c r="Z29" s="44"/>
      <c r="AA29" s="44"/>
      <c r="AB29" s="44"/>
      <c r="AC29" s="44"/>
      <c r="AD29" s="44"/>
      <c r="AE29" s="44"/>
      <c r="AF29" s="44"/>
      <c r="AG29" s="44"/>
      <c r="AH29" s="44"/>
      <c r="AI29" s="44"/>
      <c r="AJ29" s="44"/>
      <c r="AK29" s="44"/>
      <c r="AL29" s="44"/>
      <c r="AM29" s="44"/>
      <c r="AN29" s="44"/>
      <c r="AO29" s="44"/>
      <c r="AP29" s="44"/>
      <c r="AQ29" s="44"/>
      <c r="AR29" s="44"/>
    </row>
    <row r="30" spans="1:44" ht="12.75" customHeight="1" x14ac:dyDescent="0.25">
      <c r="A30" s="29" t="s">
        <v>27</v>
      </c>
      <c r="B30" s="45">
        <v>0</v>
      </c>
      <c r="C30" s="45">
        <v>6</v>
      </c>
      <c r="D30" s="46">
        <v>0</v>
      </c>
      <c r="E30" s="46">
        <v>0</v>
      </c>
      <c r="F30" s="27">
        <v>0</v>
      </c>
      <c r="G30" s="27">
        <v>0</v>
      </c>
      <c r="H30" s="27">
        <v>0</v>
      </c>
      <c r="I30" s="27">
        <v>0</v>
      </c>
      <c r="J30" s="27">
        <v>0</v>
      </c>
      <c r="K30" s="28">
        <v>0</v>
      </c>
      <c r="L30" s="28">
        <v>0</v>
      </c>
      <c r="M30" s="28">
        <v>0</v>
      </c>
      <c r="N30" s="28"/>
      <c r="O30" s="27">
        <v>0</v>
      </c>
      <c r="P30" s="28">
        <v>0</v>
      </c>
      <c r="Q30" s="28">
        <v>0</v>
      </c>
      <c r="R30" s="28">
        <v>0</v>
      </c>
      <c r="S30" s="28">
        <v>4</v>
      </c>
      <c r="T30" s="26" t="s">
        <v>28</v>
      </c>
      <c r="W30" s="44"/>
      <c r="X30" s="44"/>
      <c r="Y30" s="44"/>
      <c r="Z30" s="44"/>
      <c r="AA30" s="44"/>
      <c r="AB30" s="44"/>
      <c r="AC30" s="44"/>
      <c r="AD30" s="44"/>
      <c r="AE30" s="44"/>
      <c r="AF30" s="44"/>
      <c r="AG30" s="44"/>
      <c r="AH30" s="44"/>
      <c r="AI30" s="44"/>
      <c r="AJ30" s="44"/>
      <c r="AK30" s="44"/>
      <c r="AL30" s="44"/>
      <c r="AM30" s="44"/>
      <c r="AN30" s="44"/>
      <c r="AO30" s="44"/>
      <c r="AP30" s="44"/>
      <c r="AQ30" s="44"/>
      <c r="AR30" s="44"/>
    </row>
    <row r="31" spans="1:44" ht="12.75" customHeight="1" x14ac:dyDescent="0.25">
      <c r="A31" s="18" t="s">
        <v>31</v>
      </c>
      <c r="B31" s="47"/>
      <c r="C31" s="47"/>
      <c r="D31" s="48"/>
      <c r="E31" s="48"/>
      <c r="F31" s="30" t="s">
        <v>5</v>
      </c>
      <c r="G31" s="30" t="s">
        <v>5</v>
      </c>
      <c r="H31" s="30" t="s">
        <v>5</v>
      </c>
      <c r="I31" s="30" t="s">
        <v>5</v>
      </c>
      <c r="J31" s="30" t="s">
        <v>5</v>
      </c>
      <c r="K31" s="30" t="s">
        <v>5</v>
      </c>
      <c r="L31" s="30" t="s">
        <v>5</v>
      </c>
      <c r="M31" s="30" t="s">
        <v>5</v>
      </c>
      <c r="N31" s="30" t="s">
        <v>5</v>
      </c>
      <c r="O31" s="30" t="s">
        <v>5</v>
      </c>
      <c r="P31" s="30" t="s">
        <v>5</v>
      </c>
      <c r="Q31" s="15">
        <v>1</v>
      </c>
      <c r="R31" s="30" t="s">
        <v>5</v>
      </c>
      <c r="S31" s="30" t="s">
        <v>5</v>
      </c>
      <c r="T31" s="31" t="s">
        <v>33</v>
      </c>
      <c r="W31" s="44"/>
      <c r="X31" s="44"/>
      <c r="Y31" s="44"/>
      <c r="Z31" s="44"/>
      <c r="AA31" s="44"/>
      <c r="AB31" s="44"/>
      <c r="AC31" s="44"/>
      <c r="AD31" s="44"/>
      <c r="AE31" s="44"/>
      <c r="AF31" s="44"/>
      <c r="AG31" s="44"/>
      <c r="AH31" s="44"/>
      <c r="AI31" s="44"/>
      <c r="AJ31" s="44"/>
      <c r="AK31" s="44"/>
      <c r="AL31" s="44"/>
      <c r="AM31" s="44"/>
      <c r="AN31" s="44"/>
      <c r="AO31" s="44"/>
      <c r="AP31" s="44"/>
      <c r="AQ31" s="44"/>
      <c r="AR31" s="44"/>
    </row>
    <row r="32" spans="1:44" ht="18" customHeight="1" x14ac:dyDescent="0.25">
      <c r="A32" s="29" t="s">
        <v>32</v>
      </c>
      <c r="B32" s="27"/>
      <c r="C32" s="27"/>
      <c r="D32" s="27"/>
      <c r="E32" s="27"/>
      <c r="F32" s="28" t="s">
        <v>5</v>
      </c>
      <c r="G32" s="28" t="s">
        <v>5</v>
      </c>
      <c r="H32" s="28" t="s">
        <v>5</v>
      </c>
      <c r="I32" s="28" t="s">
        <v>5</v>
      </c>
      <c r="J32" s="28" t="s">
        <v>5</v>
      </c>
      <c r="K32" s="28" t="s">
        <v>5</v>
      </c>
      <c r="L32" s="28" t="s">
        <v>5</v>
      </c>
      <c r="M32" s="28" t="s">
        <v>5</v>
      </c>
      <c r="N32" s="28" t="s">
        <v>5</v>
      </c>
      <c r="O32" s="28" t="s">
        <v>5</v>
      </c>
      <c r="P32" s="28" t="s">
        <v>5</v>
      </c>
      <c r="Q32" s="28">
        <v>1</v>
      </c>
      <c r="R32" s="28" t="s">
        <v>5</v>
      </c>
      <c r="S32" s="28" t="s">
        <v>5</v>
      </c>
      <c r="T32" s="49" t="s">
        <v>34</v>
      </c>
    </row>
    <row r="33" spans="1:44" ht="21" x14ac:dyDescent="0.25">
      <c r="A33" s="5" t="s">
        <v>39</v>
      </c>
      <c r="B33" s="43"/>
      <c r="C33" s="43"/>
      <c r="D33" s="43"/>
      <c r="E33" s="43"/>
      <c r="F33" s="30"/>
      <c r="G33" s="30"/>
      <c r="H33" s="30"/>
      <c r="I33" s="30"/>
      <c r="J33" s="30"/>
      <c r="K33" s="30"/>
      <c r="L33" s="30"/>
      <c r="M33" s="30"/>
      <c r="N33" s="30"/>
      <c r="O33" s="30"/>
      <c r="P33" s="30"/>
      <c r="Q33" s="15"/>
      <c r="R33" s="30"/>
      <c r="S33" s="17"/>
      <c r="T33" s="50" t="s">
        <v>33</v>
      </c>
      <c r="W33" s="44"/>
      <c r="X33" s="44"/>
      <c r="Y33" s="44"/>
      <c r="Z33" s="44"/>
      <c r="AA33" s="44"/>
      <c r="AB33" s="44"/>
      <c r="AC33" s="44"/>
      <c r="AD33" s="44"/>
      <c r="AE33" s="44"/>
      <c r="AF33" s="44"/>
      <c r="AG33" s="44"/>
      <c r="AH33" s="44"/>
      <c r="AI33" s="44"/>
      <c r="AJ33" s="44"/>
      <c r="AK33" s="44"/>
      <c r="AL33" s="44"/>
      <c r="AM33" s="44"/>
      <c r="AN33" s="44"/>
      <c r="AO33" s="44"/>
      <c r="AP33" s="44"/>
      <c r="AQ33" s="44"/>
      <c r="AR33" s="44"/>
    </row>
    <row r="34" spans="1:44" ht="15.75" x14ac:dyDescent="0.2">
      <c r="A34" s="5" t="s">
        <v>13</v>
      </c>
      <c r="B34" s="37"/>
      <c r="C34" s="37"/>
      <c r="D34" s="37"/>
      <c r="E34" s="37"/>
      <c r="F34" s="30" t="s">
        <v>5</v>
      </c>
      <c r="G34" s="30" t="s">
        <v>5</v>
      </c>
      <c r="H34" s="30" t="s">
        <v>5</v>
      </c>
      <c r="I34" s="30" t="s">
        <v>5</v>
      </c>
      <c r="J34" s="30" t="s">
        <v>5</v>
      </c>
      <c r="K34" s="30" t="s">
        <v>5</v>
      </c>
      <c r="L34" s="30" t="s">
        <v>5</v>
      </c>
      <c r="M34" s="30" t="s">
        <v>5</v>
      </c>
      <c r="N34" s="30" t="s">
        <v>5</v>
      </c>
      <c r="O34" s="30" t="s">
        <v>5</v>
      </c>
      <c r="P34" s="30" t="s">
        <v>5</v>
      </c>
      <c r="Q34" s="30" t="s">
        <v>5</v>
      </c>
      <c r="R34" s="30" t="s">
        <v>5</v>
      </c>
      <c r="S34" s="7">
        <f>SUM(S35:S41)</f>
        <v>36</v>
      </c>
      <c r="T34" s="20" t="s">
        <v>14</v>
      </c>
      <c r="W34" s="44"/>
      <c r="X34" s="44"/>
      <c r="Y34" s="44"/>
      <c r="Z34" s="44"/>
      <c r="AA34" s="44"/>
      <c r="AB34" s="44"/>
      <c r="AC34" s="44"/>
      <c r="AD34" s="44"/>
      <c r="AE34" s="44"/>
      <c r="AF34" s="44"/>
      <c r="AG34" s="44"/>
      <c r="AH34" s="44"/>
      <c r="AI34" s="44"/>
      <c r="AJ34" s="44"/>
      <c r="AK34" s="44"/>
      <c r="AL34" s="44"/>
      <c r="AM34" s="44"/>
      <c r="AN34" s="44"/>
      <c r="AO34" s="44"/>
      <c r="AP34" s="44"/>
      <c r="AQ34" s="44"/>
      <c r="AR34" s="44"/>
    </row>
    <row r="35" spans="1:44" ht="15.75" x14ac:dyDescent="0.25">
      <c r="A35" s="9" t="s">
        <v>15</v>
      </c>
      <c r="B35" s="41"/>
      <c r="C35" s="41"/>
      <c r="D35" s="41"/>
      <c r="E35" s="41"/>
      <c r="F35" s="30" t="s">
        <v>5</v>
      </c>
      <c r="G35" s="30" t="s">
        <v>5</v>
      </c>
      <c r="H35" s="30" t="s">
        <v>5</v>
      </c>
      <c r="I35" s="30" t="s">
        <v>5</v>
      </c>
      <c r="J35" s="30" t="s">
        <v>5</v>
      </c>
      <c r="K35" s="30" t="s">
        <v>5</v>
      </c>
      <c r="L35" s="30" t="s">
        <v>5</v>
      </c>
      <c r="M35" s="30" t="s">
        <v>5</v>
      </c>
      <c r="N35" s="30" t="s">
        <v>5</v>
      </c>
      <c r="O35" s="30" t="s">
        <v>5</v>
      </c>
      <c r="P35" s="30" t="s">
        <v>5</v>
      </c>
      <c r="Q35" s="30" t="s">
        <v>5</v>
      </c>
      <c r="R35" s="30" t="s">
        <v>5</v>
      </c>
      <c r="S35" s="15">
        <v>22</v>
      </c>
      <c r="T35" s="21" t="s">
        <v>16</v>
      </c>
      <c r="W35" s="44"/>
      <c r="X35" s="44"/>
      <c r="Y35" s="44"/>
      <c r="Z35" s="44"/>
      <c r="AA35" s="44"/>
      <c r="AB35" s="44"/>
      <c r="AC35" s="44"/>
      <c r="AD35" s="44"/>
      <c r="AE35" s="44"/>
      <c r="AF35" s="44"/>
      <c r="AG35" s="44"/>
      <c r="AH35" s="44"/>
      <c r="AI35" s="44"/>
      <c r="AJ35" s="44"/>
      <c r="AK35" s="44"/>
      <c r="AL35" s="44"/>
      <c r="AM35" s="44"/>
      <c r="AN35" s="44"/>
      <c r="AO35" s="44"/>
      <c r="AP35" s="44"/>
      <c r="AQ35" s="44"/>
      <c r="AR35" s="44"/>
    </row>
    <row r="36" spans="1:44" ht="18.75" x14ac:dyDescent="0.25">
      <c r="A36" s="9" t="s">
        <v>17</v>
      </c>
      <c r="B36" s="41"/>
      <c r="C36" s="41"/>
      <c r="D36" s="41"/>
      <c r="E36" s="41"/>
      <c r="F36" s="30" t="s">
        <v>5</v>
      </c>
      <c r="G36" s="30" t="s">
        <v>5</v>
      </c>
      <c r="H36" s="30" t="s">
        <v>5</v>
      </c>
      <c r="I36" s="30" t="s">
        <v>5</v>
      </c>
      <c r="J36" s="30" t="s">
        <v>5</v>
      </c>
      <c r="K36" s="30" t="s">
        <v>5</v>
      </c>
      <c r="L36" s="30" t="s">
        <v>5</v>
      </c>
      <c r="M36" s="30" t="s">
        <v>5</v>
      </c>
      <c r="N36" s="30" t="s">
        <v>5</v>
      </c>
      <c r="O36" s="30" t="s">
        <v>5</v>
      </c>
      <c r="P36" s="30" t="s">
        <v>5</v>
      </c>
      <c r="Q36" s="30" t="s">
        <v>5</v>
      </c>
      <c r="R36" s="30" t="s">
        <v>5</v>
      </c>
      <c r="S36" s="15">
        <v>0</v>
      </c>
      <c r="T36" s="23" t="s">
        <v>18</v>
      </c>
      <c r="W36" s="44"/>
      <c r="X36" s="44"/>
      <c r="Y36" s="44"/>
      <c r="Z36" s="44"/>
      <c r="AA36" s="44"/>
      <c r="AB36" s="44"/>
      <c r="AC36" s="44"/>
      <c r="AD36" s="44"/>
      <c r="AE36" s="44"/>
      <c r="AF36" s="44"/>
      <c r="AG36" s="44"/>
      <c r="AH36" s="44"/>
      <c r="AI36" s="44"/>
      <c r="AJ36" s="44"/>
      <c r="AK36" s="44"/>
      <c r="AL36" s="44"/>
      <c r="AM36" s="44"/>
      <c r="AN36" s="44"/>
      <c r="AO36" s="44"/>
      <c r="AP36" s="44"/>
      <c r="AQ36" s="44"/>
      <c r="AR36" s="44"/>
    </row>
    <row r="37" spans="1:44" ht="18.75" x14ac:dyDescent="0.25">
      <c r="A37" s="9" t="s">
        <v>19</v>
      </c>
      <c r="B37" s="41"/>
      <c r="C37" s="41"/>
      <c r="D37" s="41"/>
      <c r="E37" s="41"/>
      <c r="F37" s="30" t="s">
        <v>5</v>
      </c>
      <c r="G37" s="30" t="s">
        <v>5</v>
      </c>
      <c r="H37" s="30" t="s">
        <v>5</v>
      </c>
      <c r="I37" s="30" t="s">
        <v>5</v>
      </c>
      <c r="J37" s="30" t="s">
        <v>5</v>
      </c>
      <c r="K37" s="30" t="s">
        <v>5</v>
      </c>
      <c r="L37" s="30" t="s">
        <v>5</v>
      </c>
      <c r="M37" s="30" t="s">
        <v>5</v>
      </c>
      <c r="N37" s="30" t="s">
        <v>5</v>
      </c>
      <c r="O37" s="30" t="s">
        <v>5</v>
      </c>
      <c r="P37" s="30" t="s">
        <v>5</v>
      </c>
      <c r="Q37" s="30" t="s">
        <v>5</v>
      </c>
      <c r="R37" s="30" t="s">
        <v>5</v>
      </c>
      <c r="S37" s="15">
        <v>0</v>
      </c>
      <c r="T37" s="23" t="s">
        <v>20</v>
      </c>
      <c r="W37" s="44"/>
      <c r="X37" s="44"/>
      <c r="Y37" s="44"/>
      <c r="Z37" s="44"/>
      <c r="AA37" s="44"/>
      <c r="AB37" s="44"/>
      <c r="AC37" s="44"/>
      <c r="AD37" s="44"/>
      <c r="AE37" s="44"/>
      <c r="AF37" s="44"/>
      <c r="AG37" s="44"/>
      <c r="AH37" s="44"/>
      <c r="AI37" s="44"/>
      <c r="AJ37" s="44"/>
      <c r="AK37" s="44"/>
      <c r="AL37" s="44"/>
      <c r="AM37" s="44"/>
      <c r="AN37" s="44"/>
      <c r="AO37" s="44"/>
      <c r="AP37" s="44"/>
      <c r="AQ37" s="44"/>
      <c r="AR37" s="44"/>
    </row>
    <row r="38" spans="1:44" ht="18.75" x14ac:dyDescent="0.25">
      <c r="A38" s="18" t="s">
        <v>21</v>
      </c>
      <c r="B38" s="14"/>
      <c r="C38" s="14"/>
      <c r="D38" s="14"/>
      <c r="E38" s="14"/>
      <c r="F38" s="30" t="s">
        <v>5</v>
      </c>
      <c r="G38" s="30" t="s">
        <v>5</v>
      </c>
      <c r="H38" s="30" t="s">
        <v>5</v>
      </c>
      <c r="I38" s="30" t="s">
        <v>5</v>
      </c>
      <c r="J38" s="30" t="s">
        <v>5</v>
      </c>
      <c r="K38" s="30" t="s">
        <v>5</v>
      </c>
      <c r="L38" s="30" t="s">
        <v>5</v>
      </c>
      <c r="M38" s="30" t="s">
        <v>5</v>
      </c>
      <c r="N38" s="30" t="s">
        <v>5</v>
      </c>
      <c r="O38" s="30" t="s">
        <v>5</v>
      </c>
      <c r="P38" s="30" t="s">
        <v>5</v>
      </c>
      <c r="Q38" s="30" t="s">
        <v>5</v>
      </c>
      <c r="R38" s="30" t="s">
        <v>5</v>
      </c>
      <c r="S38" s="15">
        <v>0</v>
      </c>
      <c r="T38" s="24" t="s">
        <v>22</v>
      </c>
      <c r="W38" s="44"/>
      <c r="X38" s="44"/>
      <c r="Y38" s="44"/>
      <c r="Z38" s="44"/>
      <c r="AA38" s="44"/>
      <c r="AB38" s="44"/>
      <c r="AC38" s="44"/>
      <c r="AD38" s="44"/>
      <c r="AE38" s="44"/>
      <c r="AF38" s="44"/>
      <c r="AG38" s="44"/>
      <c r="AH38" s="44"/>
      <c r="AI38" s="44"/>
      <c r="AJ38" s="44"/>
      <c r="AK38" s="44"/>
      <c r="AL38" s="44"/>
      <c r="AM38" s="44"/>
      <c r="AN38" s="44"/>
      <c r="AO38" s="44"/>
      <c r="AP38" s="44"/>
      <c r="AQ38" s="44"/>
      <c r="AR38" s="44"/>
    </row>
    <row r="39" spans="1:44" ht="18.75" x14ac:dyDescent="0.25">
      <c r="A39" s="18" t="s">
        <v>23</v>
      </c>
      <c r="B39" s="14"/>
      <c r="C39" s="14"/>
      <c r="D39" s="14"/>
      <c r="E39" s="14"/>
      <c r="F39" s="30" t="s">
        <v>5</v>
      </c>
      <c r="G39" s="30" t="s">
        <v>5</v>
      </c>
      <c r="H39" s="30" t="s">
        <v>5</v>
      </c>
      <c r="I39" s="30" t="s">
        <v>5</v>
      </c>
      <c r="J39" s="30" t="s">
        <v>5</v>
      </c>
      <c r="K39" s="30" t="s">
        <v>5</v>
      </c>
      <c r="L39" s="30" t="s">
        <v>5</v>
      </c>
      <c r="M39" s="30" t="s">
        <v>5</v>
      </c>
      <c r="N39" s="30" t="s">
        <v>5</v>
      </c>
      <c r="O39" s="30" t="s">
        <v>5</v>
      </c>
      <c r="P39" s="30" t="s">
        <v>5</v>
      </c>
      <c r="Q39" s="30" t="s">
        <v>5</v>
      </c>
      <c r="R39" s="30" t="s">
        <v>5</v>
      </c>
      <c r="S39" s="15">
        <v>0</v>
      </c>
      <c r="T39" s="24" t="s">
        <v>24</v>
      </c>
      <c r="W39" s="44"/>
      <c r="X39" s="44"/>
      <c r="Y39" s="44"/>
      <c r="Z39" s="44"/>
      <c r="AA39" s="44"/>
      <c r="AB39" s="44"/>
      <c r="AC39" s="44"/>
      <c r="AD39" s="44"/>
      <c r="AE39" s="44"/>
      <c r="AF39" s="44"/>
      <c r="AG39" s="44"/>
      <c r="AH39" s="44"/>
      <c r="AI39" s="44"/>
      <c r="AJ39" s="44"/>
      <c r="AK39" s="44"/>
      <c r="AL39" s="44"/>
      <c r="AM39" s="44"/>
      <c r="AN39" s="44"/>
      <c r="AO39" s="44"/>
      <c r="AP39" s="44"/>
      <c r="AQ39" s="44"/>
      <c r="AR39" s="44"/>
    </row>
    <row r="40" spans="1:44" ht="15.75" x14ac:dyDescent="0.25">
      <c r="A40" s="18" t="s">
        <v>25</v>
      </c>
      <c r="B40" s="14"/>
      <c r="C40" s="14"/>
      <c r="D40" s="14"/>
      <c r="E40" s="14"/>
      <c r="F40" s="30" t="s">
        <v>5</v>
      </c>
      <c r="G40" s="30" t="s">
        <v>5</v>
      </c>
      <c r="H40" s="30" t="s">
        <v>5</v>
      </c>
      <c r="I40" s="30" t="s">
        <v>5</v>
      </c>
      <c r="J40" s="30" t="s">
        <v>5</v>
      </c>
      <c r="K40" s="30" t="s">
        <v>5</v>
      </c>
      <c r="L40" s="30" t="s">
        <v>5</v>
      </c>
      <c r="M40" s="30" t="s">
        <v>5</v>
      </c>
      <c r="N40" s="30" t="s">
        <v>5</v>
      </c>
      <c r="O40" s="30" t="s">
        <v>5</v>
      </c>
      <c r="P40" s="30" t="s">
        <v>5</v>
      </c>
      <c r="Q40" s="30" t="s">
        <v>5</v>
      </c>
      <c r="R40" s="30" t="s">
        <v>5</v>
      </c>
      <c r="S40" s="15">
        <v>0</v>
      </c>
      <c r="T40" s="22" t="s">
        <v>26</v>
      </c>
      <c r="W40" s="44"/>
      <c r="X40" s="44"/>
      <c r="Y40" s="44"/>
      <c r="Z40" s="44"/>
      <c r="AA40" s="44"/>
      <c r="AB40" s="44"/>
      <c r="AC40" s="44"/>
      <c r="AD40" s="44"/>
      <c r="AE40" s="44"/>
      <c r="AF40" s="44"/>
      <c r="AG40" s="44"/>
      <c r="AH40" s="44"/>
      <c r="AI40" s="44"/>
      <c r="AJ40" s="44"/>
      <c r="AK40" s="44"/>
      <c r="AL40" s="44"/>
      <c r="AM40" s="44"/>
      <c r="AN40" s="44"/>
      <c r="AO40" s="44"/>
      <c r="AP40" s="44"/>
      <c r="AQ40" s="44"/>
      <c r="AR40" s="44"/>
    </row>
    <row r="41" spans="1:44" ht="12.75" customHeight="1" x14ac:dyDescent="0.25">
      <c r="A41" s="51" t="s">
        <v>27</v>
      </c>
      <c r="B41" s="52"/>
      <c r="C41" s="52"/>
      <c r="D41" s="53"/>
      <c r="E41" s="53"/>
      <c r="F41" s="54" t="s">
        <v>5</v>
      </c>
      <c r="G41" s="54" t="s">
        <v>5</v>
      </c>
      <c r="H41" s="54" t="s">
        <v>5</v>
      </c>
      <c r="I41" s="54" t="s">
        <v>5</v>
      </c>
      <c r="J41" s="54" t="s">
        <v>5</v>
      </c>
      <c r="K41" s="54" t="s">
        <v>5</v>
      </c>
      <c r="L41" s="54" t="s">
        <v>5</v>
      </c>
      <c r="M41" s="54" t="s">
        <v>5</v>
      </c>
      <c r="N41" s="54" t="s">
        <v>5</v>
      </c>
      <c r="O41" s="54" t="s">
        <v>5</v>
      </c>
      <c r="P41" s="54" t="s">
        <v>5</v>
      </c>
      <c r="Q41" s="54" t="s">
        <v>5</v>
      </c>
      <c r="R41" s="54" t="s">
        <v>5</v>
      </c>
      <c r="S41" s="54">
        <v>14</v>
      </c>
      <c r="T41" s="55" t="s">
        <v>28</v>
      </c>
      <c r="W41" s="44"/>
      <c r="X41" s="44"/>
      <c r="Y41" s="44"/>
      <c r="Z41" s="44"/>
      <c r="AA41" s="44"/>
      <c r="AB41" s="44"/>
      <c r="AC41" s="44"/>
      <c r="AD41" s="44"/>
      <c r="AE41" s="44"/>
      <c r="AF41" s="44"/>
      <c r="AG41" s="44"/>
      <c r="AH41" s="44"/>
      <c r="AI41" s="44"/>
      <c r="AJ41" s="44"/>
      <c r="AK41" s="44"/>
      <c r="AL41" s="44"/>
      <c r="AM41" s="44"/>
      <c r="AN41" s="44"/>
      <c r="AO41" s="44"/>
      <c r="AP41" s="44"/>
      <c r="AQ41" s="44"/>
      <c r="AR41" s="44"/>
    </row>
    <row r="42" spans="1:44" x14ac:dyDescent="0.2">
      <c r="A42" s="34" t="s">
        <v>30</v>
      </c>
      <c r="B42" s="34"/>
      <c r="C42" s="34"/>
      <c r="D42" s="34"/>
      <c r="E42" s="34"/>
      <c r="F42" s="34"/>
      <c r="G42" s="34"/>
      <c r="H42" s="34"/>
      <c r="I42" s="34"/>
      <c r="J42" s="34"/>
      <c r="K42" s="34"/>
      <c r="L42" s="34"/>
      <c r="M42" s="34"/>
      <c r="N42" s="34"/>
      <c r="O42" s="34"/>
      <c r="P42" s="34"/>
      <c r="Q42" s="34"/>
      <c r="R42" s="34"/>
      <c r="S42" s="34"/>
      <c r="T42" s="34"/>
    </row>
    <row r="43" spans="1:44" x14ac:dyDescent="0.2">
      <c r="A43" s="35" t="s">
        <v>29</v>
      </c>
      <c r="B43" s="35"/>
      <c r="C43" s="35"/>
      <c r="D43" s="35"/>
      <c r="E43" s="35"/>
      <c r="F43" s="35"/>
      <c r="G43" s="35"/>
      <c r="H43" s="35"/>
      <c r="I43" s="35"/>
      <c r="J43" s="35"/>
      <c r="K43" s="35"/>
      <c r="L43" s="35"/>
      <c r="M43" s="35"/>
      <c r="N43" s="35"/>
      <c r="O43" s="35"/>
      <c r="P43" s="35"/>
      <c r="Q43" s="35"/>
      <c r="R43" s="35"/>
      <c r="S43" s="35"/>
      <c r="T43" s="35"/>
    </row>
    <row r="44" spans="1:44" x14ac:dyDescent="0.2">
      <c r="A44" s="35" t="s">
        <v>40</v>
      </c>
      <c r="B44" s="35"/>
      <c r="C44" s="35"/>
      <c r="D44" s="35"/>
      <c r="E44" s="35"/>
      <c r="F44" s="35"/>
      <c r="G44" s="35"/>
      <c r="H44" s="35"/>
      <c r="I44" s="35"/>
      <c r="J44" s="35"/>
      <c r="K44" s="35"/>
      <c r="L44" s="35"/>
      <c r="M44" s="35"/>
      <c r="N44" s="35"/>
      <c r="O44" s="35"/>
      <c r="P44" s="35"/>
      <c r="Q44" s="35"/>
      <c r="R44" s="35"/>
      <c r="S44" s="35"/>
      <c r="T44" s="35"/>
    </row>
    <row r="45" spans="1:44" x14ac:dyDescent="0.2">
      <c r="A45" s="35" t="s">
        <v>41</v>
      </c>
      <c r="B45" s="35"/>
      <c r="C45" s="35"/>
      <c r="D45" s="35"/>
      <c r="E45" s="35"/>
      <c r="F45" s="35"/>
      <c r="G45" s="35"/>
      <c r="H45" s="35"/>
      <c r="I45" s="35"/>
      <c r="J45" s="35"/>
      <c r="K45" s="35"/>
      <c r="L45" s="35"/>
      <c r="M45" s="35"/>
      <c r="N45" s="35"/>
      <c r="O45" s="35"/>
      <c r="P45" s="35"/>
      <c r="Q45" s="35"/>
      <c r="R45" s="35"/>
      <c r="S45" s="35"/>
      <c r="T45" s="35"/>
    </row>
    <row r="46" spans="1:44" x14ac:dyDescent="0.2">
      <c r="A46" s="35" t="s">
        <v>42</v>
      </c>
      <c r="B46" s="35"/>
      <c r="C46" s="35"/>
      <c r="D46" s="35"/>
      <c r="E46" s="35"/>
      <c r="F46" s="35"/>
      <c r="G46" s="35"/>
      <c r="H46" s="35"/>
      <c r="I46" s="35"/>
      <c r="J46" s="35"/>
      <c r="K46" s="35"/>
      <c r="L46" s="35"/>
      <c r="M46" s="35"/>
      <c r="N46" s="35"/>
      <c r="O46" s="35"/>
      <c r="P46" s="35"/>
      <c r="Q46" s="35"/>
      <c r="R46" s="35"/>
      <c r="S46" s="35"/>
      <c r="T46" s="35"/>
    </row>
    <row r="47" spans="1:44" x14ac:dyDescent="0.2">
      <c r="A47" s="35" t="s">
        <v>43</v>
      </c>
      <c r="B47" s="35"/>
      <c r="C47" s="35"/>
      <c r="D47" s="35"/>
      <c r="E47" s="35"/>
      <c r="F47" s="35"/>
      <c r="G47" s="35"/>
      <c r="H47" s="35"/>
      <c r="I47" s="35"/>
      <c r="J47" s="35"/>
      <c r="K47" s="35"/>
      <c r="L47" s="35"/>
      <c r="M47" s="35"/>
      <c r="N47" s="35"/>
      <c r="O47" s="35"/>
      <c r="P47" s="35"/>
      <c r="Q47" s="35"/>
      <c r="R47" s="35"/>
      <c r="S47" s="35"/>
      <c r="T47" s="35"/>
    </row>
    <row r="48" spans="1:44" x14ac:dyDescent="0.2">
      <c r="A48" s="35"/>
      <c r="B48" s="35"/>
      <c r="C48" s="35"/>
      <c r="D48" s="35"/>
      <c r="E48" s="35"/>
      <c r="F48" s="35"/>
      <c r="G48" s="35"/>
      <c r="H48" s="35"/>
      <c r="I48" s="35"/>
      <c r="J48" s="35"/>
      <c r="K48" s="35"/>
      <c r="L48" s="35"/>
      <c r="M48" s="35"/>
      <c r="N48" s="35"/>
      <c r="O48" s="35"/>
      <c r="P48" s="35"/>
      <c r="Q48" s="35"/>
      <c r="R48" s="35"/>
      <c r="S48" s="35"/>
      <c r="T48" s="35"/>
    </row>
    <row r="49" spans="1:20" x14ac:dyDescent="0.2">
      <c r="A49" s="35"/>
      <c r="B49" s="35" t="s">
        <v>6</v>
      </c>
      <c r="C49" s="35"/>
      <c r="D49" s="35"/>
      <c r="E49" s="35"/>
      <c r="F49" s="35"/>
      <c r="G49" s="35"/>
      <c r="H49" s="35"/>
      <c r="I49" s="35"/>
      <c r="J49" s="35"/>
      <c r="K49" s="35"/>
      <c r="L49" s="35"/>
      <c r="M49" s="35"/>
      <c r="N49" s="35"/>
      <c r="O49" s="35"/>
      <c r="P49" s="35"/>
      <c r="Q49" s="35"/>
      <c r="R49" s="35"/>
      <c r="S49" s="35"/>
      <c r="T49" s="35"/>
    </row>
  </sheetData>
  <mergeCells count="10">
    <mergeCell ref="A47:T47"/>
    <mergeCell ref="A48:T48"/>
    <mergeCell ref="A49:T49"/>
    <mergeCell ref="A42:T42"/>
    <mergeCell ref="A43:T43"/>
    <mergeCell ref="A44:T44"/>
    <mergeCell ref="A45:T45"/>
    <mergeCell ref="A46:T46"/>
    <mergeCell ref="A1:T1"/>
    <mergeCell ref="A2:T2"/>
  </mergeCells>
  <pageMargins left="0.7" right="0.7" top="0.75" bottom="0.75" header="0.3" footer="0.3"/>
  <pageSetup paperSize="9" scale="50" orientation="portrait" horizontalDpi="4294967295" verticalDpi="4294967295"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3.10</vt:lpstr>
      <vt:lpstr>'3.10'!Print_Area</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Fathimath Shifaza</dc:creator>
  <cp:lastModifiedBy>mohamed</cp:lastModifiedBy>
  <cp:lastPrinted>2021-12-13T21:03:48Z</cp:lastPrinted>
  <dcterms:created xsi:type="dcterms:W3CDTF">2019-07-22T06:02:33Z</dcterms:created>
  <dcterms:modified xsi:type="dcterms:W3CDTF">2021-12-13T21:04:22Z</dcterms:modified>
</cp:coreProperties>
</file>