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F:\April 2021\YEARBOOK 2021_ Work from Home\CHECKING\CHECKED\web\3.Population\"/>
    </mc:Choice>
  </mc:AlternateContent>
  <bookViews>
    <workbookView xWindow="-105" yWindow="-105" windowWidth="19425" windowHeight="10425" tabRatio="926"/>
  </bookViews>
  <sheets>
    <sheet name="3.22" sheetId="22" r:id="rId1"/>
  </sheets>
  <definedNames>
    <definedName name="_xlnm.Print_Area" localSheetId="0">'3.22'!$A$1:$N$31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0" i="22" l="1"/>
  <c r="C30" i="22"/>
  <c r="D29" i="22"/>
  <c r="C29" i="22"/>
  <c r="D28" i="22"/>
  <c r="C28" i="22"/>
  <c r="D27" i="22"/>
  <c r="C27" i="22"/>
  <c r="D26" i="22"/>
  <c r="C26" i="22"/>
  <c r="D25" i="22"/>
  <c r="C25" i="22"/>
  <c r="D24" i="22"/>
  <c r="C24" i="22"/>
  <c r="D23" i="22"/>
  <c r="C23" i="22"/>
  <c r="D22" i="22"/>
  <c r="C22" i="22"/>
  <c r="D21" i="22"/>
  <c r="C21" i="22"/>
  <c r="D20" i="22"/>
  <c r="C20" i="22"/>
  <c r="D19" i="22"/>
  <c r="C19" i="22"/>
  <c r="D18" i="22"/>
  <c r="C18" i="22"/>
  <c r="D17" i="22"/>
  <c r="C17" i="22"/>
  <c r="D16" i="22"/>
  <c r="C16" i="22"/>
  <c r="D15" i="22"/>
  <c r="C15" i="22"/>
  <c r="D14" i="22"/>
  <c r="C14" i="22"/>
  <c r="D13" i="22"/>
  <c r="C13" i="22"/>
  <c r="D12" i="22"/>
  <c r="C12" i="22"/>
  <c r="D11" i="22"/>
  <c r="C11" i="22"/>
  <c r="D10" i="22"/>
  <c r="C10" i="22"/>
  <c r="L9" i="22"/>
  <c r="L7" i="22" s="1"/>
  <c r="K9" i="22"/>
  <c r="J9" i="22"/>
  <c r="J7" i="22" s="1"/>
  <c r="I9" i="22"/>
  <c r="I7" i="22" s="1"/>
  <c r="H9" i="22"/>
  <c r="G9" i="22"/>
  <c r="F9" i="22"/>
  <c r="F7" i="22" s="1"/>
  <c r="E9" i="22"/>
  <c r="E7" i="22" s="1"/>
  <c r="D8" i="22"/>
  <c r="C8" i="22"/>
  <c r="K7" i="22"/>
  <c r="H7" i="22"/>
  <c r="G7" i="22"/>
  <c r="D9" i="22" l="1"/>
  <c r="C9" i="22"/>
  <c r="C7" i="22"/>
  <c r="D7" i="22"/>
</calcChain>
</file>

<file path=xl/sharedStrings.xml><?xml version="1.0" encoding="utf-8"?>
<sst xmlns="http://schemas.openxmlformats.org/spreadsheetml/2006/main" count="92" uniqueCount="71">
  <si>
    <t>Male</t>
  </si>
  <si>
    <t>Female</t>
  </si>
  <si>
    <t>Total</t>
  </si>
  <si>
    <t>North Thiladhunmathi (HA)</t>
  </si>
  <si>
    <t>South Thiladhunmathi (HDh)</t>
  </si>
  <si>
    <t>(dh) irubunuked Itwmcnudwlit</t>
  </si>
  <si>
    <t>North Miladhunmadulu (Sh)</t>
  </si>
  <si>
    <t>(S) iruburutua uluDwmcnudwlim</t>
  </si>
  <si>
    <t>South Miladhunmadulu (N)</t>
  </si>
  <si>
    <t>(n) irubunuked uluDwmcnudwlim</t>
  </si>
  <si>
    <t>North Maalhosmadulu (R)</t>
  </si>
  <si>
    <t>(r) iruburutuauluDwmcsoLWm</t>
  </si>
  <si>
    <t>(b) irubunukeduluDwcsoLWm</t>
  </si>
  <si>
    <t>(L) uLopcaidWf</t>
  </si>
  <si>
    <t>(k) uLotwa elWm</t>
  </si>
  <si>
    <t>North Ari Atoll (AA)</t>
  </si>
  <si>
    <t>(aa) iruburutuauLotwairwa</t>
  </si>
  <si>
    <t>South Ari Atoll (ADh)</t>
  </si>
  <si>
    <t>(da) iruburutuauLotwairwa</t>
  </si>
  <si>
    <t>Felidhu Atoll (V)</t>
  </si>
  <si>
    <t>(v) uLotwa udilef</t>
  </si>
  <si>
    <t>Mulakatholhu (M)</t>
  </si>
  <si>
    <t>(m) uLotwkwlum</t>
  </si>
  <si>
    <t>(f) iruburutua uLotwaedcnwlin</t>
  </si>
  <si>
    <t>South Nilandhe Atoll (Dh)</t>
  </si>
  <si>
    <t>(d) irubunuked uLotwaedcnwlin</t>
  </si>
  <si>
    <t>Kolhumadulu (Th)</t>
  </si>
  <si>
    <t>(t) uluDwmuLok</t>
  </si>
  <si>
    <t>Hadhdhunmathi (L)</t>
  </si>
  <si>
    <t>(l) itwmcnudcawh</t>
  </si>
  <si>
    <t>North Huvadhu Atoll (GA)</t>
  </si>
  <si>
    <t>(ag) iruburutua uLotwaudwvuh</t>
  </si>
  <si>
    <t>South Huvadhu Atoll (GDh)</t>
  </si>
  <si>
    <t xml:space="preserve"> (dg) irubunuked uLotwaudwvuh</t>
  </si>
  <si>
    <t>Fuvahmulah (Gn)</t>
  </si>
  <si>
    <t>(N)cawlumcawvuf</t>
  </si>
  <si>
    <t>Male'</t>
  </si>
  <si>
    <t>Atolls</t>
  </si>
  <si>
    <t>ޖުމްލަ</t>
  </si>
  <si>
    <t>ފިރިހެން</t>
  </si>
  <si>
    <t>އަންހެން</t>
  </si>
  <si>
    <t>Source: Department of Judicial Administration</t>
  </si>
  <si>
    <t xml:space="preserve">މަޢުލޫމާތު ދެއްވި ފަރާތް: ޑިޕާޓްމަންޓް އޮފް ޖުޑީޝަލް އެޑްމިނިސްޓްރޭޝަން </t>
  </si>
  <si>
    <t>First</t>
  </si>
  <si>
    <t>Second</t>
  </si>
  <si>
    <t xml:space="preserve">Third </t>
  </si>
  <si>
    <t>Fourth or more</t>
  </si>
  <si>
    <t>Court</t>
  </si>
  <si>
    <t xml:space="preserve">Total </t>
  </si>
  <si>
    <t>ކޯޓް</t>
  </si>
  <si>
    <t xml:space="preserve">އަތޮޅު </t>
  </si>
  <si>
    <t xml:space="preserve">އަލަށް ކައިވެނި ކުރި </t>
  </si>
  <si>
    <t xml:space="preserve">ދެވަނަ ފަހަރަށް ކައިވެނި ކުރި </t>
  </si>
  <si>
    <t xml:space="preserve">ތިންވަނަ ފަހަރަށް ކައިވެނި ކުރި </t>
  </si>
  <si>
    <t>ހަތަރެއް ނުވަތަ އެއަށްވުރެ ގިނަ</t>
  </si>
  <si>
    <t>Family court</t>
  </si>
  <si>
    <t>ފެމިލީ ކޯޓު</t>
  </si>
  <si>
    <t>މާލެ</t>
  </si>
  <si>
    <t>Majistrate courts</t>
  </si>
  <si>
    <t xml:space="preserve">މެޖިސްޓްރޭޓް ކޯޓުތައް </t>
  </si>
  <si>
    <t>HulhuMale' court</t>
  </si>
  <si>
    <t>ހުޅުމާލެ ކޯޓު</t>
  </si>
  <si>
    <t>(ah)  iruburutua Itwmcnudwlit</t>
  </si>
  <si>
    <t>South Maalhosamadulu (B)</t>
  </si>
  <si>
    <t>Faadhhippolhu (Lh)</t>
  </si>
  <si>
    <t>Kaafu Atoll (K)</t>
  </si>
  <si>
    <t xml:space="preserve">North Nilandhe Atoll (F) </t>
  </si>
  <si>
    <t>Addu Atoll (S)</t>
  </si>
  <si>
    <t>(s) uLotwauDcawa</t>
  </si>
  <si>
    <t>ތާވަލު 3.22: މާލެ އާއި އަތޮޅުތަކުގައި ކުރެވުނު ކައިވެނީގެ އަދަދު، 2020</t>
  </si>
  <si>
    <t>TABLE 3.22:  NUMBER OF TIMES MARRIED IN MALE' AND ATOLLS ,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</si>
</sst>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3" formatCode="_-* #,##0.00\ _ރ_._-;_-* #,##0.00\ _ރ_.\-;_-* &quot;-&quot;??\ _ރ_._-;_-@_-"/>
    <numFmt numFmtId="164" formatCode="_-* #,##0.00_-;\-* #,##0.00_-;_-* &quot;-&quot;??_-;_-@_-"/>
    <numFmt numFmtId="166" formatCode="_(* #,##0.00_);_(* \(#,##0.00\);_(* &quot;-&quot;??_);_(@_)"/>
    <numFmt numFmtId="167" formatCode="General_)"/>
  </numFmts>
  <fonts count="1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ourier"/>
      <family val="3"/>
    </font>
    <font>
      <sz val="10"/>
      <name val="Arial"/>
      <family val="2"/>
    </font>
    <font>
      <sz val="10"/>
      <name val="Arial"/>
      <family val="2"/>
    </font>
    <font>
      <sz val="10"/>
      <name val="Calibri"/>
      <family val="2"/>
    </font>
    <font>
      <sz val="10"/>
      <name val="A_Randhoo"/>
    </font>
    <font>
      <b/>
      <sz val="10"/>
      <color indexed="8"/>
      <name val="Faruma"/>
    </font>
    <font>
      <b/>
      <sz val="10"/>
      <color indexed="8"/>
      <name val="Calibri"/>
      <family val="2"/>
    </font>
    <font>
      <sz val="11"/>
      <color theme="1"/>
      <name val="Calibri"/>
      <family val="2"/>
      <charset val="1"/>
      <scheme val="minor"/>
    </font>
    <font>
      <b/>
      <sz val="11"/>
      <color indexed="8"/>
      <name val="Calibri"/>
      <family val="2"/>
    </font>
    <font>
      <sz val="9"/>
      <color indexed="8"/>
      <name val="Faruma"/>
    </font>
    <font>
      <b/>
      <sz val="11"/>
      <color indexed="8"/>
      <name val="Faruma"/>
    </font>
    <font>
      <i/>
      <sz val="10"/>
      <color indexed="8"/>
      <name val="Calibri"/>
      <family val="2"/>
    </font>
    <font>
      <sz val="10"/>
      <name val="A_Faseyha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/>
      <bottom/>
      <diagonal/>
    </border>
    <border>
      <left/>
      <right style="thin">
        <color indexed="9"/>
      </right>
      <top/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thin">
        <color indexed="9"/>
      </right>
      <top/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</borders>
  <cellStyleXfs count="17">
    <xf numFmtId="0" fontId="0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166" fontId="4" fillId="0" borderId="0" applyFont="0" applyFill="0" applyBorder="0" applyAlignment="0" applyProtection="0"/>
    <xf numFmtId="0" fontId="9" fillId="0" borderId="0"/>
    <xf numFmtId="0" fontId="4" fillId="0" borderId="0"/>
    <xf numFmtId="0" fontId="4" fillId="0" borderId="0"/>
    <xf numFmtId="0" fontId="1" fillId="0" borderId="0"/>
    <xf numFmtId="167" fontId="2" fillId="0" borderId="0"/>
    <xf numFmtId="0" fontId="3" fillId="0" borderId="0"/>
    <xf numFmtId="166" fontId="3" fillId="0" borderId="0" applyFont="0" applyFill="0" applyBorder="0" applyAlignment="0" applyProtection="0"/>
    <xf numFmtId="0" fontId="3" fillId="0" borderId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</cellStyleXfs>
  <cellXfs count="65">
    <xf numFmtId="0" fontId="0" fillId="0" borderId="0" xfId="0"/>
    <xf numFmtId="0" fontId="0" fillId="2" borderId="0" xfId="0" applyFill="1"/>
    <xf numFmtId="0" fontId="11" fillId="2" borderId="0" xfId="0" applyFont="1" applyFill="1"/>
    <xf numFmtId="0" fontId="0" fillId="2" borderId="2" xfId="0" applyFill="1" applyBorder="1"/>
    <xf numFmtId="0" fontId="8" fillId="2" borderId="1" xfId="0" applyFont="1" applyFill="1" applyBorder="1" applyAlignment="1">
      <alignment horizontal="right" vertical="center" wrapText="1"/>
    </xf>
    <xf numFmtId="0" fontId="8" fillId="2" borderId="10" xfId="0" applyFont="1" applyFill="1" applyBorder="1" applyAlignment="1">
      <alignment horizontal="right" vertical="center" wrapText="1"/>
    </xf>
    <xf numFmtId="0" fontId="8" fillId="2" borderId="4" xfId="0" applyFont="1" applyFill="1" applyBorder="1" applyAlignment="1">
      <alignment horizontal="right" vertical="center" wrapText="1"/>
    </xf>
    <xf numFmtId="3" fontId="8" fillId="2" borderId="8" xfId="0" applyNumberFormat="1" applyFont="1" applyFill="1" applyBorder="1" applyAlignment="1">
      <alignment horizontal="right" vertical="center" wrapText="1"/>
    </xf>
    <xf numFmtId="3" fontId="8" fillId="2" borderId="2" xfId="0" applyNumberFormat="1" applyFont="1" applyFill="1" applyBorder="1" applyAlignment="1">
      <alignment horizontal="right" vertical="center" wrapText="1"/>
    </xf>
    <xf numFmtId="3" fontId="8" fillId="2" borderId="6" xfId="0" applyNumberFormat="1" applyFont="1" applyFill="1" applyBorder="1" applyAlignment="1">
      <alignment horizontal="right" vertical="center" wrapText="1"/>
    </xf>
    <xf numFmtId="3" fontId="8" fillId="2" borderId="11" xfId="0" applyNumberFormat="1" applyFont="1" applyFill="1" applyBorder="1" applyAlignment="1">
      <alignment horizontal="right" vertical="center" wrapText="1"/>
    </xf>
    <xf numFmtId="3" fontId="0" fillId="2" borderId="0" xfId="0" applyNumberFormat="1" applyFill="1"/>
    <xf numFmtId="0" fontId="8" fillId="2" borderId="0" xfId="0" applyFont="1" applyFill="1" applyAlignment="1">
      <alignment horizontal="center" vertical="center"/>
    </xf>
    <xf numFmtId="3" fontId="8" fillId="2" borderId="3" xfId="0" applyNumberFormat="1" applyFont="1" applyFill="1" applyBorder="1" applyAlignment="1">
      <alignment vertical="center" wrapText="1"/>
    </xf>
    <xf numFmtId="3" fontId="8" fillId="2" borderId="8" xfId="0" applyNumberFormat="1" applyFont="1" applyFill="1" applyBorder="1" applyAlignment="1">
      <alignment vertical="center" wrapText="1"/>
    </xf>
    <xf numFmtId="3" fontId="5" fillId="2" borderId="3" xfId="0" applyNumberFormat="1" applyFont="1" applyFill="1" applyBorder="1" applyAlignment="1">
      <alignment vertical="center" wrapText="1"/>
    </xf>
    <xf numFmtId="3" fontId="5" fillId="2" borderId="8" xfId="0" applyNumberFormat="1" applyFont="1" applyFill="1" applyBorder="1" applyAlignment="1">
      <alignment vertical="center" wrapText="1"/>
    </xf>
    <xf numFmtId="3" fontId="6" fillId="2" borderId="9" xfId="4" applyNumberFormat="1" applyFont="1" applyFill="1" applyBorder="1" applyAlignment="1" applyProtection="1">
      <alignment vertical="center"/>
      <protection hidden="1"/>
    </xf>
    <xf numFmtId="3" fontId="5" fillId="2" borderId="3" xfId="0" applyNumberFormat="1" applyFont="1" applyFill="1" applyBorder="1"/>
    <xf numFmtId="3" fontId="5" fillId="2" borderId="8" xfId="0" applyNumberFormat="1" applyFont="1" applyFill="1" applyBorder="1"/>
    <xf numFmtId="3" fontId="8" fillId="2" borderId="10" xfId="0" applyNumberFormat="1" applyFont="1" applyFill="1" applyBorder="1" applyAlignment="1">
      <alignment horizontal="right" vertical="center" wrapText="1"/>
    </xf>
    <xf numFmtId="3" fontId="5" fillId="2" borderId="1" xfId="0" applyNumberFormat="1" applyFont="1" applyFill="1" applyBorder="1"/>
    <xf numFmtId="3" fontId="5" fillId="2" borderId="4" xfId="0" applyNumberFormat="1" applyFont="1" applyFill="1" applyBorder="1"/>
    <xf numFmtId="3" fontId="5" fillId="2" borderId="10" xfId="0" applyNumberFormat="1" applyFont="1" applyFill="1" applyBorder="1"/>
    <xf numFmtId="3" fontId="6" fillId="2" borderId="13" xfId="4" applyNumberFormat="1" applyFont="1" applyFill="1" applyBorder="1" applyAlignment="1" applyProtection="1">
      <alignment vertical="center"/>
      <protection hidden="1"/>
    </xf>
    <xf numFmtId="0" fontId="13" fillId="2" borderId="0" xfId="0" applyFont="1" applyFill="1"/>
    <xf numFmtId="3" fontId="8" fillId="2" borderId="1" xfId="0" applyNumberFormat="1" applyFont="1" applyFill="1" applyBorder="1" applyAlignment="1">
      <alignment horizontal="right" vertical="center" wrapText="1"/>
    </xf>
    <xf numFmtId="3" fontId="14" fillId="2" borderId="1" xfId="4" applyNumberFormat="1" applyFont="1" applyFill="1" applyBorder="1" applyAlignment="1" applyProtection="1">
      <alignment horizontal="right" vertical="center"/>
      <protection hidden="1"/>
    </xf>
    <xf numFmtId="0" fontId="7" fillId="2" borderId="0" xfId="0" applyFont="1" applyFill="1" applyAlignment="1">
      <alignment horizontal="right" wrapText="1"/>
    </xf>
    <xf numFmtId="0" fontId="7" fillId="2" borderId="14" xfId="0" applyFont="1" applyFill="1" applyBorder="1" applyAlignment="1">
      <alignment horizontal="right" wrapText="1"/>
    </xf>
    <xf numFmtId="0" fontId="7" fillId="2" borderId="15" xfId="0" applyFont="1" applyFill="1" applyBorder="1" applyAlignment="1">
      <alignment horizontal="right" wrapText="1"/>
    </xf>
    <xf numFmtId="0" fontId="7" fillId="2" borderId="16" xfId="0" applyFont="1" applyFill="1" applyBorder="1" applyAlignment="1">
      <alignment horizontal="right" wrapText="1"/>
    </xf>
    <xf numFmtId="3" fontId="8" fillId="2" borderId="0" xfId="0" applyNumberFormat="1" applyFont="1" applyFill="1" applyAlignment="1">
      <alignment horizontal="right" vertical="center" wrapText="1"/>
    </xf>
    <xf numFmtId="0" fontId="8" fillId="2" borderId="0" xfId="0" applyFont="1" applyFill="1" applyAlignment="1">
      <alignment horizontal="left" vertical="center"/>
    </xf>
    <xf numFmtId="0" fontId="7" fillId="2" borderId="0" xfId="0" applyFont="1" applyFill="1" applyAlignment="1">
      <alignment horizontal="right" vertical="center" wrapText="1"/>
    </xf>
    <xf numFmtId="3" fontId="8" fillId="2" borderId="0" xfId="0" applyNumberFormat="1" applyFont="1" applyFill="1" applyAlignment="1">
      <alignment vertical="center" wrapText="1"/>
    </xf>
    <xf numFmtId="3" fontId="14" fillId="2" borderId="0" xfId="4" applyNumberFormat="1" applyFont="1" applyFill="1" applyAlignment="1" applyProtection="1">
      <alignment horizontal="right" vertical="center"/>
      <protection hidden="1"/>
    </xf>
    <xf numFmtId="3" fontId="5" fillId="2" borderId="0" xfId="0" applyNumberFormat="1" applyFont="1" applyFill="1" applyAlignment="1">
      <alignment vertical="center" wrapText="1"/>
    </xf>
    <xf numFmtId="3" fontId="5" fillId="2" borderId="0" xfId="0" applyNumberFormat="1" applyFont="1" applyFill="1"/>
    <xf numFmtId="0" fontId="10" fillId="2" borderId="0" xfId="0" applyFont="1" applyFill="1" applyAlignment="1">
      <alignment horizontal="center" vertical="center" wrapText="1"/>
    </xf>
    <xf numFmtId="0" fontId="12" fillId="2" borderId="0" xfId="0" applyFont="1" applyFill="1" applyAlignment="1">
      <alignment horizontal="center"/>
    </xf>
    <xf numFmtId="0" fontId="10" fillId="2" borderId="1" xfId="0" applyFont="1" applyFill="1" applyBorder="1" applyAlignment="1">
      <alignment horizontal="center" vertical="top"/>
    </xf>
    <xf numFmtId="0" fontId="10" fillId="2" borderId="1" xfId="0" applyFont="1" applyFill="1" applyBorder="1" applyAlignment="1">
      <alignment horizontal="center" vertical="center" wrapText="1"/>
    </xf>
    <xf numFmtId="0" fontId="10" fillId="2" borderId="2" xfId="0" applyFont="1" applyFill="1" applyBorder="1" applyAlignment="1">
      <alignment horizontal="left" vertical="center" wrapText="1" indent="1"/>
    </xf>
    <xf numFmtId="0" fontId="10" fillId="2" borderId="0" xfId="0" applyFont="1" applyFill="1" applyAlignment="1">
      <alignment horizontal="left" vertical="center" wrapText="1" indent="1"/>
    </xf>
    <xf numFmtId="0" fontId="10" fillId="2" borderId="1" xfId="0" applyFont="1" applyFill="1" applyBorder="1" applyAlignment="1">
      <alignment horizontal="left" vertical="center" wrapText="1" indent="1"/>
    </xf>
    <xf numFmtId="0" fontId="12" fillId="2" borderId="2" xfId="0" applyFont="1" applyFill="1" applyBorder="1" applyAlignment="1">
      <alignment horizontal="right" vertical="center" wrapText="1" indent="2"/>
    </xf>
    <xf numFmtId="0" fontId="12" fillId="2" borderId="0" xfId="0" applyFont="1" applyFill="1" applyAlignment="1">
      <alignment horizontal="right" vertical="center" wrapText="1" indent="2"/>
    </xf>
    <xf numFmtId="0" fontId="12" fillId="2" borderId="1" xfId="0" applyFont="1" applyFill="1" applyBorder="1" applyAlignment="1">
      <alignment horizontal="right" vertical="center" wrapText="1" indent="2"/>
    </xf>
    <xf numFmtId="0" fontId="12" fillId="2" borderId="0" xfId="0" applyFont="1" applyFill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 wrapText="1"/>
    </xf>
    <xf numFmtId="0" fontId="7" fillId="2" borderId="5" xfId="0" applyFont="1" applyFill="1" applyBorder="1" applyAlignment="1">
      <alignment horizontal="right" vertical="center" wrapText="1"/>
    </xf>
    <xf numFmtId="0" fontId="7" fillId="2" borderId="7" xfId="0" applyFont="1" applyFill="1" applyBorder="1" applyAlignment="1">
      <alignment horizontal="right" vertical="center"/>
    </xf>
    <xf numFmtId="0" fontId="7" fillId="2" borderId="12" xfId="0" applyFont="1" applyFill="1" applyBorder="1" applyAlignment="1">
      <alignment horizontal="right" vertical="center"/>
    </xf>
    <xf numFmtId="0" fontId="7" fillId="2" borderId="2" xfId="0" applyFont="1" applyFill="1" applyBorder="1" applyAlignment="1">
      <alignment horizontal="right" vertical="center" wrapText="1"/>
    </xf>
    <xf numFmtId="0" fontId="7" fillId="2" borderId="11" xfId="0" applyFont="1" applyFill="1" applyBorder="1" applyAlignment="1">
      <alignment horizontal="left" vertical="center"/>
    </xf>
    <xf numFmtId="0" fontId="7" fillId="2" borderId="12" xfId="0" applyFont="1" applyFill="1" applyBorder="1" applyAlignment="1">
      <alignment horizontal="left" vertical="center"/>
    </xf>
    <xf numFmtId="0" fontId="10" fillId="2" borderId="2" xfId="0" applyFont="1" applyFill="1" applyBorder="1" applyAlignment="1">
      <alignment horizontal="center" vertical="center" wrapText="1"/>
    </xf>
    <xf numFmtId="0" fontId="10" fillId="2" borderId="6" xfId="0" applyFont="1" applyFill="1" applyBorder="1" applyAlignment="1">
      <alignment horizontal="center" vertical="center" wrapText="1"/>
    </xf>
    <xf numFmtId="0" fontId="10" fillId="2" borderId="11" xfId="0" applyFont="1" applyFill="1" applyBorder="1" applyAlignment="1">
      <alignment horizontal="center" vertical="center" wrapText="1"/>
    </xf>
    <xf numFmtId="0" fontId="7" fillId="2" borderId="5" xfId="0" applyFont="1" applyFill="1" applyBorder="1" applyAlignment="1">
      <alignment horizontal="right" vertical="center"/>
    </xf>
    <xf numFmtId="49" fontId="5" fillId="2" borderId="0" xfId="0" applyNumberFormat="1" applyFont="1" applyFill="1" applyAlignment="1">
      <alignment horizontal="left" vertical="center" indent="3"/>
    </xf>
    <xf numFmtId="0" fontId="8" fillId="2" borderId="2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 wrapText="1"/>
    </xf>
    <xf numFmtId="49" fontId="5" fillId="2" borderId="1" xfId="0" applyNumberFormat="1" applyFont="1" applyFill="1" applyBorder="1" applyAlignment="1">
      <alignment horizontal="left" vertical="center" indent="3"/>
    </xf>
  </cellXfs>
  <cellStyles count="17">
    <cellStyle name="1" xfId="14"/>
    <cellStyle name="Comma 2" xfId="13"/>
    <cellStyle name="Comma 3" xfId="6"/>
    <cellStyle name="Comma 3 2" xfId="16"/>
    <cellStyle name="Comma 4" xfId="3"/>
    <cellStyle name="Comma 7" xfId="15"/>
    <cellStyle name="Normal" xfId="0" builtinId="0"/>
    <cellStyle name="Normal 11" xfId="7"/>
    <cellStyle name="Normal 2" xfId="5"/>
    <cellStyle name="Normal 20" xfId="2"/>
    <cellStyle name="Normal 3" xfId="12"/>
    <cellStyle name="Normal 32" xfId="8"/>
    <cellStyle name="Normal 4" xfId="11"/>
    <cellStyle name="Normal 44" xfId="9"/>
    <cellStyle name="Normal 48" xfId="10"/>
    <cellStyle name="Normal 5" xfId="1"/>
    <cellStyle name="Normal_II-15(Population) 2" xfId="4"/>
  </cellStyles>
  <dxfs count="0"/>
  <tableStyles count="0" defaultTableStyle="TableStyleMedium2" defaultPivotStyle="PivotStyleLight16"/>
  <colors>
    <mruColors>
      <color rgb="FFFF9900"/>
      <color rgb="FF196563"/>
      <color rgb="FF249390"/>
      <color rgb="FF33CCCC"/>
      <color rgb="FFEAFAFA"/>
      <color rgb="FFBEF1F0"/>
      <color rgb="FF00FFCC"/>
      <color rgb="FFA85400"/>
      <color rgb="FFCD9B69"/>
      <color rgb="FF66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P31"/>
  <sheetViews>
    <sheetView tabSelected="1" zoomScaleNormal="100" workbookViewId="0">
      <selection activeCell="R10" sqref="R10"/>
    </sheetView>
  </sheetViews>
  <sheetFormatPr defaultRowHeight="15"/>
  <cols>
    <col min="1" max="1" width="8.140625" style="1" customWidth="1"/>
    <col min="2" max="2" width="22.5703125" style="1" customWidth="1"/>
    <col min="3" max="12" width="10.85546875" style="1" customWidth="1"/>
    <col min="13" max="13" width="23.42578125" style="1" customWidth="1"/>
    <col min="14" max="14" width="5.85546875" style="1" customWidth="1"/>
    <col min="15" max="246" width="8.7109375" style="1"/>
    <col min="247" max="247" width="8.140625" style="1" customWidth="1"/>
    <col min="248" max="248" width="22.5703125" style="1" customWidth="1"/>
    <col min="249" max="258" width="0" style="1" hidden="1" customWidth="1"/>
    <col min="259" max="268" width="10.85546875" style="1" customWidth="1"/>
    <col min="269" max="269" width="23.42578125" style="1" customWidth="1"/>
    <col min="270" max="270" width="5.85546875" style="1" customWidth="1"/>
    <col min="271" max="502" width="8.7109375" style="1"/>
    <col min="503" max="503" width="8.140625" style="1" customWidth="1"/>
    <col min="504" max="504" width="22.5703125" style="1" customWidth="1"/>
    <col min="505" max="514" width="0" style="1" hidden="1" customWidth="1"/>
    <col min="515" max="524" width="10.85546875" style="1" customWidth="1"/>
    <col min="525" max="525" width="23.42578125" style="1" customWidth="1"/>
    <col min="526" max="526" width="5.85546875" style="1" customWidth="1"/>
    <col min="527" max="758" width="8.7109375" style="1"/>
    <col min="759" max="759" width="8.140625" style="1" customWidth="1"/>
    <col min="760" max="760" width="22.5703125" style="1" customWidth="1"/>
    <col min="761" max="770" width="0" style="1" hidden="1" customWidth="1"/>
    <col min="771" max="780" width="10.85546875" style="1" customWidth="1"/>
    <col min="781" max="781" width="23.42578125" style="1" customWidth="1"/>
    <col min="782" max="782" width="5.85546875" style="1" customWidth="1"/>
    <col min="783" max="1014" width="8.7109375" style="1"/>
    <col min="1015" max="1015" width="8.140625" style="1" customWidth="1"/>
    <col min="1016" max="1016" width="22.5703125" style="1" customWidth="1"/>
    <col min="1017" max="1026" width="0" style="1" hidden="1" customWidth="1"/>
    <col min="1027" max="1036" width="10.85546875" style="1" customWidth="1"/>
    <col min="1037" max="1037" width="23.42578125" style="1" customWidth="1"/>
    <col min="1038" max="1038" width="5.85546875" style="1" customWidth="1"/>
    <col min="1039" max="1270" width="8.7109375" style="1"/>
    <col min="1271" max="1271" width="8.140625" style="1" customWidth="1"/>
    <col min="1272" max="1272" width="22.5703125" style="1" customWidth="1"/>
    <col min="1273" max="1282" width="0" style="1" hidden="1" customWidth="1"/>
    <col min="1283" max="1292" width="10.85546875" style="1" customWidth="1"/>
    <col min="1293" max="1293" width="23.42578125" style="1" customWidth="1"/>
    <col min="1294" max="1294" width="5.85546875" style="1" customWidth="1"/>
    <col min="1295" max="1526" width="8.7109375" style="1"/>
    <col min="1527" max="1527" width="8.140625" style="1" customWidth="1"/>
    <col min="1528" max="1528" width="22.5703125" style="1" customWidth="1"/>
    <col min="1529" max="1538" width="0" style="1" hidden="1" customWidth="1"/>
    <col min="1539" max="1548" width="10.85546875" style="1" customWidth="1"/>
    <col min="1549" max="1549" width="23.42578125" style="1" customWidth="1"/>
    <col min="1550" max="1550" width="5.85546875" style="1" customWidth="1"/>
    <col min="1551" max="1782" width="8.7109375" style="1"/>
    <col min="1783" max="1783" width="8.140625" style="1" customWidth="1"/>
    <col min="1784" max="1784" width="22.5703125" style="1" customWidth="1"/>
    <col min="1785" max="1794" width="0" style="1" hidden="1" customWidth="1"/>
    <col min="1795" max="1804" width="10.85546875" style="1" customWidth="1"/>
    <col min="1805" max="1805" width="23.42578125" style="1" customWidth="1"/>
    <col min="1806" max="1806" width="5.85546875" style="1" customWidth="1"/>
    <col min="1807" max="2038" width="8.7109375" style="1"/>
    <col min="2039" max="2039" width="8.140625" style="1" customWidth="1"/>
    <col min="2040" max="2040" width="22.5703125" style="1" customWidth="1"/>
    <col min="2041" max="2050" width="0" style="1" hidden="1" customWidth="1"/>
    <col min="2051" max="2060" width="10.85546875" style="1" customWidth="1"/>
    <col min="2061" max="2061" width="23.42578125" style="1" customWidth="1"/>
    <col min="2062" max="2062" width="5.85546875" style="1" customWidth="1"/>
    <col min="2063" max="2294" width="8.7109375" style="1"/>
    <col min="2295" max="2295" width="8.140625" style="1" customWidth="1"/>
    <col min="2296" max="2296" width="22.5703125" style="1" customWidth="1"/>
    <col min="2297" max="2306" width="0" style="1" hidden="1" customWidth="1"/>
    <col min="2307" max="2316" width="10.85546875" style="1" customWidth="1"/>
    <col min="2317" max="2317" width="23.42578125" style="1" customWidth="1"/>
    <col min="2318" max="2318" width="5.85546875" style="1" customWidth="1"/>
    <col min="2319" max="2550" width="8.7109375" style="1"/>
    <col min="2551" max="2551" width="8.140625" style="1" customWidth="1"/>
    <col min="2552" max="2552" width="22.5703125" style="1" customWidth="1"/>
    <col min="2553" max="2562" width="0" style="1" hidden="1" customWidth="1"/>
    <col min="2563" max="2572" width="10.85546875" style="1" customWidth="1"/>
    <col min="2573" max="2573" width="23.42578125" style="1" customWidth="1"/>
    <col min="2574" max="2574" width="5.85546875" style="1" customWidth="1"/>
    <col min="2575" max="2806" width="8.7109375" style="1"/>
    <col min="2807" max="2807" width="8.140625" style="1" customWidth="1"/>
    <col min="2808" max="2808" width="22.5703125" style="1" customWidth="1"/>
    <col min="2809" max="2818" width="0" style="1" hidden="1" customWidth="1"/>
    <col min="2819" max="2828" width="10.85546875" style="1" customWidth="1"/>
    <col min="2829" max="2829" width="23.42578125" style="1" customWidth="1"/>
    <col min="2830" max="2830" width="5.85546875" style="1" customWidth="1"/>
    <col min="2831" max="3062" width="8.7109375" style="1"/>
    <col min="3063" max="3063" width="8.140625" style="1" customWidth="1"/>
    <col min="3064" max="3064" width="22.5703125" style="1" customWidth="1"/>
    <col min="3065" max="3074" width="0" style="1" hidden="1" customWidth="1"/>
    <col min="3075" max="3084" width="10.85546875" style="1" customWidth="1"/>
    <col min="3085" max="3085" width="23.42578125" style="1" customWidth="1"/>
    <col min="3086" max="3086" width="5.85546875" style="1" customWidth="1"/>
    <col min="3087" max="3318" width="8.7109375" style="1"/>
    <col min="3319" max="3319" width="8.140625" style="1" customWidth="1"/>
    <col min="3320" max="3320" width="22.5703125" style="1" customWidth="1"/>
    <col min="3321" max="3330" width="0" style="1" hidden="1" customWidth="1"/>
    <col min="3331" max="3340" width="10.85546875" style="1" customWidth="1"/>
    <col min="3341" max="3341" width="23.42578125" style="1" customWidth="1"/>
    <col min="3342" max="3342" width="5.85546875" style="1" customWidth="1"/>
    <col min="3343" max="3574" width="8.7109375" style="1"/>
    <col min="3575" max="3575" width="8.140625" style="1" customWidth="1"/>
    <col min="3576" max="3576" width="22.5703125" style="1" customWidth="1"/>
    <col min="3577" max="3586" width="0" style="1" hidden="1" customWidth="1"/>
    <col min="3587" max="3596" width="10.85546875" style="1" customWidth="1"/>
    <col min="3597" max="3597" width="23.42578125" style="1" customWidth="1"/>
    <col min="3598" max="3598" width="5.85546875" style="1" customWidth="1"/>
    <col min="3599" max="3830" width="8.7109375" style="1"/>
    <col min="3831" max="3831" width="8.140625" style="1" customWidth="1"/>
    <col min="3832" max="3832" width="22.5703125" style="1" customWidth="1"/>
    <col min="3833" max="3842" width="0" style="1" hidden="1" customWidth="1"/>
    <col min="3843" max="3852" width="10.85546875" style="1" customWidth="1"/>
    <col min="3853" max="3853" width="23.42578125" style="1" customWidth="1"/>
    <col min="3854" max="3854" width="5.85546875" style="1" customWidth="1"/>
    <col min="3855" max="4086" width="8.7109375" style="1"/>
    <col min="4087" max="4087" width="8.140625" style="1" customWidth="1"/>
    <col min="4088" max="4088" width="22.5703125" style="1" customWidth="1"/>
    <col min="4089" max="4098" width="0" style="1" hidden="1" customWidth="1"/>
    <col min="4099" max="4108" width="10.85546875" style="1" customWidth="1"/>
    <col min="4109" max="4109" width="23.42578125" style="1" customWidth="1"/>
    <col min="4110" max="4110" width="5.85546875" style="1" customWidth="1"/>
    <col min="4111" max="4342" width="8.7109375" style="1"/>
    <col min="4343" max="4343" width="8.140625" style="1" customWidth="1"/>
    <col min="4344" max="4344" width="22.5703125" style="1" customWidth="1"/>
    <col min="4345" max="4354" width="0" style="1" hidden="1" customWidth="1"/>
    <col min="4355" max="4364" width="10.85546875" style="1" customWidth="1"/>
    <col min="4365" max="4365" width="23.42578125" style="1" customWidth="1"/>
    <col min="4366" max="4366" width="5.85546875" style="1" customWidth="1"/>
    <col min="4367" max="4598" width="8.7109375" style="1"/>
    <col min="4599" max="4599" width="8.140625" style="1" customWidth="1"/>
    <col min="4600" max="4600" width="22.5703125" style="1" customWidth="1"/>
    <col min="4601" max="4610" width="0" style="1" hidden="1" customWidth="1"/>
    <col min="4611" max="4620" width="10.85546875" style="1" customWidth="1"/>
    <col min="4621" max="4621" width="23.42578125" style="1" customWidth="1"/>
    <col min="4622" max="4622" width="5.85546875" style="1" customWidth="1"/>
    <col min="4623" max="4854" width="8.7109375" style="1"/>
    <col min="4855" max="4855" width="8.140625" style="1" customWidth="1"/>
    <col min="4856" max="4856" width="22.5703125" style="1" customWidth="1"/>
    <col min="4857" max="4866" width="0" style="1" hidden="1" customWidth="1"/>
    <col min="4867" max="4876" width="10.85546875" style="1" customWidth="1"/>
    <col min="4877" max="4877" width="23.42578125" style="1" customWidth="1"/>
    <col min="4878" max="4878" width="5.85546875" style="1" customWidth="1"/>
    <col min="4879" max="5110" width="8.7109375" style="1"/>
    <col min="5111" max="5111" width="8.140625" style="1" customWidth="1"/>
    <col min="5112" max="5112" width="22.5703125" style="1" customWidth="1"/>
    <col min="5113" max="5122" width="0" style="1" hidden="1" customWidth="1"/>
    <col min="5123" max="5132" width="10.85546875" style="1" customWidth="1"/>
    <col min="5133" max="5133" width="23.42578125" style="1" customWidth="1"/>
    <col min="5134" max="5134" width="5.85546875" style="1" customWidth="1"/>
    <col min="5135" max="5366" width="8.7109375" style="1"/>
    <col min="5367" max="5367" width="8.140625" style="1" customWidth="1"/>
    <col min="5368" max="5368" width="22.5703125" style="1" customWidth="1"/>
    <col min="5369" max="5378" width="0" style="1" hidden="1" customWidth="1"/>
    <col min="5379" max="5388" width="10.85546875" style="1" customWidth="1"/>
    <col min="5389" max="5389" width="23.42578125" style="1" customWidth="1"/>
    <col min="5390" max="5390" width="5.85546875" style="1" customWidth="1"/>
    <col min="5391" max="5622" width="8.7109375" style="1"/>
    <col min="5623" max="5623" width="8.140625" style="1" customWidth="1"/>
    <col min="5624" max="5624" width="22.5703125" style="1" customWidth="1"/>
    <col min="5625" max="5634" width="0" style="1" hidden="1" customWidth="1"/>
    <col min="5635" max="5644" width="10.85546875" style="1" customWidth="1"/>
    <col min="5645" max="5645" width="23.42578125" style="1" customWidth="1"/>
    <col min="5646" max="5646" width="5.85546875" style="1" customWidth="1"/>
    <col min="5647" max="5878" width="8.7109375" style="1"/>
    <col min="5879" max="5879" width="8.140625" style="1" customWidth="1"/>
    <col min="5880" max="5880" width="22.5703125" style="1" customWidth="1"/>
    <col min="5881" max="5890" width="0" style="1" hidden="1" customWidth="1"/>
    <col min="5891" max="5900" width="10.85546875" style="1" customWidth="1"/>
    <col min="5901" max="5901" width="23.42578125" style="1" customWidth="1"/>
    <col min="5902" max="5902" width="5.85546875" style="1" customWidth="1"/>
    <col min="5903" max="6134" width="8.7109375" style="1"/>
    <col min="6135" max="6135" width="8.140625" style="1" customWidth="1"/>
    <col min="6136" max="6136" width="22.5703125" style="1" customWidth="1"/>
    <col min="6137" max="6146" width="0" style="1" hidden="1" customWidth="1"/>
    <col min="6147" max="6156" width="10.85546875" style="1" customWidth="1"/>
    <col min="6157" max="6157" width="23.42578125" style="1" customWidth="1"/>
    <col min="6158" max="6158" width="5.85546875" style="1" customWidth="1"/>
    <col min="6159" max="6390" width="8.7109375" style="1"/>
    <col min="6391" max="6391" width="8.140625" style="1" customWidth="1"/>
    <col min="6392" max="6392" width="22.5703125" style="1" customWidth="1"/>
    <col min="6393" max="6402" width="0" style="1" hidden="1" customWidth="1"/>
    <col min="6403" max="6412" width="10.85546875" style="1" customWidth="1"/>
    <col min="6413" max="6413" width="23.42578125" style="1" customWidth="1"/>
    <col min="6414" max="6414" width="5.85546875" style="1" customWidth="1"/>
    <col min="6415" max="6646" width="8.7109375" style="1"/>
    <col min="6647" max="6647" width="8.140625" style="1" customWidth="1"/>
    <col min="6648" max="6648" width="22.5703125" style="1" customWidth="1"/>
    <col min="6649" max="6658" width="0" style="1" hidden="1" customWidth="1"/>
    <col min="6659" max="6668" width="10.85546875" style="1" customWidth="1"/>
    <col min="6669" max="6669" width="23.42578125" style="1" customWidth="1"/>
    <col min="6670" max="6670" width="5.85546875" style="1" customWidth="1"/>
    <col min="6671" max="6902" width="8.7109375" style="1"/>
    <col min="6903" max="6903" width="8.140625" style="1" customWidth="1"/>
    <col min="6904" max="6904" width="22.5703125" style="1" customWidth="1"/>
    <col min="6905" max="6914" width="0" style="1" hidden="1" customWidth="1"/>
    <col min="6915" max="6924" width="10.85546875" style="1" customWidth="1"/>
    <col min="6925" max="6925" width="23.42578125" style="1" customWidth="1"/>
    <col min="6926" max="6926" width="5.85546875" style="1" customWidth="1"/>
    <col min="6927" max="7158" width="8.7109375" style="1"/>
    <col min="7159" max="7159" width="8.140625" style="1" customWidth="1"/>
    <col min="7160" max="7160" width="22.5703125" style="1" customWidth="1"/>
    <col min="7161" max="7170" width="0" style="1" hidden="1" customWidth="1"/>
    <col min="7171" max="7180" width="10.85546875" style="1" customWidth="1"/>
    <col min="7181" max="7181" width="23.42578125" style="1" customWidth="1"/>
    <col min="7182" max="7182" width="5.85546875" style="1" customWidth="1"/>
    <col min="7183" max="7414" width="8.7109375" style="1"/>
    <col min="7415" max="7415" width="8.140625" style="1" customWidth="1"/>
    <col min="7416" max="7416" width="22.5703125" style="1" customWidth="1"/>
    <col min="7417" max="7426" width="0" style="1" hidden="1" customWidth="1"/>
    <col min="7427" max="7436" width="10.85546875" style="1" customWidth="1"/>
    <col min="7437" max="7437" width="23.42578125" style="1" customWidth="1"/>
    <col min="7438" max="7438" width="5.85546875" style="1" customWidth="1"/>
    <col min="7439" max="7670" width="8.7109375" style="1"/>
    <col min="7671" max="7671" width="8.140625" style="1" customWidth="1"/>
    <col min="7672" max="7672" width="22.5703125" style="1" customWidth="1"/>
    <col min="7673" max="7682" width="0" style="1" hidden="1" customWidth="1"/>
    <col min="7683" max="7692" width="10.85546875" style="1" customWidth="1"/>
    <col min="7693" max="7693" width="23.42578125" style="1" customWidth="1"/>
    <col min="7694" max="7694" width="5.85546875" style="1" customWidth="1"/>
    <col min="7695" max="7926" width="8.7109375" style="1"/>
    <col min="7927" max="7927" width="8.140625" style="1" customWidth="1"/>
    <col min="7928" max="7928" width="22.5703125" style="1" customWidth="1"/>
    <col min="7929" max="7938" width="0" style="1" hidden="1" customWidth="1"/>
    <col min="7939" max="7948" width="10.85546875" style="1" customWidth="1"/>
    <col min="7949" max="7949" width="23.42578125" style="1" customWidth="1"/>
    <col min="7950" max="7950" width="5.85546875" style="1" customWidth="1"/>
    <col min="7951" max="8182" width="8.7109375" style="1"/>
    <col min="8183" max="8183" width="8.140625" style="1" customWidth="1"/>
    <col min="8184" max="8184" width="22.5703125" style="1" customWidth="1"/>
    <col min="8185" max="8194" width="0" style="1" hidden="1" customWidth="1"/>
    <col min="8195" max="8204" width="10.85546875" style="1" customWidth="1"/>
    <col min="8205" max="8205" width="23.42578125" style="1" customWidth="1"/>
    <col min="8206" max="8206" width="5.85546875" style="1" customWidth="1"/>
    <col min="8207" max="8438" width="8.7109375" style="1"/>
    <col min="8439" max="8439" width="8.140625" style="1" customWidth="1"/>
    <col min="8440" max="8440" width="22.5703125" style="1" customWidth="1"/>
    <col min="8441" max="8450" width="0" style="1" hidden="1" customWidth="1"/>
    <col min="8451" max="8460" width="10.85546875" style="1" customWidth="1"/>
    <col min="8461" max="8461" width="23.42578125" style="1" customWidth="1"/>
    <col min="8462" max="8462" width="5.85546875" style="1" customWidth="1"/>
    <col min="8463" max="8694" width="8.7109375" style="1"/>
    <col min="8695" max="8695" width="8.140625" style="1" customWidth="1"/>
    <col min="8696" max="8696" width="22.5703125" style="1" customWidth="1"/>
    <col min="8697" max="8706" width="0" style="1" hidden="1" customWidth="1"/>
    <col min="8707" max="8716" width="10.85546875" style="1" customWidth="1"/>
    <col min="8717" max="8717" width="23.42578125" style="1" customWidth="1"/>
    <col min="8718" max="8718" width="5.85546875" style="1" customWidth="1"/>
    <col min="8719" max="8950" width="8.7109375" style="1"/>
    <col min="8951" max="8951" width="8.140625" style="1" customWidth="1"/>
    <col min="8952" max="8952" width="22.5703125" style="1" customWidth="1"/>
    <col min="8953" max="8962" width="0" style="1" hidden="1" customWidth="1"/>
    <col min="8963" max="8972" width="10.85546875" style="1" customWidth="1"/>
    <col min="8973" max="8973" width="23.42578125" style="1" customWidth="1"/>
    <col min="8974" max="8974" width="5.85546875" style="1" customWidth="1"/>
    <col min="8975" max="9206" width="8.7109375" style="1"/>
    <col min="9207" max="9207" width="8.140625" style="1" customWidth="1"/>
    <col min="9208" max="9208" width="22.5703125" style="1" customWidth="1"/>
    <col min="9209" max="9218" width="0" style="1" hidden="1" customWidth="1"/>
    <col min="9219" max="9228" width="10.85546875" style="1" customWidth="1"/>
    <col min="9229" max="9229" width="23.42578125" style="1" customWidth="1"/>
    <col min="9230" max="9230" width="5.85546875" style="1" customWidth="1"/>
    <col min="9231" max="9462" width="8.7109375" style="1"/>
    <col min="9463" max="9463" width="8.140625" style="1" customWidth="1"/>
    <col min="9464" max="9464" width="22.5703125" style="1" customWidth="1"/>
    <col min="9465" max="9474" width="0" style="1" hidden="1" customWidth="1"/>
    <col min="9475" max="9484" width="10.85546875" style="1" customWidth="1"/>
    <col min="9485" max="9485" width="23.42578125" style="1" customWidth="1"/>
    <col min="9486" max="9486" width="5.85546875" style="1" customWidth="1"/>
    <col min="9487" max="9718" width="8.7109375" style="1"/>
    <col min="9719" max="9719" width="8.140625" style="1" customWidth="1"/>
    <col min="9720" max="9720" width="22.5703125" style="1" customWidth="1"/>
    <col min="9721" max="9730" width="0" style="1" hidden="1" customWidth="1"/>
    <col min="9731" max="9740" width="10.85546875" style="1" customWidth="1"/>
    <col min="9741" max="9741" width="23.42578125" style="1" customWidth="1"/>
    <col min="9742" max="9742" width="5.85546875" style="1" customWidth="1"/>
    <col min="9743" max="9974" width="8.7109375" style="1"/>
    <col min="9975" max="9975" width="8.140625" style="1" customWidth="1"/>
    <col min="9976" max="9976" width="22.5703125" style="1" customWidth="1"/>
    <col min="9977" max="9986" width="0" style="1" hidden="1" customWidth="1"/>
    <col min="9987" max="9996" width="10.85546875" style="1" customWidth="1"/>
    <col min="9997" max="9997" width="23.42578125" style="1" customWidth="1"/>
    <col min="9998" max="9998" width="5.85546875" style="1" customWidth="1"/>
    <col min="9999" max="10230" width="8.7109375" style="1"/>
    <col min="10231" max="10231" width="8.140625" style="1" customWidth="1"/>
    <col min="10232" max="10232" width="22.5703125" style="1" customWidth="1"/>
    <col min="10233" max="10242" width="0" style="1" hidden="1" customWidth="1"/>
    <col min="10243" max="10252" width="10.85546875" style="1" customWidth="1"/>
    <col min="10253" max="10253" width="23.42578125" style="1" customWidth="1"/>
    <col min="10254" max="10254" width="5.85546875" style="1" customWidth="1"/>
    <col min="10255" max="10486" width="8.7109375" style="1"/>
    <col min="10487" max="10487" width="8.140625" style="1" customWidth="1"/>
    <col min="10488" max="10488" width="22.5703125" style="1" customWidth="1"/>
    <col min="10489" max="10498" width="0" style="1" hidden="1" customWidth="1"/>
    <col min="10499" max="10508" width="10.85546875" style="1" customWidth="1"/>
    <col min="10509" max="10509" width="23.42578125" style="1" customWidth="1"/>
    <col min="10510" max="10510" width="5.85546875" style="1" customWidth="1"/>
    <col min="10511" max="10742" width="8.7109375" style="1"/>
    <col min="10743" max="10743" width="8.140625" style="1" customWidth="1"/>
    <col min="10744" max="10744" width="22.5703125" style="1" customWidth="1"/>
    <col min="10745" max="10754" width="0" style="1" hidden="1" customWidth="1"/>
    <col min="10755" max="10764" width="10.85546875" style="1" customWidth="1"/>
    <col min="10765" max="10765" width="23.42578125" style="1" customWidth="1"/>
    <col min="10766" max="10766" width="5.85546875" style="1" customWidth="1"/>
    <col min="10767" max="10998" width="8.7109375" style="1"/>
    <col min="10999" max="10999" width="8.140625" style="1" customWidth="1"/>
    <col min="11000" max="11000" width="22.5703125" style="1" customWidth="1"/>
    <col min="11001" max="11010" width="0" style="1" hidden="1" customWidth="1"/>
    <col min="11011" max="11020" width="10.85546875" style="1" customWidth="1"/>
    <col min="11021" max="11021" width="23.42578125" style="1" customWidth="1"/>
    <col min="11022" max="11022" width="5.85546875" style="1" customWidth="1"/>
    <col min="11023" max="11254" width="8.7109375" style="1"/>
    <col min="11255" max="11255" width="8.140625" style="1" customWidth="1"/>
    <col min="11256" max="11256" width="22.5703125" style="1" customWidth="1"/>
    <col min="11257" max="11266" width="0" style="1" hidden="1" customWidth="1"/>
    <col min="11267" max="11276" width="10.85546875" style="1" customWidth="1"/>
    <col min="11277" max="11277" width="23.42578125" style="1" customWidth="1"/>
    <col min="11278" max="11278" width="5.85546875" style="1" customWidth="1"/>
    <col min="11279" max="11510" width="8.7109375" style="1"/>
    <col min="11511" max="11511" width="8.140625" style="1" customWidth="1"/>
    <col min="11512" max="11512" width="22.5703125" style="1" customWidth="1"/>
    <col min="11513" max="11522" width="0" style="1" hidden="1" customWidth="1"/>
    <col min="11523" max="11532" width="10.85546875" style="1" customWidth="1"/>
    <col min="11533" max="11533" width="23.42578125" style="1" customWidth="1"/>
    <col min="11534" max="11534" width="5.85546875" style="1" customWidth="1"/>
    <col min="11535" max="11766" width="8.7109375" style="1"/>
    <col min="11767" max="11767" width="8.140625" style="1" customWidth="1"/>
    <col min="11768" max="11768" width="22.5703125" style="1" customWidth="1"/>
    <col min="11769" max="11778" width="0" style="1" hidden="1" customWidth="1"/>
    <col min="11779" max="11788" width="10.85546875" style="1" customWidth="1"/>
    <col min="11789" max="11789" width="23.42578125" style="1" customWidth="1"/>
    <col min="11790" max="11790" width="5.85546875" style="1" customWidth="1"/>
    <col min="11791" max="12022" width="8.7109375" style="1"/>
    <col min="12023" max="12023" width="8.140625" style="1" customWidth="1"/>
    <col min="12024" max="12024" width="22.5703125" style="1" customWidth="1"/>
    <col min="12025" max="12034" width="0" style="1" hidden="1" customWidth="1"/>
    <col min="12035" max="12044" width="10.85546875" style="1" customWidth="1"/>
    <col min="12045" max="12045" width="23.42578125" style="1" customWidth="1"/>
    <col min="12046" max="12046" width="5.85546875" style="1" customWidth="1"/>
    <col min="12047" max="12278" width="8.7109375" style="1"/>
    <col min="12279" max="12279" width="8.140625" style="1" customWidth="1"/>
    <col min="12280" max="12280" width="22.5703125" style="1" customWidth="1"/>
    <col min="12281" max="12290" width="0" style="1" hidden="1" customWidth="1"/>
    <col min="12291" max="12300" width="10.85546875" style="1" customWidth="1"/>
    <col min="12301" max="12301" width="23.42578125" style="1" customWidth="1"/>
    <col min="12302" max="12302" width="5.85546875" style="1" customWidth="1"/>
    <col min="12303" max="12534" width="8.7109375" style="1"/>
    <col min="12535" max="12535" width="8.140625" style="1" customWidth="1"/>
    <col min="12536" max="12536" width="22.5703125" style="1" customWidth="1"/>
    <col min="12537" max="12546" width="0" style="1" hidden="1" customWidth="1"/>
    <col min="12547" max="12556" width="10.85546875" style="1" customWidth="1"/>
    <col min="12557" max="12557" width="23.42578125" style="1" customWidth="1"/>
    <col min="12558" max="12558" width="5.85546875" style="1" customWidth="1"/>
    <col min="12559" max="12790" width="8.7109375" style="1"/>
    <col min="12791" max="12791" width="8.140625" style="1" customWidth="1"/>
    <col min="12792" max="12792" width="22.5703125" style="1" customWidth="1"/>
    <col min="12793" max="12802" width="0" style="1" hidden="1" customWidth="1"/>
    <col min="12803" max="12812" width="10.85546875" style="1" customWidth="1"/>
    <col min="12813" max="12813" width="23.42578125" style="1" customWidth="1"/>
    <col min="12814" max="12814" width="5.85546875" style="1" customWidth="1"/>
    <col min="12815" max="13046" width="8.7109375" style="1"/>
    <col min="13047" max="13047" width="8.140625" style="1" customWidth="1"/>
    <col min="13048" max="13048" width="22.5703125" style="1" customWidth="1"/>
    <col min="13049" max="13058" width="0" style="1" hidden="1" customWidth="1"/>
    <col min="13059" max="13068" width="10.85546875" style="1" customWidth="1"/>
    <col min="13069" max="13069" width="23.42578125" style="1" customWidth="1"/>
    <col min="13070" max="13070" width="5.85546875" style="1" customWidth="1"/>
    <col min="13071" max="13302" width="8.7109375" style="1"/>
    <col min="13303" max="13303" width="8.140625" style="1" customWidth="1"/>
    <col min="13304" max="13304" width="22.5703125" style="1" customWidth="1"/>
    <col min="13305" max="13314" width="0" style="1" hidden="1" customWidth="1"/>
    <col min="13315" max="13324" width="10.85546875" style="1" customWidth="1"/>
    <col min="13325" max="13325" width="23.42578125" style="1" customWidth="1"/>
    <col min="13326" max="13326" width="5.85546875" style="1" customWidth="1"/>
    <col min="13327" max="13558" width="8.7109375" style="1"/>
    <col min="13559" max="13559" width="8.140625" style="1" customWidth="1"/>
    <col min="13560" max="13560" width="22.5703125" style="1" customWidth="1"/>
    <col min="13561" max="13570" width="0" style="1" hidden="1" customWidth="1"/>
    <col min="13571" max="13580" width="10.85546875" style="1" customWidth="1"/>
    <col min="13581" max="13581" width="23.42578125" style="1" customWidth="1"/>
    <col min="13582" max="13582" width="5.85546875" style="1" customWidth="1"/>
    <col min="13583" max="13814" width="8.7109375" style="1"/>
    <col min="13815" max="13815" width="8.140625" style="1" customWidth="1"/>
    <col min="13816" max="13816" width="22.5703125" style="1" customWidth="1"/>
    <col min="13817" max="13826" width="0" style="1" hidden="1" customWidth="1"/>
    <col min="13827" max="13836" width="10.85546875" style="1" customWidth="1"/>
    <col min="13837" max="13837" width="23.42578125" style="1" customWidth="1"/>
    <col min="13838" max="13838" width="5.85546875" style="1" customWidth="1"/>
    <col min="13839" max="14070" width="8.7109375" style="1"/>
    <col min="14071" max="14071" width="8.140625" style="1" customWidth="1"/>
    <col min="14072" max="14072" width="22.5703125" style="1" customWidth="1"/>
    <col min="14073" max="14082" width="0" style="1" hidden="1" customWidth="1"/>
    <col min="14083" max="14092" width="10.85546875" style="1" customWidth="1"/>
    <col min="14093" max="14093" width="23.42578125" style="1" customWidth="1"/>
    <col min="14094" max="14094" width="5.85546875" style="1" customWidth="1"/>
    <col min="14095" max="14326" width="8.7109375" style="1"/>
    <col min="14327" max="14327" width="8.140625" style="1" customWidth="1"/>
    <col min="14328" max="14328" width="22.5703125" style="1" customWidth="1"/>
    <col min="14329" max="14338" width="0" style="1" hidden="1" customWidth="1"/>
    <col min="14339" max="14348" width="10.85546875" style="1" customWidth="1"/>
    <col min="14349" max="14349" width="23.42578125" style="1" customWidth="1"/>
    <col min="14350" max="14350" width="5.85546875" style="1" customWidth="1"/>
    <col min="14351" max="14582" width="8.7109375" style="1"/>
    <col min="14583" max="14583" width="8.140625" style="1" customWidth="1"/>
    <col min="14584" max="14584" width="22.5703125" style="1" customWidth="1"/>
    <col min="14585" max="14594" width="0" style="1" hidden="1" customWidth="1"/>
    <col min="14595" max="14604" width="10.85546875" style="1" customWidth="1"/>
    <col min="14605" max="14605" width="23.42578125" style="1" customWidth="1"/>
    <col min="14606" max="14606" width="5.85546875" style="1" customWidth="1"/>
    <col min="14607" max="14838" width="8.7109375" style="1"/>
    <col min="14839" max="14839" width="8.140625" style="1" customWidth="1"/>
    <col min="14840" max="14840" width="22.5703125" style="1" customWidth="1"/>
    <col min="14841" max="14850" width="0" style="1" hidden="1" customWidth="1"/>
    <col min="14851" max="14860" width="10.85546875" style="1" customWidth="1"/>
    <col min="14861" max="14861" width="23.42578125" style="1" customWidth="1"/>
    <col min="14862" max="14862" width="5.85546875" style="1" customWidth="1"/>
    <col min="14863" max="15094" width="8.7109375" style="1"/>
    <col min="15095" max="15095" width="8.140625" style="1" customWidth="1"/>
    <col min="15096" max="15096" width="22.5703125" style="1" customWidth="1"/>
    <col min="15097" max="15106" width="0" style="1" hidden="1" customWidth="1"/>
    <col min="15107" max="15116" width="10.85546875" style="1" customWidth="1"/>
    <col min="15117" max="15117" width="23.42578125" style="1" customWidth="1"/>
    <col min="15118" max="15118" width="5.85546875" style="1" customWidth="1"/>
    <col min="15119" max="15350" width="8.7109375" style="1"/>
    <col min="15351" max="15351" width="8.140625" style="1" customWidth="1"/>
    <col min="15352" max="15352" width="22.5703125" style="1" customWidth="1"/>
    <col min="15353" max="15362" width="0" style="1" hidden="1" customWidth="1"/>
    <col min="15363" max="15372" width="10.85546875" style="1" customWidth="1"/>
    <col min="15373" max="15373" width="23.42578125" style="1" customWidth="1"/>
    <col min="15374" max="15374" width="5.85546875" style="1" customWidth="1"/>
    <col min="15375" max="15606" width="8.7109375" style="1"/>
    <col min="15607" max="15607" width="8.140625" style="1" customWidth="1"/>
    <col min="15608" max="15608" width="22.5703125" style="1" customWidth="1"/>
    <col min="15609" max="15618" width="0" style="1" hidden="1" customWidth="1"/>
    <col min="15619" max="15628" width="10.85546875" style="1" customWidth="1"/>
    <col min="15629" max="15629" width="23.42578125" style="1" customWidth="1"/>
    <col min="15630" max="15630" width="5.85546875" style="1" customWidth="1"/>
    <col min="15631" max="15862" width="8.7109375" style="1"/>
    <col min="15863" max="15863" width="8.140625" style="1" customWidth="1"/>
    <col min="15864" max="15864" width="22.5703125" style="1" customWidth="1"/>
    <col min="15865" max="15874" width="0" style="1" hidden="1" customWidth="1"/>
    <col min="15875" max="15884" width="10.85546875" style="1" customWidth="1"/>
    <col min="15885" max="15885" width="23.42578125" style="1" customWidth="1"/>
    <col min="15886" max="15886" width="5.85546875" style="1" customWidth="1"/>
    <col min="15887" max="16118" width="8.7109375" style="1"/>
    <col min="16119" max="16119" width="8.140625" style="1" customWidth="1"/>
    <col min="16120" max="16120" width="22.5703125" style="1" customWidth="1"/>
    <col min="16121" max="16130" width="0" style="1" hidden="1" customWidth="1"/>
    <col min="16131" max="16140" width="10.85546875" style="1" customWidth="1"/>
    <col min="16141" max="16141" width="23.42578125" style="1" customWidth="1"/>
    <col min="16142" max="16142" width="5.85546875" style="1" customWidth="1"/>
    <col min="16143" max="16384" width="8.7109375" style="1"/>
  </cols>
  <sheetData>
    <row r="1" spans="1:16" ht="21">
      <c r="A1" s="40" t="s">
        <v>69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</row>
    <row r="2" spans="1:16">
      <c r="A2" s="41" t="s">
        <v>70</v>
      </c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</row>
    <row r="3" spans="1:16" ht="15" customHeight="1">
      <c r="A3" s="39" t="s">
        <v>37</v>
      </c>
      <c r="B3" s="43" t="s">
        <v>47</v>
      </c>
      <c r="C3" s="54" t="s">
        <v>48</v>
      </c>
      <c r="D3" s="55" t="s">
        <v>38</v>
      </c>
      <c r="E3" s="57" t="s">
        <v>43</v>
      </c>
      <c r="F3" s="57"/>
      <c r="G3" s="58" t="s">
        <v>44</v>
      </c>
      <c r="H3" s="59"/>
      <c r="I3" s="58" t="s">
        <v>45</v>
      </c>
      <c r="J3" s="59"/>
      <c r="K3" s="57" t="s">
        <v>46</v>
      </c>
      <c r="L3" s="57"/>
      <c r="M3" s="46" t="s">
        <v>49</v>
      </c>
      <c r="N3" s="49" t="s">
        <v>50</v>
      </c>
      <c r="O3" s="49"/>
    </row>
    <row r="4" spans="1:16" ht="18.75" customHeight="1">
      <c r="A4" s="39"/>
      <c r="B4" s="44"/>
      <c r="C4" s="51"/>
      <c r="D4" s="56"/>
      <c r="E4" s="51" t="s">
        <v>51</v>
      </c>
      <c r="F4" s="51"/>
      <c r="G4" s="52" t="s">
        <v>52</v>
      </c>
      <c r="H4" s="53"/>
      <c r="I4" s="52" t="s">
        <v>53</v>
      </c>
      <c r="J4" s="53"/>
      <c r="K4" s="60" t="s">
        <v>54</v>
      </c>
      <c r="L4" s="60"/>
      <c r="M4" s="47"/>
      <c r="N4" s="49"/>
      <c r="O4" s="49"/>
    </row>
    <row r="5" spans="1:16" ht="18.75">
      <c r="A5" s="39"/>
      <c r="B5" s="44"/>
      <c r="C5" s="28" t="s">
        <v>39</v>
      </c>
      <c r="D5" s="29" t="s">
        <v>40</v>
      </c>
      <c r="E5" s="30" t="s">
        <v>39</v>
      </c>
      <c r="F5" s="30" t="s">
        <v>40</v>
      </c>
      <c r="G5" s="31" t="s">
        <v>39</v>
      </c>
      <c r="H5" s="29" t="s">
        <v>40</v>
      </c>
      <c r="I5" s="31" t="s">
        <v>39</v>
      </c>
      <c r="J5" s="29" t="s">
        <v>40</v>
      </c>
      <c r="K5" s="30" t="s">
        <v>39</v>
      </c>
      <c r="L5" s="30" t="s">
        <v>40</v>
      </c>
      <c r="M5" s="47"/>
      <c r="N5" s="49"/>
      <c r="O5" s="49"/>
    </row>
    <row r="6" spans="1:16">
      <c r="A6" s="42"/>
      <c r="B6" s="45"/>
      <c r="C6" s="4" t="s">
        <v>0</v>
      </c>
      <c r="D6" s="5" t="s">
        <v>1</v>
      </c>
      <c r="E6" s="4" t="s">
        <v>0</v>
      </c>
      <c r="F6" s="4" t="s">
        <v>1</v>
      </c>
      <c r="G6" s="6" t="s">
        <v>0</v>
      </c>
      <c r="H6" s="5" t="s">
        <v>1</v>
      </c>
      <c r="I6" s="6" t="s">
        <v>0</v>
      </c>
      <c r="J6" s="5" t="s">
        <v>1</v>
      </c>
      <c r="K6" s="4" t="s">
        <v>0</v>
      </c>
      <c r="L6" s="4" t="s">
        <v>1</v>
      </c>
      <c r="M6" s="48"/>
      <c r="N6" s="50"/>
      <c r="O6" s="49"/>
    </row>
    <row r="7" spans="1:16" ht="18.75">
      <c r="A7" s="62" t="s">
        <v>2</v>
      </c>
      <c r="B7" s="62"/>
      <c r="C7" s="32">
        <f t="shared" ref="C7:D22" si="0">E7+G7+I7+K7</f>
        <v>4998</v>
      </c>
      <c r="D7" s="7">
        <f t="shared" si="0"/>
        <v>4998</v>
      </c>
      <c r="E7" s="8">
        <f>E8+E9+E10</f>
        <v>2760</v>
      </c>
      <c r="F7" s="8">
        <f t="shared" ref="F7:L7" si="1">F8+F9+F10</f>
        <v>2583</v>
      </c>
      <c r="G7" s="9">
        <f t="shared" si="1"/>
        <v>1151</v>
      </c>
      <c r="H7" s="10">
        <f t="shared" si="1"/>
        <v>1254</v>
      </c>
      <c r="I7" s="9">
        <f t="shared" si="1"/>
        <v>549</v>
      </c>
      <c r="J7" s="10">
        <f t="shared" si="1"/>
        <v>628</v>
      </c>
      <c r="K7" s="8">
        <f t="shared" si="1"/>
        <v>538</v>
      </c>
      <c r="L7" s="8">
        <f t="shared" si="1"/>
        <v>533</v>
      </c>
      <c r="M7" s="63" t="s">
        <v>38</v>
      </c>
      <c r="N7" s="63"/>
      <c r="O7" s="11"/>
      <c r="P7" s="11"/>
    </row>
    <row r="8" spans="1:16" ht="18.75">
      <c r="A8" s="12" t="s">
        <v>36</v>
      </c>
      <c r="B8" s="33" t="s">
        <v>55</v>
      </c>
      <c r="C8" s="32">
        <f t="shared" si="0"/>
        <v>1995</v>
      </c>
      <c r="D8" s="7">
        <f t="shared" si="0"/>
        <v>1995</v>
      </c>
      <c r="E8" s="35">
        <v>1215</v>
      </c>
      <c r="F8" s="35">
        <v>1165</v>
      </c>
      <c r="G8" s="13">
        <v>416</v>
      </c>
      <c r="H8" s="14">
        <v>424</v>
      </c>
      <c r="I8" s="13">
        <v>181</v>
      </c>
      <c r="J8" s="14">
        <v>219</v>
      </c>
      <c r="K8" s="35">
        <v>183</v>
      </c>
      <c r="L8" s="35">
        <v>187</v>
      </c>
      <c r="M8" s="34" t="s">
        <v>56</v>
      </c>
      <c r="N8" s="34" t="s">
        <v>57</v>
      </c>
    </row>
    <row r="9" spans="1:16" ht="18.75">
      <c r="A9" s="12" t="s">
        <v>37</v>
      </c>
      <c r="B9" s="33" t="s">
        <v>58</v>
      </c>
      <c r="C9" s="32">
        <f>SUM(C11:C30)</f>
        <v>2766</v>
      </c>
      <c r="D9" s="7">
        <f t="shared" ref="D9:L9" si="2">SUM(D11:D30)</f>
        <v>2766</v>
      </c>
      <c r="E9" s="35">
        <f t="shared" si="2"/>
        <v>1438</v>
      </c>
      <c r="F9" s="35">
        <f t="shared" si="2"/>
        <v>1318</v>
      </c>
      <c r="G9" s="13">
        <f t="shared" si="2"/>
        <v>681</v>
      </c>
      <c r="H9" s="14">
        <f t="shared" si="2"/>
        <v>753</v>
      </c>
      <c r="I9" s="13">
        <f t="shared" si="2"/>
        <v>328</v>
      </c>
      <c r="J9" s="14">
        <f t="shared" si="2"/>
        <v>371</v>
      </c>
      <c r="K9" s="35">
        <f t="shared" si="2"/>
        <v>319</v>
      </c>
      <c r="L9" s="35">
        <f t="shared" si="2"/>
        <v>324</v>
      </c>
      <c r="M9" s="34" t="s">
        <v>59</v>
      </c>
      <c r="N9" s="34" t="s">
        <v>50</v>
      </c>
    </row>
    <row r="10" spans="1:16" ht="18.75">
      <c r="A10" s="12" t="s">
        <v>36</v>
      </c>
      <c r="B10" s="33" t="s">
        <v>60</v>
      </c>
      <c r="C10" s="32">
        <f t="shared" si="0"/>
        <v>237</v>
      </c>
      <c r="D10" s="7">
        <f t="shared" si="0"/>
        <v>237</v>
      </c>
      <c r="E10" s="35">
        <v>107</v>
      </c>
      <c r="F10" s="35">
        <v>100</v>
      </c>
      <c r="G10" s="13">
        <v>54</v>
      </c>
      <c r="H10" s="14">
        <v>77</v>
      </c>
      <c r="I10" s="13">
        <v>40</v>
      </c>
      <c r="J10" s="14">
        <v>38</v>
      </c>
      <c r="K10" s="35">
        <v>36</v>
      </c>
      <c r="L10" s="35">
        <v>22</v>
      </c>
      <c r="M10" s="34" t="s">
        <v>61</v>
      </c>
      <c r="N10" s="34" t="s">
        <v>57</v>
      </c>
    </row>
    <row r="11" spans="1:16" ht="15.75">
      <c r="A11" s="61" t="s">
        <v>3</v>
      </c>
      <c r="B11" s="61"/>
      <c r="C11" s="32">
        <f t="shared" si="0"/>
        <v>134</v>
      </c>
      <c r="D11" s="7">
        <f t="shared" si="0"/>
        <v>134</v>
      </c>
      <c r="E11" s="37">
        <v>81</v>
      </c>
      <c r="F11" s="37">
        <v>76</v>
      </c>
      <c r="G11" s="15">
        <v>24</v>
      </c>
      <c r="H11" s="16">
        <v>32</v>
      </c>
      <c r="I11" s="15">
        <v>15</v>
      </c>
      <c r="J11" s="16">
        <v>16</v>
      </c>
      <c r="K11" s="37">
        <v>14</v>
      </c>
      <c r="L11" s="37">
        <v>10</v>
      </c>
      <c r="M11" s="36" t="s">
        <v>62</v>
      </c>
      <c r="N11" s="17"/>
    </row>
    <row r="12" spans="1:16" ht="15.75">
      <c r="A12" s="61" t="s">
        <v>4</v>
      </c>
      <c r="B12" s="61"/>
      <c r="C12" s="32">
        <f t="shared" si="0"/>
        <v>271</v>
      </c>
      <c r="D12" s="7">
        <f t="shared" si="0"/>
        <v>271</v>
      </c>
      <c r="E12" s="38">
        <v>147</v>
      </c>
      <c r="F12" s="38">
        <v>138</v>
      </c>
      <c r="G12" s="18">
        <v>76</v>
      </c>
      <c r="H12" s="19">
        <v>81</v>
      </c>
      <c r="I12" s="18">
        <v>26</v>
      </c>
      <c r="J12" s="19">
        <v>35</v>
      </c>
      <c r="K12" s="38">
        <v>22</v>
      </c>
      <c r="L12" s="38">
        <v>17</v>
      </c>
      <c r="M12" s="36" t="s">
        <v>5</v>
      </c>
      <c r="N12" s="17"/>
    </row>
    <row r="13" spans="1:16" ht="15.75">
      <c r="A13" s="61" t="s">
        <v>6</v>
      </c>
      <c r="B13" s="61"/>
      <c r="C13" s="32">
        <f t="shared" si="0"/>
        <v>158</v>
      </c>
      <c r="D13" s="7">
        <f t="shared" si="0"/>
        <v>158</v>
      </c>
      <c r="E13" s="38">
        <v>92</v>
      </c>
      <c r="F13" s="38">
        <v>92</v>
      </c>
      <c r="G13" s="18">
        <v>35</v>
      </c>
      <c r="H13" s="19">
        <v>40</v>
      </c>
      <c r="I13" s="18">
        <v>20</v>
      </c>
      <c r="J13" s="19">
        <v>14</v>
      </c>
      <c r="K13" s="38">
        <v>11</v>
      </c>
      <c r="L13" s="38">
        <v>12</v>
      </c>
      <c r="M13" s="36" t="s">
        <v>7</v>
      </c>
      <c r="N13" s="17"/>
    </row>
    <row r="14" spans="1:16" ht="15.75">
      <c r="A14" s="61" t="s">
        <v>8</v>
      </c>
      <c r="B14" s="61"/>
      <c r="C14" s="32">
        <f t="shared" si="0"/>
        <v>127</v>
      </c>
      <c r="D14" s="7">
        <f t="shared" si="0"/>
        <v>127</v>
      </c>
      <c r="E14" s="38">
        <v>63</v>
      </c>
      <c r="F14" s="38">
        <v>57</v>
      </c>
      <c r="G14" s="18">
        <v>26</v>
      </c>
      <c r="H14" s="19">
        <v>36</v>
      </c>
      <c r="I14" s="18">
        <v>19</v>
      </c>
      <c r="J14" s="19">
        <v>20</v>
      </c>
      <c r="K14" s="38">
        <v>19</v>
      </c>
      <c r="L14" s="38">
        <v>14</v>
      </c>
      <c r="M14" s="36" t="s">
        <v>9</v>
      </c>
      <c r="N14" s="17"/>
    </row>
    <row r="15" spans="1:16" ht="15.75">
      <c r="A15" s="61" t="s">
        <v>10</v>
      </c>
      <c r="B15" s="61"/>
      <c r="C15" s="32">
        <f t="shared" si="0"/>
        <v>198</v>
      </c>
      <c r="D15" s="7">
        <f t="shared" si="0"/>
        <v>198</v>
      </c>
      <c r="E15" s="38">
        <v>114</v>
      </c>
      <c r="F15" s="38">
        <v>109</v>
      </c>
      <c r="G15" s="18">
        <v>40</v>
      </c>
      <c r="H15" s="19">
        <v>55</v>
      </c>
      <c r="I15" s="18">
        <v>28</v>
      </c>
      <c r="J15" s="19">
        <v>17</v>
      </c>
      <c r="K15" s="38">
        <v>16</v>
      </c>
      <c r="L15" s="38">
        <v>17</v>
      </c>
      <c r="M15" s="36" t="s">
        <v>11</v>
      </c>
      <c r="N15" s="17"/>
    </row>
    <row r="16" spans="1:16" ht="15.75">
      <c r="A16" s="61" t="s">
        <v>63</v>
      </c>
      <c r="B16" s="61"/>
      <c r="C16" s="32">
        <f t="shared" si="0"/>
        <v>100</v>
      </c>
      <c r="D16" s="7">
        <f t="shared" si="0"/>
        <v>100</v>
      </c>
      <c r="E16" s="38">
        <v>57</v>
      </c>
      <c r="F16" s="38">
        <v>48</v>
      </c>
      <c r="G16" s="18">
        <v>22</v>
      </c>
      <c r="H16" s="19">
        <v>32</v>
      </c>
      <c r="I16" s="18">
        <v>12</v>
      </c>
      <c r="J16" s="19">
        <v>12</v>
      </c>
      <c r="K16" s="38">
        <v>9</v>
      </c>
      <c r="L16" s="38">
        <v>8</v>
      </c>
      <c r="M16" s="36" t="s">
        <v>12</v>
      </c>
      <c r="N16" s="17"/>
    </row>
    <row r="17" spans="1:14" ht="15.75">
      <c r="A17" s="61" t="s">
        <v>64</v>
      </c>
      <c r="B17" s="61"/>
      <c r="C17" s="32">
        <f t="shared" si="0"/>
        <v>106</v>
      </c>
      <c r="D17" s="7">
        <f t="shared" si="0"/>
        <v>106</v>
      </c>
      <c r="E17" s="38">
        <v>53</v>
      </c>
      <c r="F17" s="38">
        <v>51</v>
      </c>
      <c r="G17" s="18">
        <v>25</v>
      </c>
      <c r="H17" s="19">
        <v>29</v>
      </c>
      <c r="I17" s="18">
        <v>15</v>
      </c>
      <c r="J17" s="19">
        <v>18</v>
      </c>
      <c r="K17" s="38">
        <v>13</v>
      </c>
      <c r="L17" s="38">
        <v>8</v>
      </c>
      <c r="M17" s="36" t="s">
        <v>13</v>
      </c>
      <c r="N17" s="17"/>
    </row>
    <row r="18" spans="1:14" ht="15.75">
      <c r="A18" s="61" t="s">
        <v>65</v>
      </c>
      <c r="B18" s="61"/>
      <c r="C18" s="32">
        <f t="shared" si="0"/>
        <v>178</v>
      </c>
      <c r="D18" s="7">
        <f t="shared" si="0"/>
        <v>178</v>
      </c>
      <c r="E18" s="38">
        <v>97</v>
      </c>
      <c r="F18" s="38">
        <v>90</v>
      </c>
      <c r="G18" s="18">
        <v>44</v>
      </c>
      <c r="H18" s="19">
        <v>49</v>
      </c>
      <c r="I18" s="18">
        <v>18</v>
      </c>
      <c r="J18" s="19">
        <v>22</v>
      </c>
      <c r="K18" s="38">
        <v>19</v>
      </c>
      <c r="L18" s="38">
        <v>17</v>
      </c>
      <c r="M18" s="36" t="s">
        <v>14</v>
      </c>
      <c r="N18" s="17"/>
    </row>
    <row r="19" spans="1:14" ht="15.75">
      <c r="A19" s="61" t="s">
        <v>15</v>
      </c>
      <c r="B19" s="61"/>
      <c r="C19" s="32">
        <f t="shared" si="0"/>
        <v>94</v>
      </c>
      <c r="D19" s="7">
        <f t="shared" si="0"/>
        <v>94</v>
      </c>
      <c r="E19" s="38">
        <v>38</v>
      </c>
      <c r="F19" s="38">
        <v>36</v>
      </c>
      <c r="G19" s="18">
        <v>31</v>
      </c>
      <c r="H19" s="19">
        <v>25</v>
      </c>
      <c r="I19" s="18">
        <v>11</v>
      </c>
      <c r="J19" s="19">
        <v>15</v>
      </c>
      <c r="K19" s="38">
        <v>14</v>
      </c>
      <c r="L19" s="38">
        <v>18</v>
      </c>
      <c r="M19" s="36" t="s">
        <v>16</v>
      </c>
      <c r="N19" s="17"/>
    </row>
    <row r="20" spans="1:14" ht="15.75">
      <c r="A20" s="61" t="s">
        <v>17</v>
      </c>
      <c r="B20" s="61"/>
      <c r="C20" s="32">
        <f t="shared" si="0"/>
        <v>111</v>
      </c>
      <c r="D20" s="7">
        <f t="shared" si="0"/>
        <v>111</v>
      </c>
      <c r="E20" s="38">
        <v>56</v>
      </c>
      <c r="F20" s="38">
        <v>56</v>
      </c>
      <c r="G20" s="18">
        <v>25</v>
      </c>
      <c r="H20" s="19">
        <v>29</v>
      </c>
      <c r="I20" s="18">
        <v>17</v>
      </c>
      <c r="J20" s="19">
        <v>13</v>
      </c>
      <c r="K20" s="38">
        <v>13</v>
      </c>
      <c r="L20" s="38">
        <v>13</v>
      </c>
      <c r="M20" s="36" t="s">
        <v>18</v>
      </c>
      <c r="N20" s="17"/>
    </row>
    <row r="21" spans="1:14" ht="15.75">
      <c r="A21" s="61" t="s">
        <v>19</v>
      </c>
      <c r="B21" s="61"/>
      <c r="C21" s="32">
        <f t="shared" si="0"/>
        <v>13</v>
      </c>
      <c r="D21" s="7">
        <f t="shared" si="0"/>
        <v>13</v>
      </c>
      <c r="E21" s="38">
        <v>4</v>
      </c>
      <c r="F21" s="38">
        <v>1</v>
      </c>
      <c r="G21" s="18">
        <v>4</v>
      </c>
      <c r="H21" s="19">
        <v>4</v>
      </c>
      <c r="I21" s="18">
        <v>3</v>
      </c>
      <c r="J21" s="19">
        <v>7</v>
      </c>
      <c r="K21" s="38">
        <v>2</v>
      </c>
      <c r="L21" s="38">
        <v>1</v>
      </c>
      <c r="M21" s="36" t="s">
        <v>20</v>
      </c>
      <c r="N21" s="17"/>
    </row>
    <row r="22" spans="1:14" ht="15.75">
      <c r="A22" s="61" t="s">
        <v>21</v>
      </c>
      <c r="B22" s="61"/>
      <c r="C22" s="32">
        <f t="shared" si="0"/>
        <v>55</v>
      </c>
      <c r="D22" s="7">
        <f t="shared" si="0"/>
        <v>55</v>
      </c>
      <c r="E22" s="38">
        <v>26</v>
      </c>
      <c r="F22" s="38">
        <v>23</v>
      </c>
      <c r="G22" s="18">
        <v>17</v>
      </c>
      <c r="H22" s="19">
        <v>18</v>
      </c>
      <c r="I22" s="18">
        <v>7</v>
      </c>
      <c r="J22" s="19">
        <v>7</v>
      </c>
      <c r="K22" s="38">
        <v>5</v>
      </c>
      <c r="L22" s="38">
        <v>7</v>
      </c>
      <c r="M22" s="36" t="s">
        <v>22</v>
      </c>
      <c r="N22" s="17"/>
    </row>
    <row r="23" spans="1:14" ht="15.75">
      <c r="A23" s="61" t="s">
        <v>66</v>
      </c>
      <c r="B23" s="61"/>
      <c r="C23" s="32">
        <f t="shared" ref="C23:D30" si="3">E23+G23+I23+K23</f>
        <v>52</v>
      </c>
      <c r="D23" s="7">
        <f t="shared" si="3"/>
        <v>52</v>
      </c>
      <c r="E23" s="38">
        <v>26</v>
      </c>
      <c r="F23" s="38">
        <v>23</v>
      </c>
      <c r="G23" s="18">
        <v>11</v>
      </c>
      <c r="H23" s="19">
        <v>16</v>
      </c>
      <c r="I23" s="18">
        <v>7</v>
      </c>
      <c r="J23" s="19">
        <v>6</v>
      </c>
      <c r="K23" s="38">
        <v>8</v>
      </c>
      <c r="L23" s="38">
        <v>7</v>
      </c>
      <c r="M23" s="36" t="s">
        <v>23</v>
      </c>
      <c r="N23" s="17"/>
    </row>
    <row r="24" spans="1:14" ht="15.75">
      <c r="A24" s="61" t="s">
        <v>24</v>
      </c>
      <c r="B24" s="61"/>
      <c r="C24" s="32">
        <f t="shared" si="3"/>
        <v>67</v>
      </c>
      <c r="D24" s="7">
        <f t="shared" si="3"/>
        <v>67</v>
      </c>
      <c r="E24" s="38">
        <v>40</v>
      </c>
      <c r="F24" s="38">
        <v>37</v>
      </c>
      <c r="G24" s="18">
        <v>18</v>
      </c>
      <c r="H24" s="19">
        <v>17</v>
      </c>
      <c r="I24" s="18">
        <v>7</v>
      </c>
      <c r="J24" s="19">
        <v>9</v>
      </c>
      <c r="K24" s="38">
        <v>2</v>
      </c>
      <c r="L24" s="38">
        <v>4</v>
      </c>
      <c r="M24" s="36" t="s">
        <v>25</v>
      </c>
      <c r="N24" s="17"/>
    </row>
    <row r="25" spans="1:14" ht="15.75">
      <c r="A25" s="61" t="s">
        <v>26</v>
      </c>
      <c r="B25" s="61"/>
      <c r="C25" s="32">
        <f t="shared" si="3"/>
        <v>137</v>
      </c>
      <c r="D25" s="7">
        <f t="shared" si="3"/>
        <v>137</v>
      </c>
      <c r="E25" s="38">
        <v>76</v>
      </c>
      <c r="F25" s="38">
        <v>60</v>
      </c>
      <c r="G25" s="18">
        <v>29</v>
      </c>
      <c r="H25" s="19">
        <v>33</v>
      </c>
      <c r="I25" s="18">
        <v>14</v>
      </c>
      <c r="J25" s="19">
        <v>23</v>
      </c>
      <c r="K25" s="38">
        <v>18</v>
      </c>
      <c r="L25" s="38">
        <v>21</v>
      </c>
      <c r="M25" s="36" t="s">
        <v>27</v>
      </c>
      <c r="N25" s="17"/>
    </row>
    <row r="26" spans="1:14" ht="15.75">
      <c r="A26" s="61" t="s">
        <v>28</v>
      </c>
      <c r="B26" s="61"/>
      <c r="C26" s="32">
        <f t="shared" si="3"/>
        <v>214</v>
      </c>
      <c r="D26" s="7">
        <f t="shared" si="3"/>
        <v>214</v>
      </c>
      <c r="E26" s="38">
        <v>93</v>
      </c>
      <c r="F26" s="38">
        <v>84</v>
      </c>
      <c r="G26" s="18">
        <v>55</v>
      </c>
      <c r="H26" s="19">
        <v>55</v>
      </c>
      <c r="I26" s="18">
        <v>25</v>
      </c>
      <c r="J26" s="19">
        <v>25</v>
      </c>
      <c r="K26" s="38">
        <v>41</v>
      </c>
      <c r="L26" s="38">
        <v>50</v>
      </c>
      <c r="M26" s="36" t="s">
        <v>29</v>
      </c>
      <c r="N26" s="17"/>
    </row>
    <row r="27" spans="1:14" ht="15.75">
      <c r="A27" s="61" t="s">
        <v>30</v>
      </c>
      <c r="B27" s="61"/>
      <c r="C27" s="32">
        <f t="shared" si="3"/>
        <v>135</v>
      </c>
      <c r="D27" s="7">
        <f t="shared" si="3"/>
        <v>135</v>
      </c>
      <c r="E27" s="38">
        <v>59</v>
      </c>
      <c r="F27" s="38">
        <v>59</v>
      </c>
      <c r="G27" s="18">
        <v>43</v>
      </c>
      <c r="H27" s="19">
        <v>32</v>
      </c>
      <c r="I27" s="18">
        <v>21</v>
      </c>
      <c r="J27" s="19">
        <v>17</v>
      </c>
      <c r="K27" s="38">
        <v>12</v>
      </c>
      <c r="L27" s="38">
        <v>27</v>
      </c>
      <c r="M27" s="36" t="s">
        <v>31</v>
      </c>
      <c r="N27" s="17"/>
    </row>
    <row r="28" spans="1:14" ht="15.75">
      <c r="A28" s="61" t="s">
        <v>32</v>
      </c>
      <c r="B28" s="61"/>
      <c r="C28" s="32">
        <f t="shared" si="3"/>
        <v>177</v>
      </c>
      <c r="D28" s="7">
        <f t="shared" si="3"/>
        <v>177</v>
      </c>
      <c r="E28" s="38">
        <v>93</v>
      </c>
      <c r="F28" s="38">
        <v>79</v>
      </c>
      <c r="G28" s="18">
        <v>43</v>
      </c>
      <c r="H28" s="19">
        <v>51</v>
      </c>
      <c r="I28" s="18">
        <v>17</v>
      </c>
      <c r="J28" s="19">
        <v>23</v>
      </c>
      <c r="K28" s="38">
        <v>24</v>
      </c>
      <c r="L28" s="38">
        <v>24</v>
      </c>
      <c r="M28" s="36" t="s">
        <v>33</v>
      </c>
      <c r="N28" s="17"/>
    </row>
    <row r="29" spans="1:14" ht="15.75">
      <c r="A29" s="61" t="s">
        <v>34</v>
      </c>
      <c r="B29" s="61"/>
      <c r="C29" s="32">
        <f t="shared" si="3"/>
        <v>138</v>
      </c>
      <c r="D29" s="7">
        <f t="shared" si="3"/>
        <v>138</v>
      </c>
      <c r="E29" s="38">
        <v>79</v>
      </c>
      <c r="F29" s="38">
        <v>69</v>
      </c>
      <c r="G29" s="18">
        <v>34</v>
      </c>
      <c r="H29" s="19">
        <v>35</v>
      </c>
      <c r="I29" s="18">
        <v>11</v>
      </c>
      <c r="J29" s="19">
        <v>24</v>
      </c>
      <c r="K29" s="38">
        <v>14</v>
      </c>
      <c r="L29" s="38">
        <v>10</v>
      </c>
      <c r="M29" s="36" t="s">
        <v>35</v>
      </c>
      <c r="N29" s="17"/>
    </row>
    <row r="30" spans="1:14" ht="15.75">
      <c r="A30" s="64" t="s">
        <v>67</v>
      </c>
      <c r="B30" s="64"/>
      <c r="C30" s="26">
        <f t="shared" si="3"/>
        <v>301</v>
      </c>
      <c r="D30" s="20">
        <f t="shared" si="3"/>
        <v>301</v>
      </c>
      <c r="E30" s="21">
        <v>144</v>
      </c>
      <c r="F30" s="21">
        <v>130</v>
      </c>
      <c r="G30" s="22">
        <v>79</v>
      </c>
      <c r="H30" s="23">
        <v>84</v>
      </c>
      <c r="I30" s="22">
        <v>35</v>
      </c>
      <c r="J30" s="23">
        <v>48</v>
      </c>
      <c r="K30" s="21">
        <v>43</v>
      </c>
      <c r="L30" s="21">
        <v>39</v>
      </c>
      <c r="M30" s="27" t="s">
        <v>68</v>
      </c>
      <c r="N30" s="24"/>
    </row>
    <row r="31" spans="1:14" ht="18">
      <c r="A31" s="25" t="s">
        <v>41</v>
      </c>
      <c r="M31" s="3"/>
      <c r="N31" s="2" t="s">
        <v>42</v>
      </c>
    </row>
  </sheetData>
  <mergeCells count="39">
    <mergeCell ref="A27:B27"/>
    <mergeCell ref="A28:B28"/>
    <mergeCell ref="A29:B29"/>
    <mergeCell ref="A30:B30"/>
    <mergeCell ref="A21:B21"/>
    <mergeCell ref="A22:B22"/>
    <mergeCell ref="A23:B23"/>
    <mergeCell ref="A24:B24"/>
    <mergeCell ref="A25:B25"/>
    <mergeCell ref="A26:B26"/>
    <mergeCell ref="A20:B20"/>
    <mergeCell ref="A7:B7"/>
    <mergeCell ref="M7:N7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O3:O6"/>
    <mergeCell ref="E4:F4"/>
    <mergeCell ref="G4:H4"/>
    <mergeCell ref="I4:J4"/>
    <mergeCell ref="C3:C4"/>
    <mergeCell ref="D3:D4"/>
    <mergeCell ref="E3:F3"/>
    <mergeCell ref="G3:H3"/>
    <mergeCell ref="I3:J3"/>
    <mergeCell ref="K3:L3"/>
    <mergeCell ref="K4:L4"/>
    <mergeCell ref="A1:N1"/>
    <mergeCell ref="A2:N2"/>
    <mergeCell ref="A3:A6"/>
    <mergeCell ref="B3:B6"/>
    <mergeCell ref="M3:M6"/>
    <mergeCell ref="N3:N6"/>
  </mergeCells>
  <pageMargins left="0.7" right="0.7" top="0.75" bottom="0.75" header="0.3" footer="0.3"/>
  <pageSetup scale="51" orientation="portrait" horizontalDpi="0" verticalDpi="0" r:id="rId1"/>
  <colBreaks count="1" manualBreakCount="1">
    <brk id="15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3.22</vt:lpstr>
      <vt:lpstr>'3.22'!Print_Area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mohamed</cp:lastModifiedBy>
  <cp:lastPrinted>2021-07-11T06:53:53Z</cp:lastPrinted>
  <dcterms:created xsi:type="dcterms:W3CDTF">2019-07-22T06:02:33Z</dcterms:created>
  <dcterms:modified xsi:type="dcterms:W3CDTF">2021-07-11T06:54:27Z</dcterms:modified>
</cp:coreProperties>
</file>