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/>
  <mc:AlternateContent xmlns:mc="http://schemas.openxmlformats.org/markup-compatibility/2006">
    <mc:Choice Requires="x15">
      <x15ac:absPath xmlns:x15ac="http://schemas.microsoft.com/office/spreadsheetml/2010/11/ac" url="E:\April 2021\YEARBOOK 2021_ Work from Home\CHECKING\CHECKED\web\3.Population\"/>
    </mc:Choice>
  </mc:AlternateContent>
  <xr:revisionPtr revIDLastSave="0" documentId="13_ncr:1_{11B4D95E-594A-4478-B528-0A231D976ECC}" xr6:coauthVersionLast="47" xr6:coauthVersionMax="47" xr10:uidLastSave="{00000000-0000-0000-0000-000000000000}"/>
  <bookViews>
    <workbookView xWindow="-110" yWindow="-110" windowWidth="19420" windowHeight="10420" tabRatio="841" xr2:uid="{00000000-000D-0000-FFFF-FFFF00000000}"/>
  </bookViews>
  <sheets>
    <sheet name="3.2" sheetId="2" r:id="rId1"/>
  </sheets>
  <externalReferences>
    <externalReference r:id="rId2"/>
    <externalReference r:id="rId3"/>
    <externalReference r:id="rId4"/>
  </externalReferences>
  <definedNames>
    <definedName name="_xlnm.Print_Area" localSheetId="0">'3.2'!$A$1:$P$64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94" i="2" l="1"/>
  <c r="AI96" i="2" s="1"/>
  <c r="AH94" i="2"/>
  <c r="AG93" i="2"/>
  <c r="AG92" i="2"/>
  <c r="AG91" i="2"/>
  <c r="AG90" i="2"/>
  <c r="AG89" i="2"/>
  <c r="AG88" i="2"/>
  <c r="AG87" i="2"/>
  <c r="AG86" i="2"/>
  <c r="AG85" i="2"/>
  <c r="AG84" i="2"/>
  <c r="AG83" i="2"/>
  <c r="AG82" i="2"/>
  <c r="AG81" i="2"/>
  <c r="AI80" i="2"/>
  <c r="AG80" i="2" s="1"/>
  <c r="AH80" i="2"/>
  <c r="AI79" i="2"/>
  <c r="AG79" i="2" s="1"/>
  <c r="AH79" i="2"/>
  <c r="AI72" i="2"/>
  <c r="AG72" i="2" s="1"/>
  <c r="AH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I58" i="2"/>
  <c r="AG58" i="2" s="1"/>
  <c r="AH58" i="2"/>
  <c r="AI57" i="2"/>
  <c r="AG57" i="2" s="1"/>
  <c r="AH57" i="2"/>
  <c r="AI55" i="2"/>
  <c r="AI47" i="2"/>
  <c r="AG47" i="2" s="1"/>
  <c r="AH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I33" i="2"/>
  <c r="AG33" i="2" s="1"/>
  <c r="AH33" i="2"/>
  <c r="AI32" i="2"/>
  <c r="AG32" i="2" s="1"/>
  <c r="AH32" i="2"/>
  <c r="N32" i="2"/>
  <c r="N31" i="2"/>
  <c r="N30" i="2"/>
  <c r="N29" i="2"/>
  <c r="N28" i="2"/>
  <c r="N27" i="2"/>
  <c r="N26" i="2"/>
  <c r="N25" i="2"/>
  <c r="N24" i="2"/>
  <c r="AI23" i="2"/>
  <c r="AG23" i="2" s="1"/>
  <c r="AH23" i="2"/>
  <c r="N23" i="2"/>
  <c r="AG22" i="2"/>
  <c r="N22" i="2"/>
  <c r="AG21" i="2"/>
  <c r="N21" i="2"/>
  <c r="AG20" i="2"/>
  <c r="N20" i="2"/>
  <c r="AG19" i="2"/>
  <c r="N19" i="2"/>
  <c r="AG18" i="2"/>
  <c r="N18" i="2"/>
  <c r="AG17" i="2"/>
  <c r="N17" i="2"/>
  <c r="AG16" i="2"/>
  <c r="N16" i="2"/>
  <c r="AG15" i="2"/>
  <c r="N15" i="2"/>
  <c r="AG14" i="2"/>
  <c r="N14" i="2"/>
  <c r="AG13" i="2"/>
  <c r="N13" i="2"/>
  <c r="AG12" i="2"/>
  <c r="N12" i="2"/>
  <c r="AG11" i="2"/>
  <c r="N11" i="2"/>
  <c r="AG10" i="2"/>
  <c r="N10" i="2"/>
  <c r="AI9" i="2"/>
  <c r="AG9" i="2" s="1"/>
  <c r="AH9" i="2"/>
  <c r="AI8" i="2"/>
  <c r="AG8" i="2" s="1"/>
  <c r="AH8" i="2"/>
  <c r="P8" i="2"/>
  <c r="O8" i="2"/>
  <c r="H8" i="2"/>
  <c r="G8" i="2"/>
  <c r="F8" i="2"/>
  <c r="D8" i="2"/>
  <c r="C8" i="2"/>
  <c r="B8" i="2"/>
  <c r="AG94" i="2" l="1"/>
  <c r="N8" i="2"/>
</calcChain>
</file>

<file path=xl/sharedStrings.xml><?xml version="1.0" encoding="utf-8"?>
<sst xmlns="http://schemas.openxmlformats.org/spreadsheetml/2006/main" count="136" uniqueCount="49">
  <si>
    <t>cscnijed</t>
  </si>
  <si>
    <t>cnehirif</t>
  </si>
  <si>
    <t>cnehcnwa</t>
  </si>
  <si>
    <t>Both Sexes</t>
  </si>
  <si>
    <t>Male</t>
  </si>
  <si>
    <t>Female</t>
  </si>
  <si>
    <t>Source: National Bureau of Statistics</t>
  </si>
  <si>
    <t>މައުލޫމާތު ދެއްވި ފަރާތް: ނޭޝަނަލް ބިއުރޯ އޮފް ސްޓެޓިސްޓިކްސް</t>
  </si>
  <si>
    <t xml:space="preserve"> 2014 idwa 2006 ، 2000 ,1995 cnunemihOb ,cnutog egcscnij iaWaWrufurumua IdWbWa egcnihevid : 3.2 ulwvWt</t>
  </si>
  <si>
    <t>Table 3.2 : TOTAL MALDIVIAN POPULATION BY AGE AND SEX, CENSUS, 1995, 2000,  2006 AND 2014</t>
  </si>
  <si>
    <t>1995 Census</t>
  </si>
  <si>
    <t>1995 cnunemihOb</t>
  </si>
  <si>
    <t>2000 Census</t>
  </si>
  <si>
    <t>2000 cnunemihOb</t>
  </si>
  <si>
    <t>2006 Census</t>
  </si>
  <si>
    <t>2006 cnunemihOb</t>
  </si>
  <si>
    <t>2014 Census</t>
  </si>
  <si>
    <t>2014 cnunemihOb</t>
  </si>
  <si>
    <t>Wrufurumua</t>
  </si>
  <si>
    <t>Age group</t>
  </si>
  <si>
    <t>wlcmuj</t>
  </si>
  <si>
    <t>Total</t>
  </si>
  <si>
    <t>0-4</t>
  </si>
  <si>
    <t xml:space="preserve">cSwdcnurwhwa 1 </t>
  </si>
  <si>
    <t>5 - 9</t>
  </si>
  <si>
    <t>Less than 1 year</t>
  </si>
  <si>
    <t>10 - 14</t>
  </si>
  <si>
    <t>1 - 4</t>
  </si>
  <si>
    <t>15 - 19</t>
  </si>
  <si>
    <t>5</t>
  </si>
  <si>
    <t>20 - 24</t>
  </si>
  <si>
    <t>6 - 9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</si>
  <si>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</si>
  <si>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</si>
  <si>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</si>
  <si>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</si>
  <si>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</si>
  <si>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</si>
  <si>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</si>
  <si>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</si>
  <si>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</si>
  <si>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</si>
  <si>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75+</t>
  </si>
  <si>
    <t>75 - 79</t>
  </si>
  <si>
    <t>80 - 84</t>
  </si>
  <si>
    <t>85 - 89</t>
  </si>
  <si>
    <t>90 - 94</t>
  </si>
  <si>
    <t>95 years and over</t>
  </si>
  <si>
    <t>Age not stated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</si>
</sst>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5" formatCode="_(* #,##0.00_);_(* \(#,##0.00\);_(* &quot;-&quot;??_);_(@_)"/>
    <numFmt numFmtId="166" formatCode="General_)"/>
    <numFmt numFmtId="170" formatCode="_-* #,##0.00\ _ރ_._-;_-* #,##0.00\ _ރ_.\-;_-* &quot;-&quot;??\ _ރ_._-;_-@_-"/>
    <numFmt numFmtId="171" formatCode="_-* #,##0\ _ރ_._-;_-* #,##0\ _ރ_.\-;_-* &quot;-&quot;??\ _ރ_.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0"/>
      <name val="A_Randhoo"/>
    </font>
    <font>
      <b/>
      <sz val="9"/>
      <name val="Arial"/>
      <family val="2"/>
    </font>
    <font>
      <b/>
      <sz val="9"/>
      <name val="A_Randhoo"/>
    </font>
    <font>
      <sz val="9"/>
      <name val="Arial"/>
      <family val="2"/>
    </font>
    <font>
      <sz val="11"/>
      <name val="Calibri"/>
      <family val="2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</font>
    <font>
      <sz val="11"/>
      <name val="Arial"/>
      <family val="2"/>
    </font>
    <font>
      <sz val="10"/>
      <name val="Calibri"/>
      <family val="2"/>
    </font>
    <font>
      <sz val="10"/>
      <name val="A_Randhoo"/>
    </font>
    <font>
      <sz val="11"/>
      <name val="Courier"/>
      <family val="3"/>
    </font>
    <font>
      <sz val="7"/>
      <name val="Arial"/>
      <family val="2"/>
    </font>
    <font>
      <b/>
      <sz val="8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name val="A_Faseyha"/>
    </font>
    <font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18">
    <xf numFmtId="0" fontId="0" fillId="0" borderId="0"/>
    <xf numFmtId="166" fontId="2" fillId="0" borderId="0"/>
    <xf numFmtId="0" fontId="13" fillId="0" borderId="0"/>
    <xf numFmtId="0" fontId="3" fillId="0" borderId="0"/>
    <xf numFmtId="0" fontId="13" fillId="0" borderId="0"/>
    <xf numFmtId="170" fontId="13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" fillId="0" borderId="0"/>
    <xf numFmtId="166" fontId="2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7">
    <xf numFmtId="0" fontId="0" fillId="0" borderId="0" xfId="0"/>
    <xf numFmtId="166" fontId="3" fillId="2" borderId="0" xfId="1" applyFont="1" applyFill="1"/>
    <xf numFmtId="2" fontId="12" fillId="2" borderId="0" xfId="1" applyNumberFormat="1" applyFont="1" applyFill="1" applyBorder="1" applyAlignment="1" applyProtection="1">
      <alignment vertical="center"/>
      <protection locked="0"/>
    </xf>
    <xf numFmtId="166" fontId="11" fillId="2" borderId="0" xfId="1" applyFont="1" applyFill="1" applyAlignment="1" applyProtection="1">
      <alignment horizontal="left" vertical="center"/>
    </xf>
    <xf numFmtId="3" fontId="14" fillId="2" borderId="0" xfId="2" applyNumberFormat="1" applyFont="1" applyFill="1" applyBorder="1" applyAlignment="1">
      <alignment horizontal="right" vertical="center"/>
    </xf>
    <xf numFmtId="0" fontId="15" fillId="2" borderId="0" xfId="2" applyFont="1" applyFill="1" applyBorder="1"/>
    <xf numFmtId="37" fontId="9" fillId="2" borderId="0" xfId="1" applyNumberFormat="1" applyFont="1" applyFill="1" applyBorder="1" applyAlignment="1" applyProtection="1">
      <alignment horizontal="right" vertical="center"/>
      <protection locked="0"/>
    </xf>
    <xf numFmtId="4" fontId="9" fillId="2" borderId="0" xfId="1" applyNumberFormat="1" applyFont="1" applyFill="1" applyBorder="1" applyAlignment="1" applyProtection="1">
      <alignment horizontal="right" vertical="center"/>
      <protection locked="0"/>
    </xf>
    <xf numFmtId="166" fontId="3" fillId="2" borderId="0" xfId="1" applyFont="1" applyFill="1" applyBorder="1" applyAlignment="1">
      <alignment horizontal="right" vertical="center"/>
    </xf>
    <xf numFmtId="49" fontId="9" fillId="2" borderId="0" xfId="3" applyNumberFormat="1" applyFont="1" applyFill="1" applyBorder="1" applyAlignment="1">
      <alignment horizontal="center"/>
    </xf>
    <xf numFmtId="3" fontId="9" fillId="2" borderId="0" xfId="3" applyNumberFormat="1" applyFont="1" applyFill="1" applyBorder="1"/>
    <xf numFmtId="49" fontId="9" fillId="2" borderId="0" xfId="3" applyNumberFormat="1" applyFont="1" applyFill="1" applyAlignment="1">
      <alignment horizontal="center"/>
    </xf>
    <xf numFmtId="3" fontId="9" fillId="2" borderId="0" xfId="3" applyNumberFormat="1" applyFont="1" applyFill="1"/>
    <xf numFmtId="0" fontId="3" fillId="2" borderId="0" xfId="3" applyFill="1" applyAlignment="1">
      <alignment horizontal="centerContinuous" vertical="center"/>
    </xf>
    <xf numFmtId="0" fontId="3" fillId="2" borderId="0" xfId="3" applyFill="1"/>
    <xf numFmtId="0" fontId="3" fillId="2" borderId="1" xfId="3" applyFill="1" applyBorder="1"/>
    <xf numFmtId="0" fontId="5" fillId="2" borderId="0" xfId="3" applyFont="1" applyFill="1" applyBorder="1"/>
    <xf numFmtId="0" fontId="16" fillId="2" borderId="3" xfId="3" applyFont="1" applyFill="1" applyBorder="1" applyAlignment="1">
      <alignment horizontal="centerContinuous" vertical="center"/>
    </xf>
    <xf numFmtId="0" fontId="9" fillId="2" borderId="3" xfId="3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0" fontId="13" fillId="2" borderId="3" xfId="3" applyFont="1" applyFill="1" applyBorder="1"/>
    <xf numFmtId="0" fontId="3" fillId="2" borderId="0" xfId="3" applyFill="1" applyBorder="1"/>
    <xf numFmtId="0" fontId="4" fillId="2" borderId="1" xfId="3" applyFont="1" applyFill="1" applyBorder="1" applyAlignment="1">
      <alignment horizontal="center"/>
    </xf>
    <xf numFmtId="0" fontId="4" fillId="2" borderId="1" xfId="3" applyFont="1" applyFill="1" applyBorder="1" applyAlignment="1">
      <alignment horizontal="right"/>
    </xf>
    <xf numFmtId="3" fontId="3" fillId="2" borderId="0" xfId="3" applyNumberFormat="1" applyFill="1" applyBorder="1"/>
    <xf numFmtId="0" fontId="8" fillId="2" borderId="0" xfId="3" applyFont="1" applyFill="1" applyBorder="1" applyAlignment="1">
      <alignment horizontal="center" vertical="center"/>
    </xf>
    <xf numFmtId="0" fontId="5" fillId="2" borderId="0" xfId="3" applyFont="1" applyFill="1" applyAlignment="1">
      <alignment vertical="center"/>
    </xf>
    <xf numFmtId="0" fontId="9" fillId="2" borderId="0" xfId="3" applyFont="1" applyFill="1"/>
    <xf numFmtId="0" fontId="13" fillId="2" borderId="0" xfId="3" applyFont="1" applyFill="1" applyBorder="1"/>
    <xf numFmtId="0" fontId="13" fillId="2" borderId="0" xfId="3" applyFont="1" applyFill="1"/>
    <xf numFmtId="0" fontId="16" fillId="2" borderId="0" xfId="3" applyFont="1" applyFill="1" applyAlignment="1">
      <alignment horizontal="center"/>
    </xf>
    <xf numFmtId="3" fontId="4" fillId="2" borderId="0" xfId="3" applyNumberFormat="1" applyFont="1" applyFill="1"/>
    <xf numFmtId="3" fontId="4" fillId="2" borderId="0" xfId="0" applyNumberFormat="1" applyFont="1" applyFill="1"/>
    <xf numFmtId="0" fontId="17" fillId="2" borderId="0" xfId="3" applyFont="1" applyFill="1"/>
    <xf numFmtId="49" fontId="18" fillId="2" borderId="0" xfId="3" applyNumberFormat="1" applyFont="1" applyFill="1" applyAlignment="1">
      <alignment horizontal="center"/>
    </xf>
    <xf numFmtId="166" fontId="9" fillId="2" borderId="0" xfId="1" applyFont="1" applyFill="1"/>
    <xf numFmtId="0" fontId="19" fillId="2" borderId="0" xfId="3" applyFont="1" applyFill="1" applyBorder="1" applyAlignment="1">
      <alignment horizontal="center" vertical="center"/>
    </xf>
    <xf numFmtId="3" fontId="17" fillId="2" borderId="0" xfId="3" applyNumberFormat="1" applyFont="1" applyFill="1"/>
    <xf numFmtId="3" fontId="17" fillId="2" borderId="0" xfId="0" applyNumberFormat="1" applyFont="1" applyFill="1"/>
    <xf numFmtId="0" fontId="18" fillId="2" borderId="0" xfId="3" applyFont="1" applyFill="1" applyAlignment="1">
      <alignment horizontal="center" vertical="top"/>
    </xf>
    <xf numFmtId="3" fontId="10" fillId="2" borderId="0" xfId="3" applyNumberFormat="1" applyFont="1" applyFill="1" applyAlignment="1">
      <alignment horizontal="right" vertical="center"/>
    </xf>
    <xf numFmtId="3" fontId="10" fillId="2" borderId="0" xfId="0" applyNumberFormat="1" applyFont="1" applyFill="1" applyAlignment="1">
      <alignment horizontal="right" vertical="center"/>
    </xf>
    <xf numFmtId="0" fontId="17" fillId="2" borderId="0" xfId="3" applyFont="1" applyFill="1" applyAlignment="1">
      <alignment horizontal="right" vertical="center"/>
    </xf>
    <xf numFmtId="0" fontId="13" fillId="2" borderId="0" xfId="3" applyFont="1" applyFill="1" applyBorder="1" applyAlignment="1">
      <alignment vertical="top"/>
    </xf>
    <xf numFmtId="0" fontId="3" fillId="2" borderId="0" xfId="3" applyFill="1" applyBorder="1" applyAlignment="1">
      <alignment vertical="top"/>
    </xf>
    <xf numFmtId="0" fontId="3" fillId="2" borderId="0" xfId="3" applyFill="1" applyAlignment="1">
      <alignment vertical="top"/>
    </xf>
    <xf numFmtId="0" fontId="4" fillId="2" borderId="0" xfId="2" applyFont="1" applyFill="1" applyBorder="1" applyAlignment="1">
      <alignment horizontal="left" indent="1"/>
    </xf>
    <xf numFmtId="3" fontId="4" fillId="2" borderId="0" xfId="2" applyNumberFormat="1" applyFont="1" applyFill="1" applyBorder="1" applyAlignment="1">
      <alignment horizontal="right" indent="1"/>
    </xf>
    <xf numFmtId="0" fontId="10" fillId="2" borderId="0" xfId="4" applyFont="1" applyFill="1" applyBorder="1"/>
    <xf numFmtId="0" fontId="10" fillId="2" borderId="0" xfId="2" quotePrefix="1" applyFont="1" applyFill="1" applyBorder="1" applyAlignment="1">
      <alignment horizontal="left" indent="2"/>
    </xf>
    <xf numFmtId="3" fontId="10" fillId="2" borderId="0" xfId="2" applyNumberFormat="1" applyFont="1" applyFill="1" applyBorder="1" applyAlignment="1">
      <alignment horizontal="right" indent="1"/>
    </xf>
    <xf numFmtId="3" fontId="10" fillId="2" borderId="0" xfId="2" applyNumberFormat="1" applyFont="1" applyFill="1" applyBorder="1"/>
    <xf numFmtId="171" fontId="15" fillId="2" borderId="0" xfId="5" applyNumberFormat="1" applyFont="1" applyFill="1" applyBorder="1"/>
    <xf numFmtId="0" fontId="17" fillId="2" borderId="0" xfId="3" applyFont="1" applyFill="1" applyBorder="1" applyAlignment="1">
      <alignment horizontal="right" vertical="center"/>
    </xf>
    <xf numFmtId="166" fontId="20" fillId="2" borderId="0" xfId="1" applyFont="1" applyFill="1" applyAlignment="1">
      <alignment horizontal="right" vertical="center"/>
    </xf>
    <xf numFmtId="0" fontId="10" fillId="2" borderId="0" xfId="3" applyFont="1" applyFill="1" applyAlignment="1">
      <alignment horizontal="right" vertical="center"/>
    </xf>
    <xf numFmtId="0" fontId="18" fillId="2" borderId="1" xfId="3" applyFont="1" applyFill="1" applyBorder="1" applyAlignment="1">
      <alignment horizontal="center"/>
    </xf>
    <xf numFmtId="0" fontId="10" fillId="2" borderId="1" xfId="3" applyFont="1" applyFill="1" applyBorder="1" applyAlignment="1">
      <alignment horizontal="right" vertical="center"/>
    </xf>
    <xf numFmtId="3" fontId="10" fillId="2" borderId="1" xfId="3" applyNumberFormat="1" applyFont="1" applyFill="1" applyBorder="1" applyAlignment="1">
      <alignment horizontal="right" vertical="center"/>
    </xf>
    <xf numFmtId="3" fontId="10" fillId="2" borderId="1" xfId="0" applyNumberFormat="1" applyFont="1" applyFill="1" applyBorder="1" applyAlignment="1">
      <alignment horizontal="right" vertical="center"/>
    </xf>
    <xf numFmtId="166" fontId="20" fillId="2" borderId="1" xfId="1" applyFont="1" applyFill="1" applyBorder="1" applyAlignment="1">
      <alignment horizontal="right" vertical="center"/>
    </xf>
    <xf numFmtId="0" fontId="3" fillId="2" borderId="2" xfId="3" applyFill="1" applyBorder="1"/>
    <xf numFmtId="166" fontId="2" fillId="2" borderId="0" xfId="1" applyFill="1" applyBorder="1"/>
    <xf numFmtId="166" fontId="2" fillId="2" borderId="0" xfId="1" applyFill="1"/>
    <xf numFmtId="0" fontId="9" fillId="2" borderId="0" xfId="3" applyFont="1" applyFill="1" applyAlignment="1">
      <alignment vertical="center"/>
    </xf>
    <xf numFmtId="49" fontId="9" fillId="2" borderId="0" xfId="1" applyNumberFormat="1" applyFont="1" applyFill="1" applyBorder="1" applyAlignment="1" applyProtection="1">
      <alignment horizontal="right" vertical="center"/>
    </xf>
    <xf numFmtId="166" fontId="21" fillId="2" borderId="0" xfId="1" applyFont="1" applyFill="1" applyBorder="1" applyAlignment="1">
      <alignment horizontal="right" vertical="center"/>
    </xf>
    <xf numFmtId="37" fontId="7" fillId="2" borderId="0" xfId="1" applyNumberFormat="1" applyFont="1" applyFill="1" applyBorder="1" applyAlignment="1" applyProtection="1">
      <alignment horizontal="right" vertical="center"/>
    </xf>
    <xf numFmtId="166" fontId="5" fillId="2" borderId="0" xfId="1" applyFont="1" applyFill="1" applyBorder="1" applyAlignment="1">
      <alignment horizontal="right" vertical="center"/>
    </xf>
    <xf numFmtId="0" fontId="22" fillId="2" borderId="0" xfId="0" applyFont="1" applyFill="1" applyAlignment="1">
      <alignment horizontal="center" vertical="center" readingOrder="1"/>
    </xf>
    <xf numFmtId="3" fontId="3" fillId="2" borderId="0" xfId="3" applyNumberFormat="1" applyFill="1"/>
    <xf numFmtId="0" fontId="24" fillId="2" borderId="0" xfId="3" applyFont="1" applyFill="1" applyBorder="1" applyAlignment="1">
      <alignment horizontal="right" vertical="center"/>
    </xf>
    <xf numFmtId="0" fontId="24" fillId="2" borderId="0" xfId="3" applyFont="1" applyFill="1" applyBorder="1" applyAlignment="1">
      <alignment horizontal="center" vertical="center"/>
    </xf>
    <xf numFmtId="0" fontId="25" fillId="2" borderId="0" xfId="3" applyFont="1" applyFill="1"/>
    <xf numFmtId="0" fontId="24" fillId="2" borderId="3" xfId="3" applyFont="1" applyFill="1" applyBorder="1" applyAlignment="1">
      <alignment horizontal="right" vertical="center"/>
    </xf>
    <xf numFmtId="0" fontId="24" fillId="2" borderId="0" xfId="3" applyFont="1" applyFill="1" applyAlignment="1">
      <alignment horizontal="center" vertical="center"/>
    </xf>
    <xf numFmtId="0" fontId="4" fillId="2" borderId="0" xfId="3" applyFont="1" applyFill="1" applyBorder="1" applyAlignment="1">
      <alignment horizontal="center" vertical="center"/>
    </xf>
  </cellXfs>
  <cellStyles count="18">
    <cellStyle name="1" xfId="15" xr:uid="{00000000-0005-0000-0000-000000000000}"/>
    <cellStyle name="Comma 2" xfId="14" xr:uid="{00000000-0005-0000-0000-000002000000}"/>
    <cellStyle name="Comma 3" xfId="7" xr:uid="{00000000-0005-0000-0000-000003000000}"/>
    <cellStyle name="Comma 3 2" xfId="17" xr:uid="{B948C919-1F1C-45F0-81A7-0248CC9E5FCA}"/>
    <cellStyle name="Comma 4" xfId="5" xr:uid="{00000000-0005-0000-0000-000004000000}"/>
    <cellStyle name="Comma 7" xfId="16" xr:uid="{2F073D49-A337-4FD3-AEBA-7673E776F832}"/>
    <cellStyle name="Normal" xfId="0" builtinId="0"/>
    <cellStyle name="Normal 11" xfId="8" xr:uid="{00000000-0005-0000-0000-000009000000}"/>
    <cellStyle name="Normal 2" xfId="6" xr:uid="{00000000-0005-0000-0000-00000A000000}"/>
    <cellStyle name="Normal 20" xfId="4" xr:uid="{00000000-0005-0000-0000-00000B000000}"/>
    <cellStyle name="Normal 3" xfId="13" xr:uid="{00000000-0005-0000-0000-00000C000000}"/>
    <cellStyle name="Normal 32" xfId="9" xr:uid="{00000000-0005-0000-0000-00000D000000}"/>
    <cellStyle name="Normal 4" xfId="12" xr:uid="{00000000-0005-0000-0000-00000E000000}"/>
    <cellStyle name="Normal 44" xfId="10" xr:uid="{00000000-0005-0000-0000-00000F000000}"/>
    <cellStyle name="Normal 48" xfId="11" xr:uid="{00000000-0005-0000-0000-000010000000}"/>
    <cellStyle name="Normal 5" xfId="2" xr:uid="{00000000-0005-0000-0000-000011000000}"/>
    <cellStyle name="Normal_3 Population." xfId="1" xr:uid="{00000000-0005-0000-0000-000013000000}"/>
    <cellStyle name="Normal_II-14(Population)" xfId="3" xr:uid="{00000000-0005-0000-0000-000016000000}"/>
  </cellStyles>
  <dxfs count="0"/>
  <tableStyles count="0" defaultTableStyle="TableStyleMedium2" defaultPivotStyle="PivotStyleLight16"/>
  <colors>
    <mruColors>
      <color rgb="FFFF9900"/>
      <color rgb="FF196563"/>
      <color rgb="FF249390"/>
      <color rgb="FF33CCCC"/>
      <color rgb="FFEAFAFA"/>
      <color rgb="FFBEF1F0"/>
      <color rgb="FF00FFCC"/>
      <color rgb="FFA85400"/>
      <color rgb="FFCD9B69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3.2: Population Pyramid  of Maldives, 1995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375600416714548"/>
          <c:y val="0.14500046317739695"/>
          <c:w val="0.81058766415771644"/>
          <c:h val="0.715154077864628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'3.2'!$AH$7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9900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'3.2'!$AF$8:$AF$23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'3.2'!$AH$8:$AH$23</c:f>
              <c:numCache>
                <c:formatCode>#,##0</c:formatCode>
                <c:ptCount val="16"/>
                <c:pt idx="0">
                  <c:v>17859</c:v>
                </c:pt>
                <c:pt idx="1">
                  <c:v>19919</c:v>
                </c:pt>
                <c:pt idx="2">
                  <c:v>17584</c:v>
                </c:pt>
                <c:pt idx="3">
                  <c:v>12562</c:v>
                </c:pt>
                <c:pt idx="4">
                  <c:v>11077</c:v>
                </c:pt>
                <c:pt idx="5">
                  <c:v>9389</c:v>
                </c:pt>
                <c:pt idx="6">
                  <c:v>7785</c:v>
                </c:pt>
                <c:pt idx="7">
                  <c:v>6317</c:v>
                </c:pt>
                <c:pt idx="8">
                  <c:v>3297</c:v>
                </c:pt>
                <c:pt idx="9">
                  <c:v>3215</c:v>
                </c:pt>
                <c:pt idx="10">
                  <c:v>3042</c:v>
                </c:pt>
                <c:pt idx="11">
                  <c:v>2722</c:v>
                </c:pt>
                <c:pt idx="12">
                  <c:v>2284</c:v>
                </c:pt>
                <c:pt idx="13">
                  <c:v>1304</c:v>
                </c:pt>
                <c:pt idx="14">
                  <c:v>822</c:v>
                </c:pt>
                <c:pt idx="15">
                  <c:v>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79-409C-846C-416F5A6AA65A}"/>
            </c:ext>
          </c:extLst>
        </c:ser>
        <c:ser>
          <c:idx val="1"/>
          <c:order val="1"/>
          <c:tx>
            <c:strRef>
              <c:f>'3.2'!$AG$7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CCCC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'3.2'!$AF$8:$AF$23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'3.2'!$AG$8:$AG$23</c:f>
              <c:numCache>
                <c:formatCode>General_)</c:formatCode>
                <c:ptCount val="16"/>
                <c:pt idx="0">
                  <c:v>-19113</c:v>
                </c:pt>
                <c:pt idx="1">
                  <c:v>-20840</c:v>
                </c:pt>
                <c:pt idx="2">
                  <c:v>-18286</c:v>
                </c:pt>
                <c:pt idx="3">
                  <c:v>-12343</c:v>
                </c:pt>
                <c:pt idx="4">
                  <c:v>-9944</c:v>
                </c:pt>
                <c:pt idx="5">
                  <c:v>-8802</c:v>
                </c:pt>
                <c:pt idx="6">
                  <c:v>-7579</c:v>
                </c:pt>
                <c:pt idx="7">
                  <c:v>-6315</c:v>
                </c:pt>
                <c:pt idx="8">
                  <c:v>-3625</c:v>
                </c:pt>
                <c:pt idx="9">
                  <c:v>-3369</c:v>
                </c:pt>
                <c:pt idx="10">
                  <c:v>-3205</c:v>
                </c:pt>
                <c:pt idx="11">
                  <c:v>-3240</c:v>
                </c:pt>
                <c:pt idx="12">
                  <c:v>-3010</c:v>
                </c:pt>
                <c:pt idx="13">
                  <c:v>-1897</c:v>
                </c:pt>
                <c:pt idx="14">
                  <c:v>-1279</c:v>
                </c:pt>
                <c:pt idx="15">
                  <c:v>-1384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9-409C-846C-416F5A6AA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56575640"/>
        <c:axId val="456581128"/>
      </c:barChart>
      <c:dateAx>
        <c:axId val="456575640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581128"/>
        <c:crosses val="autoZero"/>
        <c:auto val="0"/>
        <c:lblOffset val="100"/>
        <c:baseTimeUnit val="days"/>
      </c:dateAx>
      <c:valAx>
        <c:axId val="456581128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575640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49482269362"/>
          <c:y val="0.1784855128403067"/>
          <c:w val="0.23959884489379157"/>
          <c:h val="7.907776233853122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1995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[1]Sheet1!$B$61</c:f>
              <c:strCache>
                <c:ptCount val="1"/>
                <c:pt idx="0">
                  <c:v>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[1]Sheet1!$A$62:$A$77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[1]Sheet1!$B$62:$B$77</c:f>
              <c:numCache>
                <c:formatCode>General</c:formatCode>
                <c:ptCount val="16"/>
                <c:pt idx="0">
                  <c:v>19113</c:v>
                </c:pt>
                <c:pt idx="1">
                  <c:v>20840</c:v>
                </c:pt>
                <c:pt idx="2">
                  <c:v>18286</c:v>
                </c:pt>
                <c:pt idx="3">
                  <c:v>12343</c:v>
                </c:pt>
                <c:pt idx="4">
                  <c:v>9944</c:v>
                </c:pt>
                <c:pt idx="5">
                  <c:v>8802</c:v>
                </c:pt>
                <c:pt idx="6">
                  <c:v>7579</c:v>
                </c:pt>
                <c:pt idx="7">
                  <c:v>6315</c:v>
                </c:pt>
                <c:pt idx="8">
                  <c:v>3625</c:v>
                </c:pt>
                <c:pt idx="9">
                  <c:v>3369</c:v>
                </c:pt>
                <c:pt idx="10">
                  <c:v>3205</c:v>
                </c:pt>
                <c:pt idx="11">
                  <c:v>3240</c:v>
                </c:pt>
                <c:pt idx="12">
                  <c:v>3010</c:v>
                </c:pt>
                <c:pt idx="13">
                  <c:v>1897</c:v>
                </c:pt>
                <c:pt idx="14">
                  <c:v>1279</c:v>
                </c:pt>
                <c:pt idx="15">
                  <c:v>1384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3-4F0C-89FF-081E252C2486}"/>
            </c:ext>
          </c:extLst>
        </c:ser>
        <c:ser>
          <c:idx val="1"/>
          <c:order val="1"/>
          <c:tx>
            <c:strRef>
              <c:f>[1]Sheet1!$C$61</c:f>
              <c:strCache>
                <c:ptCount val="1"/>
                <c:pt idx="0">
                  <c:v>Female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[1]Sheet1!$A$62:$A$77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[1]Sheet1!$C$62:$C$77</c:f>
              <c:numCache>
                <c:formatCode>General</c:formatCode>
                <c:ptCount val="16"/>
                <c:pt idx="0">
                  <c:v>-17859</c:v>
                </c:pt>
                <c:pt idx="1">
                  <c:v>-19919</c:v>
                </c:pt>
                <c:pt idx="2">
                  <c:v>-17584</c:v>
                </c:pt>
                <c:pt idx="3">
                  <c:v>-12562</c:v>
                </c:pt>
                <c:pt idx="4">
                  <c:v>-11077</c:v>
                </c:pt>
                <c:pt idx="5">
                  <c:v>-9389</c:v>
                </c:pt>
                <c:pt idx="6">
                  <c:v>-7785</c:v>
                </c:pt>
                <c:pt idx="7">
                  <c:v>-6317</c:v>
                </c:pt>
                <c:pt idx="8">
                  <c:v>-3297</c:v>
                </c:pt>
                <c:pt idx="9">
                  <c:v>-3215</c:v>
                </c:pt>
                <c:pt idx="10">
                  <c:v>-3042</c:v>
                </c:pt>
                <c:pt idx="11">
                  <c:v>-2722</c:v>
                </c:pt>
                <c:pt idx="12">
                  <c:v>-2284</c:v>
                </c:pt>
                <c:pt idx="13">
                  <c:v>-1304</c:v>
                </c:pt>
                <c:pt idx="14">
                  <c:v>-822</c:v>
                </c:pt>
                <c:pt idx="15">
                  <c:v>-862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B3-4F0C-89FF-081E252C2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456576032"/>
        <c:axId val="456579168"/>
      </c:barChart>
      <c:catAx>
        <c:axId val="4565760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Ages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6579168"/>
        <c:crosses val="autoZero"/>
        <c:auto val="1"/>
        <c:lblAlgn val="ctr"/>
        <c:lblOffset val="100"/>
        <c:tickLblSkip val="9"/>
        <c:tickMarkSkip val="1"/>
        <c:noMultiLvlLbl val="0"/>
      </c:catAx>
      <c:valAx>
        <c:axId val="456579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population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657603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4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2000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[1]Sheet1!$B$87</c:f>
              <c:strCache>
                <c:ptCount val="1"/>
                <c:pt idx="0">
                  <c:v>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[1]Sheet1!$A$88:$A$103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[1]Sheet1!$B$88:$B$103</c:f>
              <c:numCache>
                <c:formatCode>General</c:formatCode>
                <c:ptCount val="16"/>
                <c:pt idx="0">
                  <c:v>-15699</c:v>
                </c:pt>
                <c:pt idx="1">
                  <c:v>-19336</c:v>
                </c:pt>
                <c:pt idx="2">
                  <c:v>-20897</c:v>
                </c:pt>
                <c:pt idx="3">
                  <c:v>-16590</c:v>
                </c:pt>
                <c:pt idx="4">
                  <c:v>-11620</c:v>
                </c:pt>
                <c:pt idx="5">
                  <c:v>-9805</c:v>
                </c:pt>
                <c:pt idx="6">
                  <c:v>-8890</c:v>
                </c:pt>
                <c:pt idx="7">
                  <c:v>-7828</c:v>
                </c:pt>
                <c:pt idx="8">
                  <c:v>-6272</c:v>
                </c:pt>
                <c:pt idx="9">
                  <c:v>-3977</c:v>
                </c:pt>
                <c:pt idx="10">
                  <c:v>-3051</c:v>
                </c:pt>
                <c:pt idx="11">
                  <c:v>-3131</c:v>
                </c:pt>
                <c:pt idx="12">
                  <c:v>-3370</c:v>
                </c:pt>
                <c:pt idx="13">
                  <c:v>-2650</c:v>
                </c:pt>
                <c:pt idx="14">
                  <c:v>-1737</c:v>
                </c:pt>
                <c:pt idx="15">
                  <c:v>-1532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8-4F64-8B0C-E4D03F6886A9}"/>
            </c:ext>
          </c:extLst>
        </c:ser>
        <c:ser>
          <c:idx val="1"/>
          <c:order val="1"/>
          <c:tx>
            <c:strRef>
              <c:f>[1]Sheet1!$C$87</c:f>
              <c:strCache>
                <c:ptCount val="1"/>
                <c:pt idx="0">
                  <c:v>Female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[1]Sheet1!$A$88:$A$103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[1]Sheet1!$C$88:$C$103</c:f>
              <c:numCache>
                <c:formatCode>General</c:formatCode>
                <c:ptCount val="16"/>
                <c:pt idx="0">
                  <c:v>15213</c:v>
                </c:pt>
                <c:pt idx="1">
                  <c:v>18591</c:v>
                </c:pt>
                <c:pt idx="2">
                  <c:v>20192</c:v>
                </c:pt>
                <c:pt idx="3">
                  <c:v>16676</c:v>
                </c:pt>
                <c:pt idx="4">
                  <c:v>11894</c:v>
                </c:pt>
                <c:pt idx="5">
                  <c:v>10285</c:v>
                </c:pt>
                <c:pt idx="6">
                  <c:v>9271</c:v>
                </c:pt>
                <c:pt idx="7">
                  <c:v>7871</c:v>
                </c:pt>
                <c:pt idx="8">
                  <c:v>6130</c:v>
                </c:pt>
                <c:pt idx="9">
                  <c:v>3484</c:v>
                </c:pt>
                <c:pt idx="10">
                  <c:v>2916</c:v>
                </c:pt>
                <c:pt idx="11">
                  <c:v>2865</c:v>
                </c:pt>
                <c:pt idx="12">
                  <c:v>2942</c:v>
                </c:pt>
                <c:pt idx="13">
                  <c:v>1961</c:v>
                </c:pt>
                <c:pt idx="14">
                  <c:v>1136</c:v>
                </c:pt>
                <c:pt idx="15">
                  <c:v>1013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48-4F64-8B0C-E4D03F688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456576424"/>
        <c:axId val="456574464"/>
      </c:barChart>
      <c:catAx>
        <c:axId val="4565764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-60000" vert="horz"/>
              <a:lstStyle/>
              <a:p>
                <a:pPr algn="ctr"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6574464"/>
        <c:crossesAt val="0"/>
        <c:auto val="0"/>
        <c:lblAlgn val="ctr"/>
        <c:lblOffset val="100"/>
        <c:tickLblSkip val="2"/>
        <c:tickMarkSkip val="1"/>
        <c:noMultiLvlLbl val="0"/>
      </c:catAx>
      <c:valAx>
        <c:axId val="456574464"/>
        <c:scaling>
          <c:orientation val="minMax"/>
          <c:max val="30000"/>
          <c:min val="-30000"/>
        </c:scaling>
        <c:delete val="0"/>
        <c:axPos val="b"/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Population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6576424"/>
        <c:crosses val="autoZero"/>
        <c:crossBetween val="between"/>
        <c:majorUnit val="10000"/>
        <c:minorUnit val="2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4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3.5: Population Pyramid  of Maldives,  2014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096385542168676"/>
          <c:y val="0.15036088131014688"/>
          <c:w val="0.82020138404859111"/>
          <c:h val="0.70979360121560009"/>
        </c:manualLayout>
      </c:layout>
      <c:barChart>
        <c:barDir val="bar"/>
        <c:grouping val="clustered"/>
        <c:varyColors val="0"/>
        <c:ser>
          <c:idx val="3"/>
          <c:order val="0"/>
          <c:tx>
            <c:strRef>
              <c:f>'3.2'!$AH$78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9900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'3.2'!$AF$79:$AF$94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'3.2'!$AH$79:$AH$94</c:f>
              <c:numCache>
                <c:formatCode>#,##0</c:formatCode>
                <c:ptCount val="16"/>
                <c:pt idx="0">
                  <c:v>17223</c:v>
                </c:pt>
                <c:pt idx="1">
                  <c:v>15616</c:v>
                </c:pt>
                <c:pt idx="2">
                  <c:v>12787</c:v>
                </c:pt>
                <c:pt idx="3">
                  <c:v>15461</c:v>
                </c:pt>
                <c:pt idx="4">
                  <c:v>18537</c:v>
                </c:pt>
                <c:pt idx="5">
                  <c:v>19738</c:v>
                </c:pt>
                <c:pt idx="6">
                  <c:v>15868</c:v>
                </c:pt>
                <c:pt idx="7">
                  <c:v>11518</c:v>
                </c:pt>
                <c:pt idx="8">
                  <c:v>10064</c:v>
                </c:pt>
                <c:pt idx="9">
                  <c:v>8795</c:v>
                </c:pt>
                <c:pt idx="10">
                  <c:v>7405</c:v>
                </c:pt>
                <c:pt idx="11">
                  <c:v>5672</c:v>
                </c:pt>
                <c:pt idx="12">
                  <c:v>2922</c:v>
                </c:pt>
                <c:pt idx="13">
                  <c:v>2426</c:v>
                </c:pt>
                <c:pt idx="14">
                  <c:v>2372</c:v>
                </c:pt>
                <c:pt idx="15">
                  <c:v>2953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BD-4796-9A8F-2B78C860658C}"/>
            </c:ext>
          </c:extLst>
        </c:ser>
        <c:ser>
          <c:idx val="2"/>
          <c:order val="1"/>
          <c:tx>
            <c:strRef>
              <c:f>'3.2'!$AG$78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CCCC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'3.2'!$AF$79:$AF$94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'3.2'!$AG$79:$AG$94</c:f>
              <c:numCache>
                <c:formatCode>General_)</c:formatCode>
                <c:ptCount val="16"/>
                <c:pt idx="0">
                  <c:v>-18863</c:v>
                </c:pt>
                <c:pt idx="1">
                  <c:v>-16364</c:v>
                </c:pt>
                <c:pt idx="2">
                  <c:v>-13571</c:v>
                </c:pt>
                <c:pt idx="3">
                  <c:v>-15922</c:v>
                </c:pt>
                <c:pt idx="4">
                  <c:v>-19349</c:v>
                </c:pt>
                <c:pt idx="5">
                  <c:v>-19451</c:v>
                </c:pt>
                <c:pt idx="6">
                  <c:v>-15494</c:v>
                </c:pt>
                <c:pt idx="7">
                  <c:v>-11386</c:v>
                </c:pt>
                <c:pt idx="8">
                  <c:v>-9811</c:v>
                </c:pt>
                <c:pt idx="9">
                  <c:v>-8784</c:v>
                </c:pt>
                <c:pt idx="10">
                  <c:v>-7645</c:v>
                </c:pt>
                <c:pt idx="11">
                  <c:v>-6031</c:v>
                </c:pt>
                <c:pt idx="12">
                  <c:v>-3327</c:v>
                </c:pt>
                <c:pt idx="13">
                  <c:v>-2445</c:v>
                </c:pt>
                <c:pt idx="14">
                  <c:v>-2471</c:v>
                </c:pt>
                <c:pt idx="15">
                  <c:v>-3752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BD-4796-9A8F-2B78C8606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56577600"/>
        <c:axId val="456581912"/>
      </c:barChart>
      <c:dateAx>
        <c:axId val="456577600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581912"/>
        <c:crosses val="autoZero"/>
        <c:auto val="0"/>
        <c:lblOffset val="100"/>
        <c:baseTimeUnit val="days"/>
      </c:dateAx>
      <c:valAx>
        <c:axId val="456581912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577600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39329029369"/>
          <c:y val="0.17848566929133858"/>
          <c:w val="0.23959896008259629"/>
          <c:h val="7.907779527559055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3.5: Population Pyramid  of Maldives,  2000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096385542168676"/>
          <c:y val="0.15036088131014688"/>
          <c:w val="0.82020138404859111"/>
          <c:h val="0.70979360121560009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'3.2'!$AH$31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9900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'3.2'!$AF$32:$AF$47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'3.2'!$AH$32:$AH$47</c:f>
              <c:numCache>
                <c:formatCode>#,##0</c:formatCode>
                <c:ptCount val="16"/>
                <c:pt idx="0">
                  <c:v>15213</c:v>
                </c:pt>
                <c:pt idx="1">
                  <c:v>18591</c:v>
                </c:pt>
                <c:pt idx="2">
                  <c:v>20192</c:v>
                </c:pt>
                <c:pt idx="3">
                  <c:v>16676</c:v>
                </c:pt>
                <c:pt idx="4">
                  <c:v>11894</c:v>
                </c:pt>
                <c:pt idx="5">
                  <c:v>10285</c:v>
                </c:pt>
                <c:pt idx="6">
                  <c:v>9271</c:v>
                </c:pt>
                <c:pt idx="7">
                  <c:v>7871</c:v>
                </c:pt>
                <c:pt idx="8">
                  <c:v>6130</c:v>
                </c:pt>
                <c:pt idx="9">
                  <c:v>3484</c:v>
                </c:pt>
                <c:pt idx="10">
                  <c:v>2916</c:v>
                </c:pt>
                <c:pt idx="11">
                  <c:v>2865</c:v>
                </c:pt>
                <c:pt idx="12">
                  <c:v>2942</c:v>
                </c:pt>
                <c:pt idx="13">
                  <c:v>1961</c:v>
                </c:pt>
                <c:pt idx="14">
                  <c:v>1136</c:v>
                </c:pt>
                <c:pt idx="15">
                  <c:v>1013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18-44E6-BB45-19C88B456203}"/>
            </c:ext>
          </c:extLst>
        </c:ser>
        <c:ser>
          <c:idx val="0"/>
          <c:order val="1"/>
          <c:tx>
            <c:strRef>
              <c:f>'3.2'!$AG$31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CCCC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'3.2'!$AF$32:$AF$47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'3.2'!$AG$32:$AG$47</c:f>
              <c:numCache>
                <c:formatCode>General_)</c:formatCode>
                <c:ptCount val="16"/>
                <c:pt idx="0">
                  <c:v>-15699</c:v>
                </c:pt>
                <c:pt idx="1">
                  <c:v>-19336</c:v>
                </c:pt>
                <c:pt idx="2">
                  <c:v>-20897</c:v>
                </c:pt>
                <c:pt idx="3">
                  <c:v>-16590</c:v>
                </c:pt>
                <c:pt idx="4">
                  <c:v>-11620</c:v>
                </c:pt>
                <c:pt idx="5">
                  <c:v>-9805</c:v>
                </c:pt>
                <c:pt idx="6">
                  <c:v>-8890</c:v>
                </c:pt>
                <c:pt idx="7">
                  <c:v>-7828</c:v>
                </c:pt>
                <c:pt idx="8">
                  <c:v>-6272</c:v>
                </c:pt>
                <c:pt idx="9">
                  <c:v>-3977</c:v>
                </c:pt>
                <c:pt idx="10">
                  <c:v>-3051</c:v>
                </c:pt>
                <c:pt idx="11">
                  <c:v>-3131</c:v>
                </c:pt>
                <c:pt idx="12">
                  <c:v>-3370</c:v>
                </c:pt>
                <c:pt idx="13">
                  <c:v>-2650</c:v>
                </c:pt>
                <c:pt idx="14">
                  <c:v>-1737</c:v>
                </c:pt>
                <c:pt idx="15">
                  <c:v>-1532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8-44E6-BB45-19C88B456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56577992"/>
        <c:axId val="456576816"/>
      </c:barChart>
      <c:dateAx>
        <c:axId val="456577992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576816"/>
        <c:crosses val="autoZero"/>
        <c:auto val="0"/>
        <c:lblOffset val="100"/>
        <c:baseTimeUnit val="days"/>
      </c:dateAx>
      <c:valAx>
        <c:axId val="456576816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577992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39329029369"/>
          <c:y val="0.17848566929133858"/>
          <c:w val="0.23959896008259629"/>
          <c:h val="7.907779527559055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3.2: Population Pyramid  of Maldives, 2006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375600416714548"/>
          <c:y val="0.14500046317739695"/>
          <c:w val="0.81058766415771644"/>
          <c:h val="0.715154077864628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'3.2'!$AH$56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9900"/>
            </a:solidFill>
            <a:ln>
              <a:solidFill>
                <a:schemeClr val="bg1"/>
              </a:solidFill>
            </a:ln>
          </c:spPr>
          <c:invertIfNegative val="0"/>
          <c:cat>
            <c:strRef>
              <c:f>'3.2'!$AF$57:$AF$72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'3.2'!$AH$57:$AH$72</c:f>
              <c:numCache>
                <c:formatCode>#,##0</c:formatCode>
                <c:ptCount val="16"/>
                <c:pt idx="0">
                  <c:v>12809</c:v>
                </c:pt>
                <c:pt idx="1">
                  <c:v>14515</c:v>
                </c:pt>
                <c:pt idx="2">
                  <c:v>17888</c:v>
                </c:pt>
                <c:pt idx="3">
                  <c:v>19749</c:v>
                </c:pt>
                <c:pt idx="4">
                  <c:v>17876</c:v>
                </c:pt>
                <c:pt idx="5">
                  <c:v>12666</c:v>
                </c:pt>
                <c:pt idx="6">
                  <c:v>10613</c:v>
                </c:pt>
                <c:pt idx="7">
                  <c:v>9394</c:v>
                </c:pt>
                <c:pt idx="8">
                  <c:v>8043</c:v>
                </c:pt>
                <c:pt idx="9">
                  <c:v>6697</c:v>
                </c:pt>
                <c:pt idx="10">
                  <c:v>3789</c:v>
                </c:pt>
                <c:pt idx="11">
                  <c:v>2813</c:v>
                </c:pt>
                <c:pt idx="12">
                  <c:v>2714</c:v>
                </c:pt>
                <c:pt idx="13">
                  <c:v>2664</c:v>
                </c:pt>
                <c:pt idx="14">
                  <c:v>1853</c:v>
                </c:pt>
                <c:pt idx="15">
                  <c:v>1637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E6-4915-B2C7-EE0CC8C75F93}"/>
            </c:ext>
          </c:extLst>
        </c:ser>
        <c:ser>
          <c:idx val="1"/>
          <c:order val="1"/>
          <c:tx>
            <c:strRef>
              <c:f>'3.2'!$AG$56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CCCC"/>
            </a:solidFill>
            <a:ln>
              <a:solidFill>
                <a:schemeClr val="bg1"/>
              </a:solidFill>
            </a:ln>
          </c:spPr>
          <c:invertIfNegative val="0"/>
          <c:cat>
            <c:strRef>
              <c:f>'3.2'!$AF$57:$AF$72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'3.2'!$AG$57:$AG$72</c:f>
              <c:numCache>
                <c:formatCode>General_)</c:formatCode>
                <c:ptCount val="16"/>
                <c:pt idx="0">
                  <c:v>-13362</c:v>
                </c:pt>
                <c:pt idx="1">
                  <c:v>-15352</c:v>
                </c:pt>
                <c:pt idx="2">
                  <c:v>-19111</c:v>
                </c:pt>
                <c:pt idx="3">
                  <c:v>-20155</c:v>
                </c:pt>
                <c:pt idx="4">
                  <c:v>-16933</c:v>
                </c:pt>
                <c:pt idx="5">
                  <c:v>-11915</c:v>
                </c:pt>
                <c:pt idx="6">
                  <c:v>-10022</c:v>
                </c:pt>
                <c:pt idx="7">
                  <c:v>-8780</c:v>
                </c:pt>
                <c:pt idx="8">
                  <c:v>-7828</c:v>
                </c:pt>
                <c:pt idx="9">
                  <c:v>-6872</c:v>
                </c:pt>
                <c:pt idx="10">
                  <c:v>-4147</c:v>
                </c:pt>
                <c:pt idx="11">
                  <c:v>-3046</c:v>
                </c:pt>
                <c:pt idx="12">
                  <c:v>-2852</c:v>
                </c:pt>
                <c:pt idx="13">
                  <c:v>-3014</c:v>
                </c:pt>
                <c:pt idx="14">
                  <c:v>-2333</c:v>
                </c:pt>
                <c:pt idx="15">
                  <c:v>-2443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6-4915-B2C7-EE0CC8C75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56578384"/>
        <c:axId val="456579952"/>
      </c:barChart>
      <c:dateAx>
        <c:axId val="456578384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579952"/>
        <c:crosses val="autoZero"/>
        <c:auto val="0"/>
        <c:lblOffset val="100"/>
        <c:baseTimeUnit val="days"/>
      </c:dateAx>
      <c:valAx>
        <c:axId val="456579952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578384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49482269362"/>
          <c:y val="0.1784855128403067"/>
          <c:w val="0.23959884489379157"/>
          <c:h val="7.907776233853122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33</xdr:row>
      <xdr:rowOff>171450</xdr:rowOff>
    </xdr:from>
    <xdr:to>
      <xdr:col>6</xdr:col>
      <xdr:colOff>447675</xdr:colOff>
      <xdr:row>46</xdr:row>
      <xdr:rowOff>114300</xdr:rowOff>
    </xdr:to>
    <xdr:graphicFrame macro="">
      <xdr:nvGraphicFramePr>
        <xdr:cNvPr id="2" name="Chart 1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352425</xdr:colOff>
      <xdr:row>33</xdr:row>
      <xdr:rowOff>0</xdr:rowOff>
    </xdr:from>
    <xdr:to>
      <xdr:col>7</xdr:col>
      <xdr:colOff>457200</xdr:colOff>
      <xdr:row>33</xdr:row>
      <xdr:rowOff>28575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5067300" y="7058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171450</xdr:colOff>
      <xdr:row>26</xdr:row>
      <xdr:rowOff>0</xdr:rowOff>
    </xdr:from>
    <xdr:to>
      <xdr:col>18</xdr:col>
      <xdr:colOff>266700</xdr:colOff>
      <xdr:row>26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11677650" y="5467350"/>
          <a:ext cx="952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95250</xdr:colOff>
      <xdr:row>33</xdr:row>
      <xdr:rowOff>38100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38225" y="7058025"/>
          <a:ext cx="952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228600</xdr:colOff>
      <xdr:row>33</xdr:row>
      <xdr:rowOff>0</xdr:rowOff>
    </xdr:from>
    <xdr:to>
      <xdr:col>11</xdr:col>
      <xdr:colOff>247650</xdr:colOff>
      <xdr:row>33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628650</xdr:colOff>
      <xdr:row>26</xdr:row>
      <xdr:rowOff>0</xdr:rowOff>
    </xdr:from>
    <xdr:to>
      <xdr:col>22</xdr:col>
      <xdr:colOff>457200</xdr:colOff>
      <xdr:row>26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160235</xdr:colOff>
      <xdr:row>61</xdr:row>
      <xdr:rowOff>80117</xdr:rowOff>
    </xdr:from>
    <xdr:to>
      <xdr:col>13</xdr:col>
      <xdr:colOff>49025</xdr:colOff>
      <xdr:row>62</xdr:row>
      <xdr:rowOff>63033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6399110" y="12157817"/>
          <a:ext cx="1450890" cy="173416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700" b="1"/>
            <a:t>Population in Thousands</a:t>
          </a:r>
        </a:p>
      </xdr:txBody>
    </xdr:sp>
    <xdr:clientData/>
  </xdr:twoCellAnchor>
  <xdr:twoCellAnchor>
    <xdr:from>
      <xdr:col>2</xdr:col>
      <xdr:colOff>70036</xdr:colOff>
      <xdr:row>45</xdr:row>
      <xdr:rowOff>161084</xdr:rowOff>
    </xdr:from>
    <xdr:to>
      <xdr:col>3</xdr:col>
      <xdr:colOff>581306</xdr:colOff>
      <xdr:row>46</xdr:row>
      <xdr:rowOff>105054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1832161" y="9514634"/>
          <a:ext cx="1235170" cy="134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>
          <a:endParaRPr lang="en-US" sz="700"/>
        </a:p>
      </xdr:txBody>
    </xdr:sp>
    <xdr:clientData/>
  </xdr:twoCellAnchor>
  <xdr:twoCellAnchor>
    <xdr:from>
      <xdr:col>10</xdr:col>
      <xdr:colOff>70572</xdr:colOff>
      <xdr:row>45</xdr:row>
      <xdr:rowOff>141784</xdr:rowOff>
    </xdr:from>
    <xdr:to>
      <xdr:col>12</xdr:col>
      <xdr:colOff>91584</xdr:colOff>
      <xdr:row>46</xdr:row>
      <xdr:rowOff>138149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6309447" y="9495334"/>
          <a:ext cx="1392612" cy="1868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>
          <a:endParaRPr lang="en-US" sz="400"/>
        </a:p>
      </xdr:txBody>
    </xdr:sp>
    <xdr:clientData/>
  </xdr:twoCellAnchor>
  <xdr:twoCellAnchor>
    <xdr:from>
      <xdr:col>7</xdr:col>
      <xdr:colOff>57150</xdr:colOff>
      <xdr:row>49</xdr:row>
      <xdr:rowOff>0</xdr:rowOff>
    </xdr:from>
    <xdr:to>
      <xdr:col>14</xdr:col>
      <xdr:colOff>295275</xdr:colOff>
      <xdr:row>62</xdr:row>
      <xdr:rowOff>142875</xdr:rowOff>
    </xdr:to>
    <xdr:graphicFrame macro="">
      <xdr:nvGraphicFramePr>
        <xdr:cNvPr id="13" name="Chart 1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19050</xdr:colOff>
      <xdr:row>34</xdr:row>
      <xdr:rowOff>9525</xdr:rowOff>
    </xdr:from>
    <xdr:to>
      <xdr:col>14</xdr:col>
      <xdr:colOff>257175</xdr:colOff>
      <xdr:row>46</xdr:row>
      <xdr:rowOff>104775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476250</xdr:colOff>
      <xdr:row>48</xdr:row>
      <xdr:rowOff>133350</xdr:rowOff>
    </xdr:from>
    <xdr:to>
      <xdr:col>6</xdr:col>
      <xdr:colOff>428625</xdr:colOff>
      <xdr:row>62</xdr:row>
      <xdr:rowOff>161925</xdr:rowOff>
    </xdr:to>
    <xdr:graphicFrame macro="">
      <xdr:nvGraphicFramePr>
        <xdr:cNvPr id="15" name="Chart 12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383463</xdr:colOff>
      <xdr:row>61</xdr:row>
      <xdr:rowOff>139589</xdr:rowOff>
    </xdr:from>
    <xdr:to>
      <xdr:col>4</xdr:col>
      <xdr:colOff>94429</xdr:colOff>
      <xdr:row>62</xdr:row>
      <xdr:rowOff>181960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2144767" y="12189535"/>
          <a:ext cx="1156138" cy="231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  <cdr:relSizeAnchor xmlns:cdr="http://schemas.openxmlformats.org/drawingml/2006/chartDrawing">
    <cdr:from>
      <cdr:x>0.31295</cdr:x>
      <cdr:y>0.91739</cdr:y>
    </cdr:from>
    <cdr:to>
      <cdr:x>0.70146</cdr:x>
      <cdr:y>0.9941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52462" y="2177851"/>
          <a:ext cx="1554816" cy="1820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 xmlns:a="http://schemas.openxmlformats.org/drawingml/2006/main">
          <a:pPr algn="ctr">
            <a:lnSpc>
              <a:spcPts val="900"/>
            </a:lnSpc>
          </a:pPr>
          <a:endParaRPr lang="en-US" sz="800"/>
        </a:p>
      </cdr:txBody>
    </cdr:sp>
  </cdr:relSizeAnchor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4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  <cdr:relSizeAnchor xmlns:cdr="http://schemas.openxmlformats.org/drawingml/2006/chartDrawing">
    <cdr:from>
      <cdr:x>0.31295</cdr:x>
      <cdr:y>0.91739</cdr:y>
    </cdr:from>
    <cdr:to>
      <cdr:x>0.70146</cdr:x>
      <cdr:y>0.9941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52462" y="2177851"/>
          <a:ext cx="1554816" cy="1820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 xmlns:a="http://schemas.openxmlformats.org/drawingml/2006/main">
          <a:pPr algn="ctr">
            <a:lnSpc>
              <a:spcPts val="900"/>
            </a:lnSpc>
          </a:pPr>
          <a:endParaRPr lang="en-US" sz="8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I96"/>
  <sheetViews>
    <sheetView tabSelected="1" zoomScale="89" zoomScaleNormal="89" workbookViewId="0">
      <selection activeCell="Q56" sqref="Q56"/>
    </sheetView>
  </sheetViews>
  <sheetFormatPr defaultRowHeight="12.5" x14ac:dyDescent="0.25"/>
  <cols>
    <col min="1" max="1" width="15.54296875" style="14" customWidth="1"/>
    <col min="2" max="4" width="10.81640625" style="14" customWidth="1"/>
    <col min="5" max="5" width="2.26953125" style="14" customWidth="1"/>
    <col min="6" max="8" width="10.1796875" style="14" customWidth="1"/>
    <col min="9" max="9" width="2.453125" style="14" customWidth="1"/>
    <col min="10" max="12" width="10.26953125" style="14" customWidth="1"/>
    <col min="13" max="13" width="2.81640625" style="14" customWidth="1"/>
    <col min="14" max="16" width="10.453125" style="14" customWidth="1"/>
    <col min="17" max="18" width="12.1796875" style="14" customWidth="1"/>
    <col min="19" max="19" width="11.81640625" style="14" bestFit="1" customWidth="1"/>
    <col min="20" max="21" width="10.54296875" style="14" bestFit="1" customWidth="1"/>
    <col min="22" max="22" width="11.81640625" style="14" bestFit="1" customWidth="1"/>
    <col min="23" max="23" width="10.54296875" style="14" bestFit="1" customWidth="1"/>
    <col min="24" max="25" width="10.54296875" style="14" customWidth="1"/>
    <col min="26" max="33" width="9.1796875" style="14"/>
    <col min="34" max="34" width="10.81640625" style="14" customWidth="1"/>
    <col min="35" max="256" width="9.1796875" style="14"/>
    <col min="257" max="257" width="15.54296875" style="14" customWidth="1"/>
    <col min="258" max="260" width="10.81640625" style="14" customWidth="1"/>
    <col min="261" max="261" width="2.26953125" style="14" customWidth="1"/>
    <col min="262" max="264" width="10.1796875" style="14" customWidth="1"/>
    <col min="265" max="265" width="2.453125" style="14" customWidth="1"/>
    <col min="266" max="268" width="10.26953125" style="14" customWidth="1"/>
    <col min="269" max="269" width="2.81640625" style="14" customWidth="1"/>
    <col min="270" max="272" width="10.453125" style="14" customWidth="1"/>
    <col min="273" max="274" width="12.1796875" style="14" customWidth="1"/>
    <col min="275" max="275" width="11.81640625" style="14" bestFit="1" customWidth="1"/>
    <col min="276" max="277" width="10.54296875" style="14" bestFit="1" customWidth="1"/>
    <col min="278" max="278" width="11.81640625" style="14" bestFit="1" customWidth="1"/>
    <col min="279" max="279" width="10.54296875" style="14" bestFit="1" customWidth="1"/>
    <col min="280" max="281" width="10.54296875" style="14" customWidth="1"/>
    <col min="282" max="289" width="9.1796875" style="14"/>
    <col min="290" max="290" width="10.81640625" style="14" customWidth="1"/>
    <col min="291" max="512" width="9.1796875" style="14"/>
    <col min="513" max="513" width="15.54296875" style="14" customWidth="1"/>
    <col min="514" max="516" width="10.81640625" style="14" customWidth="1"/>
    <col min="517" max="517" width="2.26953125" style="14" customWidth="1"/>
    <col min="518" max="520" width="10.1796875" style="14" customWidth="1"/>
    <col min="521" max="521" width="2.453125" style="14" customWidth="1"/>
    <col min="522" max="524" width="10.26953125" style="14" customWidth="1"/>
    <col min="525" max="525" width="2.81640625" style="14" customWidth="1"/>
    <col min="526" max="528" width="10.453125" style="14" customWidth="1"/>
    <col min="529" max="530" width="12.1796875" style="14" customWidth="1"/>
    <col min="531" max="531" width="11.81640625" style="14" bestFit="1" customWidth="1"/>
    <col min="532" max="533" width="10.54296875" style="14" bestFit="1" customWidth="1"/>
    <col min="534" max="534" width="11.81640625" style="14" bestFit="1" customWidth="1"/>
    <col min="535" max="535" width="10.54296875" style="14" bestFit="1" customWidth="1"/>
    <col min="536" max="537" width="10.54296875" style="14" customWidth="1"/>
    <col min="538" max="545" width="9.1796875" style="14"/>
    <col min="546" max="546" width="10.81640625" style="14" customWidth="1"/>
    <col min="547" max="768" width="9.1796875" style="14"/>
    <col min="769" max="769" width="15.54296875" style="14" customWidth="1"/>
    <col min="770" max="772" width="10.81640625" style="14" customWidth="1"/>
    <col min="773" max="773" width="2.26953125" style="14" customWidth="1"/>
    <col min="774" max="776" width="10.1796875" style="14" customWidth="1"/>
    <col min="777" max="777" width="2.453125" style="14" customWidth="1"/>
    <col min="778" max="780" width="10.26953125" style="14" customWidth="1"/>
    <col min="781" max="781" width="2.81640625" style="14" customWidth="1"/>
    <col min="782" max="784" width="10.453125" style="14" customWidth="1"/>
    <col min="785" max="786" width="12.1796875" style="14" customWidth="1"/>
    <col min="787" max="787" width="11.81640625" style="14" bestFit="1" customWidth="1"/>
    <col min="788" max="789" width="10.54296875" style="14" bestFit="1" customWidth="1"/>
    <col min="790" max="790" width="11.81640625" style="14" bestFit="1" customWidth="1"/>
    <col min="791" max="791" width="10.54296875" style="14" bestFit="1" customWidth="1"/>
    <col min="792" max="793" width="10.54296875" style="14" customWidth="1"/>
    <col min="794" max="801" width="9.1796875" style="14"/>
    <col min="802" max="802" width="10.81640625" style="14" customWidth="1"/>
    <col min="803" max="1024" width="9.1796875" style="14"/>
    <col min="1025" max="1025" width="15.54296875" style="14" customWidth="1"/>
    <col min="1026" max="1028" width="10.81640625" style="14" customWidth="1"/>
    <col min="1029" max="1029" width="2.26953125" style="14" customWidth="1"/>
    <col min="1030" max="1032" width="10.1796875" style="14" customWidth="1"/>
    <col min="1033" max="1033" width="2.453125" style="14" customWidth="1"/>
    <col min="1034" max="1036" width="10.26953125" style="14" customWidth="1"/>
    <col min="1037" max="1037" width="2.81640625" style="14" customWidth="1"/>
    <col min="1038" max="1040" width="10.453125" style="14" customWidth="1"/>
    <col min="1041" max="1042" width="12.1796875" style="14" customWidth="1"/>
    <col min="1043" max="1043" width="11.81640625" style="14" bestFit="1" customWidth="1"/>
    <col min="1044" max="1045" width="10.54296875" style="14" bestFit="1" customWidth="1"/>
    <col min="1046" max="1046" width="11.81640625" style="14" bestFit="1" customWidth="1"/>
    <col min="1047" max="1047" width="10.54296875" style="14" bestFit="1" customWidth="1"/>
    <col min="1048" max="1049" width="10.54296875" style="14" customWidth="1"/>
    <col min="1050" max="1057" width="9.1796875" style="14"/>
    <col min="1058" max="1058" width="10.81640625" style="14" customWidth="1"/>
    <col min="1059" max="1280" width="9.1796875" style="14"/>
    <col min="1281" max="1281" width="15.54296875" style="14" customWidth="1"/>
    <col min="1282" max="1284" width="10.81640625" style="14" customWidth="1"/>
    <col min="1285" max="1285" width="2.26953125" style="14" customWidth="1"/>
    <col min="1286" max="1288" width="10.1796875" style="14" customWidth="1"/>
    <col min="1289" max="1289" width="2.453125" style="14" customWidth="1"/>
    <col min="1290" max="1292" width="10.26953125" style="14" customWidth="1"/>
    <col min="1293" max="1293" width="2.81640625" style="14" customWidth="1"/>
    <col min="1294" max="1296" width="10.453125" style="14" customWidth="1"/>
    <col min="1297" max="1298" width="12.1796875" style="14" customWidth="1"/>
    <col min="1299" max="1299" width="11.81640625" style="14" bestFit="1" customWidth="1"/>
    <col min="1300" max="1301" width="10.54296875" style="14" bestFit="1" customWidth="1"/>
    <col min="1302" max="1302" width="11.81640625" style="14" bestFit="1" customWidth="1"/>
    <col min="1303" max="1303" width="10.54296875" style="14" bestFit="1" customWidth="1"/>
    <col min="1304" max="1305" width="10.54296875" style="14" customWidth="1"/>
    <col min="1306" max="1313" width="9.1796875" style="14"/>
    <col min="1314" max="1314" width="10.81640625" style="14" customWidth="1"/>
    <col min="1315" max="1536" width="9.1796875" style="14"/>
    <col min="1537" max="1537" width="15.54296875" style="14" customWidth="1"/>
    <col min="1538" max="1540" width="10.81640625" style="14" customWidth="1"/>
    <col min="1541" max="1541" width="2.26953125" style="14" customWidth="1"/>
    <col min="1542" max="1544" width="10.1796875" style="14" customWidth="1"/>
    <col min="1545" max="1545" width="2.453125" style="14" customWidth="1"/>
    <col min="1546" max="1548" width="10.26953125" style="14" customWidth="1"/>
    <col min="1549" max="1549" width="2.81640625" style="14" customWidth="1"/>
    <col min="1550" max="1552" width="10.453125" style="14" customWidth="1"/>
    <col min="1553" max="1554" width="12.1796875" style="14" customWidth="1"/>
    <col min="1555" max="1555" width="11.81640625" style="14" bestFit="1" customWidth="1"/>
    <col min="1556" max="1557" width="10.54296875" style="14" bestFit="1" customWidth="1"/>
    <col min="1558" max="1558" width="11.81640625" style="14" bestFit="1" customWidth="1"/>
    <col min="1559" max="1559" width="10.54296875" style="14" bestFit="1" customWidth="1"/>
    <col min="1560" max="1561" width="10.54296875" style="14" customWidth="1"/>
    <col min="1562" max="1569" width="9.1796875" style="14"/>
    <col min="1570" max="1570" width="10.81640625" style="14" customWidth="1"/>
    <col min="1571" max="1792" width="9.1796875" style="14"/>
    <col min="1793" max="1793" width="15.54296875" style="14" customWidth="1"/>
    <col min="1794" max="1796" width="10.81640625" style="14" customWidth="1"/>
    <col min="1797" max="1797" width="2.26953125" style="14" customWidth="1"/>
    <col min="1798" max="1800" width="10.1796875" style="14" customWidth="1"/>
    <col min="1801" max="1801" width="2.453125" style="14" customWidth="1"/>
    <col min="1802" max="1804" width="10.26953125" style="14" customWidth="1"/>
    <col min="1805" max="1805" width="2.81640625" style="14" customWidth="1"/>
    <col min="1806" max="1808" width="10.453125" style="14" customWidth="1"/>
    <col min="1809" max="1810" width="12.1796875" style="14" customWidth="1"/>
    <col min="1811" max="1811" width="11.81640625" style="14" bestFit="1" customWidth="1"/>
    <col min="1812" max="1813" width="10.54296875" style="14" bestFit="1" customWidth="1"/>
    <col min="1814" max="1814" width="11.81640625" style="14" bestFit="1" customWidth="1"/>
    <col min="1815" max="1815" width="10.54296875" style="14" bestFit="1" customWidth="1"/>
    <col min="1816" max="1817" width="10.54296875" style="14" customWidth="1"/>
    <col min="1818" max="1825" width="9.1796875" style="14"/>
    <col min="1826" max="1826" width="10.81640625" style="14" customWidth="1"/>
    <col min="1827" max="2048" width="9.1796875" style="14"/>
    <col min="2049" max="2049" width="15.54296875" style="14" customWidth="1"/>
    <col min="2050" max="2052" width="10.81640625" style="14" customWidth="1"/>
    <col min="2053" max="2053" width="2.26953125" style="14" customWidth="1"/>
    <col min="2054" max="2056" width="10.1796875" style="14" customWidth="1"/>
    <col min="2057" max="2057" width="2.453125" style="14" customWidth="1"/>
    <col min="2058" max="2060" width="10.26953125" style="14" customWidth="1"/>
    <col min="2061" max="2061" width="2.81640625" style="14" customWidth="1"/>
    <col min="2062" max="2064" width="10.453125" style="14" customWidth="1"/>
    <col min="2065" max="2066" width="12.1796875" style="14" customWidth="1"/>
    <col min="2067" max="2067" width="11.81640625" style="14" bestFit="1" customWidth="1"/>
    <col min="2068" max="2069" width="10.54296875" style="14" bestFit="1" customWidth="1"/>
    <col min="2070" max="2070" width="11.81640625" style="14" bestFit="1" customWidth="1"/>
    <col min="2071" max="2071" width="10.54296875" style="14" bestFit="1" customWidth="1"/>
    <col min="2072" max="2073" width="10.54296875" style="14" customWidth="1"/>
    <col min="2074" max="2081" width="9.1796875" style="14"/>
    <col min="2082" max="2082" width="10.81640625" style="14" customWidth="1"/>
    <col min="2083" max="2304" width="9.1796875" style="14"/>
    <col min="2305" max="2305" width="15.54296875" style="14" customWidth="1"/>
    <col min="2306" max="2308" width="10.81640625" style="14" customWidth="1"/>
    <col min="2309" max="2309" width="2.26953125" style="14" customWidth="1"/>
    <col min="2310" max="2312" width="10.1796875" style="14" customWidth="1"/>
    <col min="2313" max="2313" width="2.453125" style="14" customWidth="1"/>
    <col min="2314" max="2316" width="10.26953125" style="14" customWidth="1"/>
    <col min="2317" max="2317" width="2.81640625" style="14" customWidth="1"/>
    <col min="2318" max="2320" width="10.453125" style="14" customWidth="1"/>
    <col min="2321" max="2322" width="12.1796875" style="14" customWidth="1"/>
    <col min="2323" max="2323" width="11.81640625" style="14" bestFit="1" customWidth="1"/>
    <col min="2324" max="2325" width="10.54296875" style="14" bestFit="1" customWidth="1"/>
    <col min="2326" max="2326" width="11.81640625" style="14" bestFit="1" customWidth="1"/>
    <col min="2327" max="2327" width="10.54296875" style="14" bestFit="1" customWidth="1"/>
    <col min="2328" max="2329" width="10.54296875" style="14" customWidth="1"/>
    <col min="2330" max="2337" width="9.1796875" style="14"/>
    <col min="2338" max="2338" width="10.81640625" style="14" customWidth="1"/>
    <col min="2339" max="2560" width="9.1796875" style="14"/>
    <col min="2561" max="2561" width="15.54296875" style="14" customWidth="1"/>
    <col min="2562" max="2564" width="10.81640625" style="14" customWidth="1"/>
    <col min="2565" max="2565" width="2.26953125" style="14" customWidth="1"/>
    <col min="2566" max="2568" width="10.1796875" style="14" customWidth="1"/>
    <col min="2569" max="2569" width="2.453125" style="14" customWidth="1"/>
    <col min="2570" max="2572" width="10.26953125" style="14" customWidth="1"/>
    <col min="2573" max="2573" width="2.81640625" style="14" customWidth="1"/>
    <col min="2574" max="2576" width="10.453125" style="14" customWidth="1"/>
    <col min="2577" max="2578" width="12.1796875" style="14" customWidth="1"/>
    <col min="2579" max="2579" width="11.81640625" style="14" bestFit="1" customWidth="1"/>
    <col min="2580" max="2581" width="10.54296875" style="14" bestFit="1" customWidth="1"/>
    <col min="2582" max="2582" width="11.81640625" style="14" bestFit="1" customWidth="1"/>
    <col min="2583" max="2583" width="10.54296875" style="14" bestFit="1" customWidth="1"/>
    <col min="2584" max="2585" width="10.54296875" style="14" customWidth="1"/>
    <col min="2586" max="2593" width="9.1796875" style="14"/>
    <col min="2594" max="2594" width="10.81640625" style="14" customWidth="1"/>
    <col min="2595" max="2816" width="9.1796875" style="14"/>
    <col min="2817" max="2817" width="15.54296875" style="14" customWidth="1"/>
    <col min="2818" max="2820" width="10.81640625" style="14" customWidth="1"/>
    <col min="2821" max="2821" width="2.26953125" style="14" customWidth="1"/>
    <col min="2822" max="2824" width="10.1796875" style="14" customWidth="1"/>
    <col min="2825" max="2825" width="2.453125" style="14" customWidth="1"/>
    <col min="2826" max="2828" width="10.26953125" style="14" customWidth="1"/>
    <col min="2829" max="2829" width="2.81640625" style="14" customWidth="1"/>
    <col min="2830" max="2832" width="10.453125" style="14" customWidth="1"/>
    <col min="2833" max="2834" width="12.1796875" style="14" customWidth="1"/>
    <col min="2835" max="2835" width="11.81640625" style="14" bestFit="1" customWidth="1"/>
    <col min="2836" max="2837" width="10.54296875" style="14" bestFit="1" customWidth="1"/>
    <col min="2838" max="2838" width="11.81640625" style="14" bestFit="1" customWidth="1"/>
    <col min="2839" max="2839" width="10.54296875" style="14" bestFit="1" customWidth="1"/>
    <col min="2840" max="2841" width="10.54296875" style="14" customWidth="1"/>
    <col min="2842" max="2849" width="9.1796875" style="14"/>
    <col min="2850" max="2850" width="10.81640625" style="14" customWidth="1"/>
    <col min="2851" max="3072" width="9.1796875" style="14"/>
    <col min="3073" max="3073" width="15.54296875" style="14" customWidth="1"/>
    <col min="3074" max="3076" width="10.81640625" style="14" customWidth="1"/>
    <col min="3077" max="3077" width="2.26953125" style="14" customWidth="1"/>
    <col min="3078" max="3080" width="10.1796875" style="14" customWidth="1"/>
    <col min="3081" max="3081" width="2.453125" style="14" customWidth="1"/>
    <col min="3082" max="3084" width="10.26953125" style="14" customWidth="1"/>
    <col min="3085" max="3085" width="2.81640625" style="14" customWidth="1"/>
    <col min="3086" max="3088" width="10.453125" style="14" customWidth="1"/>
    <col min="3089" max="3090" width="12.1796875" style="14" customWidth="1"/>
    <col min="3091" max="3091" width="11.81640625" style="14" bestFit="1" customWidth="1"/>
    <col min="3092" max="3093" width="10.54296875" style="14" bestFit="1" customWidth="1"/>
    <col min="3094" max="3094" width="11.81640625" style="14" bestFit="1" customWidth="1"/>
    <col min="3095" max="3095" width="10.54296875" style="14" bestFit="1" customWidth="1"/>
    <col min="3096" max="3097" width="10.54296875" style="14" customWidth="1"/>
    <col min="3098" max="3105" width="9.1796875" style="14"/>
    <col min="3106" max="3106" width="10.81640625" style="14" customWidth="1"/>
    <col min="3107" max="3328" width="9.1796875" style="14"/>
    <col min="3329" max="3329" width="15.54296875" style="14" customWidth="1"/>
    <col min="3330" max="3332" width="10.81640625" style="14" customWidth="1"/>
    <col min="3333" max="3333" width="2.26953125" style="14" customWidth="1"/>
    <col min="3334" max="3336" width="10.1796875" style="14" customWidth="1"/>
    <col min="3337" max="3337" width="2.453125" style="14" customWidth="1"/>
    <col min="3338" max="3340" width="10.26953125" style="14" customWidth="1"/>
    <col min="3341" max="3341" width="2.81640625" style="14" customWidth="1"/>
    <col min="3342" max="3344" width="10.453125" style="14" customWidth="1"/>
    <col min="3345" max="3346" width="12.1796875" style="14" customWidth="1"/>
    <col min="3347" max="3347" width="11.81640625" style="14" bestFit="1" customWidth="1"/>
    <col min="3348" max="3349" width="10.54296875" style="14" bestFit="1" customWidth="1"/>
    <col min="3350" max="3350" width="11.81640625" style="14" bestFit="1" customWidth="1"/>
    <col min="3351" max="3351" width="10.54296875" style="14" bestFit="1" customWidth="1"/>
    <col min="3352" max="3353" width="10.54296875" style="14" customWidth="1"/>
    <col min="3354" max="3361" width="9.1796875" style="14"/>
    <col min="3362" max="3362" width="10.81640625" style="14" customWidth="1"/>
    <col min="3363" max="3584" width="9.1796875" style="14"/>
    <col min="3585" max="3585" width="15.54296875" style="14" customWidth="1"/>
    <col min="3586" max="3588" width="10.81640625" style="14" customWidth="1"/>
    <col min="3589" max="3589" width="2.26953125" style="14" customWidth="1"/>
    <col min="3590" max="3592" width="10.1796875" style="14" customWidth="1"/>
    <col min="3593" max="3593" width="2.453125" style="14" customWidth="1"/>
    <col min="3594" max="3596" width="10.26953125" style="14" customWidth="1"/>
    <col min="3597" max="3597" width="2.81640625" style="14" customWidth="1"/>
    <col min="3598" max="3600" width="10.453125" style="14" customWidth="1"/>
    <col min="3601" max="3602" width="12.1796875" style="14" customWidth="1"/>
    <col min="3603" max="3603" width="11.81640625" style="14" bestFit="1" customWidth="1"/>
    <col min="3604" max="3605" width="10.54296875" style="14" bestFit="1" customWidth="1"/>
    <col min="3606" max="3606" width="11.81640625" style="14" bestFit="1" customWidth="1"/>
    <col min="3607" max="3607" width="10.54296875" style="14" bestFit="1" customWidth="1"/>
    <col min="3608" max="3609" width="10.54296875" style="14" customWidth="1"/>
    <col min="3610" max="3617" width="9.1796875" style="14"/>
    <col min="3618" max="3618" width="10.81640625" style="14" customWidth="1"/>
    <col min="3619" max="3840" width="9.1796875" style="14"/>
    <col min="3841" max="3841" width="15.54296875" style="14" customWidth="1"/>
    <col min="3842" max="3844" width="10.81640625" style="14" customWidth="1"/>
    <col min="3845" max="3845" width="2.26953125" style="14" customWidth="1"/>
    <col min="3846" max="3848" width="10.1796875" style="14" customWidth="1"/>
    <col min="3849" max="3849" width="2.453125" style="14" customWidth="1"/>
    <col min="3850" max="3852" width="10.26953125" style="14" customWidth="1"/>
    <col min="3853" max="3853" width="2.81640625" style="14" customWidth="1"/>
    <col min="3854" max="3856" width="10.453125" style="14" customWidth="1"/>
    <col min="3857" max="3858" width="12.1796875" style="14" customWidth="1"/>
    <col min="3859" max="3859" width="11.81640625" style="14" bestFit="1" customWidth="1"/>
    <col min="3860" max="3861" width="10.54296875" style="14" bestFit="1" customWidth="1"/>
    <col min="3862" max="3862" width="11.81640625" style="14" bestFit="1" customWidth="1"/>
    <col min="3863" max="3863" width="10.54296875" style="14" bestFit="1" customWidth="1"/>
    <col min="3864" max="3865" width="10.54296875" style="14" customWidth="1"/>
    <col min="3866" max="3873" width="9.1796875" style="14"/>
    <col min="3874" max="3874" width="10.81640625" style="14" customWidth="1"/>
    <col min="3875" max="4096" width="9.1796875" style="14"/>
    <col min="4097" max="4097" width="15.54296875" style="14" customWidth="1"/>
    <col min="4098" max="4100" width="10.81640625" style="14" customWidth="1"/>
    <col min="4101" max="4101" width="2.26953125" style="14" customWidth="1"/>
    <col min="4102" max="4104" width="10.1796875" style="14" customWidth="1"/>
    <col min="4105" max="4105" width="2.453125" style="14" customWidth="1"/>
    <col min="4106" max="4108" width="10.26953125" style="14" customWidth="1"/>
    <col min="4109" max="4109" width="2.81640625" style="14" customWidth="1"/>
    <col min="4110" max="4112" width="10.453125" style="14" customWidth="1"/>
    <col min="4113" max="4114" width="12.1796875" style="14" customWidth="1"/>
    <col min="4115" max="4115" width="11.81640625" style="14" bestFit="1" customWidth="1"/>
    <col min="4116" max="4117" width="10.54296875" style="14" bestFit="1" customWidth="1"/>
    <col min="4118" max="4118" width="11.81640625" style="14" bestFit="1" customWidth="1"/>
    <col min="4119" max="4119" width="10.54296875" style="14" bestFit="1" customWidth="1"/>
    <col min="4120" max="4121" width="10.54296875" style="14" customWidth="1"/>
    <col min="4122" max="4129" width="9.1796875" style="14"/>
    <col min="4130" max="4130" width="10.81640625" style="14" customWidth="1"/>
    <col min="4131" max="4352" width="9.1796875" style="14"/>
    <col min="4353" max="4353" width="15.54296875" style="14" customWidth="1"/>
    <col min="4354" max="4356" width="10.81640625" style="14" customWidth="1"/>
    <col min="4357" max="4357" width="2.26953125" style="14" customWidth="1"/>
    <col min="4358" max="4360" width="10.1796875" style="14" customWidth="1"/>
    <col min="4361" max="4361" width="2.453125" style="14" customWidth="1"/>
    <col min="4362" max="4364" width="10.26953125" style="14" customWidth="1"/>
    <col min="4365" max="4365" width="2.81640625" style="14" customWidth="1"/>
    <col min="4366" max="4368" width="10.453125" style="14" customWidth="1"/>
    <col min="4369" max="4370" width="12.1796875" style="14" customWidth="1"/>
    <col min="4371" max="4371" width="11.81640625" style="14" bestFit="1" customWidth="1"/>
    <col min="4372" max="4373" width="10.54296875" style="14" bestFit="1" customWidth="1"/>
    <col min="4374" max="4374" width="11.81640625" style="14" bestFit="1" customWidth="1"/>
    <col min="4375" max="4375" width="10.54296875" style="14" bestFit="1" customWidth="1"/>
    <col min="4376" max="4377" width="10.54296875" style="14" customWidth="1"/>
    <col min="4378" max="4385" width="9.1796875" style="14"/>
    <col min="4386" max="4386" width="10.81640625" style="14" customWidth="1"/>
    <col min="4387" max="4608" width="9.1796875" style="14"/>
    <col min="4609" max="4609" width="15.54296875" style="14" customWidth="1"/>
    <col min="4610" max="4612" width="10.81640625" style="14" customWidth="1"/>
    <col min="4613" max="4613" width="2.26953125" style="14" customWidth="1"/>
    <col min="4614" max="4616" width="10.1796875" style="14" customWidth="1"/>
    <col min="4617" max="4617" width="2.453125" style="14" customWidth="1"/>
    <col min="4618" max="4620" width="10.26953125" style="14" customWidth="1"/>
    <col min="4621" max="4621" width="2.81640625" style="14" customWidth="1"/>
    <col min="4622" max="4624" width="10.453125" style="14" customWidth="1"/>
    <col min="4625" max="4626" width="12.1796875" style="14" customWidth="1"/>
    <col min="4627" max="4627" width="11.81640625" style="14" bestFit="1" customWidth="1"/>
    <col min="4628" max="4629" width="10.54296875" style="14" bestFit="1" customWidth="1"/>
    <col min="4630" max="4630" width="11.81640625" style="14" bestFit="1" customWidth="1"/>
    <col min="4631" max="4631" width="10.54296875" style="14" bestFit="1" customWidth="1"/>
    <col min="4632" max="4633" width="10.54296875" style="14" customWidth="1"/>
    <col min="4634" max="4641" width="9.1796875" style="14"/>
    <col min="4642" max="4642" width="10.81640625" style="14" customWidth="1"/>
    <col min="4643" max="4864" width="9.1796875" style="14"/>
    <col min="4865" max="4865" width="15.54296875" style="14" customWidth="1"/>
    <col min="4866" max="4868" width="10.81640625" style="14" customWidth="1"/>
    <col min="4869" max="4869" width="2.26953125" style="14" customWidth="1"/>
    <col min="4870" max="4872" width="10.1796875" style="14" customWidth="1"/>
    <col min="4873" max="4873" width="2.453125" style="14" customWidth="1"/>
    <col min="4874" max="4876" width="10.26953125" style="14" customWidth="1"/>
    <col min="4877" max="4877" width="2.81640625" style="14" customWidth="1"/>
    <col min="4878" max="4880" width="10.453125" style="14" customWidth="1"/>
    <col min="4881" max="4882" width="12.1796875" style="14" customWidth="1"/>
    <col min="4883" max="4883" width="11.81640625" style="14" bestFit="1" customWidth="1"/>
    <col min="4884" max="4885" width="10.54296875" style="14" bestFit="1" customWidth="1"/>
    <col min="4886" max="4886" width="11.81640625" style="14" bestFit="1" customWidth="1"/>
    <col min="4887" max="4887" width="10.54296875" style="14" bestFit="1" customWidth="1"/>
    <col min="4888" max="4889" width="10.54296875" style="14" customWidth="1"/>
    <col min="4890" max="4897" width="9.1796875" style="14"/>
    <col min="4898" max="4898" width="10.81640625" style="14" customWidth="1"/>
    <col min="4899" max="5120" width="9.1796875" style="14"/>
    <col min="5121" max="5121" width="15.54296875" style="14" customWidth="1"/>
    <col min="5122" max="5124" width="10.81640625" style="14" customWidth="1"/>
    <col min="5125" max="5125" width="2.26953125" style="14" customWidth="1"/>
    <col min="5126" max="5128" width="10.1796875" style="14" customWidth="1"/>
    <col min="5129" max="5129" width="2.453125" style="14" customWidth="1"/>
    <col min="5130" max="5132" width="10.26953125" style="14" customWidth="1"/>
    <col min="5133" max="5133" width="2.81640625" style="14" customWidth="1"/>
    <col min="5134" max="5136" width="10.453125" style="14" customWidth="1"/>
    <col min="5137" max="5138" width="12.1796875" style="14" customWidth="1"/>
    <col min="5139" max="5139" width="11.81640625" style="14" bestFit="1" customWidth="1"/>
    <col min="5140" max="5141" width="10.54296875" style="14" bestFit="1" customWidth="1"/>
    <col min="5142" max="5142" width="11.81640625" style="14" bestFit="1" customWidth="1"/>
    <col min="5143" max="5143" width="10.54296875" style="14" bestFit="1" customWidth="1"/>
    <col min="5144" max="5145" width="10.54296875" style="14" customWidth="1"/>
    <col min="5146" max="5153" width="9.1796875" style="14"/>
    <col min="5154" max="5154" width="10.81640625" style="14" customWidth="1"/>
    <col min="5155" max="5376" width="9.1796875" style="14"/>
    <col min="5377" max="5377" width="15.54296875" style="14" customWidth="1"/>
    <col min="5378" max="5380" width="10.81640625" style="14" customWidth="1"/>
    <col min="5381" max="5381" width="2.26953125" style="14" customWidth="1"/>
    <col min="5382" max="5384" width="10.1796875" style="14" customWidth="1"/>
    <col min="5385" max="5385" width="2.453125" style="14" customWidth="1"/>
    <col min="5386" max="5388" width="10.26953125" style="14" customWidth="1"/>
    <col min="5389" max="5389" width="2.81640625" style="14" customWidth="1"/>
    <col min="5390" max="5392" width="10.453125" style="14" customWidth="1"/>
    <col min="5393" max="5394" width="12.1796875" style="14" customWidth="1"/>
    <col min="5395" max="5395" width="11.81640625" style="14" bestFit="1" customWidth="1"/>
    <col min="5396" max="5397" width="10.54296875" style="14" bestFit="1" customWidth="1"/>
    <col min="5398" max="5398" width="11.81640625" style="14" bestFit="1" customWidth="1"/>
    <col min="5399" max="5399" width="10.54296875" style="14" bestFit="1" customWidth="1"/>
    <col min="5400" max="5401" width="10.54296875" style="14" customWidth="1"/>
    <col min="5402" max="5409" width="9.1796875" style="14"/>
    <col min="5410" max="5410" width="10.81640625" style="14" customWidth="1"/>
    <col min="5411" max="5632" width="9.1796875" style="14"/>
    <col min="5633" max="5633" width="15.54296875" style="14" customWidth="1"/>
    <col min="5634" max="5636" width="10.81640625" style="14" customWidth="1"/>
    <col min="5637" max="5637" width="2.26953125" style="14" customWidth="1"/>
    <col min="5638" max="5640" width="10.1796875" style="14" customWidth="1"/>
    <col min="5641" max="5641" width="2.453125" style="14" customWidth="1"/>
    <col min="5642" max="5644" width="10.26953125" style="14" customWidth="1"/>
    <col min="5645" max="5645" width="2.81640625" style="14" customWidth="1"/>
    <col min="5646" max="5648" width="10.453125" style="14" customWidth="1"/>
    <col min="5649" max="5650" width="12.1796875" style="14" customWidth="1"/>
    <col min="5651" max="5651" width="11.81640625" style="14" bestFit="1" customWidth="1"/>
    <col min="5652" max="5653" width="10.54296875" style="14" bestFit="1" customWidth="1"/>
    <col min="5654" max="5654" width="11.81640625" style="14" bestFit="1" customWidth="1"/>
    <col min="5655" max="5655" width="10.54296875" style="14" bestFit="1" customWidth="1"/>
    <col min="5656" max="5657" width="10.54296875" style="14" customWidth="1"/>
    <col min="5658" max="5665" width="9.1796875" style="14"/>
    <col min="5666" max="5666" width="10.81640625" style="14" customWidth="1"/>
    <col min="5667" max="5888" width="9.1796875" style="14"/>
    <col min="5889" max="5889" width="15.54296875" style="14" customWidth="1"/>
    <col min="5890" max="5892" width="10.81640625" style="14" customWidth="1"/>
    <col min="5893" max="5893" width="2.26953125" style="14" customWidth="1"/>
    <col min="5894" max="5896" width="10.1796875" style="14" customWidth="1"/>
    <col min="5897" max="5897" width="2.453125" style="14" customWidth="1"/>
    <col min="5898" max="5900" width="10.26953125" style="14" customWidth="1"/>
    <col min="5901" max="5901" width="2.81640625" style="14" customWidth="1"/>
    <col min="5902" max="5904" width="10.453125" style="14" customWidth="1"/>
    <col min="5905" max="5906" width="12.1796875" style="14" customWidth="1"/>
    <col min="5907" max="5907" width="11.81640625" style="14" bestFit="1" customWidth="1"/>
    <col min="5908" max="5909" width="10.54296875" style="14" bestFit="1" customWidth="1"/>
    <col min="5910" max="5910" width="11.81640625" style="14" bestFit="1" customWidth="1"/>
    <col min="5911" max="5911" width="10.54296875" style="14" bestFit="1" customWidth="1"/>
    <col min="5912" max="5913" width="10.54296875" style="14" customWidth="1"/>
    <col min="5914" max="5921" width="9.1796875" style="14"/>
    <col min="5922" max="5922" width="10.81640625" style="14" customWidth="1"/>
    <col min="5923" max="6144" width="9.1796875" style="14"/>
    <col min="6145" max="6145" width="15.54296875" style="14" customWidth="1"/>
    <col min="6146" max="6148" width="10.81640625" style="14" customWidth="1"/>
    <col min="6149" max="6149" width="2.26953125" style="14" customWidth="1"/>
    <col min="6150" max="6152" width="10.1796875" style="14" customWidth="1"/>
    <col min="6153" max="6153" width="2.453125" style="14" customWidth="1"/>
    <col min="6154" max="6156" width="10.26953125" style="14" customWidth="1"/>
    <col min="6157" max="6157" width="2.81640625" style="14" customWidth="1"/>
    <col min="6158" max="6160" width="10.453125" style="14" customWidth="1"/>
    <col min="6161" max="6162" width="12.1796875" style="14" customWidth="1"/>
    <col min="6163" max="6163" width="11.81640625" style="14" bestFit="1" customWidth="1"/>
    <col min="6164" max="6165" width="10.54296875" style="14" bestFit="1" customWidth="1"/>
    <col min="6166" max="6166" width="11.81640625" style="14" bestFit="1" customWidth="1"/>
    <col min="6167" max="6167" width="10.54296875" style="14" bestFit="1" customWidth="1"/>
    <col min="6168" max="6169" width="10.54296875" style="14" customWidth="1"/>
    <col min="6170" max="6177" width="9.1796875" style="14"/>
    <col min="6178" max="6178" width="10.81640625" style="14" customWidth="1"/>
    <col min="6179" max="6400" width="9.1796875" style="14"/>
    <col min="6401" max="6401" width="15.54296875" style="14" customWidth="1"/>
    <col min="6402" max="6404" width="10.81640625" style="14" customWidth="1"/>
    <col min="6405" max="6405" width="2.26953125" style="14" customWidth="1"/>
    <col min="6406" max="6408" width="10.1796875" style="14" customWidth="1"/>
    <col min="6409" max="6409" width="2.453125" style="14" customWidth="1"/>
    <col min="6410" max="6412" width="10.26953125" style="14" customWidth="1"/>
    <col min="6413" max="6413" width="2.81640625" style="14" customWidth="1"/>
    <col min="6414" max="6416" width="10.453125" style="14" customWidth="1"/>
    <col min="6417" max="6418" width="12.1796875" style="14" customWidth="1"/>
    <col min="6419" max="6419" width="11.81640625" style="14" bestFit="1" customWidth="1"/>
    <col min="6420" max="6421" width="10.54296875" style="14" bestFit="1" customWidth="1"/>
    <col min="6422" max="6422" width="11.81640625" style="14" bestFit="1" customWidth="1"/>
    <col min="6423" max="6423" width="10.54296875" style="14" bestFit="1" customWidth="1"/>
    <col min="6424" max="6425" width="10.54296875" style="14" customWidth="1"/>
    <col min="6426" max="6433" width="9.1796875" style="14"/>
    <col min="6434" max="6434" width="10.81640625" style="14" customWidth="1"/>
    <col min="6435" max="6656" width="9.1796875" style="14"/>
    <col min="6657" max="6657" width="15.54296875" style="14" customWidth="1"/>
    <col min="6658" max="6660" width="10.81640625" style="14" customWidth="1"/>
    <col min="6661" max="6661" width="2.26953125" style="14" customWidth="1"/>
    <col min="6662" max="6664" width="10.1796875" style="14" customWidth="1"/>
    <col min="6665" max="6665" width="2.453125" style="14" customWidth="1"/>
    <col min="6666" max="6668" width="10.26953125" style="14" customWidth="1"/>
    <col min="6669" max="6669" width="2.81640625" style="14" customWidth="1"/>
    <col min="6670" max="6672" width="10.453125" style="14" customWidth="1"/>
    <col min="6673" max="6674" width="12.1796875" style="14" customWidth="1"/>
    <col min="6675" max="6675" width="11.81640625" style="14" bestFit="1" customWidth="1"/>
    <col min="6676" max="6677" width="10.54296875" style="14" bestFit="1" customWidth="1"/>
    <col min="6678" max="6678" width="11.81640625" style="14" bestFit="1" customWidth="1"/>
    <col min="6679" max="6679" width="10.54296875" style="14" bestFit="1" customWidth="1"/>
    <col min="6680" max="6681" width="10.54296875" style="14" customWidth="1"/>
    <col min="6682" max="6689" width="9.1796875" style="14"/>
    <col min="6690" max="6690" width="10.81640625" style="14" customWidth="1"/>
    <col min="6691" max="6912" width="9.1796875" style="14"/>
    <col min="6913" max="6913" width="15.54296875" style="14" customWidth="1"/>
    <col min="6914" max="6916" width="10.81640625" style="14" customWidth="1"/>
    <col min="6917" max="6917" width="2.26953125" style="14" customWidth="1"/>
    <col min="6918" max="6920" width="10.1796875" style="14" customWidth="1"/>
    <col min="6921" max="6921" width="2.453125" style="14" customWidth="1"/>
    <col min="6922" max="6924" width="10.26953125" style="14" customWidth="1"/>
    <col min="6925" max="6925" width="2.81640625" style="14" customWidth="1"/>
    <col min="6926" max="6928" width="10.453125" style="14" customWidth="1"/>
    <col min="6929" max="6930" width="12.1796875" style="14" customWidth="1"/>
    <col min="6931" max="6931" width="11.81640625" style="14" bestFit="1" customWidth="1"/>
    <col min="6932" max="6933" width="10.54296875" style="14" bestFit="1" customWidth="1"/>
    <col min="6934" max="6934" width="11.81640625" style="14" bestFit="1" customWidth="1"/>
    <col min="6935" max="6935" width="10.54296875" style="14" bestFit="1" customWidth="1"/>
    <col min="6936" max="6937" width="10.54296875" style="14" customWidth="1"/>
    <col min="6938" max="6945" width="9.1796875" style="14"/>
    <col min="6946" max="6946" width="10.81640625" style="14" customWidth="1"/>
    <col min="6947" max="7168" width="9.1796875" style="14"/>
    <col min="7169" max="7169" width="15.54296875" style="14" customWidth="1"/>
    <col min="7170" max="7172" width="10.81640625" style="14" customWidth="1"/>
    <col min="7173" max="7173" width="2.26953125" style="14" customWidth="1"/>
    <col min="7174" max="7176" width="10.1796875" style="14" customWidth="1"/>
    <col min="7177" max="7177" width="2.453125" style="14" customWidth="1"/>
    <col min="7178" max="7180" width="10.26953125" style="14" customWidth="1"/>
    <col min="7181" max="7181" width="2.81640625" style="14" customWidth="1"/>
    <col min="7182" max="7184" width="10.453125" style="14" customWidth="1"/>
    <col min="7185" max="7186" width="12.1796875" style="14" customWidth="1"/>
    <col min="7187" max="7187" width="11.81640625" style="14" bestFit="1" customWidth="1"/>
    <col min="7188" max="7189" width="10.54296875" style="14" bestFit="1" customWidth="1"/>
    <col min="7190" max="7190" width="11.81640625" style="14" bestFit="1" customWidth="1"/>
    <col min="7191" max="7191" width="10.54296875" style="14" bestFit="1" customWidth="1"/>
    <col min="7192" max="7193" width="10.54296875" style="14" customWidth="1"/>
    <col min="7194" max="7201" width="9.1796875" style="14"/>
    <col min="7202" max="7202" width="10.81640625" style="14" customWidth="1"/>
    <col min="7203" max="7424" width="9.1796875" style="14"/>
    <col min="7425" max="7425" width="15.54296875" style="14" customWidth="1"/>
    <col min="7426" max="7428" width="10.81640625" style="14" customWidth="1"/>
    <col min="7429" max="7429" width="2.26953125" style="14" customWidth="1"/>
    <col min="7430" max="7432" width="10.1796875" style="14" customWidth="1"/>
    <col min="7433" max="7433" width="2.453125" style="14" customWidth="1"/>
    <col min="7434" max="7436" width="10.26953125" style="14" customWidth="1"/>
    <col min="7437" max="7437" width="2.81640625" style="14" customWidth="1"/>
    <col min="7438" max="7440" width="10.453125" style="14" customWidth="1"/>
    <col min="7441" max="7442" width="12.1796875" style="14" customWidth="1"/>
    <col min="7443" max="7443" width="11.81640625" style="14" bestFit="1" customWidth="1"/>
    <col min="7444" max="7445" width="10.54296875" style="14" bestFit="1" customWidth="1"/>
    <col min="7446" max="7446" width="11.81640625" style="14" bestFit="1" customWidth="1"/>
    <col min="7447" max="7447" width="10.54296875" style="14" bestFit="1" customWidth="1"/>
    <col min="7448" max="7449" width="10.54296875" style="14" customWidth="1"/>
    <col min="7450" max="7457" width="9.1796875" style="14"/>
    <col min="7458" max="7458" width="10.81640625" style="14" customWidth="1"/>
    <col min="7459" max="7680" width="9.1796875" style="14"/>
    <col min="7681" max="7681" width="15.54296875" style="14" customWidth="1"/>
    <col min="7682" max="7684" width="10.81640625" style="14" customWidth="1"/>
    <col min="7685" max="7685" width="2.26953125" style="14" customWidth="1"/>
    <col min="7686" max="7688" width="10.1796875" style="14" customWidth="1"/>
    <col min="7689" max="7689" width="2.453125" style="14" customWidth="1"/>
    <col min="7690" max="7692" width="10.26953125" style="14" customWidth="1"/>
    <col min="7693" max="7693" width="2.81640625" style="14" customWidth="1"/>
    <col min="7694" max="7696" width="10.453125" style="14" customWidth="1"/>
    <col min="7697" max="7698" width="12.1796875" style="14" customWidth="1"/>
    <col min="7699" max="7699" width="11.81640625" style="14" bestFit="1" customWidth="1"/>
    <col min="7700" max="7701" width="10.54296875" style="14" bestFit="1" customWidth="1"/>
    <col min="7702" max="7702" width="11.81640625" style="14" bestFit="1" customWidth="1"/>
    <col min="7703" max="7703" width="10.54296875" style="14" bestFit="1" customWidth="1"/>
    <col min="7704" max="7705" width="10.54296875" style="14" customWidth="1"/>
    <col min="7706" max="7713" width="9.1796875" style="14"/>
    <col min="7714" max="7714" width="10.81640625" style="14" customWidth="1"/>
    <col min="7715" max="7936" width="9.1796875" style="14"/>
    <col min="7937" max="7937" width="15.54296875" style="14" customWidth="1"/>
    <col min="7938" max="7940" width="10.81640625" style="14" customWidth="1"/>
    <col min="7941" max="7941" width="2.26953125" style="14" customWidth="1"/>
    <col min="7942" max="7944" width="10.1796875" style="14" customWidth="1"/>
    <col min="7945" max="7945" width="2.453125" style="14" customWidth="1"/>
    <col min="7946" max="7948" width="10.26953125" style="14" customWidth="1"/>
    <col min="7949" max="7949" width="2.81640625" style="14" customWidth="1"/>
    <col min="7950" max="7952" width="10.453125" style="14" customWidth="1"/>
    <col min="7953" max="7954" width="12.1796875" style="14" customWidth="1"/>
    <col min="7955" max="7955" width="11.81640625" style="14" bestFit="1" customWidth="1"/>
    <col min="7956" max="7957" width="10.54296875" style="14" bestFit="1" customWidth="1"/>
    <col min="7958" max="7958" width="11.81640625" style="14" bestFit="1" customWidth="1"/>
    <col min="7959" max="7959" width="10.54296875" style="14" bestFit="1" customWidth="1"/>
    <col min="7960" max="7961" width="10.54296875" style="14" customWidth="1"/>
    <col min="7962" max="7969" width="9.1796875" style="14"/>
    <col min="7970" max="7970" width="10.81640625" style="14" customWidth="1"/>
    <col min="7971" max="8192" width="9.1796875" style="14"/>
    <col min="8193" max="8193" width="15.54296875" style="14" customWidth="1"/>
    <col min="8194" max="8196" width="10.81640625" style="14" customWidth="1"/>
    <col min="8197" max="8197" width="2.26953125" style="14" customWidth="1"/>
    <col min="8198" max="8200" width="10.1796875" style="14" customWidth="1"/>
    <col min="8201" max="8201" width="2.453125" style="14" customWidth="1"/>
    <col min="8202" max="8204" width="10.26953125" style="14" customWidth="1"/>
    <col min="8205" max="8205" width="2.81640625" style="14" customWidth="1"/>
    <col min="8206" max="8208" width="10.453125" style="14" customWidth="1"/>
    <col min="8209" max="8210" width="12.1796875" style="14" customWidth="1"/>
    <col min="8211" max="8211" width="11.81640625" style="14" bestFit="1" customWidth="1"/>
    <col min="8212" max="8213" width="10.54296875" style="14" bestFit="1" customWidth="1"/>
    <col min="8214" max="8214" width="11.81640625" style="14" bestFit="1" customWidth="1"/>
    <col min="8215" max="8215" width="10.54296875" style="14" bestFit="1" customWidth="1"/>
    <col min="8216" max="8217" width="10.54296875" style="14" customWidth="1"/>
    <col min="8218" max="8225" width="9.1796875" style="14"/>
    <col min="8226" max="8226" width="10.81640625" style="14" customWidth="1"/>
    <col min="8227" max="8448" width="9.1796875" style="14"/>
    <col min="8449" max="8449" width="15.54296875" style="14" customWidth="1"/>
    <col min="8450" max="8452" width="10.81640625" style="14" customWidth="1"/>
    <col min="8453" max="8453" width="2.26953125" style="14" customWidth="1"/>
    <col min="8454" max="8456" width="10.1796875" style="14" customWidth="1"/>
    <col min="8457" max="8457" width="2.453125" style="14" customWidth="1"/>
    <col min="8458" max="8460" width="10.26953125" style="14" customWidth="1"/>
    <col min="8461" max="8461" width="2.81640625" style="14" customWidth="1"/>
    <col min="8462" max="8464" width="10.453125" style="14" customWidth="1"/>
    <col min="8465" max="8466" width="12.1796875" style="14" customWidth="1"/>
    <col min="8467" max="8467" width="11.81640625" style="14" bestFit="1" customWidth="1"/>
    <col min="8468" max="8469" width="10.54296875" style="14" bestFit="1" customWidth="1"/>
    <col min="8470" max="8470" width="11.81640625" style="14" bestFit="1" customWidth="1"/>
    <col min="8471" max="8471" width="10.54296875" style="14" bestFit="1" customWidth="1"/>
    <col min="8472" max="8473" width="10.54296875" style="14" customWidth="1"/>
    <col min="8474" max="8481" width="9.1796875" style="14"/>
    <col min="8482" max="8482" width="10.81640625" style="14" customWidth="1"/>
    <col min="8483" max="8704" width="9.1796875" style="14"/>
    <col min="8705" max="8705" width="15.54296875" style="14" customWidth="1"/>
    <col min="8706" max="8708" width="10.81640625" style="14" customWidth="1"/>
    <col min="8709" max="8709" width="2.26953125" style="14" customWidth="1"/>
    <col min="8710" max="8712" width="10.1796875" style="14" customWidth="1"/>
    <col min="8713" max="8713" width="2.453125" style="14" customWidth="1"/>
    <col min="8714" max="8716" width="10.26953125" style="14" customWidth="1"/>
    <col min="8717" max="8717" width="2.81640625" style="14" customWidth="1"/>
    <col min="8718" max="8720" width="10.453125" style="14" customWidth="1"/>
    <col min="8721" max="8722" width="12.1796875" style="14" customWidth="1"/>
    <col min="8723" max="8723" width="11.81640625" style="14" bestFit="1" customWidth="1"/>
    <col min="8724" max="8725" width="10.54296875" style="14" bestFit="1" customWidth="1"/>
    <col min="8726" max="8726" width="11.81640625" style="14" bestFit="1" customWidth="1"/>
    <col min="8727" max="8727" width="10.54296875" style="14" bestFit="1" customWidth="1"/>
    <col min="8728" max="8729" width="10.54296875" style="14" customWidth="1"/>
    <col min="8730" max="8737" width="9.1796875" style="14"/>
    <col min="8738" max="8738" width="10.81640625" style="14" customWidth="1"/>
    <col min="8739" max="8960" width="9.1796875" style="14"/>
    <col min="8961" max="8961" width="15.54296875" style="14" customWidth="1"/>
    <col min="8962" max="8964" width="10.81640625" style="14" customWidth="1"/>
    <col min="8965" max="8965" width="2.26953125" style="14" customWidth="1"/>
    <col min="8966" max="8968" width="10.1796875" style="14" customWidth="1"/>
    <col min="8969" max="8969" width="2.453125" style="14" customWidth="1"/>
    <col min="8970" max="8972" width="10.26953125" style="14" customWidth="1"/>
    <col min="8973" max="8973" width="2.81640625" style="14" customWidth="1"/>
    <col min="8974" max="8976" width="10.453125" style="14" customWidth="1"/>
    <col min="8977" max="8978" width="12.1796875" style="14" customWidth="1"/>
    <col min="8979" max="8979" width="11.81640625" style="14" bestFit="1" customWidth="1"/>
    <col min="8980" max="8981" width="10.54296875" style="14" bestFit="1" customWidth="1"/>
    <col min="8982" max="8982" width="11.81640625" style="14" bestFit="1" customWidth="1"/>
    <col min="8983" max="8983" width="10.54296875" style="14" bestFit="1" customWidth="1"/>
    <col min="8984" max="8985" width="10.54296875" style="14" customWidth="1"/>
    <col min="8986" max="8993" width="9.1796875" style="14"/>
    <col min="8994" max="8994" width="10.81640625" style="14" customWidth="1"/>
    <col min="8995" max="9216" width="9.1796875" style="14"/>
    <col min="9217" max="9217" width="15.54296875" style="14" customWidth="1"/>
    <col min="9218" max="9220" width="10.81640625" style="14" customWidth="1"/>
    <col min="9221" max="9221" width="2.26953125" style="14" customWidth="1"/>
    <col min="9222" max="9224" width="10.1796875" style="14" customWidth="1"/>
    <col min="9225" max="9225" width="2.453125" style="14" customWidth="1"/>
    <col min="9226" max="9228" width="10.26953125" style="14" customWidth="1"/>
    <col min="9229" max="9229" width="2.81640625" style="14" customWidth="1"/>
    <col min="9230" max="9232" width="10.453125" style="14" customWidth="1"/>
    <col min="9233" max="9234" width="12.1796875" style="14" customWidth="1"/>
    <col min="9235" max="9235" width="11.81640625" style="14" bestFit="1" customWidth="1"/>
    <col min="9236" max="9237" width="10.54296875" style="14" bestFit="1" customWidth="1"/>
    <col min="9238" max="9238" width="11.81640625" style="14" bestFit="1" customWidth="1"/>
    <col min="9239" max="9239" width="10.54296875" style="14" bestFit="1" customWidth="1"/>
    <col min="9240" max="9241" width="10.54296875" style="14" customWidth="1"/>
    <col min="9242" max="9249" width="9.1796875" style="14"/>
    <col min="9250" max="9250" width="10.81640625" style="14" customWidth="1"/>
    <col min="9251" max="9472" width="9.1796875" style="14"/>
    <col min="9473" max="9473" width="15.54296875" style="14" customWidth="1"/>
    <col min="9474" max="9476" width="10.81640625" style="14" customWidth="1"/>
    <col min="9477" max="9477" width="2.26953125" style="14" customWidth="1"/>
    <col min="9478" max="9480" width="10.1796875" style="14" customWidth="1"/>
    <col min="9481" max="9481" width="2.453125" style="14" customWidth="1"/>
    <col min="9482" max="9484" width="10.26953125" style="14" customWidth="1"/>
    <col min="9485" max="9485" width="2.81640625" style="14" customWidth="1"/>
    <col min="9486" max="9488" width="10.453125" style="14" customWidth="1"/>
    <col min="9489" max="9490" width="12.1796875" style="14" customWidth="1"/>
    <col min="9491" max="9491" width="11.81640625" style="14" bestFit="1" customWidth="1"/>
    <col min="9492" max="9493" width="10.54296875" style="14" bestFit="1" customWidth="1"/>
    <col min="9494" max="9494" width="11.81640625" style="14" bestFit="1" customWidth="1"/>
    <col min="9495" max="9495" width="10.54296875" style="14" bestFit="1" customWidth="1"/>
    <col min="9496" max="9497" width="10.54296875" style="14" customWidth="1"/>
    <col min="9498" max="9505" width="9.1796875" style="14"/>
    <col min="9506" max="9506" width="10.81640625" style="14" customWidth="1"/>
    <col min="9507" max="9728" width="9.1796875" style="14"/>
    <col min="9729" max="9729" width="15.54296875" style="14" customWidth="1"/>
    <col min="9730" max="9732" width="10.81640625" style="14" customWidth="1"/>
    <col min="9733" max="9733" width="2.26953125" style="14" customWidth="1"/>
    <col min="9734" max="9736" width="10.1796875" style="14" customWidth="1"/>
    <col min="9737" max="9737" width="2.453125" style="14" customWidth="1"/>
    <col min="9738" max="9740" width="10.26953125" style="14" customWidth="1"/>
    <col min="9741" max="9741" width="2.81640625" style="14" customWidth="1"/>
    <col min="9742" max="9744" width="10.453125" style="14" customWidth="1"/>
    <col min="9745" max="9746" width="12.1796875" style="14" customWidth="1"/>
    <col min="9747" max="9747" width="11.81640625" style="14" bestFit="1" customWidth="1"/>
    <col min="9748" max="9749" width="10.54296875" style="14" bestFit="1" customWidth="1"/>
    <col min="9750" max="9750" width="11.81640625" style="14" bestFit="1" customWidth="1"/>
    <col min="9751" max="9751" width="10.54296875" style="14" bestFit="1" customWidth="1"/>
    <col min="9752" max="9753" width="10.54296875" style="14" customWidth="1"/>
    <col min="9754" max="9761" width="9.1796875" style="14"/>
    <col min="9762" max="9762" width="10.81640625" style="14" customWidth="1"/>
    <col min="9763" max="9984" width="9.1796875" style="14"/>
    <col min="9985" max="9985" width="15.54296875" style="14" customWidth="1"/>
    <col min="9986" max="9988" width="10.81640625" style="14" customWidth="1"/>
    <col min="9989" max="9989" width="2.26953125" style="14" customWidth="1"/>
    <col min="9990" max="9992" width="10.1796875" style="14" customWidth="1"/>
    <col min="9993" max="9993" width="2.453125" style="14" customWidth="1"/>
    <col min="9994" max="9996" width="10.26953125" style="14" customWidth="1"/>
    <col min="9997" max="9997" width="2.81640625" style="14" customWidth="1"/>
    <col min="9998" max="10000" width="10.453125" style="14" customWidth="1"/>
    <col min="10001" max="10002" width="12.1796875" style="14" customWidth="1"/>
    <col min="10003" max="10003" width="11.81640625" style="14" bestFit="1" customWidth="1"/>
    <col min="10004" max="10005" width="10.54296875" style="14" bestFit="1" customWidth="1"/>
    <col min="10006" max="10006" width="11.81640625" style="14" bestFit="1" customWidth="1"/>
    <col min="10007" max="10007" width="10.54296875" style="14" bestFit="1" customWidth="1"/>
    <col min="10008" max="10009" width="10.54296875" style="14" customWidth="1"/>
    <col min="10010" max="10017" width="9.1796875" style="14"/>
    <col min="10018" max="10018" width="10.81640625" style="14" customWidth="1"/>
    <col min="10019" max="10240" width="9.1796875" style="14"/>
    <col min="10241" max="10241" width="15.54296875" style="14" customWidth="1"/>
    <col min="10242" max="10244" width="10.81640625" style="14" customWidth="1"/>
    <col min="10245" max="10245" width="2.26953125" style="14" customWidth="1"/>
    <col min="10246" max="10248" width="10.1796875" style="14" customWidth="1"/>
    <col min="10249" max="10249" width="2.453125" style="14" customWidth="1"/>
    <col min="10250" max="10252" width="10.26953125" style="14" customWidth="1"/>
    <col min="10253" max="10253" width="2.81640625" style="14" customWidth="1"/>
    <col min="10254" max="10256" width="10.453125" style="14" customWidth="1"/>
    <col min="10257" max="10258" width="12.1796875" style="14" customWidth="1"/>
    <col min="10259" max="10259" width="11.81640625" style="14" bestFit="1" customWidth="1"/>
    <col min="10260" max="10261" width="10.54296875" style="14" bestFit="1" customWidth="1"/>
    <col min="10262" max="10262" width="11.81640625" style="14" bestFit="1" customWidth="1"/>
    <col min="10263" max="10263" width="10.54296875" style="14" bestFit="1" customWidth="1"/>
    <col min="10264" max="10265" width="10.54296875" style="14" customWidth="1"/>
    <col min="10266" max="10273" width="9.1796875" style="14"/>
    <col min="10274" max="10274" width="10.81640625" style="14" customWidth="1"/>
    <col min="10275" max="10496" width="9.1796875" style="14"/>
    <col min="10497" max="10497" width="15.54296875" style="14" customWidth="1"/>
    <col min="10498" max="10500" width="10.81640625" style="14" customWidth="1"/>
    <col min="10501" max="10501" width="2.26953125" style="14" customWidth="1"/>
    <col min="10502" max="10504" width="10.1796875" style="14" customWidth="1"/>
    <col min="10505" max="10505" width="2.453125" style="14" customWidth="1"/>
    <col min="10506" max="10508" width="10.26953125" style="14" customWidth="1"/>
    <col min="10509" max="10509" width="2.81640625" style="14" customWidth="1"/>
    <col min="10510" max="10512" width="10.453125" style="14" customWidth="1"/>
    <col min="10513" max="10514" width="12.1796875" style="14" customWidth="1"/>
    <col min="10515" max="10515" width="11.81640625" style="14" bestFit="1" customWidth="1"/>
    <col min="10516" max="10517" width="10.54296875" style="14" bestFit="1" customWidth="1"/>
    <col min="10518" max="10518" width="11.81640625" style="14" bestFit="1" customWidth="1"/>
    <col min="10519" max="10519" width="10.54296875" style="14" bestFit="1" customWidth="1"/>
    <col min="10520" max="10521" width="10.54296875" style="14" customWidth="1"/>
    <col min="10522" max="10529" width="9.1796875" style="14"/>
    <col min="10530" max="10530" width="10.81640625" style="14" customWidth="1"/>
    <col min="10531" max="10752" width="9.1796875" style="14"/>
    <col min="10753" max="10753" width="15.54296875" style="14" customWidth="1"/>
    <col min="10754" max="10756" width="10.81640625" style="14" customWidth="1"/>
    <col min="10757" max="10757" width="2.26953125" style="14" customWidth="1"/>
    <col min="10758" max="10760" width="10.1796875" style="14" customWidth="1"/>
    <col min="10761" max="10761" width="2.453125" style="14" customWidth="1"/>
    <col min="10762" max="10764" width="10.26953125" style="14" customWidth="1"/>
    <col min="10765" max="10765" width="2.81640625" style="14" customWidth="1"/>
    <col min="10766" max="10768" width="10.453125" style="14" customWidth="1"/>
    <col min="10769" max="10770" width="12.1796875" style="14" customWidth="1"/>
    <col min="10771" max="10771" width="11.81640625" style="14" bestFit="1" customWidth="1"/>
    <col min="10772" max="10773" width="10.54296875" style="14" bestFit="1" customWidth="1"/>
    <col min="10774" max="10774" width="11.81640625" style="14" bestFit="1" customWidth="1"/>
    <col min="10775" max="10775" width="10.54296875" style="14" bestFit="1" customWidth="1"/>
    <col min="10776" max="10777" width="10.54296875" style="14" customWidth="1"/>
    <col min="10778" max="10785" width="9.1796875" style="14"/>
    <col min="10786" max="10786" width="10.81640625" style="14" customWidth="1"/>
    <col min="10787" max="11008" width="9.1796875" style="14"/>
    <col min="11009" max="11009" width="15.54296875" style="14" customWidth="1"/>
    <col min="11010" max="11012" width="10.81640625" style="14" customWidth="1"/>
    <col min="11013" max="11013" width="2.26953125" style="14" customWidth="1"/>
    <col min="11014" max="11016" width="10.1796875" style="14" customWidth="1"/>
    <col min="11017" max="11017" width="2.453125" style="14" customWidth="1"/>
    <col min="11018" max="11020" width="10.26953125" style="14" customWidth="1"/>
    <col min="11021" max="11021" width="2.81640625" style="14" customWidth="1"/>
    <col min="11022" max="11024" width="10.453125" style="14" customWidth="1"/>
    <col min="11025" max="11026" width="12.1796875" style="14" customWidth="1"/>
    <col min="11027" max="11027" width="11.81640625" style="14" bestFit="1" customWidth="1"/>
    <col min="11028" max="11029" width="10.54296875" style="14" bestFit="1" customWidth="1"/>
    <col min="11030" max="11030" width="11.81640625" style="14" bestFit="1" customWidth="1"/>
    <col min="11031" max="11031" width="10.54296875" style="14" bestFit="1" customWidth="1"/>
    <col min="11032" max="11033" width="10.54296875" style="14" customWidth="1"/>
    <col min="11034" max="11041" width="9.1796875" style="14"/>
    <col min="11042" max="11042" width="10.81640625" style="14" customWidth="1"/>
    <col min="11043" max="11264" width="9.1796875" style="14"/>
    <col min="11265" max="11265" width="15.54296875" style="14" customWidth="1"/>
    <col min="11266" max="11268" width="10.81640625" style="14" customWidth="1"/>
    <col min="11269" max="11269" width="2.26953125" style="14" customWidth="1"/>
    <col min="11270" max="11272" width="10.1796875" style="14" customWidth="1"/>
    <col min="11273" max="11273" width="2.453125" style="14" customWidth="1"/>
    <col min="11274" max="11276" width="10.26953125" style="14" customWidth="1"/>
    <col min="11277" max="11277" width="2.81640625" style="14" customWidth="1"/>
    <col min="11278" max="11280" width="10.453125" style="14" customWidth="1"/>
    <col min="11281" max="11282" width="12.1796875" style="14" customWidth="1"/>
    <col min="11283" max="11283" width="11.81640625" style="14" bestFit="1" customWidth="1"/>
    <col min="11284" max="11285" width="10.54296875" style="14" bestFit="1" customWidth="1"/>
    <col min="11286" max="11286" width="11.81640625" style="14" bestFit="1" customWidth="1"/>
    <col min="11287" max="11287" width="10.54296875" style="14" bestFit="1" customWidth="1"/>
    <col min="11288" max="11289" width="10.54296875" style="14" customWidth="1"/>
    <col min="11290" max="11297" width="9.1796875" style="14"/>
    <col min="11298" max="11298" width="10.81640625" style="14" customWidth="1"/>
    <col min="11299" max="11520" width="9.1796875" style="14"/>
    <col min="11521" max="11521" width="15.54296875" style="14" customWidth="1"/>
    <col min="11522" max="11524" width="10.81640625" style="14" customWidth="1"/>
    <col min="11525" max="11525" width="2.26953125" style="14" customWidth="1"/>
    <col min="11526" max="11528" width="10.1796875" style="14" customWidth="1"/>
    <col min="11529" max="11529" width="2.453125" style="14" customWidth="1"/>
    <col min="11530" max="11532" width="10.26953125" style="14" customWidth="1"/>
    <col min="11533" max="11533" width="2.81640625" style="14" customWidth="1"/>
    <col min="11534" max="11536" width="10.453125" style="14" customWidth="1"/>
    <col min="11537" max="11538" width="12.1796875" style="14" customWidth="1"/>
    <col min="11539" max="11539" width="11.81640625" style="14" bestFit="1" customWidth="1"/>
    <col min="11540" max="11541" width="10.54296875" style="14" bestFit="1" customWidth="1"/>
    <col min="11542" max="11542" width="11.81640625" style="14" bestFit="1" customWidth="1"/>
    <col min="11543" max="11543" width="10.54296875" style="14" bestFit="1" customWidth="1"/>
    <col min="11544" max="11545" width="10.54296875" style="14" customWidth="1"/>
    <col min="11546" max="11553" width="9.1796875" style="14"/>
    <col min="11554" max="11554" width="10.81640625" style="14" customWidth="1"/>
    <col min="11555" max="11776" width="9.1796875" style="14"/>
    <col min="11777" max="11777" width="15.54296875" style="14" customWidth="1"/>
    <col min="11778" max="11780" width="10.81640625" style="14" customWidth="1"/>
    <col min="11781" max="11781" width="2.26953125" style="14" customWidth="1"/>
    <col min="11782" max="11784" width="10.1796875" style="14" customWidth="1"/>
    <col min="11785" max="11785" width="2.453125" style="14" customWidth="1"/>
    <col min="11786" max="11788" width="10.26953125" style="14" customWidth="1"/>
    <col min="11789" max="11789" width="2.81640625" style="14" customWidth="1"/>
    <col min="11790" max="11792" width="10.453125" style="14" customWidth="1"/>
    <col min="11793" max="11794" width="12.1796875" style="14" customWidth="1"/>
    <col min="11795" max="11795" width="11.81640625" style="14" bestFit="1" customWidth="1"/>
    <col min="11796" max="11797" width="10.54296875" style="14" bestFit="1" customWidth="1"/>
    <col min="11798" max="11798" width="11.81640625" style="14" bestFit="1" customWidth="1"/>
    <col min="11799" max="11799" width="10.54296875" style="14" bestFit="1" customWidth="1"/>
    <col min="11800" max="11801" width="10.54296875" style="14" customWidth="1"/>
    <col min="11802" max="11809" width="9.1796875" style="14"/>
    <col min="11810" max="11810" width="10.81640625" style="14" customWidth="1"/>
    <col min="11811" max="12032" width="9.1796875" style="14"/>
    <col min="12033" max="12033" width="15.54296875" style="14" customWidth="1"/>
    <col min="12034" max="12036" width="10.81640625" style="14" customWidth="1"/>
    <col min="12037" max="12037" width="2.26953125" style="14" customWidth="1"/>
    <col min="12038" max="12040" width="10.1796875" style="14" customWidth="1"/>
    <col min="12041" max="12041" width="2.453125" style="14" customWidth="1"/>
    <col min="12042" max="12044" width="10.26953125" style="14" customWidth="1"/>
    <col min="12045" max="12045" width="2.81640625" style="14" customWidth="1"/>
    <col min="12046" max="12048" width="10.453125" style="14" customWidth="1"/>
    <col min="12049" max="12050" width="12.1796875" style="14" customWidth="1"/>
    <col min="12051" max="12051" width="11.81640625" style="14" bestFit="1" customWidth="1"/>
    <col min="12052" max="12053" width="10.54296875" style="14" bestFit="1" customWidth="1"/>
    <col min="12054" max="12054" width="11.81640625" style="14" bestFit="1" customWidth="1"/>
    <col min="12055" max="12055" width="10.54296875" style="14" bestFit="1" customWidth="1"/>
    <col min="12056" max="12057" width="10.54296875" style="14" customWidth="1"/>
    <col min="12058" max="12065" width="9.1796875" style="14"/>
    <col min="12066" max="12066" width="10.81640625" style="14" customWidth="1"/>
    <col min="12067" max="12288" width="9.1796875" style="14"/>
    <col min="12289" max="12289" width="15.54296875" style="14" customWidth="1"/>
    <col min="12290" max="12292" width="10.81640625" style="14" customWidth="1"/>
    <col min="12293" max="12293" width="2.26953125" style="14" customWidth="1"/>
    <col min="12294" max="12296" width="10.1796875" style="14" customWidth="1"/>
    <col min="12297" max="12297" width="2.453125" style="14" customWidth="1"/>
    <col min="12298" max="12300" width="10.26953125" style="14" customWidth="1"/>
    <col min="12301" max="12301" width="2.81640625" style="14" customWidth="1"/>
    <col min="12302" max="12304" width="10.453125" style="14" customWidth="1"/>
    <col min="12305" max="12306" width="12.1796875" style="14" customWidth="1"/>
    <col min="12307" max="12307" width="11.81640625" style="14" bestFit="1" customWidth="1"/>
    <col min="12308" max="12309" width="10.54296875" style="14" bestFit="1" customWidth="1"/>
    <col min="12310" max="12310" width="11.81640625" style="14" bestFit="1" customWidth="1"/>
    <col min="12311" max="12311" width="10.54296875" style="14" bestFit="1" customWidth="1"/>
    <col min="12312" max="12313" width="10.54296875" style="14" customWidth="1"/>
    <col min="12314" max="12321" width="9.1796875" style="14"/>
    <col min="12322" max="12322" width="10.81640625" style="14" customWidth="1"/>
    <col min="12323" max="12544" width="9.1796875" style="14"/>
    <col min="12545" max="12545" width="15.54296875" style="14" customWidth="1"/>
    <col min="12546" max="12548" width="10.81640625" style="14" customWidth="1"/>
    <col min="12549" max="12549" width="2.26953125" style="14" customWidth="1"/>
    <col min="12550" max="12552" width="10.1796875" style="14" customWidth="1"/>
    <col min="12553" max="12553" width="2.453125" style="14" customWidth="1"/>
    <col min="12554" max="12556" width="10.26953125" style="14" customWidth="1"/>
    <col min="12557" max="12557" width="2.81640625" style="14" customWidth="1"/>
    <col min="12558" max="12560" width="10.453125" style="14" customWidth="1"/>
    <col min="12561" max="12562" width="12.1796875" style="14" customWidth="1"/>
    <col min="12563" max="12563" width="11.81640625" style="14" bestFit="1" customWidth="1"/>
    <col min="12564" max="12565" width="10.54296875" style="14" bestFit="1" customWidth="1"/>
    <col min="12566" max="12566" width="11.81640625" style="14" bestFit="1" customWidth="1"/>
    <col min="12567" max="12567" width="10.54296875" style="14" bestFit="1" customWidth="1"/>
    <col min="12568" max="12569" width="10.54296875" style="14" customWidth="1"/>
    <col min="12570" max="12577" width="9.1796875" style="14"/>
    <col min="12578" max="12578" width="10.81640625" style="14" customWidth="1"/>
    <col min="12579" max="12800" width="9.1796875" style="14"/>
    <col min="12801" max="12801" width="15.54296875" style="14" customWidth="1"/>
    <col min="12802" max="12804" width="10.81640625" style="14" customWidth="1"/>
    <col min="12805" max="12805" width="2.26953125" style="14" customWidth="1"/>
    <col min="12806" max="12808" width="10.1796875" style="14" customWidth="1"/>
    <col min="12809" max="12809" width="2.453125" style="14" customWidth="1"/>
    <col min="12810" max="12812" width="10.26953125" style="14" customWidth="1"/>
    <col min="12813" max="12813" width="2.81640625" style="14" customWidth="1"/>
    <col min="12814" max="12816" width="10.453125" style="14" customWidth="1"/>
    <col min="12817" max="12818" width="12.1796875" style="14" customWidth="1"/>
    <col min="12819" max="12819" width="11.81640625" style="14" bestFit="1" customWidth="1"/>
    <col min="12820" max="12821" width="10.54296875" style="14" bestFit="1" customWidth="1"/>
    <col min="12822" max="12822" width="11.81640625" style="14" bestFit="1" customWidth="1"/>
    <col min="12823" max="12823" width="10.54296875" style="14" bestFit="1" customWidth="1"/>
    <col min="12824" max="12825" width="10.54296875" style="14" customWidth="1"/>
    <col min="12826" max="12833" width="9.1796875" style="14"/>
    <col min="12834" max="12834" width="10.81640625" style="14" customWidth="1"/>
    <col min="12835" max="13056" width="9.1796875" style="14"/>
    <col min="13057" max="13057" width="15.54296875" style="14" customWidth="1"/>
    <col min="13058" max="13060" width="10.81640625" style="14" customWidth="1"/>
    <col min="13061" max="13061" width="2.26953125" style="14" customWidth="1"/>
    <col min="13062" max="13064" width="10.1796875" style="14" customWidth="1"/>
    <col min="13065" max="13065" width="2.453125" style="14" customWidth="1"/>
    <col min="13066" max="13068" width="10.26953125" style="14" customWidth="1"/>
    <col min="13069" max="13069" width="2.81640625" style="14" customWidth="1"/>
    <col min="13070" max="13072" width="10.453125" style="14" customWidth="1"/>
    <col min="13073" max="13074" width="12.1796875" style="14" customWidth="1"/>
    <col min="13075" max="13075" width="11.81640625" style="14" bestFit="1" customWidth="1"/>
    <col min="13076" max="13077" width="10.54296875" style="14" bestFit="1" customWidth="1"/>
    <col min="13078" max="13078" width="11.81640625" style="14" bestFit="1" customWidth="1"/>
    <col min="13079" max="13079" width="10.54296875" style="14" bestFit="1" customWidth="1"/>
    <col min="13080" max="13081" width="10.54296875" style="14" customWidth="1"/>
    <col min="13082" max="13089" width="9.1796875" style="14"/>
    <col min="13090" max="13090" width="10.81640625" style="14" customWidth="1"/>
    <col min="13091" max="13312" width="9.1796875" style="14"/>
    <col min="13313" max="13313" width="15.54296875" style="14" customWidth="1"/>
    <col min="13314" max="13316" width="10.81640625" style="14" customWidth="1"/>
    <col min="13317" max="13317" width="2.26953125" style="14" customWidth="1"/>
    <col min="13318" max="13320" width="10.1796875" style="14" customWidth="1"/>
    <col min="13321" max="13321" width="2.453125" style="14" customWidth="1"/>
    <col min="13322" max="13324" width="10.26953125" style="14" customWidth="1"/>
    <col min="13325" max="13325" width="2.81640625" style="14" customWidth="1"/>
    <col min="13326" max="13328" width="10.453125" style="14" customWidth="1"/>
    <col min="13329" max="13330" width="12.1796875" style="14" customWidth="1"/>
    <col min="13331" max="13331" width="11.81640625" style="14" bestFit="1" customWidth="1"/>
    <col min="13332" max="13333" width="10.54296875" style="14" bestFit="1" customWidth="1"/>
    <col min="13334" max="13334" width="11.81640625" style="14" bestFit="1" customWidth="1"/>
    <col min="13335" max="13335" width="10.54296875" style="14" bestFit="1" customWidth="1"/>
    <col min="13336" max="13337" width="10.54296875" style="14" customWidth="1"/>
    <col min="13338" max="13345" width="9.1796875" style="14"/>
    <col min="13346" max="13346" width="10.81640625" style="14" customWidth="1"/>
    <col min="13347" max="13568" width="9.1796875" style="14"/>
    <col min="13569" max="13569" width="15.54296875" style="14" customWidth="1"/>
    <col min="13570" max="13572" width="10.81640625" style="14" customWidth="1"/>
    <col min="13573" max="13573" width="2.26953125" style="14" customWidth="1"/>
    <col min="13574" max="13576" width="10.1796875" style="14" customWidth="1"/>
    <col min="13577" max="13577" width="2.453125" style="14" customWidth="1"/>
    <col min="13578" max="13580" width="10.26953125" style="14" customWidth="1"/>
    <col min="13581" max="13581" width="2.81640625" style="14" customWidth="1"/>
    <col min="13582" max="13584" width="10.453125" style="14" customWidth="1"/>
    <col min="13585" max="13586" width="12.1796875" style="14" customWidth="1"/>
    <col min="13587" max="13587" width="11.81640625" style="14" bestFit="1" customWidth="1"/>
    <col min="13588" max="13589" width="10.54296875" style="14" bestFit="1" customWidth="1"/>
    <col min="13590" max="13590" width="11.81640625" style="14" bestFit="1" customWidth="1"/>
    <col min="13591" max="13591" width="10.54296875" style="14" bestFit="1" customWidth="1"/>
    <col min="13592" max="13593" width="10.54296875" style="14" customWidth="1"/>
    <col min="13594" max="13601" width="9.1796875" style="14"/>
    <col min="13602" max="13602" width="10.81640625" style="14" customWidth="1"/>
    <col min="13603" max="13824" width="9.1796875" style="14"/>
    <col min="13825" max="13825" width="15.54296875" style="14" customWidth="1"/>
    <col min="13826" max="13828" width="10.81640625" style="14" customWidth="1"/>
    <col min="13829" max="13829" width="2.26953125" style="14" customWidth="1"/>
    <col min="13830" max="13832" width="10.1796875" style="14" customWidth="1"/>
    <col min="13833" max="13833" width="2.453125" style="14" customWidth="1"/>
    <col min="13834" max="13836" width="10.26953125" style="14" customWidth="1"/>
    <col min="13837" max="13837" width="2.81640625" style="14" customWidth="1"/>
    <col min="13838" max="13840" width="10.453125" style="14" customWidth="1"/>
    <col min="13841" max="13842" width="12.1796875" style="14" customWidth="1"/>
    <col min="13843" max="13843" width="11.81640625" style="14" bestFit="1" customWidth="1"/>
    <col min="13844" max="13845" width="10.54296875" style="14" bestFit="1" customWidth="1"/>
    <col min="13846" max="13846" width="11.81640625" style="14" bestFit="1" customWidth="1"/>
    <col min="13847" max="13847" width="10.54296875" style="14" bestFit="1" customWidth="1"/>
    <col min="13848" max="13849" width="10.54296875" style="14" customWidth="1"/>
    <col min="13850" max="13857" width="9.1796875" style="14"/>
    <col min="13858" max="13858" width="10.81640625" style="14" customWidth="1"/>
    <col min="13859" max="14080" width="9.1796875" style="14"/>
    <col min="14081" max="14081" width="15.54296875" style="14" customWidth="1"/>
    <col min="14082" max="14084" width="10.81640625" style="14" customWidth="1"/>
    <col min="14085" max="14085" width="2.26953125" style="14" customWidth="1"/>
    <col min="14086" max="14088" width="10.1796875" style="14" customWidth="1"/>
    <col min="14089" max="14089" width="2.453125" style="14" customWidth="1"/>
    <col min="14090" max="14092" width="10.26953125" style="14" customWidth="1"/>
    <col min="14093" max="14093" width="2.81640625" style="14" customWidth="1"/>
    <col min="14094" max="14096" width="10.453125" style="14" customWidth="1"/>
    <col min="14097" max="14098" width="12.1796875" style="14" customWidth="1"/>
    <col min="14099" max="14099" width="11.81640625" style="14" bestFit="1" customWidth="1"/>
    <col min="14100" max="14101" width="10.54296875" style="14" bestFit="1" customWidth="1"/>
    <col min="14102" max="14102" width="11.81640625" style="14" bestFit="1" customWidth="1"/>
    <col min="14103" max="14103" width="10.54296875" style="14" bestFit="1" customWidth="1"/>
    <col min="14104" max="14105" width="10.54296875" style="14" customWidth="1"/>
    <col min="14106" max="14113" width="9.1796875" style="14"/>
    <col min="14114" max="14114" width="10.81640625" style="14" customWidth="1"/>
    <col min="14115" max="14336" width="9.1796875" style="14"/>
    <col min="14337" max="14337" width="15.54296875" style="14" customWidth="1"/>
    <col min="14338" max="14340" width="10.81640625" style="14" customWidth="1"/>
    <col min="14341" max="14341" width="2.26953125" style="14" customWidth="1"/>
    <col min="14342" max="14344" width="10.1796875" style="14" customWidth="1"/>
    <col min="14345" max="14345" width="2.453125" style="14" customWidth="1"/>
    <col min="14346" max="14348" width="10.26953125" style="14" customWidth="1"/>
    <col min="14349" max="14349" width="2.81640625" style="14" customWidth="1"/>
    <col min="14350" max="14352" width="10.453125" style="14" customWidth="1"/>
    <col min="14353" max="14354" width="12.1796875" style="14" customWidth="1"/>
    <col min="14355" max="14355" width="11.81640625" style="14" bestFit="1" customWidth="1"/>
    <col min="14356" max="14357" width="10.54296875" style="14" bestFit="1" customWidth="1"/>
    <col min="14358" max="14358" width="11.81640625" style="14" bestFit="1" customWidth="1"/>
    <col min="14359" max="14359" width="10.54296875" style="14" bestFit="1" customWidth="1"/>
    <col min="14360" max="14361" width="10.54296875" style="14" customWidth="1"/>
    <col min="14362" max="14369" width="9.1796875" style="14"/>
    <col min="14370" max="14370" width="10.81640625" style="14" customWidth="1"/>
    <col min="14371" max="14592" width="9.1796875" style="14"/>
    <col min="14593" max="14593" width="15.54296875" style="14" customWidth="1"/>
    <col min="14594" max="14596" width="10.81640625" style="14" customWidth="1"/>
    <col min="14597" max="14597" width="2.26953125" style="14" customWidth="1"/>
    <col min="14598" max="14600" width="10.1796875" style="14" customWidth="1"/>
    <col min="14601" max="14601" width="2.453125" style="14" customWidth="1"/>
    <col min="14602" max="14604" width="10.26953125" style="14" customWidth="1"/>
    <col min="14605" max="14605" width="2.81640625" style="14" customWidth="1"/>
    <col min="14606" max="14608" width="10.453125" style="14" customWidth="1"/>
    <col min="14609" max="14610" width="12.1796875" style="14" customWidth="1"/>
    <col min="14611" max="14611" width="11.81640625" style="14" bestFit="1" customWidth="1"/>
    <col min="14612" max="14613" width="10.54296875" style="14" bestFit="1" customWidth="1"/>
    <col min="14614" max="14614" width="11.81640625" style="14" bestFit="1" customWidth="1"/>
    <col min="14615" max="14615" width="10.54296875" style="14" bestFit="1" customWidth="1"/>
    <col min="14616" max="14617" width="10.54296875" style="14" customWidth="1"/>
    <col min="14618" max="14625" width="9.1796875" style="14"/>
    <col min="14626" max="14626" width="10.81640625" style="14" customWidth="1"/>
    <col min="14627" max="14848" width="9.1796875" style="14"/>
    <col min="14849" max="14849" width="15.54296875" style="14" customWidth="1"/>
    <col min="14850" max="14852" width="10.81640625" style="14" customWidth="1"/>
    <col min="14853" max="14853" width="2.26953125" style="14" customWidth="1"/>
    <col min="14854" max="14856" width="10.1796875" style="14" customWidth="1"/>
    <col min="14857" max="14857" width="2.453125" style="14" customWidth="1"/>
    <col min="14858" max="14860" width="10.26953125" style="14" customWidth="1"/>
    <col min="14861" max="14861" width="2.81640625" style="14" customWidth="1"/>
    <col min="14862" max="14864" width="10.453125" style="14" customWidth="1"/>
    <col min="14865" max="14866" width="12.1796875" style="14" customWidth="1"/>
    <col min="14867" max="14867" width="11.81640625" style="14" bestFit="1" customWidth="1"/>
    <col min="14868" max="14869" width="10.54296875" style="14" bestFit="1" customWidth="1"/>
    <col min="14870" max="14870" width="11.81640625" style="14" bestFit="1" customWidth="1"/>
    <col min="14871" max="14871" width="10.54296875" style="14" bestFit="1" customWidth="1"/>
    <col min="14872" max="14873" width="10.54296875" style="14" customWidth="1"/>
    <col min="14874" max="14881" width="9.1796875" style="14"/>
    <col min="14882" max="14882" width="10.81640625" style="14" customWidth="1"/>
    <col min="14883" max="15104" width="9.1796875" style="14"/>
    <col min="15105" max="15105" width="15.54296875" style="14" customWidth="1"/>
    <col min="15106" max="15108" width="10.81640625" style="14" customWidth="1"/>
    <col min="15109" max="15109" width="2.26953125" style="14" customWidth="1"/>
    <col min="15110" max="15112" width="10.1796875" style="14" customWidth="1"/>
    <col min="15113" max="15113" width="2.453125" style="14" customWidth="1"/>
    <col min="15114" max="15116" width="10.26953125" style="14" customWidth="1"/>
    <col min="15117" max="15117" width="2.81640625" style="14" customWidth="1"/>
    <col min="15118" max="15120" width="10.453125" style="14" customWidth="1"/>
    <col min="15121" max="15122" width="12.1796875" style="14" customWidth="1"/>
    <col min="15123" max="15123" width="11.81640625" style="14" bestFit="1" customWidth="1"/>
    <col min="15124" max="15125" width="10.54296875" style="14" bestFit="1" customWidth="1"/>
    <col min="15126" max="15126" width="11.81640625" style="14" bestFit="1" customWidth="1"/>
    <col min="15127" max="15127" width="10.54296875" style="14" bestFit="1" customWidth="1"/>
    <col min="15128" max="15129" width="10.54296875" style="14" customWidth="1"/>
    <col min="15130" max="15137" width="9.1796875" style="14"/>
    <col min="15138" max="15138" width="10.81640625" style="14" customWidth="1"/>
    <col min="15139" max="15360" width="9.1796875" style="14"/>
    <col min="15361" max="15361" width="15.54296875" style="14" customWidth="1"/>
    <col min="15362" max="15364" width="10.81640625" style="14" customWidth="1"/>
    <col min="15365" max="15365" width="2.26953125" style="14" customWidth="1"/>
    <col min="15366" max="15368" width="10.1796875" style="14" customWidth="1"/>
    <col min="15369" max="15369" width="2.453125" style="14" customWidth="1"/>
    <col min="15370" max="15372" width="10.26953125" style="14" customWidth="1"/>
    <col min="15373" max="15373" width="2.81640625" style="14" customWidth="1"/>
    <col min="15374" max="15376" width="10.453125" style="14" customWidth="1"/>
    <col min="15377" max="15378" width="12.1796875" style="14" customWidth="1"/>
    <col min="15379" max="15379" width="11.81640625" style="14" bestFit="1" customWidth="1"/>
    <col min="15380" max="15381" width="10.54296875" style="14" bestFit="1" customWidth="1"/>
    <col min="15382" max="15382" width="11.81640625" style="14" bestFit="1" customWidth="1"/>
    <col min="15383" max="15383" width="10.54296875" style="14" bestFit="1" customWidth="1"/>
    <col min="15384" max="15385" width="10.54296875" style="14" customWidth="1"/>
    <col min="15386" max="15393" width="9.1796875" style="14"/>
    <col min="15394" max="15394" width="10.81640625" style="14" customWidth="1"/>
    <col min="15395" max="15616" width="9.1796875" style="14"/>
    <col min="15617" max="15617" width="15.54296875" style="14" customWidth="1"/>
    <col min="15618" max="15620" width="10.81640625" style="14" customWidth="1"/>
    <col min="15621" max="15621" width="2.26953125" style="14" customWidth="1"/>
    <col min="15622" max="15624" width="10.1796875" style="14" customWidth="1"/>
    <col min="15625" max="15625" width="2.453125" style="14" customWidth="1"/>
    <col min="15626" max="15628" width="10.26953125" style="14" customWidth="1"/>
    <col min="15629" max="15629" width="2.81640625" style="14" customWidth="1"/>
    <col min="15630" max="15632" width="10.453125" style="14" customWidth="1"/>
    <col min="15633" max="15634" width="12.1796875" style="14" customWidth="1"/>
    <col min="15635" max="15635" width="11.81640625" style="14" bestFit="1" customWidth="1"/>
    <col min="15636" max="15637" width="10.54296875" style="14" bestFit="1" customWidth="1"/>
    <col min="15638" max="15638" width="11.81640625" style="14" bestFit="1" customWidth="1"/>
    <col min="15639" max="15639" width="10.54296875" style="14" bestFit="1" customWidth="1"/>
    <col min="15640" max="15641" width="10.54296875" style="14" customWidth="1"/>
    <col min="15642" max="15649" width="9.1796875" style="14"/>
    <col min="15650" max="15650" width="10.81640625" style="14" customWidth="1"/>
    <col min="15651" max="15872" width="9.1796875" style="14"/>
    <col min="15873" max="15873" width="15.54296875" style="14" customWidth="1"/>
    <col min="15874" max="15876" width="10.81640625" style="14" customWidth="1"/>
    <col min="15877" max="15877" width="2.26953125" style="14" customWidth="1"/>
    <col min="15878" max="15880" width="10.1796875" style="14" customWidth="1"/>
    <col min="15881" max="15881" width="2.453125" style="14" customWidth="1"/>
    <col min="15882" max="15884" width="10.26953125" style="14" customWidth="1"/>
    <col min="15885" max="15885" width="2.81640625" style="14" customWidth="1"/>
    <col min="15886" max="15888" width="10.453125" style="14" customWidth="1"/>
    <col min="15889" max="15890" width="12.1796875" style="14" customWidth="1"/>
    <col min="15891" max="15891" width="11.81640625" style="14" bestFit="1" customWidth="1"/>
    <col min="15892" max="15893" width="10.54296875" style="14" bestFit="1" customWidth="1"/>
    <col min="15894" max="15894" width="11.81640625" style="14" bestFit="1" customWidth="1"/>
    <col min="15895" max="15895" width="10.54296875" style="14" bestFit="1" customWidth="1"/>
    <col min="15896" max="15897" width="10.54296875" style="14" customWidth="1"/>
    <col min="15898" max="15905" width="9.1796875" style="14"/>
    <col min="15906" max="15906" width="10.81640625" style="14" customWidth="1"/>
    <col min="15907" max="16128" width="9.1796875" style="14"/>
    <col min="16129" max="16129" width="15.54296875" style="14" customWidth="1"/>
    <col min="16130" max="16132" width="10.81640625" style="14" customWidth="1"/>
    <col min="16133" max="16133" width="2.26953125" style="14" customWidth="1"/>
    <col min="16134" max="16136" width="10.1796875" style="14" customWidth="1"/>
    <col min="16137" max="16137" width="2.453125" style="14" customWidth="1"/>
    <col min="16138" max="16140" width="10.26953125" style="14" customWidth="1"/>
    <col min="16141" max="16141" width="2.81640625" style="14" customWidth="1"/>
    <col min="16142" max="16144" width="10.453125" style="14" customWidth="1"/>
    <col min="16145" max="16146" width="12.1796875" style="14" customWidth="1"/>
    <col min="16147" max="16147" width="11.81640625" style="14" bestFit="1" customWidth="1"/>
    <col min="16148" max="16149" width="10.54296875" style="14" bestFit="1" customWidth="1"/>
    <col min="16150" max="16150" width="11.81640625" style="14" bestFit="1" customWidth="1"/>
    <col min="16151" max="16151" width="10.54296875" style="14" bestFit="1" customWidth="1"/>
    <col min="16152" max="16153" width="10.54296875" style="14" customWidth="1"/>
    <col min="16154" max="16161" width="9.1796875" style="14"/>
    <col min="16162" max="16162" width="10.81640625" style="14" customWidth="1"/>
    <col min="16163" max="16384" width="9.1796875" style="14"/>
  </cols>
  <sheetData>
    <row r="1" spans="1:35" ht="17.25" customHeight="1" x14ac:dyDescent="0.25">
      <c r="A1" s="75" t="s">
        <v>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13"/>
    </row>
    <row r="2" spans="1:35" ht="17.25" customHeight="1" x14ac:dyDescent="0.25">
      <c r="A2" s="76" t="s">
        <v>9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13"/>
    </row>
    <row r="3" spans="1:35" ht="5.25" customHeight="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35" ht="17.25" customHeight="1" x14ac:dyDescent="0.3">
      <c r="A4" s="16"/>
      <c r="B4" s="17" t="s">
        <v>10</v>
      </c>
      <c r="C4" s="18"/>
      <c r="D4" s="74" t="s">
        <v>11</v>
      </c>
      <c r="E4" s="19"/>
      <c r="F4" s="17" t="s">
        <v>12</v>
      </c>
      <c r="G4" s="20"/>
      <c r="H4" s="74" t="s">
        <v>13</v>
      </c>
      <c r="I4" s="19"/>
      <c r="J4" s="17" t="s">
        <v>14</v>
      </c>
      <c r="K4" s="20"/>
      <c r="L4" s="74" t="s">
        <v>15</v>
      </c>
      <c r="N4" s="17" t="s">
        <v>16</v>
      </c>
      <c r="O4" s="20"/>
      <c r="P4" s="74" t="s">
        <v>17</v>
      </c>
      <c r="AF4" s="14">
        <v>1995</v>
      </c>
    </row>
    <row r="5" spans="1:35" ht="17.25" customHeight="1" x14ac:dyDescent="0.55000000000000004">
      <c r="A5" s="72" t="s">
        <v>18</v>
      </c>
      <c r="B5" s="71" t="s">
        <v>0</v>
      </c>
      <c r="C5" s="71" t="s">
        <v>1</v>
      </c>
      <c r="D5" s="71" t="s">
        <v>2</v>
      </c>
      <c r="E5" s="72"/>
      <c r="F5" s="71" t="s">
        <v>0</v>
      </c>
      <c r="G5" s="71" t="s">
        <v>1</v>
      </c>
      <c r="H5" s="71" t="s">
        <v>2</v>
      </c>
      <c r="I5" s="71"/>
      <c r="J5" s="71" t="s">
        <v>0</v>
      </c>
      <c r="K5" s="71" t="s">
        <v>1</v>
      </c>
      <c r="L5" s="71" t="s">
        <v>2</v>
      </c>
      <c r="M5" s="73"/>
      <c r="N5" s="71" t="s">
        <v>0</v>
      </c>
      <c r="O5" s="71" t="s">
        <v>1</v>
      </c>
      <c r="P5" s="71" t="s">
        <v>2</v>
      </c>
      <c r="AF5" s="21"/>
      <c r="AG5" s="21"/>
      <c r="AH5" s="21"/>
      <c r="AI5" s="21"/>
    </row>
    <row r="6" spans="1:35" ht="16.5" customHeight="1" x14ac:dyDescent="0.35">
      <c r="A6" s="22" t="s">
        <v>19</v>
      </c>
      <c r="B6" s="23" t="s">
        <v>3</v>
      </c>
      <c r="C6" s="23" t="s">
        <v>4</v>
      </c>
      <c r="D6" s="23" t="s">
        <v>5</v>
      </c>
      <c r="E6" s="22"/>
      <c r="F6" s="23" t="s">
        <v>3</v>
      </c>
      <c r="G6" s="23" t="s">
        <v>4</v>
      </c>
      <c r="H6" s="23" t="s">
        <v>5</v>
      </c>
      <c r="I6" s="23"/>
      <c r="J6" s="23" t="s">
        <v>3</v>
      </c>
      <c r="K6" s="23" t="s">
        <v>4</v>
      </c>
      <c r="L6" s="23" t="s">
        <v>5</v>
      </c>
      <c r="M6" s="15"/>
      <c r="N6" s="23" t="s">
        <v>3</v>
      </c>
      <c r="O6" s="23" t="s">
        <v>4</v>
      </c>
      <c r="P6" s="23" t="s">
        <v>5</v>
      </c>
      <c r="Q6" s="21"/>
      <c r="R6" s="21"/>
      <c r="S6" s="21"/>
      <c r="T6" s="21"/>
      <c r="AF6" s="21"/>
      <c r="AG6" s="21"/>
      <c r="AH6" s="21"/>
      <c r="AI6" s="24"/>
    </row>
    <row r="7" spans="1:35" ht="15" customHeight="1" x14ac:dyDescent="0.25">
      <c r="A7" s="25" t="s">
        <v>20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/>
      <c r="N7" s="26"/>
      <c r="O7" s="26"/>
      <c r="P7" s="26"/>
      <c r="Q7" s="21"/>
      <c r="R7" s="21"/>
      <c r="S7" s="21"/>
      <c r="T7" s="21"/>
      <c r="AG7" s="28" t="s">
        <v>4</v>
      </c>
      <c r="AH7" s="29" t="s">
        <v>5</v>
      </c>
    </row>
    <row r="8" spans="1:35" ht="15" customHeight="1" x14ac:dyDescent="0.35">
      <c r="A8" s="30" t="s">
        <v>21</v>
      </c>
      <c r="B8" s="31">
        <f>SUM(B10:B32)</f>
        <v>244814</v>
      </c>
      <c r="C8" s="31">
        <f>SUM(C10:C32)</f>
        <v>124622</v>
      </c>
      <c r="D8" s="31">
        <f>SUM(D10:D32)</f>
        <v>120192</v>
      </c>
      <c r="E8" s="31"/>
      <c r="F8" s="31">
        <f>SUM(F10:F32)</f>
        <v>270101</v>
      </c>
      <c r="G8" s="31">
        <f>SUM(G10:G32)</f>
        <v>137200</v>
      </c>
      <c r="H8" s="31">
        <f>SUM(H10:H32)</f>
        <v>132901</v>
      </c>
      <c r="I8" s="31"/>
      <c r="J8" s="32">
        <v>298968</v>
      </c>
      <c r="K8" s="32">
        <v>151459</v>
      </c>
      <c r="L8" s="32">
        <v>147509</v>
      </c>
      <c r="M8" s="33"/>
      <c r="N8" s="32">
        <f>O8+P8</f>
        <v>344023</v>
      </c>
      <c r="O8" s="32">
        <f>SUM(O10:O32)</f>
        <v>174666</v>
      </c>
      <c r="P8" s="32">
        <f>SUM(P10:P32)</f>
        <v>169357</v>
      </c>
      <c r="Q8" s="4"/>
      <c r="R8" s="5"/>
      <c r="S8" s="5"/>
      <c r="T8" s="21"/>
      <c r="U8" s="21"/>
      <c r="AF8" s="34" t="s">
        <v>22</v>
      </c>
      <c r="AG8" s="35">
        <f>-1*AI8</f>
        <v>-19113</v>
      </c>
      <c r="AH8" s="24">
        <f>D10+D11</f>
        <v>17859</v>
      </c>
      <c r="AI8" s="24">
        <f>C10+C11</f>
        <v>19113</v>
      </c>
    </row>
    <row r="9" spans="1:35" ht="10.5" customHeight="1" x14ac:dyDescent="0.3">
      <c r="A9" s="36" t="s">
        <v>23</v>
      </c>
      <c r="B9" s="37"/>
      <c r="C9" s="37"/>
      <c r="D9" s="37"/>
      <c r="E9" s="37"/>
      <c r="F9" s="37"/>
      <c r="G9" s="37"/>
      <c r="H9" s="37"/>
      <c r="I9" s="37"/>
      <c r="J9" s="38"/>
      <c r="K9" s="38"/>
      <c r="L9" s="38"/>
      <c r="M9" s="33"/>
      <c r="N9" s="38"/>
      <c r="O9" s="38"/>
      <c r="P9" s="38"/>
      <c r="Q9" s="21"/>
      <c r="R9" s="21"/>
      <c r="S9" s="21"/>
      <c r="T9" s="21"/>
      <c r="U9" s="21"/>
      <c r="V9" s="21"/>
      <c r="W9" s="21"/>
      <c r="X9" s="21"/>
      <c r="Y9" s="21"/>
      <c r="Z9" s="21"/>
      <c r="AF9" s="34" t="s">
        <v>24</v>
      </c>
      <c r="AG9" s="35">
        <f t="shared" ref="AG9:AG23" si="0">-1*AI9</f>
        <v>-20840</v>
      </c>
      <c r="AH9" s="24">
        <f>D12+D13</f>
        <v>19919</v>
      </c>
      <c r="AI9" s="24">
        <f>C12+C13</f>
        <v>20840</v>
      </c>
    </row>
    <row r="10" spans="1:35" s="45" customFormat="1" ht="11.25" customHeight="1" x14ac:dyDescent="0.3">
      <c r="A10" s="39" t="s">
        <v>25</v>
      </c>
      <c r="B10" s="40">
        <v>7044</v>
      </c>
      <c r="C10" s="40">
        <v>3593</v>
      </c>
      <c r="D10" s="40">
        <v>3451</v>
      </c>
      <c r="E10" s="40"/>
      <c r="F10" s="40">
        <v>5515</v>
      </c>
      <c r="G10" s="40">
        <v>2780</v>
      </c>
      <c r="H10" s="40">
        <v>2735</v>
      </c>
      <c r="I10" s="40"/>
      <c r="J10" s="41">
        <v>5462</v>
      </c>
      <c r="K10" s="41">
        <v>2777</v>
      </c>
      <c r="L10" s="41">
        <v>2685</v>
      </c>
      <c r="M10" s="42"/>
      <c r="N10" s="41">
        <f>O10+P10</f>
        <v>7017</v>
      </c>
      <c r="O10" s="41">
        <v>3634</v>
      </c>
      <c r="P10" s="41">
        <v>3383</v>
      </c>
      <c r="Q10" s="43"/>
      <c r="R10" s="44"/>
      <c r="S10" s="44"/>
      <c r="T10" s="44"/>
      <c r="U10" s="44"/>
      <c r="V10" s="44"/>
      <c r="W10" s="44"/>
      <c r="X10" s="44"/>
      <c r="Y10" s="44"/>
      <c r="Z10" s="44"/>
      <c r="AF10" s="34" t="s">
        <v>26</v>
      </c>
      <c r="AG10" s="35">
        <f t="shared" si="0"/>
        <v>-18286</v>
      </c>
      <c r="AH10" s="40">
        <v>17584</v>
      </c>
      <c r="AI10" s="40">
        <v>18286</v>
      </c>
    </row>
    <row r="11" spans="1:35" ht="18" customHeight="1" x14ac:dyDescent="0.35">
      <c r="A11" s="34" t="s">
        <v>27</v>
      </c>
      <c r="B11" s="40">
        <v>29928</v>
      </c>
      <c r="C11" s="40">
        <v>15520</v>
      </c>
      <c r="D11" s="40">
        <v>14408</v>
      </c>
      <c r="E11" s="40"/>
      <c r="F11" s="40">
        <v>25397</v>
      </c>
      <c r="G11" s="40">
        <v>12919</v>
      </c>
      <c r="H11" s="40">
        <v>12478</v>
      </c>
      <c r="I11" s="40"/>
      <c r="J11" s="41">
        <v>20709</v>
      </c>
      <c r="K11" s="41">
        <v>10585</v>
      </c>
      <c r="L11" s="41">
        <v>10124</v>
      </c>
      <c r="M11" s="42"/>
      <c r="N11" s="41">
        <f t="shared" ref="N11:N32" si="1">O11+P11</f>
        <v>29069</v>
      </c>
      <c r="O11" s="41">
        <v>15229</v>
      </c>
      <c r="P11" s="41">
        <v>13840</v>
      </c>
      <c r="Q11" s="21"/>
      <c r="R11" s="46"/>
      <c r="S11" s="47"/>
      <c r="T11" s="47"/>
      <c r="U11" s="47"/>
      <c r="V11" s="21"/>
      <c r="W11" s="21"/>
      <c r="X11" s="21"/>
      <c r="Y11" s="21"/>
      <c r="Z11" s="21"/>
      <c r="AF11" s="34" t="s">
        <v>28</v>
      </c>
      <c r="AG11" s="35">
        <f t="shared" si="0"/>
        <v>-12343</v>
      </c>
      <c r="AH11" s="40">
        <v>12562</v>
      </c>
      <c r="AI11" s="40">
        <v>12343</v>
      </c>
    </row>
    <row r="12" spans="1:35" ht="18" customHeight="1" x14ac:dyDescent="0.35">
      <c r="A12" s="34" t="s">
        <v>29</v>
      </c>
      <c r="B12" s="40">
        <v>8625</v>
      </c>
      <c r="C12" s="40">
        <v>4375</v>
      </c>
      <c r="D12" s="40">
        <v>4250</v>
      </c>
      <c r="E12" s="40"/>
      <c r="F12" s="40">
        <v>7114</v>
      </c>
      <c r="G12" s="40">
        <v>3572</v>
      </c>
      <c r="H12" s="40">
        <v>3542</v>
      </c>
      <c r="I12" s="40"/>
      <c r="J12" s="41">
        <v>5514</v>
      </c>
      <c r="K12" s="41">
        <v>2849</v>
      </c>
      <c r="L12" s="41">
        <v>2665</v>
      </c>
      <c r="M12" s="42"/>
      <c r="N12" s="41">
        <f t="shared" si="1"/>
        <v>7302</v>
      </c>
      <c r="O12" s="41">
        <v>3680</v>
      </c>
      <c r="P12" s="41">
        <v>3622</v>
      </c>
      <c r="Q12" s="48"/>
      <c r="R12" s="49"/>
      <c r="S12" s="50"/>
      <c r="T12" s="50"/>
      <c r="U12" s="50"/>
      <c r="V12" s="51"/>
      <c r="W12" s="51"/>
      <c r="X12" s="51"/>
      <c r="Y12" s="51"/>
      <c r="Z12" s="51"/>
      <c r="AF12" s="34" t="s">
        <v>30</v>
      </c>
      <c r="AG12" s="35">
        <f t="shared" si="0"/>
        <v>-9944</v>
      </c>
      <c r="AH12" s="40">
        <v>11077</v>
      </c>
      <c r="AI12" s="40">
        <v>9944</v>
      </c>
    </row>
    <row r="13" spans="1:35" ht="18" customHeight="1" x14ac:dyDescent="0.35">
      <c r="A13" s="34" t="s">
        <v>31</v>
      </c>
      <c r="B13" s="40">
        <v>32134</v>
      </c>
      <c r="C13" s="40">
        <v>16465</v>
      </c>
      <c r="D13" s="40">
        <v>15669</v>
      </c>
      <c r="E13" s="40"/>
      <c r="F13" s="40">
        <v>30813</v>
      </c>
      <c r="G13" s="40">
        <v>15764</v>
      </c>
      <c r="H13" s="40">
        <v>15049</v>
      </c>
      <c r="I13" s="40"/>
      <c r="J13" s="41">
        <v>24353</v>
      </c>
      <c r="K13" s="41">
        <v>12503</v>
      </c>
      <c r="L13" s="41">
        <v>11850</v>
      </c>
      <c r="M13" s="42"/>
      <c r="N13" s="41">
        <f t="shared" si="1"/>
        <v>24678</v>
      </c>
      <c r="O13" s="41">
        <v>12684</v>
      </c>
      <c r="P13" s="41">
        <v>11994</v>
      </c>
      <c r="Q13" s="48"/>
      <c r="R13" s="49"/>
      <c r="S13" s="50"/>
      <c r="T13" s="50"/>
      <c r="U13" s="50"/>
      <c r="V13" s="51"/>
      <c r="W13" s="51"/>
      <c r="X13" s="51"/>
      <c r="Y13" s="51"/>
      <c r="Z13" s="51"/>
      <c r="AF13" s="34" t="s">
        <v>32</v>
      </c>
      <c r="AG13" s="35">
        <f t="shared" si="0"/>
        <v>-8802</v>
      </c>
      <c r="AH13" s="40">
        <v>9389</v>
      </c>
      <c r="AI13" s="40">
        <v>8802</v>
      </c>
    </row>
    <row r="14" spans="1:35" ht="18" customHeight="1" x14ac:dyDescent="0.35">
      <c r="A14" s="34" t="s">
        <v>26</v>
      </c>
      <c r="B14" s="40">
        <v>35870</v>
      </c>
      <c r="C14" s="40">
        <v>18286</v>
      </c>
      <c r="D14" s="40">
        <v>17584</v>
      </c>
      <c r="E14" s="40"/>
      <c r="F14" s="40">
        <v>41089</v>
      </c>
      <c r="G14" s="40">
        <v>20897</v>
      </c>
      <c r="H14" s="40">
        <v>20192</v>
      </c>
      <c r="I14" s="40"/>
      <c r="J14" s="41">
        <v>36999</v>
      </c>
      <c r="K14" s="41">
        <v>19111</v>
      </c>
      <c r="L14" s="41">
        <v>17888</v>
      </c>
      <c r="M14" s="42"/>
      <c r="N14" s="41">
        <f t="shared" si="1"/>
        <v>26358</v>
      </c>
      <c r="O14" s="41">
        <v>13571</v>
      </c>
      <c r="P14" s="41">
        <v>12787</v>
      </c>
      <c r="Q14" s="48"/>
      <c r="R14" s="52"/>
      <c r="S14" s="50"/>
      <c r="T14" s="50"/>
      <c r="U14" s="50"/>
      <c r="V14" s="21"/>
      <c r="W14" s="21"/>
      <c r="X14" s="21"/>
      <c r="Y14" s="21"/>
      <c r="Z14" s="21"/>
      <c r="AF14" s="34" t="s">
        <v>33</v>
      </c>
      <c r="AG14" s="35">
        <f t="shared" si="0"/>
        <v>-7579</v>
      </c>
      <c r="AH14" s="40">
        <v>7785</v>
      </c>
      <c r="AI14" s="40">
        <v>7579</v>
      </c>
    </row>
    <row r="15" spans="1:35" ht="18" customHeight="1" x14ac:dyDescent="0.35">
      <c r="A15" s="34" t="s">
        <v>28</v>
      </c>
      <c r="B15" s="40">
        <v>24905</v>
      </c>
      <c r="C15" s="40">
        <v>12343</v>
      </c>
      <c r="D15" s="40">
        <v>12562</v>
      </c>
      <c r="E15" s="40"/>
      <c r="F15" s="40">
        <v>33266</v>
      </c>
      <c r="G15" s="40">
        <v>16590</v>
      </c>
      <c r="H15" s="40">
        <v>16676</v>
      </c>
      <c r="I15" s="40"/>
      <c r="J15" s="41">
        <v>39904</v>
      </c>
      <c r="K15" s="41">
        <v>20155</v>
      </c>
      <c r="L15" s="41">
        <v>19749</v>
      </c>
      <c r="M15" s="42"/>
      <c r="N15" s="41">
        <f t="shared" si="1"/>
        <v>31383</v>
      </c>
      <c r="O15" s="41">
        <v>15922</v>
      </c>
      <c r="P15" s="41">
        <v>15461</v>
      </c>
      <c r="Q15" s="48"/>
      <c r="R15" s="52"/>
      <c r="S15" s="50"/>
      <c r="T15" s="50"/>
      <c r="U15" s="50"/>
      <c r="V15" s="21"/>
      <c r="AF15" s="34" t="s">
        <v>34</v>
      </c>
      <c r="AG15" s="35">
        <f t="shared" si="0"/>
        <v>-6315</v>
      </c>
      <c r="AH15" s="40">
        <v>6317</v>
      </c>
      <c r="AI15" s="40">
        <v>6315</v>
      </c>
    </row>
    <row r="16" spans="1:35" ht="18" customHeight="1" x14ac:dyDescent="0.35">
      <c r="A16" s="34" t="s">
        <v>30</v>
      </c>
      <c r="B16" s="40">
        <v>21021</v>
      </c>
      <c r="C16" s="40">
        <v>9944</v>
      </c>
      <c r="D16" s="40">
        <v>11077</v>
      </c>
      <c r="E16" s="40"/>
      <c r="F16" s="40">
        <v>23514</v>
      </c>
      <c r="G16" s="40">
        <v>11620</v>
      </c>
      <c r="H16" s="40">
        <v>11894</v>
      </c>
      <c r="I16" s="40"/>
      <c r="J16" s="41">
        <v>34809</v>
      </c>
      <c r="K16" s="41">
        <v>16933</v>
      </c>
      <c r="L16" s="41">
        <v>17876</v>
      </c>
      <c r="M16" s="42"/>
      <c r="N16" s="41">
        <f t="shared" si="1"/>
        <v>37886</v>
      </c>
      <c r="O16" s="41">
        <v>19349</v>
      </c>
      <c r="P16" s="41">
        <v>18537</v>
      </c>
      <c r="Q16" s="48"/>
      <c r="R16" s="52"/>
      <c r="S16" s="50"/>
      <c r="T16" s="50"/>
      <c r="U16" s="50"/>
      <c r="V16" s="21"/>
      <c r="AF16" s="34" t="s">
        <v>35</v>
      </c>
      <c r="AG16" s="35">
        <f t="shared" si="0"/>
        <v>-3625</v>
      </c>
      <c r="AH16" s="40">
        <v>3297</v>
      </c>
      <c r="AI16" s="40">
        <v>3625</v>
      </c>
    </row>
    <row r="17" spans="1:35" ht="18" customHeight="1" x14ac:dyDescent="0.35">
      <c r="A17" s="34" t="s">
        <v>32</v>
      </c>
      <c r="B17" s="40">
        <v>18191</v>
      </c>
      <c r="C17" s="40">
        <v>8802</v>
      </c>
      <c r="D17" s="40">
        <v>9389</v>
      </c>
      <c r="E17" s="40"/>
      <c r="F17" s="40">
        <v>20090</v>
      </c>
      <c r="G17" s="40">
        <v>9805</v>
      </c>
      <c r="H17" s="40">
        <v>10285</v>
      </c>
      <c r="I17" s="40"/>
      <c r="J17" s="41">
        <v>24581</v>
      </c>
      <c r="K17" s="41">
        <v>11915</v>
      </c>
      <c r="L17" s="41">
        <v>12666</v>
      </c>
      <c r="M17" s="42"/>
      <c r="N17" s="41">
        <f t="shared" si="1"/>
        <v>39189</v>
      </c>
      <c r="O17" s="41">
        <v>19451</v>
      </c>
      <c r="P17" s="41">
        <v>19738</v>
      </c>
      <c r="Q17" s="48"/>
      <c r="R17" s="52"/>
      <c r="S17" s="50"/>
      <c r="T17" s="50"/>
      <c r="U17" s="50"/>
      <c r="V17" s="21"/>
      <c r="AF17" s="34" t="s">
        <v>36</v>
      </c>
      <c r="AG17" s="35">
        <f t="shared" si="0"/>
        <v>-3369</v>
      </c>
      <c r="AH17" s="40">
        <v>3215</v>
      </c>
      <c r="AI17" s="40">
        <v>3369</v>
      </c>
    </row>
    <row r="18" spans="1:35" ht="18" customHeight="1" x14ac:dyDescent="0.35">
      <c r="A18" s="34" t="s">
        <v>33</v>
      </c>
      <c r="B18" s="40">
        <v>15364</v>
      </c>
      <c r="C18" s="40">
        <v>7579</v>
      </c>
      <c r="D18" s="40">
        <v>7785</v>
      </c>
      <c r="E18" s="40"/>
      <c r="F18" s="40">
        <v>18161</v>
      </c>
      <c r="G18" s="40">
        <v>8890</v>
      </c>
      <c r="H18" s="40">
        <v>9271</v>
      </c>
      <c r="I18" s="40"/>
      <c r="J18" s="41">
        <v>20635</v>
      </c>
      <c r="K18" s="41">
        <v>10022</v>
      </c>
      <c r="L18" s="41">
        <v>10613</v>
      </c>
      <c r="M18" s="42"/>
      <c r="N18" s="41">
        <f t="shared" si="1"/>
        <v>31362</v>
      </c>
      <c r="O18" s="41">
        <v>15494</v>
      </c>
      <c r="P18" s="41">
        <v>15868</v>
      </c>
      <c r="Q18" s="48"/>
      <c r="R18" s="52"/>
      <c r="S18" s="50"/>
      <c r="T18" s="50"/>
      <c r="U18" s="50"/>
      <c r="V18" s="21"/>
      <c r="AF18" s="34" t="s">
        <v>37</v>
      </c>
      <c r="AG18" s="35">
        <f t="shared" si="0"/>
        <v>-3205</v>
      </c>
      <c r="AH18" s="40">
        <v>3042</v>
      </c>
      <c r="AI18" s="40">
        <v>3205</v>
      </c>
    </row>
    <row r="19" spans="1:35" ht="18" customHeight="1" x14ac:dyDescent="0.35">
      <c r="A19" s="34" t="s">
        <v>34</v>
      </c>
      <c r="B19" s="40">
        <v>12632</v>
      </c>
      <c r="C19" s="40">
        <v>6315</v>
      </c>
      <c r="D19" s="40">
        <v>6317</v>
      </c>
      <c r="E19" s="40"/>
      <c r="F19" s="40">
        <v>15699</v>
      </c>
      <c r="G19" s="40">
        <v>7828</v>
      </c>
      <c r="H19" s="40">
        <v>7871</v>
      </c>
      <c r="I19" s="40"/>
      <c r="J19" s="41">
        <v>18174</v>
      </c>
      <c r="K19" s="41">
        <v>8780</v>
      </c>
      <c r="L19" s="41">
        <v>9394</v>
      </c>
      <c r="M19" s="42"/>
      <c r="N19" s="41">
        <f t="shared" si="1"/>
        <v>22904</v>
      </c>
      <c r="O19" s="41">
        <v>11386</v>
      </c>
      <c r="P19" s="41">
        <v>11518</v>
      </c>
      <c r="Q19" s="48"/>
      <c r="R19" s="52"/>
      <c r="S19" s="50"/>
      <c r="T19" s="50"/>
      <c r="U19" s="50"/>
      <c r="V19" s="21"/>
      <c r="AF19" s="34" t="s">
        <v>38</v>
      </c>
      <c r="AG19" s="35">
        <f t="shared" si="0"/>
        <v>-3240</v>
      </c>
      <c r="AH19" s="40">
        <v>2722</v>
      </c>
      <c r="AI19" s="40">
        <v>3240</v>
      </c>
    </row>
    <row r="20" spans="1:35" ht="18" customHeight="1" x14ac:dyDescent="0.35">
      <c r="A20" s="34" t="s">
        <v>35</v>
      </c>
      <c r="B20" s="40">
        <v>6922</v>
      </c>
      <c r="C20" s="40">
        <v>3625</v>
      </c>
      <c r="D20" s="40">
        <v>3297</v>
      </c>
      <c r="E20" s="40"/>
      <c r="F20" s="40">
        <v>12402</v>
      </c>
      <c r="G20" s="40">
        <v>6272</v>
      </c>
      <c r="H20" s="40">
        <v>6130</v>
      </c>
      <c r="I20" s="40"/>
      <c r="J20" s="41">
        <v>15871</v>
      </c>
      <c r="K20" s="41">
        <v>7828</v>
      </c>
      <c r="L20" s="41">
        <v>8043</v>
      </c>
      <c r="M20" s="42"/>
      <c r="N20" s="41">
        <f t="shared" si="1"/>
        <v>19875</v>
      </c>
      <c r="O20" s="41">
        <v>9811</v>
      </c>
      <c r="P20" s="41">
        <v>10064</v>
      </c>
      <c r="Q20" s="48"/>
      <c r="R20" s="52"/>
      <c r="S20" s="50"/>
      <c r="T20" s="50"/>
      <c r="U20" s="50"/>
      <c r="V20" s="21"/>
      <c r="AF20" s="34" t="s">
        <v>39</v>
      </c>
      <c r="AG20" s="35">
        <f t="shared" si="0"/>
        <v>-3010</v>
      </c>
      <c r="AH20" s="40">
        <v>2284</v>
      </c>
      <c r="AI20" s="40">
        <v>3010</v>
      </c>
    </row>
    <row r="21" spans="1:35" ht="18" customHeight="1" x14ac:dyDescent="0.35">
      <c r="A21" s="34" t="s">
        <v>36</v>
      </c>
      <c r="B21" s="40">
        <v>6584</v>
      </c>
      <c r="C21" s="40">
        <v>3369</v>
      </c>
      <c r="D21" s="40">
        <v>3215</v>
      </c>
      <c r="E21" s="40"/>
      <c r="F21" s="40">
        <v>7461</v>
      </c>
      <c r="G21" s="40">
        <v>3977</v>
      </c>
      <c r="H21" s="40">
        <v>3484</v>
      </c>
      <c r="I21" s="40"/>
      <c r="J21" s="41">
        <v>13569</v>
      </c>
      <c r="K21" s="41">
        <v>6872</v>
      </c>
      <c r="L21" s="41">
        <v>6697</v>
      </c>
      <c r="M21" s="42"/>
      <c r="N21" s="41">
        <f t="shared" si="1"/>
        <v>17579</v>
      </c>
      <c r="O21" s="41">
        <v>8784</v>
      </c>
      <c r="P21" s="41">
        <v>8795</v>
      </c>
      <c r="Q21" s="48"/>
      <c r="R21" s="52"/>
      <c r="S21" s="50"/>
      <c r="T21" s="50"/>
      <c r="U21" s="50"/>
      <c r="V21" s="21"/>
      <c r="AF21" s="34" t="s">
        <v>40</v>
      </c>
      <c r="AG21" s="35">
        <f t="shared" si="0"/>
        <v>-1897</v>
      </c>
      <c r="AH21" s="40">
        <v>1304</v>
      </c>
      <c r="AI21" s="40">
        <v>1897</v>
      </c>
    </row>
    <row r="22" spans="1:35" ht="18" customHeight="1" x14ac:dyDescent="0.35">
      <c r="A22" s="34" t="s">
        <v>37</v>
      </c>
      <c r="B22" s="40">
        <v>6247</v>
      </c>
      <c r="C22" s="40">
        <v>3205</v>
      </c>
      <c r="D22" s="40">
        <v>3042</v>
      </c>
      <c r="E22" s="40"/>
      <c r="F22" s="40">
        <v>5967</v>
      </c>
      <c r="G22" s="40">
        <v>3051</v>
      </c>
      <c r="H22" s="40">
        <v>2916</v>
      </c>
      <c r="I22" s="40"/>
      <c r="J22" s="41">
        <v>7936</v>
      </c>
      <c r="K22" s="41">
        <v>4147</v>
      </c>
      <c r="L22" s="41">
        <v>3789</v>
      </c>
      <c r="M22" s="42"/>
      <c r="N22" s="41">
        <f t="shared" si="1"/>
        <v>15050</v>
      </c>
      <c r="O22" s="41">
        <v>7645</v>
      </c>
      <c r="P22" s="41">
        <v>7405</v>
      </c>
      <c r="Q22" s="48"/>
      <c r="R22" s="52"/>
      <c r="S22" s="50"/>
      <c r="T22" s="50"/>
      <c r="U22" s="50"/>
      <c r="V22" s="21"/>
      <c r="AF22" s="34" t="s">
        <v>41</v>
      </c>
      <c r="AG22" s="35">
        <f t="shared" si="0"/>
        <v>-1279</v>
      </c>
      <c r="AH22" s="40">
        <v>822</v>
      </c>
      <c r="AI22" s="40">
        <v>1279</v>
      </c>
    </row>
    <row r="23" spans="1:35" ht="18" customHeight="1" x14ac:dyDescent="0.35">
      <c r="A23" s="34" t="s">
        <v>38</v>
      </c>
      <c r="B23" s="40">
        <v>5962</v>
      </c>
      <c r="C23" s="40">
        <v>3240</v>
      </c>
      <c r="D23" s="40">
        <v>2722</v>
      </c>
      <c r="E23" s="40"/>
      <c r="F23" s="40">
        <v>5996</v>
      </c>
      <c r="G23" s="40">
        <v>3131</v>
      </c>
      <c r="H23" s="40">
        <v>2865</v>
      </c>
      <c r="I23" s="40"/>
      <c r="J23" s="41">
        <v>5859</v>
      </c>
      <c r="K23" s="41">
        <v>3046</v>
      </c>
      <c r="L23" s="41">
        <v>2813</v>
      </c>
      <c r="M23" s="42"/>
      <c r="N23" s="41">
        <f t="shared" si="1"/>
        <v>11703</v>
      </c>
      <c r="O23" s="41">
        <v>6031</v>
      </c>
      <c r="P23" s="41">
        <v>5672</v>
      </c>
      <c r="Q23" s="48"/>
      <c r="R23" s="52"/>
      <c r="S23" s="50"/>
      <c r="T23" s="50"/>
      <c r="U23" s="50"/>
      <c r="V23" s="21"/>
      <c r="AF23" s="34" t="s">
        <v>42</v>
      </c>
      <c r="AG23" s="35">
        <f t="shared" si="0"/>
        <v>-1384</v>
      </c>
      <c r="AH23" s="24">
        <f>D27+D28+D29+D30+D31</f>
        <v>862</v>
      </c>
      <c r="AI23" s="24">
        <f>C27+C28+C29+C30+C31</f>
        <v>1384</v>
      </c>
    </row>
    <row r="24" spans="1:35" ht="18" customHeight="1" x14ac:dyDescent="0.35">
      <c r="A24" s="34" t="s">
        <v>39</v>
      </c>
      <c r="B24" s="40">
        <v>5294</v>
      </c>
      <c r="C24" s="40">
        <v>3010</v>
      </c>
      <c r="D24" s="40">
        <v>2284</v>
      </c>
      <c r="E24" s="40"/>
      <c r="F24" s="40">
        <v>6312</v>
      </c>
      <c r="G24" s="40">
        <v>3370</v>
      </c>
      <c r="H24" s="40">
        <v>2942</v>
      </c>
      <c r="I24" s="40"/>
      <c r="J24" s="41">
        <v>5566</v>
      </c>
      <c r="K24" s="41">
        <v>2852</v>
      </c>
      <c r="L24" s="41">
        <v>2714</v>
      </c>
      <c r="M24" s="42"/>
      <c r="N24" s="41">
        <f t="shared" si="1"/>
        <v>6249</v>
      </c>
      <c r="O24" s="41">
        <v>3327</v>
      </c>
      <c r="P24" s="41">
        <v>2922</v>
      </c>
      <c r="Q24" s="48"/>
      <c r="R24" s="52"/>
      <c r="S24" s="50"/>
      <c r="T24" s="50"/>
      <c r="U24" s="50"/>
      <c r="V24" s="21"/>
      <c r="AF24" s="34"/>
      <c r="AG24" s="34"/>
      <c r="AH24" s="34"/>
    </row>
    <row r="25" spans="1:35" ht="18" customHeight="1" x14ac:dyDescent="0.35">
      <c r="A25" s="34" t="s">
        <v>40</v>
      </c>
      <c r="B25" s="40">
        <v>3201</v>
      </c>
      <c r="C25" s="40">
        <v>1897</v>
      </c>
      <c r="D25" s="40">
        <v>1304</v>
      </c>
      <c r="E25" s="40"/>
      <c r="F25" s="40">
        <v>4611</v>
      </c>
      <c r="G25" s="40">
        <v>2650</v>
      </c>
      <c r="H25" s="40">
        <v>1961</v>
      </c>
      <c r="I25" s="40"/>
      <c r="J25" s="41">
        <v>5678</v>
      </c>
      <c r="K25" s="41">
        <v>3014</v>
      </c>
      <c r="L25" s="41">
        <v>2664</v>
      </c>
      <c r="M25" s="42"/>
      <c r="N25" s="41">
        <f t="shared" si="1"/>
        <v>4871</v>
      </c>
      <c r="O25" s="41">
        <v>2445</v>
      </c>
      <c r="P25" s="41">
        <v>2426</v>
      </c>
      <c r="Q25" s="48"/>
      <c r="R25" s="52"/>
      <c r="S25" s="50"/>
      <c r="T25" s="50"/>
      <c r="U25" s="50"/>
      <c r="V25" s="21"/>
    </row>
    <row r="26" spans="1:35" ht="18" customHeight="1" x14ac:dyDescent="0.35">
      <c r="A26" s="34" t="s">
        <v>41</v>
      </c>
      <c r="B26" s="40">
        <v>2101</v>
      </c>
      <c r="C26" s="40">
        <v>1279</v>
      </c>
      <c r="D26" s="40">
        <v>822</v>
      </c>
      <c r="E26" s="40"/>
      <c r="F26" s="40">
        <v>2873</v>
      </c>
      <c r="G26" s="40">
        <v>1737</v>
      </c>
      <c r="H26" s="40">
        <v>1136</v>
      </c>
      <c r="I26" s="40"/>
      <c r="J26" s="41">
        <v>4186</v>
      </c>
      <c r="K26" s="41">
        <v>2333</v>
      </c>
      <c r="L26" s="41">
        <v>1853</v>
      </c>
      <c r="M26" s="53"/>
      <c r="N26" s="41">
        <f t="shared" si="1"/>
        <v>4843</v>
      </c>
      <c r="O26" s="41">
        <v>2471</v>
      </c>
      <c r="P26" s="41">
        <v>2372</v>
      </c>
      <c r="Q26" s="48"/>
      <c r="R26" s="52"/>
      <c r="S26" s="50"/>
      <c r="T26" s="50"/>
      <c r="U26" s="50"/>
      <c r="V26" s="21"/>
    </row>
    <row r="27" spans="1:35" ht="18" customHeight="1" x14ac:dyDescent="0.35">
      <c r="A27" s="34" t="s">
        <v>43</v>
      </c>
      <c r="B27" s="40">
        <v>968</v>
      </c>
      <c r="C27" s="40">
        <v>617</v>
      </c>
      <c r="D27" s="40">
        <v>351</v>
      </c>
      <c r="E27" s="40"/>
      <c r="F27" s="40">
        <v>1410</v>
      </c>
      <c r="G27" s="40">
        <v>859</v>
      </c>
      <c r="H27" s="40">
        <v>551</v>
      </c>
      <c r="I27" s="40"/>
      <c r="J27" s="41">
        <v>2377</v>
      </c>
      <c r="K27" s="41">
        <v>1444</v>
      </c>
      <c r="L27" s="41">
        <v>933</v>
      </c>
      <c r="M27" s="54"/>
      <c r="N27" s="41">
        <f t="shared" si="1"/>
        <v>3723</v>
      </c>
      <c r="O27" s="41">
        <v>1968</v>
      </c>
      <c r="P27" s="41">
        <v>1755</v>
      </c>
      <c r="Q27" s="48"/>
      <c r="R27" s="52"/>
      <c r="S27" s="50"/>
      <c r="T27" s="50"/>
      <c r="U27" s="50"/>
      <c r="V27" s="21"/>
    </row>
    <row r="28" spans="1:35" ht="18" customHeight="1" x14ac:dyDescent="0.35">
      <c r="A28" s="34" t="s">
        <v>44</v>
      </c>
      <c r="B28" s="40">
        <v>695</v>
      </c>
      <c r="C28" s="40">
        <v>394</v>
      </c>
      <c r="D28" s="40">
        <v>301</v>
      </c>
      <c r="E28" s="40"/>
      <c r="F28" s="40">
        <v>679</v>
      </c>
      <c r="G28" s="40">
        <v>407</v>
      </c>
      <c r="H28" s="40">
        <v>272</v>
      </c>
      <c r="I28" s="40"/>
      <c r="J28" s="41">
        <v>1064</v>
      </c>
      <c r="K28" s="41">
        <v>617</v>
      </c>
      <c r="L28" s="41">
        <v>447</v>
      </c>
      <c r="M28" s="54"/>
      <c r="N28" s="41">
        <f t="shared" si="1"/>
        <v>1949</v>
      </c>
      <c r="O28" s="41">
        <v>1155</v>
      </c>
      <c r="P28" s="41">
        <v>794</v>
      </c>
      <c r="Q28" s="48"/>
      <c r="R28" s="52"/>
      <c r="S28" s="50"/>
      <c r="T28" s="50"/>
      <c r="U28" s="50"/>
      <c r="V28" s="21"/>
      <c r="AF28" s="14">
        <v>2000</v>
      </c>
    </row>
    <row r="29" spans="1:35" ht="18" customHeight="1" x14ac:dyDescent="0.35">
      <c r="A29" s="34" t="s">
        <v>45</v>
      </c>
      <c r="B29" s="40">
        <v>326</v>
      </c>
      <c r="C29" s="40">
        <v>220</v>
      </c>
      <c r="D29" s="40">
        <v>106</v>
      </c>
      <c r="E29" s="40"/>
      <c r="F29" s="40">
        <v>284</v>
      </c>
      <c r="G29" s="40">
        <v>162</v>
      </c>
      <c r="H29" s="40">
        <v>122</v>
      </c>
      <c r="I29" s="40"/>
      <c r="J29" s="41">
        <v>396</v>
      </c>
      <c r="K29" s="41">
        <v>241</v>
      </c>
      <c r="L29" s="41">
        <v>155</v>
      </c>
      <c r="M29" s="54"/>
      <c r="N29" s="41">
        <f t="shared" si="1"/>
        <v>725</v>
      </c>
      <c r="O29" s="41">
        <v>442</v>
      </c>
      <c r="P29" s="41">
        <v>283</v>
      </c>
      <c r="Q29" s="48"/>
      <c r="R29" s="52"/>
      <c r="S29" s="50"/>
      <c r="T29" s="50"/>
      <c r="U29" s="50"/>
      <c r="V29" s="21"/>
      <c r="AF29" s="21"/>
      <c r="AG29" s="21"/>
      <c r="AH29" s="21"/>
      <c r="AI29" s="21"/>
    </row>
    <row r="30" spans="1:35" ht="18" customHeight="1" x14ac:dyDescent="0.35">
      <c r="A30" s="34" t="s">
        <v>46</v>
      </c>
      <c r="B30" s="40">
        <v>163</v>
      </c>
      <c r="C30" s="40">
        <v>86</v>
      </c>
      <c r="D30" s="40">
        <v>77</v>
      </c>
      <c r="E30" s="40"/>
      <c r="F30" s="40">
        <v>96</v>
      </c>
      <c r="G30" s="40">
        <v>59</v>
      </c>
      <c r="H30" s="40">
        <v>37</v>
      </c>
      <c r="I30" s="40"/>
      <c r="J30" s="41">
        <v>159</v>
      </c>
      <c r="K30" s="41">
        <v>89</v>
      </c>
      <c r="L30" s="41">
        <v>70</v>
      </c>
      <c r="M30" s="54"/>
      <c r="N30" s="41">
        <f t="shared" si="1"/>
        <v>225</v>
      </c>
      <c r="O30" s="41">
        <v>140</v>
      </c>
      <c r="P30" s="41">
        <v>85</v>
      </c>
      <c r="Q30" s="48"/>
      <c r="R30" s="52"/>
      <c r="S30" s="50"/>
      <c r="T30" s="50"/>
      <c r="U30" s="50"/>
      <c r="V30" s="21"/>
      <c r="AF30" s="21"/>
      <c r="AG30" s="21"/>
      <c r="AH30" s="21"/>
      <c r="AI30" s="24"/>
    </row>
    <row r="31" spans="1:35" ht="18" customHeight="1" x14ac:dyDescent="0.35">
      <c r="A31" s="34" t="s">
        <v>47</v>
      </c>
      <c r="B31" s="55">
        <v>94</v>
      </c>
      <c r="C31" s="55">
        <v>67</v>
      </c>
      <c r="D31" s="55">
        <v>27</v>
      </c>
      <c r="E31" s="55"/>
      <c r="F31" s="40">
        <v>76</v>
      </c>
      <c r="G31" s="40">
        <v>45</v>
      </c>
      <c r="H31" s="40">
        <v>31</v>
      </c>
      <c r="I31" s="40"/>
      <c r="J31" s="41">
        <v>84</v>
      </c>
      <c r="K31" s="41">
        <v>52</v>
      </c>
      <c r="L31" s="41">
        <v>32</v>
      </c>
      <c r="M31" s="54"/>
      <c r="N31" s="41">
        <f t="shared" si="1"/>
        <v>83</v>
      </c>
      <c r="O31" s="41">
        <v>47</v>
      </c>
      <c r="P31" s="41">
        <v>36</v>
      </c>
      <c r="Q31" s="48"/>
      <c r="R31" s="52"/>
      <c r="S31" s="50"/>
      <c r="T31" s="50"/>
      <c r="U31" s="50"/>
      <c r="V31" s="21"/>
      <c r="AG31" s="28" t="s">
        <v>4</v>
      </c>
      <c r="AH31" s="29" t="s">
        <v>5</v>
      </c>
    </row>
    <row r="32" spans="1:35" ht="18" customHeight="1" x14ac:dyDescent="0.35">
      <c r="A32" s="56" t="s">
        <v>48</v>
      </c>
      <c r="B32" s="57">
        <v>543</v>
      </c>
      <c r="C32" s="57">
        <v>391</v>
      </c>
      <c r="D32" s="57">
        <v>152</v>
      </c>
      <c r="E32" s="57"/>
      <c r="F32" s="58">
        <v>1276</v>
      </c>
      <c r="G32" s="58">
        <v>815</v>
      </c>
      <c r="H32" s="58">
        <v>461</v>
      </c>
      <c r="I32" s="58"/>
      <c r="J32" s="59">
        <v>5083</v>
      </c>
      <c r="K32" s="59">
        <v>3294</v>
      </c>
      <c r="L32" s="59">
        <v>1789</v>
      </c>
      <c r="M32" s="60"/>
      <c r="N32" s="41">
        <f t="shared" si="1"/>
        <v>0</v>
      </c>
      <c r="O32" s="59">
        <v>0</v>
      </c>
      <c r="P32" s="59">
        <v>0</v>
      </c>
      <c r="Q32" s="48"/>
      <c r="R32" s="52"/>
      <c r="S32" s="10"/>
      <c r="T32" s="10"/>
      <c r="U32" s="10"/>
      <c r="V32" s="10"/>
      <c r="AF32" s="34" t="s">
        <v>22</v>
      </c>
      <c r="AG32" s="35">
        <f>-1*AI32</f>
        <v>-15699</v>
      </c>
      <c r="AH32" s="24">
        <f>H10+H11</f>
        <v>15213</v>
      </c>
      <c r="AI32" s="24">
        <f>G10+G11</f>
        <v>15699</v>
      </c>
    </row>
    <row r="33" spans="1:35" ht="16" x14ac:dyDescent="0.3">
      <c r="A33" s="3" t="s">
        <v>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2"/>
      <c r="N33" s="61"/>
      <c r="O33" s="61"/>
      <c r="P33" s="2" t="s">
        <v>7</v>
      </c>
      <c r="Q33" s="9"/>
      <c r="R33" s="10"/>
      <c r="S33" s="10"/>
      <c r="T33" s="10"/>
      <c r="U33" s="10"/>
      <c r="V33" s="12"/>
      <c r="W33" s="34"/>
      <c r="X33" s="34"/>
      <c r="Y33" s="34"/>
      <c r="AF33" s="34" t="s">
        <v>24</v>
      </c>
      <c r="AG33" s="35">
        <f t="shared" ref="AG33:AG47" si="2">-1*AI33</f>
        <v>-19336</v>
      </c>
      <c r="AH33" s="24">
        <f>H12+H13</f>
        <v>18591</v>
      </c>
      <c r="AI33" s="24">
        <f>G12+G13</f>
        <v>19336</v>
      </c>
    </row>
    <row r="34" spans="1:35" ht="16" x14ac:dyDescent="0.3">
      <c r="A34" s="62"/>
      <c r="B34" s="36"/>
      <c r="C34" s="62"/>
      <c r="D34" s="62"/>
      <c r="E34" s="62"/>
      <c r="F34" s="10"/>
      <c r="G34" s="10"/>
      <c r="H34" s="10"/>
      <c r="I34" s="10"/>
      <c r="J34" s="10"/>
      <c r="K34" s="10"/>
      <c r="L34" s="62"/>
      <c r="M34" s="63"/>
      <c r="N34" s="10"/>
      <c r="O34" s="10"/>
      <c r="P34" s="62"/>
      <c r="Q34" s="9"/>
      <c r="R34" s="10"/>
      <c r="S34" s="10"/>
      <c r="T34" s="10"/>
      <c r="U34" s="10"/>
      <c r="V34" s="12"/>
      <c r="W34" s="34"/>
      <c r="X34" s="34"/>
      <c r="Y34" s="34"/>
      <c r="AF34" s="34" t="s">
        <v>26</v>
      </c>
      <c r="AG34" s="35">
        <f t="shared" si="2"/>
        <v>-20897</v>
      </c>
      <c r="AH34" s="40">
        <v>20192</v>
      </c>
      <c r="AI34" s="40">
        <v>20897</v>
      </c>
    </row>
    <row r="35" spans="1:35" ht="14.5" x14ac:dyDescent="0.3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9"/>
      <c r="R35" s="10"/>
      <c r="S35" s="10"/>
      <c r="T35" s="10"/>
      <c r="U35" s="10"/>
      <c r="V35" s="12"/>
      <c r="W35" s="34"/>
      <c r="X35" s="34"/>
      <c r="Y35" s="34"/>
      <c r="AF35" s="34" t="s">
        <v>28</v>
      </c>
      <c r="AG35" s="35">
        <f t="shared" si="2"/>
        <v>-16590</v>
      </c>
      <c r="AH35" s="40">
        <v>16676</v>
      </c>
      <c r="AI35" s="40">
        <v>16590</v>
      </c>
    </row>
    <row r="36" spans="1:35" ht="14.5" x14ac:dyDescent="0.3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11"/>
      <c r="R36" s="12"/>
      <c r="S36" s="12"/>
      <c r="T36" s="12"/>
      <c r="U36" s="12"/>
      <c r="V36" s="12"/>
      <c r="W36" s="34"/>
      <c r="X36" s="34"/>
      <c r="Y36" s="34"/>
      <c r="AF36" s="34" t="s">
        <v>30</v>
      </c>
      <c r="AG36" s="35">
        <f t="shared" si="2"/>
        <v>-11620</v>
      </c>
      <c r="AH36" s="40">
        <v>11894</v>
      </c>
      <c r="AI36" s="40">
        <v>11620</v>
      </c>
    </row>
    <row r="37" spans="1:35" ht="14.5" x14ac:dyDescent="0.3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11"/>
      <c r="R37" s="12"/>
      <c r="S37" s="12"/>
      <c r="T37" s="12"/>
      <c r="U37" s="12"/>
      <c r="V37" s="12"/>
      <c r="W37" s="12"/>
      <c r="X37" s="12"/>
      <c r="Y37" s="12"/>
      <c r="AF37" s="34" t="s">
        <v>32</v>
      </c>
      <c r="AG37" s="35">
        <f t="shared" si="2"/>
        <v>-9805</v>
      </c>
      <c r="AH37" s="40">
        <v>10285</v>
      </c>
      <c r="AI37" s="40">
        <v>9805</v>
      </c>
    </row>
    <row r="38" spans="1:35" ht="14.5" x14ac:dyDescent="0.3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11"/>
      <c r="R38" s="12"/>
      <c r="S38" s="12"/>
      <c r="T38" s="12"/>
      <c r="U38" s="12"/>
      <c r="V38" s="12"/>
      <c r="W38" s="12"/>
      <c r="X38" s="12"/>
      <c r="Y38" s="12"/>
      <c r="AF38" s="34" t="s">
        <v>33</v>
      </c>
      <c r="AG38" s="35">
        <f t="shared" si="2"/>
        <v>-8890</v>
      </c>
      <c r="AH38" s="40">
        <v>9271</v>
      </c>
      <c r="AI38" s="40">
        <v>8890</v>
      </c>
    </row>
    <row r="39" spans="1:35" ht="14.5" x14ac:dyDescent="0.3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11"/>
      <c r="R39" s="12"/>
      <c r="S39" s="12"/>
      <c r="T39" s="12"/>
      <c r="U39" s="12"/>
      <c r="V39" s="12"/>
      <c r="W39" s="12"/>
      <c r="X39" s="12"/>
      <c r="Y39" s="12"/>
      <c r="AF39" s="34" t="s">
        <v>34</v>
      </c>
      <c r="AG39" s="35">
        <f t="shared" si="2"/>
        <v>-7828</v>
      </c>
      <c r="AH39" s="40">
        <v>7871</v>
      </c>
      <c r="AI39" s="40">
        <v>7828</v>
      </c>
    </row>
    <row r="40" spans="1:35" ht="14.5" x14ac:dyDescent="0.3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11"/>
      <c r="R40" s="12"/>
      <c r="S40" s="12"/>
      <c r="T40" s="12"/>
      <c r="U40" s="12"/>
      <c r="V40" s="12"/>
      <c r="W40" s="12"/>
      <c r="X40" s="12"/>
      <c r="Y40" s="12"/>
      <c r="AF40" s="34" t="s">
        <v>35</v>
      </c>
      <c r="AG40" s="35">
        <f t="shared" si="2"/>
        <v>-6272</v>
      </c>
      <c r="AH40" s="40">
        <v>6130</v>
      </c>
      <c r="AI40" s="40">
        <v>6272</v>
      </c>
    </row>
    <row r="41" spans="1:35" ht="14.5" x14ac:dyDescent="0.3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11"/>
      <c r="R41" s="12"/>
      <c r="S41" s="12"/>
      <c r="T41" s="12"/>
      <c r="U41" s="12"/>
      <c r="V41" s="12"/>
      <c r="W41" s="12"/>
      <c r="X41" s="12"/>
      <c r="Y41" s="12"/>
      <c r="AF41" s="34" t="s">
        <v>36</v>
      </c>
      <c r="AG41" s="35">
        <f t="shared" si="2"/>
        <v>-3977</v>
      </c>
      <c r="AH41" s="40">
        <v>3484</v>
      </c>
      <c r="AI41" s="40">
        <v>3977</v>
      </c>
    </row>
    <row r="42" spans="1:35" ht="14.5" x14ac:dyDescent="0.3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11"/>
      <c r="R42" s="12"/>
      <c r="S42" s="12"/>
      <c r="T42" s="12"/>
      <c r="U42" s="12"/>
      <c r="V42" s="12"/>
      <c r="W42" s="12"/>
      <c r="X42" s="12"/>
      <c r="Y42" s="12"/>
      <c r="AF42" s="34" t="s">
        <v>37</v>
      </c>
      <c r="AG42" s="35">
        <f t="shared" si="2"/>
        <v>-3051</v>
      </c>
      <c r="AH42" s="40">
        <v>2916</v>
      </c>
      <c r="AI42" s="40">
        <v>3051</v>
      </c>
    </row>
    <row r="43" spans="1:35" ht="14.5" x14ac:dyDescent="0.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11"/>
      <c r="R43" s="12"/>
      <c r="S43" s="12"/>
      <c r="T43" s="12"/>
      <c r="U43" s="12"/>
      <c r="V43" s="12"/>
      <c r="W43" s="12"/>
      <c r="X43" s="12"/>
      <c r="Y43" s="12"/>
      <c r="AF43" s="34" t="s">
        <v>38</v>
      </c>
      <c r="AG43" s="35">
        <f t="shared" si="2"/>
        <v>-3131</v>
      </c>
      <c r="AH43" s="40">
        <v>2865</v>
      </c>
      <c r="AI43" s="40">
        <v>3131</v>
      </c>
    </row>
    <row r="44" spans="1:35" ht="14.5" x14ac:dyDescent="0.3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11"/>
      <c r="R44" s="12"/>
      <c r="S44" s="12"/>
      <c r="T44" s="12"/>
      <c r="U44" s="12"/>
      <c r="V44" s="12"/>
      <c r="W44" s="12"/>
      <c r="X44" s="12"/>
      <c r="Y44" s="12"/>
      <c r="AF44" s="34" t="s">
        <v>39</v>
      </c>
      <c r="AG44" s="35">
        <f t="shared" si="2"/>
        <v>-3370</v>
      </c>
      <c r="AH44" s="40">
        <v>2942</v>
      </c>
      <c r="AI44" s="40">
        <v>3370</v>
      </c>
    </row>
    <row r="45" spans="1:35" ht="14.5" x14ac:dyDescent="0.3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11"/>
      <c r="R45" s="12"/>
      <c r="S45" s="12"/>
      <c r="T45" s="12"/>
      <c r="U45" s="12"/>
      <c r="V45" s="12"/>
      <c r="W45" s="12"/>
      <c r="X45" s="12"/>
      <c r="Y45" s="12"/>
      <c r="AF45" s="34" t="s">
        <v>40</v>
      </c>
      <c r="AG45" s="35">
        <f t="shared" si="2"/>
        <v>-2650</v>
      </c>
      <c r="AH45" s="40">
        <v>1961</v>
      </c>
      <c r="AI45" s="40">
        <v>2650</v>
      </c>
    </row>
    <row r="46" spans="1:35" ht="14.5" x14ac:dyDescent="0.3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11"/>
      <c r="R46" s="12"/>
      <c r="S46" s="12"/>
      <c r="T46" s="12"/>
      <c r="U46" s="12"/>
      <c r="V46" s="12"/>
      <c r="W46" s="12"/>
      <c r="X46" s="12"/>
      <c r="Y46" s="12"/>
      <c r="AF46" s="34" t="s">
        <v>41</v>
      </c>
      <c r="AG46" s="35">
        <f t="shared" si="2"/>
        <v>-1737</v>
      </c>
      <c r="AH46" s="40">
        <v>1136</v>
      </c>
      <c r="AI46" s="40">
        <v>1737</v>
      </c>
    </row>
    <row r="47" spans="1:35" ht="13" x14ac:dyDescent="0.3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11"/>
      <c r="R47" s="12"/>
      <c r="S47" s="12"/>
      <c r="T47" s="12"/>
      <c r="U47" s="12"/>
      <c r="V47" s="12"/>
      <c r="W47" s="12"/>
      <c r="X47" s="12"/>
      <c r="Y47" s="12"/>
      <c r="AF47" s="34" t="s">
        <v>42</v>
      </c>
      <c r="AG47" s="35">
        <f t="shared" si="2"/>
        <v>-1532</v>
      </c>
      <c r="AH47" s="24">
        <f>H27+H28+H29+H30+H31</f>
        <v>1013</v>
      </c>
      <c r="AI47" s="24">
        <f>G27+G28+G29+G30+G31</f>
        <v>1532</v>
      </c>
    </row>
    <row r="48" spans="1:35" ht="13" x14ac:dyDescent="0.3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AF48" s="34"/>
      <c r="AG48" s="34"/>
      <c r="AH48" s="34"/>
    </row>
    <row r="49" spans="1:35" x14ac:dyDescent="0.25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</row>
    <row r="50" spans="1:35" x14ac:dyDescent="0.25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</row>
    <row r="51" spans="1:35" x14ac:dyDescent="0.25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</row>
    <row r="52" spans="1:35" s="64" customFormat="1" ht="14.25" customHeight="1" x14ac:dyDescent="0.25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N52" s="63"/>
      <c r="O52" s="63"/>
      <c r="P52" s="63"/>
    </row>
    <row r="53" spans="1:35" x14ac:dyDescent="0.25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N53" s="63"/>
      <c r="O53" s="63"/>
      <c r="P53" s="63"/>
      <c r="AF53" s="14">
        <v>2006</v>
      </c>
    </row>
    <row r="54" spans="1:35" x14ac:dyDescent="0.25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N54" s="63"/>
      <c r="O54" s="63"/>
      <c r="P54" s="63"/>
      <c r="AF54" s="21"/>
      <c r="AG54" s="21"/>
      <c r="AH54" s="21"/>
      <c r="AI54" s="21"/>
    </row>
    <row r="55" spans="1:35" x14ac:dyDescent="0.2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N55" s="63"/>
      <c r="O55" s="63"/>
      <c r="P55" s="63"/>
      <c r="AF55" s="21"/>
      <c r="AG55" s="21"/>
      <c r="AH55" s="21"/>
      <c r="AI55" s="24">
        <f>W50+W51</f>
        <v>0</v>
      </c>
    </row>
    <row r="56" spans="1:35" x14ac:dyDescent="0.25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N56" s="63"/>
      <c r="O56" s="63"/>
      <c r="P56" s="63"/>
      <c r="AG56" s="28" t="s">
        <v>4</v>
      </c>
      <c r="AH56" s="29" t="s">
        <v>5</v>
      </c>
    </row>
    <row r="57" spans="1:35" ht="13" x14ac:dyDescent="0.3">
      <c r="B57" s="63"/>
      <c r="C57" s="63"/>
      <c r="D57" s="63"/>
      <c r="E57" s="63"/>
      <c r="F57" s="63"/>
      <c r="G57" s="63"/>
      <c r="H57" s="63"/>
      <c r="I57" s="63"/>
      <c r="J57" s="63"/>
      <c r="K57" s="63"/>
      <c r="N57" s="63"/>
      <c r="O57" s="63"/>
      <c r="AF57" s="34" t="s">
        <v>22</v>
      </c>
      <c r="AG57" s="35">
        <f>-1*AI57</f>
        <v>-13362</v>
      </c>
      <c r="AH57" s="24">
        <f>L10+L11</f>
        <v>12809</v>
      </c>
      <c r="AI57" s="24">
        <f>K10+K11</f>
        <v>13362</v>
      </c>
    </row>
    <row r="58" spans="1:35" s="1" customFormat="1" ht="13" x14ac:dyDescent="0.3">
      <c r="B58" s="65"/>
      <c r="C58" s="65"/>
      <c r="D58" s="66"/>
      <c r="E58" s="67"/>
      <c r="F58" s="6"/>
      <c r="G58" s="6"/>
      <c r="H58" s="68"/>
      <c r="I58" s="6"/>
      <c r="J58" s="7"/>
      <c r="K58" s="7"/>
      <c r="L58" s="8"/>
      <c r="N58" s="7"/>
      <c r="O58" s="7"/>
      <c r="P58" s="8"/>
      <c r="AF58" s="34" t="s">
        <v>24</v>
      </c>
      <c r="AG58" s="35">
        <f t="shared" ref="AG58:AG72" si="3">-1*AI58</f>
        <v>-15352</v>
      </c>
      <c r="AH58" s="24">
        <f>L12+L13</f>
        <v>14515</v>
      </c>
      <c r="AI58" s="24">
        <f>K12+K13</f>
        <v>15352</v>
      </c>
    </row>
    <row r="59" spans="1:35" ht="14.5" x14ac:dyDescent="0.3">
      <c r="A59" s="64"/>
      <c r="AF59" s="34" t="s">
        <v>26</v>
      </c>
      <c r="AG59" s="35">
        <f t="shared" si="3"/>
        <v>-19111</v>
      </c>
      <c r="AH59" s="41">
        <v>17888</v>
      </c>
      <c r="AI59" s="41">
        <v>19111</v>
      </c>
    </row>
    <row r="60" spans="1:35" ht="14.5" x14ac:dyDescent="0.3">
      <c r="AF60" s="34" t="s">
        <v>28</v>
      </c>
      <c r="AG60" s="35">
        <f t="shared" si="3"/>
        <v>-20155</v>
      </c>
      <c r="AH60" s="41">
        <v>19749</v>
      </c>
      <c r="AI60" s="41">
        <v>20155</v>
      </c>
    </row>
    <row r="61" spans="1:35" ht="14.5" x14ac:dyDescent="0.3">
      <c r="AF61" s="34" t="s">
        <v>30</v>
      </c>
      <c r="AG61" s="35">
        <f t="shared" si="3"/>
        <v>-16933</v>
      </c>
      <c r="AH61" s="41">
        <v>17876</v>
      </c>
      <c r="AI61" s="41">
        <v>16933</v>
      </c>
    </row>
    <row r="62" spans="1:35" ht="14.5" x14ac:dyDescent="0.3">
      <c r="AF62" s="34" t="s">
        <v>32</v>
      </c>
      <c r="AG62" s="35">
        <f t="shared" si="3"/>
        <v>-11915</v>
      </c>
      <c r="AH62" s="41">
        <v>12666</v>
      </c>
      <c r="AI62" s="41">
        <v>11915</v>
      </c>
    </row>
    <row r="63" spans="1:35" ht="14.5" x14ac:dyDescent="0.3">
      <c r="AF63" s="34" t="s">
        <v>33</v>
      </c>
      <c r="AG63" s="35">
        <f t="shared" si="3"/>
        <v>-10022</v>
      </c>
      <c r="AH63" s="41">
        <v>10613</v>
      </c>
      <c r="AI63" s="41">
        <v>10022</v>
      </c>
    </row>
    <row r="64" spans="1:35" ht="14.5" x14ac:dyDescent="0.3">
      <c r="AF64" s="34" t="s">
        <v>34</v>
      </c>
      <c r="AG64" s="35">
        <f t="shared" si="3"/>
        <v>-8780</v>
      </c>
      <c r="AH64" s="41">
        <v>9394</v>
      </c>
      <c r="AI64" s="41">
        <v>8780</v>
      </c>
    </row>
    <row r="65" spans="7:35" ht="14.5" x14ac:dyDescent="0.3">
      <c r="AF65" s="34" t="s">
        <v>35</v>
      </c>
      <c r="AG65" s="35">
        <f t="shared" si="3"/>
        <v>-7828</v>
      </c>
      <c r="AH65" s="41">
        <v>8043</v>
      </c>
      <c r="AI65" s="41">
        <v>7828</v>
      </c>
    </row>
    <row r="66" spans="7:35" ht="14.5" x14ac:dyDescent="0.3">
      <c r="G66" s="69"/>
      <c r="AF66" s="34" t="s">
        <v>36</v>
      </c>
      <c r="AG66" s="35">
        <f t="shared" si="3"/>
        <v>-6872</v>
      </c>
      <c r="AH66" s="41">
        <v>6697</v>
      </c>
      <c r="AI66" s="41">
        <v>6872</v>
      </c>
    </row>
    <row r="67" spans="7:35" ht="14.5" x14ac:dyDescent="0.3">
      <c r="AF67" s="34" t="s">
        <v>37</v>
      </c>
      <c r="AG67" s="35">
        <f t="shared" si="3"/>
        <v>-4147</v>
      </c>
      <c r="AH67" s="41">
        <v>3789</v>
      </c>
      <c r="AI67" s="41">
        <v>4147</v>
      </c>
    </row>
    <row r="68" spans="7:35" ht="14.5" x14ac:dyDescent="0.3">
      <c r="AF68" s="34" t="s">
        <v>38</v>
      </c>
      <c r="AG68" s="35">
        <f t="shared" si="3"/>
        <v>-3046</v>
      </c>
      <c r="AH68" s="41">
        <v>2813</v>
      </c>
      <c r="AI68" s="41">
        <v>3046</v>
      </c>
    </row>
    <row r="69" spans="7:35" ht="14.5" x14ac:dyDescent="0.3">
      <c r="AF69" s="34" t="s">
        <v>39</v>
      </c>
      <c r="AG69" s="35">
        <f t="shared" si="3"/>
        <v>-2852</v>
      </c>
      <c r="AH69" s="41">
        <v>2714</v>
      </c>
      <c r="AI69" s="41">
        <v>2852</v>
      </c>
    </row>
    <row r="70" spans="7:35" ht="14.5" x14ac:dyDescent="0.3">
      <c r="AF70" s="34" t="s">
        <v>40</v>
      </c>
      <c r="AG70" s="35">
        <f t="shared" si="3"/>
        <v>-3014</v>
      </c>
      <c r="AH70" s="41">
        <v>2664</v>
      </c>
      <c r="AI70" s="41">
        <v>3014</v>
      </c>
    </row>
    <row r="71" spans="7:35" ht="14.5" x14ac:dyDescent="0.3">
      <c r="AF71" s="34" t="s">
        <v>41</v>
      </c>
      <c r="AG71" s="35">
        <f t="shared" si="3"/>
        <v>-2333</v>
      </c>
      <c r="AH71" s="41">
        <v>1853</v>
      </c>
      <c r="AI71" s="41">
        <v>2333</v>
      </c>
    </row>
    <row r="72" spans="7:35" ht="13" x14ac:dyDescent="0.3">
      <c r="AF72" s="34" t="s">
        <v>42</v>
      </c>
      <c r="AG72" s="35">
        <f t="shared" si="3"/>
        <v>-2443</v>
      </c>
      <c r="AH72" s="24">
        <f>L27+L28+L29+L30+L31</f>
        <v>1637</v>
      </c>
      <c r="AI72" s="24">
        <f>K27+K28+K29+K30+K31</f>
        <v>2443</v>
      </c>
    </row>
    <row r="73" spans="7:35" ht="13" x14ac:dyDescent="0.3">
      <c r="AF73" s="34"/>
      <c r="AG73" s="34"/>
      <c r="AH73" s="34"/>
    </row>
    <row r="76" spans="7:35" x14ac:dyDescent="0.25">
      <c r="AF76" s="14">
        <v>2014</v>
      </c>
    </row>
    <row r="77" spans="7:35" x14ac:dyDescent="0.25">
      <c r="AF77" s="21"/>
      <c r="AG77" s="21"/>
      <c r="AH77" s="21"/>
      <c r="AI77" s="24"/>
    </row>
    <row r="78" spans="7:35" x14ac:dyDescent="0.25">
      <c r="AG78" s="28" t="s">
        <v>4</v>
      </c>
      <c r="AH78" s="29" t="s">
        <v>5</v>
      </c>
    </row>
    <row r="79" spans="7:35" ht="13" x14ac:dyDescent="0.3">
      <c r="AF79" s="34" t="s">
        <v>22</v>
      </c>
      <c r="AG79" s="35">
        <f>-1*AI79</f>
        <v>-18863</v>
      </c>
      <c r="AH79" s="24">
        <f>P10+P11</f>
        <v>17223</v>
      </c>
      <c r="AI79" s="24">
        <f>O10+O11</f>
        <v>18863</v>
      </c>
    </row>
    <row r="80" spans="7:35" ht="13" x14ac:dyDescent="0.3">
      <c r="AF80" s="34" t="s">
        <v>24</v>
      </c>
      <c r="AG80" s="35">
        <f t="shared" ref="AG80:AG94" si="4">-1*AI80</f>
        <v>-16364</v>
      </c>
      <c r="AH80" s="24">
        <f>P12+P13</f>
        <v>15616</v>
      </c>
      <c r="AI80" s="24">
        <f>O12+O13</f>
        <v>16364</v>
      </c>
    </row>
    <row r="81" spans="32:35" ht="14.5" x14ac:dyDescent="0.3">
      <c r="AF81" s="34" t="s">
        <v>26</v>
      </c>
      <c r="AG81" s="35">
        <f t="shared" si="4"/>
        <v>-13571</v>
      </c>
      <c r="AH81" s="41">
        <v>12787</v>
      </c>
      <c r="AI81" s="41">
        <v>13571</v>
      </c>
    </row>
    <row r="82" spans="32:35" ht="14.5" x14ac:dyDescent="0.3">
      <c r="AF82" s="34" t="s">
        <v>28</v>
      </c>
      <c r="AG82" s="35">
        <f t="shared" si="4"/>
        <v>-15922</v>
      </c>
      <c r="AH82" s="41">
        <v>15461</v>
      </c>
      <c r="AI82" s="41">
        <v>15922</v>
      </c>
    </row>
    <row r="83" spans="32:35" ht="14.5" x14ac:dyDescent="0.3">
      <c r="AF83" s="34" t="s">
        <v>30</v>
      </c>
      <c r="AG83" s="35">
        <f t="shared" si="4"/>
        <v>-19349</v>
      </c>
      <c r="AH83" s="41">
        <v>18537</v>
      </c>
      <c r="AI83" s="41">
        <v>19349</v>
      </c>
    </row>
    <row r="84" spans="32:35" ht="14.5" x14ac:dyDescent="0.3">
      <c r="AF84" s="34" t="s">
        <v>32</v>
      </c>
      <c r="AG84" s="35">
        <f t="shared" si="4"/>
        <v>-19451</v>
      </c>
      <c r="AH84" s="41">
        <v>19738</v>
      </c>
      <c r="AI84" s="41">
        <v>19451</v>
      </c>
    </row>
    <row r="85" spans="32:35" ht="14.5" x14ac:dyDescent="0.3">
      <c r="AF85" s="34" t="s">
        <v>33</v>
      </c>
      <c r="AG85" s="35">
        <f t="shared" si="4"/>
        <v>-15494</v>
      </c>
      <c r="AH85" s="41">
        <v>15868</v>
      </c>
      <c r="AI85" s="41">
        <v>15494</v>
      </c>
    </row>
    <row r="86" spans="32:35" ht="14.5" x14ac:dyDescent="0.3">
      <c r="AF86" s="34" t="s">
        <v>34</v>
      </c>
      <c r="AG86" s="35">
        <f t="shared" si="4"/>
        <v>-11386</v>
      </c>
      <c r="AH86" s="41">
        <v>11518</v>
      </c>
      <c r="AI86" s="41">
        <v>11386</v>
      </c>
    </row>
    <row r="87" spans="32:35" ht="14.5" x14ac:dyDescent="0.3">
      <c r="AF87" s="34" t="s">
        <v>35</v>
      </c>
      <c r="AG87" s="35">
        <f t="shared" si="4"/>
        <v>-9811</v>
      </c>
      <c r="AH87" s="41">
        <v>10064</v>
      </c>
      <c r="AI87" s="41">
        <v>9811</v>
      </c>
    </row>
    <row r="88" spans="32:35" ht="14.5" x14ac:dyDescent="0.3">
      <c r="AF88" s="34" t="s">
        <v>36</v>
      </c>
      <c r="AG88" s="35">
        <f t="shared" si="4"/>
        <v>-8784</v>
      </c>
      <c r="AH88" s="41">
        <v>8795</v>
      </c>
      <c r="AI88" s="41">
        <v>8784</v>
      </c>
    </row>
    <row r="89" spans="32:35" ht="14.5" x14ac:dyDescent="0.3">
      <c r="AF89" s="34" t="s">
        <v>37</v>
      </c>
      <c r="AG89" s="35">
        <f t="shared" si="4"/>
        <v>-7645</v>
      </c>
      <c r="AH89" s="41">
        <v>7405</v>
      </c>
      <c r="AI89" s="41">
        <v>7645</v>
      </c>
    </row>
    <row r="90" spans="32:35" ht="14.5" x14ac:dyDescent="0.3">
      <c r="AF90" s="34" t="s">
        <v>38</v>
      </c>
      <c r="AG90" s="35">
        <f t="shared" si="4"/>
        <v>-6031</v>
      </c>
      <c r="AH90" s="41">
        <v>5672</v>
      </c>
      <c r="AI90" s="41">
        <v>6031</v>
      </c>
    </row>
    <row r="91" spans="32:35" ht="14.5" x14ac:dyDescent="0.3">
      <c r="AF91" s="34" t="s">
        <v>39</v>
      </c>
      <c r="AG91" s="35">
        <f t="shared" si="4"/>
        <v>-3327</v>
      </c>
      <c r="AH91" s="41">
        <v>2922</v>
      </c>
      <c r="AI91" s="41">
        <v>3327</v>
      </c>
    </row>
    <row r="92" spans="32:35" ht="14.5" x14ac:dyDescent="0.3">
      <c r="AF92" s="34" t="s">
        <v>40</v>
      </c>
      <c r="AG92" s="35">
        <f t="shared" si="4"/>
        <v>-2445</v>
      </c>
      <c r="AH92" s="41">
        <v>2426</v>
      </c>
      <c r="AI92" s="41">
        <v>2445</v>
      </c>
    </row>
    <row r="93" spans="32:35" ht="14.5" x14ac:dyDescent="0.3">
      <c r="AF93" s="34" t="s">
        <v>41</v>
      </c>
      <c r="AG93" s="35">
        <f t="shared" si="4"/>
        <v>-2471</v>
      </c>
      <c r="AH93" s="41">
        <v>2372</v>
      </c>
      <c r="AI93" s="41">
        <v>2471</v>
      </c>
    </row>
    <row r="94" spans="32:35" ht="13" x14ac:dyDescent="0.3">
      <c r="AF94" s="34" t="s">
        <v>42</v>
      </c>
      <c r="AG94" s="35">
        <f t="shared" si="4"/>
        <v>-3752</v>
      </c>
      <c r="AH94" s="24">
        <f>P27+P28+P29+P30+P31+P32</f>
        <v>2953</v>
      </c>
      <c r="AI94" s="24">
        <f>O27+O28+O29+O30+O31+O32</f>
        <v>3752</v>
      </c>
    </row>
    <row r="96" spans="32:35" x14ac:dyDescent="0.25">
      <c r="AI96" s="70">
        <f>SUM(AI92:AI94)</f>
        <v>8668</v>
      </c>
    </row>
  </sheetData>
  <mergeCells count="2">
    <mergeCell ref="A1:P1"/>
    <mergeCell ref="A2:P2"/>
  </mergeCells>
  <pageMargins left="0.7" right="0.7" top="0.75" bottom="0.75" header="0.3" footer="0.3"/>
  <pageSetup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</vt:lpstr>
      <vt:lpstr>'3.2'!Print_Area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User</cp:lastModifiedBy>
  <cp:lastPrinted>2021-07-11T04:44:05Z</cp:lastPrinted>
  <dcterms:created xsi:type="dcterms:W3CDTF">2019-07-22T06:02:33Z</dcterms:created>
  <dcterms:modified xsi:type="dcterms:W3CDTF">2021-07-11T04:44:12Z</dcterms:modified>
</cp:coreProperties>
</file>