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3.Population\"/>
    </mc:Choice>
  </mc:AlternateContent>
  <bookViews>
    <workbookView xWindow="-105" yWindow="-105" windowWidth="19425" windowHeight="10425" tabRatio="819"/>
  </bookViews>
  <sheets>
    <sheet name="3.21" sheetId="21" r:id="rId1"/>
  </sheets>
  <externalReferences>
    <externalReference r:id="rId2"/>
    <externalReference r:id="rId3"/>
    <externalReference r:id="rId4"/>
  </externalReferences>
  <definedNames>
    <definedName name="_xlnm.Print_Area" localSheetId="0">'3.21'!$A$1:$L$52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5" i="21" l="1"/>
  <c r="AI5" i="21"/>
  <c r="AH6" i="21"/>
  <c r="AI6" i="21"/>
  <c r="AH7" i="21"/>
  <c r="AI7" i="21"/>
  <c r="AI4" i="21"/>
  <c r="AH4" i="21"/>
  <c r="AP24" i="21"/>
  <c r="AQ24" i="21"/>
  <c r="AP25" i="21"/>
  <c r="AQ25" i="21"/>
  <c r="AP26" i="21"/>
  <c r="AQ26" i="21"/>
  <c r="AP27" i="21"/>
  <c r="AQ27" i="21"/>
  <c r="I7" i="21"/>
  <c r="H7" i="21"/>
  <c r="AN24" i="21" l="1"/>
  <c r="AO24" i="21"/>
  <c r="AN25" i="21"/>
  <c r="AO25" i="21"/>
  <c r="AN26" i="21"/>
  <c r="AO26" i="21"/>
  <c r="AN27" i="21"/>
  <c r="AO27" i="21"/>
  <c r="AG3" i="21" l="1"/>
  <c r="G7" i="21" l="1"/>
  <c r="F7" i="21"/>
  <c r="AM27" i="21" l="1"/>
  <c r="AL27" i="21"/>
  <c r="AM26" i="21"/>
  <c r="AL26" i="21"/>
  <c r="AM25" i="21"/>
  <c r="AL25" i="21"/>
  <c r="AM24" i="21"/>
  <c r="AL24" i="21"/>
  <c r="E7" i="21"/>
  <c r="D7" i="21"/>
  <c r="C7" i="21"/>
  <c r="B7" i="21"/>
  <c r="AF3" i="21" l="1"/>
  <c r="AH14" i="21" s="1"/>
  <c r="AI11" i="21"/>
  <c r="AH11" i="21" l="1"/>
  <c r="AI16" i="21"/>
  <c r="AH17" i="21"/>
  <c r="AI15" i="21"/>
  <c r="AI17" i="21"/>
  <c r="AH16" i="21"/>
  <c r="AH15" i="21"/>
  <c r="AI14" i="21"/>
</calcChain>
</file>

<file path=xl/sharedStrings.xml><?xml version="1.0" encoding="utf-8"?>
<sst xmlns="http://schemas.openxmlformats.org/spreadsheetml/2006/main" count="61" uniqueCount="20">
  <si>
    <t>Male</t>
  </si>
  <si>
    <t>Female</t>
  </si>
  <si>
    <t>Total</t>
  </si>
  <si>
    <t>ޖުމްލަ</t>
  </si>
  <si>
    <t>ފިރިހެން</t>
  </si>
  <si>
    <t>އަންހެން</t>
  </si>
  <si>
    <t>Source: Department of Judicial Administration</t>
  </si>
  <si>
    <t xml:space="preserve">މަޢުލޫމާތު ދެއްވި ފަރާތް: ޑިޕާޓްމަންޓް އޮފް ޖުޑީޝަލް އެޑްމިނިސްޓްރޭޝަން </t>
  </si>
  <si>
    <t>Number of times married</t>
  </si>
  <si>
    <t xml:space="preserve">ކައިވެނިކުރި އަދަދު </t>
  </si>
  <si>
    <t>First</t>
  </si>
  <si>
    <t>Second</t>
  </si>
  <si>
    <t xml:space="preserve">Third </t>
  </si>
  <si>
    <t>Fourth or more</t>
  </si>
  <si>
    <t xml:space="preserve">އަލަށް ކައިވެނިކުރި </t>
  </si>
  <si>
    <t xml:space="preserve">ދެވަނަ ފަހަރަށް ކައިވެނިކުރި </t>
  </si>
  <si>
    <t xml:space="preserve">ތިންވަނަ ފަހަރަށް ކައިވެނިކުރި </t>
  </si>
  <si>
    <t xml:space="preserve">ހަތަރެއް ނުވަތަ އެއަށްވުރެ ގިނަ </t>
  </si>
  <si>
    <t>TABLE 3.21: NUMBER OF MARRIAGES BY NUMBER OF TIMES MARRIED BY SEX, 2017 - 2020</t>
  </si>
  <si>
    <t xml:space="preserve">ތާވަލު 3.21: ކައިވެނީގެ އަދަދާއި ކައިވެނި ކުރި ފަހަރު އަދި ޖިންސު، 2017 - 2020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</si>
</sst>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-* #,##0.00\ _ރ_._-;_-* #,##0.00\ _ރ_.\-;_-* &quot;-&quot;??\ _ރ_._-;_-@_-"/>
    <numFmt numFmtId="164" formatCode="_-* #,##0.00_-;\-* #,##0.00_-;_-* &quot;-&quot;??_-;_-@_-"/>
    <numFmt numFmtId="166" formatCode="_(* #,##0.00_);_(* \(#,##0.00\);_(* &quot;-&quot;??_);_(@_)"/>
    <numFmt numFmtId="167" formatCode="General_)"/>
    <numFmt numFmtId="174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sz val="10"/>
      <name val="Arial"/>
      <family val="2"/>
    </font>
    <font>
      <sz val="10"/>
      <name val="Calibri"/>
      <family val="2"/>
    </font>
    <font>
      <b/>
      <sz val="10"/>
      <color indexed="8"/>
      <name val="Faruma"/>
    </font>
    <font>
      <b/>
      <sz val="10"/>
      <color indexed="8"/>
      <name val="Calibri"/>
      <family val="2"/>
    </font>
    <font>
      <i/>
      <sz val="9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b/>
      <sz val="11"/>
      <color indexed="8"/>
      <name val="Calibri"/>
      <family val="2"/>
    </font>
    <font>
      <sz val="9"/>
      <color indexed="8"/>
      <name val="Faruma"/>
    </font>
    <font>
      <b/>
      <sz val="11"/>
      <color indexed="8"/>
      <name val="Faruma"/>
    </font>
    <font>
      <sz val="10"/>
      <color indexed="8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</borders>
  <cellStyleXfs count="16">
    <xf numFmtId="0" fontId="0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0" fontId="9" fillId="0" borderId="0"/>
    <xf numFmtId="0" fontId="4" fillId="0" borderId="0"/>
    <xf numFmtId="0" fontId="4" fillId="0" borderId="0"/>
    <xf numFmtId="0" fontId="1" fillId="0" borderId="0"/>
    <xf numFmtId="167" fontId="2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37">
    <xf numFmtId="0" fontId="0" fillId="0" borderId="0" xfId="0"/>
    <xf numFmtId="0" fontId="0" fillId="2" borderId="0" xfId="0" applyFill="1"/>
    <xf numFmtId="0" fontId="11" fillId="2" borderId="0" xfId="0" applyFont="1" applyFill="1"/>
    <xf numFmtId="0" fontId="0" fillId="2" borderId="0" xfId="0" applyFill="1" applyBorder="1"/>
    <xf numFmtId="0" fontId="10" fillId="2" borderId="0" xfId="0" applyFont="1" applyFill="1"/>
    <xf numFmtId="0" fontId="13" fillId="2" borderId="0" xfId="0" applyFont="1" applyFill="1" applyBorder="1"/>
    <xf numFmtId="0" fontId="10" fillId="2" borderId="0" xfId="0" applyFont="1" applyFill="1" applyBorder="1"/>
    <xf numFmtId="1" fontId="0" fillId="2" borderId="0" xfId="0" applyNumberFormat="1" applyFill="1"/>
    <xf numFmtId="0" fontId="10" fillId="2" borderId="2" xfId="0" applyFont="1" applyFill="1" applyBorder="1" applyAlignment="1">
      <alignment horizontal="right" vertical="center"/>
    </xf>
    <xf numFmtId="174" fontId="7" fillId="2" borderId="0" xfId="5" applyNumberFormat="1" applyFont="1" applyFill="1" applyBorder="1"/>
    <xf numFmtId="174" fontId="0" fillId="2" borderId="0" xfId="0" applyNumberFormat="1" applyFill="1"/>
    <xf numFmtId="0" fontId="10" fillId="2" borderId="2" xfId="0" applyFont="1" applyFill="1" applyBorder="1" applyAlignment="1">
      <alignment horizontal="center" vertical="center"/>
    </xf>
    <xf numFmtId="0" fontId="5" fillId="2" borderId="0" xfId="0" applyFont="1" applyFill="1" applyBorder="1"/>
    <xf numFmtId="174" fontId="5" fillId="2" borderId="0" xfId="5" applyNumberFormat="1" applyFont="1" applyFill="1" applyBorder="1"/>
    <xf numFmtId="0" fontId="10" fillId="2" borderId="5" xfId="0" applyFont="1" applyFill="1" applyBorder="1" applyAlignment="1">
      <alignment horizontal="right" vertical="center"/>
    </xf>
    <xf numFmtId="0" fontId="10" fillId="2" borderId="0" xfId="0" applyFont="1" applyFill="1" applyBorder="1" applyAlignment="1">
      <alignment horizontal="right" vertical="center"/>
    </xf>
    <xf numFmtId="0" fontId="12" fillId="2" borderId="1" xfId="0" applyFont="1" applyFill="1" applyBorder="1"/>
    <xf numFmtId="0" fontId="12" fillId="2" borderId="4" xfId="0" applyFont="1" applyFill="1" applyBorder="1"/>
    <xf numFmtId="174" fontId="7" fillId="2" borderId="3" xfId="5" applyNumberFormat="1" applyFont="1" applyFill="1" applyBorder="1"/>
    <xf numFmtId="0" fontId="6" fillId="2" borderId="0" xfId="0" applyFont="1" applyFill="1" applyBorder="1"/>
    <xf numFmtId="0" fontId="5" fillId="2" borderId="1" xfId="0" applyFont="1" applyFill="1" applyBorder="1"/>
    <xf numFmtId="174" fontId="5" fillId="2" borderId="3" xfId="5" applyNumberFormat="1" applyFont="1" applyFill="1" applyBorder="1"/>
    <xf numFmtId="174" fontId="5" fillId="2" borderId="1" xfId="5" applyNumberFormat="1" applyFont="1" applyFill="1" applyBorder="1"/>
    <xf numFmtId="174" fontId="5" fillId="2" borderId="4" xfId="5" applyNumberFormat="1" applyFont="1" applyFill="1" applyBorder="1"/>
    <xf numFmtId="0" fontId="13" fillId="2" borderId="1" xfId="0" applyFont="1" applyFill="1" applyBorder="1"/>
    <xf numFmtId="0" fontId="8" fillId="2" borderId="0" xfId="0" applyFont="1" applyFill="1"/>
    <xf numFmtId="0" fontId="12" fillId="2" borderId="0" xfId="0" applyFont="1" applyFill="1" applyBorder="1" applyAlignment="1">
      <alignment horizontal="right" vertical="center"/>
    </xf>
    <xf numFmtId="0" fontId="12" fillId="2" borderId="0" xfId="0" applyFont="1" applyFill="1" applyAlignment="1">
      <alignment horizontal="center"/>
    </xf>
    <xf numFmtId="0" fontId="12" fillId="2" borderId="2" xfId="0" applyFont="1" applyFill="1" applyBorder="1" applyAlignment="1">
      <alignment horizontal="right" vertical="center"/>
    </xf>
    <xf numFmtId="0" fontId="0" fillId="2" borderId="1" xfId="0" applyFill="1" applyBorder="1" applyAlignment="1">
      <alignment horizontal="center"/>
    </xf>
    <xf numFmtId="0" fontId="12" fillId="2" borderId="1" xfId="0" applyFont="1" applyFill="1" applyBorder="1" applyAlignment="1">
      <alignment horizontal="right" vertical="center"/>
    </xf>
    <xf numFmtId="0" fontId="10" fillId="2" borderId="1" xfId="0" applyFont="1" applyFill="1" applyBorder="1" applyAlignment="1">
      <alignment horizontal="center" vertical="top"/>
    </xf>
    <xf numFmtId="0" fontId="10" fillId="2" borderId="2" xfId="0" applyFont="1" applyFill="1" applyBorder="1" applyAlignment="1">
      <alignment horizontal="left" vertical="center" wrapText="1"/>
    </xf>
    <xf numFmtId="0" fontId="10" fillId="2" borderId="0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0" fillId="2" borderId="6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</cellXfs>
  <cellStyles count="16">
    <cellStyle name="1" xfId="13"/>
    <cellStyle name="Comma 2" xfId="12"/>
    <cellStyle name="Comma 3" xfId="5"/>
    <cellStyle name="Comma 3 2" xfId="15"/>
    <cellStyle name="Comma 4" xfId="3"/>
    <cellStyle name="Comma 7" xfId="14"/>
    <cellStyle name="Normal" xfId="0" builtinId="0"/>
    <cellStyle name="Normal 11" xfId="6"/>
    <cellStyle name="Normal 2" xfId="4"/>
    <cellStyle name="Normal 20" xfId="2"/>
    <cellStyle name="Normal 3" xfId="11"/>
    <cellStyle name="Normal 32" xfId="7"/>
    <cellStyle name="Normal 4" xfId="10"/>
    <cellStyle name="Normal 44" xfId="8"/>
    <cellStyle name="Normal 48" xfId="9"/>
    <cellStyle name="Normal 5" xfId="1"/>
  </cellStyles>
  <dxfs count="0"/>
  <tableStyles count="0" defaultTableStyle="TableStyleMedium2" defaultPivotStyle="PivotStyleLight16"/>
  <colors>
    <mruColors>
      <color rgb="FFFF9900"/>
      <color rgb="FF196563"/>
      <color rgb="FF249390"/>
      <color rgb="FF33CCCC"/>
      <color rgb="FFEAFAFA"/>
      <color rgb="FFBEF1F0"/>
      <color rgb="FF00FFCC"/>
      <color rgb="FFA85400"/>
      <color rgb="FFCD9B69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Figure 3.24: Marriages by number of times married by sex of bride and groom, 2017- 2020</a:t>
            </a:r>
          </a:p>
        </c:rich>
      </c:tx>
      <c:layout>
        <c:manualLayout>
          <c:xMode val="edge"/>
          <c:yMode val="edge"/>
          <c:x val="0.16051994126516411"/>
          <c:y val="6.5769532498474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347180740338491E-2"/>
          <c:y val="0.15620699818939746"/>
          <c:w val="0.88929054665580587"/>
          <c:h val="0.685755189692197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'3.21'!$AG$24</c:f>
              <c:strCache>
                <c:ptCount val="1"/>
                <c:pt idx="0">
                  <c:v>First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multiLvlStrRef>
              <c:f>'3.21'!$AJ$22:$AQ$23</c:f>
              <c:multiLvlStrCache>
                <c:ptCount val="8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  <c:pt idx="6">
                    <c:v>Male</c:v>
                  </c:pt>
                  <c:pt idx="7">
                    <c:v>Female</c:v>
                  </c:pt>
                </c:lvl>
                <c:lvl>
                  <c:pt idx="0">
                    <c:v>2017</c:v>
                  </c:pt>
                  <c:pt idx="2">
                    <c:v>2018</c:v>
                  </c:pt>
                  <c:pt idx="4">
                    <c:v>2019</c:v>
                  </c:pt>
                  <c:pt idx="6">
                    <c:v>2020</c:v>
                  </c:pt>
                </c:lvl>
              </c:multiLvlStrCache>
            </c:multiLvlStrRef>
          </c:cat>
          <c:val>
            <c:numRef>
              <c:f>'3.21'!$AJ$24:$AQ$24</c:f>
              <c:numCache>
                <c:formatCode>_(* #,##0_);_(* \(#,##0\);_(* "-"??_);_(@_)</c:formatCode>
                <c:ptCount val="8"/>
                <c:pt idx="0">
                  <c:v>2655</c:v>
                </c:pt>
                <c:pt idx="1">
                  <c:v>2657</c:v>
                </c:pt>
                <c:pt idx="2">
                  <c:v>2837</c:v>
                </c:pt>
                <c:pt idx="3">
                  <c:v>2709</c:v>
                </c:pt>
                <c:pt idx="4">
                  <c:v>2605</c:v>
                </c:pt>
                <c:pt idx="5">
                  <c:v>2511</c:v>
                </c:pt>
                <c:pt idx="6">
                  <c:v>2760</c:v>
                </c:pt>
                <c:pt idx="7">
                  <c:v>2583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0E-4E9D-B349-46AB501D8C8F}"/>
            </c:ext>
          </c:extLst>
        </c:ser>
        <c:ser>
          <c:idx val="2"/>
          <c:order val="1"/>
          <c:tx>
            <c:strRef>
              <c:f>'3.21'!$AG$25</c:f>
              <c:strCache>
                <c:ptCount val="1"/>
                <c:pt idx="0">
                  <c:v>Second</c:v>
                </c:pt>
              </c:strCache>
            </c:strRef>
          </c:tx>
          <c:spPr>
            <a:solidFill>
              <a:srgbClr val="249390"/>
            </a:solidFill>
          </c:spPr>
          <c:invertIfNegative val="0"/>
          <c:cat>
            <c:multiLvlStrRef>
              <c:f>'3.21'!$AJ$22:$AQ$23</c:f>
              <c:multiLvlStrCache>
                <c:ptCount val="8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  <c:pt idx="6">
                    <c:v>Male</c:v>
                  </c:pt>
                  <c:pt idx="7">
                    <c:v>Female</c:v>
                  </c:pt>
                </c:lvl>
                <c:lvl>
                  <c:pt idx="0">
                    <c:v>2017</c:v>
                  </c:pt>
                  <c:pt idx="2">
                    <c:v>2018</c:v>
                  </c:pt>
                  <c:pt idx="4">
                    <c:v>2019</c:v>
                  </c:pt>
                  <c:pt idx="6">
                    <c:v>2020</c:v>
                  </c:pt>
                </c:lvl>
              </c:multiLvlStrCache>
            </c:multiLvlStrRef>
          </c:cat>
          <c:val>
            <c:numRef>
              <c:f>'3.21'!$AJ$25:$AQ$25</c:f>
              <c:numCache>
                <c:formatCode>_(* #,##0_);_(* \(#,##0\);_(* "-"??_);_(@_)</c:formatCode>
                <c:ptCount val="8"/>
                <c:pt idx="0">
                  <c:v>1345</c:v>
                </c:pt>
                <c:pt idx="1">
                  <c:v>1349</c:v>
                </c:pt>
                <c:pt idx="2">
                  <c:v>1284</c:v>
                </c:pt>
                <c:pt idx="3">
                  <c:v>1324</c:v>
                </c:pt>
                <c:pt idx="4">
                  <c:v>1287</c:v>
                </c:pt>
                <c:pt idx="5">
                  <c:v>1326</c:v>
                </c:pt>
                <c:pt idx="6">
                  <c:v>1151</c:v>
                </c:pt>
                <c:pt idx="7">
                  <c:v>1254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D0E-4E9D-B349-46AB501D8C8F}"/>
            </c:ext>
          </c:extLst>
        </c:ser>
        <c:ser>
          <c:idx val="3"/>
          <c:order val="2"/>
          <c:tx>
            <c:strRef>
              <c:f>'3.21'!$AG$26</c:f>
              <c:strCache>
                <c:ptCount val="1"/>
                <c:pt idx="0">
                  <c:v>Third </c:v>
                </c:pt>
              </c:strCache>
            </c:strRef>
          </c:tx>
          <c:spPr>
            <a:solidFill>
              <a:srgbClr val="196563"/>
            </a:solidFill>
          </c:spPr>
          <c:invertIfNegative val="0"/>
          <c:cat>
            <c:multiLvlStrRef>
              <c:f>'3.21'!$AJ$22:$AQ$23</c:f>
              <c:multiLvlStrCache>
                <c:ptCount val="8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  <c:pt idx="6">
                    <c:v>Male</c:v>
                  </c:pt>
                  <c:pt idx="7">
                    <c:v>Female</c:v>
                  </c:pt>
                </c:lvl>
                <c:lvl>
                  <c:pt idx="0">
                    <c:v>2017</c:v>
                  </c:pt>
                  <c:pt idx="2">
                    <c:v>2018</c:v>
                  </c:pt>
                  <c:pt idx="4">
                    <c:v>2019</c:v>
                  </c:pt>
                  <c:pt idx="6">
                    <c:v>2020</c:v>
                  </c:pt>
                </c:lvl>
              </c:multiLvlStrCache>
            </c:multiLvlStrRef>
          </c:cat>
          <c:val>
            <c:numRef>
              <c:f>'3.21'!$AJ$26:$AQ$26</c:f>
              <c:numCache>
                <c:formatCode>_(* #,##0_);_(* \(#,##0\);_(* "-"??_);_(@_)</c:formatCode>
                <c:ptCount val="8"/>
                <c:pt idx="0">
                  <c:v>651</c:v>
                </c:pt>
                <c:pt idx="1">
                  <c:v>640</c:v>
                </c:pt>
                <c:pt idx="2">
                  <c:v>576</c:v>
                </c:pt>
                <c:pt idx="3">
                  <c:v>669</c:v>
                </c:pt>
                <c:pt idx="4">
                  <c:v>591</c:v>
                </c:pt>
                <c:pt idx="5">
                  <c:v>621</c:v>
                </c:pt>
                <c:pt idx="6">
                  <c:v>549</c:v>
                </c:pt>
                <c:pt idx="7">
                  <c:v>628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3D0E-4E9D-B349-46AB501D8C8F}"/>
            </c:ext>
          </c:extLst>
        </c:ser>
        <c:ser>
          <c:idx val="4"/>
          <c:order val="3"/>
          <c:tx>
            <c:strRef>
              <c:f>'3.21'!$AG$27</c:f>
              <c:strCache>
                <c:ptCount val="1"/>
                <c:pt idx="0">
                  <c:v>Fourth or more</c:v>
                </c:pt>
              </c:strCache>
            </c:strRef>
          </c:tx>
          <c:spPr>
            <a:solidFill>
              <a:srgbClr val="FF9900"/>
            </a:solidFill>
          </c:spPr>
          <c:invertIfNegative val="0"/>
          <c:cat>
            <c:multiLvlStrRef>
              <c:f>'3.21'!$AJ$22:$AQ$23</c:f>
              <c:multiLvlStrCache>
                <c:ptCount val="8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  <c:pt idx="6">
                    <c:v>Male</c:v>
                  </c:pt>
                  <c:pt idx="7">
                    <c:v>Female</c:v>
                  </c:pt>
                </c:lvl>
                <c:lvl>
                  <c:pt idx="0">
                    <c:v>2017</c:v>
                  </c:pt>
                  <c:pt idx="2">
                    <c:v>2018</c:v>
                  </c:pt>
                  <c:pt idx="4">
                    <c:v>2019</c:v>
                  </c:pt>
                  <c:pt idx="6">
                    <c:v>2020</c:v>
                  </c:pt>
                </c:lvl>
              </c:multiLvlStrCache>
            </c:multiLvlStrRef>
          </c:cat>
          <c:val>
            <c:numRef>
              <c:f>'3.21'!$AJ$27:$AQ$27</c:f>
              <c:numCache>
                <c:formatCode>_(* #,##0_);_(* \(#,##0\);_(* "-"??_);_(@_)</c:formatCode>
                <c:ptCount val="8"/>
                <c:pt idx="0">
                  <c:v>586</c:v>
                </c:pt>
                <c:pt idx="1">
                  <c:v>591</c:v>
                </c:pt>
                <c:pt idx="2">
                  <c:v>593</c:v>
                </c:pt>
                <c:pt idx="3">
                  <c:v>588</c:v>
                </c:pt>
                <c:pt idx="4">
                  <c:v>586</c:v>
                </c:pt>
                <c:pt idx="5">
                  <c:v>611</c:v>
                </c:pt>
                <c:pt idx="6">
                  <c:v>538</c:v>
                </c:pt>
                <c:pt idx="7">
                  <c:v>533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3D0E-4E9D-B349-46AB501D8C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4623120"/>
        <c:axId val="374143736"/>
      </c:barChart>
      <c:catAx>
        <c:axId val="374623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4143736"/>
        <c:crosses val="autoZero"/>
        <c:auto val="1"/>
        <c:lblAlgn val="ctr"/>
        <c:lblOffset val="100"/>
        <c:noMultiLvlLbl val="0"/>
      </c:catAx>
      <c:valAx>
        <c:axId val="374143736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4623120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55126482034573265"/>
          <c:y val="0.18487094193439724"/>
          <c:w val="0.37945884534967689"/>
          <c:h val="5.1096888290033254E-2"/>
        </c:manualLayout>
      </c:layout>
      <c:overlay val="0"/>
      <c:txPr>
        <a:bodyPr/>
        <a:lstStyle/>
        <a:p>
          <a:pPr>
            <a:defRPr sz="105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200"/>
              <a:t>Figure 3.25: Percentage share of marriages by number of  times married by sex of bride and groom, 2020</a:t>
            </a:r>
          </a:p>
        </c:rich>
      </c:tx>
      <c:layout>
        <c:manualLayout>
          <c:xMode val="edge"/>
          <c:yMode val="edge"/>
          <c:x val="0.15093439690795832"/>
          <c:y val="3.067504574546478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268464014813677E-2"/>
          <c:y val="0.13601639521087261"/>
          <c:w val="0.9076097364852046"/>
          <c:h val="0.723488153021968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'3.21'!$AH$13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strRef>
              <c:f>'3.21'!$AG$14:$AG$17</c:f>
              <c:strCache>
                <c:ptCount val="4"/>
                <c:pt idx="0">
                  <c:v>First</c:v>
                </c:pt>
                <c:pt idx="1">
                  <c:v>Second</c:v>
                </c:pt>
                <c:pt idx="2">
                  <c:v>Third </c:v>
                </c:pt>
                <c:pt idx="3">
                  <c:v>Fourth or more</c:v>
                </c:pt>
              </c:strCache>
            </c:strRef>
          </c:cat>
          <c:val>
            <c:numRef>
              <c:f>'3.21'!$AH$14:$AH$17</c:f>
              <c:numCache>
                <c:formatCode>0</c:formatCode>
                <c:ptCount val="4"/>
                <c:pt idx="0">
                  <c:v>55.222088835534208</c:v>
                </c:pt>
                <c:pt idx="1">
                  <c:v>23.029211684673871</c:v>
                </c:pt>
                <c:pt idx="2">
                  <c:v>10.984393757503002</c:v>
                </c:pt>
                <c:pt idx="3">
                  <c:v>10.764305722288915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643-4279-8923-A03CCAFC6990}"/>
            </c:ext>
          </c:extLst>
        </c:ser>
        <c:ser>
          <c:idx val="1"/>
          <c:order val="1"/>
          <c:tx>
            <c:strRef>
              <c:f>'3.21'!$AI$13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FF9900"/>
            </a:solidFill>
          </c:spPr>
          <c:invertIfNegative val="0"/>
          <c:cat>
            <c:strRef>
              <c:f>'3.21'!$AG$14:$AG$17</c:f>
              <c:strCache>
                <c:ptCount val="4"/>
                <c:pt idx="0">
                  <c:v>First</c:v>
                </c:pt>
                <c:pt idx="1">
                  <c:v>Second</c:v>
                </c:pt>
                <c:pt idx="2">
                  <c:v>Third </c:v>
                </c:pt>
                <c:pt idx="3">
                  <c:v>Fourth or more</c:v>
                </c:pt>
              </c:strCache>
            </c:strRef>
          </c:cat>
          <c:val>
            <c:numRef>
              <c:f>'3.21'!$AI$14:$AI$17</c:f>
              <c:numCache>
                <c:formatCode>0</c:formatCode>
                <c:ptCount val="4"/>
                <c:pt idx="0">
                  <c:v>51.680672268907571</c:v>
                </c:pt>
                <c:pt idx="1">
                  <c:v>25.090036014405765</c:v>
                </c:pt>
                <c:pt idx="2">
                  <c:v>12.565026010404162</c:v>
                </c:pt>
                <c:pt idx="3">
                  <c:v>10.664265706282514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643-4279-8923-A03CCAFC69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4146872"/>
        <c:axId val="374149224"/>
      </c:barChart>
      <c:catAx>
        <c:axId val="374146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4149224"/>
        <c:crosses val="autoZero"/>
        <c:auto val="1"/>
        <c:lblAlgn val="ctr"/>
        <c:lblOffset val="100"/>
        <c:noMultiLvlLbl val="0"/>
      </c:catAx>
      <c:valAx>
        <c:axId val="374149224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Percentage</a:t>
                </a:r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4146872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3789519129952099"/>
          <c:y val="0.24131879414126861"/>
          <c:w val="0.22283491978646275"/>
          <c:h val="0.13990776389544363"/>
        </c:manualLayout>
      </c:layout>
      <c:overlay val="0"/>
      <c:txPr>
        <a:bodyPr/>
        <a:lstStyle/>
        <a:p>
          <a:pPr>
            <a:defRPr sz="105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142875</xdr:rowOff>
    </xdr:from>
    <xdr:to>
      <xdr:col>10</xdr:col>
      <xdr:colOff>542925</xdr:colOff>
      <xdr:row>32</xdr:row>
      <xdr:rowOff>85725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xmlns="" id="{00000000-0008-0000-14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33</xdr:row>
      <xdr:rowOff>57150</xdr:rowOff>
    </xdr:from>
    <xdr:to>
      <xdr:col>10</xdr:col>
      <xdr:colOff>533400</xdr:colOff>
      <xdr:row>51</xdr:row>
      <xdr:rowOff>104775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xmlns="" id="{00000000-0008-0000-14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_backs\userbackups\maha\Yearbook%202001\Graphs2001\pyramid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%20-%20DJ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1">
          <cell r="B61" t="str">
            <v>Male</v>
          </cell>
          <cell r="C61" t="str">
            <v>Female</v>
          </cell>
        </row>
        <row r="62">
          <cell r="A62" t="str">
            <v xml:space="preserve">   0-4</v>
          </cell>
          <cell r="B62">
            <v>19113</v>
          </cell>
          <cell r="C62">
            <v>-17859</v>
          </cell>
        </row>
        <row r="63">
          <cell r="A63" t="str">
            <v xml:space="preserve">   5-9</v>
          </cell>
          <cell r="B63">
            <v>20840</v>
          </cell>
          <cell r="C63">
            <v>-19919</v>
          </cell>
        </row>
        <row r="64">
          <cell r="A64" t="str">
            <v xml:space="preserve"> 10-14</v>
          </cell>
          <cell r="B64">
            <v>18286</v>
          </cell>
          <cell r="C64">
            <v>-17584</v>
          </cell>
        </row>
        <row r="65">
          <cell r="A65" t="str">
            <v xml:space="preserve"> 15-19</v>
          </cell>
          <cell r="B65">
            <v>12343</v>
          </cell>
          <cell r="C65">
            <v>-12562</v>
          </cell>
        </row>
        <row r="66">
          <cell r="A66" t="str">
            <v xml:space="preserve"> 20-24</v>
          </cell>
          <cell r="B66">
            <v>9944</v>
          </cell>
          <cell r="C66">
            <v>-11077</v>
          </cell>
        </row>
        <row r="67">
          <cell r="A67" t="str">
            <v xml:space="preserve"> 25-29</v>
          </cell>
          <cell r="B67">
            <v>8802</v>
          </cell>
          <cell r="C67">
            <v>-9389</v>
          </cell>
        </row>
        <row r="68">
          <cell r="A68" t="str">
            <v xml:space="preserve"> 30-34</v>
          </cell>
          <cell r="B68">
            <v>7579</v>
          </cell>
          <cell r="C68">
            <v>-7785</v>
          </cell>
        </row>
        <row r="69">
          <cell r="A69" t="str">
            <v xml:space="preserve"> 35-39</v>
          </cell>
          <cell r="B69">
            <v>6315</v>
          </cell>
          <cell r="C69">
            <v>-6317</v>
          </cell>
        </row>
        <row r="70">
          <cell r="A70" t="str">
            <v xml:space="preserve"> 40-44</v>
          </cell>
          <cell r="B70">
            <v>3625</v>
          </cell>
          <cell r="C70">
            <v>-3297</v>
          </cell>
        </row>
        <row r="71">
          <cell r="A71" t="str">
            <v xml:space="preserve"> 45-49</v>
          </cell>
          <cell r="B71">
            <v>3369</v>
          </cell>
          <cell r="C71">
            <v>-3215</v>
          </cell>
        </row>
        <row r="72">
          <cell r="A72" t="str">
            <v xml:space="preserve"> 50-54</v>
          </cell>
          <cell r="B72">
            <v>3205</v>
          </cell>
          <cell r="C72">
            <v>-3042</v>
          </cell>
        </row>
        <row r="73">
          <cell r="A73" t="str">
            <v xml:space="preserve"> 55-59</v>
          </cell>
          <cell r="B73">
            <v>3240</v>
          </cell>
          <cell r="C73">
            <v>-2722</v>
          </cell>
        </row>
        <row r="74">
          <cell r="A74" t="str">
            <v xml:space="preserve"> 60-64</v>
          </cell>
          <cell r="B74">
            <v>3010</v>
          </cell>
          <cell r="C74">
            <v>-2284</v>
          </cell>
        </row>
        <row r="75">
          <cell r="A75" t="str">
            <v xml:space="preserve"> 65-69</v>
          </cell>
          <cell r="B75">
            <v>1897</v>
          </cell>
          <cell r="C75">
            <v>-1304</v>
          </cell>
        </row>
        <row r="76">
          <cell r="A76" t="str">
            <v xml:space="preserve"> 70-74</v>
          </cell>
          <cell r="B76">
            <v>1279</v>
          </cell>
          <cell r="C76">
            <v>-822</v>
          </cell>
        </row>
        <row r="77">
          <cell r="A77" t="str">
            <v xml:space="preserve">   75+</v>
          </cell>
          <cell r="B77">
            <v>1384</v>
          </cell>
          <cell r="C77">
            <v>-862</v>
          </cell>
        </row>
        <row r="87">
          <cell r="B87" t="str">
            <v>Male</v>
          </cell>
          <cell r="C87" t="str">
            <v>Female</v>
          </cell>
        </row>
        <row r="88">
          <cell r="A88" t="str">
            <v xml:space="preserve">   0-4</v>
          </cell>
          <cell r="B88">
            <v>-15699</v>
          </cell>
          <cell r="C88">
            <v>15213</v>
          </cell>
        </row>
        <row r="89">
          <cell r="A89" t="str">
            <v xml:space="preserve">   5-9</v>
          </cell>
          <cell r="B89">
            <v>-19336</v>
          </cell>
          <cell r="C89">
            <v>18591</v>
          </cell>
        </row>
        <row r="90">
          <cell r="A90" t="str">
            <v xml:space="preserve"> 10-14</v>
          </cell>
          <cell r="B90">
            <v>-20897</v>
          </cell>
          <cell r="C90">
            <v>20192</v>
          </cell>
        </row>
        <row r="91">
          <cell r="A91" t="str">
            <v xml:space="preserve"> 15-19</v>
          </cell>
          <cell r="B91">
            <v>-16590</v>
          </cell>
          <cell r="C91">
            <v>16676</v>
          </cell>
        </row>
        <row r="92">
          <cell r="A92" t="str">
            <v xml:space="preserve"> 20-24</v>
          </cell>
          <cell r="B92">
            <v>-11620</v>
          </cell>
          <cell r="C92">
            <v>11894</v>
          </cell>
        </row>
        <row r="93">
          <cell r="A93" t="str">
            <v xml:space="preserve"> 25-29</v>
          </cell>
          <cell r="B93">
            <v>-9805</v>
          </cell>
          <cell r="C93">
            <v>10285</v>
          </cell>
        </row>
        <row r="94">
          <cell r="A94" t="str">
            <v xml:space="preserve"> 30-34</v>
          </cell>
          <cell r="B94">
            <v>-8890</v>
          </cell>
          <cell r="C94">
            <v>9271</v>
          </cell>
        </row>
        <row r="95">
          <cell r="A95" t="str">
            <v xml:space="preserve"> 35-39</v>
          </cell>
          <cell r="B95">
            <v>-7828</v>
          </cell>
          <cell r="C95">
            <v>7871</v>
          </cell>
        </row>
        <row r="96">
          <cell r="A96" t="str">
            <v xml:space="preserve"> 40-44</v>
          </cell>
          <cell r="B96">
            <v>-6272</v>
          </cell>
          <cell r="C96">
            <v>6130</v>
          </cell>
        </row>
        <row r="97">
          <cell r="A97" t="str">
            <v xml:space="preserve"> 45-49</v>
          </cell>
          <cell r="B97">
            <v>-3977</v>
          </cell>
          <cell r="C97">
            <v>3484</v>
          </cell>
        </row>
        <row r="98">
          <cell r="A98" t="str">
            <v xml:space="preserve"> 50-54</v>
          </cell>
          <cell r="B98">
            <v>-3051</v>
          </cell>
          <cell r="C98">
            <v>2916</v>
          </cell>
        </row>
        <row r="99">
          <cell r="A99" t="str">
            <v xml:space="preserve"> 55-59</v>
          </cell>
          <cell r="B99">
            <v>-3131</v>
          </cell>
          <cell r="C99">
            <v>2865</v>
          </cell>
        </row>
        <row r="100">
          <cell r="A100" t="str">
            <v xml:space="preserve"> 60-64</v>
          </cell>
          <cell r="B100">
            <v>-3370</v>
          </cell>
          <cell r="C100">
            <v>2942</v>
          </cell>
        </row>
        <row r="101">
          <cell r="A101" t="str">
            <v xml:space="preserve"> 65-69</v>
          </cell>
          <cell r="B101">
            <v>-2650</v>
          </cell>
          <cell r="C101">
            <v>1961</v>
          </cell>
        </row>
        <row r="102">
          <cell r="A102" t="str">
            <v xml:space="preserve"> 70-74</v>
          </cell>
          <cell r="B102">
            <v>-1737</v>
          </cell>
          <cell r="C102">
            <v>1136</v>
          </cell>
        </row>
        <row r="103">
          <cell r="A103" t="str">
            <v xml:space="preserve">   75+</v>
          </cell>
          <cell r="B103">
            <v>-1532</v>
          </cell>
          <cell r="C103">
            <v>1013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</sheetNames>
    <sheetDataSet>
      <sheetData sheetId="0">
        <row r="8">
          <cell r="B8" t="str">
            <v>1911</v>
          </cell>
        </row>
      </sheetData>
      <sheetData sheetId="1">
        <row r="7">
          <cell r="AG7" t="str">
            <v>Male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AD4" t="str">
            <v>Residential Maldivian 2019</v>
          </cell>
        </row>
      </sheetData>
      <sheetData sheetId="13">
        <row r="4">
          <cell r="BB4" t="str">
            <v>Residential Maldivian 2018</v>
          </cell>
        </row>
      </sheetData>
      <sheetData sheetId="14">
        <row r="4">
          <cell r="BB4" t="str">
            <v>Residential Maldivian 2018</v>
          </cell>
        </row>
      </sheetData>
      <sheetData sheetId="15">
        <row r="4">
          <cell r="BB4" t="str">
            <v>Residential Maldivian 2018</v>
          </cell>
        </row>
      </sheetData>
      <sheetData sheetId="16">
        <row r="7">
          <cell r="AA7" t="str">
            <v>Marriages</v>
          </cell>
        </row>
        <row r="40">
          <cell r="AV40">
            <v>2011</v>
          </cell>
          <cell r="AX40">
            <v>2012</v>
          </cell>
          <cell r="AZ40">
            <v>2013</v>
          </cell>
        </row>
        <row r="41">
          <cell r="AU41" t="str">
            <v xml:space="preserve">Divorces </v>
          </cell>
          <cell r="AV41" t="str">
            <v xml:space="preserve">Marriages </v>
          </cell>
          <cell r="AW41" t="str">
            <v xml:space="preserve">Divorces </v>
          </cell>
          <cell r="AX41" t="str">
            <v xml:space="preserve">Marriages </v>
          </cell>
          <cell r="AY41" t="str">
            <v xml:space="preserve">Divorces </v>
          </cell>
          <cell r="AZ41" t="str">
            <v xml:space="preserve">Marriages </v>
          </cell>
        </row>
        <row r="42">
          <cell r="AU42">
            <v>1248</v>
          </cell>
          <cell r="AV42">
            <v>2366</v>
          </cell>
          <cell r="AW42">
            <v>1209</v>
          </cell>
          <cell r="AX42">
            <v>2404</v>
          </cell>
          <cell r="AY42">
            <v>1320</v>
          </cell>
          <cell r="AZ42">
            <v>2463</v>
          </cell>
        </row>
        <row r="44">
          <cell r="AU44">
            <v>1547</v>
          </cell>
          <cell r="AV44">
            <v>3649</v>
          </cell>
          <cell r="AW44">
            <v>1807</v>
          </cell>
          <cell r="AX44">
            <v>3295</v>
          </cell>
          <cell r="AY44">
            <v>1691</v>
          </cell>
          <cell r="AZ44">
            <v>3157</v>
          </cell>
        </row>
      </sheetData>
      <sheetData sheetId="17">
        <row r="97">
          <cell r="S97" t="str">
            <v>15 - 19</v>
          </cell>
        </row>
      </sheetData>
      <sheetData sheetId="18">
        <row r="4">
          <cell r="M4" t="str">
            <v xml:space="preserve">    Foreign Males</v>
          </cell>
        </row>
      </sheetData>
      <sheetData sheetId="19" refreshError="1"/>
      <sheetData sheetId="20">
        <row r="4">
          <cell r="F4">
            <v>2014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4"/>
      <sheetName val="319"/>
      <sheetName val="3.20"/>
      <sheetName val="3.21"/>
      <sheetName val="3.22"/>
      <sheetName val="3.23"/>
      <sheetName val="3.24"/>
    </sheetNames>
    <sheetDataSet>
      <sheetData sheetId="0">
        <row r="40">
          <cell r="AK40">
            <v>2010</v>
          </cell>
          <cell r="AM40">
            <v>2011</v>
          </cell>
        </row>
        <row r="41">
          <cell r="AK41" t="str">
            <v xml:space="preserve">Marriages </v>
          </cell>
          <cell r="AL41" t="str">
            <v xml:space="preserve">Divorces </v>
          </cell>
          <cell r="AM41" t="str">
            <v xml:space="preserve">Marriages </v>
          </cell>
          <cell r="AN41" t="str">
            <v xml:space="preserve">Divorces </v>
          </cell>
        </row>
        <row r="42">
          <cell r="AJ42" t="str">
            <v>Male'</v>
          </cell>
          <cell r="AK42">
            <v>2491</v>
          </cell>
          <cell r="AL42">
            <v>1248</v>
          </cell>
          <cell r="AM42">
            <v>2366</v>
          </cell>
          <cell r="AN42">
            <v>1209</v>
          </cell>
        </row>
        <row r="43">
          <cell r="AJ43" t="str">
            <v>Atolls</v>
          </cell>
          <cell r="AK43">
            <v>3645</v>
          </cell>
          <cell r="AL43">
            <v>1547</v>
          </cell>
          <cell r="AM43">
            <v>3649</v>
          </cell>
          <cell r="AN43">
            <v>1807</v>
          </cell>
        </row>
      </sheetData>
      <sheetData sheetId="1">
        <row r="27">
          <cell r="O27" t="str">
            <v xml:space="preserve">Marriages overseas         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AQ34"/>
  <sheetViews>
    <sheetView tabSelected="1" zoomScale="95" zoomScaleNormal="95" workbookViewId="0">
      <selection activeCell="AD41" sqref="AD41"/>
    </sheetView>
  </sheetViews>
  <sheetFormatPr defaultRowHeight="15" x14ac:dyDescent="0.25"/>
  <cols>
    <col min="1" max="1" width="16.28515625" style="1" customWidth="1"/>
    <col min="2" max="2" width="11.7109375" style="1" customWidth="1"/>
    <col min="3" max="3" width="11.28515625" style="1" customWidth="1"/>
    <col min="4" max="4" width="11.7109375" style="1" customWidth="1"/>
    <col min="5" max="5" width="11.28515625" style="1" customWidth="1"/>
    <col min="6" max="6" width="11.7109375" style="1" customWidth="1"/>
    <col min="7" max="7" width="11.28515625" style="1" customWidth="1"/>
    <col min="8" max="8" width="11.7109375" style="1" customWidth="1"/>
    <col min="9" max="9" width="11.28515625" style="1" customWidth="1"/>
    <col min="10" max="10" width="9.140625" style="1"/>
    <col min="11" max="11" width="14.28515625" style="1" customWidth="1"/>
    <col min="12" max="25" width="9.140625" style="1"/>
    <col min="26" max="26" width="9.42578125" style="1" customWidth="1"/>
    <col min="27" max="30" width="13" style="1" customWidth="1"/>
    <col min="31" max="262" width="9.140625" style="1"/>
    <col min="263" max="263" width="16.28515625" style="1" customWidth="1"/>
    <col min="264" max="269" width="0" style="1" hidden="1" customWidth="1"/>
    <col min="270" max="272" width="11.7109375" style="1" customWidth="1"/>
    <col min="273" max="273" width="11.28515625" style="1" customWidth="1"/>
    <col min="274" max="274" width="11.7109375" style="1" customWidth="1"/>
    <col min="275" max="275" width="11.28515625" style="1" customWidth="1"/>
    <col min="276" max="276" width="11.7109375" style="1" customWidth="1"/>
    <col min="277" max="277" width="11.28515625" style="1" customWidth="1"/>
    <col min="278" max="278" width="9.140625" style="1"/>
    <col min="279" max="279" width="14.28515625" style="1" customWidth="1"/>
    <col min="280" max="282" width="9.140625" style="1"/>
    <col min="283" max="285" width="49.7109375" style="1" customWidth="1"/>
    <col min="286" max="518" width="9.140625" style="1"/>
    <col min="519" max="519" width="16.28515625" style="1" customWidth="1"/>
    <col min="520" max="525" width="0" style="1" hidden="1" customWidth="1"/>
    <col min="526" max="528" width="11.7109375" style="1" customWidth="1"/>
    <col min="529" max="529" width="11.28515625" style="1" customWidth="1"/>
    <col min="530" max="530" width="11.7109375" style="1" customWidth="1"/>
    <col min="531" max="531" width="11.28515625" style="1" customWidth="1"/>
    <col min="532" max="532" width="11.7109375" style="1" customWidth="1"/>
    <col min="533" max="533" width="11.28515625" style="1" customWidth="1"/>
    <col min="534" max="534" width="9.140625" style="1"/>
    <col min="535" max="535" width="14.28515625" style="1" customWidth="1"/>
    <col min="536" max="538" width="9.140625" style="1"/>
    <col min="539" max="541" width="49.7109375" style="1" customWidth="1"/>
    <col min="542" max="774" width="9.140625" style="1"/>
    <col min="775" max="775" width="16.28515625" style="1" customWidth="1"/>
    <col min="776" max="781" width="0" style="1" hidden="1" customWidth="1"/>
    <col min="782" max="784" width="11.7109375" style="1" customWidth="1"/>
    <col min="785" max="785" width="11.28515625" style="1" customWidth="1"/>
    <col min="786" max="786" width="11.7109375" style="1" customWidth="1"/>
    <col min="787" max="787" width="11.28515625" style="1" customWidth="1"/>
    <col min="788" max="788" width="11.7109375" style="1" customWidth="1"/>
    <col min="789" max="789" width="11.28515625" style="1" customWidth="1"/>
    <col min="790" max="790" width="9.140625" style="1"/>
    <col min="791" max="791" width="14.28515625" style="1" customWidth="1"/>
    <col min="792" max="794" width="9.140625" style="1"/>
    <col min="795" max="797" width="49.7109375" style="1" customWidth="1"/>
    <col min="798" max="1030" width="9.140625" style="1"/>
    <col min="1031" max="1031" width="16.28515625" style="1" customWidth="1"/>
    <col min="1032" max="1037" width="0" style="1" hidden="1" customWidth="1"/>
    <col min="1038" max="1040" width="11.7109375" style="1" customWidth="1"/>
    <col min="1041" max="1041" width="11.28515625" style="1" customWidth="1"/>
    <col min="1042" max="1042" width="11.7109375" style="1" customWidth="1"/>
    <col min="1043" max="1043" width="11.28515625" style="1" customWidth="1"/>
    <col min="1044" max="1044" width="11.7109375" style="1" customWidth="1"/>
    <col min="1045" max="1045" width="11.28515625" style="1" customWidth="1"/>
    <col min="1046" max="1046" width="9.140625" style="1"/>
    <col min="1047" max="1047" width="14.28515625" style="1" customWidth="1"/>
    <col min="1048" max="1050" width="9.140625" style="1"/>
    <col min="1051" max="1053" width="49.7109375" style="1" customWidth="1"/>
    <col min="1054" max="1286" width="9.140625" style="1"/>
    <col min="1287" max="1287" width="16.28515625" style="1" customWidth="1"/>
    <col min="1288" max="1293" width="0" style="1" hidden="1" customWidth="1"/>
    <col min="1294" max="1296" width="11.7109375" style="1" customWidth="1"/>
    <col min="1297" max="1297" width="11.28515625" style="1" customWidth="1"/>
    <col min="1298" max="1298" width="11.7109375" style="1" customWidth="1"/>
    <col min="1299" max="1299" width="11.28515625" style="1" customWidth="1"/>
    <col min="1300" max="1300" width="11.7109375" style="1" customWidth="1"/>
    <col min="1301" max="1301" width="11.28515625" style="1" customWidth="1"/>
    <col min="1302" max="1302" width="9.140625" style="1"/>
    <col min="1303" max="1303" width="14.28515625" style="1" customWidth="1"/>
    <col min="1304" max="1306" width="9.140625" style="1"/>
    <col min="1307" max="1309" width="49.7109375" style="1" customWidth="1"/>
    <col min="1310" max="1542" width="9.140625" style="1"/>
    <col min="1543" max="1543" width="16.28515625" style="1" customWidth="1"/>
    <col min="1544" max="1549" width="0" style="1" hidden="1" customWidth="1"/>
    <col min="1550" max="1552" width="11.7109375" style="1" customWidth="1"/>
    <col min="1553" max="1553" width="11.28515625" style="1" customWidth="1"/>
    <col min="1554" max="1554" width="11.7109375" style="1" customWidth="1"/>
    <col min="1555" max="1555" width="11.28515625" style="1" customWidth="1"/>
    <col min="1556" max="1556" width="11.7109375" style="1" customWidth="1"/>
    <col min="1557" max="1557" width="11.28515625" style="1" customWidth="1"/>
    <col min="1558" max="1558" width="9.140625" style="1"/>
    <col min="1559" max="1559" width="14.28515625" style="1" customWidth="1"/>
    <col min="1560" max="1562" width="9.140625" style="1"/>
    <col min="1563" max="1565" width="49.7109375" style="1" customWidth="1"/>
    <col min="1566" max="1798" width="9.140625" style="1"/>
    <col min="1799" max="1799" width="16.28515625" style="1" customWidth="1"/>
    <col min="1800" max="1805" width="0" style="1" hidden="1" customWidth="1"/>
    <col min="1806" max="1808" width="11.7109375" style="1" customWidth="1"/>
    <col min="1809" max="1809" width="11.28515625" style="1" customWidth="1"/>
    <col min="1810" max="1810" width="11.7109375" style="1" customWidth="1"/>
    <col min="1811" max="1811" width="11.28515625" style="1" customWidth="1"/>
    <col min="1812" max="1812" width="11.7109375" style="1" customWidth="1"/>
    <col min="1813" max="1813" width="11.28515625" style="1" customWidth="1"/>
    <col min="1814" max="1814" width="9.140625" style="1"/>
    <col min="1815" max="1815" width="14.28515625" style="1" customWidth="1"/>
    <col min="1816" max="1818" width="9.140625" style="1"/>
    <col min="1819" max="1821" width="49.7109375" style="1" customWidth="1"/>
    <col min="1822" max="2054" width="9.140625" style="1"/>
    <col min="2055" max="2055" width="16.28515625" style="1" customWidth="1"/>
    <col min="2056" max="2061" width="0" style="1" hidden="1" customWidth="1"/>
    <col min="2062" max="2064" width="11.7109375" style="1" customWidth="1"/>
    <col min="2065" max="2065" width="11.28515625" style="1" customWidth="1"/>
    <col min="2066" max="2066" width="11.7109375" style="1" customWidth="1"/>
    <col min="2067" max="2067" width="11.28515625" style="1" customWidth="1"/>
    <col min="2068" max="2068" width="11.7109375" style="1" customWidth="1"/>
    <col min="2069" max="2069" width="11.28515625" style="1" customWidth="1"/>
    <col min="2070" max="2070" width="9.140625" style="1"/>
    <col min="2071" max="2071" width="14.28515625" style="1" customWidth="1"/>
    <col min="2072" max="2074" width="9.140625" style="1"/>
    <col min="2075" max="2077" width="49.7109375" style="1" customWidth="1"/>
    <col min="2078" max="2310" width="9.140625" style="1"/>
    <col min="2311" max="2311" width="16.28515625" style="1" customWidth="1"/>
    <col min="2312" max="2317" width="0" style="1" hidden="1" customWidth="1"/>
    <col min="2318" max="2320" width="11.7109375" style="1" customWidth="1"/>
    <col min="2321" max="2321" width="11.28515625" style="1" customWidth="1"/>
    <col min="2322" max="2322" width="11.7109375" style="1" customWidth="1"/>
    <col min="2323" max="2323" width="11.28515625" style="1" customWidth="1"/>
    <col min="2324" max="2324" width="11.7109375" style="1" customWidth="1"/>
    <col min="2325" max="2325" width="11.28515625" style="1" customWidth="1"/>
    <col min="2326" max="2326" width="9.140625" style="1"/>
    <col min="2327" max="2327" width="14.28515625" style="1" customWidth="1"/>
    <col min="2328" max="2330" width="9.140625" style="1"/>
    <col min="2331" max="2333" width="49.7109375" style="1" customWidth="1"/>
    <col min="2334" max="2566" width="9.140625" style="1"/>
    <col min="2567" max="2567" width="16.28515625" style="1" customWidth="1"/>
    <col min="2568" max="2573" width="0" style="1" hidden="1" customWidth="1"/>
    <col min="2574" max="2576" width="11.7109375" style="1" customWidth="1"/>
    <col min="2577" max="2577" width="11.28515625" style="1" customWidth="1"/>
    <col min="2578" max="2578" width="11.7109375" style="1" customWidth="1"/>
    <col min="2579" max="2579" width="11.28515625" style="1" customWidth="1"/>
    <col min="2580" max="2580" width="11.7109375" style="1" customWidth="1"/>
    <col min="2581" max="2581" width="11.28515625" style="1" customWidth="1"/>
    <col min="2582" max="2582" width="9.140625" style="1"/>
    <col min="2583" max="2583" width="14.28515625" style="1" customWidth="1"/>
    <col min="2584" max="2586" width="9.140625" style="1"/>
    <col min="2587" max="2589" width="49.7109375" style="1" customWidth="1"/>
    <col min="2590" max="2822" width="9.140625" style="1"/>
    <col min="2823" max="2823" width="16.28515625" style="1" customWidth="1"/>
    <col min="2824" max="2829" width="0" style="1" hidden="1" customWidth="1"/>
    <col min="2830" max="2832" width="11.7109375" style="1" customWidth="1"/>
    <col min="2833" max="2833" width="11.28515625" style="1" customWidth="1"/>
    <col min="2834" max="2834" width="11.7109375" style="1" customWidth="1"/>
    <col min="2835" max="2835" width="11.28515625" style="1" customWidth="1"/>
    <col min="2836" max="2836" width="11.7109375" style="1" customWidth="1"/>
    <col min="2837" max="2837" width="11.28515625" style="1" customWidth="1"/>
    <col min="2838" max="2838" width="9.140625" style="1"/>
    <col min="2839" max="2839" width="14.28515625" style="1" customWidth="1"/>
    <col min="2840" max="2842" width="9.140625" style="1"/>
    <col min="2843" max="2845" width="49.7109375" style="1" customWidth="1"/>
    <col min="2846" max="3078" width="9.140625" style="1"/>
    <col min="3079" max="3079" width="16.28515625" style="1" customWidth="1"/>
    <col min="3080" max="3085" width="0" style="1" hidden="1" customWidth="1"/>
    <col min="3086" max="3088" width="11.7109375" style="1" customWidth="1"/>
    <col min="3089" max="3089" width="11.28515625" style="1" customWidth="1"/>
    <col min="3090" max="3090" width="11.7109375" style="1" customWidth="1"/>
    <col min="3091" max="3091" width="11.28515625" style="1" customWidth="1"/>
    <col min="3092" max="3092" width="11.7109375" style="1" customWidth="1"/>
    <col min="3093" max="3093" width="11.28515625" style="1" customWidth="1"/>
    <col min="3094" max="3094" width="9.140625" style="1"/>
    <col min="3095" max="3095" width="14.28515625" style="1" customWidth="1"/>
    <col min="3096" max="3098" width="9.140625" style="1"/>
    <col min="3099" max="3101" width="49.7109375" style="1" customWidth="1"/>
    <col min="3102" max="3334" width="9.140625" style="1"/>
    <col min="3335" max="3335" width="16.28515625" style="1" customWidth="1"/>
    <col min="3336" max="3341" width="0" style="1" hidden="1" customWidth="1"/>
    <col min="3342" max="3344" width="11.7109375" style="1" customWidth="1"/>
    <col min="3345" max="3345" width="11.28515625" style="1" customWidth="1"/>
    <col min="3346" max="3346" width="11.7109375" style="1" customWidth="1"/>
    <col min="3347" max="3347" width="11.28515625" style="1" customWidth="1"/>
    <col min="3348" max="3348" width="11.7109375" style="1" customWidth="1"/>
    <col min="3349" max="3349" width="11.28515625" style="1" customWidth="1"/>
    <col min="3350" max="3350" width="9.140625" style="1"/>
    <col min="3351" max="3351" width="14.28515625" style="1" customWidth="1"/>
    <col min="3352" max="3354" width="9.140625" style="1"/>
    <col min="3355" max="3357" width="49.7109375" style="1" customWidth="1"/>
    <col min="3358" max="3590" width="9.140625" style="1"/>
    <col min="3591" max="3591" width="16.28515625" style="1" customWidth="1"/>
    <col min="3592" max="3597" width="0" style="1" hidden="1" customWidth="1"/>
    <col min="3598" max="3600" width="11.7109375" style="1" customWidth="1"/>
    <col min="3601" max="3601" width="11.28515625" style="1" customWidth="1"/>
    <col min="3602" max="3602" width="11.7109375" style="1" customWidth="1"/>
    <col min="3603" max="3603" width="11.28515625" style="1" customWidth="1"/>
    <col min="3604" max="3604" width="11.7109375" style="1" customWidth="1"/>
    <col min="3605" max="3605" width="11.28515625" style="1" customWidth="1"/>
    <col min="3606" max="3606" width="9.140625" style="1"/>
    <col min="3607" max="3607" width="14.28515625" style="1" customWidth="1"/>
    <col min="3608" max="3610" width="9.140625" style="1"/>
    <col min="3611" max="3613" width="49.7109375" style="1" customWidth="1"/>
    <col min="3614" max="3846" width="9.140625" style="1"/>
    <col min="3847" max="3847" width="16.28515625" style="1" customWidth="1"/>
    <col min="3848" max="3853" width="0" style="1" hidden="1" customWidth="1"/>
    <col min="3854" max="3856" width="11.7109375" style="1" customWidth="1"/>
    <col min="3857" max="3857" width="11.28515625" style="1" customWidth="1"/>
    <col min="3858" max="3858" width="11.7109375" style="1" customWidth="1"/>
    <col min="3859" max="3859" width="11.28515625" style="1" customWidth="1"/>
    <col min="3860" max="3860" width="11.7109375" style="1" customWidth="1"/>
    <col min="3861" max="3861" width="11.28515625" style="1" customWidth="1"/>
    <col min="3862" max="3862" width="9.140625" style="1"/>
    <col min="3863" max="3863" width="14.28515625" style="1" customWidth="1"/>
    <col min="3864" max="3866" width="9.140625" style="1"/>
    <col min="3867" max="3869" width="49.7109375" style="1" customWidth="1"/>
    <col min="3870" max="4102" width="9.140625" style="1"/>
    <col min="4103" max="4103" width="16.28515625" style="1" customWidth="1"/>
    <col min="4104" max="4109" width="0" style="1" hidden="1" customWidth="1"/>
    <col min="4110" max="4112" width="11.7109375" style="1" customWidth="1"/>
    <col min="4113" max="4113" width="11.28515625" style="1" customWidth="1"/>
    <col min="4114" max="4114" width="11.7109375" style="1" customWidth="1"/>
    <col min="4115" max="4115" width="11.28515625" style="1" customWidth="1"/>
    <col min="4116" max="4116" width="11.7109375" style="1" customWidth="1"/>
    <col min="4117" max="4117" width="11.28515625" style="1" customWidth="1"/>
    <col min="4118" max="4118" width="9.140625" style="1"/>
    <col min="4119" max="4119" width="14.28515625" style="1" customWidth="1"/>
    <col min="4120" max="4122" width="9.140625" style="1"/>
    <col min="4123" max="4125" width="49.7109375" style="1" customWidth="1"/>
    <col min="4126" max="4358" width="9.140625" style="1"/>
    <col min="4359" max="4359" width="16.28515625" style="1" customWidth="1"/>
    <col min="4360" max="4365" width="0" style="1" hidden="1" customWidth="1"/>
    <col min="4366" max="4368" width="11.7109375" style="1" customWidth="1"/>
    <col min="4369" max="4369" width="11.28515625" style="1" customWidth="1"/>
    <col min="4370" max="4370" width="11.7109375" style="1" customWidth="1"/>
    <col min="4371" max="4371" width="11.28515625" style="1" customWidth="1"/>
    <col min="4372" max="4372" width="11.7109375" style="1" customWidth="1"/>
    <col min="4373" max="4373" width="11.28515625" style="1" customWidth="1"/>
    <col min="4374" max="4374" width="9.140625" style="1"/>
    <col min="4375" max="4375" width="14.28515625" style="1" customWidth="1"/>
    <col min="4376" max="4378" width="9.140625" style="1"/>
    <col min="4379" max="4381" width="49.7109375" style="1" customWidth="1"/>
    <col min="4382" max="4614" width="9.140625" style="1"/>
    <col min="4615" max="4615" width="16.28515625" style="1" customWidth="1"/>
    <col min="4616" max="4621" width="0" style="1" hidden="1" customWidth="1"/>
    <col min="4622" max="4624" width="11.7109375" style="1" customWidth="1"/>
    <col min="4625" max="4625" width="11.28515625" style="1" customWidth="1"/>
    <col min="4626" max="4626" width="11.7109375" style="1" customWidth="1"/>
    <col min="4627" max="4627" width="11.28515625" style="1" customWidth="1"/>
    <col min="4628" max="4628" width="11.7109375" style="1" customWidth="1"/>
    <col min="4629" max="4629" width="11.28515625" style="1" customWidth="1"/>
    <col min="4630" max="4630" width="9.140625" style="1"/>
    <col min="4631" max="4631" width="14.28515625" style="1" customWidth="1"/>
    <col min="4632" max="4634" width="9.140625" style="1"/>
    <col min="4635" max="4637" width="49.7109375" style="1" customWidth="1"/>
    <col min="4638" max="4870" width="9.140625" style="1"/>
    <col min="4871" max="4871" width="16.28515625" style="1" customWidth="1"/>
    <col min="4872" max="4877" width="0" style="1" hidden="1" customWidth="1"/>
    <col min="4878" max="4880" width="11.7109375" style="1" customWidth="1"/>
    <col min="4881" max="4881" width="11.28515625" style="1" customWidth="1"/>
    <col min="4882" max="4882" width="11.7109375" style="1" customWidth="1"/>
    <col min="4883" max="4883" width="11.28515625" style="1" customWidth="1"/>
    <col min="4884" max="4884" width="11.7109375" style="1" customWidth="1"/>
    <col min="4885" max="4885" width="11.28515625" style="1" customWidth="1"/>
    <col min="4886" max="4886" width="9.140625" style="1"/>
    <col min="4887" max="4887" width="14.28515625" style="1" customWidth="1"/>
    <col min="4888" max="4890" width="9.140625" style="1"/>
    <col min="4891" max="4893" width="49.7109375" style="1" customWidth="1"/>
    <col min="4894" max="5126" width="9.140625" style="1"/>
    <col min="5127" max="5127" width="16.28515625" style="1" customWidth="1"/>
    <col min="5128" max="5133" width="0" style="1" hidden="1" customWidth="1"/>
    <col min="5134" max="5136" width="11.7109375" style="1" customWidth="1"/>
    <col min="5137" max="5137" width="11.28515625" style="1" customWidth="1"/>
    <col min="5138" max="5138" width="11.7109375" style="1" customWidth="1"/>
    <col min="5139" max="5139" width="11.28515625" style="1" customWidth="1"/>
    <col min="5140" max="5140" width="11.7109375" style="1" customWidth="1"/>
    <col min="5141" max="5141" width="11.28515625" style="1" customWidth="1"/>
    <col min="5142" max="5142" width="9.140625" style="1"/>
    <col min="5143" max="5143" width="14.28515625" style="1" customWidth="1"/>
    <col min="5144" max="5146" width="9.140625" style="1"/>
    <col min="5147" max="5149" width="49.7109375" style="1" customWidth="1"/>
    <col min="5150" max="5382" width="9.140625" style="1"/>
    <col min="5383" max="5383" width="16.28515625" style="1" customWidth="1"/>
    <col min="5384" max="5389" width="0" style="1" hidden="1" customWidth="1"/>
    <col min="5390" max="5392" width="11.7109375" style="1" customWidth="1"/>
    <col min="5393" max="5393" width="11.28515625" style="1" customWidth="1"/>
    <col min="5394" max="5394" width="11.7109375" style="1" customWidth="1"/>
    <col min="5395" max="5395" width="11.28515625" style="1" customWidth="1"/>
    <col min="5396" max="5396" width="11.7109375" style="1" customWidth="1"/>
    <col min="5397" max="5397" width="11.28515625" style="1" customWidth="1"/>
    <col min="5398" max="5398" width="9.140625" style="1"/>
    <col min="5399" max="5399" width="14.28515625" style="1" customWidth="1"/>
    <col min="5400" max="5402" width="9.140625" style="1"/>
    <col min="5403" max="5405" width="49.7109375" style="1" customWidth="1"/>
    <col min="5406" max="5638" width="9.140625" style="1"/>
    <col min="5639" max="5639" width="16.28515625" style="1" customWidth="1"/>
    <col min="5640" max="5645" width="0" style="1" hidden="1" customWidth="1"/>
    <col min="5646" max="5648" width="11.7109375" style="1" customWidth="1"/>
    <col min="5649" max="5649" width="11.28515625" style="1" customWidth="1"/>
    <col min="5650" max="5650" width="11.7109375" style="1" customWidth="1"/>
    <col min="5651" max="5651" width="11.28515625" style="1" customWidth="1"/>
    <col min="5652" max="5652" width="11.7109375" style="1" customWidth="1"/>
    <col min="5653" max="5653" width="11.28515625" style="1" customWidth="1"/>
    <col min="5654" max="5654" width="9.140625" style="1"/>
    <col min="5655" max="5655" width="14.28515625" style="1" customWidth="1"/>
    <col min="5656" max="5658" width="9.140625" style="1"/>
    <col min="5659" max="5661" width="49.7109375" style="1" customWidth="1"/>
    <col min="5662" max="5894" width="9.140625" style="1"/>
    <col min="5895" max="5895" width="16.28515625" style="1" customWidth="1"/>
    <col min="5896" max="5901" width="0" style="1" hidden="1" customWidth="1"/>
    <col min="5902" max="5904" width="11.7109375" style="1" customWidth="1"/>
    <col min="5905" max="5905" width="11.28515625" style="1" customWidth="1"/>
    <col min="5906" max="5906" width="11.7109375" style="1" customWidth="1"/>
    <col min="5907" max="5907" width="11.28515625" style="1" customWidth="1"/>
    <col min="5908" max="5908" width="11.7109375" style="1" customWidth="1"/>
    <col min="5909" max="5909" width="11.28515625" style="1" customWidth="1"/>
    <col min="5910" max="5910" width="9.140625" style="1"/>
    <col min="5911" max="5911" width="14.28515625" style="1" customWidth="1"/>
    <col min="5912" max="5914" width="9.140625" style="1"/>
    <col min="5915" max="5917" width="49.7109375" style="1" customWidth="1"/>
    <col min="5918" max="6150" width="9.140625" style="1"/>
    <col min="6151" max="6151" width="16.28515625" style="1" customWidth="1"/>
    <col min="6152" max="6157" width="0" style="1" hidden="1" customWidth="1"/>
    <col min="6158" max="6160" width="11.7109375" style="1" customWidth="1"/>
    <col min="6161" max="6161" width="11.28515625" style="1" customWidth="1"/>
    <col min="6162" max="6162" width="11.7109375" style="1" customWidth="1"/>
    <col min="6163" max="6163" width="11.28515625" style="1" customWidth="1"/>
    <col min="6164" max="6164" width="11.7109375" style="1" customWidth="1"/>
    <col min="6165" max="6165" width="11.28515625" style="1" customWidth="1"/>
    <col min="6166" max="6166" width="9.140625" style="1"/>
    <col min="6167" max="6167" width="14.28515625" style="1" customWidth="1"/>
    <col min="6168" max="6170" width="9.140625" style="1"/>
    <col min="6171" max="6173" width="49.7109375" style="1" customWidth="1"/>
    <col min="6174" max="6406" width="9.140625" style="1"/>
    <col min="6407" max="6407" width="16.28515625" style="1" customWidth="1"/>
    <col min="6408" max="6413" width="0" style="1" hidden="1" customWidth="1"/>
    <col min="6414" max="6416" width="11.7109375" style="1" customWidth="1"/>
    <col min="6417" max="6417" width="11.28515625" style="1" customWidth="1"/>
    <col min="6418" max="6418" width="11.7109375" style="1" customWidth="1"/>
    <col min="6419" max="6419" width="11.28515625" style="1" customWidth="1"/>
    <col min="6420" max="6420" width="11.7109375" style="1" customWidth="1"/>
    <col min="6421" max="6421" width="11.28515625" style="1" customWidth="1"/>
    <col min="6422" max="6422" width="9.140625" style="1"/>
    <col min="6423" max="6423" width="14.28515625" style="1" customWidth="1"/>
    <col min="6424" max="6426" width="9.140625" style="1"/>
    <col min="6427" max="6429" width="49.7109375" style="1" customWidth="1"/>
    <col min="6430" max="6662" width="9.140625" style="1"/>
    <col min="6663" max="6663" width="16.28515625" style="1" customWidth="1"/>
    <col min="6664" max="6669" width="0" style="1" hidden="1" customWidth="1"/>
    <col min="6670" max="6672" width="11.7109375" style="1" customWidth="1"/>
    <col min="6673" max="6673" width="11.28515625" style="1" customWidth="1"/>
    <col min="6674" max="6674" width="11.7109375" style="1" customWidth="1"/>
    <col min="6675" max="6675" width="11.28515625" style="1" customWidth="1"/>
    <col min="6676" max="6676" width="11.7109375" style="1" customWidth="1"/>
    <col min="6677" max="6677" width="11.28515625" style="1" customWidth="1"/>
    <col min="6678" max="6678" width="9.140625" style="1"/>
    <col min="6679" max="6679" width="14.28515625" style="1" customWidth="1"/>
    <col min="6680" max="6682" width="9.140625" style="1"/>
    <col min="6683" max="6685" width="49.7109375" style="1" customWidth="1"/>
    <col min="6686" max="6918" width="9.140625" style="1"/>
    <col min="6919" max="6919" width="16.28515625" style="1" customWidth="1"/>
    <col min="6920" max="6925" width="0" style="1" hidden="1" customWidth="1"/>
    <col min="6926" max="6928" width="11.7109375" style="1" customWidth="1"/>
    <col min="6929" max="6929" width="11.28515625" style="1" customWidth="1"/>
    <col min="6930" max="6930" width="11.7109375" style="1" customWidth="1"/>
    <col min="6931" max="6931" width="11.28515625" style="1" customWidth="1"/>
    <col min="6932" max="6932" width="11.7109375" style="1" customWidth="1"/>
    <col min="6933" max="6933" width="11.28515625" style="1" customWidth="1"/>
    <col min="6934" max="6934" width="9.140625" style="1"/>
    <col min="6935" max="6935" width="14.28515625" style="1" customWidth="1"/>
    <col min="6936" max="6938" width="9.140625" style="1"/>
    <col min="6939" max="6941" width="49.7109375" style="1" customWidth="1"/>
    <col min="6942" max="7174" width="9.140625" style="1"/>
    <col min="7175" max="7175" width="16.28515625" style="1" customWidth="1"/>
    <col min="7176" max="7181" width="0" style="1" hidden="1" customWidth="1"/>
    <col min="7182" max="7184" width="11.7109375" style="1" customWidth="1"/>
    <col min="7185" max="7185" width="11.28515625" style="1" customWidth="1"/>
    <col min="7186" max="7186" width="11.7109375" style="1" customWidth="1"/>
    <col min="7187" max="7187" width="11.28515625" style="1" customWidth="1"/>
    <col min="7188" max="7188" width="11.7109375" style="1" customWidth="1"/>
    <col min="7189" max="7189" width="11.28515625" style="1" customWidth="1"/>
    <col min="7190" max="7190" width="9.140625" style="1"/>
    <col min="7191" max="7191" width="14.28515625" style="1" customWidth="1"/>
    <col min="7192" max="7194" width="9.140625" style="1"/>
    <col min="7195" max="7197" width="49.7109375" style="1" customWidth="1"/>
    <col min="7198" max="7430" width="9.140625" style="1"/>
    <col min="7431" max="7431" width="16.28515625" style="1" customWidth="1"/>
    <col min="7432" max="7437" width="0" style="1" hidden="1" customWidth="1"/>
    <col min="7438" max="7440" width="11.7109375" style="1" customWidth="1"/>
    <col min="7441" max="7441" width="11.28515625" style="1" customWidth="1"/>
    <col min="7442" max="7442" width="11.7109375" style="1" customWidth="1"/>
    <col min="7443" max="7443" width="11.28515625" style="1" customWidth="1"/>
    <col min="7444" max="7444" width="11.7109375" style="1" customWidth="1"/>
    <col min="7445" max="7445" width="11.28515625" style="1" customWidth="1"/>
    <col min="7446" max="7446" width="9.140625" style="1"/>
    <col min="7447" max="7447" width="14.28515625" style="1" customWidth="1"/>
    <col min="7448" max="7450" width="9.140625" style="1"/>
    <col min="7451" max="7453" width="49.7109375" style="1" customWidth="1"/>
    <col min="7454" max="7686" width="9.140625" style="1"/>
    <col min="7687" max="7687" width="16.28515625" style="1" customWidth="1"/>
    <col min="7688" max="7693" width="0" style="1" hidden="1" customWidth="1"/>
    <col min="7694" max="7696" width="11.7109375" style="1" customWidth="1"/>
    <col min="7697" max="7697" width="11.28515625" style="1" customWidth="1"/>
    <col min="7698" max="7698" width="11.7109375" style="1" customWidth="1"/>
    <col min="7699" max="7699" width="11.28515625" style="1" customWidth="1"/>
    <col min="7700" max="7700" width="11.7109375" style="1" customWidth="1"/>
    <col min="7701" max="7701" width="11.28515625" style="1" customWidth="1"/>
    <col min="7702" max="7702" width="9.140625" style="1"/>
    <col min="7703" max="7703" width="14.28515625" style="1" customWidth="1"/>
    <col min="7704" max="7706" width="9.140625" style="1"/>
    <col min="7707" max="7709" width="49.7109375" style="1" customWidth="1"/>
    <col min="7710" max="7942" width="9.140625" style="1"/>
    <col min="7943" max="7943" width="16.28515625" style="1" customWidth="1"/>
    <col min="7944" max="7949" width="0" style="1" hidden="1" customWidth="1"/>
    <col min="7950" max="7952" width="11.7109375" style="1" customWidth="1"/>
    <col min="7953" max="7953" width="11.28515625" style="1" customWidth="1"/>
    <col min="7954" max="7954" width="11.7109375" style="1" customWidth="1"/>
    <col min="7955" max="7955" width="11.28515625" style="1" customWidth="1"/>
    <col min="7956" max="7956" width="11.7109375" style="1" customWidth="1"/>
    <col min="7957" max="7957" width="11.28515625" style="1" customWidth="1"/>
    <col min="7958" max="7958" width="9.140625" style="1"/>
    <col min="7959" max="7959" width="14.28515625" style="1" customWidth="1"/>
    <col min="7960" max="7962" width="9.140625" style="1"/>
    <col min="7963" max="7965" width="49.7109375" style="1" customWidth="1"/>
    <col min="7966" max="8198" width="9.140625" style="1"/>
    <col min="8199" max="8199" width="16.28515625" style="1" customWidth="1"/>
    <col min="8200" max="8205" width="0" style="1" hidden="1" customWidth="1"/>
    <col min="8206" max="8208" width="11.7109375" style="1" customWidth="1"/>
    <col min="8209" max="8209" width="11.28515625" style="1" customWidth="1"/>
    <col min="8210" max="8210" width="11.7109375" style="1" customWidth="1"/>
    <col min="8211" max="8211" width="11.28515625" style="1" customWidth="1"/>
    <col min="8212" max="8212" width="11.7109375" style="1" customWidth="1"/>
    <col min="8213" max="8213" width="11.28515625" style="1" customWidth="1"/>
    <col min="8214" max="8214" width="9.140625" style="1"/>
    <col min="8215" max="8215" width="14.28515625" style="1" customWidth="1"/>
    <col min="8216" max="8218" width="9.140625" style="1"/>
    <col min="8219" max="8221" width="49.7109375" style="1" customWidth="1"/>
    <col min="8222" max="8454" width="9.140625" style="1"/>
    <col min="8455" max="8455" width="16.28515625" style="1" customWidth="1"/>
    <col min="8456" max="8461" width="0" style="1" hidden="1" customWidth="1"/>
    <col min="8462" max="8464" width="11.7109375" style="1" customWidth="1"/>
    <col min="8465" max="8465" width="11.28515625" style="1" customWidth="1"/>
    <col min="8466" max="8466" width="11.7109375" style="1" customWidth="1"/>
    <col min="8467" max="8467" width="11.28515625" style="1" customWidth="1"/>
    <col min="8468" max="8468" width="11.7109375" style="1" customWidth="1"/>
    <col min="8469" max="8469" width="11.28515625" style="1" customWidth="1"/>
    <col min="8470" max="8470" width="9.140625" style="1"/>
    <col min="8471" max="8471" width="14.28515625" style="1" customWidth="1"/>
    <col min="8472" max="8474" width="9.140625" style="1"/>
    <col min="8475" max="8477" width="49.7109375" style="1" customWidth="1"/>
    <col min="8478" max="8710" width="9.140625" style="1"/>
    <col min="8711" max="8711" width="16.28515625" style="1" customWidth="1"/>
    <col min="8712" max="8717" width="0" style="1" hidden="1" customWidth="1"/>
    <col min="8718" max="8720" width="11.7109375" style="1" customWidth="1"/>
    <col min="8721" max="8721" width="11.28515625" style="1" customWidth="1"/>
    <col min="8722" max="8722" width="11.7109375" style="1" customWidth="1"/>
    <col min="8723" max="8723" width="11.28515625" style="1" customWidth="1"/>
    <col min="8724" max="8724" width="11.7109375" style="1" customWidth="1"/>
    <col min="8725" max="8725" width="11.28515625" style="1" customWidth="1"/>
    <col min="8726" max="8726" width="9.140625" style="1"/>
    <col min="8727" max="8727" width="14.28515625" style="1" customWidth="1"/>
    <col min="8728" max="8730" width="9.140625" style="1"/>
    <col min="8731" max="8733" width="49.7109375" style="1" customWidth="1"/>
    <col min="8734" max="8966" width="9.140625" style="1"/>
    <col min="8967" max="8967" width="16.28515625" style="1" customWidth="1"/>
    <col min="8968" max="8973" width="0" style="1" hidden="1" customWidth="1"/>
    <col min="8974" max="8976" width="11.7109375" style="1" customWidth="1"/>
    <col min="8977" max="8977" width="11.28515625" style="1" customWidth="1"/>
    <col min="8978" max="8978" width="11.7109375" style="1" customWidth="1"/>
    <col min="8979" max="8979" width="11.28515625" style="1" customWidth="1"/>
    <col min="8980" max="8980" width="11.7109375" style="1" customWidth="1"/>
    <col min="8981" max="8981" width="11.28515625" style="1" customWidth="1"/>
    <col min="8982" max="8982" width="9.140625" style="1"/>
    <col min="8983" max="8983" width="14.28515625" style="1" customWidth="1"/>
    <col min="8984" max="8986" width="9.140625" style="1"/>
    <col min="8987" max="8989" width="49.7109375" style="1" customWidth="1"/>
    <col min="8990" max="9222" width="9.140625" style="1"/>
    <col min="9223" max="9223" width="16.28515625" style="1" customWidth="1"/>
    <col min="9224" max="9229" width="0" style="1" hidden="1" customWidth="1"/>
    <col min="9230" max="9232" width="11.7109375" style="1" customWidth="1"/>
    <col min="9233" max="9233" width="11.28515625" style="1" customWidth="1"/>
    <col min="9234" max="9234" width="11.7109375" style="1" customWidth="1"/>
    <col min="9235" max="9235" width="11.28515625" style="1" customWidth="1"/>
    <col min="9236" max="9236" width="11.7109375" style="1" customWidth="1"/>
    <col min="9237" max="9237" width="11.28515625" style="1" customWidth="1"/>
    <col min="9238" max="9238" width="9.140625" style="1"/>
    <col min="9239" max="9239" width="14.28515625" style="1" customWidth="1"/>
    <col min="9240" max="9242" width="9.140625" style="1"/>
    <col min="9243" max="9245" width="49.7109375" style="1" customWidth="1"/>
    <col min="9246" max="9478" width="9.140625" style="1"/>
    <col min="9479" max="9479" width="16.28515625" style="1" customWidth="1"/>
    <col min="9480" max="9485" width="0" style="1" hidden="1" customWidth="1"/>
    <col min="9486" max="9488" width="11.7109375" style="1" customWidth="1"/>
    <col min="9489" max="9489" width="11.28515625" style="1" customWidth="1"/>
    <col min="9490" max="9490" width="11.7109375" style="1" customWidth="1"/>
    <col min="9491" max="9491" width="11.28515625" style="1" customWidth="1"/>
    <col min="9492" max="9492" width="11.7109375" style="1" customWidth="1"/>
    <col min="9493" max="9493" width="11.28515625" style="1" customWidth="1"/>
    <col min="9494" max="9494" width="9.140625" style="1"/>
    <col min="9495" max="9495" width="14.28515625" style="1" customWidth="1"/>
    <col min="9496" max="9498" width="9.140625" style="1"/>
    <col min="9499" max="9501" width="49.7109375" style="1" customWidth="1"/>
    <col min="9502" max="9734" width="9.140625" style="1"/>
    <col min="9735" max="9735" width="16.28515625" style="1" customWidth="1"/>
    <col min="9736" max="9741" width="0" style="1" hidden="1" customWidth="1"/>
    <col min="9742" max="9744" width="11.7109375" style="1" customWidth="1"/>
    <col min="9745" max="9745" width="11.28515625" style="1" customWidth="1"/>
    <col min="9746" max="9746" width="11.7109375" style="1" customWidth="1"/>
    <col min="9747" max="9747" width="11.28515625" style="1" customWidth="1"/>
    <col min="9748" max="9748" width="11.7109375" style="1" customWidth="1"/>
    <col min="9749" max="9749" width="11.28515625" style="1" customWidth="1"/>
    <col min="9750" max="9750" width="9.140625" style="1"/>
    <col min="9751" max="9751" width="14.28515625" style="1" customWidth="1"/>
    <col min="9752" max="9754" width="9.140625" style="1"/>
    <col min="9755" max="9757" width="49.7109375" style="1" customWidth="1"/>
    <col min="9758" max="9990" width="9.140625" style="1"/>
    <col min="9991" max="9991" width="16.28515625" style="1" customWidth="1"/>
    <col min="9992" max="9997" width="0" style="1" hidden="1" customWidth="1"/>
    <col min="9998" max="10000" width="11.7109375" style="1" customWidth="1"/>
    <col min="10001" max="10001" width="11.28515625" style="1" customWidth="1"/>
    <col min="10002" max="10002" width="11.7109375" style="1" customWidth="1"/>
    <col min="10003" max="10003" width="11.28515625" style="1" customWidth="1"/>
    <col min="10004" max="10004" width="11.7109375" style="1" customWidth="1"/>
    <col min="10005" max="10005" width="11.28515625" style="1" customWidth="1"/>
    <col min="10006" max="10006" width="9.140625" style="1"/>
    <col min="10007" max="10007" width="14.28515625" style="1" customWidth="1"/>
    <col min="10008" max="10010" width="9.140625" style="1"/>
    <col min="10011" max="10013" width="49.7109375" style="1" customWidth="1"/>
    <col min="10014" max="10246" width="9.140625" style="1"/>
    <col min="10247" max="10247" width="16.28515625" style="1" customWidth="1"/>
    <col min="10248" max="10253" width="0" style="1" hidden="1" customWidth="1"/>
    <col min="10254" max="10256" width="11.7109375" style="1" customWidth="1"/>
    <col min="10257" max="10257" width="11.28515625" style="1" customWidth="1"/>
    <col min="10258" max="10258" width="11.7109375" style="1" customWidth="1"/>
    <col min="10259" max="10259" width="11.28515625" style="1" customWidth="1"/>
    <col min="10260" max="10260" width="11.7109375" style="1" customWidth="1"/>
    <col min="10261" max="10261" width="11.28515625" style="1" customWidth="1"/>
    <col min="10262" max="10262" width="9.140625" style="1"/>
    <col min="10263" max="10263" width="14.28515625" style="1" customWidth="1"/>
    <col min="10264" max="10266" width="9.140625" style="1"/>
    <col min="10267" max="10269" width="49.7109375" style="1" customWidth="1"/>
    <col min="10270" max="10502" width="9.140625" style="1"/>
    <col min="10503" max="10503" width="16.28515625" style="1" customWidth="1"/>
    <col min="10504" max="10509" width="0" style="1" hidden="1" customWidth="1"/>
    <col min="10510" max="10512" width="11.7109375" style="1" customWidth="1"/>
    <col min="10513" max="10513" width="11.28515625" style="1" customWidth="1"/>
    <col min="10514" max="10514" width="11.7109375" style="1" customWidth="1"/>
    <col min="10515" max="10515" width="11.28515625" style="1" customWidth="1"/>
    <col min="10516" max="10516" width="11.7109375" style="1" customWidth="1"/>
    <col min="10517" max="10517" width="11.28515625" style="1" customWidth="1"/>
    <col min="10518" max="10518" width="9.140625" style="1"/>
    <col min="10519" max="10519" width="14.28515625" style="1" customWidth="1"/>
    <col min="10520" max="10522" width="9.140625" style="1"/>
    <col min="10523" max="10525" width="49.7109375" style="1" customWidth="1"/>
    <col min="10526" max="10758" width="9.140625" style="1"/>
    <col min="10759" max="10759" width="16.28515625" style="1" customWidth="1"/>
    <col min="10760" max="10765" width="0" style="1" hidden="1" customWidth="1"/>
    <col min="10766" max="10768" width="11.7109375" style="1" customWidth="1"/>
    <col min="10769" max="10769" width="11.28515625" style="1" customWidth="1"/>
    <col min="10770" max="10770" width="11.7109375" style="1" customWidth="1"/>
    <col min="10771" max="10771" width="11.28515625" style="1" customWidth="1"/>
    <col min="10772" max="10772" width="11.7109375" style="1" customWidth="1"/>
    <col min="10773" max="10773" width="11.28515625" style="1" customWidth="1"/>
    <col min="10774" max="10774" width="9.140625" style="1"/>
    <col min="10775" max="10775" width="14.28515625" style="1" customWidth="1"/>
    <col min="10776" max="10778" width="9.140625" style="1"/>
    <col min="10779" max="10781" width="49.7109375" style="1" customWidth="1"/>
    <col min="10782" max="11014" width="9.140625" style="1"/>
    <col min="11015" max="11015" width="16.28515625" style="1" customWidth="1"/>
    <col min="11016" max="11021" width="0" style="1" hidden="1" customWidth="1"/>
    <col min="11022" max="11024" width="11.7109375" style="1" customWidth="1"/>
    <col min="11025" max="11025" width="11.28515625" style="1" customWidth="1"/>
    <col min="11026" max="11026" width="11.7109375" style="1" customWidth="1"/>
    <col min="11027" max="11027" width="11.28515625" style="1" customWidth="1"/>
    <col min="11028" max="11028" width="11.7109375" style="1" customWidth="1"/>
    <col min="11029" max="11029" width="11.28515625" style="1" customWidth="1"/>
    <col min="11030" max="11030" width="9.140625" style="1"/>
    <col min="11031" max="11031" width="14.28515625" style="1" customWidth="1"/>
    <col min="11032" max="11034" width="9.140625" style="1"/>
    <col min="11035" max="11037" width="49.7109375" style="1" customWidth="1"/>
    <col min="11038" max="11270" width="9.140625" style="1"/>
    <col min="11271" max="11271" width="16.28515625" style="1" customWidth="1"/>
    <col min="11272" max="11277" width="0" style="1" hidden="1" customWidth="1"/>
    <col min="11278" max="11280" width="11.7109375" style="1" customWidth="1"/>
    <col min="11281" max="11281" width="11.28515625" style="1" customWidth="1"/>
    <col min="11282" max="11282" width="11.7109375" style="1" customWidth="1"/>
    <col min="11283" max="11283" width="11.28515625" style="1" customWidth="1"/>
    <col min="11284" max="11284" width="11.7109375" style="1" customWidth="1"/>
    <col min="11285" max="11285" width="11.28515625" style="1" customWidth="1"/>
    <col min="11286" max="11286" width="9.140625" style="1"/>
    <col min="11287" max="11287" width="14.28515625" style="1" customWidth="1"/>
    <col min="11288" max="11290" width="9.140625" style="1"/>
    <col min="11291" max="11293" width="49.7109375" style="1" customWidth="1"/>
    <col min="11294" max="11526" width="9.140625" style="1"/>
    <col min="11527" max="11527" width="16.28515625" style="1" customWidth="1"/>
    <col min="11528" max="11533" width="0" style="1" hidden="1" customWidth="1"/>
    <col min="11534" max="11536" width="11.7109375" style="1" customWidth="1"/>
    <col min="11537" max="11537" width="11.28515625" style="1" customWidth="1"/>
    <col min="11538" max="11538" width="11.7109375" style="1" customWidth="1"/>
    <col min="11539" max="11539" width="11.28515625" style="1" customWidth="1"/>
    <col min="11540" max="11540" width="11.7109375" style="1" customWidth="1"/>
    <col min="11541" max="11541" width="11.28515625" style="1" customWidth="1"/>
    <col min="11542" max="11542" width="9.140625" style="1"/>
    <col min="11543" max="11543" width="14.28515625" style="1" customWidth="1"/>
    <col min="11544" max="11546" width="9.140625" style="1"/>
    <col min="11547" max="11549" width="49.7109375" style="1" customWidth="1"/>
    <col min="11550" max="11782" width="9.140625" style="1"/>
    <col min="11783" max="11783" width="16.28515625" style="1" customWidth="1"/>
    <col min="11784" max="11789" width="0" style="1" hidden="1" customWidth="1"/>
    <col min="11790" max="11792" width="11.7109375" style="1" customWidth="1"/>
    <col min="11793" max="11793" width="11.28515625" style="1" customWidth="1"/>
    <col min="11794" max="11794" width="11.7109375" style="1" customWidth="1"/>
    <col min="11795" max="11795" width="11.28515625" style="1" customWidth="1"/>
    <col min="11796" max="11796" width="11.7109375" style="1" customWidth="1"/>
    <col min="11797" max="11797" width="11.28515625" style="1" customWidth="1"/>
    <col min="11798" max="11798" width="9.140625" style="1"/>
    <col min="11799" max="11799" width="14.28515625" style="1" customWidth="1"/>
    <col min="11800" max="11802" width="9.140625" style="1"/>
    <col min="11803" max="11805" width="49.7109375" style="1" customWidth="1"/>
    <col min="11806" max="12038" width="9.140625" style="1"/>
    <col min="12039" max="12039" width="16.28515625" style="1" customWidth="1"/>
    <col min="12040" max="12045" width="0" style="1" hidden="1" customWidth="1"/>
    <col min="12046" max="12048" width="11.7109375" style="1" customWidth="1"/>
    <col min="12049" max="12049" width="11.28515625" style="1" customWidth="1"/>
    <col min="12050" max="12050" width="11.7109375" style="1" customWidth="1"/>
    <col min="12051" max="12051" width="11.28515625" style="1" customWidth="1"/>
    <col min="12052" max="12052" width="11.7109375" style="1" customWidth="1"/>
    <col min="12053" max="12053" width="11.28515625" style="1" customWidth="1"/>
    <col min="12054" max="12054" width="9.140625" style="1"/>
    <col min="12055" max="12055" width="14.28515625" style="1" customWidth="1"/>
    <col min="12056" max="12058" width="9.140625" style="1"/>
    <col min="12059" max="12061" width="49.7109375" style="1" customWidth="1"/>
    <col min="12062" max="12294" width="9.140625" style="1"/>
    <col min="12295" max="12295" width="16.28515625" style="1" customWidth="1"/>
    <col min="12296" max="12301" width="0" style="1" hidden="1" customWidth="1"/>
    <col min="12302" max="12304" width="11.7109375" style="1" customWidth="1"/>
    <col min="12305" max="12305" width="11.28515625" style="1" customWidth="1"/>
    <col min="12306" max="12306" width="11.7109375" style="1" customWidth="1"/>
    <col min="12307" max="12307" width="11.28515625" style="1" customWidth="1"/>
    <col min="12308" max="12308" width="11.7109375" style="1" customWidth="1"/>
    <col min="12309" max="12309" width="11.28515625" style="1" customWidth="1"/>
    <col min="12310" max="12310" width="9.140625" style="1"/>
    <col min="12311" max="12311" width="14.28515625" style="1" customWidth="1"/>
    <col min="12312" max="12314" width="9.140625" style="1"/>
    <col min="12315" max="12317" width="49.7109375" style="1" customWidth="1"/>
    <col min="12318" max="12550" width="9.140625" style="1"/>
    <col min="12551" max="12551" width="16.28515625" style="1" customWidth="1"/>
    <col min="12552" max="12557" width="0" style="1" hidden="1" customWidth="1"/>
    <col min="12558" max="12560" width="11.7109375" style="1" customWidth="1"/>
    <col min="12561" max="12561" width="11.28515625" style="1" customWidth="1"/>
    <col min="12562" max="12562" width="11.7109375" style="1" customWidth="1"/>
    <col min="12563" max="12563" width="11.28515625" style="1" customWidth="1"/>
    <col min="12564" max="12564" width="11.7109375" style="1" customWidth="1"/>
    <col min="12565" max="12565" width="11.28515625" style="1" customWidth="1"/>
    <col min="12566" max="12566" width="9.140625" style="1"/>
    <col min="12567" max="12567" width="14.28515625" style="1" customWidth="1"/>
    <col min="12568" max="12570" width="9.140625" style="1"/>
    <col min="12571" max="12573" width="49.7109375" style="1" customWidth="1"/>
    <col min="12574" max="12806" width="9.140625" style="1"/>
    <col min="12807" max="12807" width="16.28515625" style="1" customWidth="1"/>
    <col min="12808" max="12813" width="0" style="1" hidden="1" customWidth="1"/>
    <col min="12814" max="12816" width="11.7109375" style="1" customWidth="1"/>
    <col min="12817" max="12817" width="11.28515625" style="1" customWidth="1"/>
    <col min="12818" max="12818" width="11.7109375" style="1" customWidth="1"/>
    <col min="12819" max="12819" width="11.28515625" style="1" customWidth="1"/>
    <col min="12820" max="12820" width="11.7109375" style="1" customWidth="1"/>
    <col min="12821" max="12821" width="11.28515625" style="1" customWidth="1"/>
    <col min="12822" max="12822" width="9.140625" style="1"/>
    <col min="12823" max="12823" width="14.28515625" style="1" customWidth="1"/>
    <col min="12824" max="12826" width="9.140625" style="1"/>
    <col min="12827" max="12829" width="49.7109375" style="1" customWidth="1"/>
    <col min="12830" max="13062" width="9.140625" style="1"/>
    <col min="13063" max="13063" width="16.28515625" style="1" customWidth="1"/>
    <col min="13064" max="13069" width="0" style="1" hidden="1" customWidth="1"/>
    <col min="13070" max="13072" width="11.7109375" style="1" customWidth="1"/>
    <col min="13073" max="13073" width="11.28515625" style="1" customWidth="1"/>
    <col min="13074" max="13074" width="11.7109375" style="1" customWidth="1"/>
    <col min="13075" max="13075" width="11.28515625" style="1" customWidth="1"/>
    <col min="13076" max="13076" width="11.7109375" style="1" customWidth="1"/>
    <col min="13077" max="13077" width="11.28515625" style="1" customWidth="1"/>
    <col min="13078" max="13078" width="9.140625" style="1"/>
    <col min="13079" max="13079" width="14.28515625" style="1" customWidth="1"/>
    <col min="13080" max="13082" width="9.140625" style="1"/>
    <col min="13083" max="13085" width="49.7109375" style="1" customWidth="1"/>
    <col min="13086" max="13318" width="9.140625" style="1"/>
    <col min="13319" max="13319" width="16.28515625" style="1" customWidth="1"/>
    <col min="13320" max="13325" width="0" style="1" hidden="1" customWidth="1"/>
    <col min="13326" max="13328" width="11.7109375" style="1" customWidth="1"/>
    <col min="13329" max="13329" width="11.28515625" style="1" customWidth="1"/>
    <col min="13330" max="13330" width="11.7109375" style="1" customWidth="1"/>
    <col min="13331" max="13331" width="11.28515625" style="1" customWidth="1"/>
    <col min="13332" max="13332" width="11.7109375" style="1" customWidth="1"/>
    <col min="13333" max="13333" width="11.28515625" style="1" customWidth="1"/>
    <col min="13334" max="13334" width="9.140625" style="1"/>
    <col min="13335" max="13335" width="14.28515625" style="1" customWidth="1"/>
    <col min="13336" max="13338" width="9.140625" style="1"/>
    <col min="13339" max="13341" width="49.7109375" style="1" customWidth="1"/>
    <col min="13342" max="13574" width="9.140625" style="1"/>
    <col min="13575" max="13575" width="16.28515625" style="1" customWidth="1"/>
    <col min="13576" max="13581" width="0" style="1" hidden="1" customWidth="1"/>
    <col min="13582" max="13584" width="11.7109375" style="1" customWidth="1"/>
    <col min="13585" max="13585" width="11.28515625" style="1" customWidth="1"/>
    <col min="13586" max="13586" width="11.7109375" style="1" customWidth="1"/>
    <col min="13587" max="13587" width="11.28515625" style="1" customWidth="1"/>
    <col min="13588" max="13588" width="11.7109375" style="1" customWidth="1"/>
    <col min="13589" max="13589" width="11.28515625" style="1" customWidth="1"/>
    <col min="13590" max="13590" width="9.140625" style="1"/>
    <col min="13591" max="13591" width="14.28515625" style="1" customWidth="1"/>
    <col min="13592" max="13594" width="9.140625" style="1"/>
    <col min="13595" max="13597" width="49.7109375" style="1" customWidth="1"/>
    <col min="13598" max="13830" width="9.140625" style="1"/>
    <col min="13831" max="13831" width="16.28515625" style="1" customWidth="1"/>
    <col min="13832" max="13837" width="0" style="1" hidden="1" customWidth="1"/>
    <col min="13838" max="13840" width="11.7109375" style="1" customWidth="1"/>
    <col min="13841" max="13841" width="11.28515625" style="1" customWidth="1"/>
    <col min="13842" max="13842" width="11.7109375" style="1" customWidth="1"/>
    <col min="13843" max="13843" width="11.28515625" style="1" customWidth="1"/>
    <col min="13844" max="13844" width="11.7109375" style="1" customWidth="1"/>
    <col min="13845" max="13845" width="11.28515625" style="1" customWidth="1"/>
    <col min="13846" max="13846" width="9.140625" style="1"/>
    <col min="13847" max="13847" width="14.28515625" style="1" customWidth="1"/>
    <col min="13848" max="13850" width="9.140625" style="1"/>
    <col min="13851" max="13853" width="49.7109375" style="1" customWidth="1"/>
    <col min="13854" max="14086" width="9.140625" style="1"/>
    <col min="14087" max="14087" width="16.28515625" style="1" customWidth="1"/>
    <col min="14088" max="14093" width="0" style="1" hidden="1" customWidth="1"/>
    <col min="14094" max="14096" width="11.7109375" style="1" customWidth="1"/>
    <col min="14097" max="14097" width="11.28515625" style="1" customWidth="1"/>
    <col min="14098" max="14098" width="11.7109375" style="1" customWidth="1"/>
    <col min="14099" max="14099" width="11.28515625" style="1" customWidth="1"/>
    <col min="14100" max="14100" width="11.7109375" style="1" customWidth="1"/>
    <col min="14101" max="14101" width="11.28515625" style="1" customWidth="1"/>
    <col min="14102" max="14102" width="9.140625" style="1"/>
    <col min="14103" max="14103" width="14.28515625" style="1" customWidth="1"/>
    <col min="14104" max="14106" width="9.140625" style="1"/>
    <col min="14107" max="14109" width="49.7109375" style="1" customWidth="1"/>
    <col min="14110" max="14342" width="9.140625" style="1"/>
    <col min="14343" max="14343" width="16.28515625" style="1" customWidth="1"/>
    <col min="14344" max="14349" width="0" style="1" hidden="1" customWidth="1"/>
    <col min="14350" max="14352" width="11.7109375" style="1" customWidth="1"/>
    <col min="14353" max="14353" width="11.28515625" style="1" customWidth="1"/>
    <col min="14354" max="14354" width="11.7109375" style="1" customWidth="1"/>
    <col min="14355" max="14355" width="11.28515625" style="1" customWidth="1"/>
    <col min="14356" max="14356" width="11.7109375" style="1" customWidth="1"/>
    <col min="14357" max="14357" width="11.28515625" style="1" customWidth="1"/>
    <col min="14358" max="14358" width="9.140625" style="1"/>
    <col min="14359" max="14359" width="14.28515625" style="1" customWidth="1"/>
    <col min="14360" max="14362" width="9.140625" style="1"/>
    <col min="14363" max="14365" width="49.7109375" style="1" customWidth="1"/>
    <col min="14366" max="14598" width="9.140625" style="1"/>
    <col min="14599" max="14599" width="16.28515625" style="1" customWidth="1"/>
    <col min="14600" max="14605" width="0" style="1" hidden="1" customWidth="1"/>
    <col min="14606" max="14608" width="11.7109375" style="1" customWidth="1"/>
    <col min="14609" max="14609" width="11.28515625" style="1" customWidth="1"/>
    <col min="14610" max="14610" width="11.7109375" style="1" customWidth="1"/>
    <col min="14611" max="14611" width="11.28515625" style="1" customWidth="1"/>
    <col min="14612" max="14612" width="11.7109375" style="1" customWidth="1"/>
    <col min="14613" max="14613" width="11.28515625" style="1" customWidth="1"/>
    <col min="14614" max="14614" width="9.140625" style="1"/>
    <col min="14615" max="14615" width="14.28515625" style="1" customWidth="1"/>
    <col min="14616" max="14618" width="9.140625" style="1"/>
    <col min="14619" max="14621" width="49.7109375" style="1" customWidth="1"/>
    <col min="14622" max="14854" width="9.140625" style="1"/>
    <col min="14855" max="14855" width="16.28515625" style="1" customWidth="1"/>
    <col min="14856" max="14861" width="0" style="1" hidden="1" customWidth="1"/>
    <col min="14862" max="14864" width="11.7109375" style="1" customWidth="1"/>
    <col min="14865" max="14865" width="11.28515625" style="1" customWidth="1"/>
    <col min="14866" max="14866" width="11.7109375" style="1" customWidth="1"/>
    <col min="14867" max="14867" width="11.28515625" style="1" customWidth="1"/>
    <col min="14868" max="14868" width="11.7109375" style="1" customWidth="1"/>
    <col min="14869" max="14869" width="11.28515625" style="1" customWidth="1"/>
    <col min="14870" max="14870" width="9.140625" style="1"/>
    <col min="14871" max="14871" width="14.28515625" style="1" customWidth="1"/>
    <col min="14872" max="14874" width="9.140625" style="1"/>
    <col min="14875" max="14877" width="49.7109375" style="1" customWidth="1"/>
    <col min="14878" max="15110" width="9.140625" style="1"/>
    <col min="15111" max="15111" width="16.28515625" style="1" customWidth="1"/>
    <col min="15112" max="15117" width="0" style="1" hidden="1" customWidth="1"/>
    <col min="15118" max="15120" width="11.7109375" style="1" customWidth="1"/>
    <col min="15121" max="15121" width="11.28515625" style="1" customWidth="1"/>
    <col min="15122" max="15122" width="11.7109375" style="1" customWidth="1"/>
    <col min="15123" max="15123" width="11.28515625" style="1" customWidth="1"/>
    <col min="15124" max="15124" width="11.7109375" style="1" customWidth="1"/>
    <col min="15125" max="15125" width="11.28515625" style="1" customWidth="1"/>
    <col min="15126" max="15126" width="9.140625" style="1"/>
    <col min="15127" max="15127" width="14.28515625" style="1" customWidth="1"/>
    <col min="15128" max="15130" width="9.140625" style="1"/>
    <col min="15131" max="15133" width="49.7109375" style="1" customWidth="1"/>
    <col min="15134" max="15366" width="9.140625" style="1"/>
    <col min="15367" max="15367" width="16.28515625" style="1" customWidth="1"/>
    <col min="15368" max="15373" width="0" style="1" hidden="1" customWidth="1"/>
    <col min="15374" max="15376" width="11.7109375" style="1" customWidth="1"/>
    <col min="15377" max="15377" width="11.28515625" style="1" customWidth="1"/>
    <col min="15378" max="15378" width="11.7109375" style="1" customWidth="1"/>
    <col min="15379" max="15379" width="11.28515625" style="1" customWidth="1"/>
    <col min="15380" max="15380" width="11.7109375" style="1" customWidth="1"/>
    <col min="15381" max="15381" width="11.28515625" style="1" customWidth="1"/>
    <col min="15382" max="15382" width="9.140625" style="1"/>
    <col min="15383" max="15383" width="14.28515625" style="1" customWidth="1"/>
    <col min="15384" max="15386" width="9.140625" style="1"/>
    <col min="15387" max="15389" width="49.7109375" style="1" customWidth="1"/>
    <col min="15390" max="15622" width="9.140625" style="1"/>
    <col min="15623" max="15623" width="16.28515625" style="1" customWidth="1"/>
    <col min="15624" max="15629" width="0" style="1" hidden="1" customWidth="1"/>
    <col min="15630" max="15632" width="11.7109375" style="1" customWidth="1"/>
    <col min="15633" max="15633" width="11.28515625" style="1" customWidth="1"/>
    <col min="15634" max="15634" width="11.7109375" style="1" customWidth="1"/>
    <col min="15635" max="15635" width="11.28515625" style="1" customWidth="1"/>
    <col min="15636" max="15636" width="11.7109375" style="1" customWidth="1"/>
    <col min="15637" max="15637" width="11.28515625" style="1" customWidth="1"/>
    <col min="15638" max="15638" width="9.140625" style="1"/>
    <col min="15639" max="15639" width="14.28515625" style="1" customWidth="1"/>
    <col min="15640" max="15642" width="9.140625" style="1"/>
    <col min="15643" max="15645" width="49.7109375" style="1" customWidth="1"/>
    <col min="15646" max="15878" width="9.140625" style="1"/>
    <col min="15879" max="15879" width="16.28515625" style="1" customWidth="1"/>
    <col min="15880" max="15885" width="0" style="1" hidden="1" customWidth="1"/>
    <col min="15886" max="15888" width="11.7109375" style="1" customWidth="1"/>
    <col min="15889" max="15889" width="11.28515625" style="1" customWidth="1"/>
    <col min="15890" max="15890" width="11.7109375" style="1" customWidth="1"/>
    <col min="15891" max="15891" width="11.28515625" style="1" customWidth="1"/>
    <col min="15892" max="15892" width="11.7109375" style="1" customWidth="1"/>
    <col min="15893" max="15893" width="11.28515625" style="1" customWidth="1"/>
    <col min="15894" max="15894" width="9.140625" style="1"/>
    <col min="15895" max="15895" width="14.28515625" style="1" customWidth="1"/>
    <col min="15896" max="15898" width="9.140625" style="1"/>
    <col min="15899" max="15901" width="49.7109375" style="1" customWidth="1"/>
    <col min="15902" max="16134" width="9.140625" style="1"/>
    <col min="16135" max="16135" width="16.28515625" style="1" customWidth="1"/>
    <col min="16136" max="16141" width="0" style="1" hidden="1" customWidth="1"/>
    <col min="16142" max="16144" width="11.7109375" style="1" customWidth="1"/>
    <col min="16145" max="16145" width="11.28515625" style="1" customWidth="1"/>
    <col min="16146" max="16146" width="11.7109375" style="1" customWidth="1"/>
    <col min="16147" max="16147" width="11.28515625" style="1" customWidth="1"/>
    <col min="16148" max="16148" width="11.7109375" style="1" customWidth="1"/>
    <col min="16149" max="16149" width="11.28515625" style="1" customWidth="1"/>
    <col min="16150" max="16150" width="9.140625" style="1"/>
    <col min="16151" max="16151" width="14.28515625" style="1" customWidth="1"/>
    <col min="16152" max="16154" width="9.140625" style="1"/>
    <col min="16155" max="16157" width="49.7109375" style="1" customWidth="1"/>
    <col min="16158" max="16384" width="9.140625" style="1"/>
  </cols>
  <sheetData>
    <row r="2" spans="1:36" ht="21" x14ac:dyDescent="0.55000000000000004">
      <c r="A2" s="27" t="s">
        <v>19</v>
      </c>
      <c r="B2" s="27"/>
      <c r="C2" s="27"/>
      <c r="D2" s="27"/>
      <c r="E2" s="27"/>
      <c r="F2" s="27"/>
      <c r="G2" s="27"/>
      <c r="H2" s="27"/>
      <c r="I2" s="27"/>
      <c r="J2" s="27"/>
      <c r="K2" s="27"/>
      <c r="AF2" s="8" t="s">
        <v>0</v>
      </c>
      <c r="AG2" s="8" t="s">
        <v>1</v>
      </c>
    </row>
    <row r="3" spans="1:36" x14ac:dyDescent="0.25">
      <c r="A3" s="31" t="s">
        <v>18</v>
      </c>
      <c r="B3" s="31"/>
      <c r="C3" s="31"/>
      <c r="D3" s="31"/>
      <c r="E3" s="31"/>
      <c r="F3" s="31"/>
      <c r="G3" s="31"/>
      <c r="H3" s="31"/>
      <c r="I3" s="31"/>
      <c r="J3" s="31"/>
      <c r="K3" s="31"/>
      <c r="AE3" s="6" t="s">
        <v>2</v>
      </c>
      <c r="AF3" s="9">
        <f>SUM(AH4:AH7)</f>
        <v>4998</v>
      </c>
      <c r="AG3" s="9">
        <f>SUM(AI4:AI7)</f>
        <v>4998</v>
      </c>
      <c r="AH3" s="10"/>
    </row>
    <row r="4" spans="1:36" s="4" customFormat="1" x14ac:dyDescent="0.25">
      <c r="A4" s="32" t="s">
        <v>8</v>
      </c>
      <c r="B4" s="36">
        <v>2017</v>
      </c>
      <c r="C4" s="35"/>
      <c r="D4" s="36">
        <v>2018</v>
      </c>
      <c r="E4" s="35"/>
      <c r="F4" s="36">
        <v>2019</v>
      </c>
      <c r="G4" s="35"/>
      <c r="H4" s="36">
        <v>2020</v>
      </c>
      <c r="I4" s="35"/>
      <c r="J4" s="11"/>
      <c r="K4" s="28" t="s">
        <v>9</v>
      </c>
      <c r="AG4" s="12" t="s">
        <v>10</v>
      </c>
      <c r="AH4" s="13">
        <f>H8</f>
        <v>2760</v>
      </c>
      <c r="AI4" s="13">
        <f>I8</f>
        <v>2583</v>
      </c>
      <c r="AJ4" s="1"/>
    </row>
    <row r="5" spans="1:36" s="4" customFormat="1" x14ac:dyDescent="0.25">
      <c r="A5" s="33"/>
      <c r="B5" s="14" t="s">
        <v>0</v>
      </c>
      <c r="C5" s="8" t="s">
        <v>1</v>
      </c>
      <c r="D5" s="14" t="s">
        <v>0</v>
      </c>
      <c r="E5" s="8" t="s">
        <v>1</v>
      </c>
      <c r="F5" s="14" t="s">
        <v>0</v>
      </c>
      <c r="G5" s="8" t="s">
        <v>1</v>
      </c>
      <c r="H5" s="14" t="s">
        <v>0</v>
      </c>
      <c r="I5" s="8" t="s">
        <v>1</v>
      </c>
      <c r="J5" s="15"/>
      <c r="K5" s="26"/>
      <c r="AG5" s="12" t="s">
        <v>11</v>
      </c>
      <c r="AH5" s="13">
        <f>H9</f>
        <v>1151</v>
      </c>
      <c r="AI5" s="13">
        <f>I9</f>
        <v>1254</v>
      </c>
      <c r="AJ5" s="1"/>
    </row>
    <row r="6" spans="1:36" s="4" customFormat="1" ht="21" x14ac:dyDescent="0.55000000000000004">
      <c r="A6" s="34"/>
      <c r="B6" s="17" t="s">
        <v>4</v>
      </c>
      <c r="C6" s="16" t="s">
        <v>5</v>
      </c>
      <c r="D6" s="17" t="s">
        <v>4</v>
      </c>
      <c r="E6" s="16" t="s">
        <v>5</v>
      </c>
      <c r="F6" s="17" t="s">
        <v>4</v>
      </c>
      <c r="G6" s="16" t="s">
        <v>5</v>
      </c>
      <c r="H6" s="17" t="s">
        <v>4</v>
      </c>
      <c r="I6" s="16" t="s">
        <v>5</v>
      </c>
      <c r="J6" s="16"/>
      <c r="K6" s="30"/>
      <c r="AG6" s="12" t="s">
        <v>12</v>
      </c>
      <c r="AH6" s="13">
        <f>H10</f>
        <v>549</v>
      </c>
      <c r="AI6" s="13">
        <f>I10</f>
        <v>628</v>
      </c>
      <c r="AJ6" s="1"/>
    </row>
    <row r="7" spans="1:36" s="6" customFormat="1" ht="18.75" x14ac:dyDescent="0.5">
      <c r="A7" s="6" t="s">
        <v>2</v>
      </c>
      <c r="B7" s="18">
        <f t="shared" ref="B7:E7" si="0">SUM(B8:B11)</f>
        <v>5237</v>
      </c>
      <c r="C7" s="9">
        <f t="shared" si="0"/>
        <v>5237</v>
      </c>
      <c r="D7" s="18">
        <f t="shared" si="0"/>
        <v>5290</v>
      </c>
      <c r="E7" s="9">
        <f t="shared" si="0"/>
        <v>5290</v>
      </c>
      <c r="F7" s="18">
        <f t="shared" ref="F7:G7" si="1">SUM(F8:F11)</f>
        <v>5069</v>
      </c>
      <c r="G7" s="9">
        <f t="shared" si="1"/>
        <v>5069</v>
      </c>
      <c r="H7" s="18">
        <f t="shared" ref="H7:I7" si="2">SUM(H8:H11)</f>
        <v>4998</v>
      </c>
      <c r="I7" s="9">
        <f t="shared" si="2"/>
        <v>4998</v>
      </c>
      <c r="J7" s="9"/>
      <c r="K7" s="19" t="s">
        <v>3</v>
      </c>
      <c r="AG7" s="20" t="s">
        <v>13</v>
      </c>
      <c r="AH7" s="13">
        <f>H11</f>
        <v>538</v>
      </c>
      <c r="AI7" s="13">
        <f>I11</f>
        <v>533</v>
      </c>
      <c r="AJ7" s="1"/>
    </row>
    <row r="8" spans="1:36" ht="18.75" x14ac:dyDescent="0.5">
      <c r="A8" s="12" t="s">
        <v>10</v>
      </c>
      <c r="B8" s="21">
        <v>2655</v>
      </c>
      <c r="C8" s="13">
        <v>2657</v>
      </c>
      <c r="D8" s="21">
        <v>2837</v>
      </c>
      <c r="E8" s="13">
        <v>2709</v>
      </c>
      <c r="F8" s="21">
        <v>2605</v>
      </c>
      <c r="G8" s="13">
        <v>2511</v>
      </c>
      <c r="H8" s="21">
        <v>2760</v>
      </c>
      <c r="I8" s="13">
        <v>2583</v>
      </c>
      <c r="J8" s="13"/>
      <c r="K8" s="5" t="s">
        <v>14</v>
      </c>
    </row>
    <row r="9" spans="1:36" ht="18.75" x14ac:dyDescent="0.5">
      <c r="A9" s="12" t="s">
        <v>11</v>
      </c>
      <c r="B9" s="21">
        <v>1345</v>
      </c>
      <c r="C9" s="13">
        <v>1349</v>
      </c>
      <c r="D9" s="21">
        <v>1284</v>
      </c>
      <c r="E9" s="13">
        <v>1324</v>
      </c>
      <c r="F9" s="21">
        <v>1287</v>
      </c>
      <c r="G9" s="13">
        <v>1326</v>
      </c>
      <c r="H9" s="21">
        <v>1151</v>
      </c>
      <c r="I9" s="13">
        <v>1254</v>
      </c>
      <c r="J9" s="13"/>
      <c r="K9" s="5" t="s">
        <v>15</v>
      </c>
    </row>
    <row r="10" spans="1:36" ht="18.75" x14ac:dyDescent="0.5">
      <c r="A10" s="12" t="s">
        <v>12</v>
      </c>
      <c r="B10" s="21">
        <v>651</v>
      </c>
      <c r="C10" s="13">
        <v>640</v>
      </c>
      <c r="D10" s="21">
        <v>576</v>
      </c>
      <c r="E10" s="13">
        <v>669</v>
      </c>
      <c r="F10" s="21">
        <v>591</v>
      </c>
      <c r="G10" s="13">
        <v>621</v>
      </c>
      <c r="H10" s="21">
        <v>549</v>
      </c>
      <c r="I10" s="13">
        <v>628</v>
      </c>
      <c r="J10" s="13"/>
      <c r="K10" s="5" t="s">
        <v>16</v>
      </c>
      <c r="AH10" s="8" t="s">
        <v>0</v>
      </c>
      <c r="AI10" s="8" t="s">
        <v>1</v>
      </c>
    </row>
    <row r="11" spans="1:36" ht="18.75" x14ac:dyDescent="0.5">
      <c r="A11" s="20" t="s">
        <v>13</v>
      </c>
      <c r="B11" s="23">
        <v>586</v>
      </c>
      <c r="C11" s="22">
        <v>591</v>
      </c>
      <c r="D11" s="23">
        <v>593</v>
      </c>
      <c r="E11" s="22">
        <v>588</v>
      </c>
      <c r="F11" s="23">
        <v>586</v>
      </c>
      <c r="G11" s="22">
        <v>611</v>
      </c>
      <c r="H11" s="23">
        <v>538</v>
      </c>
      <c r="I11" s="22">
        <v>533</v>
      </c>
      <c r="J11" s="22"/>
      <c r="K11" s="24" t="s">
        <v>17</v>
      </c>
      <c r="AH11" s="7">
        <f>AH4/AF3*100</f>
        <v>55.222088835534208</v>
      </c>
      <c r="AI11" s="7">
        <f>AI4/AG3*100</f>
        <v>51.680672268907571</v>
      </c>
    </row>
    <row r="12" spans="1:36" ht="18" x14ac:dyDescent="0.45">
      <c r="A12" s="25" t="s">
        <v>6</v>
      </c>
      <c r="B12" s="3"/>
      <c r="D12" s="3"/>
      <c r="F12" s="3"/>
      <c r="H12" s="3"/>
      <c r="K12" s="2" t="s">
        <v>7</v>
      </c>
    </row>
    <row r="13" spans="1:36" x14ac:dyDescent="0.25"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H13" s="8" t="s">
        <v>0</v>
      </c>
      <c r="AI13" s="8" t="s">
        <v>1</v>
      </c>
    </row>
    <row r="14" spans="1:36" x14ac:dyDescent="0.25">
      <c r="A14" s="3"/>
      <c r="B14" s="3"/>
      <c r="D14" s="3"/>
      <c r="F14" s="3"/>
      <c r="H14" s="3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G14" s="12" t="s">
        <v>10</v>
      </c>
      <c r="AH14" s="7">
        <f>AH4/$AF$3*100</f>
        <v>55.222088835534208</v>
      </c>
      <c r="AI14" s="7">
        <f>AI4/$AF$3*100</f>
        <v>51.680672268907571</v>
      </c>
    </row>
    <row r="15" spans="1:36" x14ac:dyDescent="0.25">
      <c r="A15" s="3"/>
      <c r="B15" s="3"/>
      <c r="D15" s="3"/>
      <c r="F15" s="3"/>
      <c r="H15" s="3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G15" s="12" t="s">
        <v>11</v>
      </c>
      <c r="AH15" s="7">
        <f t="shared" ref="AH15:AI17" si="3">AH5/$AF$3*100</f>
        <v>23.029211684673871</v>
      </c>
      <c r="AI15" s="7">
        <f t="shared" si="3"/>
        <v>25.090036014405765</v>
      </c>
    </row>
    <row r="16" spans="1:36" x14ac:dyDescent="0.25">
      <c r="A16" s="3"/>
      <c r="B16" s="3"/>
      <c r="D16" s="3"/>
      <c r="F16" s="3"/>
      <c r="H16" s="3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G16" s="12" t="s">
        <v>12</v>
      </c>
      <c r="AH16" s="7">
        <f t="shared" si="3"/>
        <v>10.984393757503002</v>
      </c>
      <c r="AI16" s="7">
        <f t="shared" si="3"/>
        <v>12.565026010404162</v>
      </c>
    </row>
    <row r="17" spans="13:43" x14ac:dyDescent="0.25">
      <c r="AG17" s="20" t="s">
        <v>13</v>
      </c>
      <c r="AH17" s="7">
        <f t="shared" si="3"/>
        <v>10.764305722288915</v>
      </c>
      <c r="AI17" s="7">
        <f t="shared" si="3"/>
        <v>10.664265706282514</v>
      </c>
    </row>
    <row r="22" spans="13:43" x14ac:dyDescent="0.25"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H22" s="29">
        <v>2016</v>
      </c>
      <c r="AI22" s="29"/>
      <c r="AJ22" s="29">
        <v>2017</v>
      </c>
      <c r="AK22" s="29"/>
      <c r="AL22" s="29">
        <v>2018</v>
      </c>
      <c r="AM22" s="29"/>
      <c r="AN22" s="29">
        <v>2019</v>
      </c>
      <c r="AO22" s="29"/>
      <c r="AP22" s="29">
        <v>2020</v>
      </c>
      <c r="AQ22" s="29"/>
    </row>
    <row r="23" spans="13:43" x14ac:dyDescent="0.25"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H23" s="8" t="s">
        <v>0</v>
      </c>
      <c r="AI23" s="8" t="s">
        <v>1</v>
      </c>
      <c r="AJ23" s="8" t="s">
        <v>0</v>
      </c>
      <c r="AK23" s="8" t="s">
        <v>1</v>
      </c>
      <c r="AL23" s="8" t="s">
        <v>0</v>
      </c>
      <c r="AM23" s="8" t="s">
        <v>1</v>
      </c>
      <c r="AN23" s="8" t="s">
        <v>0</v>
      </c>
      <c r="AO23" s="8" t="s">
        <v>1</v>
      </c>
      <c r="AP23" s="8" t="s">
        <v>0</v>
      </c>
      <c r="AQ23" s="8" t="s">
        <v>1</v>
      </c>
    </row>
    <row r="24" spans="13:43" x14ac:dyDescent="0.25"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G24" s="1" t="s">
        <v>10</v>
      </c>
      <c r="AH24" s="21">
        <v>2773</v>
      </c>
      <c r="AI24" s="13">
        <v>2716</v>
      </c>
      <c r="AJ24" s="21">
        <v>2655</v>
      </c>
      <c r="AK24" s="13">
        <v>2657</v>
      </c>
      <c r="AL24" s="21">
        <f t="shared" ref="AL24:AM27" si="4">D8</f>
        <v>2837</v>
      </c>
      <c r="AM24" s="21">
        <f t="shared" si="4"/>
        <v>2709</v>
      </c>
      <c r="AN24" s="21">
        <f>F8</f>
        <v>2605</v>
      </c>
      <c r="AO24" s="21">
        <f t="shared" ref="AO24:AO27" si="5">G8</f>
        <v>2511</v>
      </c>
      <c r="AP24" s="21">
        <f>H8</f>
        <v>2760</v>
      </c>
      <c r="AQ24" s="21">
        <f t="shared" ref="AQ24:AQ27" si="6">I8</f>
        <v>2583</v>
      </c>
    </row>
    <row r="25" spans="13:43" x14ac:dyDescent="0.25"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G25" s="1" t="s">
        <v>11</v>
      </c>
      <c r="AH25" s="21">
        <v>1469</v>
      </c>
      <c r="AI25" s="13">
        <v>1521</v>
      </c>
      <c r="AJ25" s="21">
        <v>1345</v>
      </c>
      <c r="AK25" s="13">
        <v>1349</v>
      </c>
      <c r="AL25" s="21">
        <f t="shared" si="4"/>
        <v>1284</v>
      </c>
      <c r="AM25" s="21">
        <f t="shared" si="4"/>
        <v>1324</v>
      </c>
      <c r="AN25" s="21">
        <f t="shared" ref="AN25:AN27" si="7">F9</f>
        <v>1287</v>
      </c>
      <c r="AO25" s="21">
        <f t="shared" si="5"/>
        <v>1326</v>
      </c>
      <c r="AP25" s="21">
        <f t="shared" ref="AP25:AP27" si="8">H9</f>
        <v>1151</v>
      </c>
      <c r="AQ25" s="21">
        <f t="shared" si="6"/>
        <v>1254</v>
      </c>
    </row>
    <row r="26" spans="13:43" x14ac:dyDescent="0.25">
      <c r="AG26" s="1" t="s">
        <v>12</v>
      </c>
      <c r="AH26" s="21">
        <v>620</v>
      </c>
      <c r="AI26" s="13">
        <v>650</v>
      </c>
      <c r="AJ26" s="21">
        <v>651</v>
      </c>
      <c r="AK26" s="13">
        <v>640</v>
      </c>
      <c r="AL26" s="21">
        <f t="shared" si="4"/>
        <v>576</v>
      </c>
      <c r="AM26" s="21">
        <f t="shared" si="4"/>
        <v>669</v>
      </c>
      <c r="AN26" s="21">
        <f t="shared" si="7"/>
        <v>591</v>
      </c>
      <c r="AO26" s="21">
        <f t="shared" si="5"/>
        <v>621</v>
      </c>
      <c r="AP26" s="21">
        <f t="shared" si="8"/>
        <v>549</v>
      </c>
      <c r="AQ26" s="21">
        <f t="shared" si="6"/>
        <v>628</v>
      </c>
    </row>
    <row r="27" spans="13:43" x14ac:dyDescent="0.25">
      <c r="AG27" s="1" t="s">
        <v>13</v>
      </c>
      <c r="AH27" s="23">
        <v>626</v>
      </c>
      <c r="AI27" s="22">
        <v>601</v>
      </c>
      <c r="AJ27" s="23">
        <v>586</v>
      </c>
      <c r="AK27" s="22">
        <v>591</v>
      </c>
      <c r="AL27" s="21">
        <f t="shared" si="4"/>
        <v>593</v>
      </c>
      <c r="AM27" s="21">
        <f t="shared" si="4"/>
        <v>588</v>
      </c>
      <c r="AN27" s="21">
        <f t="shared" si="7"/>
        <v>586</v>
      </c>
      <c r="AO27" s="21">
        <f t="shared" si="5"/>
        <v>611</v>
      </c>
      <c r="AP27" s="21">
        <f t="shared" si="8"/>
        <v>538</v>
      </c>
      <c r="AQ27" s="21">
        <f t="shared" si="6"/>
        <v>533</v>
      </c>
    </row>
    <row r="31" spans="13:43" x14ac:dyDescent="0.25"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spans="13:43" x14ac:dyDescent="0.25"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spans="13:29" x14ac:dyDescent="0.25"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spans="13:29" x14ac:dyDescent="0.25"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</sheetData>
  <mergeCells count="13">
    <mergeCell ref="A2:K2"/>
    <mergeCell ref="A3:K3"/>
    <mergeCell ref="A4:A6"/>
    <mergeCell ref="B4:C4"/>
    <mergeCell ref="D4:E4"/>
    <mergeCell ref="F4:G4"/>
    <mergeCell ref="H4:I4"/>
    <mergeCell ref="AP22:AQ22"/>
    <mergeCell ref="AN22:AO22"/>
    <mergeCell ref="K4:K6"/>
    <mergeCell ref="AH22:AI22"/>
    <mergeCell ref="AJ22:AK22"/>
    <mergeCell ref="AL22:AM22"/>
  </mergeCells>
  <pageMargins left="0.7" right="0.7" top="0.75" bottom="0.75" header="0.3" footer="0.3"/>
  <pageSetup scale="64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3.21</vt:lpstr>
      <vt:lpstr>'3.21'!Print_Area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2021-07-11T06:41:07Z</cp:lastPrinted>
  <dcterms:created xsi:type="dcterms:W3CDTF">2019-07-22T06:02:33Z</dcterms:created>
  <dcterms:modified xsi:type="dcterms:W3CDTF">2021-07-11T06:44:11Z</dcterms:modified>
</cp:coreProperties>
</file>