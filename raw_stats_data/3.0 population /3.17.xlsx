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813"/>
  </bookViews>
  <sheets>
    <sheet name="3.17" sheetId="17" r:id="rId1"/>
  </sheets>
  <externalReferences>
    <externalReference r:id="rId2"/>
    <externalReference r:id="rId3"/>
    <externalReference r:id="rId4"/>
  </externalReferences>
  <definedNames>
    <definedName name="_xlnm.Print_Area" localSheetId="0">'3.17'!$A$1:$U$81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43" i="17" l="1"/>
  <c r="BD43" i="17"/>
  <c r="BD42" i="17"/>
  <c r="BC42" i="17"/>
  <c r="T9" i="17"/>
  <c r="U9" i="17"/>
  <c r="T10" i="17"/>
  <c r="U10" i="17"/>
  <c r="T12" i="17"/>
  <c r="U12" i="17"/>
  <c r="T13" i="17"/>
  <c r="U13" i="17"/>
  <c r="T14" i="17"/>
  <c r="U14" i="17"/>
  <c r="T15" i="17"/>
  <c r="U15" i="17"/>
  <c r="T16" i="17"/>
  <c r="U16" i="17"/>
  <c r="T17" i="17"/>
  <c r="U17" i="17"/>
  <c r="T18" i="17"/>
  <c r="U18" i="17"/>
  <c r="T19" i="17"/>
  <c r="U19" i="17"/>
  <c r="T20" i="17"/>
  <c r="U20" i="17"/>
  <c r="T21" i="17"/>
  <c r="U21" i="17"/>
  <c r="T22" i="17"/>
  <c r="U22" i="17"/>
  <c r="T23" i="17"/>
  <c r="U23" i="17"/>
  <c r="T24" i="17"/>
  <c r="U24" i="17"/>
  <c r="T25" i="17"/>
  <c r="U25" i="17"/>
  <c r="T26" i="17"/>
  <c r="U26" i="17"/>
  <c r="T27" i="17"/>
  <c r="U27" i="17"/>
  <c r="T28" i="17"/>
  <c r="U28" i="17"/>
  <c r="T29" i="17"/>
  <c r="U29" i="17"/>
  <c r="T30" i="17"/>
  <c r="U30" i="17"/>
  <c r="T31" i="17"/>
  <c r="U31" i="17"/>
  <c r="S11" i="17"/>
  <c r="S8" i="17" s="1"/>
  <c r="R11" i="17"/>
  <c r="R8" i="17" s="1"/>
  <c r="Q11" i="17"/>
  <c r="Q8" i="17" s="1"/>
  <c r="P11" i="17"/>
  <c r="P8" i="17" s="1"/>
  <c r="BD44" i="17" l="1"/>
  <c r="BC44" i="17"/>
  <c r="BB43" i="17"/>
  <c r="BB42" i="17"/>
  <c r="M11" i="17"/>
  <c r="N11" i="17"/>
  <c r="BB44" i="17" l="1"/>
  <c r="U11" i="17"/>
  <c r="BA43" i="17"/>
  <c r="BA42" i="17"/>
  <c r="O11" i="17" l="1"/>
  <c r="O8" i="17" s="1"/>
  <c r="N8" i="17"/>
  <c r="M8" i="17"/>
  <c r="U8" i="17" s="1"/>
  <c r="L11" i="17"/>
  <c r="L8" i="17" l="1"/>
  <c r="T8" i="17" s="1"/>
  <c r="T11" i="17"/>
  <c r="AZ43" i="17"/>
  <c r="AY43" i="17"/>
  <c r="AZ42" i="17"/>
  <c r="AY42" i="17"/>
  <c r="K11" i="17"/>
  <c r="K8" i="17" s="1"/>
  <c r="J11" i="17"/>
  <c r="J8" i="17" s="1"/>
  <c r="I11" i="17"/>
  <c r="I8" i="17" s="1"/>
  <c r="H11" i="17"/>
  <c r="F11" i="17"/>
  <c r="F8" i="17" s="1"/>
  <c r="E11" i="17"/>
  <c r="E8" i="17" s="1"/>
  <c r="D11" i="17"/>
  <c r="C11" i="17"/>
  <c r="C8" i="17" s="1"/>
  <c r="D8" i="17"/>
  <c r="AZ44" i="17" l="1"/>
  <c r="AY44" i="17"/>
  <c r="H8" i="17"/>
</calcChain>
</file>

<file path=xl/sharedStrings.xml><?xml version="1.0" encoding="utf-8"?>
<sst xmlns="http://schemas.openxmlformats.org/spreadsheetml/2006/main" count="91" uniqueCount="40">
  <si>
    <t>Locality</t>
  </si>
  <si>
    <t>Republic</t>
  </si>
  <si>
    <t>Hulhumale'</t>
  </si>
  <si>
    <t>Male'</t>
  </si>
  <si>
    <t>Atolls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</si>
  <si>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</si>
  <si>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</si>
  <si>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</si>
  <si>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</si>
  <si>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</si>
  <si>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</si>
  <si>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</si>
  <si>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</si>
  <si>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</si>
  <si>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</si>
  <si>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</si>
  <si>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</si>
  <si>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</si>
  <si>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</si>
  <si>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</si>
  <si>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</si>
  <si>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</si>
  <si>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</si>
  <si>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</si>
  <si>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K</t>
  </si>
  <si>
    <t>% Change over previous year of</t>
  </si>
  <si>
    <t>ކައިވެނި</t>
  </si>
  <si>
    <t>ވަރި</t>
  </si>
  <si>
    <t>ފަސްޚް</t>
  </si>
  <si>
    <t>ތަފްރީޤް</t>
  </si>
  <si>
    <t>Marriages</t>
  </si>
  <si>
    <t>Divorces</t>
  </si>
  <si>
    <t>Faskh</t>
  </si>
  <si>
    <t>Thafreeq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</si>
  <si>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</si>
  <si>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</si>
  <si>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Marriages </t>
  </si>
  <si>
    <t xml:space="preserve">Divorces </t>
  </si>
  <si>
    <t>ތާވަލު 3.17: މާލެ އާއި އަތޮޅުތަކުގައި ކުރެވުނު ކައިވެންޏާއި ވަރި، 2017 - 2020</t>
  </si>
  <si>
    <t>Table 3.17 :  MARRIAGES AND DIVORCES IN MALE' AND ATOLLS, 2017 - 2020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</si>
</sst>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#,##0\ &quot;ރ.&quot;_-;#,##0\ &quot;ރ.&quot;\-"/>
    <numFmt numFmtId="43" formatCode="_-* #,##0.00\ _ރ_._-;_-* #,##0.00\ _ރ_.\-;_-* &quot;-&quot;??\ _ރ_._-;_-@_-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</borders>
  <cellStyleXfs count="17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14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5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87">
    <xf numFmtId="0" fontId="0" fillId="0" borderId="0" xfId="0"/>
    <xf numFmtId="167" fontId="12" fillId="2" borderId="0" xfId="11" applyNumberFormat="1" applyFont="1" applyFill="1" applyAlignment="1" applyProtection="1">
      <alignment vertical="center"/>
      <protection locked="0"/>
    </xf>
    <xf numFmtId="167" fontId="11" fillId="2" borderId="0" xfId="11" applyNumberFormat="1" applyFont="1" applyFill="1" applyBorder="1" applyAlignment="1" applyProtection="1">
      <alignment vertical="center"/>
      <protection locked="0"/>
    </xf>
    <xf numFmtId="167" fontId="15" fillId="2" borderId="0" xfId="11" applyNumberFormat="1" applyFont="1" applyFill="1" applyBorder="1" applyAlignment="1" applyProtection="1">
      <alignment horizontal="center" vertical="center" wrapText="1"/>
      <protection locked="0"/>
    </xf>
    <xf numFmtId="167" fontId="11" fillId="2" borderId="0" xfId="11" applyNumberFormat="1" applyFont="1" applyFill="1" applyBorder="1" applyAlignment="1" applyProtection="1">
      <alignment horizontal="center" vertical="center" wrapText="1"/>
      <protection locked="0"/>
    </xf>
    <xf numFmtId="167" fontId="11" fillId="2" borderId="0" xfId="11" applyNumberFormat="1" applyFont="1" applyFill="1" applyAlignment="1" applyProtection="1">
      <alignment vertical="center"/>
      <protection locked="0"/>
    </xf>
    <xf numFmtId="1" fontId="11" fillId="2" borderId="0" xfId="11" applyNumberFormat="1" applyFont="1" applyFill="1" applyBorder="1" applyAlignment="1" applyProtection="1">
      <alignment horizontal="center" vertical="center" wrapText="1"/>
      <protection locked="0"/>
    </xf>
    <xf numFmtId="167" fontId="15" fillId="2" borderId="0" xfId="11" applyNumberFormat="1" applyFont="1" applyFill="1" applyBorder="1" applyAlignment="1" applyProtection="1">
      <alignment horizontal="center" vertical="center"/>
      <protection locked="0"/>
    </xf>
    <xf numFmtId="167" fontId="6" fillId="2" borderId="0" xfId="11" applyNumberFormat="1" applyFont="1" applyFill="1" applyBorder="1" applyAlignment="1" applyProtection="1">
      <alignment horizontal="right" vertical="center"/>
      <protection locked="0"/>
    </xf>
    <xf numFmtId="167" fontId="6" fillId="2" borderId="4" xfId="11" applyNumberFormat="1" applyFont="1" applyFill="1" applyBorder="1" applyAlignment="1" applyProtection="1">
      <alignment horizontal="right" vertical="center"/>
      <protection locked="0"/>
    </xf>
    <xf numFmtId="1" fontId="15" fillId="2" borderId="1" xfId="11" applyNumberFormat="1" applyFont="1" applyFill="1" applyBorder="1" applyAlignment="1" applyProtection="1">
      <alignment horizontal="right" vertical="center"/>
      <protection locked="0"/>
    </xf>
    <xf numFmtId="1" fontId="15" fillId="2" borderId="5" xfId="11" applyNumberFormat="1" applyFont="1" applyFill="1" applyBorder="1" applyAlignment="1" applyProtection="1">
      <alignment horizontal="right" vertical="center"/>
      <protection locked="0"/>
    </xf>
    <xf numFmtId="1" fontId="15" fillId="2" borderId="0" xfId="11" applyNumberFormat="1" applyFont="1" applyFill="1" applyBorder="1" applyAlignment="1" applyProtection="1">
      <alignment horizontal="right" vertical="center"/>
      <protection locked="0"/>
    </xf>
    <xf numFmtId="1" fontId="11" fillId="2" borderId="1" xfId="11" applyNumberFormat="1" applyFont="1" applyFill="1" applyBorder="1" applyAlignment="1" applyProtection="1">
      <alignment horizontal="right" vertical="center"/>
      <protection locked="0"/>
    </xf>
    <xf numFmtId="1" fontId="15" fillId="2" borderId="4" xfId="11" applyNumberFormat="1" applyFont="1" applyFill="1" applyBorder="1" applyAlignment="1" applyProtection="1">
      <alignment horizontal="right" vertical="center"/>
      <protection locked="0"/>
    </xf>
    <xf numFmtId="1" fontId="11" fillId="2" borderId="0" xfId="11" applyNumberFormat="1" applyFont="1" applyFill="1" applyBorder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right" vertical="center"/>
      <protection locked="0"/>
    </xf>
    <xf numFmtId="167" fontId="9" fillId="2" borderId="0" xfId="11" applyNumberFormat="1" applyFont="1" applyFill="1" applyBorder="1" applyAlignment="1" applyProtection="1">
      <alignment vertical="center"/>
      <protection locked="0"/>
    </xf>
    <xf numFmtId="3" fontId="9" fillId="2" borderId="0" xfId="11" applyNumberFormat="1" applyFont="1" applyFill="1" applyBorder="1" applyAlignment="1" applyProtection="1">
      <alignment vertical="center"/>
      <protection locked="0"/>
    </xf>
    <xf numFmtId="3" fontId="9" fillId="2" borderId="0" xfId="11" applyNumberFormat="1" applyFont="1" applyFill="1" applyBorder="1" applyAlignment="1" applyProtection="1">
      <alignment horizontal="right" vertical="center"/>
      <protection hidden="1"/>
    </xf>
    <xf numFmtId="3" fontId="9" fillId="2" borderId="4" xfId="11" applyNumberFormat="1" applyFont="1" applyFill="1" applyBorder="1" applyAlignment="1" applyProtection="1">
      <alignment horizontal="right" vertical="center"/>
      <protection hidden="1"/>
    </xf>
    <xf numFmtId="3" fontId="9" fillId="2" borderId="2" xfId="11" applyNumberFormat="1" applyFont="1" applyFill="1" applyBorder="1" applyAlignment="1" applyProtection="1">
      <alignment horizontal="right" vertical="center"/>
      <protection hidden="1"/>
    </xf>
    <xf numFmtId="1" fontId="11" fillId="2" borderId="0" xfId="11" applyNumberFormat="1" applyFont="1" applyFill="1" applyBorder="1" applyAlignment="1" applyProtection="1">
      <alignment vertical="center"/>
      <protection locked="0"/>
    </xf>
    <xf numFmtId="167" fontId="11" fillId="2" borderId="0" xfId="11" applyNumberFormat="1" applyFont="1" applyFill="1" applyAlignment="1" applyProtection="1">
      <alignment vertical="center"/>
      <protection hidden="1"/>
    </xf>
    <xf numFmtId="3" fontId="9" fillId="2" borderId="0" xfId="11" applyNumberFormat="1" applyFont="1" applyFill="1" applyBorder="1" applyAlignment="1" applyProtection="1">
      <alignment horizontal="right" vertical="center"/>
      <protection locked="0"/>
    </xf>
    <xf numFmtId="3" fontId="9" fillId="2" borderId="4" xfId="11" applyNumberFormat="1" applyFont="1" applyFill="1" applyBorder="1" applyAlignment="1" applyProtection="1">
      <alignment horizontal="right" vertical="center"/>
      <protection locked="0"/>
    </xf>
    <xf numFmtId="167" fontId="9" fillId="2" borderId="0" xfId="11" applyNumberFormat="1" applyFont="1" applyFill="1" applyBorder="1" applyAlignment="1" applyProtection="1">
      <alignment horizontal="left" vertical="center"/>
      <protection locked="0"/>
    </xf>
    <xf numFmtId="1" fontId="12" fillId="2" borderId="0" xfId="11" applyNumberFormat="1" applyFont="1" applyFill="1" applyBorder="1" applyAlignment="1" applyProtection="1">
      <alignment vertical="center"/>
      <protection locked="0"/>
    </xf>
    <xf numFmtId="167" fontId="10" fillId="2" borderId="0" xfId="11" applyNumberFormat="1" applyFont="1" applyFill="1" applyBorder="1" applyAlignment="1" applyProtection="1">
      <alignment horizontal="left" vertical="center" indent="1"/>
      <protection locked="0"/>
    </xf>
    <xf numFmtId="3" fontId="10" fillId="2" borderId="0" xfId="11" applyNumberFormat="1" applyFont="1" applyFill="1" applyBorder="1" applyAlignment="1" applyProtection="1">
      <alignment vertical="center"/>
      <protection locked="0"/>
    </xf>
    <xf numFmtId="3" fontId="10" fillId="2" borderId="0" xfId="11" applyNumberFormat="1" applyFont="1" applyFill="1" applyBorder="1" applyAlignment="1" applyProtection="1">
      <alignment horizontal="right" vertical="center"/>
      <protection locked="0"/>
    </xf>
    <xf numFmtId="3" fontId="10" fillId="2" borderId="4" xfId="11" applyNumberFormat="1" applyFont="1" applyFill="1" applyBorder="1" applyAlignment="1" applyProtection="1">
      <alignment horizontal="right" vertical="center"/>
      <protection locked="0"/>
    </xf>
    <xf numFmtId="167" fontId="12" fillId="2" borderId="0" xfId="11" applyNumberFormat="1" applyFont="1" applyFill="1" applyAlignment="1" applyProtection="1">
      <alignment vertical="center"/>
      <protection hidden="1"/>
    </xf>
    <xf numFmtId="167" fontId="12" fillId="2" borderId="0" xfId="11" applyNumberFormat="1" applyFont="1" applyFill="1" applyBorder="1" applyAlignment="1" applyProtection="1">
      <alignment vertical="center"/>
      <protection locked="0"/>
    </xf>
    <xf numFmtId="167" fontId="12" fillId="2" borderId="0" xfId="11" applyNumberFormat="1" applyFont="1" applyFill="1" applyBorder="1" applyAlignment="1" applyProtection="1">
      <alignment horizontal="center"/>
      <protection locked="0"/>
    </xf>
    <xf numFmtId="3" fontId="10" fillId="2" borderId="1" xfId="11" applyNumberFormat="1" applyFont="1" applyFill="1" applyBorder="1" applyAlignment="1" applyProtection="1">
      <alignment horizontal="left" vertical="center" indent="1"/>
      <protection locked="0"/>
    </xf>
    <xf numFmtId="3" fontId="10" fillId="2" borderId="1" xfId="11" applyNumberFormat="1" applyFont="1" applyFill="1" applyBorder="1" applyAlignment="1" applyProtection="1">
      <alignment horizontal="right" vertical="center"/>
      <protection locked="0"/>
    </xf>
    <xf numFmtId="3" fontId="10" fillId="2" borderId="5" xfId="11" applyNumberFormat="1" applyFont="1" applyFill="1" applyBorder="1" applyAlignment="1" applyProtection="1">
      <alignment horizontal="right" vertical="center"/>
      <protection locked="0"/>
    </xf>
    <xf numFmtId="167" fontId="17" fillId="2" borderId="0" xfId="11" applyNumberFormat="1" applyFont="1" applyFill="1" applyBorder="1" applyAlignment="1" applyProtection="1">
      <protection locked="0"/>
    </xf>
    <xf numFmtId="167" fontId="17" fillId="2" borderId="0" xfId="11" applyNumberFormat="1" applyFont="1" applyFill="1" applyBorder="1" applyProtection="1">
      <protection locked="0"/>
    </xf>
    <xf numFmtId="167" fontId="17" fillId="2" borderId="0" xfId="11" applyNumberFormat="1" applyFont="1" applyFill="1" applyProtection="1">
      <protection locked="0"/>
    </xf>
    <xf numFmtId="167" fontId="17" fillId="2" borderId="0" xfId="11" applyNumberFormat="1" applyFont="1" applyFill="1" applyProtection="1">
      <protection hidden="1"/>
    </xf>
    <xf numFmtId="167" fontId="16" fillId="2" borderId="2" xfId="11" applyNumberFormat="1" applyFont="1" applyFill="1" applyBorder="1" applyAlignment="1" applyProtection="1">
      <protection hidden="1"/>
    </xf>
    <xf numFmtId="1" fontId="13" fillId="2" borderId="0" xfId="11" applyNumberFormat="1" applyFont="1" applyFill="1" applyProtection="1">
      <protection hidden="1"/>
    </xf>
    <xf numFmtId="0" fontId="18" fillId="2" borderId="0" xfId="0" applyFont="1" applyFill="1"/>
    <xf numFmtId="167" fontId="12" fillId="2" borderId="0" xfId="11" applyNumberFormat="1" applyFont="1" applyFill="1" applyBorder="1" applyAlignment="1" applyProtection="1">
      <alignment horizontal="left" vertical="center"/>
      <protection locked="0"/>
    </xf>
    <xf numFmtId="167" fontId="12" fillId="2" borderId="0" xfId="11" applyNumberFormat="1" applyFont="1" applyFill="1" applyBorder="1" applyProtection="1">
      <protection locked="0"/>
    </xf>
    <xf numFmtId="167" fontId="12" fillId="2" borderId="0" xfId="11" applyNumberFormat="1" applyFont="1" applyFill="1" applyProtection="1">
      <protection locked="0"/>
    </xf>
    <xf numFmtId="1" fontId="12" fillId="2" borderId="0" xfId="11" applyNumberFormat="1" applyFont="1" applyFill="1" applyProtection="1">
      <protection locked="0"/>
    </xf>
    <xf numFmtId="3" fontId="11" fillId="2" borderId="0" xfId="11" applyNumberFormat="1" applyFont="1" applyFill="1" applyBorder="1" applyAlignment="1" applyProtection="1">
      <alignment horizontal="right" vertical="center"/>
      <protection locked="0"/>
    </xf>
    <xf numFmtId="167" fontId="11" fillId="2" borderId="0" xfId="11" applyNumberFormat="1" applyFont="1" applyFill="1" applyBorder="1" applyAlignment="1" applyProtection="1">
      <alignment horizontal="left" vertical="center"/>
      <protection locked="0"/>
    </xf>
    <xf numFmtId="3" fontId="11" fillId="2" borderId="0" xfId="11" applyNumberFormat="1" applyFont="1" applyFill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left" vertical="center"/>
      <protection locked="0"/>
    </xf>
    <xf numFmtId="3" fontId="11" fillId="2" borderId="0" xfId="11" applyNumberFormat="1" applyFont="1" applyFill="1" applyAlignment="1" applyProtection="1">
      <alignment horizontal="right" vertical="center"/>
      <protection hidden="1"/>
    </xf>
    <xf numFmtId="3" fontId="12" fillId="2" borderId="0" xfId="11" applyNumberFormat="1" applyFont="1" applyFill="1" applyBorder="1" applyAlignment="1" applyProtection="1">
      <alignment horizontal="right" vertical="center"/>
      <protection locked="0"/>
    </xf>
    <xf numFmtId="3" fontId="12" fillId="2" borderId="0" xfId="11" applyNumberFormat="1" applyFont="1" applyFill="1" applyBorder="1" applyAlignment="1" applyProtection="1">
      <alignment vertical="center"/>
      <protection locked="0"/>
    </xf>
    <xf numFmtId="167" fontId="12" fillId="2" borderId="0" xfId="11" applyNumberFormat="1" applyFont="1" applyFill="1" applyProtection="1">
      <protection hidden="1"/>
    </xf>
    <xf numFmtId="1" fontId="12" fillId="2" borderId="0" xfId="11" applyNumberFormat="1" applyFont="1" applyFill="1" applyProtection="1">
      <protection hidden="1"/>
    </xf>
    <xf numFmtId="1" fontId="7" fillId="2" borderId="4" xfId="11" applyNumberFormat="1" applyFont="1" applyFill="1" applyBorder="1" applyAlignment="1" applyProtection="1">
      <alignment vertical="center"/>
      <protection locked="0"/>
    </xf>
    <xf numFmtId="1" fontId="7" fillId="2" borderId="5" xfId="11" applyNumberFormat="1" applyFont="1" applyFill="1" applyBorder="1" applyAlignment="1" applyProtection="1">
      <alignment vertical="center"/>
      <protection locked="0"/>
    </xf>
    <xf numFmtId="1" fontId="7" fillId="2" borderId="1" xfId="11" applyNumberFormat="1" applyFont="1" applyFill="1" applyBorder="1" applyAlignment="1" applyProtection="1">
      <alignment vertical="center"/>
      <protection locked="0"/>
    </xf>
    <xf numFmtId="167" fontId="12" fillId="2" borderId="1" xfId="11" applyNumberFormat="1" applyFont="1" applyFill="1" applyBorder="1" applyAlignment="1" applyProtection="1">
      <alignment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15" fillId="2" borderId="3" xfId="11" applyNumberFormat="1" applyFont="1" applyFill="1" applyBorder="1" applyAlignment="1" applyProtection="1">
      <alignment horizontal="center" vertic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4" fillId="2" borderId="0" xfId="11" applyNumberFormat="1" applyFont="1" applyFill="1" applyBorder="1" applyAlignment="1" applyProtection="1">
      <alignment horizontal="center" vertical="center" wrapText="1"/>
      <protection locked="0"/>
    </xf>
    <xf numFmtId="3" fontId="9" fillId="2" borderId="0" xfId="11" applyNumberFormat="1" applyFont="1" applyFill="1" applyAlignment="1" applyProtection="1">
      <alignment horizontal="right" vertical="center"/>
      <protection locked="0"/>
    </xf>
    <xf numFmtId="3" fontId="9" fillId="2" borderId="0" xfId="11" applyNumberFormat="1" applyFont="1" applyFill="1" applyAlignment="1" applyProtection="1">
      <alignment horizontal="right" vertical="center"/>
      <protection hidden="1"/>
    </xf>
    <xf numFmtId="3" fontId="10" fillId="2" borderId="0" xfId="11" applyNumberFormat="1" applyFont="1" applyFill="1" applyAlignment="1" applyProtection="1">
      <alignment horizontal="right" vertical="center"/>
      <protection locked="0"/>
    </xf>
    <xf numFmtId="1" fontId="7" fillId="2" borderId="6" xfId="11" applyNumberFormat="1" applyFont="1" applyFill="1" applyBorder="1" applyAlignment="1" applyProtection="1">
      <alignment vertical="center"/>
      <protection locked="0"/>
    </xf>
    <xf numFmtId="1" fontId="7" fillId="2" borderId="2" xfId="11" applyNumberFormat="1" applyFont="1" applyFill="1" applyBorder="1" applyAlignment="1" applyProtection="1">
      <alignment vertical="center"/>
      <protection locked="0"/>
    </xf>
    <xf numFmtId="1" fontId="7" fillId="2" borderId="0" xfId="11" applyNumberFormat="1" applyFont="1" applyFill="1" applyAlignment="1" applyProtection="1">
      <alignment vertical="center"/>
      <protection locked="0"/>
    </xf>
    <xf numFmtId="167" fontId="12" fillId="2" borderId="0" xfId="11" applyNumberFormat="1" applyFont="1" applyFill="1" applyAlignment="1" applyProtection="1">
      <alignment horizontal="center"/>
      <protection locked="0"/>
    </xf>
    <xf numFmtId="1" fontId="11" fillId="2" borderId="0" xfId="11" applyNumberFormat="1" applyFont="1" applyFill="1" applyBorder="1" applyAlignment="1" applyProtection="1">
      <alignment horizontal="center" vertical="center"/>
      <protection locked="0"/>
    </xf>
    <xf numFmtId="167" fontId="15" fillId="2" borderId="6" xfId="11" applyNumberFormat="1" applyFont="1" applyFill="1" applyBorder="1" applyAlignment="1" applyProtection="1">
      <alignment horizontal="center"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15" fillId="2" borderId="7" xfId="11" applyNumberFormat="1" applyFont="1" applyFill="1" applyBorder="1" applyAlignment="1" applyProtection="1">
      <alignment horizontal="center" vertical="center"/>
      <protection locked="0"/>
    </xf>
    <xf numFmtId="167" fontId="15" fillId="2" borderId="3" xfId="11" applyNumberFormat="1" applyFont="1" applyFill="1" applyBorder="1" applyAlignment="1" applyProtection="1">
      <alignment horizontal="center" vertic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9" fillId="2" borderId="0" xfId="11" applyNumberFormat="1" applyFont="1" applyFill="1" applyBorder="1" applyAlignment="1" applyProtection="1">
      <alignment horizontal="center" vertical="center" wrapText="1"/>
      <protection locked="0"/>
    </xf>
    <xf numFmtId="167" fontId="15" fillId="2" borderId="2" xfId="11" applyNumberFormat="1" applyFont="1" applyFill="1" applyBorder="1" applyAlignment="1" applyProtection="1">
      <alignment horizontal="left" vertical="center"/>
      <protection locked="0"/>
    </xf>
    <xf numFmtId="167" fontId="15" fillId="2" borderId="0" xfId="11" applyNumberFormat="1" applyFont="1" applyFill="1" applyBorder="1" applyAlignment="1" applyProtection="1">
      <alignment horizontal="left" vertical="center"/>
      <protection locked="0"/>
    </xf>
    <xf numFmtId="167" fontId="15" fillId="2" borderId="1" xfId="11" applyNumberFormat="1" applyFont="1" applyFill="1" applyBorder="1" applyAlignment="1" applyProtection="1">
      <alignment horizontal="left" vertical="center"/>
      <protection locked="0"/>
    </xf>
    <xf numFmtId="1" fontId="15" fillId="2" borderId="6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2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7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3" xfId="11" applyNumberFormat="1" applyFont="1" applyFill="1" applyBorder="1" applyAlignment="1" applyProtection="1">
      <alignment horizontal="center" vertical="center" wrapText="1"/>
      <protection locked="0"/>
    </xf>
  </cellXfs>
  <cellStyles count="17">
    <cellStyle name="1" xfId="14"/>
    <cellStyle name="Comma 2" xfId="13"/>
    <cellStyle name="Comma 3" xfId="5"/>
    <cellStyle name="Comma 3 2" xfId="16"/>
    <cellStyle name="Comma 4" xfId="3"/>
    <cellStyle name="Comma 7" xfId="15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3 - Population" xfId="1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Figure 3.19: Marriages and Divorces in Male', Hulhumale'  and Atolls, 2017 - 2020</a:t>
            </a:r>
          </a:p>
        </c:rich>
      </c:tx>
      <c:layout>
        <c:manualLayout>
          <c:xMode val="edge"/>
          <c:yMode val="edge"/>
          <c:x val="0.24941217071529478"/>
          <c:y val="4.58659096135807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6076788688342912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'3.17'!$AH$42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'3.17'!$AW$40:$BD$41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2017 </c:v>
                  </c:pt>
                  <c:pt idx="2">
                    <c:v>2018 </c:v>
                  </c:pt>
                  <c:pt idx="4">
                    <c:v>2019 </c:v>
                  </c:pt>
                  <c:pt idx="6">
                    <c:v>2020 </c:v>
                  </c:pt>
                </c:lvl>
              </c:multiLvlStrCache>
            </c:multiLvlStrRef>
          </c:cat>
          <c:val>
            <c:numRef>
              <c:f>'3.17'!$AW$42:$BD$42</c:f>
              <c:numCache>
                <c:formatCode>General_)</c:formatCode>
                <c:ptCount val="8"/>
                <c:pt idx="0">
                  <c:v>2168</c:v>
                </c:pt>
                <c:pt idx="1">
                  <c:v>1248</c:v>
                </c:pt>
                <c:pt idx="2">
                  <c:v>2191</c:v>
                </c:pt>
                <c:pt idx="3">
                  <c:v>1156</c:v>
                </c:pt>
                <c:pt idx="4">
                  <c:v>2055</c:v>
                </c:pt>
                <c:pt idx="5">
                  <c:v>1260</c:v>
                </c:pt>
                <c:pt idx="6">
                  <c:v>1995</c:v>
                </c:pt>
                <c:pt idx="7">
                  <c:v>928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4C5-4C59-A154-E1DB424A89EF}"/>
            </c:ext>
          </c:extLst>
        </c:ser>
        <c:ser>
          <c:idx val="7"/>
          <c:order val="1"/>
          <c:tx>
            <c:strRef>
              <c:f>'3.17'!$AH$43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multiLvlStrRef>
              <c:f>'3.17'!$AW$40:$BD$41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2017 </c:v>
                  </c:pt>
                  <c:pt idx="2">
                    <c:v>2018 </c:v>
                  </c:pt>
                  <c:pt idx="4">
                    <c:v>2019 </c:v>
                  </c:pt>
                  <c:pt idx="6">
                    <c:v>2020 </c:v>
                  </c:pt>
                </c:lvl>
              </c:multiLvlStrCache>
            </c:multiLvlStrRef>
          </c:cat>
          <c:val>
            <c:numRef>
              <c:f>'3.17'!$AW$43:$BD$43</c:f>
              <c:numCache>
                <c:formatCode>General_)</c:formatCode>
                <c:ptCount val="8"/>
                <c:pt idx="0">
                  <c:v>207</c:v>
                </c:pt>
                <c:pt idx="1">
                  <c:v>149</c:v>
                </c:pt>
                <c:pt idx="2">
                  <c:v>258</c:v>
                </c:pt>
                <c:pt idx="3">
                  <c:v>217</c:v>
                </c:pt>
                <c:pt idx="4">
                  <c:v>312</c:v>
                </c:pt>
                <c:pt idx="5">
                  <c:v>359</c:v>
                </c:pt>
                <c:pt idx="6">
                  <c:v>237</c:v>
                </c:pt>
                <c:pt idx="7">
                  <c:v>173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4C5-4C59-A154-E1DB424A89EF}"/>
            </c:ext>
          </c:extLst>
        </c:ser>
        <c:ser>
          <c:idx val="0"/>
          <c:order val="2"/>
          <c:tx>
            <c:strRef>
              <c:f>'3.17'!$AH$44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multiLvlStrRef>
              <c:f>'3.17'!$AW$40:$BD$41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2017 </c:v>
                  </c:pt>
                  <c:pt idx="2">
                    <c:v>2018 </c:v>
                  </c:pt>
                  <c:pt idx="4">
                    <c:v>2019 </c:v>
                  </c:pt>
                  <c:pt idx="6">
                    <c:v>2020 </c:v>
                  </c:pt>
                </c:lvl>
              </c:multiLvlStrCache>
            </c:multiLvlStrRef>
          </c:cat>
          <c:val>
            <c:numRef>
              <c:f>'3.17'!$AW$44:$BD$44</c:f>
              <c:numCache>
                <c:formatCode>General_)</c:formatCode>
                <c:ptCount val="8"/>
                <c:pt idx="0">
                  <c:v>2862</c:v>
                </c:pt>
                <c:pt idx="1">
                  <c:v>1814</c:v>
                </c:pt>
                <c:pt idx="2">
                  <c:v>2841</c:v>
                </c:pt>
                <c:pt idx="3">
                  <c:v>1793</c:v>
                </c:pt>
                <c:pt idx="4">
                  <c:v>2702</c:v>
                </c:pt>
                <c:pt idx="5">
                  <c:v>1931</c:v>
                </c:pt>
                <c:pt idx="6">
                  <c:v>2766</c:v>
                </c:pt>
                <c:pt idx="7">
                  <c:v>1883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4C5-4C59-A154-E1DB424A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410464"/>
        <c:axId val="423412424"/>
      </c:barChart>
      <c:catAx>
        <c:axId val="42341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3412424"/>
        <c:crosses val="autoZero"/>
        <c:auto val="1"/>
        <c:lblAlgn val="ctr"/>
        <c:lblOffset val="100"/>
        <c:noMultiLvlLbl val="0"/>
      </c:catAx>
      <c:valAx>
        <c:axId val="423412424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6306707395364E-2"/>
              <c:y val="5.520890969709867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341046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026545316647705"/>
          <c:y val="0.20319973516823911"/>
          <c:w val="0.327658906117964"/>
          <c:h val="9.4525391533265529E-2"/>
        </c:manualLayout>
      </c:layout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/>
              <a:t>Figure 3.20: Marriages and Divorces by Atolls, 2020</a:t>
            </a:r>
          </a:p>
        </c:rich>
      </c:tx>
      <c:layout>
        <c:manualLayout>
          <c:xMode val="edge"/>
          <c:yMode val="edge"/>
          <c:x val="0.24892840351615703"/>
          <c:y val="4.80721901898892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30214770483917E-2"/>
          <c:y val="0.17163971611049528"/>
          <c:w val="0.91379665618722206"/>
          <c:h val="0.6779859960877099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'3.17'!$P$7</c:f>
              <c:strCache>
                <c:ptCount val="1"/>
                <c:pt idx="0">
                  <c:v>Marriages</c:v>
                </c:pt>
              </c:strCache>
            </c:strRef>
          </c:tx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'3.17'!$P$12:$P$31</c:f>
              <c:numCache>
                <c:formatCode>#,##0</c:formatCode>
                <c:ptCount val="20"/>
                <c:pt idx="0">
                  <c:v>134</c:v>
                </c:pt>
                <c:pt idx="1">
                  <c:v>271</c:v>
                </c:pt>
                <c:pt idx="2">
                  <c:v>158</c:v>
                </c:pt>
                <c:pt idx="3">
                  <c:v>127</c:v>
                </c:pt>
                <c:pt idx="4">
                  <c:v>198</c:v>
                </c:pt>
                <c:pt idx="5">
                  <c:v>100</c:v>
                </c:pt>
                <c:pt idx="6">
                  <c:v>106</c:v>
                </c:pt>
                <c:pt idx="7">
                  <c:v>178</c:v>
                </c:pt>
                <c:pt idx="8">
                  <c:v>94</c:v>
                </c:pt>
                <c:pt idx="9">
                  <c:v>111</c:v>
                </c:pt>
                <c:pt idx="10">
                  <c:v>13</c:v>
                </c:pt>
                <c:pt idx="11">
                  <c:v>55</c:v>
                </c:pt>
                <c:pt idx="12">
                  <c:v>52</c:v>
                </c:pt>
                <c:pt idx="13">
                  <c:v>67</c:v>
                </c:pt>
                <c:pt idx="14">
                  <c:v>137</c:v>
                </c:pt>
                <c:pt idx="15">
                  <c:v>214</c:v>
                </c:pt>
                <c:pt idx="16">
                  <c:v>135</c:v>
                </c:pt>
                <c:pt idx="17">
                  <c:v>177</c:v>
                </c:pt>
                <c:pt idx="18">
                  <c:v>138</c:v>
                </c:pt>
                <c:pt idx="19">
                  <c:v>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CE-4DC1-8E7A-D34232CDBAFB}"/>
            </c:ext>
          </c:extLst>
        </c:ser>
        <c:ser>
          <c:idx val="2"/>
          <c:order val="1"/>
          <c:tx>
            <c:strRef>
              <c:f>'3.17'!$Q$7</c:f>
              <c:strCache>
                <c:ptCount val="1"/>
                <c:pt idx="0">
                  <c:v>Divorces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'3.17'!$Q$12:$Q$31</c:f>
              <c:numCache>
                <c:formatCode>General_)</c:formatCode>
                <c:ptCount val="20"/>
                <c:pt idx="0">
                  <c:v>85</c:v>
                </c:pt>
                <c:pt idx="1">
                  <c:v>170</c:v>
                </c:pt>
                <c:pt idx="2">
                  <c:v>92</c:v>
                </c:pt>
                <c:pt idx="3">
                  <c:v>101</c:v>
                </c:pt>
                <c:pt idx="4">
                  <c:v>133</c:v>
                </c:pt>
                <c:pt idx="5">
                  <c:v>74</c:v>
                </c:pt>
                <c:pt idx="6">
                  <c:v>84</c:v>
                </c:pt>
                <c:pt idx="7">
                  <c:v>114</c:v>
                </c:pt>
                <c:pt idx="8">
                  <c:v>68</c:v>
                </c:pt>
                <c:pt idx="9">
                  <c:v>80</c:v>
                </c:pt>
                <c:pt idx="10">
                  <c:v>12</c:v>
                </c:pt>
                <c:pt idx="11">
                  <c:v>46</c:v>
                </c:pt>
                <c:pt idx="12">
                  <c:v>34</c:v>
                </c:pt>
                <c:pt idx="13">
                  <c:v>27</c:v>
                </c:pt>
                <c:pt idx="14">
                  <c:v>74</c:v>
                </c:pt>
                <c:pt idx="15">
                  <c:v>158</c:v>
                </c:pt>
                <c:pt idx="16">
                  <c:v>83</c:v>
                </c:pt>
                <c:pt idx="17">
                  <c:v>120</c:v>
                </c:pt>
                <c:pt idx="18">
                  <c:v>101</c:v>
                </c:pt>
                <c:pt idx="19">
                  <c:v>227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CE-4DC1-8E7A-D34232CD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819096"/>
        <c:axId val="421819880"/>
      </c:barChart>
      <c:catAx>
        <c:axId val="42181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1819880"/>
        <c:crosses val="autoZero"/>
        <c:auto val="1"/>
        <c:lblAlgn val="ctr"/>
        <c:lblOffset val="100"/>
        <c:noMultiLvlLbl val="0"/>
      </c:catAx>
      <c:valAx>
        <c:axId val="421819880"/>
        <c:scaling>
          <c:orientation val="minMax"/>
          <c:max val="350"/>
        </c:scaling>
        <c:delete val="0"/>
        <c:axPos val="l"/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1819096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325367379924964"/>
          <c:y val="0.24805558879608133"/>
          <c:w val="0.24075626139952849"/>
          <c:h val="7.7567112621560602E-2"/>
        </c:manualLayout>
      </c:layout>
      <c:overlay val="0"/>
      <c:txPr>
        <a:bodyPr/>
        <a:lstStyle/>
        <a:p>
          <a:pPr>
            <a:defRPr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165651</xdr:rowOff>
    </xdr:from>
    <xdr:to>
      <xdr:col>20</xdr:col>
      <xdr:colOff>247650</xdr:colOff>
      <xdr:row>54</xdr:row>
      <xdr:rowOff>13803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54</xdr:row>
      <xdr:rowOff>145221</xdr:rowOff>
    </xdr:from>
    <xdr:to>
      <xdr:col>20</xdr:col>
      <xdr:colOff>285750</xdr:colOff>
      <xdr:row>77</xdr:row>
      <xdr:rowOff>69020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A173"/>
  <sheetViews>
    <sheetView tabSelected="1" zoomScale="91" zoomScaleNormal="91" zoomScaleSheetLayoutView="100" workbookViewId="0">
      <selection activeCell="Y6" sqref="Y6"/>
    </sheetView>
  </sheetViews>
  <sheetFormatPr defaultRowHeight="12.75" x14ac:dyDescent="0.2"/>
  <cols>
    <col min="1" max="1" width="11.7109375" style="56" customWidth="1"/>
    <col min="2" max="2" width="1.7109375" style="57" customWidth="1"/>
    <col min="3" max="6" width="8.85546875" style="57" customWidth="1"/>
    <col min="7" max="7" width="1.85546875" style="57" customWidth="1"/>
    <col min="8" max="19" width="8.85546875" style="57" customWidth="1"/>
    <col min="20" max="20" width="11.140625" style="57" customWidth="1"/>
    <col min="21" max="22" width="11.85546875" style="56" customWidth="1"/>
    <col min="23" max="32" width="18" style="47" customWidth="1"/>
    <col min="33" max="33" width="6.28515625" style="47" customWidth="1"/>
    <col min="34" max="34" width="7" style="47" customWidth="1"/>
    <col min="35" max="40" width="6.28515625" style="47" hidden="1" customWidth="1"/>
    <col min="41" max="44" width="0" style="47" hidden="1" customWidth="1"/>
    <col min="45" max="157" width="9.140625" style="47"/>
    <col min="158" max="245" width="9.140625" style="56"/>
    <col min="246" max="246" width="11.7109375" style="56" customWidth="1"/>
    <col min="247" max="261" width="0" style="56" hidden="1" customWidth="1"/>
    <col min="262" max="265" width="8.85546875" style="56" customWidth="1"/>
    <col min="266" max="266" width="1.85546875" style="56" customWidth="1"/>
    <col min="267" max="270" width="8.85546875" style="56" customWidth="1"/>
    <col min="271" max="271" width="1.85546875" style="56" customWidth="1"/>
    <col min="272" max="275" width="8.85546875" style="56" customWidth="1"/>
    <col min="276" max="276" width="11.140625" style="56" customWidth="1"/>
    <col min="277" max="278" width="11.85546875" style="56" customWidth="1"/>
    <col min="279" max="288" width="18" style="56" customWidth="1"/>
    <col min="289" max="289" width="6.28515625" style="56" customWidth="1"/>
    <col min="290" max="290" width="7" style="56" customWidth="1"/>
    <col min="291" max="296" width="6.28515625" style="56" customWidth="1"/>
    <col min="297" max="501" width="9.140625" style="56"/>
    <col min="502" max="502" width="11.7109375" style="56" customWidth="1"/>
    <col min="503" max="517" width="0" style="56" hidden="1" customWidth="1"/>
    <col min="518" max="521" width="8.85546875" style="56" customWidth="1"/>
    <col min="522" max="522" width="1.85546875" style="56" customWidth="1"/>
    <col min="523" max="526" width="8.85546875" style="56" customWidth="1"/>
    <col min="527" max="527" width="1.85546875" style="56" customWidth="1"/>
    <col min="528" max="531" width="8.85546875" style="56" customWidth="1"/>
    <col min="532" max="532" width="11.140625" style="56" customWidth="1"/>
    <col min="533" max="534" width="11.85546875" style="56" customWidth="1"/>
    <col min="535" max="544" width="18" style="56" customWidth="1"/>
    <col min="545" max="545" width="6.28515625" style="56" customWidth="1"/>
    <col min="546" max="546" width="7" style="56" customWidth="1"/>
    <col min="547" max="552" width="6.28515625" style="56" customWidth="1"/>
    <col min="553" max="757" width="9.140625" style="56"/>
    <col min="758" max="758" width="11.7109375" style="56" customWidth="1"/>
    <col min="759" max="773" width="0" style="56" hidden="1" customWidth="1"/>
    <col min="774" max="777" width="8.85546875" style="56" customWidth="1"/>
    <col min="778" max="778" width="1.85546875" style="56" customWidth="1"/>
    <col min="779" max="782" width="8.85546875" style="56" customWidth="1"/>
    <col min="783" max="783" width="1.85546875" style="56" customWidth="1"/>
    <col min="784" max="787" width="8.85546875" style="56" customWidth="1"/>
    <col min="788" max="788" width="11.140625" style="56" customWidth="1"/>
    <col min="789" max="790" width="11.85546875" style="56" customWidth="1"/>
    <col min="791" max="800" width="18" style="56" customWidth="1"/>
    <col min="801" max="801" width="6.28515625" style="56" customWidth="1"/>
    <col min="802" max="802" width="7" style="56" customWidth="1"/>
    <col min="803" max="808" width="6.28515625" style="56" customWidth="1"/>
    <col min="809" max="1013" width="9.140625" style="56"/>
    <col min="1014" max="1014" width="11.7109375" style="56" customWidth="1"/>
    <col min="1015" max="1029" width="0" style="56" hidden="1" customWidth="1"/>
    <col min="1030" max="1033" width="8.85546875" style="56" customWidth="1"/>
    <col min="1034" max="1034" width="1.85546875" style="56" customWidth="1"/>
    <col min="1035" max="1038" width="8.85546875" style="56" customWidth="1"/>
    <col min="1039" max="1039" width="1.85546875" style="56" customWidth="1"/>
    <col min="1040" max="1043" width="8.85546875" style="56" customWidth="1"/>
    <col min="1044" max="1044" width="11.140625" style="56" customWidth="1"/>
    <col min="1045" max="1046" width="11.85546875" style="56" customWidth="1"/>
    <col min="1047" max="1056" width="18" style="56" customWidth="1"/>
    <col min="1057" max="1057" width="6.28515625" style="56" customWidth="1"/>
    <col min="1058" max="1058" width="7" style="56" customWidth="1"/>
    <col min="1059" max="1064" width="6.28515625" style="56" customWidth="1"/>
    <col min="1065" max="1269" width="9.140625" style="56"/>
    <col min="1270" max="1270" width="11.7109375" style="56" customWidth="1"/>
    <col min="1271" max="1285" width="0" style="56" hidden="1" customWidth="1"/>
    <col min="1286" max="1289" width="8.85546875" style="56" customWidth="1"/>
    <col min="1290" max="1290" width="1.85546875" style="56" customWidth="1"/>
    <col min="1291" max="1294" width="8.85546875" style="56" customWidth="1"/>
    <col min="1295" max="1295" width="1.85546875" style="56" customWidth="1"/>
    <col min="1296" max="1299" width="8.85546875" style="56" customWidth="1"/>
    <col min="1300" max="1300" width="11.140625" style="56" customWidth="1"/>
    <col min="1301" max="1302" width="11.85546875" style="56" customWidth="1"/>
    <col min="1303" max="1312" width="18" style="56" customWidth="1"/>
    <col min="1313" max="1313" width="6.28515625" style="56" customWidth="1"/>
    <col min="1314" max="1314" width="7" style="56" customWidth="1"/>
    <col min="1315" max="1320" width="6.28515625" style="56" customWidth="1"/>
    <col min="1321" max="1525" width="9.140625" style="56"/>
    <col min="1526" max="1526" width="11.7109375" style="56" customWidth="1"/>
    <col min="1527" max="1541" width="0" style="56" hidden="1" customWidth="1"/>
    <col min="1542" max="1545" width="8.85546875" style="56" customWidth="1"/>
    <col min="1546" max="1546" width="1.85546875" style="56" customWidth="1"/>
    <col min="1547" max="1550" width="8.85546875" style="56" customWidth="1"/>
    <col min="1551" max="1551" width="1.85546875" style="56" customWidth="1"/>
    <col min="1552" max="1555" width="8.85546875" style="56" customWidth="1"/>
    <col min="1556" max="1556" width="11.140625" style="56" customWidth="1"/>
    <col min="1557" max="1558" width="11.85546875" style="56" customWidth="1"/>
    <col min="1559" max="1568" width="18" style="56" customWidth="1"/>
    <col min="1569" max="1569" width="6.28515625" style="56" customWidth="1"/>
    <col min="1570" max="1570" width="7" style="56" customWidth="1"/>
    <col min="1571" max="1576" width="6.28515625" style="56" customWidth="1"/>
    <col min="1577" max="1781" width="9.140625" style="56"/>
    <col min="1782" max="1782" width="11.7109375" style="56" customWidth="1"/>
    <col min="1783" max="1797" width="0" style="56" hidden="1" customWidth="1"/>
    <col min="1798" max="1801" width="8.85546875" style="56" customWidth="1"/>
    <col min="1802" max="1802" width="1.85546875" style="56" customWidth="1"/>
    <col min="1803" max="1806" width="8.85546875" style="56" customWidth="1"/>
    <col min="1807" max="1807" width="1.85546875" style="56" customWidth="1"/>
    <col min="1808" max="1811" width="8.85546875" style="56" customWidth="1"/>
    <col min="1812" max="1812" width="11.140625" style="56" customWidth="1"/>
    <col min="1813" max="1814" width="11.85546875" style="56" customWidth="1"/>
    <col min="1815" max="1824" width="18" style="56" customWidth="1"/>
    <col min="1825" max="1825" width="6.28515625" style="56" customWidth="1"/>
    <col min="1826" max="1826" width="7" style="56" customWidth="1"/>
    <col min="1827" max="1832" width="6.28515625" style="56" customWidth="1"/>
    <col min="1833" max="2037" width="9.140625" style="56"/>
    <col min="2038" max="2038" width="11.7109375" style="56" customWidth="1"/>
    <col min="2039" max="2053" width="0" style="56" hidden="1" customWidth="1"/>
    <col min="2054" max="2057" width="8.85546875" style="56" customWidth="1"/>
    <col min="2058" max="2058" width="1.85546875" style="56" customWidth="1"/>
    <col min="2059" max="2062" width="8.85546875" style="56" customWidth="1"/>
    <col min="2063" max="2063" width="1.85546875" style="56" customWidth="1"/>
    <col min="2064" max="2067" width="8.85546875" style="56" customWidth="1"/>
    <col min="2068" max="2068" width="11.140625" style="56" customWidth="1"/>
    <col min="2069" max="2070" width="11.85546875" style="56" customWidth="1"/>
    <col min="2071" max="2080" width="18" style="56" customWidth="1"/>
    <col min="2081" max="2081" width="6.28515625" style="56" customWidth="1"/>
    <col min="2082" max="2082" width="7" style="56" customWidth="1"/>
    <col min="2083" max="2088" width="6.28515625" style="56" customWidth="1"/>
    <col min="2089" max="2293" width="9.140625" style="56"/>
    <col min="2294" max="2294" width="11.7109375" style="56" customWidth="1"/>
    <col min="2295" max="2309" width="0" style="56" hidden="1" customWidth="1"/>
    <col min="2310" max="2313" width="8.85546875" style="56" customWidth="1"/>
    <col min="2314" max="2314" width="1.85546875" style="56" customWidth="1"/>
    <col min="2315" max="2318" width="8.85546875" style="56" customWidth="1"/>
    <col min="2319" max="2319" width="1.85546875" style="56" customWidth="1"/>
    <col min="2320" max="2323" width="8.85546875" style="56" customWidth="1"/>
    <col min="2324" max="2324" width="11.140625" style="56" customWidth="1"/>
    <col min="2325" max="2326" width="11.85546875" style="56" customWidth="1"/>
    <col min="2327" max="2336" width="18" style="56" customWidth="1"/>
    <col min="2337" max="2337" width="6.28515625" style="56" customWidth="1"/>
    <col min="2338" max="2338" width="7" style="56" customWidth="1"/>
    <col min="2339" max="2344" width="6.28515625" style="56" customWidth="1"/>
    <col min="2345" max="2549" width="9.140625" style="56"/>
    <col min="2550" max="2550" width="11.7109375" style="56" customWidth="1"/>
    <col min="2551" max="2565" width="0" style="56" hidden="1" customWidth="1"/>
    <col min="2566" max="2569" width="8.85546875" style="56" customWidth="1"/>
    <col min="2570" max="2570" width="1.85546875" style="56" customWidth="1"/>
    <col min="2571" max="2574" width="8.85546875" style="56" customWidth="1"/>
    <col min="2575" max="2575" width="1.85546875" style="56" customWidth="1"/>
    <col min="2576" max="2579" width="8.85546875" style="56" customWidth="1"/>
    <col min="2580" max="2580" width="11.140625" style="56" customWidth="1"/>
    <col min="2581" max="2582" width="11.85546875" style="56" customWidth="1"/>
    <col min="2583" max="2592" width="18" style="56" customWidth="1"/>
    <col min="2593" max="2593" width="6.28515625" style="56" customWidth="1"/>
    <col min="2594" max="2594" width="7" style="56" customWidth="1"/>
    <col min="2595" max="2600" width="6.28515625" style="56" customWidth="1"/>
    <col min="2601" max="2805" width="9.140625" style="56"/>
    <col min="2806" max="2806" width="11.7109375" style="56" customWidth="1"/>
    <col min="2807" max="2821" width="0" style="56" hidden="1" customWidth="1"/>
    <col min="2822" max="2825" width="8.85546875" style="56" customWidth="1"/>
    <col min="2826" max="2826" width="1.85546875" style="56" customWidth="1"/>
    <col min="2827" max="2830" width="8.85546875" style="56" customWidth="1"/>
    <col min="2831" max="2831" width="1.85546875" style="56" customWidth="1"/>
    <col min="2832" max="2835" width="8.85546875" style="56" customWidth="1"/>
    <col min="2836" max="2836" width="11.140625" style="56" customWidth="1"/>
    <col min="2837" max="2838" width="11.85546875" style="56" customWidth="1"/>
    <col min="2839" max="2848" width="18" style="56" customWidth="1"/>
    <col min="2849" max="2849" width="6.28515625" style="56" customWidth="1"/>
    <col min="2850" max="2850" width="7" style="56" customWidth="1"/>
    <col min="2851" max="2856" width="6.28515625" style="56" customWidth="1"/>
    <col min="2857" max="3061" width="9.140625" style="56"/>
    <col min="3062" max="3062" width="11.7109375" style="56" customWidth="1"/>
    <col min="3063" max="3077" width="0" style="56" hidden="1" customWidth="1"/>
    <col min="3078" max="3081" width="8.85546875" style="56" customWidth="1"/>
    <col min="3082" max="3082" width="1.85546875" style="56" customWidth="1"/>
    <col min="3083" max="3086" width="8.85546875" style="56" customWidth="1"/>
    <col min="3087" max="3087" width="1.85546875" style="56" customWidth="1"/>
    <col min="3088" max="3091" width="8.85546875" style="56" customWidth="1"/>
    <col min="3092" max="3092" width="11.140625" style="56" customWidth="1"/>
    <col min="3093" max="3094" width="11.85546875" style="56" customWidth="1"/>
    <col min="3095" max="3104" width="18" style="56" customWidth="1"/>
    <col min="3105" max="3105" width="6.28515625" style="56" customWidth="1"/>
    <col min="3106" max="3106" width="7" style="56" customWidth="1"/>
    <col min="3107" max="3112" width="6.28515625" style="56" customWidth="1"/>
    <col min="3113" max="3317" width="9.140625" style="56"/>
    <col min="3318" max="3318" width="11.7109375" style="56" customWidth="1"/>
    <col min="3319" max="3333" width="0" style="56" hidden="1" customWidth="1"/>
    <col min="3334" max="3337" width="8.85546875" style="56" customWidth="1"/>
    <col min="3338" max="3338" width="1.85546875" style="56" customWidth="1"/>
    <col min="3339" max="3342" width="8.85546875" style="56" customWidth="1"/>
    <col min="3343" max="3343" width="1.85546875" style="56" customWidth="1"/>
    <col min="3344" max="3347" width="8.85546875" style="56" customWidth="1"/>
    <col min="3348" max="3348" width="11.140625" style="56" customWidth="1"/>
    <col min="3349" max="3350" width="11.85546875" style="56" customWidth="1"/>
    <col min="3351" max="3360" width="18" style="56" customWidth="1"/>
    <col min="3361" max="3361" width="6.28515625" style="56" customWidth="1"/>
    <col min="3362" max="3362" width="7" style="56" customWidth="1"/>
    <col min="3363" max="3368" width="6.28515625" style="56" customWidth="1"/>
    <col min="3369" max="3573" width="9.140625" style="56"/>
    <col min="3574" max="3574" width="11.7109375" style="56" customWidth="1"/>
    <col min="3575" max="3589" width="0" style="56" hidden="1" customWidth="1"/>
    <col min="3590" max="3593" width="8.85546875" style="56" customWidth="1"/>
    <col min="3594" max="3594" width="1.85546875" style="56" customWidth="1"/>
    <col min="3595" max="3598" width="8.85546875" style="56" customWidth="1"/>
    <col min="3599" max="3599" width="1.85546875" style="56" customWidth="1"/>
    <col min="3600" max="3603" width="8.85546875" style="56" customWidth="1"/>
    <col min="3604" max="3604" width="11.140625" style="56" customWidth="1"/>
    <col min="3605" max="3606" width="11.85546875" style="56" customWidth="1"/>
    <col min="3607" max="3616" width="18" style="56" customWidth="1"/>
    <col min="3617" max="3617" width="6.28515625" style="56" customWidth="1"/>
    <col min="3618" max="3618" width="7" style="56" customWidth="1"/>
    <col min="3619" max="3624" width="6.28515625" style="56" customWidth="1"/>
    <col min="3625" max="3829" width="9.140625" style="56"/>
    <col min="3830" max="3830" width="11.7109375" style="56" customWidth="1"/>
    <col min="3831" max="3845" width="0" style="56" hidden="1" customWidth="1"/>
    <col min="3846" max="3849" width="8.85546875" style="56" customWidth="1"/>
    <col min="3850" max="3850" width="1.85546875" style="56" customWidth="1"/>
    <col min="3851" max="3854" width="8.85546875" style="56" customWidth="1"/>
    <col min="3855" max="3855" width="1.85546875" style="56" customWidth="1"/>
    <col min="3856" max="3859" width="8.85546875" style="56" customWidth="1"/>
    <col min="3860" max="3860" width="11.140625" style="56" customWidth="1"/>
    <col min="3861" max="3862" width="11.85546875" style="56" customWidth="1"/>
    <col min="3863" max="3872" width="18" style="56" customWidth="1"/>
    <col min="3873" max="3873" width="6.28515625" style="56" customWidth="1"/>
    <col min="3874" max="3874" width="7" style="56" customWidth="1"/>
    <col min="3875" max="3880" width="6.28515625" style="56" customWidth="1"/>
    <col min="3881" max="4085" width="9.140625" style="56"/>
    <col min="4086" max="4086" width="11.7109375" style="56" customWidth="1"/>
    <col min="4087" max="4101" width="0" style="56" hidden="1" customWidth="1"/>
    <col min="4102" max="4105" width="8.85546875" style="56" customWidth="1"/>
    <col min="4106" max="4106" width="1.85546875" style="56" customWidth="1"/>
    <col min="4107" max="4110" width="8.85546875" style="56" customWidth="1"/>
    <col min="4111" max="4111" width="1.85546875" style="56" customWidth="1"/>
    <col min="4112" max="4115" width="8.85546875" style="56" customWidth="1"/>
    <col min="4116" max="4116" width="11.140625" style="56" customWidth="1"/>
    <col min="4117" max="4118" width="11.85546875" style="56" customWidth="1"/>
    <col min="4119" max="4128" width="18" style="56" customWidth="1"/>
    <col min="4129" max="4129" width="6.28515625" style="56" customWidth="1"/>
    <col min="4130" max="4130" width="7" style="56" customWidth="1"/>
    <col min="4131" max="4136" width="6.28515625" style="56" customWidth="1"/>
    <col min="4137" max="4341" width="9.140625" style="56"/>
    <col min="4342" max="4342" width="11.7109375" style="56" customWidth="1"/>
    <col min="4343" max="4357" width="0" style="56" hidden="1" customWidth="1"/>
    <col min="4358" max="4361" width="8.85546875" style="56" customWidth="1"/>
    <col min="4362" max="4362" width="1.85546875" style="56" customWidth="1"/>
    <col min="4363" max="4366" width="8.85546875" style="56" customWidth="1"/>
    <col min="4367" max="4367" width="1.85546875" style="56" customWidth="1"/>
    <col min="4368" max="4371" width="8.85546875" style="56" customWidth="1"/>
    <col min="4372" max="4372" width="11.140625" style="56" customWidth="1"/>
    <col min="4373" max="4374" width="11.85546875" style="56" customWidth="1"/>
    <col min="4375" max="4384" width="18" style="56" customWidth="1"/>
    <col min="4385" max="4385" width="6.28515625" style="56" customWidth="1"/>
    <col min="4386" max="4386" width="7" style="56" customWidth="1"/>
    <col min="4387" max="4392" width="6.28515625" style="56" customWidth="1"/>
    <col min="4393" max="4597" width="9.140625" style="56"/>
    <col min="4598" max="4598" width="11.7109375" style="56" customWidth="1"/>
    <col min="4599" max="4613" width="0" style="56" hidden="1" customWidth="1"/>
    <col min="4614" max="4617" width="8.85546875" style="56" customWidth="1"/>
    <col min="4618" max="4618" width="1.85546875" style="56" customWidth="1"/>
    <col min="4619" max="4622" width="8.85546875" style="56" customWidth="1"/>
    <col min="4623" max="4623" width="1.85546875" style="56" customWidth="1"/>
    <col min="4624" max="4627" width="8.85546875" style="56" customWidth="1"/>
    <col min="4628" max="4628" width="11.140625" style="56" customWidth="1"/>
    <col min="4629" max="4630" width="11.85546875" style="56" customWidth="1"/>
    <col min="4631" max="4640" width="18" style="56" customWidth="1"/>
    <col min="4641" max="4641" width="6.28515625" style="56" customWidth="1"/>
    <col min="4642" max="4642" width="7" style="56" customWidth="1"/>
    <col min="4643" max="4648" width="6.28515625" style="56" customWidth="1"/>
    <col min="4649" max="4853" width="9.140625" style="56"/>
    <col min="4854" max="4854" width="11.7109375" style="56" customWidth="1"/>
    <col min="4855" max="4869" width="0" style="56" hidden="1" customWidth="1"/>
    <col min="4870" max="4873" width="8.85546875" style="56" customWidth="1"/>
    <col min="4874" max="4874" width="1.85546875" style="56" customWidth="1"/>
    <col min="4875" max="4878" width="8.85546875" style="56" customWidth="1"/>
    <col min="4879" max="4879" width="1.85546875" style="56" customWidth="1"/>
    <col min="4880" max="4883" width="8.85546875" style="56" customWidth="1"/>
    <col min="4884" max="4884" width="11.140625" style="56" customWidth="1"/>
    <col min="4885" max="4886" width="11.85546875" style="56" customWidth="1"/>
    <col min="4887" max="4896" width="18" style="56" customWidth="1"/>
    <col min="4897" max="4897" width="6.28515625" style="56" customWidth="1"/>
    <col min="4898" max="4898" width="7" style="56" customWidth="1"/>
    <col min="4899" max="4904" width="6.28515625" style="56" customWidth="1"/>
    <col min="4905" max="5109" width="9.140625" style="56"/>
    <col min="5110" max="5110" width="11.7109375" style="56" customWidth="1"/>
    <col min="5111" max="5125" width="0" style="56" hidden="1" customWidth="1"/>
    <col min="5126" max="5129" width="8.85546875" style="56" customWidth="1"/>
    <col min="5130" max="5130" width="1.85546875" style="56" customWidth="1"/>
    <col min="5131" max="5134" width="8.85546875" style="56" customWidth="1"/>
    <col min="5135" max="5135" width="1.85546875" style="56" customWidth="1"/>
    <col min="5136" max="5139" width="8.85546875" style="56" customWidth="1"/>
    <col min="5140" max="5140" width="11.140625" style="56" customWidth="1"/>
    <col min="5141" max="5142" width="11.85546875" style="56" customWidth="1"/>
    <col min="5143" max="5152" width="18" style="56" customWidth="1"/>
    <col min="5153" max="5153" width="6.28515625" style="56" customWidth="1"/>
    <col min="5154" max="5154" width="7" style="56" customWidth="1"/>
    <col min="5155" max="5160" width="6.28515625" style="56" customWidth="1"/>
    <col min="5161" max="5365" width="9.140625" style="56"/>
    <col min="5366" max="5366" width="11.7109375" style="56" customWidth="1"/>
    <col min="5367" max="5381" width="0" style="56" hidden="1" customWidth="1"/>
    <col min="5382" max="5385" width="8.85546875" style="56" customWidth="1"/>
    <col min="5386" max="5386" width="1.85546875" style="56" customWidth="1"/>
    <col min="5387" max="5390" width="8.85546875" style="56" customWidth="1"/>
    <col min="5391" max="5391" width="1.85546875" style="56" customWidth="1"/>
    <col min="5392" max="5395" width="8.85546875" style="56" customWidth="1"/>
    <col min="5396" max="5396" width="11.140625" style="56" customWidth="1"/>
    <col min="5397" max="5398" width="11.85546875" style="56" customWidth="1"/>
    <col min="5399" max="5408" width="18" style="56" customWidth="1"/>
    <col min="5409" max="5409" width="6.28515625" style="56" customWidth="1"/>
    <col min="5410" max="5410" width="7" style="56" customWidth="1"/>
    <col min="5411" max="5416" width="6.28515625" style="56" customWidth="1"/>
    <col min="5417" max="5621" width="9.140625" style="56"/>
    <col min="5622" max="5622" width="11.7109375" style="56" customWidth="1"/>
    <col min="5623" max="5637" width="0" style="56" hidden="1" customWidth="1"/>
    <col min="5638" max="5641" width="8.85546875" style="56" customWidth="1"/>
    <col min="5642" max="5642" width="1.85546875" style="56" customWidth="1"/>
    <col min="5643" max="5646" width="8.85546875" style="56" customWidth="1"/>
    <col min="5647" max="5647" width="1.85546875" style="56" customWidth="1"/>
    <col min="5648" max="5651" width="8.85546875" style="56" customWidth="1"/>
    <col min="5652" max="5652" width="11.140625" style="56" customWidth="1"/>
    <col min="5653" max="5654" width="11.85546875" style="56" customWidth="1"/>
    <col min="5655" max="5664" width="18" style="56" customWidth="1"/>
    <col min="5665" max="5665" width="6.28515625" style="56" customWidth="1"/>
    <col min="5666" max="5666" width="7" style="56" customWidth="1"/>
    <col min="5667" max="5672" width="6.28515625" style="56" customWidth="1"/>
    <col min="5673" max="5877" width="9.140625" style="56"/>
    <col min="5878" max="5878" width="11.7109375" style="56" customWidth="1"/>
    <col min="5879" max="5893" width="0" style="56" hidden="1" customWidth="1"/>
    <col min="5894" max="5897" width="8.85546875" style="56" customWidth="1"/>
    <col min="5898" max="5898" width="1.85546875" style="56" customWidth="1"/>
    <col min="5899" max="5902" width="8.85546875" style="56" customWidth="1"/>
    <col min="5903" max="5903" width="1.85546875" style="56" customWidth="1"/>
    <col min="5904" max="5907" width="8.85546875" style="56" customWidth="1"/>
    <col min="5908" max="5908" width="11.140625" style="56" customWidth="1"/>
    <col min="5909" max="5910" width="11.85546875" style="56" customWidth="1"/>
    <col min="5911" max="5920" width="18" style="56" customWidth="1"/>
    <col min="5921" max="5921" width="6.28515625" style="56" customWidth="1"/>
    <col min="5922" max="5922" width="7" style="56" customWidth="1"/>
    <col min="5923" max="5928" width="6.28515625" style="56" customWidth="1"/>
    <col min="5929" max="6133" width="9.140625" style="56"/>
    <col min="6134" max="6134" width="11.7109375" style="56" customWidth="1"/>
    <col min="6135" max="6149" width="0" style="56" hidden="1" customWidth="1"/>
    <col min="6150" max="6153" width="8.85546875" style="56" customWidth="1"/>
    <col min="6154" max="6154" width="1.85546875" style="56" customWidth="1"/>
    <col min="6155" max="6158" width="8.85546875" style="56" customWidth="1"/>
    <col min="6159" max="6159" width="1.85546875" style="56" customWidth="1"/>
    <col min="6160" max="6163" width="8.85546875" style="56" customWidth="1"/>
    <col min="6164" max="6164" width="11.140625" style="56" customWidth="1"/>
    <col min="6165" max="6166" width="11.85546875" style="56" customWidth="1"/>
    <col min="6167" max="6176" width="18" style="56" customWidth="1"/>
    <col min="6177" max="6177" width="6.28515625" style="56" customWidth="1"/>
    <col min="6178" max="6178" width="7" style="56" customWidth="1"/>
    <col min="6179" max="6184" width="6.28515625" style="56" customWidth="1"/>
    <col min="6185" max="6389" width="9.140625" style="56"/>
    <col min="6390" max="6390" width="11.7109375" style="56" customWidth="1"/>
    <col min="6391" max="6405" width="0" style="56" hidden="1" customWidth="1"/>
    <col min="6406" max="6409" width="8.85546875" style="56" customWidth="1"/>
    <col min="6410" max="6410" width="1.85546875" style="56" customWidth="1"/>
    <col min="6411" max="6414" width="8.85546875" style="56" customWidth="1"/>
    <col min="6415" max="6415" width="1.85546875" style="56" customWidth="1"/>
    <col min="6416" max="6419" width="8.85546875" style="56" customWidth="1"/>
    <col min="6420" max="6420" width="11.140625" style="56" customWidth="1"/>
    <col min="6421" max="6422" width="11.85546875" style="56" customWidth="1"/>
    <col min="6423" max="6432" width="18" style="56" customWidth="1"/>
    <col min="6433" max="6433" width="6.28515625" style="56" customWidth="1"/>
    <col min="6434" max="6434" width="7" style="56" customWidth="1"/>
    <col min="6435" max="6440" width="6.28515625" style="56" customWidth="1"/>
    <col min="6441" max="6645" width="9.140625" style="56"/>
    <col min="6646" max="6646" width="11.7109375" style="56" customWidth="1"/>
    <col min="6647" max="6661" width="0" style="56" hidden="1" customWidth="1"/>
    <col min="6662" max="6665" width="8.85546875" style="56" customWidth="1"/>
    <col min="6666" max="6666" width="1.85546875" style="56" customWidth="1"/>
    <col min="6667" max="6670" width="8.85546875" style="56" customWidth="1"/>
    <col min="6671" max="6671" width="1.85546875" style="56" customWidth="1"/>
    <col min="6672" max="6675" width="8.85546875" style="56" customWidth="1"/>
    <col min="6676" max="6676" width="11.140625" style="56" customWidth="1"/>
    <col min="6677" max="6678" width="11.85546875" style="56" customWidth="1"/>
    <col min="6679" max="6688" width="18" style="56" customWidth="1"/>
    <col min="6689" max="6689" width="6.28515625" style="56" customWidth="1"/>
    <col min="6690" max="6690" width="7" style="56" customWidth="1"/>
    <col min="6691" max="6696" width="6.28515625" style="56" customWidth="1"/>
    <col min="6697" max="6901" width="9.140625" style="56"/>
    <col min="6902" max="6902" width="11.7109375" style="56" customWidth="1"/>
    <col min="6903" max="6917" width="0" style="56" hidden="1" customWidth="1"/>
    <col min="6918" max="6921" width="8.85546875" style="56" customWidth="1"/>
    <col min="6922" max="6922" width="1.85546875" style="56" customWidth="1"/>
    <col min="6923" max="6926" width="8.85546875" style="56" customWidth="1"/>
    <col min="6927" max="6927" width="1.85546875" style="56" customWidth="1"/>
    <col min="6928" max="6931" width="8.85546875" style="56" customWidth="1"/>
    <col min="6932" max="6932" width="11.140625" style="56" customWidth="1"/>
    <col min="6933" max="6934" width="11.85546875" style="56" customWidth="1"/>
    <col min="6935" max="6944" width="18" style="56" customWidth="1"/>
    <col min="6945" max="6945" width="6.28515625" style="56" customWidth="1"/>
    <col min="6946" max="6946" width="7" style="56" customWidth="1"/>
    <col min="6947" max="6952" width="6.28515625" style="56" customWidth="1"/>
    <col min="6953" max="7157" width="9.140625" style="56"/>
    <col min="7158" max="7158" width="11.7109375" style="56" customWidth="1"/>
    <col min="7159" max="7173" width="0" style="56" hidden="1" customWidth="1"/>
    <col min="7174" max="7177" width="8.85546875" style="56" customWidth="1"/>
    <col min="7178" max="7178" width="1.85546875" style="56" customWidth="1"/>
    <col min="7179" max="7182" width="8.85546875" style="56" customWidth="1"/>
    <col min="7183" max="7183" width="1.85546875" style="56" customWidth="1"/>
    <col min="7184" max="7187" width="8.85546875" style="56" customWidth="1"/>
    <col min="7188" max="7188" width="11.140625" style="56" customWidth="1"/>
    <col min="7189" max="7190" width="11.85546875" style="56" customWidth="1"/>
    <col min="7191" max="7200" width="18" style="56" customWidth="1"/>
    <col min="7201" max="7201" width="6.28515625" style="56" customWidth="1"/>
    <col min="7202" max="7202" width="7" style="56" customWidth="1"/>
    <col min="7203" max="7208" width="6.28515625" style="56" customWidth="1"/>
    <col min="7209" max="7413" width="9.140625" style="56"/>
    <col min="7414" max="7414" width="11.7109375" style="56" customWidth="1"/>
    <col min="7415" max="7429" width="0" style="56" hidden="1" customWidth="1"/>
    <col min="7430" max="7433" width="8.85546875" style="56" customWidth="1"/>
    <col min="7434" max="7434" width="1.85546875" style="56" customWidth="1"/>
    <col min="7435" max="7438" width="8.85546875" style="56" customWidth="1"/>
    <col min="7439" max="7439" width="1.85546875" style="56" customWidth="1"/>
    <col min="7440" max="7443" width="8.85546875" style="56" customWidth="1"/>
    <col min="7444" max="7444" width="11.140625" style="56" customWidth="1"/>
    <col min="7445" max="7446" width="11.85546875" style="56" customWidth="1"/>
    <col min="7447" max="7456" width="18" style="56" customWidth="1"/>
    <col min="7457" max="7457" width="6.28515625" style="56" customWidth="1"/>
    <col min="7458" max="7458" width="7" style="56" customWidth="1"/>
    <col min="7459" max="7464" width="6.28515625" style="56" customWidth="1"/>
    <col min="7465" max="7669" width="9.140625" style="56"/>
    <col min="7670" max="7670" width="11.7109375" style="56" customWidth="1"/>
    <col min="7671" max="7685" width="0" style="56" hidden="1" customWidth="1"/>
    <col min="7686" max="7689" width="8.85546875" style="56" customWidth="1"/>
    <col min="7690" max="7690" width="1.85546875" style="56" customWidth="1"/>
    <col min="7691" max="7694" width="8.85546875" style="56" customWidth="1"/>
    <col min="7695" max="7695" width="1.85546875" style="56" customWidth="1"/>
    <col min="7696" max="7699" width="8.85546875" style="56" customWidth="1"/>
    <col min="7700" max="7700" width="11.140625" style="56" customWidth="1"/>
    <col min="7701" max="7702" width="11.85546875" style="56" customWidth="1"/>
    <col min="7703" max="7712" width="18" style="56" customWidth="1"/>
    <col min="7713" max="7713" width="6.28515625" style="56" customWidth="1"/>
    <col min="7714" max="7714" width="7" style="56" customWidth="1"/>
    <col min="7715" max="7720" width="6.28515625" style="56" customWidth="1"/>
    <col min="7721" max="7925" width="9.140625" style="56"/>
    <col min="7926" max="7926" width="11.7109375" style="56" customWidth="1"/>
    <col min="7927" max="7941" width="0" style="56" hidden="1" customWidth="1"/>
    <col min="7942" max="7945" width="8.85546875" style="56" customWidth="1"/>
    <col min="7946" max="7946" width="1.85546875" style="56" customWidth="1"/>
    <col min="7947" max="7950" width="8.85546875" style="56" customWidth="1"/>
    <col min="7951" max="7951" width="1.85546875" style="56" customWidth="1"/>
    <col min="7952" max="7955" width="8.85546875" style="56" customWidth="1"/>
    <col min="7956" max="7956" width="11.140625" style="56" customWidth="1"/>
    <col min="7957" max="7958" width="11.85546875" style="56" customWidth="1"/>
    <col min="7959" max="7968" width="18" style="56" customWidth="1"/>
    <col min="7969" max="7969" width="6.28515625" style="56" customWidth="1"/>
    <col min="7970" max="7970" width="7" style="56" customWidth="1"/>
    <col min="7971" max="7976" width="6.28515625" style="56" customWidth="1"/>
    <col min="7977" max="8181" width="9.140625" style="56"/>
    <col min="8182" max="8182" width="11.7109375" style="56" customWidth="1"/>
    <col min="8183" max="8197" width="0" style="56" hidden="1" customWidth="1"/>
    <col min="8198" max="8201" width="8.85546875" style="56" customWidth="1"/>
    <col min="8202" max="8202" width="1.85546875" style="56" customWidth="1"/>
    <col min="8203" max="8206" width="8.85546875" style="56" customWidth="1"/>
    <col min="8207" max="8207" width="1.85546875" style="56" customWidth="1"/>
    <col min="8208" max="8211" width="8.85546875" style="56" customWidth="1"/>
    <col min="8212" max="8212" width="11.140625" style="56" customWidth="1"/>
    <col min="8213" max="8214" width="11.85546875" style="56" customWidth="1"/>
    <col min="8215" max="8224" width="18" style="56" customWidth="1"/>
    <col min="8225" max="8225" width="6.28515625" style="56" customWidth="1"/>
    <col min="8226" max="8226" width="7" style="56" customWidth="1"/>
    <col min="8227" max="8232" width="6.28515625" style="56" customWidth="1"/>
    <col min="8233" max="8437" width="9.140625" style="56"/>
    <col min="8438" max="8438" width="11.7109375" style="56" customWidth="1"/>
    <col min="8439" max="8453" width="0" style="56" hidden="1" customWidth="1"/>
    <col min="8454" max="8457" width="8.85546875" style="56" customWidth="1"/>
    <col min="8458" max="8458" width="1.85546875" style="56" customWidth="1"/>
    <col min="8459" max="8462" width="8.85546875" style="56" customWidth="1"/>
    <col min="8463" max="8463" width="1.85546875" style="56" customWidth="1"/>
    <col min="8464" max="8467" width="8.85546875" style="56" customWidth="1"/>
    <col min="8468" max="8468" width="11.140625" style="56" customWidth="1"/>
    <col min="8469" max="8470" width="11.85546875" style="56" customWidth="1"/>
    <col min="8471" max="8480" width="18" style="56" customWidth="1"/>
    <col min="8481" max="8481" width="6.28515625" style="56" customWidth="1"/>
    <col min="8482" max="8482" width="7" style="56" customWidth="1"/>
    <col min="8483" max="8488" width="6.28515625" style="56" customWidth="1"/>
    <col min="8489" max="8693" width="9.140625" style="56"/>
    <col min="8694" max="8694" width="11.7109375" style="56" customWidth="1"/>
    <col min="8695" max="8709" width="0" style="56" hidden="1" customWidth="1"/>
    <col min="8710" max="8713" width="8.85546875" style="56" customWidth="1"/>
    <col min="8714" max="8714" width="1.85546875" style="56" customWidth="1"/>
    <col min="8715" max="8718" width="8.85546875" style="56" customWidth="1"/>
    <col min="8719" max="8719" width="1.85546875" style="56" customWidth="1"/>
    <col min="8720" max="8723" width="8.85546875" style="56" customWidth="1"/>
    <col min="8724" max="8724" width="11.140625" style="56" customWidth="1"/>
    <col min="8725" max="8726" width="11.85546875" style="56" customWidth="1"/>
    <col min="8727" max="8736" width="18" style="56" customWidth="1"/>
    <col min="8737" max="8737" width="6.28515625" style="56" customWidth="1"/>
    <col min="8738" max="8738" width="7" style="56" customWidth="1"/>
    <col min="8739" max="8744" width="6.28515625" style="56" customWidth="1"/>
    <col min="8745" max="8949" width="9.140625" style="56"/>
    <col min="8950" max="8950" width="11.7109375" style="56" customWidth="1"/>
    <col min="8951" max="8965" width="0" style="56" hidden="1" customWidth="1"/>
    <col min="8966" max="8969" width="8.85546875" style="56" customWidth="1"/>
    <col min="8970" max="8970" width="1.85546875" style="56" customWidth="1"/>
    <col min="8971" max="8974" width="8.85546875" style="56" customWidth="1"/>
    <col min="8975" max="8975" width="1.85546875" style="56" customWidth="1"/>
    <col min="8976" max="8979" width="8.85546875" style="56" customWidth="1"/>
    <col min="8980" max="8980" width="11.140625" style="56" customWidth="1"/>
    <col min="8981" max="8982" width="11.85546875" style="56" customWidth="1"/>
    <col min="8983" max="8992" width="18" style="56" customWidth="1"/>
    <col min="8993" max="8993" width="6.28515625" style="56" customWidth="1"/>
    <col min="8994" max="8994" width="7" style="56" customWidth="1"/>
    <col min="8995" max="9000" width="6.28515625" style="56" customWidth="1"/>
    <col min="9001" max="9205" width="9.140625" style="56"/>
    <col min="9206" max="9206" width="11.7109375" style="56" customWidth="1"/>
    <col min="9207" max="9221" width="0" style="56" hidden="1" customWidth="1"/>
    <col min="9222" max="9225" width="8.85546875" style="56" customWidth="1"/>
    <col min="9226" max="9226" width="1.85546875" style="56" customWidth="1"/>
    <col min="9227" max="9230" width="8.85546875" style="56" customWidth="1"/>
    <col min="9231" max="9231" width="1.85546875" style="56" customWidth="1"/>
    <col min="9232" max="9235" width="8.85546875" style="56" customWidth="1"/>
    <col min="9236" max="9236" width="11.140625" style="56" customWidth="1"/>
    <col min="9237" max="9238" width="11.85546875" style="56" customWidth="1"/>
    <col min="9239" max="9248" width="18" style="56" customWidth="1"/>
    <col min="9249" max="9249" width="6.28515625" style="56" customWidth="1"/>
    <col min="9250" max="9250" width="7" style="56" customWidth="1"/>
    <col min="9251" max="9256" width="6.28515625" style="56" customWidth="1"/>
    <col min="9257" max="9461" width="9.140625" style="56"/>
    <col min="9462" max="9462" width="11.7109375" style="56" customWidth="1"/>
    <col min="9463" max="9477" width="0" style="56" hidden="1" customWidth="1"/>
    <col min="9478" max="9481" width="8.85546875" style="56" customWidth="1"/>
    <col min="9482" max="9482" width="1.85546875" style="56" customWidth="1"/>
    <col min="9483" max="9486" width="8.85546875" style="56" customWidth="1"/>
    <col min="9487" max="9487" width="1.85546875" style="56" customWidth="1"/>
    <col min="9488" max="9491" width="8.85546875" style="56" customWidth="1"/>
    <col min="9492" max="9492" width="11.140625" style="56" customWidth="1"/>
    <col min="9493" max="9494" width="11.85546875" style="56" customWidth="1"/>
    <col min="9495" max="9504" width="18" style="56" customWidth="1"/>
    <col min="9505" max="9505" width="6.28515625" style="56" customWidth="1"/>
    <col min="9506" max="9506" width="7" style="56" customWidth="1"/>
    <col min="9507" max="9512" width="6.28515625" style="56" customWidth="1"/>
    <col min="9513" max="9717" width="9.140625" style="56"/>
    <col min="9718" max="9718" width="11.7109375" style="56" customWidth="1"/>
    <col min="9719" max="9733" width="0" style="56" hidden="1" customWidth="1"/>
    <col min="9734" max="9737" width="8.85546875" style="56" customWidth="1"/>
    <col min="9738" max="9738" width="1.85546875" style="56" customWidth="1"/>
    <col min="9739" max="9742" width="8.85546875" style="56" customWidth="1"/>
    <col min="9743" max="9743" width="1.85546875" style="56" customWidth="1"/>
    <col min="9744" max="9747" width="8.85546875" style="56" customWidth="1"/>
    <col min="9748" max="9748" width="11.140625" style="56" customWidth="1"/>
    <col min="9749" max="9750" width="11.85546875" style="56" customWidth="1"/>
    <col min="9751" max="9760" width="18" style="56" customWidth="1"/>
    <col min="9761" max="9761" width="6.28515625" style="56" customWidth="1"/>
    <col min="9762" max="9762" width="7" style="56" customWidth="1"/>
    <col min="9763" max="9768" width="6.28515625" style="56" customWidth="1"/>
    <col min="9769" max="9973" width="9.140625" style="56"/>
    <col min="9974" max="9974" width="11.7109375" style="56" customWidth="1"/>
    <col min="9975" max="9989" width="0" style="56" hidden="1" customWidth="1"/>
    <col min="9990" max="9993" width="8.85546875" style="56" customWidth="1"/>
    <col min="9994" max="9994" width="1.85546875" style="56" customWidth="1"/>
    <col min="9995" max="9998" width="8.85546875" style="56" customWidth="1"/>
    <col min="9999" max="9999" width="1.85546875" style="56" customWidth="1"/>
    <col min="10000" max="10003" width="8.85546875" style="56" customWidth="1"/>
    <col min="10004" max="10004" width="11.140625" style="56" customWidth="1"/>
    <col min="10005" max="10006" width="11.85546875" style="56" customWidth="1"/>
    <col min="10007" max="10016" width="18" style="56" customWidth="1"/>
    <col min="10017" max="10017" width="6.28515625" style="56" customWidth="1"/>
    <col min="10018" max="10018" width="7" style="56" customWidth="1"/>
    <col min="10019" max="10024" width="6.28515625" style="56" customWidth="1"/>
    <col min="10025" max="10229" width="9.140625" style="56"/>
    <col min="10230" max="10230" width="11.7109375" style="56" customWidth="1"/>
    <col min="10231" max="10245" width="0" style="56" hidden="1" customWidth="1"/>
    <col min="10246" max="10249" width="8.85546875" style="56" customWidth="1"/>
    <col min="10250" max="10250" width="1.85546875" style="56" customWidth="1"/>
    <col min="10251" max="10254" width="8.85546875" style="56" customWidth="1"/>
    <col min="10255" max="10255" width="1.85546875" style="56" customWidth="1"/>
    <col min="10256" max="10259" width="8.85546875" style="56" customWidth="1"/>
    <col min="10260" max="10260" width="11.140625" style="56" customWidth="1"/>
    <col min="10261" max="10262" width="11.85546875" style="56" customWidth="1"/>
    <col min="10263" max="10272" width="18" style="56" customWidth="1"/>
    <col min="10273" max="10273" width="6.28515625" style="56" customWidth="1"/>
    <col min="10274" max="10274" width="7" style="56" customWidth="1"/>
    <col min="10275" max="10280" width="6.28515625" style="56" customWidth="1"/>
    <col min="10281" max="10485" width="9.140625" style="56"/>
    <col min="10486" max="10486" width="11.7109375" style="56" customWidth="1"/>
    <col min="10487" max="10501" width="0" style="56" hidden="1" customWidth="1"/>
    <col min="10502" max="10505" width="8.85546875" style="56" customWidth="1"/>
    <col min="10506" max="10506" width="1.85546875" style="56" customWidth="1"/>
    <col min="10507" max="10510" width="8.85546875" style="56" customWidth="1"/>
    <col min="10511" max="10511" width="1.85546875" style="56" customWidth="1"/>
    <col min="10512" max="10515" width="8.85546875" style="56" customWidth="1"/>
    <col min="10516" max="10516" width="11.140625" style="56" customWidth="1"/>
    <col min="10517" max="10518" width="11.85546875" style="56" customWidth="1"/>
    <col min="10519" max="10528" width="18" style="56" customWidth="1"/>
    <col min="10529" max="10529" width="6.28515625" style="56" customWidth="1"/>
    <col min="10530" max="10530" width="7" style="56" customWidth="1"/>
    <col min="10531" max="10536" width="6.28515625" style="56" customWidth="1"/>
    <col min="10537" max="10741" width="9.140625" style="56"/>
    <col min="10742" max="10742" width="11.7109375" style="56" customWidth="1"/>
    <col min="10743" max="10757" width="0" style="56" hidden="1" customWidth="1"/>
    <col min="10758" max="10761" width="8.85546875" style="56" customWidth="1"/>
    <col min="10762" max="10762" width="1.85546875" style="56" customWidth="1"/>
    <col min="10763" max="10766" width="8.85546875" style="56" customWidth="1"/>
    <col min="10767" max="10767" width="1.85546875" style="56" customWidth="1"/>
    <col min="10768" max="10771" width="8.85546875" style="56" customWidth="1"/>
    <col min="10772" max="10772" width="11.140625" style="56" customWidth="1"/>
    <col min="10773" max="10774" width="11.85546875" style="56" customWidth="1"/>
    <col min="10775" max="10784" width="18" style="56" customWidth="1"/>
    <col min="10785" max="10785" width="6.28515625" style="56" customWidth="1"/>
    <col min="10786" max="10786" width="7" style="56" customWidth="1"/>
    <col min="10787" max="10792" width="6.28515625" style="56" customWidth="1"/>
    <col min="10793" max="10997" width="9.140625" style="56"/>
    <col min="10998" max="10998" width="11.7109375" style="56" customWidth="1"/>
    <col min="10999" max="11013" width="0" style="56" hidden="1" customWidth="1"/>
    <col min="11014" max="11017" width="8.85546875" style="56" customWidth="1"/>
    <col min="11018" max="11018" width="1.85546875" style="56" customWidth="1"/>
    <col min="11019" max="11022" width="8.85546875" style="56" customWidth="1"/>
    <col min="11023" max="11023" width="1.85546875" style="56" customWidth="1"/>
    <col min="11024" max="11027" width="8.85546875" style="56" customWidth="1"/>
    <col min="11028" max="11028" width="11.140625" style="56" customWidth="1"/>
    <col min="11029" max="11030" width="11.85546875" style="56" customWidth="1"/>
    <col min="11031" max="11040" width="18" style="56" customWidth="1"/>
    <col min="11041" max="11041" width="6.28515625" style="56" customWidth="1"/>
    <col min="11042" max="11042" width="7" style="56" customWidth="1"/>
    <col min="11043" max="11048" width="6.28515625" style="56" customWidth="1"/>
    <col min="11049" max="11253" width="9.140625" style="56"/>
    <col min="11254" max="11254" width="11.7109375" style="56" customWidth="1"/>
    <col min="11255" max="11269" width="0" style="56" hidden="1" customWidth="1"/>
    <col min="11270" max="11273" width="8.85546875" style="56" customWidth="1"/>
    <col min="11274" max="11274" width="1.85546875" style="56" customWidth="1"/>
    <col min="11275" max="11278" width="8.85546875" style="56" customWidth="1"/>
    <col min="11279" max="11279" width="1.85546875" style="56" customWidth="1"/>
    <col min="11280" max="11283" width="8.85546875" style="56" customWidth="1"/>
    <col min="11284" max="11284" width="11.140625" style="56" customWidth="1"/>
    <col min="11285" max="11286" width="11.85546875" style="56" customWidth="1"/>
    <col min="11287" max="11296" width="18" style="56" customWidth="1"/>
    <col min="11297" max="11297" width="6.28515625" style="56" customWidth="1"/>
    <col min="11298" max="11298" width="7" style="56" customWidth="1"/>
    <col min="11299" max="11304" width="6.28515625" style="56" customWidth="1"/>
    <col min="11305" max="11509" width="9.140625" style="56"/>
    <col min="11510" max="11510" width="11.7109375" style="56" customWidth="1"/>
    <col min="11511" max="11525" width="0" style="56" hidden="1" customWidth="1"/>
    <col min="11526" max="11529" width="8.85546875" style="56" customWidth="1"/>
    <col min="11530" max="11530" width="1.85546875" style="56" customWidth="1"/>
    <col min="11531" max="11534" width="8.85546875" style="56" customWidth="1"/>
    <col min="11535" max="11535" width="1.85546875" style="56" customWidth="1"/>
    <col min="11536" max="11539" width="8.85546875" style="56" customWidth="1"/>
    <col min="11540" max="11540" width="11.140625" style="56" customWidth="1"/>
    <col min="11541" max="11542" width="11.85546875" style="56" customWidth="1"/>
    <col min="11543" max="11552" width="18" style="56" customWidth="1"/>
    <col min="11553" max="11553" width="6.28515625" style="56" customWidth="1"/>
    <col min="11554" max="11554" width="7" style="56" customWidth="1"/>
    <col min="11555" max="11560" width="6.28515625" style="56" customWidth="1"/>
    <col min="11561" max="11765" width="9.140625" style="56"/>
    <col min="11766" max="11766" width="11.7109375" style="56" customWidth="1"/>
    <col min="11767" max="11781" width="0" style="56" hidden="1" customWidth="1"/>
    <col min="11782" max="11785" width="8.85546875" style="56" customWidth="1"/>
    <col min="11786" max="11786" width="1.85546875" style="56" customWidth="1"/>
    <col min="11787" max="11790" width="8.85546875" style="56" customWidth="1"/>
    <col min="11791" max="11791" width="1.85546875" style="56" customWidth="1"/>
    <col min="11792" max="11795" width="8.85546875" style="56" customWidth="1"/>
    <col min="11796" max="11796" width="11.140625" style="56" customWidth="1"/>
    <col min="11797" max="11798" width="11.85546875" style="56" customWidth="1"/>
    <col min="11799" max="11808" width="18" style="56" customWidth="1"/>
    <col min="11809" max="11809" width="6.28515625" style="56" customWidth="1"/>
    <col min="11810" max="11810" width="7" style="56" customWidth="1"/>
    <col min="11811" max="11816" width="6.28515625" style="56" customWidth="1"/>
    <col min="11817" max="12021" width="9.140625" style="56"/>
    <col min="12022" max="12022" width="11.7109375" style="56" customWidth="1"/>
    <col min="12023" max="12037" width="0" style="56" hidden="1" customWidth="1"/>
    <col min="12038" max="12041" width="8.85546875" style="56" customWidth="1"/>
    <col min="12042" max="12042" width="1.85546875" style="56" customWidth="1"/>
    <col min="12043" max="12046" width="8.85546875" style="56" customWidth="1"/>
    <col min="12047" max="12047" width="1.85546875" style="56" customWidth="1"/>
    <col min="12048" max="12051" width="8.85546875" style="56" customWidth="1"/>
    <col min="12052" max="12052" width="11.140625" style="56" customWidth="1"/>
    <col min="12053" max="12054" width="11.85546875" style="56" customWidth="1"/>
    <col min="12055" max="12064" width="18" style="56" customWidth="1"/>
    <col min="12065" max="12065" width="6.28515625" style="56" customWidth="1"/>
    <col min="12066" max="12066" width="7" style="56" customWidth="1"/>
    <col min="12067" max="12072" width="6.28515625" style="56" customWidth="1"/>
    <col min="12073" max="12277" width="9.140625" style="56"/>
    <col min="12278" max="12278" width="11.7109375" style="56" customWidth="1"/>
    <col min="12279" max="12293" width="0" style="56" hidden="1" customWidth="1"/>
    <col min="12294" max="12297" width="8.85546875" style="56" customWidth="1"/>
    <col min="12298" max="12298" width="1.85546875" style="56" customWidth="1"/>
    <col min="12299" max="12302" width="8.85546875" style="56" customWidth="1"/>
    <col min="12303" max="12303" width="1.85546875" style="56" customWidth="1"/>
    <col min="12304" max="12307" width="8.85546875" style="56" customWidth="1"/>
    <col min="12308" max="12308" width="11.140625" style="56" customWidth="1"/>
    <col min="12309" max="12310" width="11.85546875" style="56" customWidth="1"/>
    <col min="12311" max="12320" width="18" style="56" customWidth="1"/>
    <col min="12321" max="12321" width="6.28515625" style="56" customWidth="1"/>
    <col min="12322" max="12322" width="7" style="56" customWidth="1"/>
    <col min="12323" max="12328" width="6.28515625" style="56" customWidth="1"/>
    <col min="12329" max="12533" width="9.140625" style="56"/>
    <col min="12534" max="12534" width="11.7109375" style="56" customWidth="1"/>
    <col min="12535" max="12549" width="0" style="56" hidden="1" customWidth="1"/>
    <col min="12550" max="12553" width="8.85546875" style="56" customWidth="1"/>
    <col min="12554" max="12554" width="1.85546875" style="56" customWidth="1"/>
    <col min="12555" max="12558" width="8.85546875" style="56" customWidth="1"/>
    <col min="12559" max="12559" width="1.85546875" style="56" customWidth="1"/>
    <col min="12560" max="12563" width="8.85546875" style="56" customWidth="1"/>
    <col min="12564" max="12564" width="11.140625" style="56" customWidth="1"/>
    <col min="12565" max="12566" width="11.85546875" style="56" customWidth="1"/>
    <col min="12567" max="12576" width="18" style="56" customWidth="1"/>
    <col min="12577" max="12577" width="6.28515625" style="56" customWidth="1"/>
    <col min="12578" max="12578" width="7" style="56" customWidth="1"/>
    <col min="12579" max="12584" width="6.28515625" style="56" customWidth="1"/>
    <col min="12585" max="12789" width="9.140625" style="56"/>
    <col min="12790" max="12790" width="11.7109375" style="56" customWidth="1"/>
    <col min="12791" max="12805" width="0" style="56" hidden="1" customWidth="1"/>
    <col min="12806" max="12809" width="8.85546875" style="56" customWidth="1"/>
    <col min="12810" max="12810" width="1.85546875" style="56" customWidth="1"/>
    <col min="12811" max="12814" width="8.85546875" style="56" customWidth="1"/>
    <col min="12815" max="12815" width="1.85546875" style="56" customWidth="1"/>
    <col min="12816" max="12819" width="8.85546875" style="56" customWidth="1"/>
    <col min="12820" max="12820" width="11.140625" style="56" customWidth="1"/>
    <col min="12821" max="12822" width="11.85546875" style="56" customWidth="1"/>
    <col min="12823" max="12832" width="18" style="56" customWidth="1"/>
    <col min="12833" max="12833" width="6.28515625" style="56" customWidth="1"/>
    <col min="12834" max="12834" width="7" style="56" customWidth="1"/>
    <col min="12835" max="12840" width="6.28515625" style="56" customWidth="1"/>
    <col min="12841" max="13045" width="9.140625" style="56"/>
    <col min="13046" max="13046" width="11.7109375" style="56" customWidth="1"/>
    <col min="13047" max="13061" width="0" style="56" hidden="1" customWidth="1"/>
    <col min="13062" max="13065" width="8.85546875" style="56" customWidth="1"/>
    <col min="13066" max="13066" width="1.85546875" style="56" customWidth="1"/>
    <col min="13067" max="13070" width="8.85546875" style="56" customWidth="1"/>
    <col min="13071" max="13071" width="1.85546875" style="56" customWidth="1"/>
    <col min="13072" max="13075" width="8.85546875" style="56" customWidth="1"/>
    <col min="13076" max="13076" width="11.140625" style="56" customWidth="1"/>
    <col min="13077" max="13078" width="11.85546875" style="56" customWidth="1"/>
    <col min="13079" max="13088" width="18" style="56" customWidth="1"/>
    <col min="13089" max="13089" width="6.28515625" style="56" customWidth="1"/>
    <col min="13090" max="13090" width="7" style="56" customWidth="1"/>
    <col min="13091" max="13096" width="6.28515625" style="56" customWidth="1"/>
    <col min="13097" max="13301" width="9.140625" style="56"/>
    <col min="13302" max="13302" width="11.7109375" style="56" customWidth="1"/>
    <col min="13303" max="13317" width="0" style="56" hidden="1" customWidth="1"/>
    <col min="13318" max="13321" width="8.85546875" style="56" customWidth="1"/>
    <col min="13322" max="13322" width="1.85546875" style="56" customWidth="1"/>
    <col min="13323" max="13326" width="8.85546875" style="56" customWidth="1"/>
    <col min="13327" max="13327" width="1.85546875" style="56" customWidth="1"/>
    <col min="13328" max="13331" width="8.85546875" style="56" customWidth="1"/>
    <col min="13332" max="13332" width="11.140625" style="56" customWidth="1"/>
    <col min="13333" max="13334" width="11.85546875" style="56" customWidth="1"/>
    <col min="13335" max="13344" width="18" style="56" customWidth="1"/>
    <col min="13345" max="13345" width="6.28515625" style="56" customWidth="1"/>
    <col min="13346" max="13346" width="7" style="56" customWidth="1"/>
    <col min="13347" max="13352" width="6.28515625" style="56" customWidth="1"/>
    <col min="13353" max="13557" width="9.140625" style="56"/>
    <col min="13558" max="13558" width="11.7109375" style="56" customWidth="1"/>
    <col min="13559" max="13573" width="0" style="56" hidden="1" customWidth="1"/>
    <col min="13574" max="13577" width="8.85546875" style="56" customWidth="1"/>
    <col min="13578" max="13578" width="1.85546875" style="56" customWidth="1"/>
    <col min="13579" max="13582" width="8.85546875" style="56" customWidth="1"/>
    <col min="13583" max="13583" width="1.85546875" style="56" customWidth="1"/>
    <col min="13584" max="13587" width="8.85546875" style="56" customWidth="1"/>
    <col min="13588" max="13588" width="11.140625" style="56" customWidth="1"/>
    <col min="13589" max="13590" width="11.85546875" style="56" customWidth="1"/>
    <col min="13591" max="13600" width="18" style="56" customWidth="1"/>
    <col min="13601" max="13601" width="6.28515625" style="56" customWidth="1"/>
    <col min="13602" max="13602" width="7" style="56" customWidth="1"/>
    <col min="13603" max="13608" width="6.28515625" style="56" customWidth="1"/>
    <col min="13609" max="13813" width="9.140625" style="56"/>
    <col min="13814" max="13814" width="11.7109375" style="56" customWidth="1"/>
    <col min="13815" max="13829" width="0" style="56" hidden="1" customWidth="1"/>
    <col min="13830" max="13833" width="8.85546875" style="56" customWidth="1"/>
    <col min="13834" max="13834" width="1.85546875" style="56" customWidth="1"/>
    <col min="13835" max="13838" width="8.85546875" style="56" customWidth="1"/>
    <col min="13839" max="13839" width="1.85546875" style="56" customWidth="1"/>
    <col min="13840" max="13843" width="8.85546875" style="56" customWidth="1"/>
    <col min="13844" max="13844" width="11.140625" style="56" customWidth="1"/>
    <col min="13845" max="13846" width="11.85546875" style="56" customWidth="1"/>
    <col min="13847" max="13856" width="18" style="56" customWidth="1"/>
    <col min="13857" max="13857" width="6.28515625" style="56" customWidth="1"/>
    <col min="13858" max="13858" width="7" style="56" customWidth="1"/>
    <col min="13859" max="13864" width="6.28515625" style="56" customWidth="1"/>
    <col min="13865" max="14069" width="9.140625" style="56"/>
    <col min="14070" max="14070" width="11.7109375" style="56" customWidth="1"/>
    <col min="14071" max="14085" width="0" style="56" hidden="1" customWidth="1"/>
    <col min="14086" max="14089" width="8.85546875" style="56" customWidth="1"/>
    <col min="14090" max="14090" width="1.85546875" style="56" customWidth="1"/>
    <col min="14091" max="14094" width="8.85546875" style="56" customWidth="1"/>
    <col min="14095" max="14095" width="1.85546875" style="56" customWidth="1"/>
    <col min="14096" max="14099" width="8.85546875" style="56" customWidth="1"/>
    <col min="14100" max="14100" width="11.140625" style="56" customWidth="1"/>
    <col min="14101" max="14102" width="11.85546875" style="56" customWidth="1"/>
    <col min="14103" max="14112" width="18" style="56" customWidth="1"/>
    <col min="14113" max="14113" width="6.28515625" style="56" customWidth="1"/>
    <col min="14114" max="14114" width="7" style="56" customWidth="1"/>
    <col min="14115" max="14120" width="6.28515625" style="56" customWidth="1"/>
    <col min="14121" max="14325" width="9.140625" style="56"/>
    <col min="14326" max="14326" width="11.7109375" style="56" customWidth="1"/>
    <col min="14327" max="14341" width="0" style="56" hidden="1" customWidth="1"/>
    <col min="14342" max="14345" width="8.85546875" style="56" customWidth="1"/>
    <col min="14346" max="14346" width="1.85546875" style="56" customWidth="1"/>
    <col min="14347" max="14350" width="8.85546875" style="56" customWidth="1"/>
    <col min="14351" max="14351" width="1.85546875" style="56" customWidth="1"/>
    <col min="14352" max="14355" width="8.85546875" style="56" customWidth="1"/>
    <col min="14356" max="14356" width="11.140625" style="56" customWidth="1"/>
    <col min="14357" max="14358" width="11.85546875" style="56" customWidth="1"/>
    <col min="14359" max="14368" width="18" style="56" customWidth="1"/>
    <col min="14369" max="14369" width="6.28515625" style="56" customWidth="1"/>
    <col min="14370" max="14370" width="7" style="56" customWidth="1"/>
    <col min="14371" max="14376" width="6.28515625" style="56" customWidth="1"/>
    <col min="14377" max="14581" width="9.140625" style="56"/>
    <col min="14582" max="14582" width="11.7109375" style="56" customWidth="1"/>
    <col min="14583" max="14597" width="0" style="56" hidden="1" customWidth="1"/>
    <col min="14598" max="14601" width="8.85546875" style="56" customWidth="1"/>
    <col min="14602" max="14602" width="1.85546875" style="56" customWidth="1"/>
    <col min="14603" max="14606" width="8.85546875" style="56" customWidth="1"/>
    <col min="14607" max="14607" width="1.85546875" style="56" customWidth="1"/>
    <col min="14608" max="14611" width="8.85546875" style="56" customWidth="1"/>
    <col min="14612" max="14612" width="11.140625" style="56" customWidth="1"/>
    <col min="14613" max="14614" width="11.85546875" style="56" customWidth="1"/>
    <col min="14615" max="14624" width="18" style="56" customWidth="1"/>
    <col min="14625" max="14625" width="6.28515625" style="56" customWidth="1"/>
    <col min="14626" max="14626" width="7" style="56" customWidth="1"/>
    <col min="14627" max="14632" width="6.28515625" style="56" customWidth="1"/>
    <col min="14633" max="14837" width="9.140625" style="56"/>
    <col min="14838" max="14838" width="11.7109375" style="56" customWidth="1"/>
    <col min="14839" max="14853" width="0" style="56" hidden="1" customWidth="1"/>
    <col min="14854" max="14857" width="8.85546875" style="56" customWidth="1"/>
    <col min="14858" max="14858" width="1.85546875" style="56" customWidth="1"/>
    <col min="14859" max="14862" width="8.85546875" style="56" customWidth="1"/>
    <col min="14863" max="14863" width="1.85546875" style="56" customWidth="1"/>
    <col min="14864" max="14867" width="8.85546875" style="56" customWidth="1"/>
    <col min="14868" max="14868" width="11.140625" style="56" customWidth="1"/>
    <col min="14869" max="14870" width="11.85546875" style="56" customWidth="1"/>
    <col min="14871" max="14880" width="18" style="56" customWidth="1"/>
    <col min="14881" max="14881" width="6.28515625" style="56" customWidth="1"/>
    <col min="14882" max="14882" width="7" style="56" customWidth="1"/>
    <col min="14883" max="14888" width="6.28515625" style="56" customWidth="1"/>
    <col min="14889" max="15093" width="9.140625" style="56"/>
    <col min="15094" max="15094" width="11.7109375" style="56" customWidth="1"/>
    <col min="15095" max="15109" width="0" style="56" hidden="1" customWidth="1"/>
    <col min="15110" max="15113" width="8.85546875" style="56" customWidth="1"/>
    <col min="15114" max="15114" width="1.85546875" style="56" customWidth="1"/>
    <col min="15115" max="15118" width="8.85546875" style="56" customWidth="1"/>
    <col min="15119" max="15119" width="1.85546875" style="56" customWidth="1"/>
    <col min="15120" max="15123" width="8.85546875" style="56" customWidth="1"/>
    <col min="15124" max="15124" width="11.140625" style="56" customWidth="1"/>
    <col min="15125" max="15126" width="11.85546875" style="56" customWidth="1"/>
    <col min="15127" max="15136" width="18" style="56" customWidth="1"/>
    <col min="15137" max="15137" width="6.28515625" style="56" customWidth="1"/>
    <col min="15138" max="15138" width="7" style="56" customWidth="1"/>
    <col min="15139" max="15144" width="6.28515625" style="56" customWidth="1"/>
    <col min="15145" max="15349" width="9.140625" style="56"/>
    <col min="15350" max="15350" width="11.7109375" style="56" customWidth="1"/>
    <col min="15351" max="15365" width="0" style="56" hidden="1" customWidth="1"/>
    <col min="15366" max="15369" width="8.85546875" style="56" customWidth="1"/>
    <col min="15370" max="15370" width="1.85546875" style="56" customWidth="1"/>
    <col min="15371" max="15374" width="8.85546875" style="56" customWidth="1"/>
    <col min="15375" max="15375" width="1.85546875" style="56" customWidth="1"/>
    <col min="15376" max="15379" width="8.85546875" style="56" customWidth="1"/>
    <col min="15380" max="15380" width="11.140625" style="56" customWidth="1"/>
    <col min="15381" max="15382" width="11.85546875" style="56" customWidth="1"/>
    <col min="15383" max="15392" width="18" style="56" customWidth="1"/>
    <col min="15393" max="15393" width="6.28515625" style="56" customWidth="1"/>
    <col min="15394" max="15394" width="7" style="56" customWidth="1"/>
    <col min="15395" max="15400" width="6.28515625" style="56" customWidth="1"/>
    <col min="15401" max="15605" width="9.140625" style="56"/>
    <col min="15606" max="15606" width="11.7109375" style="56" customWidth="1"/>
    <col min="15607" max="15621" width="0" style="56" hidden="1" customWidth="1"/>
    <col min="15622" max="15625" width="8.85546875" style="56" customWidth="1"/>
    <col min="15626" max="15626" width="1.85546875" style="56" customWidth="1"/>
    <col min="15627" max="15630" width="8.85546875" style="56" customWidth="1"/>
    <col min="15631" max="15631" width="1.85546875" style="56" customWidth="1"/>
    <col min="15632" max="15635" width="8.85546875" style="56" customWidth="1"/>
    <col min="15636" max="15636" width="11.140625" style="56" customWidth="1"/>
    <col min="15637" max="15638" width="11.85546875" style="56" customWidth="1"/>
    <col min="15639" max="15648" width="18" style="56" customWidth="1"/>
    <col min="15649" max="15649" width="6.28515625" style="56" customWidth="1"/>
    <col min="15650" max="15650" width="7" style="56" customWidth="1"/>
    <col min="15651" max="15656" width="6.28515625" style="56" customWidth="1"/>
    <col min="15657" max="15861" width="9.140625" style="56"/>
    <col min="15862" max="15862" width="11.7109375" style="56" customWidth="1"/>
    <col min="15863" max="15877" width="0" style="56" hidden="1" customWidth="1"/>
    <col min="15878" max="15881" width="8.85546875" style="56" customWidth="1"/>
    <col min="15882" max="15882" width="1.85546875" style="56" customWidth="1"/>
    <col min="15883" max="15886" width="8.85546875" style="56" customWidth="1"/>
    <col min="15887" max="15887" width="1.85546875" style="56" customWidth="1"/>
    <col min="15888" max="15891" width="8.85546875" style="56" customWidth="1"/>
    <col min="15892" max="15892" width="11.140625" style="56" customWidth="1"/>
    <col min="15893" max="15894" width="11.85546875" style="56" customWidth="1"/>
    <col min="15895" max="15904" width="18" style="56" customWidth="1"/>
    <col min="15905" max="15905" width="6.28515625" style="56" customWidth="1"/>
    <col min="15906" max="15906" width="7" style="56" customWidth="1"/>
    <col min="15907" max="15912" width="6.28515625" style="56" customWidth="1"/>
    <col min="15913" max="16117" width="9.140625" style="56"/>
    <col min="16118" max="16118" width="11.7109375" style="56" customWidth="1"/>
    <col min="16119" max="16133" width="0" style="56" hidden="1" customWidth="1"/>
    <col min="16134" max="16137" width="8.85546875" style="56" customWidth="1"/>
    <col min="16138" max="16138" width="1.85546875" style="56" customWidth="1"/>
    <col min="16139" max="16142" width="8.85546875" style="56" customWidth="1"/>
    <col min="16143" max="16143" width="1.85546875" style="56" customWidth="1"/>
    <col min="16144" max="16147" width="8.85546875" style="56" customWidth="1"/>
    <col min="16148" max="16148" width="11.140625" style="56" customWidth="1"/>
    <col min="16149" max="16150" width="11.85546875" style="56" customWidth="1"/>
    <col min="16151" max="16160" width="18" style="56" customWidth="1"/>
    <col min="16161" max="16161" width="6.28515625" style="56" customWidth="1"/>
    <col min="16162" max="16162" width="7" style="56" customWidth="1"/>
    <col min="16163" max="16168" width="6.28515625" style="56" customWidth="1"/>
    <col min="16169" max="16384" width="9.140625" style="56"/>
  </cols>
  <sheetData>
    <row r="1" spans="1:157" s="1" customFormat="1" ht="16.5" customHeight="1" x14ac:dyDescent="0.25">
      <c r="A1" s="78" t="s">
        <v>38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64"/>
    </row>
    <row r="2" spans="1:157" s="2" customFormat="1" ht="14.25" customHeight="1" x14ac:dyDescent="0.25">
      <c r="A2" s="79" t="s">
        <v>39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65"/>
    </row>
    <row r="3" spans="1:157" s="5" customFormat="1" ht="9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</row>
    <row r="4" spans="1:157" s="5" customFormat="1" ht="9.75" customHeight="1" x14ac:dyDescent="0.25">
      <c r="A4" s="80" t="s">
        <v>0</v>
      </c>
      <c r="B4" s="62"/>
      <c r="C4" s="74">
        <v>2017</v>
      </c>
      <c r="D4" s="75"/>
      <c r="E4" s="75"/>
      <c r="F4" s="75"/>
      <c r="G4" s="62"/>
      <c r="H4" s="74">
        <v>2018</v>
      </c>
      <c r="I4" s="75"/>
      <c r="J4" s="75"/>
      <c r="K4" s="75"/>
      <c r="L4" s="74">
        <v>2019</v>
      </c>
      <c r="M4" s="75"/>
      <c r="N4" s="75"/>
      <c r="O4" s="75"/>
      <c r="P4" s="74">
        <v>2020</v>
      </c>
      <c r="Q4" s="75"/>
      <c r="R4" s="75"/>
      <c r="S4" s="75"/>
      <c r="T4" s="83" t="s">
        <v>25</v>
      </c>
      <c r="U4" s="84"/>
      <c r="V4" s="6"/>
    </row>
    <row r="5" spans="1:157" s="5" customFormat="1" ht="19.899999999999999" customHeight="1" x14ac:dyDescent="0.25">
      <c r="A5" s="81"/>
      <c r="B5" s="7"/>
      <c r="C5" s="76"/>
      <c r="D5" s="77"/>
      <c r="E5" s="77"/>
      <c r="F5" s="77"/>
      <c r="G5" s="63"/>
      <c r="H5" s="76"/>
      <c r="I5" s="77"/>
      <c r="J5" s="77"/>
      <c r="K5" s="77"/>
      <c r="L5" s="76"/>
      <c r="M5" s="77"/>
      <c r="N5" s="77"/>
      <c r="O5" s="77"/>
      <c r="P5" s="76"/>
      <c r="Q5" s="77"/>
      <c r="R5" s="77"/>
      <c r="S5" s="77"/>
      <c r="T5" s="85"/>
      <c r="U5" s="86"/>
      <c r="V5" s="6"/>
    </row>
    <row r="6" spans="1:157" s="5" customFormat="1" ht="15.75" customHeight="1" x14ac:dyDescent="0.25">
      <c r="A6" s="81"/>
      <c r="B6" s="7"/>
      <c r="C6" s="9" t="s">
        <v>26</v>
      </c>
      <c r="D6" s="8" t="s">
        <v>27</v>
      </c>
      <c r="E6" s="8" t="s">
        <v>28</v>
      </c>
      <c r="F6" s="8" t="s">
        <v>29</v>
      </c>
      <c r="G6" s="8"/>
      <c r="H6" s="9" t="s">
        <v>26</v>
      </c>
      <c r="I6" s="8" t="s">
        <v>27</v>
      </c>
      <c r="J6" s="8" t="s">
        <v>28</v>
      </c>
      <c r="K6" s="8" t="s">
        <v>29</v>
      </c>
      <c r="L6" s="9" t="s">
        <v>26</v>
      </c>
      <c r="M6" s="8" t="s">
        <v>27</v>
      </c>
      <c r="N6" s="8" t="s">
        <v>28</v>
      </c>
      <c r="O6" s="8" t="s">
        <v>29</v>
      </c>
      <c r="P6" s="9" t="s">
        <v>26</v>
      </c>
      <c r="Q6" s="8" t="s">
        <v>27</v>
      </c>
      <c r="R6" s="8" t="s">
        <v>28</v>
      </c>
      <c r="S6" s="8" t="s">
        <v>29</v>
      </c>
      <c r="T6" s="9" t="s">
        <v>26</v>
      </c>
      <c r="U6" s="8" t="s">
        <v>27</v>
      </c>
      <c r="V6" s="8"/>
    </row>
    <row r="7" spans="1:157" s="16" customFormat="1" ht="15" customHeight="1" x14ac:dyDescent="0.25">
      <c r="A7" s="82"/>
      <c r="B7" s="10"/>
      <c r="C7" s="11" t="s">
        <v>30</v>
      </c>
      <c r="D7" s="10" t="s">
        <v>31</v>
      </c>
      <c r="E7" s="10" t="s">
        <v>32</v>
      </c>
      <c r="F7" s="10" t="s">
        <v>33</v>
      </c>
      <c r="G7" s="12"/>
      <c r="H7" s="11" t="s">
        <v>30</v>
      </c>
      <c r="I7" s="10" t="s">
        <v>31</v>
      </c>
      <c r="J7" s="10" t="s">
        <v>32</v>
      </c>
      <c r="K7" s="10" t="s">
        <v>33</v>
      </c>
      <c r="L7" s="11" t="s">
        <v>30</v>
      </c>
      <c r="M7" s="10" t="s">
        <v>31</v>
      </c>
      <c r="N7" s="10" t="s">
        <v>32</v>
      </c>
      <c r="O7" s="10" t="s">
        <v>33</v>
      </c>
      <c r="P7" s="11" t="s">
        <v>30</v>
      </c>
      <c r="Q7" s="10" t="s">
        <v>31</v>
      </c>
      <c r="R7" s="10" t="s">
        <v>32</v>
      </c>
      <c r="S7" s="10" t="s">
        <v>33</v>
      </c>
      <c r="T7" s="14" t="s">
        <v>30</v>
      </c>
      <c r="U7" s="12" t="s">
        <v>31</v>
      </c>
      <c r="V7" s="15"/>
      <c r="W7" s="5"/>
      <c r="X7" s="5"/>
      <c r="Y7" s="5"/>
      <c r="Z7" s="5"/>
    </row>
    <row r="8" spans="1:157" s="23" customFormat="1" ht="15" x14ac:dyDescent="0.25">
      <c r="A8" s="17" t="s">
        <v>1</v>
      </c>
      <c r="B8" s="18"/>
      <c r="C8" s="20">
        <f>SUM(C9:C11)</f>
        <v>5237</v>
      </c>
      <c r="D8" s="19">
        <f>SUM(D9:D11)</f>
        <v>3211</v>
      </c>
      <c r="E8" s="19">
        <f>SUM(E9:E11)</f>
        <v>9</v>
      </c>
      <c r="F8" s="19">
        <f>SUM(F9:F11)</f>
        <v>103</v>
      </c>
      <c r="G8" s="21"/>
      <c r="H8" s="20">
        <f t="shared" ref="H8:O8" si="0">SUM(H9:H11)</f>
        <v>5290</v>
      </c>
      <c r="I8" s="19">
        <f t="shared" si="0"/>
        <v>3166</v>
      </c>
      <c r="J8" s="19">
        <f t="shared" si="0"/>
        <v>8</v>
      </c>
      <c r="K8" s="19">
        <f t="shared" si="0"/>
        <v>111</v>
      </c>
      <c r="L8" s="20">
        <f t="shared" si="0"/>
        <v>5069</v>
      </c>
      <c r="M8" s="19">
        <f t="shared" si="0"/>
        <v>3550</v>
      </c>
      <c r="N8" s="19">
        <f t="shared" si="0"/>
        <v>2</v>
      </c>
      <c r="O8" s="19">
        <f t="shared" si="0"/>
        <v>119</v>
      </c>
      <c r="P8" s="20">
        <f t="shared" ref="P8:S8" si="1">SUM(P9:P11)</f>
        <v>4998</v>
      </c>
      <c r="Q8" s="19">
        <f t="shared" si="1"/>
        <v>2984</v>
      </c>
      <c r="R8" s="19">
        <f t="shared" si="1"/>
        <v>3</v>
      </c>
      <c r="S8" s="19">
        <f t="shared" si="1"/>
        <v>83</v>
      </c>
      <c r="T8" s="69">
        <f>(P8-L8)/L8*100</f>
        <v>-1.4006707437364372</v>
      </c>
      <c r="U8" s="70">
        <f>(Q8-M8)/M8*100</f>
        <v>-15.943661971830986</v>
      </c>
      <c r="V8" s="22"/>
      <c r="W8" s="5"/>
      <c r="X8" s="5"/>
      <c r="Y8" s="5"/>
      <c r="Z8" s="5"/>
      <c r="AA8" s="22"/>
      <c r="AB8" s="22"/>
      <c r="AC8" s="22"/>
      <c r="AD8" s="22"/>
      <c r="AE8" s="22"/>
      <c r="AF8" s="22"/>
      <c r="AG8" s="22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</row>
    <row r="9" spans="1:157" s="23" customFormat="1" ht="15" x14ac:dyDescent="0.25">
      <c r="A9" s="17" t="s">
        <v>3</v>
      </c>
      <c r="B9" s="24"/>
      <c r="C9" s="25">
        <v>2168</v>
      </c>
      <c r="D9" s="24">
        <v>1248</v>
      </c>
      <c r="E9" s="24">
        <v>0</v>
      </c>
      <c r="F9" s="24">
        <v>45</v>
      </c>
      <c r="G9" s="24"/>
      <c r="H9" s="25">
        <v>2191</v>
      </c>
      <c r="I9" s="24">
        <v>1156</v>
      </c>
      <c r="J9" s="24">
        <v>0</v>
      </c>
      <c r="K9" s="24">
        <v>46</v>
      </c>
      <c r="L9" s="25">
        <v>2055</v>
      </c>
      <c r="M9" s="24">
        <v>1260</v>
      </c>
      <c r="N9" s="24">
        <v>1</v>
      </c>
      <c r="O9" s="24">
        <v>43</v>
      </c>
      <c r="P9" s="25">
        <v>1995</v>
      </c>
      <c r="Q9" s="66">
        <v>928</v>
      </c>
      <c r="R9" s="66">
        <v>0</v>
      </c>
      <c r="S9" s="66">
        <v>32</v>
      </c>
      <c r="T9" s="58">
        <f t="shared" ref="T9:T31" si="2">(P9-L9)/L9*100</f>
        <v>-2.9197080291970803</v>
      </c>
      <c r="U9" s="71">
        <f t="shared" ref="U9:U31" si="3">(Q9-M9)/M9*100</f>
        <v>-26.349206349206352</v>
      </c>
      <c r="V9" s="22"/>
      <c r="W9" s="5"/>
      <c r="X9" s="5"/>
      <c r="Y9" s="5"/>
      <c r="Z9" s="5"/>
      <c r="AA9" s="22"/>
      <c r="AB9" s="22"/>
      <c r="AC9" s="22"/>
      <c r="AD9" s="22"/>
      <c r="AE9" s="22"/>
      <c r="AF9" s="22"/>
      <c r="AG9" s="22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</row>
    <row r="10" spans="1:157" s="23" customFormat="1" ht="15" x14ac:dyDescent="0.25">
      <c r="A10" s="26" t="s">
        <v>2</v>
      </c>
      <c r="B10" s="24"/>
      <c r="C10" s="20">
        <v>207</v>
      </c>
      <c r="D10" s="19">
        <v>149</v>
      </c>
      <c r="E10" s="19">
        <v>0</v>
      </c>
      <c r="F10" s="19">
        <v>1</v>
      </c>
      <c r="G10" s="19"/>
      <c r="H10" s="20">
        <v>258</v>
      </c>
      <c r="I10" s="19">
        <v>217</v>
      </c>
      <c r="J10" s="19">
        <v>0</v>
      </c>
      <c r="K10" s="19">
        <v>3</v>
      </c>
      <c r="L10" s="20">
        <v>312</v>
      </c>
      <c r="M10" s="19">
        <v>359</v>
      </c>
      <c r="N10" s="19">
        <v>0</v>
      </c>
      <c r="O10" s="19">
        <v>0</v>
      </c>
      <c r="P10" s="20">
        <v>237</v>
      </c>
      <c r="Q10" s="67">
        <v>173</v>
      </c>
      <c r="R10" s="67">
        <v>0</v>
      </c>
      <c r="S10" s="67">
        <v>0</v>
      </c>
      <c r="T10" s="58">
        <f t="shared" si="2"/>
        <v>-24.03846153846154</v>
      </c>
      <c r="U10" s="71">
        <f t="shared" si="3"/>
        <v>-51.810584958217262</v>
      </c>
      <c r="V10" s="27"/>
      <c r="W10" s="5"/>
      <c r="X10" s="5"/>
      <c r="Y10" s="5"/>
      <c r="Z10" s="5"/>
      <c r="AA10" s="22"/>
      <c r="AB10" s="22"/>
      <c r="AC10" s="22"/>
      <c r="AD10" s="22"/>
      <c r="AE10" s="22"/>
      <c r="AF10" s="22"/>
      <c r="AG10" s="22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</row>
    <row r="11" spans="1:157" s="23" customFormat="1" ht="15" x14ac:dyDescent="0.25">
      <c r="A11" s="17" t="s">
        <v>4</v>
      </c>
      <c r="B11" s="24"/>
      <c r="C11" s="20">
        <f>SUM(C12:C31)</f>
        <v>2862</v>
      </c>
      <c r="D11" s="19">
        <f>SUM(D12:D31)</f>
        <v>1814</v>
      </c>
      <c r="E11" s="19">
        <f>SUM(E12:E31)</f>
        <v>9</v>
      </c>
      <c r="F11" s="19">
        <f>SUM(F12:F31)</f>
        <v>57</v>
      </c>
      <c r="G11" s="19"/>
      <c r="H11" s="20">
        <f t="shared" ref="H11:O11" si="4">SUM(H12:H31)</f>
        <v>2841</v>
      </c>
      <c r="I11" s="19">
        <f t="shared" si="4"/>
        <v>1793</v>
      </c>
      <c r="J11" s="19">
        <f t="shared" si="4"/>
        <v>8</v>
      </c>
      <c r="K11" s="19">
        <f t="shared" si="4"/>
        <v>62</v>
      </c>
      <c r="L11" s="20">
        <f t="shared" si="4"/>
        <v>2702</v>
      </c>
      <c r="M11" s="24">
        <f>SUM(M12:M31)</f>
        <v>1931</v>
      </c>
      <c r="N11" s="19">
        <f>SUM(N12:N31)</f>
        <v>1</v>
      </c>
      <c r="O11" s="19">
        <f t="shared" si="4"/>
        <v>76</v>
      </c>
      <c r="P11" s="20">
        <f t="shared" ref="P11" si="5">SUM(P12:P31)</f>
        <v>2766</v>
      </c>
      <c r="Q11" s="24">
        <f>SUM(Q12:Q31)</f>
        <v>1883</v>
      </c>
      <c r="R11" s="19">
        <f>SUM(R12:R31)</f>
        <v>3</v>
      </c>
      <c r="S11" s="19">
        <f t="shared" ref="S11" si="6">SUM(S12:S31)</f>
        <v>51</v>
      </c>
      <c r="T11" s="58">
        <f t="shared" si="2"/>
        <v>2.3686158401184305</v>
      </c>
      <c r="U11" s="71">
        <f t="shared" si="3"/>
        <v>-2.4857586742620406</v>
      </c>
      <c r="V11" s="22"/>
      <c r="W11" s="5"/>
      <c r="X11" s="5"/>
      <c r="Y11" s="5"/>
      <c r="Z11" s="5"/>
      <c r="AA11" s="22"/>
      <c r="AB11" s="22"/>
      <c r="AC11" s="22"/>
      <c r="AD11" s="22"/>
      <c r="AE11" s="22"/>
      <c r="AF11" s="22"/>
      <c r="AG11" s="22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</row>
    <row r="12" spans="1:157" s="23" customFormat="1" ht="15" x14ac:dyDescent="0.25">
      <c r="A12" s="28" t="s">
        <v>5</v>
      </c>
      <c r="B12" s="29"/>
      <c r="C12" s="31">
        <v>158</v>
      </c>
      <c r="D12" s="30">
        <v>69</v>
      </c>
      <c r="E12" s="30">
        <v>0</v>
      </c>
      <c r="F12" s="30">
        <v>2</v>
      </c>
      <c r="G12" s="30"/>
      <c r="H12" s="31">
        <v>160</v>
      </c>
      <c r="I12" s="30">
        <v>94</v>
      </c>
      <c r="J12" s="30">
        <v>1</v>
      </c>
      <c r="K12" s="30">
        <v>2</v>
      </c>
      <c r="L12" s="31">
        <v>156</v>
      </c>
      <c r="M12" s="1">
        <v>80</v>
      </c>
      <c r="N12" s="30">
        <v>0</v>
      </c>
      <c r="O12" s="30">
        <v>1</v>
      </c>
      <c r="P12" s="31">
        <v>134</v>
      </c>
      <c r="Q12" s="1">
        <v>85</v>
      </c>
      <c r="R12" s="68">
        <v>0</v>
      </c>
      <c r="S12" s="68">
        <v>1</v>
      </c>
      <c r="T12" s="58">
        <f t="shared" si="2"/>
        <v>-14.102564102564102</v>
      </c>
      <c r="U12" s="71">
        <f t="shared" si="3"/>
        <v>6.25</v>
      </c>
      <c r="V12" s="27"/>
      <c r="W12" s="5"/>
      <c r="X12" s="5"/>
      <c r="Y12" s="5"/>
      <c r="Z12" s="5"/>
      <c r="AA12" s="22"/>
      <c r="AB12" s="22"/>
      <c r="AC12" s="22"/>
      <c r="AD12" s="22"/>
      <c r="AE12" s="22"/>
      <c r="AF12" s="22"/>
      <c r="AG12" s="22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</row>
    <row r="13" spans="1:157" s="23" customFormat="1" ht="15" x14ac:dyDescent="0.25">
      <c r="A13" s="28" t="s">
        <v>6</v>
      </c>
      <c r="B13" s="30"/>
      <c r="C13" s="31">
        <v>258</v>
      </c>
      <c r="D13" s="30">
        <v>150</v>
      </c>
      <c r="E13" s="30">
        <v>0</v>
      </c>
      <c r="F13" s="30">
        <v>10</v>
      </c>
      <c r="G13" s="30"/>
      <c r="H13" s="31">
        <v>290</v>
      </c>
      <c r="I13" s="30">
        <v>147</v>
      </c>
      <c r="J13" s="30">
        <v>0</v>
      </c>
      <c r="K13" s="30">
        <v>6</v>
      </c>
      <c r="L13" s="31">
        <v>256</v>
      </c>
      <c r="M13" s="1">
        <v>158</v>
      </c>
      <c r="N13" s="30">
        <v>1</v>
      </c>
      <c r="O13" s="30">
        <v>11</v>
      </c>
      <c r="P13" s="31">
        <v>271</v>
      </c>
      <c r="Q13" s="1">
        <v>170</v>
      </c>
      <c r="R13" s="68">
        <v>0</v>
      </c>
      <c r="S13" s="68">
        <v>8</v>
      </c>
      <c r="T13" s="58">
        <f t="shared" si="2"/>
        <v>5.859375</v>
      </c>
      <c r="U13" s="71">
        <f t="shared" si="3"/>
        <v>7.59493670886076</v>
      </c>
      <c r="V13" s="27"/>
      <c r="W13" s="5"/>
      <c r="X13" s="5"/>
      <c r="Y13" s="5"/>
      <c r="Z13" s="5"/>
      <c r="AA13" s="22"/>
      <c r="AB13" s="22"/>
      <c r="AC13" s="22"/>
      <c r="AD13" s="22"/>
      <c r="AE13" s="22"/>
      <c r="AF13" s="22"/>
      <c r="AG13" s="22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</row>
    <row r="14" spans="1:157" s="23" customFormat="1" ht="15" x14ac:dyDescent="0.25">
      <c r="A14" s="28" t="s">
        <v>7</v>
      </c>
      <c r="B14" s="30"/>
      <c r="C14" s="31">
        <v>138</v>
      </c>
      <c r="D14" s="30">
        <v>86</v>
      </c>
      <c r="E14" s="30">
        <v>0</v>
      </c>
      <c r="F14" s="30">
        <v>5</v>
      </c>
      <c r="G14" s="30"/>
      <c r="H14" s="31">
        <v>164</v>
      </c>
      <c r="I14" s="30">
        <v>77</v>
      </c>
      <c r="J14" s="30">
        <v>0</v>
      </c>
      <c r="K14" s="30">
        <v>2</v>
      </c>
      <c r="L14" s="31">
        <v>152</v>
      </c>
      <c r="M14" s="1">
        <v>90</v>
      </c>
      <c r="N14" s="30">
        <v>0</v>
      </c>
      <c r="O14" s="30">
        <v>3</v>
      </c>
      <c r="P14" s="31">
        <v>158</v>
      </c>
      <c r="Q14" s="1">
        <v>92</v>
      </c>
      <c r="R14" s="68">
        <v>0</v>
      </c>
      <c r="S14" s="68">
        <v>6</v>
      </c>
      <c r="T14" s="58">
        <f t="shared" si="2"/>
        <v>3.9473684210526314</v>
      </c>
      <c r="U14" s="71">
        <f t="shared" si="3"/>
        <v>2.2222222222222223</v>
      </c>
      <c r="V14" s="27"/>
      <c r="W14" s="5"/>
      <c r="X14" s="5"/>
      <c r="Y14" s="5"/>
      <c r="Z14" s="5"/>
      <c r="AA14" s="22"/>
      <c r="AB14" s="22"/>
      <c r="AC14" s="22"/>
      <c r="AD14" s="22"/>
      <c r="AE14" s="22"/>
      <c r="AF14" s="22"/>
      <c r="AG14" s="22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</row>
    <row r="15" spans="1:157" s="23" customFormat="1" ht="15" x14ac:dyDescent="0.25">
      <c r="A15" s="28" t="s">
        <v>9</v>
      </c>
      <c r="B15" s="30"/>
      <c r="C15" s="31">
        <v>161</v>
      </c>
      <c r="D15" s="30">
        <v>106</v>
      </c>
      <c r="E15" s="30">
        <v>1</v>
      </c>
      <c r="F15" s="30">
        <v>5</v>
      </c>
      <c r="G15" s="30"/>
      <c r="H15" s="31">
        <v>140</v>
      </c>
      <c r="I15" s="30">
        <v>96</v>
      </c>
      <c r="J15" s="30">
        <v>0</v>
      </c>
      <c r="K15" s="30">
        <v>3</v>
      </c>
      <c r="L15" s="31">
        <v>148</v>
      </c>
      <c r="M15" s="1">
        <v>105</v>
      </c>
      <c r="N15" s="30">
        <v>0</v>
      </c>
      <c r="O15" s="30">
        <v>2</v>
      </c>
      <c r="P15" s="31">
        <v>127</v>
      </c>
      <c r="Q15" s="1">
        <v>101</v>
      </c>
      <c r="R15" s="68">
        <v>0</v>
      </c>
      <c r="S15" s="68">
        <v>2</v>
      </c>
      <c r="T15" s="58">
        <f t="shared" si="2"/>
        <v>-14.189189189189189</v>
      </c>
      <c r="U15" s="71">
        <f t="shared" si="3"/>
        <v>-3.8095238095238098</v>
      </c>
      <c r="V15" s="27"/>
      <c r="W15" s="5"/>
      <c r="X15" s="5"/>
      <c r="Y15" s="5"/>
      <c r="Z15" s="5"/>
      <c r="AA15" s="22"/>
      <c r="AB15" s="22"/>
      <c r="AC15" s="22"/>
      <c r="AD15" s="22"/>
      <c r="AE15" s="22"/>
      <c r="AF15" s="22"/>
      <c r="AG15" s="22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</row>
    <row r="16" spans="1:157" s="23" customFormat="1" ht="15" x14ac:dyDescent="0.25">
      <c r="A16" s="28" t="s">
        <v>10</v>
      </c>
      <c r="B16" s="30"/>
      <c r="C16" s="31">
        <v>219</v>
      </c>
      <c r="D16" s="30">
        <v>114</v>
      </c>
      <c r="E16" s="30">
        <v>0</v>
      </c>
      <c r="F16" s="30">
        <v>4</v>
      </c>
      <c r="G16" s="30"/>
      <c r="H16" s="31">
        <v>197</v>
      </c>
      <c r="I16" s="30">
        <v>110</v>
      </c>
      <c r="J16" s="30">
        <v>0</v>
      </c>
      <c r="K16" s="30">
        <v>3</v>
      </c>
      <c r="L16" s="31">
        <v>193</v>
      </c>
      <c r="M16" s="1">
        <v>134</v>
      </c>
      <c r="N16" s="30">
        <v>0</v>
      </c>
      <c r="O16" s="30">
        <v>8</v>
      </c>
      <c r="P16" s="31">
        <v>198</v>
      </c>
      <c r="Q16" s="1">
        <v>133</v>
      </c>
      <c r="R16" s="68">
        <v>0</v>
      </c>
      <c r="S16" s="68">
        <v>11</v>
      </c>
      <c r="T16" s="58">
        <f t="shared" si="2"/>
        <v>2.5906735751295336</v>
      </c>
      <c r="U16" s="71">
        <f t="shared" si="3"/>
        <v>-0.74626865671641784</v>
      </c>
      <c r="V16" s="27"/>
      <c r="W16" s="5"/>
      <c r="X16" s="5"/>
      <c r="Y16" s="5"/>
      <c r="Z16" s="5"/>
      <c r="AA16" s="22"/>
      <c r="AB16" s="22"/>
      <c r="AC16" s="22"/>
      <c r="AD16" s="22"/>
      <c r="AE16" s="22"/>
      <c r="AF16" s="22"/>
      <c r="AG16" s="22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</row>
    <row r="17" spans="1:157" s="23" customFormat="1" ht="15" x14ac:dyDescent="0.25">
      <c r="A17" s="28" t="s">
        <v>11</v>
      </c>
      <c r="B17" s="30"/>
      <c r="C17" s="31">
        <v>108</v>
      </c>
      <c r="D17" s="30">
        <v>68</v>
      </c>
      <c r="E17" s="30">
        <v>0</v>
      </c>
      <c r="F17" s="30">
        <v>1</v>
      </c>
      <c r="G17" s="30"/>
      <c r="H17" s="31">
        <v>116</v>
      </c>
      <c r="I17" s="30">
        <v>65</v>
      </c>
      <c r="J17" s="30">
        <v>0</v>
      </c>
      <c r="K17" s="30">
        <v>1</v>
      </c>
      <c r="L17" s="31">
        <v>94</v>
      </c>
      <c r="M17" s="1">
        <v>70</v>
      </c>
      <c r="N17" s="30">
        <v>0</v>
      </c>
      <c r="O17" s="30">
        <v>4</v>
      </c>
      <c r="P17" s="31">
        <v>100</v>
      </c>
      <c r="Q17" s="1">
        <v>74</v>
      </c>
      <c r="R17" s="68">
        <v>0</v>
      </c>
      <c r="S17" s="68">
        <v>4</v>
      </c>
      <c r="T17" s="58">
        <f t="shared" si="2"/>
        <v>6.3829787234042552</v>
      </c>
      <c r="U17" s="71">
        <f t="shared" si="3"/>
        <v>5.7142857142857144</v>
      </c>
      <c r="V17" s="27"/>
      <c r="W17" s="5"/>
      <c r="X17" s="5"/>
      <c r="Y17" s="5"/>
      <c r="Z17" s="5"/>
      <c r="AA17" s="22"/>
      <c r="AB17" s="22"/>
      <c r="AC17" s="22"/>
      <c r="AD17" s="22"/>
      <c r="AE17" s="22"/>
      <c r="AF17" s="22"/>
      <c r="AG17" s="22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</row>
    <row r="18" spans="1:157" s="23" customFormat="1" ht="15" x14ac:dyDescent="0.25">
      <c r="A18" s="28" t="s">
        <v>12</v>
      </c>
      <c r="B18" s="30"/>
      <c r="C18" s="31">
        <v>140</v>
      </c>
      <c r="D18" s="30">
        <v>73</v>
      </c>
      <c r="E18" s="30">
        <v>0</v>
      </c>
      <c r="F18" s="30">
        <v>0</v>
      </c>
      <c r="G18" s="30"/>
      <c r="H18" s="31">
        <v>118</v>
      </c>
      <c r="I18" s="30">
        <v>80</v>
      </c>
      <c r="J18" s="30">
        <v>0</v>
      </c>
      <c r="K18" s="30">
        <v>4</v>
      </c>
      <c r="L18" s="31">
        <v>119</v>
      </c>
      <c r="M18" s="1">
        <v>93</v>
      </c>
      <c r="N18" s="30">
        <v>0</v>
      </c>
      <c r="O18" s="30">
        <v>6</v>
      </c>
      <c r="P18" s="31">
        <v>106</v>
      </c>
      <c r="Q18" s="1">
        <v>84</v>
      </c>
      <c r="R18" s="68">
        <v>0</v>
      </c>
      <c r="S18" s="68">
        <v>1</v>
      </c>
      <c r="T18" s="58">
        <f t="shared" si="2"/>
        <v>-10.92436974789916</v>
      </c>
      <c r="U18" s="71">
        <f t="shared" si="3"/>
        <v>-9.67741935483871</v>
      </c>
      <c r="V18" s="27"/>
      <c r="W18" s="5"/>
      <c r="X18" s="5"/>
      <c r="Y18" s="5"/>
      <c r="Z18" s="5"/>
      <c r="AA18" s="22"/>
      <c r="AB18" s="22"/>
      <c r="AC18" s="22"/>
      <c r="AD18" s="22"/>
      <c r="AE18" s="22"/>
      <c r="AF18" s="22"/>
      <c r="AG18" s="22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</row>
    <row r="19" spans="1:157" s="23" customFormat="1" ht="15" x14ac:dyDescent="0.25">
      <c r="A19" s="28" t="s">
        <v>24</v>
      </c>
      <c r="B19" s="30"/>
      <c r="C19" s="31">
        <v>201</v>
      </c>
      <c r="D19" s="30">
        <v>132</v>
      </c>
      <c r="E19" s="30">
        <v>3</v>
      </c>
      <c r="F19" s="30">
        <v>3</v>
      </c>
      <c r="G19" s="30"/>
      <c r="H19" s="31">
        <v>180</v>
      </c>
      <c r="I19" s="30">
        <v>120</v>
      </c>
      <c r="J19" s="30">
        <v>2</v>
      </c>
      <c r="K19" s="30">
        <v>1</v>
      </c>
      <c r="L19" s="31">
        <v>201</v>
      </c>
      <c r="M19" s="1">
        <v>146</v>
      </c>
      <c r="N19" s="30">
        <v>0</v>
      </c>
      <c r="O19" s="30">
        <v>3</v>
      </c>
      <c r="P19" s="31">
        <v>178</v>
      </c>
      <c r="Q19" s="1">
        <v>114</v>
      </c>
      <c r="R19" s="68">
        <v>1</v>
      </c>
      <c r="S19" s="68">
        <v>3</v>
      </c>
      <c r="T19" s="58">
        <f t="shared" si="2"/>
        <v>-11.442786069651742</v>
      </c>
      <c r="U19" s="71">
        <f t="shared" si="3"/>
        <v>-21.917808219178081</v>
      </c>
      <c r="V19" s="27"/>
      <c r="W19" s="5"/>
      <c r="X19" s="5"/>
      <c r="Y19" s="5"/>
      <c r="Z19" s="5"/>
      <c r="AA19" s="22"/>
      <c r="AB19" s="22"/>
      <c r="AC19" s="22"/>
      <c r="AD19" s="22"/>
      <c r="AE19" s="22"/>
      <c r="AF19" s="22"/>
      <c r="AG19" s="22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</row>
    <row r="20" spans="1:157" s="23" customFormat="1" ht="15" x14ac:dyDescent="0.25">
      <c r="A20" s="28" t="s">
        <v>13</v>
      </c>
      <c r="B20" s="30"/>
      <c r="C20" s="31">
        <v>89</v>
      </c>
      <c r="D20" s="30">
        <v>89</v>
      </c>
      <c r="E20" s="30">
        <v>0</v>
      </c>
      <c r="F20" s="30">
        <v>1</v>
      </c>
      <c r="G20" s="30"/>
      <c r="H20" s="31">
        <v>109</v>
      </c>
      <c r="I20" s="30">
        <v>64</v>
      </c>
      <c r="J20" s="30">
        <v>0</v>
      </c>
      <c r="K20" s="30">
        <v>3</v>
      </c>
      <c r="L20" s="31">
        <v>103</v>
      </c>
      <c r="M20" s="1">
        <v>91</v>
      </c>
      <c r="N20" s="30">
        <v>0</v>
      </c>
      <c r="O20" s="30">
        <v>3</v>
      </c>
      <c r="P20" s="31">
        <v>94</v>
      </c>
      <c r="Q20" s="1">
        <v>68</v>
      </c>
      <c r="R20" s="68">
        <v>0</v>
      </c>
      <c r="S20" s="68">
        <v>2</v>
      </c>
      <c r="T20" s="58">
        <f t="shared" si="2"/>
        <v>-8.7378640776699026</v>
      </c>
      <c r="U20" s="71">
        <f t="shared" si="3"/>
        <v>-25.274725274725274</v>
      </c>
      <c r="V20" s="27"/>
      <c r="W20" s="5"/>
      <c r="X20" s="5"/>
      <c r="Y20" s="5"/>
      <c r="Z20" s="5"/>
      <c r="AA20" s="22"/>
      <c r="AB20" s="22"/>
      <c r="AC20" s="22"/>
      <c r="AD20" s="22"/>
      <c r="AE20" s="22"/>
      <c r="AF20" s="22"/>
      <c r="AG20" s="22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</row>
    <row r="21" spans="1:157" s="32" customFormat="1" ht="15" x14ac:dyDescent="0.25">
      <c r="A21" s="28" t="s">
        <v>14</v>
      </c>
      <c r="B21" s="30"/>
      <c r="C21" s="31">
        <v>121</v>
      </c>
      <c r="D21" s="30">
        <v>83</v>
      </c>
      <c r="E21" s="30">
        <v>0</v>
      </c>
      <c r="F21" s="30">
        <v>0</v>
      </c>
      <c r="G21" s="30"/>
      <c r="H21" s="31">
        <v>112</v>
      </c>
      <c r="I21" s="30">
        <v>79</v>
      </c>
      <c r="J21" s="30">
        <v>0</v>
      </c>
      <c r="K21" s="30">
        <v>1</v>
      </c>
      <c r="L21" s="31">
        <v>97</v>
      </c>
      <c r="M21" s="1">
        <v>80</v>
      </c>
      <c r="N21" s="30">
        <v>0</v>
      </c>
      <c r="O21" s="30">
        <v>3</v>
      </c>
      <c r="P21" s="31">
        <v>111</v>
      </c>
      <c r="Q21" s="1">
        <v>80</v>
      </c>
      <c r="R21" s="68">
        <v>0</v>
      </c>
      <c r="S21" s="68">
        <v>2</v>
      </c>
      <c r="T21" s="58">
        <f t="shared" si="2"/>
        <v>14.432989690721648</v>
      </c>
      <c r="U21" s="71">
        <f t="shared" si="3"/>
        <v>0</v>
      </c>
      <c r="V21" s="27"/>
      <c r="W21" s="5"/>
      <c r="X21" s="5"/>
      <c r="Y21" s="5"/>
      <c r="Z21" s="5"/>
      <c r="AA21" s="22"/>
      <c r="AB21" s="22"/>
      <c r="AC21" s="22"/>
      <c r="AD21" s="22"/>
      <c r="AE21" s="22"/>
      <c r="AF21" s="22"/>
      <c r="AG21" s="22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</row>
    <row r="22" spans="1:157" s="32" customFormat="1" ht="15" x14ac:dyDescent="0.25">
      <c r="A22" s="28" t="s">
        <v>15</v>
      </c>
      <c r="B22" s="30"/>
      <c r="C22" s="31">
        <v>13</v>
      </c>
      <c r="D22" s="30">
        <v>11</v>
      </c>
      <c r="E22" s="30">
        <v>0</v>
      </c>
      <c r="F22" s="30">
        <v>0</v>
      </c>
      <c r="G22" s="30"/>
      <c r="H22" s="31">
        <v>19</v>
      </c>
      <c r="I22" s="30">
        <v>24</v>
      </c>
      <c r="J22" s="30">
        <v>0</v>
      </c>
      <c r="K22" s="30">
        <v>0</v>
      </c>
      <c r="L22" s="31">
        <v>11</v>
      </c>
      <c r="M22" s="1">
        <v>14</v>
      </c>
      <c r="N22" s="30">
        <v>0</v>
      </c>
      <c r="O22" s="30">
        <v>0</v>
      </c>
      <c r="P22" s="31">
        <v>13</v>
      </c>
      <c r="Q22" s="1">
        <v>12</v>
      </c>
      <c r="R22" s="68">
        <v>0</v>
      </c>
      <c r="S22" s="68">
        <v>0</v>
      </c>
      <c r="T22" s="58">
        <f t="shared" si="2"/>
        <v>18.181818181818183</v>
      </c>
      <c r="U22" s="71">
        <f t="shared" si="3"/>
        <v>-14.285714285714285</v>
      </c>
      <c r="V22" s="27"/>
      <c r="W22" s="5"/>
      <c r="X22" s="5"/>
      <c r="Y22" s="5"/>
      <c r="Z22" s="5"/>
      <c r="AA22" s="22"/>
      <c r="AB22" s="22"/>
      <c r="AC22" s="22"/>
      <c r="AD22" s="22"/>
      <c r="AE22" s="22"/>
      <c r="AF22" s="22"/>
      <c r="AG22" s="22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</row>
    <row r="23" spans="1:157" s="32" customFormat="1" ht="15" x14ac:dyDescent="0.25">
      <c r="A23" s="28" t="s">
        <v>16</v>
      </c>
      <c r="B23" s="30"/>
      <c r="C23" s="31">
        <v>51</v>
      </c>
      <c r="D23" s="30">
        <v>31</v>
      </c>
      <c r="E23" s="30">
        <v>0</v>
      </c>
      <c r="F23" s="30">
        <v>1</v>
      </c>
      <c r="G23" s="30"/>
      <c r="H23" s="31">
        <v>64</v>
      </c>
      <c r="I23" s="30">
        <v>44</v>
      </c>
      <c r="J23" s="30">
        <v>1</v>
      </c>
      <c r="K23" s="30">
        <v>1</v>
      </c>
      <c r="L23" s="31">
        <v>61</v>
      </c>
      <c r="M23" s="1">
        <v>41</v>
      </c>
      <c r="N23" s="30">
        <v>0</v>
      </c>
      <c r="O23" s="30">
        <v>1</v>
      </c>
      <c r="P23" s="31">
        <v>55</v>
      </c>
      <c r="Q23" s="1">
        <v>46</v>
      </c>
      <c r="R23" s="68">
        <v>0</v>
      </c>
      <c r="S23" s="68">
        <v>3</v>
      </c>
      <c r="T23" s="58">
        <f t="shared" si="2"/>
        <v>-9.8360655737704921</v>
      </c>
      <c r="U23" s="71">
        <f t="shared" si="3"/>
        <v>12.195121951219512</v>
      </c>
      <c r="V23" s="27"/>
      <c r="W23" s="5"/>
      <c r="X23" s="5"/>
      <c r="Y23" s="5"/>
      <c r="Z23" s="5"/>
      <c r="AA23" s="22"/>
      <c r="AB23" s="22"/>
      <c r="AC23" s="22"/>
      <c r="AD23" s="22"/>
      <c r="AE23" s="22"/>
      <c r="AF23" s="22"/>
      <c r="AG23" s="22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</row>
    <row r="24" spans="1:157" s="32" customFormat="1" ht="15" x14ac:dyDescent="0.25">
      <c r="A24" s="28" t="s">
        <v>17</v>
      </c>
      <c r="B24" s="30"/>
      <c r="C24" s="31">
        <v>56</v>
      </c>
      <c r="D24" s="30">
        <v>30</v>
      </c>
      <c r="E24" s="30">
        <v>0</v>
      </c>
      <c r="F24" s="30">
        <v>3</v>
      </c>
      <c r="G24" s="30"/>
      <c r="H24" s="31">
        <v>56</v>
      </c>
      <c r="I24" s="30">
        <v>32</v>
      </c>
      <c r="J24" s="30">
        <v>0</v>
      </c>
      <c r="K24" s="30">
        <v>3</v>
      </c>
      <c r="L24" s="31">
        <v>56</v>
      </c>
      <c r="M24" s="1">
        <v>34</v>
      </c>
      <c r="N24" s="30">
        <v>0</v>
      </c>
      <c r="O24" s="30">
        <v>1</v>
      </c>
      <c r="P24" s="31">
        <v>52</v>
      </c>
      <c r="Q24" s="1">
        <v>34</v>
      </c>
      <c r="R24" s="68">
        <v>0</v>
      </c>
      <c r="S24" s="68">
        <v>0</v>
      </c>
      <c r="T24" s="58">
        <f t="shared" si="2"/>
        <v>-7.1428571428571423</v>
      </c>
      <c r="U24" s="71">
        <f t="shared" si="3"/>
        <v>0</v>
      </c>
      <c r="V24" s="27"/>
      <c r="W24" s="5"/>
      <c r="X24" s="5"/>
      <c r="Y24" s="5"/>
      <c r="Z24" s="5"/>
      <c r="AA24" s="22"/>
      <c r="AB24" s="22"/>
      <c r="AC24" s="22"/>
      <c r="AD24" s="22"/>
      <c r="AE24" s="22"/>
      <c r="AF24" s="22"/>
      <c r="AG24" s="22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</row>
    <row r="25" spans="1:157" s="32" customFormat="1" ht="15" x14ac:dyDescent="0.25">
      <c r="A25" s="28" t="s">
        <v>18</v>
      </c>
      <c r="B25" s="30"/>
      <c r="C25" s="31">
        <v>56</v>
      </c>
      <c r="D25" s="30">
        <v>41</v>
      </c>
      <c r="E25" s="30">
        <v>0</v>
      </c>
      <c r="F25" s="30">
        <v>0</v>
      </c>
      <c r="G25" s="30"/>
      <c r="H25" s="31">
        <v>67</v>
      </c>
      <c r="I25" s="30">
        <v>34</v>
      </c>
      <c r="J25" s="30">
        <v>1</v>
      </c>
      <c r="K25" s="30">
        <v>3</v>
      </c>
      <c r="L25" s="31">
        <v>55</v>
      </c>
      <c r="M25" s="1">
        <v>43</v>
      </c>
      <c r="N25" s="30">
        <v>0</v>
      </c>
      <c r="O25" s="30">
        <v>4</v>
      </c>
      <c r="P25" s="31">
        <v>67</v>
      </c>
      <c r="Q25" s="1">
        <v>27</v>
      </c>
      <c r="R25" s="68">
        <v>0</v>
      </c>
      <c r="S25" s="68">
        <v>0</v>
      </c>
      <c r="T25" s="58">
        <f t="shared" si="2"/>
        <v>21.818181818181817</v>
      </c>
      <c r="U25" s="71">
        <f t="shared" si="3"/>
        <v>-37.209302325581397</v>
      </c>
      <c r="V25" s="27"/>
      <c r="W25" s="5"/>
      <c r="X25" s="5"/>
      <c r="Y25" s="5"/>
      <c r="Z25" s="5"/>
      <c r="AA25" s="22"/>
      <c r="AB25" s="22"/>
      <c r="AC25" s="22"/>
      <c r="AD25" s="22"/>
      <c r="AE25" s="22"/>
      <c r="AF25" s="22"/>
      <c r="AG25" s="22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5"/>
      <c r="AV25" s="5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</row>
    <row r="26" spans="1:157" s="32" customFormat="1" ht="15" x14ac:dyDescent="0.25">
      <c r="A26" s="28" t="s">
        <v>19</v>
      </c>
      <c r="B26" s="30"/>
      <c r="C26" s="31">
        <v>130</v>
      </c>
      <c r="D26" s="30">
        <v>82</v>
      </c>
      <c r="E26" s="30">
        <v>0</v>
      </c>
      <c r="F26" s="30">
        <v>2</v>
      </c>
      <c r="G26" s="30"/>
      <c r="H26" s="31">
        <v>109</v>
      </c>
      <c r="I26" s="30">
        <v>75</v>
      </c>
      <c r="J26" s="30">
        <v>0</v>
      </c>
      <c r="K26" s="30">
        <v>5</v>
      </c>
      <c r="L26" s="31">
        <v>132</v>
      </c>
      <c r="M26" s="1">
        <v>96</v>
      </c>
      <c r="N26" s="30">
        <v>0</v>
      </c>
      <c r="O26" s="30">
        <v>6</v>
      </c>
      <c r="P26" s="31">
        <v>137</v>
      </c>
      <c r="Q26" s="1">
        <v>74</v>
      </c>
      <c r="R26" s="68">
        <v>0</v>
      </c>
      <c r="S26" s="68">
        <v>0</v>
      </c>
      <c r="T26" s="58">
        <f t="shared" si="2"/>
        <v>3.7878787878787881</v>
      </c>
      <c r="U26" s="71">
        <f t="shared" si="3"/>
        <v>-22.916666666666664</v>
      </c>
      <c r="V26" s="27"/>
      <c r="W26" s="5"/>
      <c r="X26" s="5"/>
      <c r="Y26" s="5"/>
      <c r="Z26" s="5"/>
      <c r="AA26" s="22"/>
      <c r="AB26" s="22"/>
      <c r="AC26" s="22"/>
      <c r="AD26" s="22"/>
      <c r="AE26" s="22"/>
      <c r="AF26" s="22"/>
      <c r="AG26" s="22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</row>
    <row r="27" spans="1:157" s="32" customFormat="1" ht="15" x14ac:dyDescent="0.25">
      <c r="A27" s="28" t="s">
        <v>20</v>
      </c>
      <c r="B27" s="30"/>
      <c r="C27" s="31">
        <v>232</v>
      </c>
      <c r="D27" s="30">
        <v>169</v>
      </c>
      <c r="E27" s="30">
        <v>0</v>
      </c>
      <c r="F27" s="30">
        <v>4</v>
      </c>
      <c r="G27" s="30"/>
      <c r="H27" s="31">
        <v>204</v>
      </c>
      <c r="I27" s="30">
        <v>135</v>
      </c>
      <c r="J27" s="30">
        <v>0</v>
      </c>
      <c r="K27" s="30">
        <v>3</v>
      </c>
      <c r="L27" s="31">
        <v>185</v>
      </c>
      <c r="M27" s="1">
        <v>163</v>
      </c>
      <c r="N27" s="30">
        <v>0</v>
      </c>
      <c r="O27" s="30">
        <v>2</v>
      </c>
      <c r="P27" s="31">
        <v>214</v>
      </c>
      <c r="Q27" s="1">
        <v>158</v>
      </c>
      <c r="R27" s="68">
        <v>0</v>
      </c>
      <c r="S27" s="68">
        <v>1</v>
      </c>
      <c r="T27" s="58">
        <f t="shared" si="2"/>
        <v>15.675675675675677</v>
      </c>
      <c r="U27" s="71">
        <f t="shared" si="3"/>
        <v>-3.0674846625766872</v>
      </c>
      <c r="V27" s="27"/>
      <c r="W27" s="5"/>
      <c r="X27" s="5"/>
      <c r="Y27" s="5"/>
      <c r="Z27" s="5"/>
      <c r="AA27" s="22"/>
      <c r="AB27" s="22"/>
      <c r="AC27" s="22"/>
      <c r="AD27" s="22"/>
      <c r="AE27" s="22"/>
      <c r="AF27" s="22"/>
      <c r="AG27" s="22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</row>
    <row r="28" spans="1:157" s="32" customFormat="1" ht="15" x14ac:dyDescent="0.25">
      <c r="A28" s="28" t="s">
        <v>21</v>
      </c>
      <c r="B28" s="30"/>
      <c r="C28" s="31">
        <v>141</v>
      </c>
      <c r="D28" s="30">
        <v>100</v>
      </c>
      <c r="E28" s="30">
        <v>1</v>
      </c>
      <c r="F28" s="30">
        <v>3</v>
      </c>
      <c r="G28" s="30"/>
      <c r="H28" s="31">
        <v>123</v>
      </c>
      <c r="I28" s="30">
        <v>82</v>
      </c>
      <c r="J28" s="30">
        <v>0</v>
      </c>
      <c r="K28" s="30">
        <v>2</v>
      </c>
      <c r="L28" s="31">
        <v>116</v>
      </c>
      <c r="M28" s="1">
        <v>93</v>
      </c>
      <c r="N28" s="30">
        <v>0</v>
      </c>
      <c r="O28" s="30">
        <v>7</v>
      </c>
      <c r="P28" s="31">
        <v>135</v>
      </c>
      <c r="Q28" s="1">
        <v>83</v>
      </c>
      <c r="R28" s="68">
        <v>0</v>
      </c>
      <c r="S28" s="68">
        <v>2</v>
      </c>
      <c r="T28" s="58">
        <f t="shared" si="2"/>
        <v>16.379310344827587</v>
      </c>
      <c r="U28" s="71">
        <f t="shared" si="3"/>
        <v>-10.75268817204301</v>
      </c>
      <c r="V28" s="27"/>
      <c r="W28" s="5"/>
      <c r="X28" s="5"/>
      <c r="Y28" s="5"/>
      <c r="Z28" s="5"/>
      <c r="AA28" s="22"/>
      <c r="AB28" s="22"/>
      <c r="AC28" s="22"/>
      <c r="AD28" s="22"/>
      <c r="AE28" s="22"/>
      <c r="AF28" s="22"/>
      <c r="AG28" s="22"/>
      <c r="AI28" s="33"/>
      <c r="AJ28" s="33"/>
      <c r="AK28" s="33"/>
      <c r="AL28" s="33"/>
      <c r="AM28" s="33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</row>
    <row r="29" spans="1:157" s="32" customFormat="1" ht="15" x14ac:dyDescent="0.25">
      <c r="A29" s="28" t="s">
        <v>22</v>
      </c>
      <c r="B29" s="30"/>
      <c r="C29" s="31">
        <v>178</v>
      </c>
      <c r="D29" s="30">
        <v>104</v>
      </c>
      <c r="E29" s="30">
        <v>3</v>
      </c>
      <c r="F29" s="30">
        <v>4</v>
      </c>
      <c r="G29" s="30"/>
      <c r="H29" s="31">
        <v>187</v>
      </c>
      <c r="I29" s="30">
        <v>130</v>
      </c>
      <c r="J29" s="30">
        <v>0</v>
      </c>
      <c r="K29" s="30">
        <v>5</v>
      </c>
      <c r="L29" s="31">
        <v>159</v>
      </c>
      <c r="M29" s="1">
        <v>109</v>
      </c>
      <c r="N29" s="30">
        <v>0</v>
      </c>
      <c r="O29" s="30">
        <v>6</v>
      </c>
      <c r="P29" s="31">
        <v>177</v>
      </c>
      <c r="Q29" s="1">
        <v>120</v>
      </c>
      <c r="R29" s="68">
        <v>2</v>
      </c>
      <c r="S29" s="68">
        <v>3</v>
      </c>
      <c r="T29" s="58">
        <f t="shared" si="2"/>
        <v>11.320754716981133</v>
      </c>
      <c r="U29" s="71">
        <f t="shared" si="3"/>
        <v>10.091743119266056</v>
      </c>
      <c r="V29" s="27"/>
      <c r="W29" s="5"/>
      <c r="X29" s="5"/>
      <c r="Y29" s="5"/>
      <c r="Z29" s="5"/>
      <c r="AA29" s="22"/>
      <c r="AB29" s="22"/>
      <c r="AC29" s="22"/>
      <c r="AD29" s="22"/>
      <c r="AE29" s="22"/>
      <c r="AF29" s="22"/>
      <c r="AG29" s="22"/>
      <c r="AI29" s="5"/>
      <c r="AJ29" s="33"/>
      <c r="AK29" s="33"/>
      <c r="AL29" s="33"/>
      <c r="AM29" s="33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</row>
    <row r="30" spans="1:157" s="32" customFormat="1" ht="15" x14ac:dyDescent="0.2">
      <c r="A30" s="28" t="s">
        <v>23</v>
      </c>
      <c r="B30" s="30"/>
      <c r="C30" s="31">
        <v>129</v>
      </c>
      <c r="D30" s="30">
        <v>97</v>
      </c>
      <c r="E30" s="30">
        <v>0</v>
      </c>
      <c r="F30" s="30">
        <v>0</v>
      </c>
      <c r="G30" s="30"/>
      <c r="H30" s="31">
        <v>160</v>
      </c>
      <c r="I30" s="30">
        <v>103</v>
      </c>
      <c r="J30" s="30">
        <v>3</v>
      </c>
      <c r="K30" s="30">
        <v>4</v>
      </c>
      <c r="L30" s="31">
        <v>136</v>
      </c>
      <c r="M30" s="1">
        <v>85</v>
      </c>
      <c r="N30" s="30">
        <v>0</v>
      </c>
      <c r="O30" s="30">
        <v>0</v>
      </c>
      <c r="P30" s="31">
        <v>138</v>
      </c>
      <c r="Q30" s="1">
        <v>101</v>
      </c>
      <c r="R30" s="68">
        <v>0</v>
      </c>
      <c r="S30" s="68">
        <v>0</v>
      </c>
      <c r="T30" s="58">
        <f t="shared" si="2"/>
        <v>1.4705882352941175</v>
      </c>
      <c r="U30" s="71">
        <f t="shared" si="3"/>
        <v>18.823529411764707</v>
      </c>
      <c r="V30" s="27"/>
      <c r="W30" s="5"/>
      <c r="X30" s="5"/>
      <c r="Y30" s="5"/>
      <c r="Z30" s="5"/>
      <c r="AA30" s="22"/>
      <c r="AB30" s="22"/>
      <c r="AC30" s="22"/>
      <c r="AD30" s="22"/>
      <c r="AE30" s="22"/>
      <c r="AF30" s="22"/>
      <c r="AG30" s="22"/>
      <c r="AI30" s="34"/>
      <c r="AJ30" s="73"/>
      <c r="AK30" s="73"/>
      <c r="AL30" s="33"/>
      <c r="AM30" s="33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</row>
    <row r="31" spans="1:157" s="41" customFormat="1" ht="15" x14ac:dyDescent="0.2">
      <c r="A31" s="35" t="s">
        <v>8</v>
      </c>
      <c r="B31" s="36"/>
      <c r="C31" s="37">
        <v>283</v>
      </c>
      <c r="D31" s="36">
        <v>179</v>
      </c>
      <c r="E31" s="36">
        <v>1</v>
      </c>
      <c r="F31" s="36">
        <v>9</v>
      </c>
      <c r="G31" s="36"/>
      <c r="H31" s="37">
        <v>266</v>
      </c>
      <c r="I31" s="36">
        <v>202</v>
      </c>
      <c r="J31" s="36">
        <v>0</v>
      </c>
      <c r="K31" s="36">
        <v>10</v>
      </c>
      <c r="L31" s="37">
        <v>272</v>
      </c>
      <c r="M31" s="61">
        <v>206</v>
      </c>
      <c r="N31" s="36">
        <v>0</v>
      </c>
      <c r="O31" s="36">
        <v>5</v>
      </c>
      <c r="P31" s="37">
        <v>301</v>
      </c>
      <c r="Q31" s="61">
        <v>227</v>
      </c>
      <c r="R31" s="36">
        <v>0</v>
      </c>
      <c r="S31" s="36">
        <v>2</v>
      </c>
      <c r="T31" s="59">
        <f t="shared" si="2"/>
        <v>10.661764705882353</v>
      </c>
      <c r="U31" s="60">
        <f t="shared" si="3"/>
        <v>10.194174757281553</v>
      </c>
      <c r="V31" s="22"/>
      <c r="W31" s="5"/>
      <c r="X31" s="5"/>
      <c r="Y31" s="5"/>
      <c r="Z31" s="5"/>
      <c r="AA31" s="22"/>
      <c r="AB31" s="22"/>
      <c r="AC31" s="22"/>
      <c r="AD31" s="22"/>
      <c r="AE31" s="22"/>
      <c r="AF31" s="22"/>
      <c r="AG31" s="22"/>
      <c r="AH31" s="38"/>
      <c r="AI31" s="38"/>
      <c r="AJ31" s="38"/>
      <c r="AK31" s="38"/>
      <c r="AL31" s="38"/>
      <c r="AM31" s="39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</row>
    <row r="32" spans="1:157" s="1" customFormat="1" ht="17.25" x14ac:dyDescent="0.45">
      <c r="A32" s="42" t="s">
        <v>34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4" t="s">
        <v>35</v>
      </c>
      <c r="W32" s="5"/>
      <c r="X32" s="5"/>
      <c r="Y32" s="5"/>
      <c r="Z32" s="5"/>
      <c r="AA32" s="45"/>
      <c r="AB32" s="45"/>
      <c r="AC32" s="45"/>
      <c r="AD32" s="45"/>
      <c r="AE32" s="45"/>
      <c r="AF32" s="45"/>
      <c r="AG32" s="46"/>
      <c r="AH32" s="46"/>
      <c r="AI32" s="46"/>
      <c r="AJ32" s="46"/>
      <c r="AK32" s="46"/>
      <c r="AL32" s="46"/>
      <c r="AM32" s="33"/>
    </row>
    <row r="33" spans="2:56" s="47" customFormat="1" x14ac:dyDescent="0.2"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W33" s="5"/>
      <c r="X33" s="5"/>
      <c r="Y33" s="5"/>
      <c r="Z33" s="5"/>
      <c r="AA33" s="45"/>
      <c r="AB33" s="45"/>
      <c r="AC33" s="45"/>
      <c r="AD33" s="45"/>
      <c r="AE33" s="45"/>
      <c r="AF33" s="45"/>
      <c r="AG33" s="46"/>
      <c r="AH33" s="46"/>
      <c r="AI33" s="46"/>
      <c r="AJ33" s="46"/>
      <c r="AK33" s="46"/>
      <c r="AL33" s="46"/>
      <c r="AM33" s="46"/>
    </row>
    <row r="34" spans="2:56" s="47" customFormat="1" x14ac:dyDescent="0.2"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W34" s="5"/>
      <c r="X34" s="5"/>
      <c r="Y34" s="5"/>
      <c r="Z34" s="5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</row>
    <row r="35" spans="2:56" s="47" customFormat="1" x14ac:dyDescent="0.2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W35" s="5"/>
      <c r="X35" s="5"/>
      <c r="Y35" s="5"/>
      <c r="Z35" s="5"/>
      <c r="AA35" s="46"/>
      <c r="AB35" s="46"/>
      <c r="AC35" s="46"/>
      <c r="AD35" s="46"/>
      <c r="AE35" s="46"/>
      <c r="AF35" s="46"/>
      <c r="AG35" s="46"/>
      <c r="AH35" s="73"/>
      <c r="AI35" s="73"/>
      <c r="AJ35" s="73"/>
      <c r="AK35" s="73"/>
      <c r="AL35" s="73"/>
      <c r="AM35" s="73"/>
      <c r="AN35" s="73"/>
      <c r="AO35" s="73"/>
      <c r="AP35" s="46"/>
    </row>
    <row r="36" spans="2:56" s="47" customFormat="1" x14ac:dyDescent="0.2"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W36" s="5"/>
      <c r="X36" s="5"/>
      <c r="Y36" s="5"/>
      <c r="Z36" s="5"/>
      <c r="AA36" s="46"/>
      <c r="AB36" s="46"/>
      <c r="AC36" s="46"/>
      <c r="AD36" s="46"/>
      <c r="AE36" s="46"/>
      <c r="AF36" s="46"/>
      <c r="AG36" s="46"/>
      <c r="AH36" s="15"/>
      <c r="AI36" s="15"/>
      <c r="AJ36" s="15"/>
      <c r="AK36" s="15"/>
      <c r="AL36" s="15"/>
      <c r="AM36" s="15"/>
      <c r="AN36" s="15"/>
      <c r="AO36" s="15"/>
      <c r="AP36" s="46"/>
    </row>
    <row r="37" spans="2:56" s="47" customFormat="1" x14ac:dyDescent="0.2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2"/>
      <c r="AH37" s="49"/>
      <c r="AI37" s="49"/>
      <c r="AJ37" s="49"/>
      <c r="AK37" s="49"/>
      <c r="AL37" s="49"/>
      <c r="AM37" s="49"/>
      <c r="AN37" s="49"/>
      <c r="AO37" s="49"/>
      <c r="AP37" s="46"/>
    </row>
    <row r="38" spans="2:56" s="47" customFormat="1" x14ac:dyDescent="0.2"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AG38" s="50"/>
      <c r="AH38" s="49"/>
      <c r="AI38" s="49"/>
      <c r="AJ38" s="49"/>
      <c r="AK38" s="49"/>
      <c r="AL38" s="49"/>
      <c r="AM38" s="49"/>
      <c r="AN38" s="49"/>
      <c r="AO38" s="49"/>
      <c r="AP38" s="46"/>
    </row>
    <row r="39" spans="2:56" s="47" customFormat="1" x14ac:dyDescent="0.2"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</row>
    <row r="40" spans="2:56" s="47" customFormat="1" x14ac:dyDescent="0.2"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AI40" s="72">
        <v>2010</v>
      </c>
      <c r="AJ40" s="72"/>
      <c r="AK40" s="72">
        <v>2011</v>
      </c>
      <c r="AL40" s="72"/>
      <c r="AM40" s="72">
        <v>2012</v>
      </c>
      <c r="AN40" s="72"/>
      <c r="AO40" s="72">
        <v>2013</v>
      </c>
      <c r="AP40" s="72"/>
      <c r="AQ40" s="72">
        <v>2014</v>
      </c>
      <c r="AR40" s="72"/>
      <c r="AS40" s="72">
        <v>2015</v>
      </c>
      <c r="AT40" s="72"/>
      <c r="AU40" s="72">
        <v>2016</v>
      </c>
      <c r="AV40" s="72"/>
      <c r="AW40" s="72">
        <v>2017</v>
      </c>
      <c r="AX40" s="72"/>
      <c r="AY40" s="72">
        <v>2018</v>
      </c>
      <c r="AZ40" s="72"/>
      <c r="BA40" s="72">
        <v>2019</v>
      </c>
      <c r="BB40" s="72"/>
      <c r="BC40" s="72">
        <v>2020</v>
      </c>
      <c r="BD40" s="72"/>
    </row>
    <row r="41" spans="2:56" s="47" customFormat="1" x14ac:dyDescent="0.2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AI41" s="13" t="s">
        <v>36</v>
      </c>
      <c r="AJ41" s="13" t="s">
        <v>37</v>
      </c>
      <c r="AK41" s="13" t="s">
        <v>36</v>
      </c>
      <c r="AL41" s="13" t="s">
        <v>37</v>
      </c>
      <c r="AM41" s="13" t="s">
        <v>36</v>
      </c>
      <c r="AN41" s="13" t="s">
        <v>37</v>
      </c>
      <c r="AO41" s="13" t="s">
        <v>36</v>
      </c>
      <c r="AP41" s="13" t="s">
        <v>37</v>
      </c>
      <c r="AQ41" s="13" t="s">
        <v>36</v>
      </c>
      <c r="AR41" s="13" t="s">
        <v>37</v>
      </c>
      <c r="AS41" s="13" t="s">
        <v>36</v>
      </c>
      <c r="AT41" s="13" t="s">
        <v>37</v>
      </c>
      <c r="AU41" s="13" t="s">
        <v>36</v>
      </c>
      <c r="AV41" s="13" t="s">
        <v>37</v>
      </c>
      <c r="AW41" s="13" t="s">
        <v>36</v>
      </c>
      <c r="AX41" s="13" t="s">
        <v>37</v>
      </c>
      <c r="AY41" s="13" t="s">
        <v>36</v>
      </c>
      <c r="AZ41" s="13" t="s">
        <v>37</v>
      </c>
      <c r="BA41" s="13" t="s">
        <v>36</v>
      </c>
      <c r="BB41" s="13" t="s">
        <v>37</v>
      </c>
      <c r="BC41" s="13" t="s">
        <v>36</v>
      </c>
      <c r="BD41" s="13" t="s">
        <v>37</v>
      </c>
    </row>
    <row r="42" spans="2:56" s="47" customFormat="1" x14ac:dyDescent="0.2"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AH42" s="2" t="s">
        <v>3</v>
      </c>
      <c r="AI42" s="49">
        <v>2491</v>
      </c>
      <c r="AJ42" s="49">
        <v>1248</v>
      </c>
      <c r="AK42" s="51">
        <v>2366</v>
      </c>
      <c r="AL42" s="51">
        <v>1209</v>
      </c>
      <c r="AM42" s="49">
        <v>2404</v>
      </c>
      <c r="AN42" s="49">
        <v>1320</v>
      </c>
      <c r="AO42" s="47">
        <v>2463</v>
      </c>
      <c r="AP42" s="47">
        <v>1508</v>
      </c>
      <c r="AQ42" s="47">
        <v>2357</v>
      </c>
      <c r="AR42" s="47">
        <v>1368</v>
      </c>
      <c r="AS42" s="47">
        <v>2417</v>
      </c>
      <c r="AT42" s="47">
        <v>1288</v>
      </c>
      <c r="AU42" s="47">
        <v>2304</v>
      </c>
      <c r="AV42" s="47">
        <v>1341</v>
      </c>
      <c r="AW42" s="47">
        <v>2168</v>
      </c>
      <c r="AX42" s="47">
        <v>1248</v>
      </c>
      <c r="AY42" s="47">
        <f t="shared" ref="AY42:AZ44" si="7">H9</f>
        <v>2191</v>
      </c>
      <c r="AZ42" s="47">
        <f t="shared" si="7"/>
        <v>1156</v>
      </c>
      <c r="BA42" s="47">
        <f>L9</f>
        <v>2055</v>
      </c>
      <c r="BB42" s="47">
        <f>M9</f>
        <v>1260</v>
      </c>
      <c r="BC42" s="47">
        <f>P9</f>
        <v>1995</v>
      </c>
      <c r="BD42" s="47">
        <f>Q9</f>
        <v>928</v>
      </c>
    </row>
    <row r="43" spans="2:56" s="47" customFormat="1" ht="15" x14ac:dyDescent="0.2"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AH43" s="26" t="s">
        <v>2</v>
      </c>
      <c r="AQ43" s="47">
        <v>125</v>
      </c>
      <c r="AR43" s="47">
        <v>98</v>
      </c>
      <c r="AS43" s="47">
        <v>193</v>
      </c>
      <c r="AT43" s="47">
        <v>167</v>
      </c>
      <c r="AU43" s="47">
        <v>223</v>
      </c>
      <c r="AV43" s="47">
        <v>155</v>
      </c>
      <c r="AW43" s="47">
        <v>207</v>
      </c>
      <c r="AX43" s="47">
        <v>149</v>
      </c>
      <c r="AY43" s="47">
        <f t="shared" si="7"/>
        <v>258</v>
      </c>
      <c r="AZ43" s="47">
        <f t="shared" si="7"/>
        <v>217</v>
      </c>
      <c r="BA43" s="47">
        <f>L10</f>
        <v>312</v>
      </c>
      <c r="BB43" s="47">
        <f>M10</f>
        <v>359</v>
      </c>
      <c r="BC43" s="47">
        <f t="shared" ref="BC43:BD43" si="8">P10</f>
        <v>237</v>
      </c>
      <c r="BD43" s="47">
        <f t="shared" si="8"/>
        <v>173</v>
      </c>
    </row>
    <row r="44" spans="2:56" s="47" customFormat="1" x14ac:dyDescent="0.2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AH44" s="52" t="s">
        <v>4</v>
      </c>
      <c r="AI44" s="49">
        <v>3645</v>
      </c>
      <c r="AJ44" s="49">
        <v>1547</v>
      </c>
      <c r="AK44" s="51">
        <v>3649</v>
      </c>
      <c r="AL44" s="51">
        <v>1807</v>
      </c>
      <c r="AM44" s="53">
        <v>3295</v>
      </c>
      <c r="AN44" s="53">
        <v>1691</v>
      </c>
      <c r="AO44" s="47">
        <v>3157</v>
      </c>
      <c r="AP44" s="47">
        <v>1823</v>
      </c>
      <c r="AQ44" s="47">
        <v>3230</v>
      </c>
      <c r="AR44" s="47">
        <v>1936</v>
      </c>
      <c r="AS44" s="47">
        <v>3153</v>
      </c>
      <c r="AT44" s="47">
        <v>1903</v>
      </c>
      <c r="AU44" s="47">
        <v>2961</v>
      </c>
      <c r="AV44" s="47">
        <v>1921</v>
      </c>
      <c r="AW44" s="47">
        <v>2862</v>
      </c>
      <c r="AX44" s="47">
        <v>1814</v>
      </c>
      <c r="AY44" s="47">
        <f t="shared" si="7"/>
        <v>2841</v>
      </c>
      <c r="AZ44" s="47">
        <f t="shared" si="7"/>
        <v>1793</v>
      </c>
      <c r="BA44" s="47">
        <v>2702</v>
      </c>
      <c r="BB44" s="47">
        <f>M11</f>
        <v>1931</v>
      </c>
      <c r="BC44" s="47">
        <f t="shared" ref="BC44:BD44" si="9">P11</f>
        <v>2766</v>
      </c>
      <c r="BD44" s="47">
        <f t="shared" si="9"/>
        <v>1883</v>
      </c>
    </row>
    <row r="45" spans="2:56" s="47" customFormat="1" x14ac:dyDescent="0.2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</row>
    <row r="46" spans="2:56" s="47" customFormat="1" x14ac:dyDescent="0.2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</row>
    <row r="47" spans="2:56" s="47" customFormat="1" x14ac:dyDescent="0.2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</row>
    <row r="48" spans="2:56" s="47" customFormat="1" x14ac:dyDescent="0.2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</row>
    <row r="49" spans="2:42" s="47" customFormat="1" x14ac:dyDescent="0.2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</row>
    <row r="50" spans="2:42" s="47" customFormat="1" x14ac:dyDescent="0.2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r="51" spans="2:42" s="47" customFormat="1" x14ac:dyDescent="0.2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</row>
    <row r="52" spans="2:42" s="47" customFormat="1" x14ac:dyDescent="0.2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</row>
    <row r="53" spans="2:42" s="47" customFormat="1" x14ac:dyDescent="0.2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</row>
    <row r="54" spans="2:42" s="47" customFormat="1" x14ac:dyDescent="0.2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</row>
    <row r="55" spans="2:42" s="47" customFormat="1" x14ac:dyDescent="0.2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AI55" s="46"/>
      <c r="AJ55" s="46"/>
      <c r="AK55" s="46"/>
    </row>
    <row r="56" spans="2:42" s="47" customFormat="1" x14ac:dyDescent="0.2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AI56" s="46"/>
      <c r="AJ56" s="46"/>
      <c r="AK56" s="46"/>
      <c r="AN56" s="46"/>
      <c r="AO56" s="46"/>
      <c r="AP56" s="46"/>
    </row>
    <row r="57" spans="2:42" s="47" customFormat="1" x14ac:dyDescent="0.2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AI57" s="46"/>
      <c r="AJ57" s="15"/>
      <c r="AK57" s="15"/>
      <c r="AN57" s="46"/>
      <c r="AO57" s="15"/>
      <c r="AP57" s="15"/>
    </row>
    <row r="58" spans="2:42" s="47" customFormat="1" x14ac:dyDescent="0.2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AI58" s="45"/>
      <c r="AJ58" s="54"/>
      <c r="AK58" s="54"/>
      <c r="AN58" s="45"/>
      <c r="AO58" s="54"/>
      <c r="AP58" s="54"/>
    </row>
    <row r="59" spans="2:42" s="47" customFormat="1" x14ac:dyDescent="0.2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AI59" s="45"/>
      <c r="AJ59" s="54"/>
      <c r="AK59" s="54"/>
      <c r="AN59" s="45"/>
      <c r="AO59" s="54"/>
      <c r="AP59" s="54"/>
    </row>
    <row r="60" spans="2:42" s="47" customFormat="1" x14ac:dyDescent="0.2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AI60" s="45"/>
      <c r="AJ60" s="54"/>
      <c r="AK60" s="54"/>
      <c r="AN60" s="45"/>
      <c r="AO60" s="54"/>
      <c r="AP60" s="54"/>
    </row>
    <row r="61" spans="2:42" s="47" customFormat="1" x14ac:dyDescent="0.2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AI61" s="45"/>
      <c r="AJ61" s="54"/>
      <c r="AK61" s="54"/>
      <c r="AN61" s="45"/>
      <c r="AO61" s="54"/>
      <c r="AP61" s="54"/>
    </row>
    <row r="62" spans="2:42" s="47" customFormat="1" x14ac:dyDescent="0.2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AI62" s="45"/>
      <c r="AJ62" s="54"/>
      <c r="AK62" s="54"/>
      <c r="AN62" s="45"/>
      <c r="AO62" s="54"/>
      <c r="AP62" s="54"/>
    </row>
    <row r="63" spans="2:42" s="47" customFormat="1" x14ac:dyDescent="0.2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AI63" s="45"/>
      <c r="AJ63" s="54"/>
      <c r="AK63" s="54"/>
      <c r="AN63" s="45"/>
      <c r="AO63" s="54"/>
      <c r="AP63" s="54"/>
    </row>
    <row r="64" spans="2:42" s="47" customFormat="1" x14ac:dyDescent="0.2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AI64" s="45"/>
      <c r="AJ64" s="54"/>
      <c r="AK64" s="54"/>
      <c r="AN64" s="45"/>
      <c r="AO64" s="54"/>
      <c r="AP64" s="54"/>
    </row>
    <row r="65" spans="2:42" s="47" customFormat="1" x14ac:dyDescent="0.2"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AI65" s="45"/>
      <c r="AJ65" s="54"/>
      <c r="AK65" s="54"/>
      <c r="AN65" s="45"/>
      <c r="AO65" s="54"/>
      <c r="AP65" s="54"/>
    </row>
    <row r="66" spans="2:42" s="47" customFormat="1" x14ac:dyDescent="0.2"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AI66" s="45"/>
      <c r="AJ66" s="54"/>
      <c r="AK66" s="54"/>
      <c r="AN66" s="45"/>
      <c r="AO66" s="54"/>
      <c r="AP66" s="54"/>
    </row>
    <row r="67" spans="2:42" s="47" customFormat="1" x14ac:dyDescent="0.2"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AI67" s="45"/>
      <c r="AJ67" s="54"/>
      <c r="AK67" s="54"/>
      <c r="AN67" s="45"/>
      <c r="AO67" s="54"/>
      <c r="AP67" s="54"/>
    </row>
    <row r="68" spans="2:42" s="47" customFormat="1" x14ac:dyDescent="0.2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AI68" s="45"/>
      <c r="AJ68" s="54"/>
      <c r="AK68" s="54"/>
      <c r="AN68" s="45"/>
      <c r="AO68" s="54"/>
      <c r="AP68" s="54"/>
    </row>
    <row r="69" spans="2:42" s="47" customFormat="1" x14ac:dyDescent="0.2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AI69" s="45"/>
      <c r="AJ69" s="54"/>
      <c r="AK69" s="54"/>
      <c r="AN69" s="45"/>
      <c r="AO69" s="54"/>
      <c r="AP69" s="54"/>
    </row>
    <row r="70" spans="2:42" s="47" customFormat="1" x14ac:dyDescent="0.2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AI70" s="45"/>
      <c r="AJ70" s="54"/>
      <c r="AK70" s="54"/>
      <c r="AN70" s="45"/>
      <c r="AO70" s="54"/>
      <c r="AP70" s="54"/>
    </row>
    <row r="71" spans="2:42" s="47" customFormat="1" x14ac:dyDescent="0.2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AI71" s="45"/>
      <c r="AJ71" s="54"/>
      <c r="AK71" s="54"/>
      <c r="AN71" s="45"/>
      <c r="AO71" s="54"/>
      <c r="AP71" s="54"/>
    </row>
    <row r="72" spans="2:42" s="47" customFormat="1" x14ac:dyDescent="0.2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AI72" s="45"/>
      <c r="AJ72" s="54"/>
      <c r="AK72" s="54"/>
      <c r="AN72" s="45"/>
      <c r="AO72" s="54"/>
      <c r="AP72" s="54"/>
    </row>
    <row r="73" spans="2:42" s="47" customFormat="1" x14ac:dyDescent="0.2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AI73" s="45"/>
      <c r="AJ73" s="54"/>
      <c r="AK73" s="54"/>
      <c r="AN73" s="45"/>
      <c r="AO73" s="54"/>
      <c r="AP73" s="54"/>
    </row>
    <row r="74" spans="2:42" s="47" customFormat="1" x14ac:dyDescent="0.2"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AI74" s="45"/>
      <c r="AJ74" s="54"/>
      <c r="AK74" s="54"/>
      <c r="AN74" s="45"/>
      <c r="AO74" s="54"/>
      <c r="AP74" s="54"/>
    </row>
    <row r="75" spans="2:42" s="47" customFormat="1" x14ac:dyDescent="0.2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AI75" s="45"/>
      <c r="AJ75" s="54"/>
      <c r="AK75" s="54"/>
      <c r="AN75" s="45"/>
      <c r="AO75" s="54"/>
      <c r="AP75" s="54"/>
    </row>
    <row r="76" spans="2:42" s="47" customFormat="1" x14ac:dyDescent="0.2"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AI76" s="45"/>
      <c r="AJ76" s="54"/>
      <c r="AK76" s="54"/>
      <c r="AN76" s="45"/>
      <c r="AO76" s="54"/>
      <c r="AP76" s="54"/>
    </row>
    <row r="77" spans="2:42" s="47" customFormat="1" x14ac:dyDescent="0.2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AI77" s="55"/>
      <c r="AJ77" s="54"/>
      <c r="AK77" s="54"/>
      <c r="AN77" s="55"/>
      <c r="AO77" s="54"/>
      <c r="AP77" s="54"/>
    </row>
    <row r="78" spans="2:42" s="47" customFormat="1" x14ac:dyDescent="0.2"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AI78" s="46"/>
      <c r="AJ78" s="46"/>
      <c r="AK78" s="46"/>
      <c r="AN78" s="46"/>
      <c r="AO78" s="46"/>
      <c r="AP78" s="46"/>
    </row>
    <row r="79" spans="2:42" s="47" customFormat="1" x14ac:dyDescent="0.2"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AI79" s="46"/>
      <c r="AJ79" s="46"/>
      <c r="AK79" s="46"/>
    </row>
    <row r="80" spans="2:42" s="47" customFormat="1" x14ac:dyDescent="0.2"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AI80" s="46"/>
      <c r="AJ80" s="46"/>
      <c r="AK80" s="46"/>
    </row>
    <row r="81" spans="2:37" s="47" customFormat="1" x14ac:dyDescent="0.2"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AI81" s="46"/>
      <c r="AJ81" s="46"/>
      <c r="AK81" s="46"/>
    </row>
    <row r="82" spans="2:37" s="47" customFormat="1" x14ac:dyDescent="0.2"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</row>
    <row r="83" spans="2:37" s="47" customFormat="1" x14ac:dyDescent="0.2"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</row>
    <row r="84" spans="2:37" s="47" customFormat="1" x14ac:dyDescent="0.2"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</row>
    <row r="85" spans="2:37" s="47" customFormat="1" x14ac:dyDescent="0.2"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</row>
    <row r="86" spans="2:37" s="47" customFormat="1" x14ac:dyDescent="0.2"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</row>
    <row r="87" spans="2:37" s="47" customFormat="1" x14ac:dyDescent="0.2"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</row>
    <row r="88" spans="2:37" s="47" customFormat="1" x14ac:dyDescent="0.2"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</row>
    <row r="89" spans="2:37" s="47" customFormat="1" x14ac:dyDescent="0.2"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</row>
    <row r="90" spans="2:37" s="47" customFormat="1" x14ac:dyDescent="0.2"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</row>
    <row r="91" spans="2:37" s="47" customFormat="1" x14ac:dyDescent="0.2"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</row>
    <row r="92" spans="2:37" s="47" customFormat="1" x14ac:dyDescent="0.2"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</row>
    <row r="93" spans="2:37" s="47" customFormat="1" x14ac:dyDescent="0.2"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</row>
    <row r="94" spans="2:37" s="47" customFormat="1" x14ac:dyDescent="0.2"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</row>
    <row r="95" spans="2:37" s="47" customFormat="1" x14ac:dyDescent="0.2"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</row>
    <row r="96" spans="2:37" s="47" customFormat="1" x14ac:dyDescent="0.2"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</row>
    <row r="97" spans="2:20" s="47" customFormat="1" x14ac:dyDescent="0.2"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</row>
    <row r="98" spans="2:20" s="47" customFormat="1" x14ac:dyDescent="0.2"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</row>
    <row r="99" spans="2:20" s="47" customFormat="1" x14ac:dyDescent="0.2"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</row>
    <row r="100" spans="2:20" s="47" customFormat="1" x14ac:dyDescent="0.2"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</row>
    <row r="101" spans="2:20" s="47" customFormat="1" x14ac:dyDescent="0.2"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</row>
    <row r="102" spans="2:20" s="47" customFormat="1" x14ac:dyDescent="0.2"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</row>
    <row r="103" spans="2:20" s="47" customFormat="1" x14ac:dyDescent="0.2"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</row>
    <row r="104" spans="2:20" s="47" customFormat="1" x14ac:dyDescent="0.2"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</row>
    <row r="105" spans="2:20" s="47" customFormat="1" x14ac:dyDescent="0.2"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</row>
    <row r="106" spans="2:20" s="47" customFormat="1" x14ac:dyDescent="0.2"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</row>
    <row r="107" spans="2:20" s="47" customFormat="1" x14ac:dyDescent="0.2"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</row>
    <row r="108" spans="2:20" s="47" customFormat="1" x14ac:dyDescent="0.2"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</row>
    <row r="109" spans="2:20" s="47" customFormat="1" x14ac:dyDescent="0.2"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</row>
    <row r="110" spans="2:20" s="47" customFormat="1" x14ac:dyDescent="0.2"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</row>
    <row r="111" spans="2:20" s="47" customFormat="1" x14ac:dyDescent="0.2"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</row>
    <row r="112" spans="2:20" s="47" customFormat="1" x14ac:dyDescent="0.2"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</row>
    <row r="113" spans="2:20" s="47" customFormat="1" x14ac:dyDescent="0.2"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</row>
    <row r="114" spans="2:20" s="47" customFormat="1" x14ac:dyDescent="0.2"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</row>
    <row r="115" spans="2:20" s="47" customFormat="1" x14ac:dyDescent="0.2"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</row>
    <row r="116" spans="2:20" s="47" customFormat="1" x14ac:dyDescent="0.2"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</row>
    <row r="117" spans="2:20" s="47" customFormat="1" x14ac:dyDescent="0.2"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</row>
    <row r="118" spans="2:20" s="47" customFormat="1" x14ac:dyDescent="0.2"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</row>
    <row r="119" spans="2:20" s="47" customFormat="1" x14ac:dyDescent="0.2"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</row>
    <row r="120" spans="2:20" s="47" customFormat="1" x14ac:dyDescent="0.2"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</row>
    <row r="121" spans="2:20" s="47" customFormat="1" x14ac:dyDescent="0.2"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</row>
    <row r="122" spans="2:20" s="47" customFormat="1" x14ac:dyDescent="0.2"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</row>
    <row r="123" spans="2:20" s="47" customFormat="1" x14ac:dyDescent="0.2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</row>
    <row r="124" spans="2:20" s="47" customFormat="1" x14ac:dyDescent="0.2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</row>
    <row r="125" spans="2:20" s="47" customFormat="1" x14ac:dyDescent="0.2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</row>
    <row r="126" spans="2:20" s="47" customFormat="1" x14ac:dyDescent="0.2"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</row>
    <row r="127" spans="2:20" s="47" customFormat="1" x14ac:dyDescent="0.2"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</row>
    <row r="128" spans="2:20" s="47" customFormat="1" x14ac:dyDescent="0.2"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</row>
    <row r="129" spans="2:20" s="47" customFormat="1" x14ac:dyDescent="0.2"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</row>
    <row r="130" spans="2:20" s="47" customFormat="1" x14ac:dyDescent="0.2"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</row>
    <row r="131" spans="2:20" s="47" customFormat="1" x14ac:dyDescent="0.2"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</row>
    <row r="132" spans="2:20" s="47" customFormat="1" x14ac:dyDescent="0.2"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</row>
    <row r="133" spans="2:20" s="47" customFormat="1" x14ac:dyDescent="0.2"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</row>
    <row r="134" spans="2:20" s="47" customFormat="1" x14ac:dyDescent="0.2"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</row>
    <row r="135" spans="2:20" s="47" customFormat="1" x14ac:dyDescent="0.2"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</row>
    <row r="136" spans="2:20" s="47" customFormat="1" x14ac:dyDescent="0.2"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</row>
    <row r="137" spans="2:20" s="47" customFormat="1" x14ac:dyDescent="0.2"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</row>
    <row r="138" spans="2:20" s="47" customFormat="1" x14ac:dyDescent="0.2"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</row>
    <row r="139" spans="2:20" s="47" customFormat="1" x14ac:dyDescent="0.2"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</row>
    <row r="140" spans="2:20" s="47" customFormat="1" x14ac:dyDescent="0.2"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</row>
    <row r="141" spans="2:20" s="47" customFormat="1" x14ac:dyDescent="0.2"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</row>
    <row r="142" spans="2:20" s="47" customFormat="1" x14ac:dyDescent="0.2"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</row>
    <row r="143" spans="2:20" s="47" customFormat="1" x14ac:dyDescent="0.2"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</row>
    <row r="144" spans="2:20" s="47" customFormat="1" x14ac:dyDescent="0.2"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</row>
    <row r="145" spans="2:20" s="47" customFormat="1" x14ac:dyDescent="0.2"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</row>
    <row r="146" spans="2:20" s="47" customFormat="1" x14ac:dyDescent="0.2"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</row>
    <row r="147" spans="2:20" s="47" customFormat="1" x14ac:dyDescent="0.2"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</row>
    <row r="148" spans="2:20" s="47" customFormat="1" x14ac:dyDescent="0.2"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</row>
    <row r="149" spans="2:20" s="47" customFormat="1" x14ac:dyDescent="0.2"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</row>
    <row r="150" spans="2:20" s="47" customFormat="1" x14ac:dyDescent="0.2"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</row>
    <row r="151" spans="2:20" s="47" customFormat="1" x14ac:dyDescent="0.2"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</row>
    <row r="152" spans="2:20" s="47" customFormat="1" x14ac:dyDescent="0.2"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</row>
    <row r="153" spans="2:20" s="47" customFormat="1" x14ac:dyDescent="0.2"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</row>
    <row r="154" spans="2:20" s="47" customFormat="1" x14ac:dyDescent="0.2"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</row>
    <row r="155" spans="2:20" s="47" customFormat="1" x14ac:dyDescent="0.2"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</row>
    <row r="156" spans="2:20" s="47" customFormat="1" x14ac:dyDescent="0.2"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</row>
    <row r="157" spans="2:20" s="47" customFormat="1" x14ac:dyDescent="0.2"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</row>
    <row r="158" spans="2:20" s="47" customFormat="1" x14ac:dyDescent="0.2"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</row>
    <row r="159" spans="2:20" s="47" customFormat="1" x14ac:dyDescent="0.2"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</row>
    <row r="160" spans="2:20" s="47" customFormat="1" x14ac:dyDescent="0.2"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</row>
    <row r="161" spans="2:20" s="47" customFormat="1" x14ac:dyDescent="0.2"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</row>
    <row r="162" spans="2:20" s="47" customFormat="1" x14ac:dyDescent="0.2"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</row>
    <row r="163" spans="2:20" s="47" customFormat="1" x14ac:dyDescent="0.2"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</row>
    <row r="164" spans="2:20" s="47" customFormat="1" x14ac:dyDescent="0.2"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</row>
    <row r="165" spans="2:20" s="47" customFormat="1" x14ac:dyDescent="0.2"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</row>
    <row r="166" spans="2:20" s="47" customFormat="1" x14ac:dyDescent="0.2"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</row>
    <row r="167" spans="2:20" s="47" customFormat="1" x14ac:dyDescent="0.2"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</row>
    <row r="168" spans="2:20" s="47" customFormat="1" x14ac:dyDescent="0.2"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</row>
    <row r="169" spans="2:20" s="47" customFormat="1" x14ac:dyDescent="0.2"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</row>
    <row r="170" spans="2:20" s="47" customFormat="1" x14ac:dyDescent="0.2"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</row>
    <row r="171" spans="2:20" s="47" customFormat="1" x14ac:dyDescent="0.2"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</row>
    <row r="172" spans="2:20" s="47" customFormat="1" x14ac:dyDescent="0.2"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</row>
    <row r="173" spans="2:20" s="47" customFormat="1" x14ac:dyDescent="0.2"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</row>
  </sheetData>
  <mergeCells count="24">
    <mergeCell ref="AJ30:AK30"/>
    <mergeCell ref="AH35:AI35"/>
    <mergeCell ref="L4:O5"/>
    <mergeCell ref="A1:U1"/>
    <mergeCell ref="A2:U2"/>
    <mergeCell ref="A4:A7"/>
    <mergeCell ref="C4:F5"/>
    <mergeCell ref="H4:K5"/>
    <mergeCell ref="T4:U5"/>
    <mergeCell ref="P4:S5"/>
    <mergeCell ref="AJ35:AK35"/>
    <mergeCell ref="AL35:AM35"/>
    <mergeCell ref="AN35:AO35"/>
    <mergeCell ref="AQ40:AR40"/>
    <mergeCell ref="AS40:AT40"/>
    <mergeCell ref="AI40:AJ40"/>
    <mergeCell ref="AK40:AL40"/>
    <mergeCell ref="AM40:AN40"/>
    <mergeCell ref="AO40:AP40"/>
    <mergeCell ref="BC40:BD40"/>
    <mergeCell ref="BA40:BB40"/>
    <mergeCell ref="AU40:AV40"/>
    <mergeCell ref="AW40:AX40"/>
    <mergeCell ref="AY40:AZ40"/>
  </mergeCells>
  <pageMargins left="0.7" right="0.7" top="0.75" bottom="0.75" header="0.3" footer="0.3"/>
  <pageSetup scale="50" orientation="portrait" horizontalDpi="4294967295" verticalDpi="4294967295" r:id="rId1"/>
  <colBreaks count="1" manualBreakCount="1">
    <brk id="21" max="1048575" man="1"/>
  </colBreaks>
  <ignoredErrors>
    <ignoredError sqref="T8:U3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3.17</vt:lpstr>
      <vt:lpstr>'3.17'!Print_Area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2021-07-11T06:27:22Z</cp:lastPrinted>
  <dcterms:created xsi:type="dcterms:W3CDTF">2019-07-22T06:02:33Z</dcterms:created>
  <dcterms:modified xsi:type="dcterms:W3CDTF">2021-07-11T06:28:11Z</dcterms:modified>
</cp:coreProperties>
</file>