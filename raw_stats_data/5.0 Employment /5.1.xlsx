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1" sheetId="1" r:id="rId1"/>
  </sheets>
  <externalReferences>
    <externalReference r:id="rId2"/>
  </externalReferences>
  <definedNames>
    <definedName name="_xlnm.Print_Area" localSheetId="0">'5.1'!$A$1:$N$130</definedName>
    <definedName name="_xlnm.Print_Titles" localSheetId="0">'5.1'!$4:$7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7" i="1" l="1"/>
  <c r="M9" i="1" l="1"/>
  <c r="L9" i="1"/>
  <c r="I9" i="1"/>
  <c r="H9" i="1"/>
  <c r="K108" i="1"/>
  <c r="K109" i="1"/>
  <c r="K110" i="1"/>
  <c r="G108" i="1"/>
  <c r="G109" i="1"/>
  <c r="G110" i="1"/>
  <c r="D108" i="1"/>
  <c r="E108" i="1"/>
  <c r="D109" i="1"/>
  <c r="E109" i="1"/>
  <c r="D110" i="1"/>
  <c r="E110" i="1"/>
  <c r="C108" i="1" l="1"/>
  <c r="C109" i="1"/>
  <c r="C110" i="1"/>
  <c r="D10" i="1" l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C104" i="1" l="1"/>
  <c r="C100" i="1"/>
  <c r="C103" i="1"/>
  <c r="C16" i="1"/>
  <c r="C28" i="1"/>
  <c r="C36" i="1"/>
  <c r="C44" i="1"/>
  <c r="C52" i="1"/>
  <c r="C60" i="1"/>
  <c r="C72" i="1"/>
  <c r="C96" i="1"/>
  <c r="C99" i="1"/>
  <c r="C12" i="1"/>
  <c r="C20" i="1"/>
  <c r="C24" i="1"/>
  <c r="C32" i="1"/>
  <c r="C40" i="1"/>
  <c r="C48" i="1"/>
  <c r="C56" i="1"/>
  <c r="C64" i="1"/>
  <c r="C68" i="1"/>
  <c r="C76" i="1"/>
  <c r="C80" i="1"/>
  <c r="C84" i="1"/>
  <c r="C88" i="1"/>
  <c r="C92" i="1"/>
  <c r="C106" i="1"/>
  <c r="K9" i="1"/>
  <c r="C107" i="1"/>
  <c r="E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D9" i="1"/>
  <c r="C10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1" i="1"/>
  <c r="C15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G9" i="1"/>
  <c r="C9" i="1" l="1"/>
</calcChain>
</file>

<file path=xl/sharedStrings.xml><?xml version="1.0" encoding="utf-8"?>
<sst xmlns="http://schemas.openxmlformats.org/spreadsheetml/2006/main" count="238" uniqueCount="222">
  <si>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</si>
  <si>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</si>
  <si>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</si>
  <si>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</si>
  <si>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</si>
  <si>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</si>
  <si>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</si>
  <si>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</si>
  <si>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</si>
  <si>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</si>
  <si>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</si>
  <si>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</si>
  <si>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</si>
  <si>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</si>
  <si>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</si>
  <si>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</si>
  <si>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</si>
  <si>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</si>
  <si>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</si>
  <si>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</si>
  <si>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</si>
  <si>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</si>
  <si>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</si>
  <si>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</si>
  <si>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</si>
  <si>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</si>
  <si>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12-4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</si>
  <si>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</si>
  <si>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</si>
  <si>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</si>
  <si>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</si>
  <si>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</si>
  <si>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</si>
  <si>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</t>
  </si>
  <si>
    <t>CIVIL SERVICE 14-1</t>
  </si>
  <si>
    <t>CIVIL SERVICE 14-2</t>
  </si>
  <si>
    <t>CIVIL SERVICE 14-3</t>
  </si>
  <si>
    <t>CIVIL SERVICE 14-4</t>
  </si>
  <si>
    <t>CIVIL SERVICE 14-5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</si>
  <si>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</si>
  <si>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</si>
  <si>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</si>
  <si>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</si>
  <si>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</si>
  <si>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</si>
  <si>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</si>
  <si>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16-1</t>
  </si>
  <si>
    <t>CIVIL SERVICE 16-2</t>
  </si>
  <si>
    <t>CIVIL SERVICE 16-3</t>
  </si>
  <si>
    <t>CIVIL SERVICE 16-4</t>
  </si>
  <si>
    <t>CIVIL SERVICE 16-5</t>
  </si>
  <si>
    <t>CIVIL SERVICE 17</t>
  </si>
  <si>
    <t>CIVIL SERVICE 17-2</t>
  </si>
  <si>
    <t>CIVIL SERVICE 17-3</t>
  </si>
  <si>
    <t>CIVIL SERVICE 17-4</t>
  </si>
  <si>
    <t>CIVIL SERVICE 17-6</t>
  </si>
  <si>
    <t>CIVIL SERVICE 18</t>
  </si>
  <si>
    <t>CIVIL SERVICE 18-1</t>
  </si>
  <si>
    <t>CIVIL SERVICE 18-2</t>
  </si>
  <si>
    <t>CIVIL SERVICE 18-3</t>
  </si>
  <si>
    <t>CIVIL SERVICE 18-4</t>
  </si>
  <si>
    <t>CIVIL SERVICE 2</t>
  </si>
  <si>
    <t>CIVIL SERVICE 2-1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</si>
  <si>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</si>
  <si>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</si>
  <si>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</si>
  <si>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</si>
  <si>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</si>
  <si>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</si>
  <si>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</si>
  <si>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</si>
  <si>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</si>
  <si>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</si>
  <si>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</si>
  <si>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</si>
  <si>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</si>
  <si>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</si>
  <si>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</si>
  <si>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</si>
  <si>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</si>
  <si>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</si>
  <si>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</si>
  <si>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</si>
  <si>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</si>
  <si>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7-5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</si>
  <si>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</si>
  <si>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</si>
  <si>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</si>
  <si>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</si>
  <si>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</si>
  <si>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</si>
  <si>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</si>
  <si>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</si>
  <si>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</si>
  <si>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</si>
  <si>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</si>
  <si>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</si>
  <si>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</si>
  <si>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</si>
  <si>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</si>
  <si>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</si>
  <si>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</si>
  <si>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</si>
  <si>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</si>
  <si>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</si>
  <si>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</si>
  <si>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</si>
  <si>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</si>
  <si>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</si>
  <si>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</si>
  <si>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</si>
  <si>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</si>
  <si>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</si>
  <si>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</si>
  <si>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CS10 (Grade: 1)</t>
  </si>
  <si>
    <t>CS10 (Grade: 2)</t>
  </si>
  <si>
    <t>CS10 (Grade: 3)</t>
  </si>
  <si>
    <t>CS10 (Grade: 5)</t>
  </si>
  <si>
    <t>CS11 (Grade: 1)</t>
  </si>
  <si>
    <t>CS11 (Grade: 2)</t>
  </si>
  <si>
    <t>CS11 (Grade: 3)</t>
  </si>
  <si>
    <t>CS11 (Grade: 4)</t>
  </si>
  <si>
    <t>CS11 (Grade: 5)</t>
  </si>
  <si>
    <t>CS12 (Grade: 1)</t>
  </si>
  <si>
    <t>CS12 (Grade: 2)</t>
  </si>
  <si>
    <t>CS12 (Grade: 3)</t>
  </si>
  <si>
    <t>CS12 (Grade: 4)</t>
  </si>
  <si>
    <t>CS12 (Grade: 5)</t>
  </si>
  <si>
    <t>CS13 (Grade: 1)</t>
  </si>
  <si>
    <t>CS13 (Grade: 2)</t>
  </si>
  <si>
    <t>CS13 (Grade: 3)</t>
  </si>
  <si>
    <t>CS13 (Grade: 4)</t>
  </si>
  <si>
    <t>CS13 (Grade: 5)</t>
  </si>
  <si>
    <t>CS14</t>
  </si>
  <si>
    <t>CS14 (Grade: 1)</t>
  </si>
  <si>
    <t>CS14 (Grade: 2)</t>
  </si>
  <si>
    <t>CS14 (Grade: 3)</t>
  </si>
  <si>
    <t>CS14 (Grade: 4)</t>
  </si>
  <si>
    <t>CS14 (Grade: 5)</t>
  </si>
  <si>
    <t>CS15</t>
  </si>
  <si>
    <t>CS15 (Grade: 1)</t>
  </si>
  <si>
    <t>CS15 (Grade: 2)</t>
  </si>
  <si>
    <t>CS15 (Grade: 3)</t>
  </si>
  <si>
    <t>CS15 (Grade: 4)</t>
  </si>
  <si>
    <t>CS15 (Grade: 5)</t>
  </si>
  <si>
    <t>CS16</t>
  </si>
  <si>
    <t>CS16 (Grade: 1)</t>
  </si>
  <si>
    <t>CS16 (Grade: 2)</t>
  </si>
  <si>
    <t>CS16 (Grade: 3)</t>
  </si>
  <si>
    <t>CS16 (Grade: 4)</t>
  </si>
  <si>
    <t>CS16 (Grade: 5)</t>
  </si>
  <si>
    <t>CS17</t>
  </si>
  <si>
    <t>CS17 (Grade: 2)</t>
  </si>
  <si>
    <t>CS17 (Grade: 3)</t>
  </si>
  <si>
    <t>CS17 (Grade: 4)</t>
  </si>
  <si>
    <t>CS17 (Grade: 6)</t>
  </si>
  <si>
    <t>CS18</t>
  </si>
  <si>
    <t>CS18 (Grade: 1)</t>
  </si>
  <si>
    <t>CS18 (Grade: 3)</t>
  </si>
  <si>
    <t>CS18 (Grade: 4)</t>
  </si>
  <si>
    <t>CS2</t>
  </si>
  <si>
    <t>CS2 (Grade: 1)</t>
  </si>
  <si>
    <t>CS3 (Grade: 1)</t>
  </si>
  <si>
    <t>CS3 (Grade: 2)</t>
  </si>
  <si>
    <t>CS3 (Grade: 3)</t>
  </si>
  <si>
    <t>CS3 (Grade: 4)</t>
  </si>
  <si>
    <t>CS3 (Grade: 5)</t>
  </si>
  <si>
    <t>CS4 (Grade: 2)</t>
  </si>
  <si>
    <t>CS4 (Grade: 3)</t>
  </si>
  <si>
    <t>CS4 (Grade: 4)</t>
  </si>
  <si>
    <t>CS4 (Grade: 5)</t>
  </si>
  <si>
    <t>CS5 (Grade: 1)</t>
  </si>
  <si>
    <t>CS5 (Grade: 2)</t>
  </si>
  <si>
    <t>CS5 (Grade: 3)</t>
  </si>
  <si>
    <t>CS6 (Grade: 1)</t>
  </si>
  <si>
    <t>CS6 (Grade: 2)</t>
  </si>
  <si>
    <t>CS6 (Grade: 3)</t>
  </si>
  <si>
    <t>CS6 (Grade: 4)</t>
  </si>
  <si>
    <t>CS6 (Grade: 5)</t>
  </si>
  <si>
    <t>CS7 (Grade: 1)</t>
  </si>
  <si>
    <t>CS7 (Grade: 2)</t>
  </si>
  <si>
    <t>CS7 (Grade: 3)</t>
  </si>
  <si>
    <t>CS7 (Grade: 4)</t>
  </si>
  <si>
    <t>CS7 (Grade: 5)</t>
  </si>
  <si>
    <t>CS8 (Grade: 1)</t>
  </si>
  <si>
    <t>CS8 (Grade: 2)</t>
  </si>
  <si>
    <t>CS8 (Grade: 3)</t>
  </si>
  <si>
    <t>CS9 (Grade: 1)</t>
  </si>
  <si>
    <t>CS9 (Grade: 2)</t>
  </si>
  <si>
    <t>CS9 (Grade: 3)</t>
  </si>
  <si>
    <t>CS9 (Grade: 4)</t>
  </si>
  <si>
    <t>CS9 (Grade: 5)</t>
  </si>
  <si>
    <t>EX1</t>
  </si>
  <si>
    <t>EX2</t>
  </si>
  <si>
    <t>EX3</t>
  </si>
  <si>
    <t>EX4</t>
  </si>
  <si>
    <t>EX5</t>
  </si>
  <si>
    <t>EX6</t>
  </si>
  <si>
    <t>EX7</t>
  </si>
  <si>
    <t>GS1</t>
  </si>
  <si>
    <t>GS2</t>
  </si>
  <si>
    <t>GS3</t>
  </si>
  <si>
    <t>GS4</t>
  </si>
  <si>
    <t>MS1</t>
  </si>
  <si>
    <t>MS2</t>
  </si>
  <si>
    <t>MS3</t>
  </si>
  <si>
    <t>MS4</t>
  </si>
  <si>
    <t>SS1</t>
  </si>
  <si>
    <t>SS2</t>
  </si>
  <si>
    <t>SS3</t>
  </si>
  <si>
    <t>SS4</t>
  </si>
  <si>
    <t>ZV7</t>
  </si>
  <si>
    <t>CIVIL SERVICE 17-5</t>
  </si>
  <si>
    <t>CIVIL SERVICE 1</t>
  </si>
  <si>
    <t>Civil Service</t>
  </si>
  <si>
    <t xml:space="preserve">EXECUTIVE </t>
  </si>
  <si>
    <t xml:space="preserve">GENERAL SERVICE </t>
  </si>
  <si>
    <t xml:space="preserve">MANAGERIAL SERVICE </t>
  </si>
  <si>
    <t xml:space="preserve">SUPPORT SERVICE </t>
  </si>
  <si>
    <t xml:space="preserve">ZIMMAADHAARU VERIYAA </t>
  </si>
  <si>
    <t>Table 5.1 :  CIVIL SERVANTS CLASSIFIED BY JOB RANK AND SEX, 2020</t>
  </si>
  <si>
    <t>ތާވަލް 5.1: ސިވިލް ސަރވިސްގައި ވަޒީފާއަދާކުރާ މުވައްޒަފުން އަދި ރޭންކު،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</si>
</sst>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1"/>
      <color rgb="FF000000"/>
      <name val="Calibri"/>
    </font>
    <font>
      <i/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8" fillId="0" borderId="0"/>
    <xf numFmtId="0" fontId="3" fillId="0" borderId="0"/>
    <xf numFmtId="43" fontId="3" fillId="0" borderId="0" applyFont="0" applyFill="0" applyBorder="0" applyAlignment="0" applyProtection="0"/>
    <xf numFmtId="0" fontId="19" fillId="0" borderId="0"/>
    <xf numFmtId="0" fontId="3" fillId="0" borderId="0"/>
  </cellStyleXfs>
  <cellXfs count="86">
    <xf numFmtId="0" fontId="0" fillId="0" borderId="0" xfId="0"/>
    <xf numFmtId="0" fontId="4" fillId="2" borderId="0" xfId="2" applyFont="1" applyFill="1" applyBorder="1" applyAlignment="1"/>
    <xf numFmtId="0" fontId="0" fillId="2" borderId="0" xfId="0" applyFill="1"/>
    <xf numFmtId="0" fontId="0" fillId="2" borderId="0" xfId="0" applyFill="1" applyBorder="1" applyAlignment="1">
      <alignment vertical="center"/>
    </xf>
    <xf numFmtId="164" fontId="7" fillId="2" borderId="0" xfId="3" applyNumberFormat="1" applyFont="1" applyFill="1" applyBorder="1" applyAlignment="1" applyProtection="1">
      <alignment vertical="center"/>
    </xf>
    <xf numFmtId="0" fontId="10" fillId="2" borderId="0" xfId="0" applyFont="1" applyFill="1"/>
    <xf numFmtId="0" fontId="9" fillId="2" borderId="0" xfId="0" applyFont="1" applyFill="1" applyBorder="1" applyAlignment="1">
      <alignment horizontal="right" vertical="center" readingOrder="2"/>
    </xf>
    <xf numFmtId="0" fontId="10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0" fontId="8" fillId="2" borderId="10" xfId="0" applyFont="1" applyFill="1" applyBorder="1" applyAlignment="1">
      <alignment horizontal="right" vertical="center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1" fillId="2" borderId="0" xfId="0" applyFont="1" applyFill="1" applyBorder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0" fontId="0" fillId="2" borderId="0" xfId="0" applyFill="1" applyBorder="1"/>
    <xf numFmtId="165" fontId="0" fillId="2" borderId="0" xfId="1" applyNumberFormat="1" applyFont="1" applyFill="1" applyBorder="1" applyAlignment="1">
      <alignment vertical="center"/>
    </xf>
    <xf numFmtId="3" fontId="0" fillId="2" borderId="0" xfId="0" applyNumberFormat="1" applyFont="1" applyFill="1"/>
    <xf numFmtId="166" fontId="0" fillId="2" borderId="0" xfId="1" applyNumberFormat="1" applyFont="1" applyFill="1" applyBorder="1" applyAlignment="1">
      <alignment horizontal="right"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ont="1" applyFill="1" applyAlignment="1">
      <alignment horizontal="left"/>
    </xf>
    <xf numFmtId="3" fontId="15" fillId="3" borderId="0" xfId="0" applyNumberFormat="1" applyFont="1" applyFill="1" applyBorder="1" applyAlignment="1">
      <alignment horizontal="right" vertical="center"/>
    </xf>
    <xf numFmtId="3" fontId="16" fillId="3" borderId="0" xfId="0" applyNumberFormat="1" applyFont="1" applyFill="1" applyAlignment="1">
      <alignment horizontal="left"/>
    </xf>
    <xf numFmtId="3" fontId="16" fillId="2" borderId="0" xfId="0" applyNumberFormat="1" applyFont="1" applyFill="1" applyAlignment="1">
      <alignment horizontal="left"/>
    </xf>
    <xf numFmtId="0" fontId="17" fillId="3" borderId="0" xfId="0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left"/>
    </xf>
    <xf numFmtId="3" fontId="17" fillId="3" borderId="0" xfId="0" applyNumberFormat="1" applyFont="1" applyFill="1" applyBorder="1" applyAlignment="1">
      <alignment horizontal="right" vertical="center"/>
    </xf>
    <xf numFmtId="3" fontId="17" fillId="3" borderId="14" xfId="0" applyNumberFormat="1" applyFont="1" applyFill="1" applyBorder="1" applyAlignment="1">
      <alignment horizontal="right" vertical="center"/>
    </xf>
    <xf numFmtId="3" fontId="17" fillId="3" borderId="15" xfId="0" applyNumberFormat="1" applyFont="1" applyFill="1" applyBorder="1" applyAlignment="1">
      <alignment horizontal="right" vertical="center"/>
    </xf>
    <xf numFmtId="3" fontId="16" fillId="3" borderId="0" xfId="0" applyNumberFormat="1" applyFont="1" applyFill="1" applyBorder="1" applyAlignment="1">
      <alignment horizontal="right" vertical="center"/>
    </xf>
    <xf numFmtId="3" fontId="17" fillId="3" borderId="10" xfId="0" applyNumberFormat="1" applyFont="1" applyFill="1" applyBorder="1" applyAlignment="1">
      <alignment horizontal="right" vertical="center"/>
    </xf>
    <xf numFmtId="3" fontId="16" fillId="3" borderId="10" xfId="0" applyNumberFormat="1" applyFont="1" applyFill="1" applyBorder="1" applyAlignment="1">
      <alignment horizontal="right" vertical="center"/>
    </xf>
    <xf numFmtId="3" fontId="17" fillId="3" borderId="16" xfId="0" applyNumberFormat="1" applyFont="1" applyFill="1" applyBorder="1" applyAlignment="1">
      <alignment horizontal="right" vertical="center"/>
    </xf>
    <xf numFmtId="3" fontId="16" fillId="3" borderId="15" xfId="0" applyNumberFormat="1" applyFont="1" applyFill="1" applyBorder="1" applyAlignment="1">
      <alignment horizontal="right" vertical="center"/>
    </xf>
    <xf numFmtId="3" fontId="16" fillId="3" borderId="17" xfId="0" applyNumberFormat="1" applyFont="1" applyFill="1" applyBorder="1" applyAlignment="1">
      <alignment horizontal="right" vertical="center"/>
    </xf>
    <xf numFmtId="3" fontId="20" fillId="4" borderId="0" xfId="0" applyNumberFormat="1" applyFont="1" applyFill="1" applyBorder="1" applyAlignment="1">
      <alignment horizontal="right" vertical="center"/>
    </xf>
    <xf numFmtId="0" fontId="20" fillId="5" borderId="0" xfId="0" applyFont="1" applyFill="1" applyBorder="1" applyAlignment="1">
      <alignment horizontal="left" vertical="center" indent="1"/>
    </xf>
    <xf numFmtId="0" fontId="21" fillId="5" borderId="0" xfId="0" applyFont="1" applyFill="1" applyBorder="1" applyAlignment="1">
      <alignment horizontal="left" vertical="center" indent="1"/>
    </xf>
    <xf numFmtId="0" fontId="20" fillId="5" borderId="18" xfId="0" applyFont="1" applyFill="1" applyBorder="1" applyAlignment="1">
      <alignment horizontal="left" vertical="center" indent="1"/>
    </xf>
    <xf numFmtId="0" fontId="22" fillId="5" borderId="13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Border="1" applyAlignment="1">
      <alignment horizontal="center" vertical="center" readingOrder="2"/>
    </xf>
    <xf numFmtId="165" fontId="8" fillId="2" borderId="5" xfId="1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 wrapText="1"/>
    </xf>
    <xf numFmtId="3" fontId="0" fillId="2" borderId="0" xfId="0" applyNumberFormat="1" applyFill="1" applyBorder="1" applyAlignment="1">
      <alignment horizontal="right" vertical="center" wrapText="1"/>
    </xf>
    <xf numFmtId="0" fontId="0" fillId="2" borderId="10" xfId="0" applyFill="1" applyBorder="1" applyAlignment="1">
      <alignment horizontal="right" vertical="center" wrapText="1"/>
    </xf>
    <xf numFmtId="165" fontId="8" fillId="2" borderId="0" xfId="1" applyNumberFormat="1" applyFont="1" applyFill="1" applyBorder="1" applyAlignment="1">
      <alignment horizontal="right" vertical="center"/>
    </xf>
    <xf numFmtId="3" fontId="16" fillId="3" borderId="0" xfId="0" applyNumberFormat="1" applyFont="1" applyFill="1" applyBorder="1" applyAlignment="1">
      <alignment horizontal="left"/>
    </xf>
    <xf numFmtId="3" fontId="16" fillId="2" borderId="0" xfId="0" applyNumberFormat="1" applyFont="1" applyFill="1" applyBorder="1" applyAlignment="1">
      <alignment horizontal="left"/>
    </xf>
    <xf numFmtId="3" fontId="0" fillId="2" borderId="0" xfId="0" applyNumberFormat="1" applyFont="1" applyFill="1" applyBorder="1" applyAlignment="1">
      <alignment horizontal="left"/>
    </xf>
    <xf numFmtId="3" fontId="0" fillId="2" borderId="0" xfId="0" applyNumberFormat="1" applyFont="1" applyFill="1" applyBorder="1"/>
    <xf numFmtId="0" fontId="22" fillId="5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 readingOrder="2"/>
    </xf>
    <xf numFmtId="0" fontId="13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 vertical="center" readingOrder="2"/>
    </xf>
    <xf numFmtId="165" fontId="8" fillId="2" borderId="0" xfId="1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13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</cellXfs>
  <cellStyles count="10">
    <cellStyle name="1" xfId="9"/>
    <cellStyle name="Comma" xfId="1" builtinId="3"/>
    <cellStyle name="Comma 3" xfId="7"/>
    <cellStyle name="Normal" xfId="0" builtinId="0"/>
    <cellStyle name="Normal 11" xfId="8"/>
    <cellStyle name="Normal 2" xfId="4"/>
    <cellStyle name="Normal 4" xfId="5"/>
    <cellStyle name="Normal 5" xfId="6"/>
    <cellStyle name="Normal_5 Employment_done" xfId="2"/>
    <cellStyle name="Normal_Population - II 2" xfId="3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sex and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job ranks,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5354943472532859"/>
          <c:y val="3.493449247792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4396892511181789"/>
          <c:w val="0.8795518653553519"/>
          <c:h val="0.7427528502328049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'5.1'!$AG$130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'5.1'!$AF$131:$AF$136</c:f>
              <c:strCache>
                <c:ptCount val="6"/>
                <c:pt idx="0">
                  <c:v>Civil Service</c:v>
                </c:pt>
                <c:pt idx="1">
                  <c:v>EXECUTIVE </c:v>
                </c:pt>
                <c:pt idx="2">
                  <c:v>GENERAL SERVICE </c:v>
                </c:pt>
                <c:pt idx="3">
                  <c:v>MANAGERIAL SERVICE </c:v>
                </c:pt>
                <c:pt idx="4">
                  <c:v>SUPPORT SERVICE </c:v>
                </c:pt>
                <c:pt idx="5">
                  <c:v>ZIMMAADHAARU VERIYAA </c:v>
                </c:pt>
              </c:strCache>
            </c:strRef>
          </c:cat>
          <c:val>
            <c:numRef>
              <c:f>'5.1'!$AG$131:$AG$136</c:f>
              <c:numCache>
                <c:formatCode>_(* #,##0_);_(* \(#,##0\);_(* "-"??_);_(@_)</c:formatCode>
                <c:ptCount val="6"/>
                <c:pt idx="0">
                  <c:v>10238</c:v>
                </c:pt>
                <c:pt idx="1">
                  <c:v>625</c:v>
                </c:pt>
                <c:pt idx="2">
                  <c:v>6189</c:v>
                </c:pt>
                <c:pt idx="3">
                  <c:v>3194</c:v>
                </c:pt>
                <c:pt idx="4">
                  <c:v>6403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DA6-A392-7EC8E4744D95}"/>
            </c:ext>
          </c:extLst>
        </c:ser>
        <c:ser>
          <c:idx val="2"/>
          <c:order val="1"/>
          <c:tx>
            <c:strRef>
              <c:f>'5.1'!$AH$130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'5.1'!$AF$131:$AF$136</c:f>
              <c:strCache>
                <c:ptCount val="6"/>
                <c:pt idx="0">
                  <c:v>Civil Service</c:v>
                </c:pt>
                <c:pt idx="1">
                  <c:v>EXECUTIVE </c:v>
                </c:pt>
                <c:pt idx="2">
                  <c:v>GENERAL SERVICE </c:v>
                </c:pt>
                <c:pt idx="3">
                  <c:v>MANAGERIAL SERVICE </c:v>
                </c:pt>
                <c:pt idx="4">
                  <c:v>SUPPORT SERVICE </c:v>
                </c:pt>
                <c:pt idx="5">
                  <c:v>ZIMMAADHAARU VERIYAA </c:v>
                </c:pt>
              </c:strCache>
            </c:strRef>
          </c:cat>
          <c:val>
            <c:numRef>
              <c:f>'5.1'!$AH$131:$AH$136</c:f>
              <c:numCache>
                <c:formatCode>_(* #,##0_);_(* \(#,##0\);_(* "-"??_);_(@_)</c:formatCode>
                <c:ptCount val="6"/>
                <c:pt idx="0">
                  <c:v>2741</c:v>
                </c:pt>
                <c:pt idx="1">
                  <c:v>369</c:v>
                </c:pt>
                <c:pt idx="2">
                  <c:v>2279</c:v>
                </c:pt>
                <c:pt idx="3">
                  <c:v>1583</c:v>
                </c:pt>
                <c:pt idx="4">
                  <c:v>3090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3-4DA6-A392-7EC8E4744D95}"/>
            </c:ext>
          </c:extLst>
        </c:ser>
        <c:ser>
          <c:idx val="0"/>
          <c:order val="2"/>
          <c:tx>
            <c:strRef>
              <c:f>'5.1'!$AI$130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'5.1'!$AF$131:$AF$136</c:f>
              <c:strCache>
                <c:ptCount val="6"/>
                <c:pt idx="0">
                  <c:v>Civil Service</c:v>
                </c:pt>
                <c:pt idx="1">
                  <c:v>EXECUTIVE </c:v>
                </c:pt>
                <c:pt idx="2">
                  <c:v>GENERAL SERVICE </c:v>
                </c:pt>
                <c:pt idx="3">
                  <c:v>MANAGERIAL SERVICE </c:v>
                </c:pt>
                <c:pt idx="4">
                  <c:v>SUPPORT SERVICE </c:v>
                </c:pt>
                <c:pt idx="5">
                  <c:v>ZIMMAADHAARU VERIYAA </c:v>
                </c:pt>
              </c:strCache>
            </c:strRef>
          </c:cat>
          <c:val>
            <c:numRef>
              <c:f>'5.1'!$AI$131:$AI$136</c:f>
              <c:numCache>
                <c:formatCode>_(* #,##0_);_(* \(#,##0\);_(* "-"??_);_(@_)</c:formatCode>
                <c:ptCount val="6"/>
                <c:pt idx="0">
                  <c:v>7497</c:v>
                </c:pt>
                <c:pt idx="1">
                  <c:v>256</c:v>
                </c:pt>
                <c:pt idx="2">
                  <c:v>3910</c:v>
                </c:pt>
                <c:pt idx="3">
                  <c:v>1611</c:v>
                </c:pt>
                <c:pt idx="4">
                  <c:v>3313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736-9902-E814C6CA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84293856"/>
        <c:axId val="484288760"/>
      </c:barChart>
      <c:catAx>
        <c:axId val="484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8760"/>
        <c:crosses val="autoZero"/>
        <c:auto val="1"/>
        <c:lblAlgn val="ctr"/>
        <c:lblOffset val="100"/>
        <c:noMultiLvlLbl val="0"/>
      </c:catAx>
      <c:valAx>
        <c:axId val="484288760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rgbClr val="B2EDEC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3856"/>
        <c:crosses val="autoZero"/>
        <c:crossBetween val="between"/>
      </c:valAx>
      <c:spPr>
        <a:solidFill>
          <a:srgbClr val="EAFAFA"/>
        </a:solidFill>
        <a:ln>
          <a:solidFill>
            <a:srgbClr val="EAFAFA"/>
          </a:solidFill>
        </a:ln>
        <a:effectLst/>
      </c:spPr>
    </c:plotArea>
    <c:legend>
      <c:legendPos val="b"/>
      <c:layout>
        <c:manualLayout>
          <c:xMode val="edge"/>
          <c:yMode val="edge"/>
          <c:x val="0.7016512921861916"/>
          <c:y val="0.26297879801551571"/>
          <c:w val="0.27789289274721118"/>
          <c:h val="7.64538730950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112</xdr:row>
      <xdr:rowOff>71437</xdr:rowOff>
    </xdr:from>
    <xdr:to>
      <xdr:col>12</xdr:col>
      <xdr:colOff>438149</xdr:colOff>
      <xdr:row>128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247115</xdr:colOff>
      <xdr:row>115</xdr:row>
      <xdr:rowOff>187269</xdr:rowOff>
    </xdr:from>
    <xdr:to>
      <xdr:col>0</xdr:col>
      <xdr:colOff>523340</xdr:colOff>
      <xdr:row>123</xdr:row>
      <xdr:rowOff>142517</xdr:rowOff>
    </xdr:to>
    <xdr:sp macro="" textlink="">
      <xdr:nvSpPr>
        <xdr:cNvPr id="3" name="TextBox 2"/>
        <xdr:cNvSpPr txBox="1"/>
      </xdr:nvSpPr>
      <xdr:spPr>
        <a:xfrm rot="16200000">
          <a:off x="-430596" y="24172655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257"/>
  <sheetViews>
    <sheetView tabSelected="1" zoomScale="93" zoomScaleNormal="93" workbookViewId="0">
      <selection activeCell="R49" sqref="R49"/>
    </sheetView>
  </sheetViews>
  <sheetFormatPr defaultRowHeight="15" x14ac:dyDescent="0.25"/>
  <cols>
    <col min="1" max="1" width="30.28515625" style="33" customWidth="1"/>
    <col min="2" max="2" width="14.42578125" style="3" hidden="1" customWidth="1"/>
    <col min="3" max="3" width="10.7109375" style="34" customWidth="1"/>
    <col min="4" max="5" width="9.140625" style="23" customWidth="1"/>
    <col min="6" max="6" width="2.140625" style="23" customWidth="1"/>
    <col min="7" max="7" width="11.28515625" style="23" customWidth="1"/>
    <col min="8" max="8" width="9.28515625" style="23" customWidth="1"/>
    <col min="9" max="9" width="9.140625" style="23" customWidth="1"/>
    <col min="10" max="10" width="0.85546875" style="23" customWidth="1"/>
    <col min="11" max="11" width="10.7109375" style="23" customWidth="1"/>
    <col min="12" max="13" width="9.140625" style="23" customWidth="1"/>
    <col min="14" max="14" width="1.42578125" style="3" customWidth="1"/>
    <col min="15" max="15" width="9.140625" style="3"/>
    <col min="16" max="17" width="9.28515625" style="3" customWidth="1"/>
    <col min="18" max="18" width="24.28515625" style="3" customWidth="1"/>
    <col min="19" max="19" width="10.5703125" style="3" bestFit="1" customWidth="1"/>
    <col min="20" max="20" width="9.28515625" style="3" customWidth="1"/>
    <col min="21" max="21" width="10.5703125" style="3" bestFit="1" customWidth="1"/>
    <col min="22" max="31" width="9.140625" style="3"/>
    <col min="32" max="32" width="25.140625" style="3" bestFit="1" customWidth="1"/>
    <col min="33" max="16384" width="9.140625" style="3"/>
  </cols>
  <sheetData>
    <row r="1" spans="1:28" ht="21" x14ac:dyDescent="0.55000000000000004">
      <c r="A1" s="71" t="s">
        <v>221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x14ac:dyDescent="0.25">
      <c r="A2" s="72" t="s">
        <v>220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4.5" customHeight="1" x14ac:dyDescent="0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5" customFormat="1" ht="18.600000000000001" customHeight="1" x14ac:dyDescent="0.2">
      <c r="A4" s="80" t="s">
        <v>0</v>
      </c>
      <c r="B4" s="58"/>
      <c r="C4" s="81" t="s">
        <v>1</v>
      </c>
      <c r="D4" s="81"/>
      <c r="E4" s="81"/>
      <c r="F4" s="81"/>
      <c r="G4" s="81"/>
      <c r="H4" s="82" t="s">
        <v>2</v>
      </c>
      <c r="I4" s="82"/>
      <c r="J4" s="82"/>
      <c r="K4" s="82"/>
      <c r="L4" s="82"/>
      <c r="M4" s="8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s="7" customFormat="1" ht="15" customHeight="1" x14ac:dyDescent="0.25">
      <c r="A5" s="74"/>
      <c r="B5" s="59"/>
      <c r="C5" s="83" t="s">
        <v>3</v>
      </c>
      <c r="D5" s="83"/>
      <c r="E5" s="83"/>
      <c r="F5" s="60"/>
      <c r="G5" s="84" t="s">
        <v>4</v>
      </c>
      <c r="H5" s="85"/>
      <c r="I5" s="85"/>
      <c r="J5" s="36"/>
      <c r="K5" s="83" t="s">
        <v>5</v>
      </c>
      <c r="L5" s="83"/>
      <c r="M5" s="83"/>
    </row>
    <row r="6" spans="1:28" s="7" customFormat="1" ht="18.75" x14ac:dyDescent="0.25">
      <c r="A6" s="70" t="s">
        <v>6</v>
      </c>
      <c r="B6" s="8"/>
      <c r="C6" s="6" t="s">
        <v>7</v>
      </c>
      <c r="D6" s="6" t="s">
        <v>8</v>
      </c>
      <c r="E6" s="6" t="s">
        <v>9</v>
      </c>
      <c r="F6" s="6"/>
      <c r="G6" s="9" t="s">
        <v>7</v>
      </c>
      <c r="H6" s="6" t="s">
        <v>8</v>
      </c>
      <c r="I6" s="6" t="s">
        <v>9</v>
      </c>
      <c r="J6" s="10"/>
      <c r="K6" s="6" t="s">
        <v>7</v>
      </c>
      <c r="L6" s="6" t="s">
        <v>8</v>
      </c>
      <c r="M6" s="6" t="s">
        <v>9</v>
      </c>
    </row>
    <row r="7" spans="1:28" s="15" customFormat="1" ht="12.75" x14ac:dyDescent="0.25">
      <c r="A7" s="78"/>
      <c r="B7" s="11"/>
      <c r="C7" s="12" t="s">
        <v>10</v>
      </c>
      <c r="D7" s="12" t="s">
        <v>11</v>
      </c>
      <c r="E7" s="12" t="s">
        <v>12</v>
      </c>
      <c r="F7" s="12"/>
      <c r="G7" s="13" t="s">
        <v>10</v>
      </c>
      <c r="H7" s="12" t="s">
        <v>11</v>
      </c>
      <c r="I7" s="12" t="s">
        <v>12</v>
      </c>
      <c r="J7" s="14"/>
      <c r="K7" s="12" t="s">
        <v>10</v>
      </c>
      <c r="L7" s="12" t="s">
        <v>11</v>
      </c>
      <c r="M7" s="12" t="s">
        <v>12</v>
      </c>
    </row>
    <row r="8" spans="1:28" s="15" customFormat="1" ht="12" customHeight="1" x14ac:dyDescent="0.25">
      <c r="A8" s="57"/>
      <c r="B8" s="8"/>
      <c r="C8" s="16"/>
      <c r="D8" s="16"/>
      <c r="E8" s="16"/>
      <c r="F8" s="16"/>
      <c r="G8" s="17"/>
      <c r="H8" s="16"/>
      <c r="I8" s="16"/>
      <c r="J8" s="18"/>
      <c r="K8" s="16"/>
      <c r="L8" s="16"/>
      <c r="M8" s="16"/>
    </row>
    <row r="9" spans="1:28" s="19" customFormat="1" ht="16.899999999999999" customHeight="1" x14ac:dyDescent="0.25">
      <c r="A9" s="41" t="s">
        <v>13</v>
      </c>
      <c r="B9" s="38"/>
      <c r="C9" s="43">
        <f>G9+K9</f>
        <v>26668</v>
      </c>
      <c r="D9" s="43">
        <f t="shared" ref="D9:E9" si="0">H9+L9</f>
        <v>10075</v>
      </c>
      <c r="E9" s="43">
        <f t="shared" si="0"/>
        <v>16593</v>
      </c>
      <c r="F9" s="43"/>
      <c r="G9" s="44">
        <f>SUM(H9:I9)</f>
        <v>10067</v>
      </c>
      <c r="H9" s="43">
        <f>SUM(H10:H110)</f>
        <v>3932</v>
      </c>
      <c r="I9" s="43">
        <f>SUM(I10:I110)</f>
        <v>6135</v>
      </c>
      <c r="J9" s="45"/>
      <c r="K9" s="44">
        <f>SUM(L9:M9)</f>
        <v>16601</v>
      </c>
      <c r="L9" s="43">
        <f>SUM(L10:L110)</f>
        <v>6143</v>
      </c>
      <c r="M9" s="43">
        <f>SUM(M10:M110)</f>
        <v>10458</v>
      </c>
    </row>
    <row r="10" spans="1:28" ht="16.899999999999999" customHeight="1" x14ac:dyDescent="0.25">
      <c r="A10" s="53" t="s">
        <v>14</v>
      </c>
      <c r="B10" s="39" t="s">
        <v>114</v>
      </c>
      <c r="C10" s="43">
        <f t="shared" ref="C10:C73" si="1">G10+K10</f>
        <v>238</v>
      </c>
      <c r="D10" s="43">
        <f t="shared" ref="D10:D73" si="2">H10+L10</f>
        <v>3</v>
      </c>
      <c r="E10" s="43">
        <f t="shared" ref="E10:E73" si="3">I10+M10</f>
        <v>235</v>
      </c>
      <c r="F10" s="46"/>
      <c r="G10" s="44">
        <f t="shared" ref="G10:G73" si="4">SUM(H10:I10)</f>
        <v>94</v>
      </c>
      <c r="H10" s="61">
        <v>3</v>
      </c>
      <c r="I10" s="61">
        <v>91</v>
      </c>
      <c r="J10" s="50"/>
      <c r="K10" s="44">
        <f t="shared" ref="K10:K73" si="5">SUM(L10:M10)</f>
        <v>144</v>
      </c>
      <c r="L10" s="61">
        <v>0</v>
      </c>
      <c r="M10" s="61">
        <v>144</v>
      </c>
      <c r="N10" s="2"/>
      <c r="O10" s="20"/>
      <c r="P10" s="21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6.899999999999999" customHeight="1" x14ac:dyDescent="0.25">
      <c r="A11" s="53" t="s">
        <v>15</v>
      </c>
      <c r="B11" s="39" t="s">
        <v>115</v>
      </c>
      <c r="C11" s="43">
        <f t="shared" si="1"/>
        <v>34</v>
      </c>
      <c r="D11" s="43">
        <f t="shared" si="2"/>
        <v>8</v>
      </c>
      <c r="E11" s="43">
        <f t="shared" si="3"/>
        <v>26</v>
      </c>
      <c r="F11" s="46"/>
      <c r="G11" s="44">
        <f t="shared" si="4"/>
        <v>20</v>
      </c>
      <c r="H11" s="61">
        <v>8</v>
      </c>
      <c r="I11" s="61">
        <v>12</v>
      </c>
      <c r="J11" s="50"/>
      <c r="K11" s="44">
        <f t="shared" si="5"/>
        <v>14</v>
      </c>
      <c r="L11" s="61">
        <v>0</v>
      </c>
      <c r="M11" s="61">
        <v>14</v>
      </c>
      <c r="N11" s="2"/>
      <c r="O11" s="2"/>
      <c r="P11" s="21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6.899999999999999" customHeight="1" x14ac:dyDescent="0.25">
      <c r="A12" s="53" t="s">
        <v>16</v>
      </c>
      <c r="B12" s="39" t="s">
        <v>116</v>
      </c>
      <c r="C12" s="43">
        <f t="shared" si="1"/>
        <v>12</v>
      </c>
      <c r="D12" s="43">
        <f t="shared" si="2"/>
        <v>5</v>
      </c>
      <c r="E12" s="43">
        <f t="shared" si="3"/>
        <v>7</v>
      </c>
      <c r="F12" s="46"/>
      <c r="G12" s="44">
        <f t="shared" si="4"/>
        <v>9</v>
      </c>
      <c r="H12" s="61">
        <v>5</v>
      </c>
      <c r="I12" s="61">
        <v>4</v>
      </c>
      <c r="J12" s="50"/>
      <c r="K12" s="44">
        <f t="shared" si="5"/>
        <v>3</v>
      </c>
      <c r="L12" s="61">
        <v>0</v>
      </c>
      <c r="M12" s="61">
        <v>3</v>
      </c>
      <c r="N12" s="2"/>
      <c r="O12" s="2"/>
      <c r="P12" s="21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899999999999999" customHeight="1" x14ac:dyDescent="0.25">
      <c r="A13" s="53" t="s">
        <v>17</v>
      </c>
      <c r="B13" s="39" t="s">
        <v>117</v>
      </c>
      <c r="C13" s="43">
        <f t="shared" si="1"/>
        <v>5</v>
      </c>
      <c r="D13" s="43">
        <f t="shared" si="2"/>
        <v>3</v>
      </c>
      <c r="E13" s="43">
        <f t="shared" si="3"/>
        <v>2</v>
      </c>
      <c r="F13" s="46"/>
      <c r="G13" s="44">
        <f t="shared" si="4"/>
        <v>5</v>
      </c>
      <c r="H13" s="61">
        <v>3</v>
      </c>
      <c r="I13" s="61">
        <v>2</v>
      </c>
      <c r="J13" s="50"/>
      <c r="K13" s="44">
        <f t="shared" si="5"/>
        <v>0</v>
      </c>
      <c r="L13" s="61">
        <v>0</v>
      </c>
      <c r="M13" s="61">
        <v>0</v>
      </c>
      <c r="N13" s="2"/>
      <c r="O13" s="2"/>
      <c r="P13" s="21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6.899999999999999" customHeight="1" x14ac:dyDescent="0.25">
      <c r="A14" s="53" t="s">
        <v>18</v>
      </c>
      <c r="B14" s="39" t="s">
        <v>118</v>
      </c>
      <c r="C14" s="43">
        <f t="shared" si="1"/>
        <v>30</v>
      </c>
      <c r="D14" s="43">
        <f t="shared" si="2"/>
        <v>0</v>
      </c>
      <c r="E14" s="43">
        <f t="shared" si="3"/>
        <v>30</v>
      </c>
      <c r="F14" s="46"/>
      <c r="G14" s="44">
        <f t="shared" si="4"/>
        <v>16</v>
      </c>
      <c r="H14" s="61">
        <v>0</v>
      </c>
      <c r="I14" s="61">
        <v>16</v>
      </c>
      <c r="J14" s="50"/>
      <c r="K14" s="44">
        <f t="shared" si="5"/>
        <v>14</v>
      </c>
      <c r="L14" s="61">
        <v>0</v>
      </c>
      <c r="M14" s="61">
        <v>14</v>
      </c>
      <c r="N14" s="2"/>
      <c r="O14" s="20"/>
      <c r="P14" s="21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6.899999999999999" customHeight="1" x14ac:dyDescent="0.25">
      <c r="A15" s="53" t="s">
        <v>19</v>
      </c>
      <c r="B15" s="40" t="s">
        <v>119</v>
      </c>
      <c r="C15" s="43">
        <f t="shared" si="1"/>
        <v>946</v>
      </c>
      <c r="D15" s="43">
        <f t="shared" si="2"/>
        <v>130</v>
      </c>
      <c r="E15" s="43">
        <f t="shared" si="3"/>
        <v>816</v>
      </c>
      <c r="F15" s="46"/>
      <c r="G15" s="44">
        <f t="shared" si="4"/>
        <v>184</v>
      </c>
      <c r="H15" s="61">
        <v>23</v>
      </c>
      <c r="I15" s="61">
        <v>161</v>
      </c>
      <c r="J15" s="50"/>
      <c r="K15" s="44">
        <f t="shared" si="5"/>
        <v>762</v>
      </c>
      <c r="L15" s="61">
        <v>107</v>
      </c>
      <c r="M15" s="61">
        <v>655</v>
      </c>
      <c r="N15" s="2"/>
      <c r="O15" s="2"/>
      <c r="P15" s="2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6.899999999999999" customHeight="1" x14ac:dyDescent="0.25">
      <c r="A16" s="53" t="s">
        <v>20</v>
      </c>
      <c r="B16" s="40" t="s">
        <v>120</v>
      </c>
      <c r="C16" s="43">
        <f t="shared" si="1"/>
        <v>527</v>
      </c>
      <c r="D16" s="43">
        <f t="shared" si="2"/>
        <v>75</v>
      </c>
      <c r="E16" s="43">
        <f t="shared" si="3"/>
        <v>452</v>
      </c>
      <c r="F16" s="46"/>
      <c r="G16" s="44">
        <f t="shared" si="4"/>
        <v>87</v>
      </c>
      <c r="H16" s="61">
        <v>9</v>
      </c>
      <c r="I16" s="61">
        <v>78</v>
      </c>
      <c r="J16" s="50"/>
      <c r="K16" s="44">
        <f t="shared" si="5"/>
        <v>440</v>
      </c>
      <c r="L16" s="61">
        <v>66</v>
      </c>
      <c r="M16" s="61">
        <v>374</v>
      </c>
      <c r="N16" s="2"/>
      <c r="O16" s="2"/>
      <c r="P16" s="2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ht="16.899999999999999" customHeight="1" x14ac:dyDescent="0.25">
      <c r="A17" s="53" t="s">
        <v>21</v>
      </c>
      <c r="B17" s="40" t="s">
        <v>121</v>
      </c>
      <c r="C17" s="43">
        <f t="shared" si="1"/>
        <v>400</v>
      </c>
      <c r="D17" s="43">
        <f t="shared" si="2"/>
        <v>107</v>
      </c>
      <c r="E17" s="43">
        <f t="shared" si="3"/>
        <v>293</v>
      </c>
      <c r="F17" s="46"/>
      <c r="G17" s="44">
        <f t="shared" si="4"/>
        <v>51</v>
      </c>
      <c r="H17" s="61">
        <v>3</v>
      </c>
      <c r="I17" s="61">
        <v>48</v>
      </c>
      <c r="J17" s="50"/>
      <c r="K17" s="44">
        <f t="shared" si="5"/>
        <v>349</v>
      </c>
      <c r="L17" s="61">
        <v>104</v>
      </c>
      <c r="M17" s="61">
        <v>245</v>
      </c>
      <c r="N17" s="2"/>
      <c r="O17" s="2"/>
      <c r="P17" s="21"/>
    </row>
    <row r="18" spans="1:16" ht="16.899999999999999" customHeight="1" x14ac:dyDescent="0.25">
      <c r="A18" s="53" t="s">
        <v>22</v>
      </c>
      <c r="B18" s="40" t="s">
        <v>122</v>
      </c>
      <c r="C18" s="43">
        <f t="shared" si="1"/>
        <v>65</v>
      </c>
      <c r="D18" s="43">
        <f t="shared" si="2"/>
        <v>20</v>
      </c>
      <c r="E18" s="43">
        <f t="shared" si="3"/>
        <v>45</v>
      </c>
      <c r="F18" s="46"/>
      <c r="G18" s="44">
        <f t="shared" si="4"/>
        <v>11</v>
      </c>
      <c r="H18" s="61">
        <v>2</v>
      </c>
      <c r="I18" s="61">
        <v>9</v>
      </c>
      <c r="J18" s="50"/>
      <c r="K18" s="44">
        <f t="shared" si="5"/>
        <v>54</v>
      </c>
      <c r="L18" s="61">
        <v>18</v>
      </c>
      <c r="M18" s="61">
        <v>36</v>
      </c>
      <c r="N18" s="2"/>
      <c r="O18" s="2"/>
      <c r="P18" s="21"/>
    </row>
    <row r="19" spans="1:16" ht="16.899999999999999" customHeight="1" x14ac:dyDescent="0.25">
      <c r="A19" s="53" t="s">
        <v>23</v>
      </c>
      <c r="B19" s="40" t="s">
        <v>123</v>
      </c>
      <c r="C19" s="43">
        <f t="shared" si="1"/>
        <v>283</v>
      </c>
      <c r="D19" s="43">
        <f t="shared" si="2"/>
        <v>58</v>
      </c>
      <c r="E19" s="43">
        <f t="shared" si="3"/>
        <v>225</v>
      </c>
      <c r="F19" s="46"/>
      <c r="G19" s="44">
        <f t="shared" si="4"/>
        <v>208</v>
      </c>
      <c r="H19" s="61">
        <v>40</v>
      </c>
      <c r="I19" s="61">
        <v>168</v>
      </c>
      <c r="J19" s="50"/>
      <c r="K19" s="44">
        <f t="shared" si="5"/>
        <v>75</v>
      </c>
      <c r="L19" s="61">
        <v>18</v>
      </c>
      <c r="M19" s="61">
        <v>57</v>
      </c>
      <c r="N19" s="2"/>
      <c r="O19" s="2"/>
      <c r="P19" s="21"/>
    </row>
    <row r="20" spans="1:16" ht="16.899999999999999" customHeight="1" x14ac:dyDescent="0.25">
      <c r="A20" s="53" t="s">
        <v>24</v>
      </c>
      <c r="B20" s="40" t="s">
        <v>124</v>
      </c>
      <c r="C20" s="43">
        <f t="shared" si="1"/>
        <v>20</v>
      </c>
      <c r="D20" s="43">
        <f t="shared" si="2"/>
        <v>8</v>
      </c>
      <c r="E20" s="43">
        <f t="shared" si="3"/>
        <v>12</v>
      </c>
      <c r="F20" s="46"/>
      <c r="G20" s="44">
        <f t="shared" si="4"/>
        <v>17</v>
      </c>
      <c r="H20" s="61">
        <v>8</v>
      </c>
      <c r="I20" s="61">
        <v>9</v>
      </c>
      <c r="J20" s="50"/>
      <c r="K20" s="44">
        <f t="shared" si="5"/>
        <v>3</v>
      </c>
      <c r="L20" s="61">
        <v>0</v>
      </c>
      <c r="M20" s="61">
        <v>3</v>
      </c>
      <c r="N20" s="2"/>
      <c r="O20" s="2"/>
      <c r="P20" s="21"/>
    </row>
    <row r="21" spans="1:16" ht="16.899999999999999" customHeight="1" x14ac:dyDescent="0.25">
      <c r="A21" s="53" t="s">
        <v>25</v>
      </c>
      <c r="B21" s="40" t="s">
        <v>125</v>
      </c>
      <c r="C21" s="43">
        <f t="shared" si="1"/>
        <v>16</v>
      </c>
      <c r="D21" s="43">
        <f t="shared" si="2"/>
        <v>6</v>
      </c>
      <c r="E21" s="43">
        <f t="shared" si="3"/>
        <v>10</v>
      </c>
      <c r="F21" s="46"/>
      <c r="G21" s="44">
        <f t="shared" si="4"/>
        <v>16</v>
      </c>
      <c r="H21" s="61">
        <v>6</v>
      </c>
      <c r="I21" s="61">
        <v>10</v>
      </c>
      <c r="J21" s="50"/>
      <c r="K21" s="44">
        <f t="shared" si="5"/>
        <v>0</v>
      </c>
      <c r="L21" s="61">
        <v>0</v>
      </c>
      <c r="M21" s="61">
        <v>0</v>
      </c>
      <c r="N21" s="2"/>
      <c r="O21" s="2"/>
      <c r="P21" s="21"/>
    </row>
    <row r="22" spans="1:16" ht="16.899999999999999" customHeight="1" x14ac:dyDescent="0.25">
      <c r="A22" s="53" t="s">
        <v>26</v>
      </c>
      <c r="B22" s="40" t="s">
        <v>126</v>
      </c>
      <c r="C22" s="43">
        <f t="shared" si="1"/>
        <v>2</v>
      </c>
      <c r="D22" s="43">
        <f t="shared" si="2"/>
        <v>1</v>
      </c>
      <c r="E22" s="43">
        <f t="shared" si="3"/>
        <v>1</v>
      </c>
      <c r="F22" s="46"/>
      <c r="G22" s="44">
        <f t="shared" si="4"/>
        <v>2</v>
      </c>
      <c r="H22" s="61">
        <v>1</v>
      </c>
      <c r="I22" s="61">
        <v>1</v>
      </c>
      <c r="J22" s="50"/>
      <c r="K22" s="44">
        <f t="shared" si="5"/>
        <v>0</v>
      </c>
      <c r="L22" s="61">
        <v>0</v>
      </c>
      <c r="M22" s="61">
        <v>0</v>
      </c>
      <c r="N22" s="2"/>
      <c r="O22" s="20"/>
      <c r="P22" s="21"/>
    </row>
    <row r="23" spans="1:16" ht="16.899999999999999" customHeight="1" x14ac:dyDescent="0.25">
      <c r="A23" s="53" t="s">
        <v>27</v>
      </c>
      <c r="B23" s="40" t="s">
        <v>127</v>
      </c>
      <c r="C23" s="43">
        <f t="shared" si="1"/>
        <v>2</v>
      </c>
      <c r="D23" s="43">
        <f t="shared" si="2"/>
        <v>2</v>
      </c>
      <c r="E23" s="43">
        <f t="shared" si="3"/>
        <v>0</v>
      </c>
      <c r="F23" s="46"/>
      <c r="G23" s="44">
        <f t="shared" si="4"/>
        <v>2</v>
      </c>
      <c r="H23" s="61">
        <v>2</v>
      </c>
      <c r="I23" s="61">
        <v>0</v>
      </c>
      <c r="J23" s="50"/>
      <c r="K23" s="44">
        <f t="shared" si="5"/>
        <v>0</v>
      </c>
      <c r="L23" s="61">
        <v>0</v>
      </c>
      <c r="M23" s="61">
        <v>0</v>
      </c>
      <c r="N23" s="2"/>
      <c r="O23" s="2"/>
      <c r="P23" s="21"/>
    </row>
    <row r="24" spans="1:16" ht="16.899999999999999" customHeight="1" x14ac:dyDescent="0.25">
      <c r="A24" s="53" t="s">
        <v>28</v>
      </c>
      <c r="B24" s="40" t="s">
        <v>128</v>
      </c>
      <c r="C24" s="43">
        <f t="shared" si="1"/>
        <v>6</v>
      </c>
      <c r="D24" s="43">
        <f t="shared" si="2"/>
        <v>4</v>
      </c>
      <c r="E24" s="43">
        <f t="shared" si="3"/>
        <v>2</v>
      </c>
      <c r="F24" s="46"/>
      <c r="G24" s="44">
        <f t="shared" si="4"/>
        <v>4</v>
      </c>
      <c r="H24" s="61">
        <v>2</v>
      </c>
      <c r="I24" s="61">
        <v>2</v>
      </c>
      <c r="J24" s="50"/>
      <c r="K24" s="44">
        <f t="shared" si="5"/>
        <v>2</v>
      </c>
      <c r="L24" s="61">
        <v>2</v>
      </c>
      <c r="M24" s="61">
        <v>0</v>
      </c>
      <c r="N24" s="2"/>
      <c r="O24" s="2"/>
      <c r="P24" s="21"/>
    </row>
    <row r="25" spans="1:16" ht="16.899999999999999" customHeight="1" x14ac:dyDescent="0.25">
      <c r="A25" s="53" t="s">
        <v>29</v>
      </c>
      <c r="B25" s="40" t="s">
        <v>129</v>
      </c>
      <c r="C25" s="43">
        <f t="shared" si="1"/>
        <v>2718</v>
      </c>
      <c r="D25" s="43">
        <f t="shared" si="2"/>
        <v>973</v>
      </c>
      <c r="E25" s="43">
        <f t="shared" si="3"/>
        <v>1745</v>
      </c>
      <c r="F25" s="46"/>
      <c r="G25" s="44">
        <f t="shared" si="4"/>
        <v>478</v>
      </c>
      <c r="H25" s="61">
        <v>125</v>
      </c>
      <c r="I25" s="61">
        <v>353</v>
      </c>
      <c r="J25" s="50"/>
      <c r="K25" s="44">
        <f t="shared" si="5"/>
        <v>2240</v>
      </c>
      <c r="L25" s="61">
        <v>848</v>
      </c>
      <c r="M25" s="62">
        <v>1392</v>
      </c>
      <c r="N25" s="2"/>
      <c r="O25" s="2"/>
      <c r="P25" s="21"/>
    </row>
    <row r="26" spans="1:16" ht="16.899999999999999" customHeight="1" x14ac:dyDescent="0.25">
      <c r="A26" s="53" t="s">
        <v>30</v>
      </c>
      <c r="B26" s="40" t="s">
        <v>130</v>
      </c>
      <c r="C26" s="43">
        <f t="shared" si="1"/>
        <v>614</v>
      </c>
      <c r="D26" s="43">
        <f t="shared" si="2"/>
        <v>113</v>
      </c>
      <c r="E26" s="43">
        <f t="shared" si="3"/>
        <v>501</v>
      </c>
      <c r="F26" s="46"/>
      <c r="G26" s="44">
        <f t="shared" si="4"/>
        <v>210</v>
      </c>
      <c r="H26" s="61">
        <v>30</v>
      </c>
      <c r="I26" s="61">
        <v>180</v>
      </c>
      <c r="J26" s="50"/>
      <c r="K26" s="44">
        <f t="shared" si="5"/>
        <v>404</v>
      </c>
      <c r="L26" s="61">
        <v>83</v>
      </c>
      <c r="M26" s="61">
        <v>321</v>
      </c>
      <c r="N26" s="2"/>
      <c r="O26" s="2"/>
      <c r="P26" s="21"/>
    </row>
    <row r="27" spans="1:16" ht="16.899999999999999" customHeight="1" x14ac:dyDescent="0.25">
      <c r="A27" s="53" t="s">
        <v>31</v>
      </c>
      <c r="B27" s="40" t="s">
        <v>131</v>
      </c>
      <c r="C27" s="43">
        <f t="shared" si="1"/>
        <v>377</v>
      </c>
      <c r="D27" s="43">
        <f t="shared" si="2"/>
        <v>106</v>
      </c>
      <c r="E27" s="43">
        <f t="shared" si="3"/>
        <v>271</v>
      </c>
      <c r="F27" s="46"/>
      <c r="G27" s="44">
        <f t="shared" si="4"/>
        <v>109</v>
      </c>
      <c r="H27" s="61">
        <v>25</v>
      </c>
      <c r="I27" s="61">
        <v>84</v>
      </c>
      <c r="J27" s="50"/>
      <c r="K27" s="44">
        <f t="shared" si="5"/>
        <v>268</v>
      </c>
      <c r="L27" s="61">
        <v>81</v>
      </c>
      <c r="M27" s="61">
        <v>187</v>
      </c>
      <c r="N27" s="2"/>
      <c r="O27" s="2"/>
      <c r="P27" s="21"/>
    </row>
    <row r="28" spans="1:16" ht="16.899999999999999" customHeight="1" x14ac:dyDescent="0.25">
      <c r="A28" s="53" t="s">
        <v>32</v>
      </c>
      <c r="B28" s="40" t="s">
        <v>132</v>
      </c>
      <c r="C28" s="43">
        <f t="shared" si="1"/>
        <v>117</v>
      </c>
      <c r="D28" s="43">
        <f t="shared" si="2"/>
        <v>45</v>
      </c>
      <c r="E28" s="43">
        <f t="shared" si="3"/>
        <v>72</v>
      </c>
      <c r="F28" s="46"/>
      <c r="G28" s="44">
        <f t="shared" si="4"/>
        <v>55</v>
      </c>
      <c r="H28" s="61">
        <v>18</v>
      </c>
      <c r="I28" s="61">
        <v>37</v>
      </c>
      <c r="J28" s="50"/>
      <c r="K28" s="44">
        <f t="shared" si="5"/>
        <v>62</v>
      </c>
      <c r="L28" s="61">
        <v>27</v>
      </c>
      <c r="M28" s="61">
        <v>35</v>
      </c>
      <c r="N28" s="2"/>
      <c r="O28" s="2"/>
      <c r="P28" s="21"/>
    </row>
    <row r="29" spans="1:16" ht="16.899999999999999" customHeight="1" x14ac:dyDescent="0.25">
      <c r="A29" s="53" t="s">
        <v>33</v>
      </c>
      <c r="B29" s="40" t="s">
        <v>133</v>
      </c>
      <c r="C29" s="43">
        <f t="shared" si="1"/>
        <v>0</v>
      </c>
      <c r="D29" s="43">
        <f t="shared" si="2"/>
        <v>0</v>
      </c>
      <c r="E29" s="43">
        <f t="shared" si="3"/>
        <v>0</v>
      </c>
      <c r="F29" s="46"/>
      <c r="G29" s="44">
        <f t="shared" si="4"/>
        <v>0</v>
      </c>
      <c r="H29" s="61">
        <v>0</v>
      </c>
      <c r="I29" s="61">
        <v>0</v>
      </c>
      <c r="J29" s="50"/>
      <c r="K29" s="44">
        <f t="shared" si="5"/>
        <v>0</v>
      </c>
      <c r="L29" s="61">
        <v>0</v>
      </c>
      <c r="M29" s="61">
        <v>0</v>
      </c>
      <c r="N29" s="2"/>
      <c r="O29" s="2"/>
      <c r="P29" s="21"/>
    </row>
    <row r="30" spans="1:16" ht="16.899999999999999" customHeight="1" x14ac:dyDescent="0.25">
      <c r="A30" s="53" t="s">
        <v>34</v>
      </c>
      <c r="B30" s="40" t="s">
        <v>134</v>
      </c>
      <c r="C30" s="43">
        <f t="shared" si="1"/>
        <v>5</v>
      </c>
      <c r="D30" s="43">
        <f t="shared" si="2"/>
        <v>3</v>
      </c>
      <c r="E30" s="43">
        <f t="shared" si="3"/>
        <v>2</v>
      </c>
      <c r="F30" s="46"/>
      <c r="G30" s="44">
        <f t="shared" si="4"/>
        <v>5</v>
      </c>
      <c r="H30" s="61">
        <v>3</v>
      </c>
      <c r="I30" s="61">
        <v>2</v>
      </c>
      <c r="J30" s="50"/>
      <c r="K30" s="44">
        <f t="shared" si="5"/>
        <v>0</v>
      </c>
      <c r="L30" s="61">
        <v>0</v>
      </c>
      <c r="M30" s="61">
        <v>0</v>
      </c>
      <c r="N30" s="2"/>
      <c r="O30" s="2"/>
      <c r="P30" s="21"/>
    </row>
    <row r="31" spans="1:16" ht="16.899999999999999" customHeight="1" x14ac:dyDescent="0.25">
      <c r="A31" s="53" t="s">
        <v>35</v>
      </c>
      <c r="B31" s="40" t="s">
        <v>135</v>
      </c>
      <c r="C31" s="43">
        <f t="shared" si="1"/>
        <v>5</v>
      </c>
      <c r="D31" s="43">
        <f t="shared" si="2"/>
        <v>3</v>
      </c>
      <c r="E31" s="43">
        <f t="shared" si="3"/>
        <v>2</v>
      </c>
      <c r="F31" s="46"/>
      <c r="G31" s="44">
        <f t="shared" si="4"/>
        <v>5</v>
      </c>
      <c r="H31" s="61">
        <v>3</v>
      </c>
      <c r="I31" s="61">
        <v>2</v>
      </c>
      <c r="J31" s="50"/>
      <c r="K31" s="44">
        <f t="shared" si="5"/>
        <v>0</v>
      </c>
      <c r="L31" s="61">
        <v>0</v>
      </c>
      <c r="M31" s="61">
        <v>0</v>
      </c>
      <c r="N31" s="2"/>
      <c r="O31" s="2"/>
      <c r="P31" s="21"/>
    </row>
    <row r="32" spans="1:16" ht="16.899999999999999" customHeight="1" x14ac:dyDescent="0.25">
      <c r="A32" s="53" t="s">
        <v>36</v>
      </c>
      <c r="B32" s="40" t="s">
        <v>136</v>
      </c>
      <c r="C32" s="43">
        <f t="shared" si="1"/>
        <v>6</v>
      </c>
      <c r="D32" s="43">
        <f t="shared" si="2"/>
        <v>4</v>
      </c>
      <c r="E32" s="43">
        <f t="shared" si="3"/>
        <v>2</v>
      </c>
      <c r="F32" s="46"/>
      <c r="G32" s="44">
        <f t="shared" si="4"/>
        <v>6</v>
      </c>
      <c r="H32" s="61">
        <v>4</v>
      </c>
      <c r="I32" s="61">
        <v>2</v>
      </c>
      <c r="J32" s="50"/>
      <c r="K32" s="44">
        <f t="shared" si="5"/>
        <v>0</v>
      </c>
      <c r="L32" s="61">
        <v>0</v>
      </c>
      <c r="M32" s="61">
        <v>0</v>
      </c>
      <c r="N32" s="2"/>
      <c r="O32" s="2"/>
      <c r="P32" s="21"/>
    </row>
    <row r="33" spans="1:19" ht="16.899999999999999" customHeight="1" x14ac:dyDescent="0.25">
      <c r="A33" s="53" t="s">
        <v>37</v>
      </c>
      <c r="B33" s="40" t="s">
        <v>137</v>
      </c>
      <c r="C33" s="43">
        <f t="shared" si="1"/>
        <v>1</v>
      </c>
      <c r="D33" s="43">
        <f t="shared" si="2"/>
        <v>1</v>
      </c>
      <c r="E33" s="43">
        <f t="shared" si="3"/>
        <v>0</v>
      </c>
      <c r="F33" s="46"/>
      <c r="G33" s="44">
        <f t="shared" si="4"/>
        <v>1</v>
      </c>
      <c r="H33" s="61">
        <v>1</v>
      </c>
      <c r="I33" s="61">
        <v>0</v>
      </c>
      <c r="J33" s="50"/>
      <c r="K33" s="44">
        <f t="shared" si="5"/>
        <v>0</v>
      </c>
      <c r="L33" s="61">
        <v>0</v>
      </c>
      <c r="M33" s="61">
        <v>0</v>
      </c>
      <c r="N33" s="2"/>
      <c r="O33" s="2"/>
      <c r="P33" s="21"/>
    </row>
    <row r="34" spans="1:19" ht="16.899999999999999" customHeight="1" x14ac:dyDescent="0.25">
      <c r="A34" s="53" t="s">
        <v>38</v>
      </c>
      <c r="B34" s="40" t="s">
        <v>138</v>
      </c>
      <c r="C34" s="43">
        <f t="shared" si="1"/>
        <v>0</v>
      </c>
      <c r="D34" s="43">
        <f t="shared" si="2"/>
        <v>0</v>
      </c>
      <c r="E34" s="43">
        <f t="shared" si="3"/>
        <v>0</v>
      </c>
      <c r="F34" s="46"/>
      <c r="G34" s="44">
        <f t="shared" si="4"/>
        <v>0</v>
      </c>
      <c r="H34" s="61">
        <v>0</v>
      </c>
      <c r="I34" s="61">
        <v>0</v>
      </c>
      <c r="J34" s="50"/>
      <c r="K34" s="44">
        <f t="shared" si="5"/>
        <v>0</v>
      </c>
      <c r="L34" s="61">
        <v>0</v>
      </c>
      <c r="M34" s="61">
        <v>0</v>
      </c>
      <c r="N34" s="2"/>
      <c r="O34" s="2"/>
      <c r="P34" s="21"/>
    </row>
    <row r="35" spans="1:19" ht="16.899999999999999" customHeight="1" x14ac:dyDescent="0.25">
      <c r="A35" s="53" t="s">
        <v>39</v>
      </c>
      <c r="B35" s="40" t="s">
        <v>139</v>
      </c>
      <c r="C35" s="43">
        <f t="shared" si="1"/>
        <v>1</v>
      </c>
      <c r="D35" s="43">
        <f t="shared" si="2"/>
        <v>1</v>
      </c>
      <c r="E35" s="43">
        <f t="shared" si="3"/>
        <v>0</v>
      </c>
      <c r="F35" s="46"/>
      <c r="G35" s="44">
        <f t="shared" si="4"/>
        <v>1</v>
      </c>
      <c r="H35" s="61">
        <v>1</v>
      </c>
      <c r="I35" s="61">
        <v>0</v>
      </c>
      <c r="J35" s="50"/>
      <c r="K35" s="44">
        <f t="shared" si="5"/>
        <v>0</v>
      </c>
      <c r="L35" s="61">
        <v>0</v>
      </c>
      <c r="M35" s="61">
        <v>0</v>
      </c>
      <c r="N35" s="2"/>
      <c r="O35" s="2"/>
      <c r="P35" s="21"/>
    </row>
    <row r="36" spans="1:19" ht="16.899999999999999" customHeight="1" x14ac:dyDescent="0.25">
      <c r="A36" s="53" t="s">
        <v>40</v>
      </c>
      <c r="B36" s="40" t="s">
        <v>140</v>
      </c>
      <c r="C36" s="43">
        <f t="shared" si="1"/>
        <v>61</v>
      </c>
      <c r="D36" s="43">
        <f t="shared" si="2"/>
        <v>34</v>
      </c>
      <c r="E36" s="43">
        <f t="shared" si="3"/>
        <v>27</v>
      </c>
      <c r="F36" s="46"/>
      <c r="G36" s="44">
        <f t="shared" si="4"/>
        <v>46</v>
      </c>
      <c r="H36" s="61">
        <v>22</v>
      </c>
      <c r="I36" s="61">
        <v>24</v>
      </c>
      <c r="J36" s="50"/>
      <c r="K36" s="44">
        <f t="shared" si="5"/>
        <v>15</v>
      </c>
      <c r="L36" s="61">
        <v>12</v>
      </c>
      <c r="M36" s="61">
        <v>3</v>
      </c>
      <c r="N36" s="2"/>
      <c r="O36" s="2"/>
      <c r="P36" s="21"/>
    </row>
    <row r="37" spans="1:19" ht="16.899999999999999" customHeight="1" x14ac:dyDescent="0.25">
      <c r="A37" s="53" t="s">
        <v>41</v>
      </c>
      <c r="B37" s="40" t="s">
        <v>141</v>
      </c>
      <c r="C37" s="43">
        <f t="shared" si="1"/>
        <v>1009</v>
      </c>
      <c r="D37" s="43">
        <f t="shared" si="2"/>
        <v>212</v>
      </c>
      <c r="E37" s="43">
        <f t="shared" si="3"/>
        <v>797</v>
      </c>
      <c r="F37" s="46"/>
      <c r="G37" s="44">
        <f t="shared" si="4"/>
        <v>371</v>
      </c>
      <c r="H37" s="61">
        <v>54</v>
      </c>
      <c r="I37" s="61">
        <v>317</v>
      </c>
      <c r="J37" s="50"/>
      <c r="K37" s="44">
        <f t="shared" si="5"/>
        <v>638</v>
      </c>
      <c r="L37" s="61">
        <v>158</v>
      </c>
      <c r="M37" s="61">
        <v>480</v>
      </c>
      <c r="N37" s="2"/>
      <c r="O37" s="2"/>
      <c r="P37" s="21"/>
    </row>
    <row r="38" spans="1:19" ht="16.899999999999999" customHeight="1" x14ac:dyDescent="0.25">
      <c r="A38" s="53" t="s">
        <v>42</v>
      </c>
      <c r="B38" s="40" t="s">
        <v>142</v>
      </c>
      <c r="C38" s="43">
        <f t="shared" si="1"/>
        <v>327</v>
      </c>
      <c r="D38" s="43">
        <f t="shared" si="2"/>
        <v>79</v>
      </c>
      <c r="E38" s="43">
        <f t="shared" si="3"/>
        <v>248</v>
      </c>
      <c r="F38" s="46"/>
      <c r="G38" s="44">
        <f t="shared" si="4"/>
        <v>174</v>
      </c>
      <c r="H38" s="61">
        <v>13</v>
      </c>
      <c r="I38" s="61">
        <v>161</v>
      </c>
      <c r="J38" s="50"/>
      <c r="K38" s="44">
        <f t="shared" si="5"/>
        <v>153</v>
      </c>
      <c r="L38" s="61">
        <v>66</v>
      </c>
      <c r="M38" s="61">
        <v>87</v>
      </c>
      <c r="N38" s="2"/>
      <c r="O38" s="2"/>
      <c r="P38" s="21"/>
    </row>
    <row r="39" spans="1:19" ht="16.899999999999999" customHeight="1" x14ac:dyDescent="0.25">
      <c r="A39" s="53" t="s">
        <v>43</v>
      </c>
      <c r="B39" s="40" t="s">
        <v>143</v>
      </c>
      <c r="C39" s="43">
        <f t="shared" si="1"/>
        <v>82</v>
      </c>
      <c r="D39" s="43">
        <f t="shared" si="2"/>
        <v>19</v>
      </c>
      <c r="E39" s="43">
        <f t="shared" si="3"/>
        <v>63</v>
      </c>
      <c r="F39" s="46"/>
      <c r="G39" s="44">
        <f t="shared" si="4"/>
        <v>54</v>
      </c>
      <c r="H39" s="61">
        <v>17</v>
      </c>
      <c r="I39" s="61">
        <v>37</v>
      </c>
      <c r="J39" s="50"/>
      <c r="K39" s="44">
        <f t="shared" si="5"/>
        <v>28</v>
      </c>
      <c r="L39" s="61">
        <v>2</v>
      </c>
      <c r="M39" s="61">
        <v>26</v>
      </c>
      <c r="N39" s="2"/>
      <c r="O39" s="2"/>
      <c r="P39" s="21"/>
    </row>
    <row r="40" spans="1:19" ht="16.899999999999999" customHeight="1" x14ac:dyDescent="0.25">
      <c r="A40" s="53" t="s">
        <v>44</v>
      </c>
      <c r="B40" s="40" t="s">
        <v>144</v>
      </c>
      <c r="C40" s="43">
        <f t="shared" si="1"/>
        <v>20</v>
      </c>
      <c r="D40" s="43">
        <f t="shared" si="2"/>
        <v>12</v>
      </c>
      <c r="E40" s="43">
        <f t="shared" si="3"/>
        <v>8</v>
      </c>
      <c r="F40" s="46"/>
      <c r="G40" s="44">
        <f t="shared" si="4"/>
        <v>16</v>
      </c>
      <c r="H40" s="61">
        <v>9</v>
      </c>
      <c r="I40" s="61">
        <v>7</v>
      </c>
      <c r="J40" s="50"/>
      <c r="K40" s="44">
        <f t="shared" si="5"/>
        <v>4</v>
      </c>
      <c r="L40" s="61">
        <v>3</v>
      </c>
      <c r="M40" s="61">
        <v>1</v>
      </c>
      <c r="N40" s="2"/>
      <c r="O40" s="2"/>
      <c r="P40" s="21"/>
      <c r="Q40" s="2"/>
      <c r="R40" s="2"/>
      <c r="S40" s="2"/>
    </row>
    <row r="41" spans="1:19" ht="16.899999999999999" customHeight="1" x14ac:dyDescent="0.25">
      <c r="A41" s="53" t="s">
        <v>45</v>
      </c>
      <c r="B41" s="40" t="s">
        <v>145</v>
      </c>
      <c r="C41" s="43">
        <f t="shared" si="1"/>
        <v>3</v>
      </c>
      <c r="D41" s="43">
        <f t="shared" si="2"/>
        <v>0</v>
      </c>
      <c r="E41" s="43">
        <f t="shared" si="3"/>
        <v>3</v>
      </c>
      <c r="F41" s="46"/>
      <c r="G41" s="44">
        <f t="shared" si="4"/>
        <v>3</v>
      </c>
      <c r="H41" s="61">
        <v>0</v>
      </c>
      <c r="I41" s="61">
        <v>3</v>
      </c>
      <c r="J41" s="50"/>
      <c r="K41" s="44">
        <f t="shared" si="5"/>
        <v>0</v>
      </c>
      <c r="L41" s="61">
        <v>0</v>
      </c>
      <c r="M41" s="61">
        <v>0</v>
      </c>
      <c r="N41" s="2"/>
      <c r="O41" s="2"/>
      <c r="P41" s="21"/>
      <c r="Q41" s="2"/>
      <c r="R41" s="2"/>
      <c r="S41" s="2"/>
    </row>
    <row r="42" spans="1:19" ht="16.899999999999999" customHeight="1" x14ac:dyDescent="0.25">
      <c r="A42" s="53" t="s">
        <v>46</v>
      </c>
      <c r="B42" s="40" t="s">
        <v>146</v>
      </c>
      <c r="C42" s="43">
        <f t="shared" si="1"/>
        <v>6</v>
      </c>
      <c r="D42" s="43">
        <f t="shared" si="2"/>
        <v>1</v>
      </c>
      <c r="E42" s="43">
        <f t="shared" si="3"/>
        <v>5</v>
      </c>
      <c r="F42" s="46"/>
      <c r="G42" s="44">
        <f t="shared" si="4"/>
        <v>6</v>
      </c>
      <c r="H42" s="61">
        <v>1</v>
      </c>
      <c r="I42" s="61">
        <v>5</v>
      </c>
      <c r="J42" s="50"/>
      <c r="K42" s="44">
        <f t="shared" si="5"/>
        <v>0</v>
      </c>
      <c r="L42" s="61">
        <v>0</v>
      </c>
      <c r="M42" s="61">
        <v>0</v>
      </c>
      <c r="N42" s="2"/>
      <c r="O42" s="2"/>
      <c r="P42" s="21"/>
      <c r="Q42" s="2"/>
      <c r="R42" s="2"/>
      <c r="S42" s="2"/>
    </row>
    <row r="43" spans="1:19" ht="16.899999999999999" customHeight="1" x14ac:dyDescent="0.25">
      <c r="A43" s="53" t="s">
        <v>47</v>
      </c>
      <c r="B43" s="40" t="s">
        <v>147</v>
      </c>
      <c r="C43" s="43">
        <f t="shared" si="1"/>
        <v>1</v>
      </c>
      <c r="D43" s="43">
        <f t="shared" si="2"/>
        <v>1</v>
      </c>
      <c r="E43" s="43">
        <f t="shared" si="3"/>
        <v>0</v>
      </c>
      <c r="F43" s="46"/>
      <c r="G43" s="44">
        <f t="shared" si="4"/>
        <v>1</v>
      </c>
      <c r="H43" s="61">
        <v>1</v>
      </c>
      <c r="I43" s="61">
        <v>0</v>
      </c>
      <c r="J43" s="50"/>
      <c r="K43" s="44">
        <f t="shared" si="5"/>
        <v>0</v>
      </c>
      <c r="L43" s="61">
        <v>0</v>
      </c>
      <c r="M43" s="61">
        <v>0</v>
      </c>
      <c r="N43" s="2"/>
      <c r="O43" s="2"/>
      <c r="P43" s="21"/>
      <c r="Q43" s="2"/>
      <c r="R43" s="2"/>
      <c r="S43" s="2"/>
    </row>
    <row r="44" spans="1:19" ht="16.899999999999999" customHeight="1" x14ac:dyDescent="0.25">
      <c r="A44" s="53" t="s">
        <v>48</v>
      </c>
      <c r="B44" s="40" t="s">
        <v>148</v>
      </c>
      <c r="C44" s="43">
        <f t="shared" si="1"/>
        <v>1</v>
      </c>
      <c r="D44" s="43">
        <f t="shared" si="2"/>
        <v>1</v>
      </c>
      <c r="E44" s="43">
        <f t="shared" si="3"/>
        <v>0</v>
      </c>
      <c r="F44" s="46"/>
      <c r="G44" s="44">
        <f t="shared" si="4"/>
        <v>1</v>
      </c>
      <c r="H44" s="61">
        <v>1</v>
      </c>
      <c r="I44" s="61">
        <v>0</v>
      </c>
      <c r="J44" s="50"/>
      <c r="K44" s="44">
        <f t="shared" si="5"/>
        <v>0</v>
      </c>
      <c r="L44" s="61">
        <v>0</v>
      </c>
      <c r="M44" s="61">
        <v>0</v>
      </c>
      <c r="N44" s="2"/>
      <c r="O44" s="2"/>
      <c r="P44" s="21"/>
      <c r="Q44" s="22"/>
      <c r="R44" s="22"/>
      <c r="S44" s="22"/>
    </row>
    <row r="45" spans="1:19" ht="16.899999999999999" customHeight="1" x14ac:dyDescent="0.25">
      <c r="A45" s="53" t="s">
        <v>49</v>
      </c>
      <c r="B45" s="40" t="s">
        <v>149</v>
      </c>
      <c r="C45" s="43">
        <f t="shared" si="1"/>
        <v>0</v>
      </c>
      <c r="D45" s="43">
        <f t="shared" si="2"/>
        <v>0</v>
      </c>
      <c r="E45" s="43">
        <f t="shared" si="3"/>
        <v>0</v>
      </c>
      <c r="F45" s="46"/>
      <c r="G45" s="44">
        <f t="shared" si="4"/>
        <v>0</v>
      </c>
      <c r="H45" s="61">
        <v>0</v>
      </c>
      <c r="I45" s="61">
        <v>0</v>
      </c>
      <c r="J45" s="50"/>
      <c r="K45" s="44">
        <f t="shared" si="5"/>
        <v>0</v>
      </c>
      <c r="L45" s="61">
        <v>0</v>
      </c>
      <c r="M45" s="61">
        <v>0</v>
      </c>
      <c r="N45" s="2"/>
      <c r="O45" s="2"/>
      <c r="P45" s="21"/>
      <c r="Q45" s="2"/>
      <c r="R45" s="2"/>
      <c r="S45" s="2"/>
    </row>
    <row r="46" spans="1:19" ht="16.899999999999999" customHeight="1" x14ac:dyDescent="0.25">
      <c r="A46" s="53" t="s">
        <v>50</v>
      </c>
      <c r="B46" s="40" t="s">
        <v>150</v>
      </c>
      <c r="C46" s="43">
        <f t="shared" si="1"/>
        <v>1</v>
      </c>
      <c r="D46" s="43">
        <f t="shared" si="2"/>
        <v>1</v>
      </c>
      <c r="E46" s="43">
        <f t="shared" si="3"/>
        <v>0</v>
      </c>
      <c r="F46" s="46"/>
      <c r="G46" s="44">
        <f t="shared" si="4"/>
        <v>1</v>
      </c>
      <c r="H46" s="61">
        <v>1</v>
      </c>
      <c r="I46" s="61">
        <v>0</v>
      </c>
      <c r="J46" s="50"/>
      <c r="K46" s="44">
        <f t="shared" si="5"/>
        <v>0</v>
      </c>
      <c r="L46" s="61">
        <v>0</v>
      </c>
      <c r="M46" s="61">
        <v>0</v>
      </c>
      <c r="N46" s="2"/>
      <c r="O46" s="2"/>
      <c r="P46" s="21"/>
    </row>
    <row r="47" spans="1:19" ht="16.899999999999999" customHeight="1" x14ac:dyDescent="0.25">
      <c r="A47" s="53" t="s">
        <v>51</v>
      </c>
      <c r="B47" s="40" t="s">
        <v>151</v>
      </c>
      <c r="C47" s="43">
        <f t="shared" si="1"/>
        <v>2</v>
      </c>
      <c r="D47" s="43">
        <f t="shared" si="2"/>
        <v>0</v>
      </c>
      <c r="E47" s="43">
        <f t="shared" si="3"/>
        <v>2</v>
      </c>
      <c r="F47" s="46"/>
      <c r="G47" s="44">
        <f t="shared" si="4"/>
        <v>2</v>
      </c>
      <c r="H47" s="61">
        <v>0</v>
      </c>
      <c r="I47" s="61">
        <v>2</v>
      </c>
      <c r="J47" s="50"/>
      <c r="K47" s="44">
        <f t="shared" si="5"/>
        <v>0</v>
      </c>
      <c r="L47" s="61">
        <v>0</v>
      </c>
      <c r="M47" s="61">
        <v>0</v>
      </c>
      <c r="N47" s="2"/>
      <c r="O47" s="2"/>
      <c r="P47" s="21"/>
    </row>
    <row r="48" spans="1:19" ht="16.899999999999999" customHeight="1" x14ac:dyDescent="0.25">
      <c r="A48" s="53" t="s">
        <v>52</v>
      </c>
      <c r="B48" s="40" t="s">
        <v>152</v>
      </c>
      <c r="C48" s="43">
        <f t="shared" si="1"/>
        <v>4</v>
      </c>
      <c r="D48" s="43">
        <f t="shared" si="2"/>
        <v>1</v>
      </c>
      <c r="E48" s="43">
        <f t="shared" si="3"/>
        <v>3</v>
      </c>
      <c r="F48" s="46"/>
      <c r="G48" s="44">
        <f t="shared" si="4"/>
        <v>4</v>
      </c>
      <c r="H48" s="61">
        <v>1</v>
      </c>
      <c r="I48" s="61">
        <v>3</v>
      </c>
      <c r="J48" s="50"/>
      <c r="K48" s="44">
        <f t="shared" si="5"/>
        <v>0</v>
      </c>
      <c r="L48" s="61">
        <v>0</v>
      </c>
      <c r="M48" s="61">
        <v>0</v>
      </c>
      <c r="N48" s="2"/>
      <c r="O48" s="2"/>
      <c r="P48" s="21"/>
      <c r="Q48" s="2"/>
      <c r="R48" s="2"/>
      <c r="S48" s="2"/>
    </row>
    <row r="49" spans="1:19" ht="16.899999999999999" customHeight="1" x14ac:dyDescent="0.25">
      <c r="A49" s="53" t="s">
        <v>53</v>
      </c>
      <c r="B49" s="40" t="s">
        <v>153</v>
      </c>
      <c r="C49" s="43">
        <f t="shared" si="1"/>
        <v>2</v>
      </c>
      <c r="D49" s="43">
        <f t="shared" si="2"/>
        <v>2</v>
      </c>
      <c r="E49" s="43">
        <f t="shared" si="3"/>
        <v>0</v>
      </c>
      <c r="F49" s="46"/>
      <c r="G49" s="44">
        <f t="shared" si="4"/>
        <v>2</v>
      </c>
      <c r="H49" s="61">
        <v>2</v>
      </c>
      <c r="I49" s="61">
        <v>0</v>
      </c>
      <c r="J49" s="50"/>
      <c r="K49" s="44">
        <f t="shared" si="5"/>
        <v>0</v>
      </c>
      <c r="L49" s="61">
        <v>0</v>
      </c>
      <c r="M49" s="61">
        <v>0</v>
      </c>
      <c r="N49" s="2"/>
      <c r="O49" s="2"/>
      <c r="P49" s="21"/>
    </row>
    <row r="50" spans="1:19" ht="16.899999999999999" customHeight="1" x14ac:dyDescent="0.25">
      <c r="A50" s="53" t="s">
        <v>54</v>
      </c>
      <c r="B50" s="40" t="s">
        <v>154</v>
      </c>
      <c r="C50" s="43">
        <f t="shared" si="1"/>
        <v>1</v>
      </c>
      <c r="D50" s="43">
        <f t="shared" si="2"/>
        <v>0</v>
      </c>
      <c r="E50" s="43">
        <f t="shared" si="3"/>
        <v>1</v>
      </c>
      <c r="F50" s="46"/>
      <c r="G50" s="44">
        <f t="shared" si="4"/>
        <v>1</v>
      </c>
      <c r="H50" s="61">
        <v>0</v>
      </c>
      <c r="I50" s="61">
        <v>1</v>
      </c>
      <c r="J50" s="50"/>
      <c r="K50" s="44">
        <f t="shared" si="5"/>
        <v>0</v>
      </c>
      <c r="L50" s="61">
        <v>0</v>
      </c>
      <c r="M50" s="61">
        <v>0</v>
      </c>
      <c r="N50" s="2"/>
      <c r="O50" s="2"/>
      <c r="P50" s="21"/>
      <c r="Q50" s="2"/>
      <c r="R50" s="2"/>
      <c r="S50" s="2"/>
    </row>
    <row r="51" spans="1:19" ht="16.899999999999999" customHeight="1" x14ac:dyDescent="0.25">
      <c r="A51" s="54" t="s">
        <v>212</v>
      </c>
      <c r="B51" s="40" t="s">
        <v>155</v>
      </c>
      <c r="C51" s="43">
        <f t="shared" si="1"/>
        <v>4</v>
      </c>
      <c r="D51" s="43">
        <f t="shared" si="2"/>
        <v>3</v>
      </c>
      <c r="E51" s="43">
        <f t="shared" si="3"/>
        <v>1</v>
      </c>
      <c r="F51" s="46"/>
      <c r="G51" s="44">
        <f t="shared" si="4"/>
        <v>4</v>
      </c>
      <c r="H51" s="61">
        <v>3</v>
      </c>
      <c r="I51" s="61">
        <v>1</v>
      </c>
      <c r="J51" s="50"/>
      <c r="K51" s="44">
        <f t="shared" si="5"/>
        <v>0</v>
      </c>
      <c r="L51" s="61">
        <v>0</v>
      </c>
      <c r="M51" s="61">
        <v>0</v>
      </c>
      <c r="N51" s="2"/>
      <c r="O51" s="20"/>
      <c r="P51" s="21"/>
    </row>
    <row r="52" spans="1:19" ht="16.899999999999999" customHeight="1" x14ac:dyDescent="0.25">
      <c r="A52" s="53" t="s">
        <v>55</v>
      </c>
      <c r="B52" s="40" t="s">
        <v>156</v>
      </c>
      <c r="C52" s="43">
        <f t="shared" si="1"/>
        <v>1</v>
      </c>
      <c r="D52" s="43">
        <f t="shared" si="2"/>
        <v>0</v>
      </c>
      <c r="E52" s="43">
        <f t="shared" si="3"/>
        <v>1</v>
      </c>
      <c r="F52" s="46"/>
      <c r="G52" s="44">
        <f t="shared" si="4"/>
        <v>1</v>
      </c>
      <c r="H52" s="61">
        <v>0</v>
      </c>
      <c r="I52" s="61">
        <v>1</v>
      </c>
      <c r="J52" s="50"/>
      <c r="K52" s="44">
        <f t="shared" si="5"/>
        <v>0</v>
      </c>
      <c r="L52" s="61">
        <v>0</v>
      </c>
      <c r="M52" s="61">
        <v>0</v>
      </c>
      <c r="N52" s="2"/>
      <c r="O52" s="20"/>
      <c r="P52" s="21"/>
    </row>
    <row r="53" spans="1:19" ht="16.899999999999999" customHeight="1" x14ac:dyDescent="0.25">
      <c r="A53" s="53" t="s">
        <v>56</v>
      </c>
      <c r="B53" s="37" t="s">
        <v>157</v>
      </c>
      <c r="C53" s="43">
        <f t="shared" si="1"/>
        <v>2</v>
      </c>
      <c r="D53" s="43">
        <f t="shared" si="2"/>
        <v>0</v>
      </c>
      <c r="E53" s="43">
        <f t="shared" si="3"/>
        <v>2</v>
      </c>
      <c r="F53" s="46"/>
      <c r="G53" s="44">
        <f t="shared" si="4"/>
        <v>2</v>
      </c>
      <c r="H53" s="61">
        <v>0</v>
      </c>
      <c r="I53" s="61">
        <v>2</v>
      </c>
      <c r="J53" s="50"/>
      <c r="K53" s="44">
        <f t="shared" si="5"/>
        <v>0</v>
      </c>
      <c r="L53" s="61">
        <v>0</v>
      </c>
      <c r="M53" s="61">
        <v>0</v>
      </c>
      <c r="N53" s="2"/>
      <c r="O53" s="2"/>
      <c r="P53" s="21"/>
      <c r="Q53" s="2"/>
      <c r="R53" s="2"/>
      <c r="S53" s="2"/>
    </row>
    <row r="54" spans="1:19" ht="16.899999999999999" customHeight="1" x14ac:dyDescent="0.25">
      <c r="A54" s="53" t="s">
        <v>57</v>
      </c>
      <c r="B54" s="37" t="s">
        <v>157</v>
      </c>
      <c r="C54" s="43">
        <f t="shared" si="1"/>
        <v>0</v>
      </c>
      <c r="D54" s="43">
        <f t="shared" si="2"/>
        <v>0</v>
      </c>
      <c r="E54" s="43">
        <f t="shared" si="3"/>
        <v>0</v>
      </c>
      <c r="F54" s="46"/>
      <c r="G54" s="44">
        <f t="shared" si="4"/>
        <v>0</v>
      </c>
      <c r="H54" s="61">
        <v>0</v>
      </c>
      <c r="I54" s="61">
        <v>0</v>
      </c>
      <c r="J54" s="50"/>
      <c r="K54" s="44">
        <f t="shared" si="5"/>
        <v>0</v>
      </c>
      <c r="L54" s="61">
        <v>0</v>
      </c>
      <c r="M54" s="61">
        <v>0</v>
      </c>
      <c r="N54" s="2"/>
      <c r="O54" s="20"/>
      <c r="P54" s="21"/>
    </row>
    <row r="55" spans="1:19" ht="16.899999999999999" customHeight="1" x14ac:dyDescent="0.25">
      <c r="A55" s="53" t="s">
        <v>58</v>
      </c>
      <c r="B55" s="40" t="s">
        <v>158</v>
      </c>
      <c r="C55" s="43">
        <f t="shared" si="1"/>
        <v>0</v>
      </c>
      <c r="D55" s="43">
        <f t="shared" si="2"/>
        <v>0</v>
      </c>
      <c r="E55" s="43">
        <f t="shared" si="3"/>
        <v>0</v>
      </c>
      <c r="F55" s="46"/>
      <c r="G55" s="44">
        <f t="shared" si="4"/>
        <v>0</v>
      </c>
      <c r="H55" s="61">
        <v>0</v>
      </c>
      <c r="I55" s="61">
        <v>0</v>
      </c>
      <c r="J55" s="50"/>
      <c r="K55" s="44">
        <f t="shared" si="5"/>
        <v>0</v>
      </c>
      <c r="L55" s="61">
        <v>0</v>
      </c>
      <c r="M55" s="61">
        <v>0</v>
      </c>
      <c r="N55" s="2"/>
      <c r="O55" s="20"/>
      <c r="P55" s="21"/>
    </row>
    <row r="56" spans="1:19" ht="16.899999999999999" customHeight="1" x14ac:dyDescent="0.25">
      <c r="A56" s="53" t="s">
        <v>59</v>
      </c>
      <c r="B56" s="40" t="s">
        <v>159</v>
      </c>
      <c r="C56" s="43">
        <f t="shared" si="1"/>
        <v>1</v>
      </c>
      <c r="D56" s="43">
        <f t="shared" si="2"/>
        <v>1</v>
      </c>
      <c r="E56" s="43">
        <f t="shared" si="3"/>
        <v>0</v>
      </c>
      <c r="F56" s="46"/>
      <c r="G56" s="44">
        <f t="shared" si="4"/>
        <v>1</v>
      </c>
      <c r="H56" s="61">
        <v>1</v>
      </c>
      <c r="I56" s="61">
        <v>0</v>
      </c>
      <c r="J56" s="50"/>
      <c r="K56" s="44">
        <f t="shared" si="5"/>
        <v>0</v>
      </c>
      <c r="L56" s="61">
        <v>0</v>
      </c>
      <c r="M56" s="61">
        <v>0</v>
      </c>
      <c r="N56" s="2"/>
      <c r="O56" s="20"/>
      <c r="P56" s="21"/>
    </row>
    <row r="57" spans="1:19" ht="16.899999999999999" customHeight="1" x14ac:dyDescent="0.25">
      <c r="A57" s="53" t="s">
        <v>60</v>
      </c>
      <c r="B57" s="40" t="s">
        <v>160</v>
      </c>
      <c r="C57" s="43">
        <f t="shared" si="1"/>
        <v>1</v>
      </c>
      <c r="D57" s="43">
        <f t="shared" si="2"/>
        <v>1</v>
      </c>
      <c r="E57" s="43">
        <f t="shared" si="3"/>
        <v>0</v>
      </c>
      <c r="F57" s="46"/>
      <c r="G57" s="44">
        <f t="shared" si="4"/>
        <v>1</v>
      </c>
      <c r="H57" s="61">
        <v>1</v>
      </c>
      <c r="I57" s="61">
        <v>0</v>
      </c>
      <c r="J57" s="50"/>
      <c r="K57" s="44">
        <f t="shared" si="5"/>
        <v>0</v>
      </c>
      <c r="L57" s="61">
        <v>0</v>
      </c>
      <c r="M57" s="61">
        <v>0</v>
      </c>
      <c r="N57" s="2"/>
      <c r="O57" s="2"/>
      <c r="P57" s="21"/>
      <c r="Q57" s="2"/>
      <c r="R57" s="2"/>
      <c r="S57" s="2"/>
    </row>
    <row r="58" spans="1:19" ht="16.899999999999999" customHeight="1" x14ac:dyDescent="0.25">
      <c r="A58" s="53" t="s">
        <v>213</v>
      </c>
      <c r="B58" s="40" t="s">
        <v>161</v>
      </c>
      <c r="C58" s="43">
        <f t="shared" si="1"/>
        <v>3</v>
      </c>
      <c r="D58" s="43">
        <f t="shared" si="2"/>
        <v>2</v>
      </c>
      <c r="E58" s="43">
        <f t="shared" si="3"/>
        <v>1</v>
      </c>
      <c r="F58" s="46"/>
      <c r="G58" s="44">
        <f t="shared" si="4"/>
        <v>3</v>
      </c>
      <c r="H58" s="61">
        <v>2</v>
      </c>
      <c r="I58" s="61">
        <v>1</v>
      </c>
      <c r="J58" s="50"/>
      <c r="K58" s="44">
        <f t="shared" si="5"/>
        <v>0</v>
      </c>
      <c r="L58" s="61">
        <v>0</v>
      </c>
      <c r="M58" s="61">
        <v>0</v>
      </c>
      <c r="N58" s="2"/>
      <c r="O58" s="2"/>
      <c r="P58" s="21"/>
      <c r="Q58" s="2"/>
      <c r="R58" s="2"/>
      <c r="S58" s="2"/>
    </row>
    <row r="59" spans="1:19" ht="16.899999999999999" customHeight="1" x14ac:dyDescent="0.25">
      <c r="A59" s="53" t="s">
        <v>61</v>
      </c>
      <c r="B59" s="40" t="s">
        <v>162</v>
      </c>
      <c r="C59" s="43">
        <f t="shared" si="1"/>
        <v>2</v>
      </c>
      <c r="D59" s="43">
        <f t="shared" si="2"/>
        <v>2</v>
      </c>
      <c r="E59" s="43">
        <f t="shared" si="3"/>
        <v>0</v>
      </c>
      <c r="F59" s="46"/>
      <c r="G59" s="44">
        <f t="shared" si="4"/>
        <v>2</v>
      </c>
      <c r="H59" s="61">
        <v>2</v>
      </c>
      <c r="I59" s="61">
        <v>0</v>
      </c>
      <c r="J59" s="50"/>
      <c r="K59" s="44">
        <f t="shared" si="5"/>
        <v>0</v>
      </c>
      <c r="L59" s="61">
        <v>0</v>
      </c>
      <c r="M59" s="61">
        <v>0</v>
      </c>
      <c r="N59" s="2"/>
      <c r="O59" s="20"/>
      <c r="P59" s="21"/>
    </row>
    <row r="60" spans="1:19" ht="16.899999999999999" customHeight="1" x14ac:dyDescent="0.25">
      <c r="A60" s="53" t="s">
        <v>62</v>
      </c>
      <c r="B60" s="40" t="s">
        <v>163</v>
      </c>
      <c r="C60" s="43">
        <f t="shared" si="1"/>
        <v>0</v>
      </c>
      <c r="D60" s="43">
        <f t="shared" si="2"/>
        <v>0</v>
      </c>
      <c r="E60" s="43">
        <f t="shared" si="3"/>
        <v>0</v>
      </c>
      <c r="F60" s="46"/>
      <c r="G60" s="44">
        <f t="shared" si="4"/>
        <v>0</v>
      </c>
      <c r="H60" s="61">
        <v>0</v>
      </c>
      <c r="I60" s="61">
        <v>0</v>
      </c>
      <c r="J60" s="50"/>
      <c r="K60" s="44">
        <f t="shared" si="5"/>
        <v>0</v>
      </c>
      <c r="L60" s="61">
        <v>0</v>
      </c>
      <c r="M60" s="61">
        <v>0</v>
      </c>
      <c r="N60" s="2"/>
      <c r="O60" s="20"/>
      <c r="P60" s="21"/>
      <c r="Q60" s="2"/>
      <c r="R60" s="2"/>
      <c r="S60" s="2"/>
    </row>
    <row r="61" spans="1:19" ht="16.899999999999999" customHeight="1" x14ac:dyDescent="0.25">
      <c r="A61" s="53" t="s">
        <v>63</v>
      </c>
      <c r="B61" s="40" t="s">
        <v>164</v>
      </c>
      <c r="C61" s="43">
        <f t="shared" si="1"/>
        <v>227</v>
      </c>
      <c r="D61" s="43">
        <f t="shared" si="2"/>
        <v>124</v>
      </c>
      <c r="E61" s="43">
        <f t="shared" si="3"/>
        <v>103</v>
      </c>
      <c r="F61" s="46"/>
      <c r="G61" s="44">
        <f t="shared" si="4"/>
        <v>227</v>
      </c>
      <c r="H61" s="61">
        <v>124</v>
      </c>
      <c r="I61" s="61">
        <v>103</v>
      </c>
      <c r="J61" s="50"/>
      <c r="K61" s="44">
        <f t="shared" si="5"/>
        <v>0</v>
      </c>
      <c r="L61" s="61">
        <v>0</v>
      </c>
      <c r="M61" s="61">
        <v>0</v>
      </c>
      <c r="N61" s="2"/>
      <c r="O61" s="20"/>
      <c r="P61" s="21"/>
      <c r="Q61" s="2"/>
      <c r="R61" s="2"/>
      <c r="S61" s="2"/>
    </row>
    <row r="62" spans="1:19" ht="16.899999999999999" customHeight="1" x14ac:dyDescent="0.25">
      <c r="A62" s="53" t="s">
        <v>64</v>
      </c>
      <c r="B62" s="40" t="s">
        <v>165</v>
      </c>
      <c r="C62" s="43">
        <f t="shared" si="1"/>
        <v>79</v>
      </c>
      <c r="D62" s="43">
        <f t="shared" si="2"/>
        <v>59</v>
      </c>
      <c r="E62" s="43">
        <f t="shared" si="3"/>
        <v>20</v>
      </c>
      <c r="F62" s="46"/>
      <c r="G62" s="44">
        <f t="shared" si="4"/>
        <v>79</v>
      </c>
      <c r="H62" s="61">
        <v>59</v>
      </c>
      <c r="I62" s="61">
        <v>20</v>
      </c>
      <c r="J62" s="50"/>
      <c r="K62" s="44">
        <f t="shared" si="5"/>
        <v>0</v>
      </c>
      <c r="L62" s="61">
        <v>0</v>
      </c>
      <c r="M62" s="61">
        <v>0</v>
      </c>
      <c r="N62" s="2"/>
      <c r="O62" s="20"/>
      <c r="P62" s="21"/>
      <c r="Q62" s="2"/>
      <c r="R62" s="2"/>
      <c r="S62" s="2"/>
    </row>
    <row r="63" spans="1:19" ht="16.899999999999999" customHeight="1" x14ac:dyDescent="0.25">
      <c r="A63" s="53" t="s">
        <v>65</v>
      </c>
      <c r="B63" s="40" t="s">
        <v>166</v>
      </c>
      <c r="C63" s="43">
        <f t="shared" si="1"/>
        <v>91</v>
      </c>
      <c r="D63" s="43">
        <f t="shared" si="2"/>
        <v>62</v>
      </c>
      <c r="E63" s="43">
        <f t="shared" si="3"/>
        <v>29</v>
      </c>
      <c r="F63" s="46"/>
      <c r="G63" s="44">
        <f t="shared" si="4"/>
        <v>91</v>
      </c>
      <c r="H63" s="61">
        <v>62</v>
      </c>
      <c r="I63" s="61">
        <v>29</v>
      </c>
      <c r="J63" s="50"/>
      <c r="K63" s="44">
        <f t="shared" si="5"/>
        <v>0</v>
      </c>
      <c r="L63" s="61">
        <v>0</v>
      </c>
      <c r="M63" s="61">
        <v>0</v>
      </c>
      <c r="N63" s="2"/>
      <c r="O63" s="20"/>
      <c r="P63" s="21"/>
      <c r="Q63" s="2"/>
      <c r="R63" s="2"/>
      <c r="S63" s="2"/>
    </row>
    <row r="64" spans="1:19" ht="16.899999999999999" customHeight="1" x14ac:dyDescent="0.25">
      <c r="A64" s="53" t="s">
        <v>66</v>
      </c>
      <c r="B64" s="40" t="s">
        <v>167</v>
      </c>
      <c r="C64" s="43">
        <f t="shared" si="1"/>
        <v>39</v>
      </c>
      <c r="D64" s="43">
        <f t="shared" si="2"/>
        <v>26</v>
      </c>
      <c r="E64" s="43">
        <f t="shared" si="3"/>
        <v>13</v>
      </c>
      <c r="F64" s="46"/>
      <c r="G64" s="44">
        <f t="shared" si="4"/>
        <v>39</v>
      </c>
      <c r="H64" s="61">
        <v>26</v>
      </c>
      <c r="I64" s="61">
        <v>13</v>
      </c>
      <c r="J64" s="50"/>
      <c r="K64" s="44">
        <f t="shared" si="5"/>
        <v>0</v>
      </c>
      <c r="L64" s="61">
        <v>0</v>
      </c>
      <c r="M64" s="61">
        <v>0</v>
      </c>
      <c r="N64" s="2"/>
      <c r="O64" s="20"/>
      <c r="P64" s="21"/>
      <c r="Q64" s="2"/>
      <c r="R64" s="2"/>
      <c r="S64" s="2"/>
    </row>
    <row r="65" spans="1:19" ht="16.899999999999999" customHeight="1" x14ac:dyDescent="0.25">
      <c r="A65" s="53" t="s">
        <v>67</v>
      </c>
      <c r="B65" s="40" t="s">
        <v>168</v>
      </c>
      <c r="C65" s="43">
        <f t="shared" si="1"/>
        <v>39</v>
      </c>
      <c r="D65" s="43">
        <f t="shared" si="2"/>
        <v>36</v>
      </c>
      <c r="E65" s="43">
        <f t="shared" si="3"/>
        <v>3</v>
      </c>
      <c r="F65" s="46"/>
      <c r="G65" s="44">
        <f t="shared" si="4"/>
        <v>39</v>
      </c>
      <c r="H65" s="61">
        <v>36</v>
      </c>
      <c r="I65" s="61">
        <v>3</v>
      </c>
      <c r="J65" s="50"/>
      <c r="K65" s="44">
        <f t="shared" si="5"/>
        <v>0</v>
      </c>
      <c r="L65" s="61">
        <v>0</v>
      </c>
      <c r="M65" s="61">
        <v>0</v>
      </c>
      <c r="N65" s="2"/>
      <c r="O65" s="20"/>
      <c r="P65" s="21"/>
    </row>
    <row r="66" spans="1:19" ht="16.899999999999999" customHeight="1" x14ac:dyDescent="0.25">
      <c r="A66" s="53" t="s">
        <v>68</v>
      </c>
      <c r="B66" s="40" t="s">
        <v>169</v>
      </c>
      <c r="C66" s="43">
        <f t="shared" si="1"/>
        <v>9</v>
      </c>
      <c r="D66" s="43">
        <f t="shared" si="2"/>
        <v>9</v>
      </c>
      <c r="E66" s="43">
        <f t="shared" si="3"/>
        <v>0</v>
      </c>
      <c r="F66" s="46"/>
      <c r="G66" s="44">
        <f t="shared" si="4"/>
        <v>9</v>
      </c>
      <c r="H66" s="61">
        <v>9</v>
      </c>
      <c r="I66" s="61">
        <v>0</v>
      </c>
      <c r="J66" s="50"/>
      <c r="K66" s="44">
        <f t="shared" si="5"/>
        <v>0</v>
      </c>
      <c r="L66" s="61">
        <v>0</v>
      </c>
      <c r="M66" s="61">
        <v>0</v>
      </c>
      <c r="N66" s="2"/>
      <c r="O66" s="20"/>
      <c r="P66" s="21"/>
      <c r="Q66" s="2"/>
      <c r="R66" s="2"/>
      <c r="S66" s="2"/>
    </row>
    <row r="67" spans="1:19" ht="16.899999999999999" customHeight="1" x14ac:dyDescent="0.25">
      <c r="A67" s="53" t="s">
        <v>69</v>
      </c>
      <c r="B67" s="40" t="s">
        <v>170</v>
      </c>
      <c r="C67" s="43">
        <f t="shared" si="1"/>
        <v>3</v>
      </c>
      <c r="D67" s="43">
        <f t="shared" si="2"/>
        <v>2</v>
      </c>
      <c r="E67" s="43">
        <f t="shared" si="3"/>
        <v>1</v>
      </c>
      <c r="F67" s="46"/>
      <c r="G67" s="44">
        <f t="shared" si="4"/>
        <v>3</v>
      </c>
      <c r="H67" s="61">
        <v>2</v>
      </c>
      <c r="I67" s="61">
        <v>1</v>
      </c>
      <c r="J67" s="50"/>
      <c r="K67" s="44">
        <f t="shared" si="5"/>
        <v>0</v>
      </c>
      <c r="L67" s="61">
        <v>0</v>
      </c>
      <c r="M67" s="61">
        <v>0</v>
      </c>
      <c r="N67" s="2"/>
      <c r="O67" s="20"/>
      <c r="P67" s="21"/>
    </row>
    <row r="68" spans="1:19" ht="16.899999999999999" customHeight="1" x14ac:dyDescent="0.25">
      <c r="A68" s="53" t="s">
        <v>70</v>
      </c>
      <c r="B68" s="40" t="s">
        <v>171</v>
      </c>
      <c r="C68" s="43">
        <f t="shared" si="1"/>
        <v>1</v>
      </c>
      <c r="D68" s="43">
        <f t="shared" si="2"/>
        <v>0</v>
      </c>
      <c r="E68" s="43">
        <f t="shared" si="3"/>
        <v>1</v>
      </c>
      <c r="F68" s="46"/>
      <c r="G68" s="44">
        <f t="shared" si="4"/>
        <v>1</v>
      </c>
      <c r="H68" s="61">
        <v>0</v>
      </c>
      <c r="I68" s="61">
        <v>1</v>
      </c>
      <c r="J68" s="50"/>
      <c r="K68" s="44">
        <f t="shared" si="5"/>
        <v>0</v>
      </c>
      <c r="L68" s="61">
        <v>0</v>
      </c>
      <c r="M68" s="61">
        <v>0</v>
      </c>
      <c r="N68" s="2"/>
      <c r="O68" s="20"/>
      <c r="P68" s="21"/>
      <c r="Q68" s="2"/>
      <c r="R68" s="2"/>
      <c r="S68" s="2"/>
    </row>
    <row r="69" spans="1:19" ht="16.899999999999999" customHeight="1" x14ac:dyDescent="0.25">
      <c r="A69" s="53" t="s">
        <v>71</v>
      </c>
      <c r="B69" s="40" t="s">
        <v>172</v>
      </c>
      <c r="C69" s="43">
        <f t="shared" si="1"/>
        <v>12</v>
      </c>
      <c r="D69" s="43">
        <f t="shared" si="2"/>
        <v>8</v>
      </c>
      <c r="E69" s="43">
        <f t="shared" si="3"/>
        <v>4</v>
      </c>
      <c r="F69" s="46"/>
      <c r="G69" s="44">
        <f t="shared" si="4"/>
        <v>12</v>
      </c>
      <c r="H69" s="61">
        <v>8</v>
      </c>
      <c r="I69" s="61">
        <v>4</v>
      </c>
      <c r="J69" s="50"/>
      <c r="K69" s="44">
        <f t="shared" si="5"/>
        <v>0</v>
      </c>
      <c r="L69" s="61">
        <v>0</v>
      </c>
      <c r="M69" s="61">
        <v>0</v>
      </c>
      <c r="N69" s="2"/>
      <c r="O69" s="20"/>
      <c r="P69" s="21"/>
      <c r="Q69" s="2"/>
      <c r="R69" s="2"/>
      <c r="S69" s="2"/>
    </row>
    <row r="70" spans="1:19" ht="16.899999999999999" customHeight="1" x14ac:dyDescent="0.25">
      <c r="A70" s="53" t="s">
        <v>72</v>
      </c>
      <c r="B70" s="40" t="s">
        <v>173</v>
      </c>
      <c r="C70" s="43">
        <f t="shared" si="1"/>
        <v>58</v>
      </c>
      <c r="D70" s="43">
        <f t="shared" si="2"/>
        <v>53</v>
      </c>
      <c r="E70" s="43">
        <f t="shared" si="3"/>
        <v>5</v>
      </c>
      <c r="F70" s="46"/>
      <c r="G70" s="44">
        <f t="shared" si="4"/>
        <v>58</v>
      </c>
      <c r="H70" s="61">
        <v>53</v>
      </c>
      <c r="I70" s="61">
        <v>5</v>
      </c>
      <c r="J70" s="50"/>
      <c r="K70" s="44">
        <f t="shared" si="5"/>
        <v>0</v>
      </c>
      <c r="L70" s="61">
        <v>0</v>
      </c>
      <c r="M70" s="61">
        <v>0</v>
      </c>
      <c r="N70" s="2"/>
      <c r="O70" s="20"/>
      <c r="P70" s="21"/>
    </row>
    <row r="71" spans="1:19" ht="16.899999999999999" customHeight="1" x14ac:dyDescent="0.25">
      <c r="A71" s="53" t="s">
        <v>73</v>
      </c>
      <c r="B71" s="40" t="s">
        <v>174</v>
      </c>
      <c r="C71" s="43">
        <f t="shared" si="1"/>
        <v>59</v>
      </c>
      <c r="D71" s="43">
        <f t="shared" si="2"/>
        <v>46</v>
      </c>
      <c r="E71" s="43">
        <f t="shared" si="3"/>
        <v>13</v>
      </c>
      <c r="F71" s="46"/>
      <c r="G71" s="44">
        <f t="shared" si="4"/>
        <v>59</v>
      </c>
      <c r="H71" s="61">
        <v>46</v>
      </c>
      <c r="I71" s="61">
        <v>13</v>
      </c>
      <c r="J71" s="50"/>
      <c r="K71" s="44">
        <f t="shared" si="5"/>
        <v>0</v>
      </c>
      <c r="L71" s="61">
        <v>0</v>
      </c>
      <c r="M71" s="61">
        <v>0</v>
      </c>
      <c r="N71" s="2"/>
      <c r="O71" s="20"/>
      <c r="P71" s="21"/>
    </row>
    <row r="72" spans="1:19" ht="16.899999999999999" customHeight="1" x14ac:dyDescent="0.25">
      <c r="A72" s="53" t="s">
        <v>74</v>
      </c>
      <c r="B72" s="40" t="s">
        <v>175</v>
      </c>
      <c r="C72" s="43">
        <f t="shared" si="1"/>
        <v>68</v>
      </c>
      <c r="D72" s="43">
        <f t="shared" si="2"/>
        <v>49</v>
      </c>
      <c r="E72" s="43">
        <f t="shared" si="3"/>
        <v>19</v>
      </c>
      <c r="F72" s="46"/>
      <c r="G72" s="44">
        <f t="shared" si="4"/>
        <v>68</v>
      </c>
      <c r="H72" s="61">
        <v>49</v>
      </c>
      <c r="I72" s="61">
        <v>19</v>
      </c>
      <c r="J72" s="50"/>
      <c r="K72" s="44">
        <f t="shared" si="5"/>
        <v>0</v>
      </c>
      <c r="L72" s="61">
        <v>0</v>
      </c>
      <c r="M72" s="61">
        <v>0</v>
      </c>
      <c r="N72" s="2"/>
      <c r="O72" s="20"/>
      <c r="P72" s="21"/>
      <c r="Q72" s="2"/>
      <c r="R72" s="2"/>
      <c r="S72" s="2"/>
    </row>
    <row r="73" spans="1:19" ht="16.899999999999999" customHeight="1" x14ac:dyDescent="0.25">
      <c r="A73" s="53" t="s">
        <v>75</v>
      </c>
      <c r="B73" s="40" t="s">
        <v>176</v>
      </c>
      <c r="C73" s="43">
        <f t="shared" si="1"/>
        <v>92</v>
      </c>
      <c r="D73" s="43">
        <f t="shared" si="2"/>
        <v>36</v>
      </c>
      <c r="E73" s="43">
        <f t="shared" si="3"/>
        <v>56</v>
      </c>
      <c r="F73" s="46"/>
      <c r="G73" s="44">
        <f t="shared" si="4"/>
        <v>51</v>
      </c>
      <c r="H73" s="61">
        <v>35</v>
      </c>
      <c r="I73" s="61">
        <v>16</v>
      </c>
      <c r="J73" s="50"/>
      <c r="K73" s="44">
        <f t="shared" si="5"/>
        <v>41</v>
      </c>
      <c r="L73" s="61">
        <v>1</v>
      </c>
      <c r="M73" s="61">
        <v>40</v>
      </c>
      <c r="N73" s="2"/>
      <c r="O73" s="20"/>
      <c r="P73" s="21"/>
    </row>
    <row r="74" spans="1:19" ht="16.899999999999999" customHeight="1" x14ac:dyDescent="0.25">
      <c r="A74" s="53" t="s">
        <v>76</v>
      </c>
      <c r="B74" s="40" t="s">
        <v>177</v>
      </c>
      <c r="C74" s="43">
        <f t="shared" ref="C74:C110" si="6">G74+K74</f>
        <v>75</v>
      </c>
      <c r="D74" s="43">
        <f t="shared" ref="D74:D107" si="7">H74+L74</f>
        <v>16</v>
      </c>
      <c r="E74" s="43">
        <f t="shared" ref="E74:E107" si="8">I74+M74</f>
        <v>59</v>
      </c>
      <c r="F74" s="46"/>
      <c r="G74" s="44">
        <f t="shared" ref="G74:G110" si="9">SUM(H74:I74)</f>
        <v>25</v>
      </c>
      <c r="H74" s="61">
        <v>15</v>
      </c>
      <c r="I74" s="61">
        <v>10</v>
      </c>
      <c r="J74" s="50"/>
      <c r="K74" s="44">
        <f t="shared" ref="K74:K110" si="10">SUM(L74:M74)</f>
        <v>50</v>
      </c>
      <c r="L74" s="61">
        <v>1</v>
      </c>
      <c r="M74" s="61">
        <v>49</v>
      </c>
      <c r="N74" s="2"/>
      <c r="O74" s="20"/>
      <c r="P74" s="21"/>
      <c r="Q74" s="2"/>
      <c r="R74" s="2"/>
      <c r="S74" s="2"/>
    </row>
    <row r="75" spans="1:19" ht="16.899999999999999" customHeight="1" x14ac:dyDescent="0.25">
      <c r="A75" s="53" t="s">
        <v>77</v>
      </c>
      <c r="B75" s="40" t="s">
        <v>178</v>
      </c>
      <c r="C75" s="43">
        <f t="shared" si="6"/>
        <v>364</v>
      </c>
      <c r="D75" s="43">
        <f t="shared" si="7"/>
        <v>17</v>
      </c>
      <c r="E75" s="43">
        <f t="shared" si="8"/>
        <v>347</v>
      </c>
      <c r="F75" s="46"/>
      <c r="G75" s="44">
        <f t="shared" si="9"/>
        <v>80</v>
      </c>
      <c r="H75" s="61">
        <v>16</v>
      </c>
      <c r="I75" s="61">
        <v>64</v>
      </c>
      <c r="J75" s="50"/>
      <c r="K75" s="44">
        <f t="shared" si="10"/>
        <v>284</v>
      </c>
      <c r="L75" s="61">
        <v>1</v>
      </c>
      <c r="M75" s="61">
        <v>283</v>
      </c>
      <c r="N75" s="2"/>
      <c r="O75" s="20"/>
      <c r="P75" s="21"/>
    </row>
    <row r="76" spans="1:19" ht="16.899999999999999" customHeight="1" x14ac:dyDescent="0.25">
      <c r="A76" s="53" t="s">
        <v>78</v>
      </c>
      <c r="B76" s="40" t="s">
        <v>179</v>
      </c>
      <c r="C76" s="43">
        <f t="shared" si="6"/>
        <v>5</v>
      </c>
      <c r="D76" s="43">
        <f t="shared" si="7"/>
        <v>2</v>
      </c>
      <c r="E76" s="43">
        <f t="shared" si="8"/>
        <v>3</v>
      </c>
      <c r="F76" s="46"/>
      <c r="G76" s="44">
        <f t="shared" si="9"/>
        <v>5</v>
      </c>
      <c r="H76" s="61">
        <v>2</v>
      </c>
      <c r="I76" s="61">
        <v>3</v>
      </c>
      <c r="J76" s="50"/>
      <c r="K76" s="44">
        <f t="shared" si="10"/>
        <v>0</v>
      </c>
      <c r="L76" s="61">
        <v>0</v>
      </c>
      <c r="M76" s="61">
        <v>0</v>
      </c>
      <c r="N76" s="2"/>
      <c r="O76" s="20"/>
      <c r="P76" s="21"/>
      <c r="Q76" s="2"/>
      <c r="R76" s="2"/>
      <c r="S76" s="2"/>
    </row>
    <row r="77" spans="1:19" ht="16.899999999999999" customHeight="1" x14ac:dyDescent="0.25">
      <c r="A77" s="53" t="s">
        <v>79</v>
      </c>
      <c r="B77" s="40" t="s">
        <v>180</v>
      </c>
      <c r="C77" s="43">
        <f t="shared" si="6"/>
        <v>25</v>
      </c>
      <c r="D77" s="43">
        <f t="shared" si="7"/>
        <v>17</v>
      </c>
      <c r="E77" s="43">
        <f t="shared" si="8"/>
        <v>8</v>
      </c>
      <c r="F77" s="46"/>
      <c r="G77" s="44">
        <f t="shared" si="9"/>
        <v>25</v>
      </c>
      <c r="H77" s="61">
        <v>17</v>
      </c>
      <c r="I77" s="61">
        <v>8</v>
      </c>
      <c r="J77" s="50"/>
      <c r="K77" s="44">
        <f t="shared" si="10"/>
        <v>0</v>
      </c>
      <c r="L77" s="61">
        <v>0</v>
      </c>
      <c r="M77" s="61">
        <v>0</v>
      </c>
      <c r="N77" s="2"/>
      <c r="O77" s="20"/>
      <c r="P77" s="21"/>
    </row>
    <row r="78" spans="1:19" ht="16.899999999999999" customHeight="1" x14ac:dyDescent="0.25">
      <c r="A78" s="53" t="s">
        <v>80</v>
      </c>
      <c r="B78" s="40" t="s">
        <v>181</v>
      </c>
      <c r="C78" s="43">
        <f t="shared" si="6"/>
        <v>20</v>
      </c>
      <c r="D78" s="43">
        <f t="shared" si="7"/>
        <v>9</v>
      </c>
      <c r="E78" s="43">
        <f t="shared" si="8"/>
        <v>11</v>
      </c>
      <c r="F78" s="46"/>
      <c r="G78" s="44">
        <f t="shared" si="9"/>
        <v>20</v>
      </c>
      <c r="H78" s="61">
        <v>9</v>
      </c>
      <c r="I78" s="61">
        <v>11</v>
      </c>
      <c r="J78" s="50"/>
      <c r="K78" s="44">
        <f t="shared" si="10"/>
        <v>0</v>
      </c>
      <c r="L78" s="61">
        <v>0</v>
      </c>
      <c r="M78" s="61">
        <v>0</v>
      </c>
      <c r="N78" s="2"/>
      <c r="O78" s="20"/>
      <c r="P78" s="21"/>
    </row>
    <row r="79" spans="1:19" s="2" customFormat="1" x14ac:dyDescent="0.25">
      <c r="A79" s="53" t="s">
        <v>81</v>
      </c>
      <c r="B79" s="40" t="s">
        <v>182</v>
      </c>
      <c r="C79" s="43">
        <f t="shared" si="6"/>
        <v>14</v>
      </c>
      <c r="D79" s="43">
        <f t="shared" si="7"/>
        <v>8</v>
      </c>
      <c r="E79" s="43">
        <f t="shared" si="8"/>
        <v>6</v>
      </c>
      <c r="F79" s="46"/>
      <c r="G79" s="44">
        <f t="shared" si="9"/>
        <v>13</v>
      </c>
      <c r="H79" s="61">
        <v>7</v>
      </c>
      <c r="I79" s="61">
        <v>6</v>
      </c>
      <c r="J79" s="50"/>
      <c r="K79" s="44">
        <f t="shared" si="10"/>
        <v>1</v>
      </c>
      <c r="L79" s="61">
        <v>1</v>
      </c>
      <c r="M79" s="61">
        <v>0</v>
      </c>
      <c r="O79" s="20"/>
      <c r="P79" s="21"/>
    </row>
    <row r="80" spans="1:19" x14ac:dyDescent="0.25">
      <c r="A80" s="53" t="s">
        <v>82</v>
      </c>
      <c r="B80" s="40" t="s">
        <v>183</v>
      </c>
      <c r="C80" s="43">
        <f t="shared" si="6"/>
        <v>5</v>
      </c>
      <c r="D80" s="43">
        <f t="shared" si="7"/>
        <v>3</v>
      </c>
      <c r="E80" s="43">
        <f t="shared" si="8"/>
        <v>2</v>
      </c>
      <c r="F80" s="46"/>
      <c r="G80" s="44">
        <f t="shared" si="9"/>
        <v>5</v>
      </c>
      <c r="H80" s="61">
        <v>3</v>
      </c>
      <c r="I80" s="61">
        <v>2</v>
      </c>
      <c r="J80" s="50"/>
      <c r="K80" s="44">
        <f t="shared" si="10"/>
        <v>0</v>
      </c>
      <c r="L80" s="61">
        <v>0</v>
      </c>
      <c r="M80" s="61">
        <v>0</v>
      </c>
      <c r="N80" s="2"/>
      <c r="O80" s="20"/>
      <c r="P80" s="21"/>
      <c r="Q80" s="2"/>
      <c r="R80" s="2"/>
      <c r="S80" s="2"/>
    </row>
    <row r="81" spans="1:28" x14ac:dyDescent="0.25">
      <c r="A81" s="53" t="s">
        <v>83</v>
      </c>
      <c r="B81" s="40" t="s">
        <v>184</v>
      </c>
      <c r="C81" s="43">
        <f t="shared" si="6"/>
        <v>2</v>
      </c>
      <c r="D81" s="43">
        <f t="shared" si="7"/>
        <v>1</v>
      </c>
      <c r="E81" s="43">
        <f t="shared" si="8"/>
        <v>1</v>
      </c>
      <c r="F81" s="46"/>
      <c r="G81" s="44">
        <f t="shared" si="9"/>
        <v>2</v>
      </c>
      <c r="H81" s="61">
        <v>1</v>
      </c>
      <c r="I81" s="61">
        <v>1</v>
      </c>
      <c r="J81" s="50"/>
      <c r="K81" s="44">
        <f t="shared" si="10"/>
        <v>0</v>
      </c>
      <c r="L81" s="61">
        <v>0</v>
      </c>
      <c r="M81" s="61">
        <v>0</v>
      </c>
      <c r="N81" s="2"/>
      <c r="O81" s="20"/>
      <c r="P81" s="21"/>
    </row>
    <row r="82" spans="1:28" x14ac:dyDescent="0.25">
      <c r="A82" s="53" t="s">
        <v>84</v>
      </c>
      <c r="B82" s="40" t="s">
        <v>185</v>
      </c>
      <c r="C82" s="43">
        <f t="shared" si="6"/>
        <v>1</v>
      </c>
      <c r="D82" s="43">
        <f t="shared" si="7"/>
        <v>0</v>
      </c>
      <c r="E82" s="43">
        <f t="shared" si="8"/>
        <v>1</v>
      </c>
      <c r="F82" s="46"/>
      <c r="G82" s="44">
        <f t="shared" si="9"/>
        <v>1</v>
      </c>
      <c r="H82" s="61">
        <v>0</v>
      </c>
      <c r="I82" s="61">
        <v>1</v>
      </c>
      <c r="J82" s="50"/>
      <c r="K82" s="44">
        <f t="shared" si="10"/>
        <v>0</v>
      </c>
      <c r="L82" s="61">
        <v>0</v>
      </c>
      <c r="M82" s="61">
        <v>0</v>
      </c>
      <c r="N82" s="2"/>
      <c r="O82" s="20"/>
      <c r="P82" s="21"/>
    </row>
    <row r="83" spans="1:28" x14ac:dyDescent="0.25">
      <c r="A83" s="53" t="s">
        <v>85</v>
      </c>
      <c r="B83" s="40" t="s">
        <v>186</v>
      </c>
      <c r="C83" s="43">
        <f t="shared" si="6"/>
        <v>523</v>
      </c>
      <c r="D83" s="43">
        <f t="shared" si="7"/>
        <v>51</v>
      </c>
      <c r="E83" s="43">
        <f t="shared" si="8"/>
        <v>472</v>
      </c>
      <c r="F83" s="46"/>
      <c r="G83" s="44">
        <f t="shared" si="9"/>
        <v>232</v>
      </c>
      <c r="H83" s="61">
        <v>35</v>
      </c>
      <c r="I83" s="61">
        <v>197</v>
      </c>
      <c r="J83" s="50"/>
      <c r="K83" s="44">
        <f t="shared" si="10"/>
        <v>291</v>
      </c>
      <c r="L83" s="61">
        <v>16</v>
      </c>
      <c r="M83" s="61">
        <v>275</v>
      </c>
      <c r="N83" s="2"/>
      <c r="O83" s="20"/>
      <c r="P83" s="21"/>
    </row>
    <row r="84" spans="1:28" x14ac:dyDescent="0.25">
      <c r="A84" s="53" t="s">
        <v>86</v>
      </c>
      <c r="B84" s="40" t="s">
        <v>187</v>
      </c>
      <c r="C84" s="43">
        <f t="shared" si="6"/>
        <v>286</v>
      </c>
      <c r="D84" s="43">
        <f t="shared" si="7"/>
        <v>10</v>
      </c>
      <c r="E84" s="43">
        <f t="shared" si="8"/>
        <v>276</v>
      </c>
      <c r="F84" s="46"/>
      <c r="G84" s="44">
        <f t="shared" si="9"/>
        <v>82</v>
      </c>
      <c r="H84" s="61">
        <v>9</v>
      </c>
      <c r="I84" s="61">
        <v>73</v>
      </c>
      <c r="J84" s="50"/>
      <c r="K84" s="44">
        <f t="shared" si="10"/>
        <v>204</v>
      </c>
      <c r="L84" s="61">
        <v>1</v>
      </c>
      <c r="M84" s="61">
        <v>203</v>
      </c>
      <c r="N84" s="2"/>
      <c r="O84" s="20"/>
      <c r="P84" s="21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53" t="s">
        <v>87</v>
      </c>
      <c r="B85" s="40" t="s">
        <v>188</v>
      </c>
      <c r="C85" s="43">
        <f t="shared" si="6"/>
        <v>58</v>
      </c>
      <c r="D85" s="43">
        <f t="shared" si="7"/>
        <v>13</v>
      </c>
      <c r="E85" s="43">
        <f t="shared" si="8"/>
        <v>45</v>
      </c>
      <c r="F85" s="46"/>
      <c r="G85" s="44">
        <f t="shared" si="9"/>
        <v>41</v>
      </c>
      <c r="H85" s="61">
        <v>12</v>
      </c>
      <c r="I85" s="61">
        <v>29</v>
      </c>
      <c r="J85" s="50"/>
      <c r="K85" s="44">
        <f t="shared" si="10"/>
        <v>17</v>
      </c>
      <c r="L85" s="61">
        <v>1</v>
      </c>
      <c r="M85" s="61">
        <v>16</v>
      </c>
      <c r="N85" s="2"/>
      <c r="O85" s="20"/>
      <c r="P85" s="21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53" t="s">
        <v>88</v>
      </c>
      <c r="B86" s="40" t="s">
        <v>189</v>
      </c>
      <c r="C86" s="43">
        <f t="shared" si="6"/>
        <v>32</v>
      </c>
      <c r="D86" s="43">
        <f t="shared" si="7"/>
        <v>4</v>
      </c>
      <c r="E86" s="43">
        <f t="shared" si="8"/>
        <v>28</v>
      </c>
      <c r="F86" s="46"/>
      <c r="G86" s="44">
        <f t="shared" si="9"/>
        <v>30</v>
      </c>
      <c r="H86" s="61">
        <v>4</v>
      </c>
      <c r="I86" s="61">
        <v>26</v>
      </c>
      <c r="J86" s="50"/>
      <c r="K86" s="44">
        <f t="shared" si="10"/>
        <v>2</v>
      </c>
      <c r="L86" s="61">
        <v>0</v>
      </c>
      <c r="M86" s="61">
        <v>2</v>
      </c>
      <c r="N86" s="2"/>
      <c r="O86" s="2"/>
      <c r="P86" s="21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53" t="s">
        <v>89</v>
      </c>
      <c r="B87" s="40" t="s">
        <v>190</v>
      </c>
      <c r="C87" s="43">
        <f t="shared" si="6"/>
        <v>75</v>
      </c>
      <c r="D87" s="43">
        <f t="shared" si="7"/>
        <v>22</v>
      </c>
      <c r="E87" s="43">
        <f t="shared" si="8"/>
        <v>53</v>
      </c>
      <c r="F87" s="46"/>
      <c r="G87" s="44">
        <f t="shared" si="9"/>
        <v>63</v>
      </c>
      <c r="H87" s="61">
        <v>21</v>
      </c>
      <c r="I87" s="61">
        <v>42</v>
      </c>
      <c r="J87" s="50"/>
      <c r="K87" s="44">
        <f t="shared" si="10"/>
        <v>12</v>
      </c>
      <c r="L87" s="61">
        <v>1</v>
      </c>
      <c r="M87" s="61">
        <v>11</v>
      </c>
      <c r="N87" s="2"/>
      <c r="O87" s="2"/>
      <c r="P87" s="21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53" t="s">
        <v>90</v>
      </c>
      <c r="B88" s="40" t="s">
        <v>191</v>
      </c>
      <c r="C88" s="43">
        <f t="shared" si="6"/>
        <v>9</v>
      </c>
      <c r="D88" s="43">
        <f t="shared" si="7"/>
        <v>5</v>
      </c>
      <c r="E88" s="43">
        <f t="shared" si="8"/>
        <v>4</v>
      </c>
      <c r="F88" s="46"/>
      <c r="G88" s="44">
        <f t="shared" si="9"/>
        <v>6</v>
      </c>
      <c r="H88" s="61">
        <v>3</v>
      </c>
      <c r="I88" s="61">
        <v>3</v>
      </c>
      <c r="J88" s="50"/>
      <c r="K88" s="44">
        <f t="shared" si="10"/>
        <v>3</v>
      </c>
      <c r="L88" s="61">
        <v>2</v>
      </c>
      <c r="M88" s="61">
        <v>1</v>
      </c>
      <c r="N88" s="2"/>
      <c r="O88" s="2"/>
      <c r="P88" s="2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53" t="s">
        <v>91</v>
      </c>
      <c r="B89" s="40" t="s">
        <v>192</v>
      </c>
      <c r="C89" s="43">
        <f t="shared" si="6"/>
        <v>2</v>
      </c>
      <c r="D89" s="43">
        <f t="shared" si="7"/>
        <v>2</v>
      </c>
      <c r="E89" s="43">
        <f t="shared" si="8"/>
        <v>0</v>
      </c>
      <c r="F89" s="46"/>
      <c r="G89" s="44">
        <f t="shared" si="9"/>
        <v>0</v>
      </c>
      <c r="H89" s="61">
        <v>0</v>
      </c>
      <c r="I89" s="61">
        <v>0</v>
      </c>
      <c r="J89" s="50"/>
      <c r="K89" s="44">
        <f t="shared" si="10"/>
        <v>2</v>
      </c>
      <c r="L89" s="61">
        <v>2</v>
      </c>
      <c r="M89" s="61">
        <v>0</v>
      </c>
      <c r="N89" s="2"/>
      <c r="O89" s="2"/>
      <c r="P89" s="2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53" t="s">
        <v>92</v>
      </c>
      <c r="B90" s="40" t="s">
        <v>193</v>
      </c>
      <c r="C90" s="43">
        <f t="shared" si="6"/>
        <v>1</v>
      </c>
      <c r="D90" s="43">
        <f t="shared" si="7"/>
        <v>0</v>
      </c>
      <c r="E90" s="43">
        <f t="shared" si="8"/>
        <v>1</v>
      </c>
      <c r="F90" s="46"/>
      <c r="G90" s="44">
        <f t="shared" si="9"/>
        <v>0</v>
      </c>
      <c r="H90" s="61">
        <v>0</v>
      </c>
      <c r="I90" s="61">
        <v>0</v>
      </c>
      <c r="J90" s="50"/>
      <c r="K90" s="44">
        <f t="shared" si="10"/>
        <v>1</v>
      </c>
      <c r="L90" s="61">
        <v>0</v>
      </c>
      <c r="M90" s="61">
        <v>1</v>
      </c>
      <c r="N90" s="2"/>
      <c r="O90" s="20"/>
      <c r="P90" s="21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53" t="s">
        <v>93</v>
      </c>
      <c r="B91" s="40" t="s">
        <v>194</v>
      </c>
      <c r="C91" s="43">
        <f t="shared" si="6"/>
        <v>428</v>
      </c>
      <c r="D91" s="43">
        <f t="shared" si="7"/>
        <v>249</v>
      </c>
      <c r="E91" s="43">
        <f t="shared" si="8"/>
        <v>179</v>
      </c>
      <c r="F91" s="46"/>
      <c r="G91" s="44">
        <f t="shared" si="9"/>
        <v>248</v>
      </c>
      <c r="H91" s="61">
        <v>96</v>
      </c>
      <c r="I91" s="61">
        <v>152</v>
      </c>
      <c r="J91" s="50"/>
      <c r="K91" s="44">
        <f t="shared" si="10"/>
        <v>180</v>
      </c>
      <c r="L91" s="61">
        <v>153</v>
      </c>
      <c r="M91" s="61">
        <v>27</v>
      </c>
      <c r="N91" s="2"/>
      <c r="O91" s="20"/>
      <c r="P91" s="21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53" t="s">
        <v>94</v>
      </c>
      <c r="B92" s="40" t="s">
        <v>195</v>
      </c>
      <c r="C92" s="43">
        <f t="shared" si="6"/>
        <v>58</v>
      </c>
      <c r="D92" s="43">
        <f t="shared" si="7"/>
        <v>30</v>
      </c>
      <c r="E92" s="43">
        <f t="shared" si="8"/>
        <v>28</v>
      </c>
      <c r="F92" s="46"/>
      <c r="G92" s="44">
        <f t="shared" si="9"/>
        <v>37</v>
      </c>
      <c r="H92" s="61">
        <v>16</v>
      </c>
      <c r="I92" s="61">
        <v>21</v>
      </c>
      <c r="J92" s="50"/>
      <c r="K92" s="44">
        <f t="shared" si="10"/>
        <v>21</v>
      </c>
      <c r="L92" s="61">
        <v>14</v>
      </c>
      <c r="M92" s="61">
        <v>7</v>
      </c>
      <c r="N92" s="2"/>
      <c r="O92" s="20"/>
      <c r="P92" s="21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53" t="s">
        <v>95</v>
      </c>
      <c r="B93" s="40" t="s">
        <v>196</v>
      </c>
      <c r="C93" s="43">
        <f t="shared" si="6"/>
        <v>56</v>
      </c>
      <c r="D93" s="43">
        <f t="shared" si="7"/>
        <v>33</v>
      </c>
      <c r="E93" s="43">
        <f t="shared" si="8"/>
        <v>23</v>
      </c>
      <c r="F93" s="46"/>
      <c r="G93" s="44">
        <f t="shared" si="9"/>
        <v>44</v>
      </c>
      <c r="H93" s="61">
        <v>27</v>
      </c>
      <c r="I93" s="61">
        <v>17</v>
      </c>
      <c r="J93" s="50"/>
      <c r="K93" s="44">
        <f t="shared" si="10"/>
        <v>12</v>
      </c>
      <c r="L93" s="61">
        <v>6</v>
      </c>
      <c r="M93" s="61">
        <v>6</v>
      </c>
      <c r="N93" s="2"/>
      <c r="O93" s="20"/>
      <c r="P93" s="21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53" t="s">
        <v>96</v>
      </c>
      <c r="B94" s="40" t="s">
        <v>197</v>
      </c>
      <c r="C94" s="43">
        <f t="shared" si="6"/>
        <v>4</v>
      </c>
      <c r="D94" s="43">
        <f t="shared" si="7"/>
        <v>3</v>
      </c>
      <c r="E94" s="43">
        <f t="shared" si="8"/>
        <v>1</v>
      </c>
      <c r="F94" s="46"/>
      <c r="G94" s="44">
        <f t="shared" si="9"/>
        <v>4</v>
      </c>
      <c r="H94" s="61">
        <v>3</v>
      </c>
      <c r="I94" s="61">
        <v>1</v>
      </c>
      <c r="J94" s="50"/>
      <c r="K94" s="44">
        <f t="shared" si="10"/>
        <v>0</v>
      </c>
      <c r="L94" s="61">
        <v>0</v>
      </c>
      <c r="M94" s="61">
        <v>0</v>
      </c>
      <c r="N94" s="2"/>
      <c r="O94" s="20"/>
      <c r="P94" s="2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53" t="s">
        <v>97</v>
      </c>
      <c r="B95" s="40" t="s">
        <v>198</v>
      </c>
      <c r="C95" s="43">
        <f t="shared" si="6"/>
        <v>73</v>
      </c>
      <c r="D95" s="43">
        <f t="shared" si="7"/>
        <v>49</v>
      </c>
      <c r="E95" s="43">
        <f t="shared" si="8"/>
        <v>24</v>
      </c>
      <c r="F95" s="46"/>
      <c r="G95" s="44">
        <f t="shared" si="9"/>
        <v>55</v>
      </c>
      <c r="H95" s="61">
        <v>33</v>
      </c>
      <c r="I95" s="61">
        <v>22</v>
      </c>
      <c r="J95" s="50"/>
      <c r="K95" s="44">
        <f t="shared" si="10"/>
        <v>18</v>
      </c>
      <c r="L95" s="61">
        <v>16</v>
      </c>
      <c r="M95" s="61">
        <v>2</v>
      </c>
      <c r="N95" s="2"/>
      <c r="O95" s="20"/>
      <c r="P95" s="2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53" t="s">
        <v>98</v>
      </c>
      <c r="B96" s="40" t="s">
        <v>199</v>
      </c>
      <c r="C96" s="43">
        <f t="shared" si="6"/>
        <v>5</v>
      </c>
      <c r="D96" s="43">
        <f t="shared" si="7"/>
        <v>4</v>
      </c>
      <c r="E96" s="43">
        <f t="shared" si="8"/>
        <v>1</v>
      </c>
      <c r="F96" s="46"/>
      <c r="G96" s="44">
        <f t="shared" si="9"/>
        <v>5</v>
      </c>
      <c r="H96" s="61">
        <v>4</v>
      </c>
      <c r="I96" s="61">
        <v>1</v>
      </c>
      <c r="J96" s="50"/>
      <c r="K96" s="44">
        <f t="shared" si="10"/>
        <v>0</v>
      </c>
      <c r="L96" s="61">
        <v>0</v>
      </c>
      <c r="M96" s="61">
        <v>0</v>
      </c>
      <c r="N96" s="2"/>
      <c r="O96" s="20"/>
      <c r="P96" s="2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53" t="s">
        <v>99</v>
      </c>
      <c r="B97" s="40" t="s">
        <v>200</v>
      </c>
      <c r="C97" s="43">
        <f t="shared" si="6"/>
        <v>1</v>
      </c>
      <c r="D97" s="43">
        <f t="shared" si="7"/>
        <v>1</v>
      </c>
      <c r="E97" s="43">
        <f t="shared" si="8"/>
        <v>0</v>
      </c>
      <c r="F97" s="46"/>
      <c r="G97" s="44">
        <f t="shared" si="9"/>
        <v>1</v>
      </c>
      <c r="H97" s="61">
        <v>1</v>
      </c>
      <c r="I97" s="61">
        <v>0</v>
      </c>
      <c r="J97" s="50"/>
      <c r="K97" s="44">
        <f t="shared" si="10"/>
        <v>0</v>
      </c>
      <c r="L97" s="61">
        <v>0</v>
      </c>
      <c r="M97" s="61">
        <v>0</v>
      </c>
      <c r="N97" s="2"/>
      <c r="O97" s="20"/>
      <c r="P97" s="21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53" t="s">
        <v>100</v>
      </c>
      <c r="B98" s="40" t="s">
        <v>201</v>
      </c>
      <c r="C98" s="43">
        <f t="shared" si="6"/>
        <v>331</v>
      </c>
      <c r="D98" s="43">
        <f t="shared" si="7"/>
        <v>144</v>
      </c>
      <c r="E98" s="43">
        <f t="shared" si="8"/>
        <v>187</v>
      </c>
      <c r="F98" s="46"/>
      <c r="G98" s="44">
        <f t="shared" si="9"/>
        <v>140</v>
      </c>
      <c r="H98" s="61">
        <v>83</v>
      </c>
      <c r="I98" s="61">
        <v>57</v>
      </c>
      <c r="J98" s="50"/>
      <c r="K98" s="44">
        <f t="shared" si="10"/>
        <v>191</v>
      </c>
      <c r="L98" s="61">
        <v>61</v>
      </c>
      <c r="M98" s="61">
        <v>130</v>
      </c>
      <c r="N98" s="2"/>
      <c r="O98" s="20"/>
      <c r="P98" s="21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53" t="s">
        <v>101</v>
      </c>
      <c r="B99" s="40" t="s">
        <v>202</v>
      </c>
      <c r="C99" s="43">
        <f t="shared" si="6"/>
        <v>733</v>
      </c>
      <c r="D99" s="43">
        <f t="shared" si="7"/>
        <v>230</v>
      </c>
      <c r="E99" s="43">
        <f t="shared" si="8"/>
        <v>503</v>
      </c>
      <c r="F99" s="46"/>
      <c r="G99" s="44">
        <f t="shared" si="9"/>
        <v>210</v>
      </c>
      <c r="H99" s="61">
        <v>67</v>
      </c>
      <c r="I99" s="61">
        <v>143</v>
      </c>
      <c r="J99" s="50"/>
      <c r="K99" s="44">
        <f t="shared" si="10"/>
        <v>523</v>
      </c>
      <c r="L99" s="61">
        <v>163</v>
      </c>
      <c r="M99" s="61">
        <v>360</v>
      </c>
      <c r="N99" s="2"/>
      <c r="O99" s="20"/>
      <c r="P99" s="21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53" t="s">
        <v>102</v>
      </c>
      <c r="B100" s="40" t="s">
        <v>203</v>
      </c>
      <c r="C100" s="43">
        <f t="shared" si="6"/>
        <v>3770</v>
      </c>
      <c r="D100" s="43">
        <f t="shared" si="7"/>
        <v>1385</v>
      </c>
      <c r="E100" s="43">
        <f t="shared" si="8"/>
        <v>2385</v>
      </c>
      <c r="F100" s="46"/>
      <c r="G100" s="44">
        <f t="shared" si="9"/>
        <v>1348</v>
      </c>
      <c r="H100" s="61">
        <v>535</v>
      </c>
      <c r="I100" s="61">
        <v>813</v>
      </c>
      <c r="J100" s="50"/>
      <c r="K100" s="44">
        <f t="shared" si="10"/>
        <v>2422</v>
      </c>
      <c r="L100" s="61">
        <v>850</v>
      </c>
      <c r="M100" s="62">
        <v>1572</v>
      </c>
      <c r="N100" s="2"/>
      <c r="O100" s="20"/>
      <c r="P100" s="21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53" t="s">
        <v>103</v>
      </c>
      <c r="B101" s="40" t="s">
        <v>204</v>
      </c>
      <c r="C101" s="43">
        <f t="shared" si="6"/>
        <v>1355</v>
      </c>
      <c r="D101" s="43">
        <f t="shared" si="7"/>
        <v>520</v>
      </c>
      <c r="E101" s="43">
        <f t="shared" si="8"/>
        <v>835</v>
      </c>
      <c r="F101" s="46"/>
      <c r="G101" s="44">
        <f t="shared" si="9"/>
        <v>670</v>
      </c>
      <c r="H101" s="61">
        <v>289</v>
      </c>
      <c r="I101" s="61">
        <v>381</v>
      </c>
      <c r="J101" s="50"/>
      <c r="K101" s="44">
        <f t="shared" si="10"/>
        <v>685</v>
      </c>
      <c r="L101" s="61">
        <v>231</v>
      </c>
      <c r="M101" s="61">
        <v>454</v>
      </c>
      <c r="N101" s="2"/>
      <c r="O101" s="20"/>
      <c r="P101" s="21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53" t="s">
        <v>104</v>
      </c>
      <c r="B102" s="40" t="s">
        <v>205</v>
      </c>
      <c r="C102" s="43">
        <f t="shared" si="6"/>
        <v>1359</v>
      </c>
      <c r="D102" s="43">
        <f t="shared" si="7"/>
        <v>620</v>
      </c>
      <c r="E102" s="43">
        <f t="shared" si="8"/>
        <v>739</v>
      </c>
      <c r="F102" s="46"/>
      <c r="G102" s="44">
        <f t="shared" si="9"/>
        <v>746</v>
      </c>
      <c r="H102" s="61">
        <v>368</v>
      </c>
      <c r="I102" s="61">
        <v>378</v>
      </c>
      <c r="J102" s="50"/>
      <c r="K102" s="44">
        <f t="shared" si="10"/>
        <v>613</v>
      </c>
      <c r="L102" s="61">
        <v>252</v>
      </c>
      <c r="M102" s="61">
        <v>361</v>
      </c>
      <c r="N102" s="2"/>
      <c r="O102" s="20"/>
      <c r="P102" s="21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53" t="s">
        <v>105</v>
      </c>
      <c r="B103" s="40" t="s">
        <v>206</v>
      </c>
      <c r="C103" s="43">
        <f t="shared" si="6"/>
        <v>942</v>
      </c>
      <c r="D103" s="43">
        <f t="shared" si="7"/>
        <v>394</v>
      </c>
      <c r="E103" s="43">
        <f t="shared" si="8"/>
        <v>548</v>
      </c>
      <c r="F103" s="46"/>
      <c r="G103" s="44">
        <f t="shared" si="9"/>
        <v>661</v>
      </c>
      <c r="H103" s="61">
        <v>221</v>
      </c>
      <c r="I103" s="61">
        <v>440</v>
      </c>
      <c r="J103" s="50"/>
      <c r="K103" s="44">
        <f t="shared" si="10"/>
        <v>281</v>
      </c>
      <c r="L103" s="61">
        <v>173</v>
      </c>
      <c r="M103" s="61">
        <v>108</v>
      </c>
      <c r="N103" s="2"/>
      <c r="O103" s="20"/>
      <c r="P103" s="21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53" t="s">
        <v>106</v>
      </c>
      <c r="B104" s="40" t="s">
        <v>207</v>
      </c>
      <c r="C104" s="43">
        <f t="shared" si="6"/>
        <v>786</v>
      </c>
      <c r="D104" s="43">
        <f t="shared" si="7"/>
        <v>487</v>
      </c>
      <c r="E104" s="43">
        <f t="shared" si="8"/>
        <v>299</v>
      </c>
      <c r="F104" s="46"/>
      <c r="G104" s="44">
        <f t="shared" si="9"/>
        <v>445</v>
      </c>
      <c r="H104" s="61">
        <v>220</v>
      </c>
      <c r="I104" s="61">
        <v>225</v>
      </c>
      <c r="J104" s="50"/>
      <c r="K104" s="44">
        <f t="shared" si="10"/>
        <v>341</v>
      </c>
      <c r="L104" s="61">
        <v>267</v>
      </c>
      <c r="M104" s="61">
        <v>74</v>
      </c>
      <c r="N104" s="2"/>
      <c r="O104" s="20"/>
      <c r="P104" s="21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s="22" customFormat="1" ht="18.600000000000001" customHeight="1" x14ac:dyDescent="0.25">
      <c r="A105" s="53" t="s">
        <v>107</v>
      </c>
      <c r="B105" s="40" t="s">
        <v>208</v>
      </c>
      <c r="C105" s="43">
        <f t="shared" si="6"/>
        <v>107</v>
      </c>
      <c r="D105" s="43">
        <f t="shared" si="7"/>
        <v>82</v>
      </c>
      <c r="E105" s="43">
        <f t="shared" si="8"/>
        <v>25</v>
      </c>
      <c r="F105" s="46"/>
      <c r="G105" s="44">
        <f t="shared" si="9"/>
        <v>53</v>
      </c>
      <c r="H105" s="61">
        <v>34</v>
      </c>
      <c r="I105" s="61">
        <v>19</v>
      </c>
      <c r="J105" s="50"/>
      <c r="K105" s="44">
        <f t="shared" si="10"/>
        <v>54</v>
      </c>
      <c r="L105" s="61">
        <v>48</v>
      </c>
      <c r="M105" s="61">
        <v>6</v>
      </c>
      <c r="N105" s="2"/>
      <c r="O105" s="20"/>
      <c r="P105" s="21"/>
      <c r="Q105" s="3"/>
      <c r="R105" s="3"/>
      <c r="S105" s="3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" customHeight="1" x14ac:dyDescent="0.25">
      <c r="A106" s="53" t="s">
        <v>108</v>
      </c>
      <c r="B106" s="40" t="s">
        <v>209</v>
      </c>
      <c r="C106" s="43">
        <f t="shared" si="6"/>
        <v>3952</v>
      </c>
      <c r="D106" s="43">
        <f t="shared" si="7"/>
        <v>1724</v>
      </c>
      <c r="E106" s="43">
        <f t="shared" si="8"/>
        <v>2228</v>
      </c>
      <c r="F106" s="46"/>
      <c r="G106" s="44">
        <f t="shared" si="9"/>
        <v>846</v>
      </c>
      <c r="H106" s="61">
        <v>247</v>
      </c>
      <c r="I106" s="61">
        <v>599</v>
      </c>
      <c r="J106" s="50"/>
      <c r="K106" s="44">
        <f t="shared" si="10"/>
        <v>3106</v>
      </c>
      <c r="L106" s="62">
        <v>1477</v>
      </c>
      <c r="M106" s="62">
        <v>1629</v>
      </c>
      <c r="N106" s="2"/>
      <c r="O106" s="20"/>
      <c r="P106" s="21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53" t="s">
        <v>109</v>
      </c>
      <c r="B107" s="40" t="s">
        <v>210</v>
      </c>
      <c r="C107" s="43">
        <f t="shared" si="6"/>
        <v>2026</v>
      </c>
      <c r="D107" s="43">
        <f t="shared" si="7"/>
        <v>1165</v>
      </c>
      <c r="E107" s="43">
        <f t="shared" si="8"/>
        <v>861</v>
      </c>
      <c r="F107" s="46"/>
      <c r="G107" s="44">
        <f t="shared" si="9"/>
        <v>742</v>
      </c>
      <c r="H107" s="61">
        <v>467</v>
      </c>
      <c r="I107" s="61">
        <v>275</v>
      </c>
      <c r="J107" s="50"/>
      <c r="K107" s="44">
        <f t="shared" si="10"/>
        <v>1284</v>
      </c>
      <c r="L107" s="61">
        <v>698</v>
      </c>
      <c r="M107" s="61">
        <v>586</v>
      </c>
      <c r="N107" s="2"/>
      <c r="O107" s="20"/>
      <c r="P107" s="21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53" t="s">
        <v>110</v>
      </c>
      <c r="B108" s="42" t="s">
        <v>211</v>
      </c>
      <c r="C108" s="43">
        <f t="shared" si="6"/>
        <v>400</v>
      </c>
      <c r="D108" s="43">
        <f t="shared" ref="D108:D110" si="11">H108+L108</f>
        <v>179</v>
      </c>
      <c r="E108" s="43">
        <f t="shared" ref="E108:E110" si="12">I108+M108</f>
        <v>221</v>
      </c>
      <c r="F108" s="46"/>
      <c r="G108" s="44">
        <f t="shared" si="9"/>
        <v>119</v>
      </c>
      <c r="H108" s="61">
        <v>74</v>
      </c>
      <c r="I108" s="61">
        <v>45</v>
      </c>
      <c r="J108" s="50"/>
      <c r="K108" s="44">
        <f t="shared" si="10"/>
        <v>281</v>
      </c>
      <c r="L108" s="61">
        <v>105</v>
      </c>
      <c r="M108" s="61">
        <v>176</v>
      </c>
      <c r="N108" s="2"/>
      <c r="O108" s="20"/>
      <c r="P108" s="21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s="7" customFormat="1" x14ac:dyDescent="0.25">
      <c r="A109" s="53" t="s">
        <v>111</v>
      </c>
      <c r="B109" s="28"/>
      <c r="C109" s="43">
        <f t="shared" si="6"/>
        <v>25</v>
      </c>
      <c r="D109" s="43">
        <f t="shared" si="11"/>
        <v>22</v>
      </c>
      <c r="E109" s="43">
        <f t="shared" si="12"/>
        <v>3</v>
      </c>
      <c r="F109" s="46"/>
      <c r="G109" s="44">
        <f t="shared" si="9"/>
        <v>16</v>
      </c>
      <c r="H109" s="61">
        <v>15</v>
      </c>
      <c r="I109" s="61">
        <v>1</v>
      </c>
      <c r="J109" s="50"/>
      <c r="K109" s="44">
        <f t="shared" si="10"/>
        <v>9</v>
      </c>
      <c r="L109" s="61">
        <v>7</v>
      </c>
      <c r="M109" s="61">
        <v>2</v>
      </c>
      <c r="N109" s="2"/>
      <c r="O109" s="2"/>
      <c r="P109" s="2"/>
      <c r="Q109" s="3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s="15" customFormat="1" x14ac:dyDescent="0.25">
      <c r="A110" s="55" t="s">
        <v>112</v>
      </c>
      <c r="B110" s="29"/>
      <c r="C110" s="47">
        <f t="shared" si="6"/>
        <v>19</v>
      </c>
      <c r="D110" s="47">
        <f t="shared" si="11"/>
        <v>13</v>
      </c>
      <c r="E110" s="47">
        <f t="shared" si="12"/>
        <v>6</v>
      </c>
      <c r="F110" s="48"/>
      <c r="G110" s="49">
        <f t="shared" si="9"/>
        <v>19</v>
      </c>
      <c r="H110" s="63">
        <v>13</v>
      </c>
      <c r="I110" s="63">
        <v>6</v>
      </c>
      <c r="J110" s="51"/>
      <c r="K110" s="49">
        <f t="shared" si="10"/>
        <v>0</v>
      </c>
      <c r="L110" s="63">
        <v>0</v>
      </c>
      <c r="M110" s="63">
        <v>0</v>
      </c>
      <c r="N110" s="2"/>
      <c r="O110" s="2"/>
      <c r="P110" s="2"/>
      <c r="Q110" s="3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s="15" customFormat="1" ht="15.75" customHeight="1" x14ac:dyDescent="0.25">
      <c r="A111" s="56" t="s">
        <v>113</v>
      </c>
      <c r="B111" s="29"/>
      <c r="C111" s="30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2"/>
      <c r="O111" s="2"/>
      <c r="P111" s="2"/>
      <c r="Q111" s="3"/>
      <c r="R111" s="3"/>
      <c r="S111" s="3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s="19" customFormat="1" ht="16.899999999999999" customHeight="1" x14ac:dyDescent="0.25">
      <c r="A112" s="2"/>
      <c r="B112" s="2"/>
      <c r="C112" s="2"/>
      <c r="D112" s="3"/>
      <c r="E112" s="2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3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6.899999999999999" customHeight="1" x14ac:dyDescent="0.25">
      <c r="A113" s="2"/>
      <c r="B113" s="2"/>
      <c r="C113" s="2"/>
      <c r="D113" s="2"/>
      <c r="E113" s="2"/>
      <c r="F113" s="25"/>
      <c r="G113" s="2"/>
      <c r="H113" s="2"/>
      <c r="I113" s="2"/>
      <c r="J113" s="2"/>
      <c r="K113" s="2"/>
      <c r="L113" s="2"/>
      <c r="M113" s="2"/>
      <c r="N113" s="2"/>
      <c r="O113" s="2"/>
      <c r="P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6.899999999999999" customHeight="1" x14ac:dyDescent="0.25">
      <c r="A114" s="2"/>
      <c r="B114" s="2"/>
      <c r="C114" s="2"/>
      <c r="D114" s="2"/>
      <c r="E114" s="2"/>
      <c r="F114" s="25"/>
      <c r="G114" s="2"/>
      <c r="H114" s="2"/>
      <c r="I114" s="2"/>
      <c r="J114" s="2"/>
      <c r="K114" s="2"/>
      <c r="L114" s="2"/>
      <c r="M114" s="2"/>
      <c r="N114" s="2"/>
      <c r="O114" s="2"/>
      <c r="P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899999999999999" customHeight="1" x14ac:dyDescent="0.25">
      <c r="A115" s="2"/>
      <c r="B115" s="2"/>
      <c r="C115" s="2"/>
      <c r="D115" s="2"/>
      <c r="E115" s="2"/>
      <c r="F115" s="25"/>
      <c r="G115" s="2"/>
      <c r="H115" s="2"/>
      <c r="I115" s="2"/>
      <c r="J115" s="2"/>
      <c r="K115" s="2"/>
      <c r="L115" s="2"/>
      <c r="M115" s="2"/>
      <c r="N115" s="2"/>
      <c r="O115" s="2"/>
      <c r="P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6.899999999999999" customHeight="1" x14ac:dyDescent="0.25">
      <c r="A116" s="2"/>
      <c r="B116" s="2"/>
      <c r="C116" s="2"/>
      <c r="D116" s="2"/>
      <c r="E116" s="2"/>
      <c r="F116" s="25"/>
      <c r="G116" s="2"/>
      <c r="H116" s="2"/>
      <c r="I116" s="2"/>
      <c r="J116" s="2"/>
      <c r="K116" s="2"/>
      <c r="L116" s="2"/>
      <c r="M116" s="2"/>
      <c r="N116" s="2"/>
      <c r="O116" s="2"/>
      <c r="P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6.899999999999999" customHeight="1" x14ac:dyDescent="0.25">
      <c r="A117" s="2"/>
      <c r="B117" s="2"/>
      <c r="C117" s="2"/>
      <c r="D117" s="2"/>
      <c r="E117" s="2"/>
      <c r="F117" s="25"/>
      <c r="G117" s="2"/>
      <c r="H117" s="2"/>
      <c r="I117" s="2"/>
      <c r="J117" s="2"/>
      <c r="K117" s="2"/>
      <c r="L117" s="2"/>
      <c r="M117" s="2"/>
      <c r="N117" s="2"/>
      <c r="O117" s="2"/>
      <c r="P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6.899999999999999" customHeight="1" x14ac:dyDescent="0.25">
      <c r="A118" s="2"/>
      <c r="B118" s="2"/>
      <c r="C118" s="2"/>
      <c r="D118" s="2"/>
      <c r="E118" s="2"/>
      <c r="F118" s="25"/>
      <c r="G118" s="2"/>
      <c r="H118" s="2"/>
      <c r="I118" s="2"/>
      <c r="J118" s="2"/>
      <c r="K118" s="2"/>
      <c r="L118" s="2"/>
      <c r="M118" s="2"/>
      <c r="N118" s="2"/>
      <c r="O118" s="2"/>
      <c r="P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6.899999999999999" customHeight="1" x14ac:dyDescent="0.25">
      <c r="A119" s="2"/>
      <c r="B119" s="2"/>
      <c r="C119" s="2"/>
      <c r="D119" s="2"/>
      <c r="E119" s="2"/>
      <c r="F119" s="25"/>
      <c r="G119" s="2"/>
      <c r="H119" s="2"/>
      <c r="I119" s="2"/>
      <c r="J119" s="2"/>
      <c r="K119" s="2"/>
      <c r="L119" s="2"/>
      <c r="M119" s="2"/>
      <c r="N119" s="2"/>
      <c r="O119" s="2"/>
      <c r="P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6.899999999999999" customHeight="1" x14ac:dyDescent="0.25">
      <c r="A120" s="2"/>
      <c r="B120" s="2"/>
      <c r="C120" s="2"/>
      <c r="D120" s="2"/>
      <c r="E120" s="2"/>
      <c r="F120" s="25"/>
      <c r="G120" s="2"/>
      <c r="H120" s="2"/>
      <c r="I120" s="2"/>
      <c r="J120" s="2"/>
      <c r="K120" s="2"/>
      <c r="L120" s="2"/>
      <c r="M120" s="2"/>
      <c r="N120" s="2"/>
      <c r="O120" s="2"/>
      <c r="P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6.899999999999999" customHeight="1" x14ac:dyDescent="0.25">
      <c r="A121" s="2"/>
      <c r="B121" s="2"/>
      <c r="C121" s="2"/>
      <c r="D121" s="2"/>
      <c r="E121" s="2"/>
      <c r="F121" s="25"/>
      <c r="G121" s="2"/>
      <c r="H121" s="2"/>
      <c r="I121" s="2"/>
      <c r="J121" s="2"/>
      <c r="K121" s="2"/>
      <c r="L121" s="2"/>
      <c r="M121" s="2"/>
      <c r="N121" s="2"/>
      <c r="O121" s="2"/>
      <c r="P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6.899999999999999" customHeight="1" x14ac:dyDescent="0.25">
      <c r="A122" s="24"/>
      <c r="B122" s="22"/>
      <c r="C122" s="32"/>
      <c r="D122" s="22"/>
      <c r="E122" s="22"/>
      <c r="F122" s="25"/>
      <c r="G122" s="25"/>
      <c r="H122" s="25"/>
      <c r="I122" s="25"/>
      <c r="J122" s="25"/>
      <c r="K122" s="25"/>
      <c r="L122" s="25"/>
      <c r="M122" s="25"/>
      <c r="N122" s="22"/>
      <c r="O122" s="22"/>
      <c r="P122" s="22"/>
      <c r="Q122" s="2"/>
      <c r="R122" s="2"/>
      <c r="S122" s="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6.899999999999999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V123" s="2"/>
      <c r="W123" s="2"/>
      <c r="X123" s="2"/>
      <c r="Y123" s="2"/>
      <c r="Z123" s="2"/>
      <c r="AA123" s="2"/>
      <c r="AB123" s="2"/>
    </row>
    <row r="124" spans="1:28" ht="16.899999999999999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V124" s="2"/>
      <c r="W124" s="2"/>
      <c r="X124" s="2"/>
      <c r="Y124" s="2"/>
      <c r="Z124" s="2"/>
      <c r="AA124" s="2"/>
      <c r="AB124" s="2"/>
    </row>
    <row r="125" spans="1:28" ht="16.899999999999999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  <c r="W125" s="2"/>
      <c r="X125" s="2"/>
      <c r="Y125" s="2"/>
      <c r="Z125" s="2"/>
      <c r="AA125" s="2"/>
      <c r="AB125" s="2"/>
    </row>
    <row r="126" spans="1:28" ht="16.899999999999999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V126" s="2"/>
      <c r="W126" s="2"/>
      <c r="X126" s="2"/>
      <c r="Y126" s="2"/>
      <c r="Z126" s="2"/>
      <c r="AA126" s="2"/>
      <c r="AB126" s="2"/>
    </row>
    <row r="127" spans="1:28" ht="16.899999999999999" customHeight="1" x14ac:dyDescent="0.25">
      <c r="A127" s="2"/>
      <c r="B127" s="29"/>
      <c r="C127" s="30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2"/>
      <c r="O127" s="2"/>
      <c r="P127" s="2"/>
      <c r="Q127" s="2"/>
      <c r="R127" s="2"/>
      <c r="S127" s="2"/>
      <c r="V127" s="2"/>
      <c r="W127" s="2"/>
      <c r="X127" s="2"/>
      <c r="Y127" s="2"/>
      <c r="Z127" s="2"/>
      <c r="AA127" s="2"/>
      <c r="AB127" s="2"/>
    </row>
    <row r="130" spans="19:35" x14ac:dyDescent="0.25">
      <c r="AG130" s="3" t="s">
        <v>10</v>
      </c>
      <c r="AH130" s="3" t="s">
        <v>11</v>
      </c>
      <c r="AI130" s="3" t="s">
        <v>12</v>
      </c>
    </row>
    <row r="131" spans="19:35" x14ac:dyDescent="0.25">
      <c r="AF131" s="3" t="s">
        <v>214</v>
      </c>
      <c r="AG131" s="35">
        <v>10238</v>
      </c>
      <c r="AH131" s="35">
        <v>2741</v>
      </c>
      <c r="AI131" s="35">
        <v>7497</v>
      </c>
    </row>
    <row r="132" spans="19:35" x14ac:dyDescent="0.25">
      <c r="S132" s="35"/>
      <c r="T132" s="35"/>
      <c r="U132" s="35"/>
      <c r="AF132" s="3" t="s">
        <v>215</v>
      </c>
      <c r="AG132" s="35">
        <v>625</v>
      </c>
      <c r="AH132" s="35">
        <v>369</v>
      </c>
      <c r="AI132" s="35">
        <v>256</v>
      </c>
    </row>
    <row r="133" spans="19:35" x14ac:dyDescent="0.25">
      <c r="S133" s="35"/>
      <c r="T133" s="35"/>
      <c r="U133" s="35"/>
      <c r="AF133" s="3" t="s">
        <v>216</v>
      </c>
      <c r="AG133" s="35">
        <v>6189</v>
      </c>
      <c r="AH133" s="35">
        <v>2279</v>
      </c>
      <c r="AI133" s="35">
        <v>3910</v>
      </c>
    </row>
    <row r="134" spans="19:35" x14ac:dyDescent="0.25">
      <c r="S134" s="35"/>
      <c r="T134" s="35"/>
      <c r="U134" s="35"/>
      <c r="AF134" s="3" t="s">
        <v>217</v>
      </c>
      <c r="AG134" s="35">
        <v>3194</v>
      </c>
      <c r="AH134" s="35">
        <v>1583</v>
      </c>
      <c r="AI134" s="35">
        <v>1611</v>
      </c>
    </row>
    <row r="135" spans="19:35" x14ac:dyDescent="0.25">
      <c r="S135" s="35"/>
      <c r="T135" s="35"/>
      <c r="U135" s="35"/>
      <c r="AF135" s="3" t="s">
        <v>218</v>
      </c>
      <c r="AG135" s="35">
        <v>6403</v>
      </c>
      <c r="AH135" s="35">
        <v>3090</v>
      </c>
      <c r="AI135" s="35">
        <v>3313</v>
      </c>
    </row>
    <row r="136" spans="19:35" x14ac:dyDescent="0.25">
      <c r="S136" s="35"/>
      <c r="T136" s="35"/>
      <c r="U136" s="35"/>
      <c r="AF136" s="3" t="s">
        <v>219</v>
      </c>
      <c r="AG136" s="35">
        <v>19</v>
      </c>
      <c r="AH136" s="35">
        <v>13</v>
      </c>
      <c r="AI136" s="35">
        <v>6</v>
      </c>
    </row>
    <row r="137" spans="19:35" x14ac:dyDescent="0.25">
      <c r="S137" s="35"/>
      <c r="T137" s="35"/>
      <c r="U137" s="35"/>
      <c r="AG137" s="35">
        <f>SUM(AG131:AG136)</f>
        <v>26668</v>
      </c>
      <c r="AH137" s="35">
        <v>9573</v>
      </c>
      <c r="AI137" s="35">
        <v>16079</v>
      </c>
    </row>
    <row r="138" spans="19:35" x14ac:dyDescent="0.25">
      <c r="S138" s="35"/>
      <c r="T138" s="35"/>
      <c r="U138" s="35"/>
    </row>
    <row r="139" spans="19:35" x14ac:dyDescent="0.25">
      <c r="S139" s="35"/>
      <c r="T139" s="35"/>
      <c r="U139" s="35"/>
    </row>
    <row r="147" spans="1:13" ht="21" x14ac:dyDescent="0.55000000000000004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</row>
    <row r="148" spans="1:13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</row>
    <row r="149" spans="1:13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26"/>
    </row>
    <row r="150" spans="1:13" ht="18.75" x14ac:dyDescent="0.25">
      <c r="A150" s="74"/>
      <c r="B150" s="59"/>
      <c r="C150" s="75"/>
      <c r="D150" s="75"/>
      <c r="E150" s="75"/>
      <c r="F150" s="75"/>
      <c r="G150" s="75"/>
      <c r="H150" s="76"/>
      <c r="I150" s="76"/>
      <c r="J150" s="76"/>
      <c r="K150" s="76"/>
      <c r="L150" s="76"/>
      <c r="M150" s="76"/>
    </row>
    <row r="151" spans="1:13" ht="18.75" x14ac:dyDescent="0.25">
      <c r="A151" s="74"/>
      <c r="B151" s="59"/>
      <c r="C151" s="77"/>
      <c r="D151" s="77"/>
      <c r="E151" s="77"/>
      <c r="F151" s="16"/>
      <c r="G151" s="77"/>
      <c r="H151" s="77"/>
      <c r="I151" s="77"/>
      <c r="J151" s="16"/>
      <c r="K151" s="77"/>
      <c r="L151" s="77"/>
      <c r="M151" s="77"/>
    </row>
    <row r="152" spans="1:13" ht="18.75" x14ac:dyDescent="0.25">
      <c r="A152" s="70"/>
      <c r="B152" s="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x14ac:dyDescent="0.25">
      <c r="A153" s="70"/>
      <c r="B153" s="8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</row>
    <row r="154" spans="1:13" x14ac:dyDescent="0.25">
      <c r="A154" s="57"/>
      <c r="B154" s="8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 spans="1:13" x14ac:dyDescent="0.25">
      <c r="A155" s="41"/>
      <c r="B155" s="38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 spans="1:13" x14ac:dyDescent="0.25">
      <c r="A156" s="53"/>
      <c r="B156" s="65"/>
      <c r="C156" s="43"/>
      <c r="D156" s="43"/>
      <c r="E156" s="43"/>
      <c r="F156" s="46"/>
      <c r="G156" s="43"/>
      <c r="H156" s="52"/>
      <c r="I156" s="52"/>
      <c r="J156" s="46"/>
      <c r="K156" s="43"/>
      <c r="L156" s="52"/>
      <c r="M156" s="52"/>
    </row>
    <row r="157" spans="1:13" x14ac:dyDescent="0.25">
      <c r="A157" s="53"/>
      <c r="B157" s="65"/>
      <c r="C157" s="43"/>
      <c r="D157" s="43"/>
      <c r="E157" s="43"/>
      <c r="F157" s="46"/>
      <c r="G157" s="43"/>
      <c r="H157" s="52"/>
      <c r="I157" s="52"/>
      <c r="J157" s="46"/>
      <c r="K157" s="43"/>
      <c r="L157" s="52"/>
      <c r="M157" s="52"/>
    </row>
    <row r="158" spans="1:13" x14ac:dyDescent="0.25">
      <c r="A158" s="53"/>
      <c r="B158" s="65"/>
      <c r="C158" s="43"/>
      <c r="D158" s="43"/>
      <c r="E158" s="43"/>
      <c r="F158" s="46"/>
      <c r="G158" s="43"/>
      <c r="H158" s="52"/>
      <c r="I158" s="52"/>
      <c r="J158" s="46"/>
      <c r="K158" s="43"/>
      <c r="L158" s="52"/>
      <c r="M158" s="52"/>
    </row>
    <row r="159" spans="1:13" x14ac:dyDescent="0.25">
      <c r="A159" s="53"/>
      <c r="B159" s="65"/>
      <c r="C159" s="43"/>
      <c r="D159" s="43"/>
      <c r="E159" s="43"/>
      <c r="F159" s="46"/>
      <c r="G159" s="43"/>
      <c r="H159" s="52"/>
      <c r="I159" s="52"/>
      <c r="J159" s="46"/>
      <c r="K159" s="43"/>
      <c r="L159" s="52"/>
      <c r="M159" s="52"/>
    </row>
    <row r="160" spans="1:13" x14ac:dyDescent="0.25">
      <c r="A160" s="53"/>
      <c r="B160" s="65"/>
      <c r="C160" s="43"/>
      <c r="D160" s="43"/>
      <c r="E160" s="43"/>
      <c r="F160" s="46"/>
      <c r="G160" s="43"/>
      <c r="H160" s="52"/>
      <c r="I160" s="52"/>
      <c r="J160" s="46"/>
      <c r="K160" s="43"/>
      <c r="L160" s="52"/>
      <c r="M160" s="52"/>
    </row>
    <row r="161" spans="1:13" x14ac:dyDescent="0.25">
      <c r="A161" s="53"/>
      <c r="B161" s="66"/>
      <c r="C161" s="43"/>
      <c r="D161" s="43"/>
      <c r="E161" s="43"/>
      <c r="F161" s="46"/>
      <c r="G161" s="43"/>
      <c r="H161" s="52"/>
      <c r="I161" s="52"/>
      <c r="J161" s="46"/>
      <c r="K161" s="43"/>
      <c r="L161" s="52"/>
      <c r="M161" s="52"/>
    </row>
    <row r="162" spans="1:13" x14ac:dyDescent="0.25">
      <c r="A162" s="53"/>
      <c r="B162" s="66"/>
      <c r="C162" s="43"/>
      <c r="D162" s="43"/>
      <c r="E162" s="43"/>
      <c r="F162" s="46"/>
      <c r="G162" s="43"/>
      <c r="H162" s="52"/>
      <c r="I162" s="52"/>
      <c r="J162" s="46"/>
      <c r="K162" s="43"/>
      <c r="L162" s="52"/>
      <c r="M162" s="52"/>
    </row>
    <row r="163" spans="1:13" x14ac:dyDescent="0.25">
      <c r="A163" s="53"/>
      <c r="B163" s="66"/>
      <c r="C163" s="43"/>
      <c r="D163" s="43"/>
      <c r="E163" s="43"/>
      <c r="F163" s="46"/>
      <c r="G163" s="43"/>
      <c r="H163" s="52"/>
      <c r="I163" s="52"/>
      <c r="J163" s="46"/>
      <c r="K163" s="43"/>
      <c r="L163" s="52"/>
      <c r="M163" s="52"/>
    </row>
    <row r="164" spans="1:13" x14ac:dyDescent="0.25">
      <c r="A164" s="53"/>
      <c r="B164" s="66"/>
      <c r="C164" s="43"/>
      <c r="D164" s="43"/>
      <c r="E164" s="43"/>
      <c r="F164" s="46"/>
      <c r="G164" s="43"/>
      <c r="H164" s="52"/>
      <c r="I164" s="52"/>
      <c r="J164" s="46"/>
      <c r="K164" s="43"/>
      <c r="L164" s="52"/>
      <c r="M164" s="52"/>
    </row>
    <row r="165" spans="1:13" x14ac:dyDescent="0.25">
      <c r="A165" s="53"/>
      <c r="B165" s="66"/>
      <c r="C165" s="43"/>
      <c r="D165" s="43"/>
      <c r="E165" s="43"/>
      <c r="F165" s="46"/>
      <c r="G165" s="43"/>
      <c r="H165" s="52"/>
      <c r="I165" s="52"/>
      <c r="J165" s="46"/>
      <c r="K165" s="43"/>
      <c r="L165" s="52"/>
      <c r="M165" s="52"/>
    </row>
    <row r="166" spans="1:13" x14ac:dyDescent="0.25">
      <c r="A166" s="53"/>
      <c r="B166" s="66"/>
      <c r="C166" s="43"/>
      <c r="D166" s="43"/>
      <c r="E166" s="43"/>
      <c r="F166" s="46"/>
      <c r="G166" s="43"/>
      <c r="H166" s="52"/>
      <c r="I166" s="52"/>
      <c r="J166" s="46"/>
      <c r="K166" s="43"/>
      <c r="L166" s="52"/>
      <c r="M166" s="52"/>
    </row>
    <row r="167" spans="1:13" x14ac:dyDescent="0.25">
      <c r="A167" s="53"/>
      <c r="B167" s="66"/>
      <c r="C167" s="43"/>
      <c r="D167" s="43"/>
      <c r="E167" s="43"/>
      <c r="F167" s="46"/>
      <c r="G167" s="43"/>
      <c r="H167" s="52"/>
      <c r="I167" s="52"/>
      <c r="J167" s="46"/>
      <c r="K167" s="43"/>
      <c r="L167" s="52"/>
      <c r="M167" s="52"/>
    </row>
    <row r="168" spans="1:13" x14ac:dyDescent="0.25">
      <c r="A168" s="53"/>
      <c r="B168" s="66"/>
      <c r="C168" s="43"/>
      <c r="D168" s="43"/>
      <c r="E168" s="43"/>
      <c r="F168" s="46"/>
      <c r="G168" s="43"/>
      <c r="H168" s="52"/>
      <c r="I168" s="52"/>
      <c r="J168" s="46"/>
      <c r="K168" s="43"/>
      <c r="L168" s="52"/>
      <c r="M168" s="52"/>
    </row>
    <row r="169" spans="1:13" x14ac:dyDescent="0.25">
      <c r="A169" s="53"/>
      <c r="B169" s="66"/>
      <c r="C169" s="43"/>
      <c r="D169" s="43"/>
      <c r="E169" s="43"/>
      <c r="F169" s="46"/>
      <c r="G169" s="43"/>
      <c r="H169" s="52"/>
      <c r="I169" s="52"/>
      <c r="J169" s="46"/>
      <c r="K169" s="43"/>
      <c r="L169" s="52"/>
      <c r="M169" s="52"/>
    </row>
    <row r="170" spans="1:13" x14ac:dyDescent="0.25">
      <c r="A170" s="53"/>
      <c r="B170" s="66"/>
      <c r="C170" s="43"/>
      <c r="D170" s="43"/>
      <c r="E170" s="43"/>
      <c r="F170" s="46"/>
      <c r="G170" s="43"/>
      <c r="H170" s="52"/>
      <c r="I170" s="52"/>
      <c r="J170" s="46"/>
      <c r="K170" s="43"/>
      <c r="L170" s="52"/>
      <c r="M170" s="52"/>
    </row>
    <row r="171" spans="1:13" x14ac:dyDescent="0.25">
      <c r="A171" s="53"/>
      <c r="B171" s="66"/>
      <c r="C171" s="43"/>
      <c r="D171" s="43"/>
      <c r="E171" s="43"/>
      <c r="F171" s="46"/>
      <c r="G171" s="43"/>
      <c r="H171" s="52"/>
      <c r="I171" s="52"/>
      <c r="J171" s="46"/>
      <c r="K171" s="43"/>
      <c r="L171" s="52"/>
      <c r="M171" s="52"/>
    </row>
    <row r="172" spans="1:13" x14ac:dyDescent="0.25">
      <c r="A172" s="53"/>
      <c r="B172" s="66"/>
      <c r="C172" s="43"/>
      <c r="D172" s="43"/>
      <c r="E172" s="43"/>
      <c r="F172" s="46"/>
      <c r="G172" s="43"/>
      <c r="H172" s="52"/>
      <c r="I172" s="52"/>
      <c r="J172" s="46"/>
      <c r="K172" s="43"/>
      <c r="L172" s="52"/>
      <c r="M172" s="52"/>
    </row>
    <row r="173" spans="1:13" x14ac:dyDescent="0.25">
      <c r="A173" s="53"/>
      <c r="B173" s="66"/>
      <c r="C173" s="43"/>
      <c r="D173" s="43"/>
      <c r="E173" s="43"/>
      <c r="F173" s="46"/>
      <c r="G173" s="43"/>
      <c r="H173" s="52"/>
      <c r="I173" s="52"/>
      <c r="J173" s="46"/>
      <c r="K173" s="43"/>
      <c r="L173" s="52"/>
      <c r="M173" s="52"/>
    </row>
    <row r="174" spans="1:13" x14ac:dyDescent="0.25">
      <c r="A174" s="53"/>
      <c r="B174" s="66"/>
      <c r="C174" s="43"/>
      <c r="D174" s="43"/>
      <c r="E174" s="43"/>
      <c r="F174" s="46"/>
      <c r="G174" s="43"/>
      <c r="H174" s="52"/>
      <c r="I174" s="52"/>
      <c r="J174" s="46"/>
      <c r="K174" s="43"/>
      <c r="L174" s="52"/>
      <c r="M174" s="52"/>
    </row>
    <row r="175" spans="1:13" x14ac:dyDescent="0.25">
      <c r="A175" s="53"/>
      <c r="B175" s="66"/>
      <c r="C175" s="43"/>
      <c r="D175" s="43"/>
      <c r="E175" s="43"/>
      <c r="F175" s="46"/>
      <c r="G175" s="43"/>
      <c r="H175" s="52"/>
      <c r="I175" s="52"/>
      <c r="J175" s="46"/>
      <c r="K175" s="43"/>
      <c r="L175" s="52"/>
      <c r="M175" s="52"/>
    </row>
    <row r="176" spans="1:13" x14ac:dyDescent="0.25">
      <c r="A176" s="53"/>
      <c r="B176" s="66"/>
      <c r="C176" s="43"/>
      <c r="D176" s="43"/>
      <c r="E176" s="43"/>
      <c r="F176" s="46"/>
      <c r="G176" s="43"/>
      <c r="H176" s="52"/>
      <c r="I176" s="52"/>
      <c r="J176" s="46"/>
      <c r="K176" s="43"/>
      <c r="L176" s="52"/>
      <c r="M176" s="52"/>
    </row>
    <row r="177" spans="1:13" x14ac:dyDescent="0.25">
      <c r="A177" s="53"/>
      <c r="B177" s="66"/>
      <c r="C177" s="43"/>
      <c r="D177" s="43"/>
      <c r="E177" s="43"/>
      <c r="F177" s="46"/>
      <c r="G177" s="43"/>
      <c r="H177" s="52"/>
      <c r="I177" s="52"/>
      <c r="J177" s="46"/>
      <c r="K177" s="43"/>
      <c r="L177" s="52"/>
      <c r="M177" s="52"/>
    </row>
    <row r="178" spans="1:13" x14ac:dyDescent="0.25">
      <c r="A178" s="53"/>
      <c r="B178" s="66"/>
      <c r="C178" s="43"/>
      <c r="D178" s="43"/>
      <c r="E178" s="43"/>
      <c r="F178" s="46"/>
      <c r="G178" s="43"/>
      <c r="H178" s="52"/>
      <c r="I178" s="52"/>
      <c r="J178" s="46"/>
      <c r="K178" s="43"/>
      <c r="L178" s="52"/>
      <c r="M178" s="52"/>
    </row>
    <row r="179" spans="1:13" x14ac:dyDescent="0.25">
      <c r="A179" s="53"/>
      <c r="B179" s="66"/>
      <c r="C179" s="43"/>
      <c r="D179" s="43"/>
      <c r="E179" s="43"/>
      <c r="F179" s="46"/>
      <c r="G179" s="43"/>
      <c r="H179" s="52"/>
      <c r="I179" s="52"/>
      <c r="J179" s="46"/>
      <c r="K179" s="43"/>
      <c r="L179" s="52"/>
      <c r="M179" s="52"/>
    </row>
    <row r="180" spans="1:13" x14ac:dyDescent="0.25">
      <c r="A180" s="53"/>
      <c r="B180" s="66"/>
      <c r="C180" s="43"/>
      <c r="D180" s="43"/>
      <c r="E180" s="43"/>
      <c r="F180" s="46"/>
      <c r="G180" s="43"/>
      <c r="H180" s="52"/>
      <c r="I180" s="52"/>
      <c r="J180" s="46"/>
      <c r="K180" s="43"/>
      <c r="L180" s="52"/>
      <c r="M180" s="52"/>
    </row>
    <row r="181" spans="1:13" x14ac:dyDescent="0.25">
      <c r="A181" s="53"/>
      <c r="B181" s="66"/>
      <c r="C181" s="43"/>
      <c r="D181" s="43"/>
      <c r="E181" s="43"/>
      <c r="F181" s="46"/>
      <c r="G181" s="43"/>
      <c r="H181" s="52"/>
      <c r="I181" s="52"/>
      <c r="J181" s="46"/>
      <c r="K181" s="43"/>
      <c r="L181" s="52"/>
      <c r="M181" s="52"/>
    </row>
    <row r="182" spans="1:13" x14ac:dyDescent="0.25">
      <c r="A182" s="53"/>
      <c r="B182" s="66"/>
      <c r="C182" s="43"/>
      <c r="D182" s="43"/>
      <c r="E182" s="43"/>
      <c r="F182" s="46"/>
      <c r="G182" s="43"/>
      <c r="H182" s="52"/>
      <c r="I182" s="52"/>
      <c r="J182" s="46"/>
      <c r="K182" s="43"/>
      <c r="L182" s="52"/>
      <c r="M182" s="52"/>
    </row>
    <row r="183" spans="1:13" x14ac:dyDescent="0.25">
      <c r="A183" s="53"/>
      <c r="B183" s="66"/>
      <c r="C183" s="43"/>
      <c r="D183" s="43"/>
      <c r="E183" s="43"/>
      <c r="F183" s="46"/>
      <c r="G183" s="43"/>
      <c r="H183" s="52"/>
      <c r="I183" s="52"/>
      <c r="J183" s="46"/>
      <c r="K183" s="43"/>
      <c r="L183" s="52"/>
      <c r="M183" s="52"/>
    </row>
    <row r="184" spans="1:13" x14ac:dyDescent="0.25">
      <c r="A184" s="53"/>
      <c r="B184" s="66"/>
      <c r="C184" s="43"/>
      <c r="D184" s="43"/>
      <c r="E184" s="43"/>
      <c r="F184" s="46"/>
      <c r="G184" s="43"/>
      <c r="H184" s="52"/>
      <c r="I184" s="52"/>
      <c r="J184" s="46"/>
      <c r="K184" s="43"/>
      <c r="L184" s="52"/>
      <c r="M184" s="52"/>
    </row>
    <row r="185" spans="1:13" x14ac:dyDescent="0.25">
      <c r="A185" s="53"/>
      <c r="B185" s="66"/>
      <c r="C185" s="43"/>
      <c r="D185" s="43"/>
      <c r="E185" s="43"/>
      <c r="F185" s="46"/>
      <c r="G185" s="43"/>
      <c r="H185" s="52"/>
      <c r="I185" s="52"/>
      <c r="J185" s="46"/>
      <c r="K185" s="43"/>
      <c r="L185" s="52"/>
      <c r="M185" s="52"/>
    </row>
    <row r="186" spans="1:13" x14ac:dyDescent="0.25">
      <c r="A186" s="53"/>
      <c r="B186" s="66"/>
      <c r="C186" s="43"/>
      <c r="D186" s="43"/>
      <c r="E186" s="43"/>
      <c r="F186" s="46"/>
      <c r="G186" s="43"/>
      <c r="H186" s="52"/>
      <c r="I186" s="52"/>
      <c r="J186" s="46"/>
      <c r="K186" s="43"/>
      <c r="L186" s="52"/>
      <c r="M186" s="52"/>
    </row>
    <row r="187" spans="1:13" x14ac:dyDescent="0.25">
      <c r="A187" s="53"/>
      <c r="B187" s="66"/>
      <c r="C187" s="43"/>
      <c r="D187" s="43"/>
      <c r="E187" s="43"/>
      <c r="F187" s="46"/>
      <c r="G187" s="43"/>
      <c r="H187" s="52"/>
      <c r="I187" s="52"/>
      <c r="J187" s="46"/>
      <c r="K187" s="43"/>
      <c r="L187" s="52"/>
      <c r="M187" s="52"/>
    </row>
    <row r="188" spans="1:13" x14ac:dyDescent="0.25">
      <c r="A188" s="53"/>
      <c r="B188" s="66"/>
      <c r="C188" s="43"/>
      <c r="D188" s="43"/>
      <c r="E188" s="43"/>
      <c r="F188" s="46"/>
      <c r="G188" s="43"/>
      <c r="H188" s="52"/>
      <c r="I188" s="52"/>
      <c r="J188" s="46"/>
      <c r="K188" s="43"/>
      <c r="L188" s="52"/>
      <c r="M188" s="52"/>
    </row>
    <row r="189" spans="1:13" x14ac:dyDescent="0.25">
      <c r="A189" s="53"/>
      <c r="B189" s="66"/>
      <c r="C189" s="43"/>
      <c r="D189" s="43"/>
      <c r="E189" s="43"/>
      <c r="F189" s="46"/>
      <c r="G189" s="43"/>
      <c r="H189" s="52"/>
      <c r="I189" s="52"/>
      <c r="J189" s="46"/>
      <c r="K189" s="43"/>
      <c r="L189" s="52"/>
      <c r="M189" s="52"/>
    </row>
    <row r="190" spans="1:13" x14ac:dyDescent="0.25">
      <c r="A190" s="53"/>
      <c r="B190" s="66"/>
      <c r="C190" s="43"/>
      <c r="D190" s="43"/>
      <c r="E190" s="43"/>
      <c r="F190" s="46"/>
      <c r="G190" s="43"/>
      <c r="H190" s="52"/>
      <c r="I190" s="52"/>
      <c r="J190" s="46"/>
      <c r="K190" s="43"/>
      <c r="L190" s="52"/>
      <c r="M190" s="52"/>
    </row>
    <row r="191" spans="1:13" x14ac:dyDescent="0.25">
      <c r="A191" s="53"/>
      <c r="B191" s="66"/>
      <c r="C191" s="43"/>
      <c r="D191" s="43"/>
      <c r="E191" s="43"/>
      <c r="F191" s="46"/>
      <c r="G191" s="43"/>
      <c r="H191" s="52"/>
      <c r="I191" s="52"/>
      <c r="J191" s="46"/>
      <c r="K191" s="43"/>
      <c r="L191" s="52"/>
      <c r="M191" s="52"/>
    </row>
    <row r="192" spans="1:13" x14ac:dyDescent="0.25">
      <c r="A192" s="53"/>
      <c r="B192" s="66"/>
      <c r="C192" s="43"/>
      <c r="D192" s="43"/>
      <c r="E192" s="43"/>
      <c r="F192" s="46"/>
      <c r="G192" s="43"/>
      <c r="H192" s="52"/>
      <c r="I192" s="52"/>
      <c r="J192" s="46"/>
      <c r="K192" s="43"/>
      <c r="L192" s="52"/>
      <c r="M192" s="52"/>
    </row>
    <row r="193" spans="1:13" x14ac:dyDescent="0.25">
      <c r="A193" s="53"/>
      <c r="B193" s="66"/>
      <c r="C193" s="43"/>
      <c r="D193" s="43"/>
      <c r="E193" s="43"/>
      <c r="F193" s="46"/>
      <c r="G193" s="43"/>
      <c r="H193" s="52"/>
      <c r="I193" s="52"/>
      <c r="J193" s="46"/>
      <c r="K193" s="43"/>
      <c r="L193" s="52"/>
      <c r="M193" s="52"/>
    </row>
    <row r="194" spans="1:13" x14ac:dyDescent="0.25">
      <c r="A194" s="53"/>
      <c r="B194" s="66"/>
      <c r="C194" s="43"/>
      <c r="D194" s="43"/>
      <c r="E194" s="43"/>
      <c r="F194" s="46"/>
      <c r="G194" s="43"/>
      <c r="H194" s="52"/>
      <c r="I194" s="52"/>
      <c r="J194" s="46"/>
      <c r="K194" s="43"/>
      <c r="L194" s="52"/>
      <c r="M194" s="52"/>
    </row>
    <row r="195" spans="1:13" x14ac:dyDescent="0.25">
      <c r="A195" s="53"/>
      <c r="B195" s="66"/>
      <c r="C195" s="43"/>
      <c r="D195" s="43"/>
      <c r="E195" s="43"/>
      <c r="F195" s="46"/>
      <c r="G195" s="43"/>
      <c r="H195" s="52"/>
      <c r="I195" s="52"/>
      <c r="J195" s="46"/>
      <c r="K195" s="43"/>
      <c r="L195" s="52"/>
      <c r="M195" s="52"/>
    </row>
    <row r="196" spans="1:13" x14ac:dyDescent="0.25">
      <c r="A196" s="53"/>
      <c r="B196" s="66"/>
      <c r="C196" s="43"/>
      <c r="D196" s="43"/>
      <c r="E196" s="43"/>
      <c r="F196" s="46"/>
      <c r="G196" s="43"/>
      <c r="H196" s="52"/>
      <c r="I196" s="52"/>
      <c r="J196" s="46"/>
      <c r="K196" s="43"/>
      <c r="L196" s="52"/>
      <c r="M196" s="52"/>
    </row>
    <row r="197" spans="1:13" x14ac:dyDescent="0.25">
      <c r="A197" s="54"/>
      <c r="B197" s="66"/>
      <c r="C197" s="43"/>
      <c r="D197" s="43"/>
      <c r="E197" s="43"/>
      <c r="F197" s="46"/>
      <c r="G197" s="43"/>
      <c r="H197" s="52"/>
      <c r="I197" s="52"/>
      <c r="J197" s="46"/>
      <c r="K197" s="43"/>
      <c r="L197" s="52"/>
      <c r="M197" s="52"/>
    </row>
    <row r="198" spans="1:13" x14ac:dyDescent="0.25">
      <c r="A198" s="53"/>
      <c r="B198" s="66"/>
      <c r="C198" s="43"/>
      <c r="D198" s="43"/>
      <c r="E198" s="43"/>
      <c r="F198" s="46"/>
      <c r="G198" s="43"/>
      <c r="H198" s="52"/>
      <c r="I198" s="52"/>
      <c r="J198" s="46"/>
      <c r="K198" s="43"/>
      <c r="L198" s="52"/>
      <c r="M198" s="52"/>
    </row>
    <row r="199" spans="1:13" x14ac:dyDescent="0.25">
      <c r="A199" s="53"/>
      <c r="B199" s="67"/>
      <c r="C199" s="43"/>
      <c r="D199" s="43"/>
      <c r="E199" s="43"/>
      <c r="F199" s="46"/>
      <c r="G199" s="43"/>
      <c r="H199" s="52"/>
      <c r="I199" s="52"/>
      <c r="J199" s="46"/>
      <c r="K199" s="43"/>
      <c r="L199" s="52"/>
      <c r="M199" s="52"/>
    </row>
    <row r="200" spans="1:13" x14ac:dyDescent="0.25">
      <c r="A200" s="53"/>
      <c r="B200" s="67"/>
      <c r="C200" s="43"/>
      <c r="D200" s="43"/>
      <c r="E200" s="43"/>
      <c r="F200" s="46"/>
      <c r="G200" s="43"/>
      <c r="H200" s="52"/>
      <c r="I200" s="52"/>
      <c r="J200" s="46"/>
      <c r="K200" s="43"/>
      <c r="L200" s="52"/>
      <c r="M200" s="52"/>
    </row>
    <row r="201" spans="1:13" x14ac:dyDescent="0.25">
      <c r="A201" s="53"/>
      <c r="B201" s="66"/>
      <c r="C201" s="43"/>
      <c r="D201" s="43"/>
      <c r="E201" s="43"/>
      <c r="F201" s="46"/>
      <c r="G201" s="43"/>
      <c r="H201" s="52"/>
      <c r="I201" s="52"/>
      <c r="J201" s="46"/>
      <c r="K201" s="43"/>
      <c r="L201" s="52"/>
      <c r="M201" s="52"/>
    </row>
    <row r="202" spans="1:13" x14ac:dyDescent="0.25">
      <c r="A202" s="53"/>
      <c r="B202" s="66"/>
      <c r="C202" s="43"/>
      <c r="D202" s="43"/>
      <c r="E202" s="43"/>
      <c r="F202" s="46"/>
      <c r="G202" s="43"/>
      <c r="H202" s="52"/>
      <c r="I202" s="52"/>
      <c r="J202" s="46"/>
      <c r="K202" s="43"/>
      <c r="L202" s="52"/>
      <c r="M202" s="52"/>
    </row>
    <row r="203" spans="1:13" x14ac:dyDescent="0.25">
      <c r="A203" s="53"/>
      <c r="B203" s="66"/>
      <c r="C203" s="43"/>
      <c r="D203" s="43"/>
      <c r="E203" s="43"/>
      <c r="F203" s="46"/>
      <c r="G203" s="43"/>
      <c r="H203" s="52"/>
      <c r="I203" s="52"/>
      <c r="J203" s="46"/>
      <c r="K203" s="43"/>
      <c r="L203" s="52"/>
      <c r="M203" s="52"/>
    </row>
    <row r="204" spans="1:13" x14ac:dyDescent="0.25">
      <c r="A204" s="53"/>
      <c r="B204" s="66"/>
      <c r="C204" s="43"/>
      <c r="D204" s="43"/>
      <c r="E204" s="43"/>
      <c r="F204" s="46"/>
      <c r="G204" s="43"/>
      <c r="H204" s="52"/>
      <c r="I204" s="52"/>
      <c r="J204" s="46"/>
      <c r="K204" s="43"/>
      <c r="L204" s="52"/>
      <c r="M204" s="52"/>
    </row>
    <row r="205" spans="1:13" x14ac:dyDescent="0.25">
      <c r="A205" s="53"/>
      <c r="B205" s="66"/>
      <c r="C205" s="43"/>
      <c r="D205" s="43"/>
      <c r="E205" s="43"/>
      <c r="F205" s="46"/>
      <c r="G205" s="43"/>
      <c r="H205" s="52"/>
      <c r="I205" s="52"/>
      <c r="J205" s="46"/>
      <c r="K205" s="43"/>
      <c r="L205" s="52"/>
      <c r="M205" s="52"/>
    </row>
    <row r="206" spans="1:13" x14ac:dyDescent="0.25">
      <c r="A206" s="53"/>
      <c r="B206" s="66"/>
      <c r="C206" s="43"/>
      <c r="D206" s="43"/>
      <c r="E206" s="43"/>
      <c r="F206" s="46"/>
      <c r="G206" s="43"/>
      <c r="H206" s="52"/>
      <c r="I206" s="52"/>
      <c r="J206" s="46"/>
      <c r="K206" s="43"/>
      <c r="L206" s="52"/>
      <c r="M206" s="52"/>
    </row>
    <row r="207" spans="1:13" x14ac:dyDescent="0.25">
      <c r="A207" s="53"/>
      <c r="B207" s="66"/>
      <c r="C207" s="43"/>
      <c r="D207" s="43"/>
      <c r="E207" s="43"/>
      <c r="F207" s="46"/>
      <c r="G207" s="43"/>
      <c r="H207" s="52"/>
      <c r="I207" s="52"/>
      <c r="J207" s="46"/>
      <c r="K207" s="43"/>
      <c r="L207" s="52"/>
      <c r="M207" s="52"/>
    </row>
    <row r="208" spans="1:13" x14ac:dyDescent="0.25">
      <c r="A208" s="53"/>
      <c r="B208" s="66"/>
      <c r="C208" s="43"/>
      <c r="D208" s="43"/>
      <c r="E208" s="43"/>
      <c r="F208" s="46"/>
      <c r="G208" s="43"/>
      <c r="H208" s="52"/>
      <c r="I208" s="52"/>
      <c r="J208" s="46"/>
      <c r="K208" s="43"/>
      <c r="L208" s="52"/>
      <c r="M208" s="52"/>
    </row>
    <row r="209" spans="1:13" x14ac:dyDescent="0.25">
      <c r="A209" s="53"/>
      <c r="B209" s="66"/>
      <c r="C209" s="43"/>
      <c r="D209" s="43"/>
      <c r="E209" s="43"/>
      <c r="F209" s="46"/>
      <c r="G209" s="43"/>
      <c r="H209" s="52"/>
      <c r="I209" s="52"/>
      <c r="J209" s="46"/>
      <c r="K209" s="43"/>
      <c r="L209" s="52"/>
      <c r="M209" s="52"/>
    </row>
    <row r="210" spans="1:13" x14ac:dyDescent="0.25">
      <c r="A210" s="53"/>
      <c r="B210" s="66"/>
      <c r="C210" s="43"/>
      <c r="D210" s="43"/>
      <c r="E210" s="43"/>
      <c r="F210" s="46"/>
      <c r="G210" s="43"/>
      <c r="H210" s="52"/>
      <c r="I210" s="52"/>
      <c r="J210" s="46"/>
      <c r="K210" s="43"/>
      <c r="L210" s="52"/>
      <c r="M210" s="52"/>
    </row>
    <row r="211" spans="1:13" x14ac:dyDescent="0.25">
      <c r="A211" s="53"/>
      <c r="B211" s="66"/>
      <c r="C211" s="43"/>
      <c r="D211" s="43"/>
      <c r="E211" s="43"/>
      <c r="F211" s="46"/>
      <c r="G211" s="43"/>
      <c r="H211" s="52"/>
      <c r="I211" s="52"/>
      <c r="J211" s="46"/>
      <c r="K211" s="43"/>
      <c r="L211" s="52"/>
      <c r="M211" s="52"/>
    </row>
    <row r="212" spans="1:13" x14ac:dyDescent="0.25">
      <c r="A212" s="53"/>
      <c r="B212" s="66"/>
      <c r="C212" s="43"/>
      <c r="D212" s="43"/>
      <c r="E212" s="43"/>
      <c r="F212" s="46"/>
      <c r="G212" s="43"/>
      <c r="H212" s="52"/>
      <c r="I212" s="52"/>
      <c r="J212" s="46"/>
      <c r="K212" s="43"/>
      <c r="L212" s="52"/>
      <c r="M212" s="52"/>
    </row>
    <row r="213" spans="1:13" x14ac:dyDescent="0.25">
      <c r="A213" s="53"/>
      <c r="B213" s="66"/>
      <c r="C213" s="43"/>
      <c r="D213" s="43"/>
      <c r="E213" s="43"/>
      <c r="F213" s="46"/>
      <c r="G213" s="43"/>
      <c r="H213" s="52"/>
      <c r="I213" s="52"/>
      <c r="J213" s="46"/>
      <c r="K213" s="43"/>
      <c r="L213" s="52"/>
      <c r="M213" s="52"/>
    </row>
    <row r="214" spans="1:13" x14ac:dyDescent="0.25">
      <c r="A214" s="53"/>
      <c r="B214" s="66"/>
      <c r="C214" s="43"/>
      <c r="D214" s="43"/>
      <c r="E214" s="43"/>
      <c r="F214" s="46"/>
      <c r="G214" s="43"/>
      <c r="H214" s="52"/>
      <c r="I214" s="52"/>
      <c r="J214" s="46"/>
      <c r="K214" s="43"/>
      <c r="L214" s="52"/>
      <c r="M214" s="52"/>
    </row>
    <row r="215" spans="1:13" x14ac:dyDescent="0.25">
      <c r="A215" s="53"/>
      <c r="B215" s="66"/>
      <c r="C215" s="43"/>
      <c r="D215" s="43"/>
      <c r="E215" s="43"/>
      <c r="F215" s="46"/>
      <c r="G215" s="43"/>
      <c r="H215" s="52"/>
      <c r="I215" s="52"/>
      <c r="J215" s="46"/>
      <c r="K215" s="43"/>
      <c r="L215" s="52"/>
      <c r="M215" s="52"/>
    </row>
    <row r="216" spans="1:13" x14ac:dyDescent="0.25">
      <c r="A216" s="53"/>
      <c r="B216" s="66"/>
      <c r="C216" s="43"/>
      <c r="D216" s="43"/>
      <c r="E216" s="43"/>
      <c r="F216" s="46"/>
      <c r="G216" s="43"/>
      <c r="H216" s="52"/>
      <c r="I216" s="52"/>
      <c r="J216" s="46"/>
      <c r="K216" s="43"/>
      <c r="L216" s="52"/>
      <c r="M216" s="52"/>
    </row>
    <row r="217" spans="1:13" x14ac:dyDescent="0.25">
      <c r="A217" s="53"/>
      <c r="B217" s="66"/>
      <c r="C217" s="43"/>
      <c r="D217" s="43"/>
      <c r="E217" s="43"/>
      <c r="F217" s="46"/>
      <c r="G217" s="43"/>
      <c r="H217" s="52"/>
      <c r="I217" s="52"/>
      <c r="J217" s="46"/>
      <c r="K217" s="43"/>
      <c r="L217" s="52"/>
      <c r="M217" s="52"/>
    </row>
    <row r="218" spans="1:13" x14ac:dyDescent="0.25">
      <c r="A218" s="53"/>
      <c r="B218" s="66"/>
      <c r="C218" s="43"/>
      <c r="D218" s="43"/>
      <c r="E218" s="43"/>
      <c r="F218" s="46"/>
      <c r="G218" s="43"/>
      <c r="H218" s="52"/>
      <c r="I218" s="52"/>
      <c r="J218" s="46"/>
      <c r="K218" s="43"/>
      <c r="L218" s="52"/>
      <c r="M218" s="52"/>
    </row>
    <row r="219" spans="1:13" x14ac:dyDescent="0.25">
      <c r="A219" s="53"/>
      <c r="B219" s="66"/>
      <c r="C219" s="43"/>
      <c r="D219" s="43"/>
      <c r="E219" s="43"/>
      <c r="F219" s="46"/>
      <c r="G219" s="43"/>
      <c r="H219" s="52"/>
      <c r="I219" s="52"/>
      <c r="J219" s="46"/>
      <c r="K219" s="43"/>
      <c r="L219" s="52"/>
      <c r="M219" s="52"/>
    </row>
    <row r="220" spans="1:13" x14ac:dyDescent="0.25">
      <c r="A220" s="53"/>
      <c r="B220" s="66"/>
      <c r="C220" s="43"/>
      <c r="D220" s="43"/>
      <c r="E220" s="43"/>
      <c r="F220" s="46"/>
      <c r="G220" s="43"/>
      <c r="H220" s="52"/>
      <c r="I220" s="52"/>
      <c r="J220" s="46"/>
      <c r="K220" s="43"/>
      <c r="L220" s="52"/>
      <c r="M220" s="52"/>
    </row>
    <row r="221" spans="1:13" x14ac:dyDescent="0.25">
      <c r="A221" s="53"/>
      <c r="B221" s="66"/>
      <c r="C221" s="43"/>
      <c r="D221" s="43"/>
      <c r="E221" s="43"/>
      <c r="F221" s="46"/>
      <c r="G221" s="43"/>
      <c r="H221" s="52"/>
      <c r="I221" s="52"/>
      <c r="J221" s="46"/>
      <c r="K221" s="43"/>
      <c r="L221" s="52"/>
      <c r="M221" s="52"/>
    </row>
    <row r="222" spans="1:13" x14ac:dyDescent="0.25">
      <c r="A222" s="53"/>
      <c r="B222" s="66"/>
      <c r="C222" s="43"/>
      <c r="D222" s="43"/>
      <c r="E222" s="43"/>
      <c r="F222" s="46"/>
      <c r="G222" s="43"/>
      <c r="H222" s="52"/>
      <c r="I222" s="52"/>
      <c r="J222" s="46"/>
      <c r="K222" s="43"/>
      <c r="L222" s="52"/>
      <c r="M222" s="52"/>
    </row>
    <row r="223" spans="1:13" x14ac:dyDescent="0.25">
      <c r="A223" s="53"/>
      <c r="B223" s="66"/>
      <c r="C223" s="43"/>
      <c r="D223" s="43"/>
      <c r="E223" s="43"/>
      <c r="F223" s="46"/>
      <c r="G223" s="43"/>
      <c r="H223" s="52"/>
      <c r="I223" s="52"/>
      <c r="J223" s="46"/>
      <c r="K223" s="43"/>
      <c r="L223" s="52"/>
      <c r="M223" s="52"/>
    </row>
    <row r="224" spans="1:13" x14ac:dyDescent="0.25">
      <c r="A224" s="53"/>
      <c r="B224" s="66"/>
      <c r="C224" s="43"/>
      <c r="D224" s="43"/>
      <c r="E224" s="43"/>
      <c r="F224" s="46"/>
      <c r="G224" s="43"/>
      <c r="H224" s="52"/>
      <c r="I224" s="52"/>
      <c r="J224" s="46"/>
      <c r="K224" s="43"/>
      <c r="L224" s="52"/>
      <c r="M224" s="52"/>
    </row>
    <row r="225" spans="1:13" x14ac:dyDescent="0.25">
      <c r="A225" s="53"/>
      <c r="B225" s="66"/>
      <c r="C225" s="43"/>
      <c r="D225" s="43"/>
      <c r="E225" s="43"/>
      <c r="F225" s="46"/>
      <c r="G225" s="43"/>
      <c r="H225" s="52"/>
      <c r="I225" s="52"/>
      <c r="J225" s="46"/>
      <c r="K225" s="43"/>
      <c r="L225" s="52"/>
      <c r="M225" s="52"/>
    </row>
    <row r="226" spans="1:13" x14ac:dyDescent="0.25">
      <c r="A226" s="53"/>
      <c r="B226" s="66"/>
      <c r="C226" s="43"/>
      <c r="D226" s="43"/>
      <c r="E226" s="43"/>
      <c r="F226" s="46"/>
      <c r="G226" s="43"/>
      <c r="H226" s="52"/>
      <c r="I226" s="52"/>
      <c r="J226" s="46"/>
      <c r="K226" s="43"/>
      <c r="L226" s="52"/>
      <c r="M226" s="52"/>
    </row>
    <row r="227" spans="1:13" x14ac:dyDescent="0.25">
      <c r="A227" s="53"/>
      <c r="B227" s="66"/>
      <c r="C227" s="43"/>
      <c r="D227" s="43"/>
      <c r="E227" s="43"/>
      <c r="F227" s="46"/>
      <c r="G227" s="43"/>
      <c r="H227" s="52"/>
      <c r="I227" s="52"/>
      <c r="J227" s="46"/>
      <c r="K227" s="43"/>
      <c r="L227" s="52"/>
      <c r="M227" s="52"/>
    </row>
    <row r="228" spans="1:13" x14ac:dyDescent="0.25">
      <c r="A228" s="53"/>
      <c r="B228" s="66"/>
      <c r="C228" s="43"/>
      <c r="D228" s="43"/>
      <c r="E228" s="43"/>
      <c r="F228" s="46"/>
      <c r="G228" s="43"/>
      <c r="H228" s="52"/>
      <c r="I228" s="52"/>
      <c r="J228" s="46"/>
      <c r="K228" s="43"/>
      <c r="L228" s="52"/>
      <c r="M228" s="52"/>
    </row>
    <row r="229" spans="1:13" x14ac:dyDescent="0.25">
      <c r="A229" s="53"/>
      <c r="B229" s="66"/>
      <c r="C229" s="43"/>
      <c r="D229" s="43"/>
      <c r="E229" s="43"/>
      <c r="F229" s="46"/>
      <c r="G229" s="43"/>
      <c r="H229" s="52"/>
      <c r="I229" s="52"/>
      <c r="J229" s="46"/>
      <c r="K229" s="43"/>
      <c r="L229" s="52"/>
      <c r="M229" s="52"/>
    </row>
    <row r="230" spans="1:13" x14ac:dyDescent="0.25">
      <c r="A230" s="53"/>
      <c r="B230" s="66"/>
      <c r="C230" s="43"/>
      <c r="D230" s="43"/>
      <c r="E230" s="43"/>
      <c r="F230" s="46"/>
      <c r="G230" s="43"/>
      <c r="H230" s="52"/>
      <c r="I230" s="52"/>
      <c r="J230" s="46"/>
      <c r="K230" s="43"/>
      <c r="L230" s="52"/>
      <c r="M230" s="52"/>
    </row>
    <row r="231" spans="1:13" x14ac:dyDescent="0.25">
      <c r="A231" s="53"/>
      <c r="B231" s="66"/>
      <c r="C231" s="43"/>
      <c r="D231" s="43"/>
      <c r="E231" s="43"/>
      <c r="F231" s="46"/>
      <c r="G231" s="43"/>
      <c r="H231" s="52"/>
      <c r="I231" s="52"/>
      <c r="J231" s="46"/>
      <c r="K231" s="43"/>
      <c r="L231" s="52"/>
      <c r="M231" s="52"/>
    </row>
    <row r="232" spans="1:13" x14ac:dyDescent="0.25">
      <c r="A232" s="53"/>
      <c r="B232" s="66"/>
      <c r="C232" s="43"/>
      <c r="D232" s="43"/>
      <c r="E232" s="43"/>
      <c r="F232" s="46"/>
      <c r="G232" s="43"/>
      <c r="H232" s="52"/>
      <c r="I232" s="52"/>
      <c r="J232" s="46"/>
      <c r="K232" s="43"/>
      <c r="L232" s="52"/>
      <c r="M232" s="52"/>
    </row>
    <row r="233" spans="1:13" x14ac:dyDescent="0.25">
      <c r="A233" s="53"/>
      <c r="B233" s="66"/>
      <c r="C233" s="43"/>
      <c r="D233" s="43"/>
      <c r="E233" s="43"/>
      <c r="F233" s="46"/>
      <c r="G233" s="43"/>
      <c r="H233" s="52"/>
      <c r="I233" s="52"/>
      <c r="J233" s="46"/>
      <c r="K233" s="43"/>
      <c r="L233" s="52"/>
      <c r="M233" s="52"/>
    </row>
    <row r="234" spans="1:13" x14ac:dyDescent="0.25">
      <c r="A234" s="53"/>
      <c r="B234" s="66"/>
      <c r="C234" s="43"/>
      <c r="D234" s="43"/>
      <c r="E234" s="43"/>
      <c r="F234" s="46"/>
      <c r="G234" s="43"/>
      <c r="H234" s="52"/>
      <c r="I234" s="52"/>
      <c r="J234" s="46"/>
      <c r="K234" s="43"/>
      <c r="L234" s="52"/>
      <c r="M234" s="52"/>
    </row>
    <row r="235" spans="1:13" x14ac:dyDescent="0.25">
      <c r="A235" s="53"/>
      <c r="B235" s="66"/>
      <c r="C235" s="43"/>
      <c r="D235" s="43"/>
      <c r="E235" s="43"/>
      <c r="F235" s="46"/>
      <c r="G235" s="43"/>
      <c r="H235" s="52"/>
      <c r="I235" s="52"/>
      <c r="J235" s="46"/>
      <c r="K235" s="43"/>
      <c r="L235" s="52"/>
      <c r="M235" s="52"/>
    </row>
    <row r="236" spans="1:13" x14ac:dyDescent="0.25">
      <c r="A236" s="53"/>
      <c r="B236" s="66"/>
      <c r="C236" s="43"/>
      <c r="D236" s="43"/>
      <c r="E236" s="43"/>
      <c r="F236" s="46"/>
      <c r="G236" s="43"/>
      <c r="H236" s="52"/>
      <c r="I236" s="52"/>
      <c r="J236" s="46"/>
      <c r="K236" s="43"/>
      <c r="L236" s="52"/>
      <c r="M236" s="52"/>
    </row>
    <row r="237" spans="1:13" x14ac:dyDescent="0.25">
      <c r="A237" s="53"/>
      <c r="B237" s="66"/>
      <c r="C237" s="43"/>
      <c r="D237" s="43"/>
      <c r="E237" s="43"/>
      <c r="F237" s="46"/>
      <c r="G237" s="43"/>
      <c r="H237" s="52"/>
      <c r="I237" s="52"/>
      <c r="J237" s="46"/>
      <c r="K237" s="43"/>
      <c r="L237" s="52"/>
      <c r="M237" s="52"/>
    </row>
    <row r="238" spans="1:13" x14ac:dyDescent="0.25">
      <c r="A238" s="53"/>
      <c r="B238" s="66"/>
      <c r="C238" s="43"/>
      <c r="D238" s="43"/>
      <c r="E238" s="43"/>
      <c r="F238" s="46"/>
      <c r="G238" s="43"/>
      <c r="H238" s="52"/>
      <c r="I238" s="52"/>
      <c r="J238" s="46"/>
      <c r="K238" s="43"/>
      <c r="L238" s="52"/>
      <c r="M238" s="52"/>
    </row>
    <row r="239" spans="1:13" x14ac:dyDescent="0.25">
      <c r="A239" s="53"/>
      <c r="B239" s="66"/>
      <c r="C239" s="43"/>
      <c r="D239" s="43"/>
      <c r="E239" s="43"/>
      <c r="F239" s="46"/>
      <c r="G239" s="43"/>
      <c r="H239" s="52"/>
      <c r="I239" s="52"/>
      <c r="J239" s="46"/>
      <c r="K239" s="43"/>
      <c r="L239" s="52"/>
      <c r="M239" s="52"/>
    </row>
    <row r="240" spans="1:13" x14ac:dyDescent="0.25">
      <c r="A240" s="53"/>
      <c r="B240" s="66"/>
      <c r="C240" s="43"/>
      <c r="D240" s="43"/>
      <c r="E240" s="43"/>
      <c r="F240" s="46"/>
      <c r="G240" s="43"/>
      <c r="H240" s="52"/>
      <c r="I240" s="52"/>
      <c r="J240" s="46"/>
      <c r="K240" s="43"/>
      <c r="L240" s="52"/>
      <c r="M240" s="52"/>
    </row>
    <row r="241" spans="1:13" x14ac:dyDescent="0.25">
      <c r="A241" s="53"/>
      <c r="B241" s="66"/>
      <c r="C241" s="43"/>
      <c r="D241" s="43"/>
      <c r="E241" s="43"/>
      <c r="F241" s="46"/>
      <c r="G241" s="43"/>
      <c r="H241" s="52"/>
      <c r="I241" s="52"/>
      <c r="J241" s="46"/>
      <c r="K241" s="43"/>
      <c r="L241" s="52"/>
      <c r="M241" s="52"/>
    </row>
    <row r="242" spans="1:13" x14ac:dyDescent="0.25">
      <c r="A242" s="53"/>
      <c r="B242" s="66"/>
      <c r="C242" s="43"/>
      <c r="D242" s="43"/>
      <c r="E242" s="43"/>
      <c r="F242" s="46"/>
      <c r="G242" s="43"/>
      <c r="H242" s="52"/>
      <c r="I242" s="52"/>
      <c r="J242" s="46"/>
      <c r="K242" s="43"/>
      <c r="L242" s="52"/>
      <c r="M242" s="52"/>
    </row>
    <row r="243" spans="1:13" x14ac:dyDescent="0.25">
      <c r="A243" s="53"/>
      <c r="B243" s="66"/>
      <c r="C243" s="43"/>
      <c r="D243" s="43"/>
      <c r="E243" s="43"/>
      <c r="F243" s="46"/>
      <c r="G243" s="43"/>
      <c r="H243" s="52"/>
      <c r="I243" s="52"/>
      <c r="J243" s="46"/>
      <c r="K243" s="43"/>
      <c r="L243" s="52"/>
      <c r="M243" s="52"/>
    </row>
    <row r="244" spans="1:13" x14ac:dyDescent="0.25">
      <c r="A244" s="53"/>
      <c r="B244" s="66"/>
      <c r="C244" s="43"/>
      <c r="D244" s="43"/>
      <c r="E244" s="43"/>
      <c r="F244" s="46"/>
      <c r="G244" s="43"/>
      <c r="H244" s="52"/>
      <c r="I244" s="52"/>
      <c r="J244" s="46"/>
      <c r="K244" s="43"/>
      <c r="L244" s="52"/>
      <c r="M244" s="52"/>
    </row>
    <row r="245" spans="1:13" x14ac:dyDescent="0.25">
      <c r="A245" s="53"/>
      <c r="B245" s="66"/>
      <c r="C245" s="43"/>
      <c r="D245" s="43"/>
      <c r="E245" s="43"/>
      <c r="F245" s="46"/>
      <c r="G245" s="43"/>
      <c r="H245" s="52"/>
      <c r="I245" s="52"/>
      <c r="J245" s="46"/>
      <c r="K245" s="43"/>
      <c r="L245" s="52"/>
      <c r="M245" s="52"/>
    </row>
    <row r="246" spans="1:13" x14ac:dyDescent="0.25">
      <c r="A246" s="53"/>
      <c r="B246" s="66"/>
      <c r="C246" s="43"/>
      <c r="D246" s="43"/>
      <c r="E246" s="43"/>
      <c r="F246" s="46"/>
      <c r="G246" s="43"/>
      <c r="H246" s="52"/>
      <c r="I246" s="52"/>
      <c r="J246" s="46"/>
      <c r="K246" s="43"/>
      <c r="L246" s="52"/>
      <c r="M246" s="52"/>
    </row>
    <row r="247" spans="1:13" x14ac:dyDescent="0.25">
      <c r="A247" s="53"/>
      <c r="B247" s="66"/>
      <c r="C247" s="43"/>
      <c r="D247" s="43"/>
      <c r="E247" s="43"/>
      <c r="F247" s="46"/>
      <c r="G247" s="43"/>
      <c r="H247" s="52"/>
      <c r="I247" s="52"/>
      <c r="J247" s="46"/>
      <c r="K247" s="43"/>
      <c r="L247" s="52"/>
      <c r="M247" s="52"/>
    </row>
    <row r="248" spans="1:13" x14ac:dyDescent="0.25">
      <c r="A248" s="53"/>
      <c r="B248" s="66"/>
      <c r="C248" s="43"/>
      <c r="D248" s="43"/>
      <c r="E248" s="43"/>
      <c r="F248" s="46"/>
      <c r="G248" s="43"/>
      <c r="H248" s="52"/>
      <c r="I248" s="52"/>
      <c r="J248" s="46"/>
      <c r="K248" s="43"/>
      <c r="L248" s="52"/>
      <c r="M248" s="52"/>
    </row>
    <row r="249" spans="1:13" x14ac:dyDescent="0.25">
      <c r="A249" s="53"/>
      <c r="B249" s="66"/>
      <c r="C249" s="43"/>
      <c r="D249" s="43"/>
      <c r="E249" s="43"/>
      <c r="F249" s="46"/>
      <c r="G249" s="43"/>
      <c r="H249" s="52"/>
      <c r="I249" s="52"/>
      <c r="J249" s="46"/>
      <c r="K249" s="43"/>
      <c r="L249" s="52"/>
      <c r="M249" s="52"/>
    </row>
    <row r="250" spans="1:13" x14ac:dyDescent="0.25">
      <c r="A250" s="53"/>
      <c r="B250" s="66"/>
      <c r="C250" s="43"/>
      <c r="D250" s="43"/>
      <c r="E250" s="43"/>
      <c r="F250" s="46"/>
      <c r="G250" s="43"/>
      <c r="H250" s="52"/>
      <c r="I250" s="52"/>
      <c r="J250" s="46"/>
      <c r="K250" s="43"/>
      <c r="L250" s="52"/>
      <c r="M250" s="52"/>
    </row>
    <row r="251" spans="1:13" x14ac:dyDescent="0.25">
      <c r="A251" s="53"/>
      <c r="B251" s="66"/>
      <c r="C251" s="43"/>
      <c r="D251" s="43"/>
      <c r="E251" s="43"/>
      <c r="F251" s="46"/>
      <c r="G251" s="43"/>
      <c r="H251" s="52"/>
      <c r="I251" s="52"/>
      <c r="J251" s="46"/>
      <c r="K251" s="43"/>
      <c r="L251" s="52"/>
      <c r="M251" s="52"/>
    </row>
    <row r="252" spans="1:13" x14ac:dyDescent="0.25">
      <c r="A252" s="53"/>
      <c r="B252" s="66"/>
      <c r="C252" s="43"/>
      <c r="D252" s="43"/>
      <c r="E252" s="43"/>
      <c r="F252" s="46"/>
      <c r="G252" s="43"/>
      <c r="H252" s="52"/>
      <c r="I252" s="52"/>
      <c r="J252" s="46"/>
      <c r="K252" s="43"/>
      <c r="L252" s="52"/>
      <c r="M252" s="52"/>
    </row>
    <row r="253" spans="1:13" x14ac:dyDescent="0.25">
      <c r="A253" s="53"/>
      <c r="B253" s="66"/>
      <c r="C253" s="43"/>
      <c r="D253" s="43"/>
      <c r="E253" s="43"/>
      <c r="F253" s="46"/>
      <c r="G253" s="43"/>
      <c r="H253" s="52"/>
      <c r="I253" s="52"/>
      <c r="J253" s="46"/>
      <c r="K253" s="43"/>
      <c r="L253" s="52"/>
      <c r="M253" s="52"/>
    </row>
    <row r="254" spans="1:13" x14ac:dyDescent="0.25">
      <c r="A254" s="53"/>
      <c r="B254" s="66"/>
      <c r="C254" s="43"/>
      <c r="D254" s="43"/>
      <c r="E254" s="43"/>
      <c r="F254" s="46"/>
      <c r="G254" s="43"/>
      <c r="H254" s="52"/>
      <c r="I254" s="52"/>
      <c r="J254" s="46"/>
      <c r="K254" s="43"/>
      <c r="L254" s="52"/>
      <c r="M254" s="52"/>
    </row>
    <row r="255" spans="1:13" x14ac:dyDescent="0.25">
      <c r="A255" s="53"/>
      <c r="B255" s="68"/>
      <c r="C255" s="43"/>
      <c r="D255" s="43"/>
      <c r="E255" s="43"/>
      <c r="F255" s="46"/>
      <c r="G255" s="43"/>
      <c r="H255" s="52"/>
      <c r="I255" s="52"/>
      <c r="J255" s="46"/>
      <c r="K255" s="43"/>
      <c r="L255" s="52"/>
      <c r="M255" s="52"/>
    </row>
    <row r="256" spans="1:13" x14ac:dyDescent="0.25">
      <c r="A256" s="53"/>
      <c r="B256" s="29"/>
      <c r="C256" s="43"/>
      <c r="D256" s="43"/>
      <c r="E256" s="43"/>
      <c r="F256" s="46"/>
      <c r="G256" s="43"/>
      <c r="H256" s="52"/>
      <c r="I256" s="52"/>
      <c r="J256" s="46"/>
      <c r="K256" s="43"/>
      <c r="L256" s="52"/>
      <c r="M256" s="52"/>
    </row>
    <row r="257" spans="1:13" x14ac:dyDescent="0.25">
      <c r="A257" s="69"/>
      <c r="B257" s="29"/>
      <c r="C257" s="30"/>
      <c r="D257" s="31"/>
      <c r="E257" s="31"/>
      <c r="F257" s="31"/>
      <c r="G257" s="31"/>
      <c r="H257" s="31"/>
      <c r="I257" s="31"/>
      <c r="J257" s="31"/>
      <c r="K257" s="31"/>
      <c r="L257" s="31"/>
      <c r="M257" s="31"/>
    </row>
  </sheetData>
  <mergeCells count="2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  <mergeCell ref="A152:A153"/>
    <mergeCell ref="A147:M147"/>
    <mergeCell ref="A148:M148"/>
    <mergeCell ref="A149:L149"/>
    <mergeCell ref="A150:A151"/>
    <mergeCell ref="C150:G150"/>
    <mergeCell ref="H150:M150"/>
    <mergeCell ref="C151:E151"/>
    <mergeCell ref="G151:I151"/>
    <mergeCell ref="K151:M151"/>
  </mergeCells>
  <pageMargins left="0.7" right="0.7" top="0.75" bottom="0.75" header="0.3" footer="0.3"/>
  <pageSetup paperSize="9" scale="7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2021-07-15T06:04:03Z</cp:lastPrinted>
  <dcterms:created xsi:type="dcterms:W3CDTF">2019-06-03T04:17:39Z</dcterms:created>
  <dcterms:modified xsi:type="dcterms:W3CDTF">2021-07-15T06:04:09Z</dcterms:modified>
</cp:coreProperties>
</file>