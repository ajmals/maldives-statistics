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5. Employment\"/>
    </mc:Choice>
  </mc:AlternateContent>
  <bookViews>
    <workbookView xWindow="0" yWindow="0" windowWidth="28800" windowHeight="12330" tabRatio="736"/>
  </bookViews>
  <sheets>
    <sheet name="5.2" sheetId="2" r:id="rId1"/>
  </sheets>
  <externalReferences>
    <externalReference r:id="rId2"/>
  </externalReferences>
  <definedNames>
    <definedName name="_xlnm.Print_Area" localSheetId="0">'5.2'!$A$1:$N$57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2" l="1"/>
  <c r="AV24" i="2" s="1"/>
  <c r="L10" i="2"/>
  <c r="AU24" i="2" s="1"/>
  <c r="I10" i="2"/>
  <c r="AS24" i="2" s="1"/>
  <c r="H10" i="2"/>
  <c r="AR24" i="2" s="1"/>
  <c r="K11" i="2"/>
  <c r="K12" i="2"/>
  <c r="K13" i="2"/>
  <c r="K14" i="2"/>
  <c r="K15" i="2"/>
  <c r="K16" i="2"/>
  <c r="K17" i="2"/>
  <c r="K18" i="2"/>
  <c r="K19" i="2"/>
  <c r="K20" i="2"/>
  <c r="K21" i="2"/>
  <c r="G11" i="2"/>
  <c r="G12" i="2"/>
  <c r="G13" i="2"/>
  <c r="G14" i="2"/>
  <c r="G15" i="2"/>
  <c r="G16" i="2"/>
  <c r="G17" i="2"/>
  <c r="G18" i="2"/>
  <c r="G19" i="2"/>
  <c r="G20" i="2"/>
  <c r="G21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C15" i="2" l="1"/>
  <c r="C16" i="2"/>
  <c r="C14" i="2"/>
  <c r="C21" i="2"/>
  <c r="C20" i="2"/>
  <c r="C12" i="2"/>
  <c r="C19" i="2"/>
  <c r="C11" i="2"/>
  <c r="C13" i="2"/>
  <c r="K10" i="2"/>
  <c r="AT24" i="2" s="1"/>
  <c r="E10" i="2"/>
  <c r="AP24" i="2" s="1"/>
  <c r="D10" i="2"/>
  <c r="AO24" i="2" s="1"/>
  <c r="G10" i="2"/>
  <c r="AQ24" i="2" s="1"/>
  <c r="C18" i="2"/>
  <c r="C17" i="2"/>
  <c r="C10" i="2" l="1"/>
  <c r="AN24" i="2" s="1"/>
</calcChain>
</file>

<file path=xl/sharedStrings.xml><?xml version="1.0" encoding="utf-8"?>
<sst xmlns="http://schemas.openxmlformats.org/spreadsheetml/2006/main" count="68" uniqueCount="30">
  <si>
    <t>Republic</t>
  </si>
  <si>
    <t>Male'</t>
  </si>
  <si>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</si>
  <si>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</si>
  <si>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</si>
  <si>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</si>
  <si>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</si>
  <si>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</si>
  <si>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</si>
  <si>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އުމުރުފުރާ</t>
  </si>
  <si>
    <t xml:space="preserve"> މުޅިރާއްޖެ</t>
  </si>
  <si>
    <t>މާލެ</t>
  </si>
  <si>
    <t>އަތޮޅުތައް</t>
  </si>
  <si>
    <t>Atolls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</si>
  <si>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</si>
  <si>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</si>
  <si>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</si>
  <si>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</si>
  <si>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</si>
  <si>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</si>
  <si>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</si>
  <si>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</si>
  <si>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</si>
  <si>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</si>
  <si>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</si>
  <si>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</si>
  <si>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</si>
  <si>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</si>
  <si>
    <t>Table 5.2 :  CIVIL SERVANTS CLASSIFIED BY AGE AND SEX, 2020</t>
  </si>
  <si>
    <t>ތާވަލް 5.2: ސިވިލް ސަރވަންޓުން ބެހިފައިވާ ގޮތް، ޖިންސް އަދި އުމުރުފުރާއިން،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</si>
</sst>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5" formatCode="_-* #,##0\ _ރ_._-;_-* #,##0\ _ރ_.\-;_-* &quot;-&quot;??\ _ރ_.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Faruma"/>
    </font>
    <font>
      <i/>
      <sz val="10"/>
      <name val="Calibri"/>
      <family val="2"/>
      <scheme val="minor"/>
    </font>
    <font>
      <b/>
      <sz val="1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43" fontId="3" fillId="0" borderId="0" applyFont="0" applyFill="0" applyBorder="0" applyAlignment="0" applyProtection="0"/>
    <xf numFmtId="0" fontId="17" fillId="0" borderId="0"/>
    <xf numFmtId="0" fontId="3" fillId="0" borderId="0"/>
  </cellStyleXfs>
  <cellXfs count="53">
    <xf numFmtId="0" fontId="0" fillId="0" borderId="0" xfId="0"/>
    <xf numFmtId="0" fontId="0" fillId="2" borderId="0" xfId="0" applyFill="1"/>
    <xf numFmtId="0" fontId="8" fillId="2" borderId="0" xfId="0" applyFont="1" applyFill="1"/>
    <xf numFmtId="0" fontId="6" fillId="2" borderId="0" xfId="0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/>
    <xf numFmtId="0" fontId="9" fillId="2" borderId="4" xfId="4" applyFont="1" applyFill="1" applyBorder="1" applyAlignment="1">
      <alignment vertical="center"/>
    </xf>
    <xf numFmtId="3" fontId="10" fillId="2" borderId="0" xfId="5" applyNumberFormat="1" applyFont="1" applyFill="1" applyBorder="1" applyAlignment="1" applyProtection="1">
      <alignment horizontal="right" vertical="center"/>
    </xf>
    <xf numFmtId="164" fontId="11" fillId="2" borderId="1" xfId="3" applyNumberFormat="1" applyFont="1" applyFill="1" applyBorder="1" applyAlignment="1" applyProtection="1">
      <alignment horizontal="center" vertical="center"/>
    </xf>
    <xf numFmtId="0" fontId="12" fillId="2" borderId="1" xfId="5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 readingOrder="2"/>
    </xf>
    <xf numFmtId="0" fontId="2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/>
    <xf numFmtId="3" fontId="6" fillId="2" borderId="0" xfId="0" applyNumberFormat="1" applyFont="1" applyFill="1" applyBorder="1" applyAlignment="1">
      <alignment horizontal="right" vertical="center"/>
    </xf>
    <xf numFmtId="1" fontId="0" fillId="2" borderId="0" xfId="0" applyNumberFormat="1" applyFill="1"/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/>
    </xf>
    <xf numFmtId="3" fontId="8" fillId="2" borderId="0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 applyProtection="1">
      <alignment horizontal="right" vertical="center"/>
      <protection locked="0"/>
    </xf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/>
    </xf>
    <xf numFmtId="3" fontId="6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 applyProtection="1">
      <alignment horizontal="right" vertical="center"/>
      <protection locked="0"/>
    </xf>
    <xf numFmtId="0" fontId="14" fillId="2" borderId="0" xfId="4" applyFont="1" applyFill="1" applyBorder="1"/>
    <xf numFmtId="3" fontId="8" fillId="2" borderId="0" xfId="0" applyNumberFormat="1" applyFont="1" applyFill="1"/>
    <xf numFmtId="3" fontId="0" fillId="2" borderId="0" xfId="0" applyNumberFormat="1" applyFill="1"/>
    <xf numFmtId="3" fontId="8" fillId="2" borderId="0" xfId="0" applyNumberFormat="1" applyFont="1" applyFill="1" applyBorder="1" applyProtection="1">
      <protection locked="0"/>
    </xf>
    <xf numFmtId="3" fontId="8" fillId="2" borderId="3" xfId="0" applyNumberFormat="1" applyFont="1" applyFill="1" applyBorder="1" applyProtection="1">
      <protection locked="0"/>
    </xf>
    <xf numFmtId="0" fontId="7" fillId="2" borderId="3" xfId="0" applyFont="1" applyFill="1" applyBorder="1" applyAlignment="1">
      <alignment horizontal="right" vertical="center" readingOrder="2"/>
    </xf>
    <xf numFmtId="0" fontId="6" fillId="2" borderId="0" xfId="0" applyFont="1" applyFill="1" applyBorder="1" applyAlignment="1">
      <alignment horizontal="center" vertical="center"/>
    </xf>
    <xf numFmtId="164" fontId="11" fillId="2" borderId="0" xfId="3" applyNumberFormat="1" applyFont="1" applyFill="1" applyBorder="1" applyAlignment="1" applyProtection="1">
      <alignment horizontal="center" vertical="center"/>
    </xf>
    <xf numFmtId="0" fontId="8" fillId="2" borderId="0" xfId="0" applyFont="1" applyFill="1" applyBorder="1" applyAlignment="1">
      <alignment horizontal="right" vertical="center" wrapText="1"/>
    </xf>
    <xf numFmtId="3" fontId="8" fillId="2" borderId="0" xfId="0" applyNumberFormat="1" applyFont="1" applyFill="1" applyBorder="1" applyAlignment="1">
      <alignment horizontal="right" vertical="center" wrapText="1"/>
    </xf>
    <xf numFmtId="0" fontId="18" fillId="2" borderId="0" xfId="0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right" vertical="center" wrapText="1"/>
    </xf>
    <xf numFmtId="164" fontId="11" fillId="2" borderId="0" xfId="3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64" fontId="5" fillId="2" borderId="0" xfId="3" applyNumberFormat="1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5" fontId="6" fillId="2" borderId="2" xfId="1" applyNumberFormat="1" applyFont="1" applyFill="1" applyBorder="1" applyAlignment="1">
      <alignment horizontal="center" vertical="center"/>
    </xf>
    <xf numFmtId="0" fontId="15" fillId="2" borderId="0" xfId="2" applyFont="1" applyFill="1" applyBorder="1" applyAlignment="1">
      <alignment horizontal="center" vertical="center"/>
    </xf>
    <xf numFmtId="164" fontId="11" fillId="2" borderId="0" xfId="3" applyNumberFormat="1" applyFont="1" applyFill="1" applyBorder="1" applyAlignment="1" applyProtection="1">
      <alignment horizontal="center" vertical="center"/>
    </xf>
    <xf numFmtId="164" fontId="12" fillId="2" borderId="1" xfId="3" applyNumberFormat="1" applyFont="1" applyFill="1" applyBorder="1" applyAlignment="1" applyProtection="1">
      <alignment horizontal="center" vertical="center"/>
    </xf>
    <xf numFmtId="164" fontId="12" fillId="2" borderId="0" xfId="3" applyNumberFormat="1" applyFont="1" applyFill="1" applyBorder="1" applyAlignment="1" applyProtection="1">
      <alignment horizontal="center" vertical="center"/>
    </xf>
    <xf numFmtId="0" fontId="12" fillId="2" borderId="1" xfId="5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</cellXfs>
  <cellStyles count="12">
    <cellStyle name="1" xfId="11"/>
    <cellStyle name="Comma" xfId="1" builtinId="3"/>
    <cellStyle name="Comma 3" xfId="9"/>
    <cellStyle name="Normal" xfId="0" builtinId="0"/>
    <cellStyle name="Normal 11" xfId="10"/>
    <cellStyle name="Normal 2" xfId="6"/>
    <cellStyle name="Normal 4" xfId="7"/>
    <cellStyle name="Normal 5" xfId="8"/>
    <cellStyle name="Normal_5 Employment_done" xfId="2"/>
    <cellStyle name="Normal_II-16(Populaion)" xfId="5"/>
    <cellStyle name="Normal_po" xfId="4"/>
    <cellStyle name="Normal_Population - II 2" xfId="3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AFAFA"/>
      <color rgb="FF33CCCC"/>
      <color rgb="FFFF9900"/>
      <color rgb="FFB2EDEC"/>
      <color rgb="FF249390"/>
      <color rgb="FF196563"/>
      <color rgb="FFE5CBB1"/>
      <color rgb="FFF3E6D9"/>
      <color rgb="FFEBD7C3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5.2: 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Number of civil servants by locaity &amp; sex, 2018 - 2020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576125442589781"/>
          <c:y val="2.41149009239130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92521477303956"/>
          <c:y val="0.14420086562027432"/>
          <c:w val="0.87286885800883374"/>
          <c:h val="0.6911525522885244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'5.2'!$AM$22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multiLvlStrRef>
              <c:f>'5.2'!$AN$20:$AV$21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'5.2'!$AN$22:$AV$22</c:f>
              <c:numCache>
                <c:formatCode>General</c:formatCode>
                <c:ptCount val="9"/>
                <c:pt idx="0">
                  <c:v>23647</c:v>
                </c:pt>
                <c:pt idx="1">
                  <c:v>9122</c:v>
                </c:pt>
                <c:pt idx="2">
                  <c:v>14525</c:v>
                </c:pt>
                <c:pt idx="3">
                  <c:v>8833</c:v>
                </c:pt>
                <c:pt idx="4">
                  <c:v>3791</c:v>
                </c:pt>
                <c:pt idx="5">
                  <c:v>5042</c:v>
                </c:pt>
                <c:pt idx="6">
                  <c:v>14814</c:v>
                </c:pt>
                <c:pt idx="7">
                  <c:v>5331</c:v>
                </c:pt>
                <c:pt idx="8">
                  <c:v>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7-4E3E-BD02-64200FB07299}"/>
            </c:ext>
          </c:extLst>
        </c:ser>
        <c:ser>
          <c:idx val="3"/>
          <c:order val="1"/>
          <c:tx>
            <c:strRef>
              <c:f>'5.2'!$AM$23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multiLvlStrRef>
              <c:f>'5.2'!$AN$20:$AV$21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'5.2'!$AN$23:$AV$23</c:f>
              <c:numCache>
                <c:formatCode>General</c:formatCode>
                <c:ptCount val="9"/>
                <c:pt idx="0">
                  <c:v>25652</c:v>
                </c:pt>
                <c:pt idx="1">
                  <c:v>9573</c:v>
                </c:pt>
                <c:pt idx="2">
                  <c:v>16079</c:v>
                </c:pt>
                <c:pt idx="3">
                  <c:v>9280</c:v>
                </c:pt>
                <c:pt idx="4">
                  <c:v>3678</c:v>
                </c:pt>
                <c:pt idx="5">
                  <c:v>5602</c:v>
                </c:pt>
                <c:pt idx="6">
                  <c:v>16372</c:v>
                </c:pt>
                <c:pt idx="7">
                  <c:v>5895</c:v>
                </c:pt>
                <c:pt idx="8">
                  <c:v>10477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7-4E3E-BD02-64200FB07299}"/>
            </c:ext>
          </c:extLst>
        </c:ser>
        <c:ser>
          <c:idx val="0"/>
          <c:order val="2"/>
          <c:tx>
            <c:strRef>
              <c:f>'5.2'!$AM$24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multiLvlStrRef>
              <c:f>'5.2'!$AN$20:$AV$21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'5.2'!$AN$24:$AV$24</c:f>
              <c:numCache>
                <c:formatCode>#,##0</c:formatCode>
                <c:ptCount val="9"/>
                <c:pt idx="0">
                  <c:v>26668</c:v>
                </c:pt>
                <c:pt idx="1">
                  <c:v>10075</c:v>
                </c:pt>
                <c:pt idx="2">
                  <c:v>16593</c:v>
                </c:pt>
                <c:pt idx="3">
                  <c:v>10067</c:v>
                </c:pt>
                <c:pt idx="4">
                  <c:v>3932</c:v>
                </c:pt>
                <c:pt idx="5">
                  <c:v>6135</c:v>
                </c:pt>
                <c:pt idx="6">
                  <c:v>16601</c:v>
                </c:pt>
                <c:pt idx="7">
                  <c:v>6143</c:v>
                </c:pt>
                <c:pt idx="8">
                  <c:v>10458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1-4ABC-A5F6-F745EBF1E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84289152"/>
        <c:axId val="484293072"/>
      </c:barChart>
      <c:catAx>
        <c:axId val="484289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GB" b="0"/>
            </a:pPr>
            <a:endParaRPr lang="en-US"/>
          </a:p>
        </c:txPr>
        <c:crossAx val="484293072"/>
        <c:crosses val="autoZero"/>
        <c:auto val="1"/>
        <c:lblAlgn val="ctr"/>
        <c:lblOffset val="100"/>
        <c:noMultiLvlLbl val="0"/>
      </c:catAx>
      <c:valAx>
        <c:axId val="484293072"/>
        <c:scaling>
          <c:orientation val="minMax"/>
          <c:max val="30000"/>
        </c:scaling>
        <c:delete val="0"/>
        <c:axPos val="l"/>
        <c:majorGridlines>
          <c:spPr>
            <a:ln>
              <a:solidFill>
                <a:srgbClr val="E5CBB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4.0247093544262952E-3"/>
              <c:y val="0.3749882877869576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n-GB" sz="900"/>
            </a:pPr>
            <a:endParaRPr lang="en-US"/>
          </a:p>
        </c:txPr>
        <c:crossAx val="484289152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3759916201673572"/>
          <c:y val="0.15956920549384232"/>
          <c:w val="0.21100593836999509"/>
          <c:h val="0.11621840095296272"/>
        </c:manualLayout>
      </c:layout>
      <c:overlay val="0"/>
      <c:txPr>
        <a:bodyPr/>
        <a:lstStyle/>
        <a:p>
          <a:pPr>
            <a:defRPr lang="en-GB" sz="10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072375030277044E-2"/>
          <c:y val="0.15587257475168545"/>
          <c:w val="0.87558990658188318"/>
          <c:h val="0.69328892745482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'5.2'!$D$7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'5.2'!$D$11:$D$21</c:f>
              <c:numCache>
                <c:formatCode>#,##0</c:formatCode>
                <c:ptCount val="11"/>
                <c:pt idx="0">
                  <c:v>53</c:v>
                </c:pt>
                <c:pt idx="1">
                  <c:v>478</c:v>
                </c:pt>
                <c:pt idx="2">
                  <c:v>1062</c:v>
                </c:pt>
                <c:pt idx="3">
                  <c:v>1675</c:v>
                </c:pt>
                <c:pt idx="4">
                  <c:v>1725</c:v>
                </c:pt>
                <c:pt idx="5">
                  <c:v>1322</c:v>
                </c:pt>
                <c:pt idx="6">
                  <c:v>1211</c:v>
                </c:pt>
                <c:pt idx="7">
                  <c:v>1110</c:v>
                </c:pt>
                <c:pt idx="8">
                  <c:v>836</c:v>
                </c:pt>
                <c:pt idx="9">
                  <c:v>592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F-461E-9AB1-DC66E6E19A18}"/>
            </c:ext>
          </c:extLst>
        </c:ser>
        <c:ser>
          <c:idx val="1"/>
          <c:order val="1"/>
          <c:tx>
            <c:strRef>
              <c:f>'5.2'!$E$7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'5.2'!$E$11:$E$21</c:f>
              <c:numCache>
                <c:formatCode>#,##0</c:formatCode>
                <c:ptCount val="11"/>
                <c:pt idx="0">
                  <c:v>54</c:v>
                </c:pt>
                <c:pt idx="1">
                  <c:v>1235</c:v>
                </c:pt>
                <c:pt idx="2">
                  <c:v>3140</c:v>
                </c:pt>
                <c:pt idx="3">
                  <c:v>3606</c:v>
                </c:pt>
                <c:pt idx="4">
                  <c:v>2819</c:v>
                </c:pt>
                <c:pt idx="5">
                  <c:v>2059</c:v>
                </c:pt>
                <c:pt idx="6">
                  <c:v>1600</c:v>
                </c:pt>
                <c:pt idx="7">
                  <c:v>1132</c:v>
                </c:pt>
                <c:pt idx="8">
                  <c:v>640</c:v>
                </c:pt>
                <c:pt idx="9">
                  <c:v>304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F-461E-9AB1-DC66E6E1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84290720"/>
        <c:axId val="484294248"/>
      </c:barChart>
      <c:catAx>
        <c:axId val="484290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4294248"/>
        <c:crosses val="autoZero"/>
        <c:auto val="1"/>
        <c:lblAlgn val="ctr"/>
        <c:lblOffset val="100"/>
        <c:noMultiLvlLbl val="0"/>
      </c:catAx>
      <c:valAx>
        <c:axId val="484294248"/>
        <c:scaling>
          <c:orientation val="minMax"/>
        </c:scaling>
        <c:delete val="0"/>
        <c:axPos val="l"/>
        <c:majorGridlines>
          <c:spPr>
            <a:ln>
              <a:solidFill>
                <a:srgbClr val="E5CBB1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crossAx val="484290720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447953272104222"/>
          <c:y val="0.29010687389566503"/>
          <c:w val="0.20023697491671336"/>
          <c:h val="6.5582531350247872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114299</xdr:rowOff>
    </xdr:from>
    <xdr:to>
      <xdr:col>12</xdr:col>
      <xdr:colOff>523875</xdr:colOff>
      <xdr:row>39</xdr:row>
      <xdr:rowOff>43960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168449</xdr:colOff>
      <xdr:row>39</xdr:row>
      <xdr:rowOff>148616</xdr:rowOff>
    </xdr:from>
    <xdr:to>
      <xdr:col>12</xdr:col>
      <xdr:colOff>549449</xdr:colOff>
      <xdr:row>55</xdr:row>
      <xdr:rowOff>15266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187762</xdr:colOff>
      <xdr:row>44</xdr:row>
      <xdr:rowOff>185715</xdr:rowOff>
    </xdr:from>
    <xdr:to>
      <xdr:col>0</xdr:col>
      <xdr:colOff>395983</xdr:colOff>
      <xdr:row>48</xdr:row>
      <xdr:rowOff>114549</xdr:rowOff>
    </xdr:to>
    <xdr:sp macro="" textlink="">
      <xdr:nvSpPr>
        <xdr:cNvPr id="6" name="TextBox 5"/>
        <xdr:cNvSpPr txBox="1"/>
      </xdr:nvSpPr>
      <xdr:spPr>
        <a:xfrm rot="16200000">
          <a:off x="-53544" y="8647096"/>
          <a:ext cx="690834" cy="20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Number</a:t>
          </a:r>
        </a:p>
      </xdr:txBody>
    </xdr:sp>
    <xdr:clientData/>
  </xdr:twoCellAnchor>
  <xdr:twoCellAnchor>
    <xdr:from>
      <xdr:col>6</xdr:col>
      <xdr:colOff>191826</xdr:colOff>
      <xdr:row>53</xdr:row>
      <xdr:rowOff>96027</xdr:rowOff>
    </xdr:from>
    <xdr:to>
      <xdr:col>7</xdr:col>
      <xdr:colOff>401444</xdr:colOff>
      <xdr:row>54</xdr:row>
      <xdr:rowOff>122122</xdr:rowOff>
    </xdr:to>
    <xdr:sp macro="" textlink="">
      <xdr:nvSpPr>
        <xdr:cNvPr id="7" name="TextBox 6"/>
        <xdr:cNvSpPr txBox="1"/>
      </xdr:nvSpPr>
      <xdr:spPr>
        <a:xfrm>
          <a:off x="2944551" y="10030602"/>
          <a:ext cx="819218" cy="216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Age Group</a:t>
          </a:r>
        </a:p>
      </xdr:txBody>
    </xdr:sp>
    <xdr:clientData/>
  </xdr:twoCellAnchor>
  <xdr:twoCellAnchor>
    <xdr:from>
      <xdr:col>2</xdr:col>
      <xdr:colOff>294311</xdr:colOff>
      <xdr:row>39</xdr:row>
      <xdr:rowOff>160536</xdr:rowOff>
    </xdr:from>
    <xdr:to>
      <xdr:col>12</xdr:col>
      <xdr:colOff>133777</xdr:colOff>
      <xdr:row>41</xdr:row>
      <xdr:rowOff>1</xdr:rowOff>
    </xdr:to>
    <xdr:sp macro="" textlink="">
      <xdr:nvSpPr>
        <xdr:cNvPr id="8" name="TextBox 7"/>
        <xdr:cNvSpPr txBox="1"/>
      </xdr:nvSpPr>
      <xdr:spPr>
        <a:xfrm>
          <a:off x="1103936" y="7428111"/>
          <a:ext cx="4944866" cy="220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5.3: Number of civil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servants by sex and age group, 2020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5.%20EMPLOYME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  <sheetName val="5.9"/>
      <sheetName val="5.10"/>
      <sheetName val="5.11"/>
      <sheetName val="5.12"/>
      <sheetName val="5.13"/>
      <sheetName val="5.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C5" t="str">
            <v>Male</v>
          </cell>
          <cell r="D5" t="str">
            <v xml:space="preserve">Female </v>
          </cell>
        </row>
        <row r="6">
          <cell r="C6">
            <v>147671</v>
          </cell>
          <cell r="D6">
            <v>9889</v>
          </cell>
        </row>
        <row r="78">
          <cell r="AP78" t="str">
            <v>Bangladesh</v>
          </cell>
          <cell r="AS78">
            <v>110084</v>
          </cell>
        </row>
        <row r="79">
          <cell r="AP79" t="str">
            <v>India</v>
          </cell>
          <cell r="AS79">
            <v>20283</v>
          </cell>
        </row>
        <row r="80">
          <cell r="AP80" t="str">
            <v>Sri Lanka</v>
          </cell>
          <cell r="AS80">
            <v>11266</v>
          </cell>
        </row>
        <row r="81">
          <cell r="AP81" t="str">
            <v>Nepal</v>
          </cell>
          <cell r="AS81">
            <v>4342</v>
          </cell>
        </row>
        <row r="82">
          <cell r="AP82" t="str">
            <v>Philippines</v>
          </cell>
          <cell r="AS82">
            <v>2134</v>
          </cell>
        </row>
      </sheetData>
      <sheetData sheetId="11">
        <row r="33">
          <cell r="N33" t="str">
            <v>Male</v>
          </cell>
        </row>
      </sheetData>
      <sheetData sheetId="12">
        <row r="5">
          <cell r="A5" t="str">
            <v>Republic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W57"/>
  <sheetViews>
    <sheetView tabSelected="1" zoomScaleNormal="100" workbookViewId="0">
      <selection activeCell="X30" sqref="X30"/>
    </sheetView>
  </sheetViews>
  <sheetFormatPr defaultRowHeight="15" x14ac:dyDescent="0.25"/>
  <cols>
    <col min="1" max="1" width="10.28515625" style="1" customWidth="1"/>
    <col min="2" max="2" width="1.85546875" style="1" customWidth="1"/>
    <col min="3" max="5" width="9.140625" style="1"/>
    <col min="6" max="6" width="1.7109375" style="1" customWidth="1"/>
    <col min="7" max="9" width="9.140625" style="1"/>
    <col min="10" max="10" width="1.7109375" style="1" customWidth="1"/>
    <col min="11" max="13" width="9.140625" style="1"/>
    <col min="14" max="33" width="7.28515625" style="1" customWidth="1"/>
    <col min="34" max="16384" width="9.140625" style="1"/>
  </cols>
  <sheetData>
    <row r="2" spans="1:40" ht="21" x14ac:dyDescent="0.25">
      <c r="A2" s="46" t="s">
        <v>29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40" x14ac:dyDescent="0.25">
      <c r="A3" s="43" t="s">
        <v>28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40" ht="1.1499999999999999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36"/>
      <c r="P4" s="36"/>
      <c r="Q4" s="36"/>
      <c r="R4" s="41"/>
      <c r="S4" s="41"/>
      <c r="T4" s="41"/>
      <c r="U4" s="41"/>
      <c r="V4" s="41"/>
      <c r="W4" s="41"/>
      <c r="X4" s="41"/>
      <c r="Y4" s="41"/>
      <c r="Z4" s="41"/>
      <c r="AA4" s="36"/>
      <c r="AB4" s="41"/>
      <c r="AC4" s="41"/>
      <c r="AD4" s="41"/>
      <c r="AE4" s="41"/>
      <c r="AF4" s="41"/>
      <c r="AG4" s="36"/>
    </row>
    <row r="5" spans="1:40" ht="13.5" customHeight="1" x14ac:dyDescent="0.25">
      <c r="A5" s="48" t="s">
        <v>9</v>
      </c>
      <c r="B5" s="10"/>
      <c r="C5" s="50" t="s">
        <v>10</v>
      </c>
      <c r="D5" s="50"/>
      <c r="E5" s="50"/>
      <c r="F5" s="11"/>
      <c r="G5" s="50" t="s">
        <v>11</v>
      </c>
      <c r="H5" s="50"/>
      <c r="I5" s="50"/>
      <c r="J5" s="11"/>
      <c r="K5" s="50" t="s">
        <v>12</v>
      </c>
      <c r="L5" s="50"/>
      <c r="M5" s="50"/>
    </row>
    <row r="6" spans="1:40" ht="12" customHeight="1" x14ac:dyDescent="0.25">
      <c r="A6" s="49"/>
      <c r="B6" s="12"/>
      <c r="C6" s="51" t="s">
        <v>0</v>
      </c>
      <c r="D6" s="51"/>
      <c r="E6" s="51"/>
      <c r="F6" s="12"/>
      <c r="G6" s="52" t="s">
        <v>1</v>
      </c>
      <c r="H6" s="52"/>
      <c r="I6" s="52"/>
      <c r="J6" s="12"/>
      <c r="K6" s="52" t="s">
        <v>13</v>
      </c>
      <c r="L6" s="52"/>
      <c r="M6" s="52"/>
    </row>
    <row r="7" spans="1:40" x14ac:dyDescent="0.25">
      <c r="A7" s="42" t="s">
        <v>14</v>
      </c>
      <c r="B7" s="12"/>
      <c r="C7" s="3" t="s">
        <v>15</v>
      </c>
      <c r="D7" s="3" t="s">
        <v>5</v>
      </c>
      <c r="E7" s="3" t="s">
        <v>6</v>
      </c>
      <c r="F7" s="35"/>
      <c r="G7" s="3" t="s">
        <v>15</v>
      </c>
      <c r="H7" s="3" t="s">
        <v>5</v>
      </c>
      <c r="I7" s="3" t="s">
        <v>6</v>
      </c>
      <c r="J7" s="35"/>
      <c r="K7" s="3" t="s">
        <v>15</v>
      </c>
      <c r="L7" s="3" t="s">
        <v>5</v>
      </c>
      <c r="M7" s="3" t="s">
        <v>6</v>
      </c>
    </row>
    <row r="8" spans="1:40" ht="18.75" x14ac:dyDescent="0.25">
      <c r="A8" s="44"/>
      <c r="B8" s="13"/>
      <c r="C8" s="34" t="s">
        <v>2</v>
      </c>
      <c r="D8" s="34" t="s">
        <v>3</v>
      </c>
      <c r="E8" s="34" t="s">
        <v>4</v>
      </c>
      <c r="F8" s="4"/>
      <c r="G8" s="34" t="s">
        <v>2</v>
      </c>
      <c r="H8" s="34" t="s">
        <v>3</v>
      </c>
      <c r="I8" s="34" t="s">
        <v>4</v>
      </c>
      <c r="J8" s="4"/>
      <c r="K8" s="34" t="s">
        <v>2</v>
      </c>
      <c r="L8" s="34" t="s">
        <v>3</v>
      </c>
      <c r="M8" s="34" t="s">
        <v>4</v>
      </c>
    </row>
    <row r="9" spans="1:40" s="7" customFormat="1" ht="9.6" customHeight="1" x14ac:dyDescent="0.55000000000000004">
      <c r="A9" s="35"/>
      <c r="B9" s="12"/>
      <c r="C9" s="14"/>
      <c r="D9" s="14"/>
      <c r="E9" s="14"/>
      <c r="F9" s="15"/>
      <c r="G9" s="14"/>
      <c r="H9" s="14"/>
      <c r="I9" s="14"/>
      <c r="J9" s="15"/>
      <c r="K9" s="14"/>
      <c r="L9" s="14"/>
      <c r="M9" s="14"/>
    </row>
    <row r="10" spans="1:40" x14ac:dyDescent="0.25">
      <c r="A10" s="16" t="s">
        <v>16</v>
      </c>
      <c r="B10" s="17"/>
      <c r="C10" s="18">
        <f>G10+K10</f>
        <v>26668</v>
      </c>
      <c r="D10" s="18">
        <f t="shared" ref="D10:E10" si="0">H10+L10</f>
        <v>10075</v>
      </c>
      <c r="E10" s="18">
        <f t="shared" si="0"/>
        <v>16593</v>
      </c>
      <c r="F10" s="18"/>
      <c r="G10" s="18">
        <f>SUM(H10:I10)</f>
        <v>10067</v>
      </c>
      <c r="H10" s="18">
        <f>SUM(H11:H21)</f>
        <v>3932</v>
      </c>
      <c r="I10" s="18">
        <f>SUM(I11:I21)</f>
        <v>6135</v>
      </c>
      <c r="J10" s="18"/>
      <c r="K10" s="18">
        <f>SUM(L10:M10)</f>
        <v>16601</v>
      </c>
      <c r="L10" s="18">
        <f>SUM(L11:L21)</f>
        <v>6143</v>
      </c>
      <c r="M10" s="18">
        <f>SUM(M11:M21)</f>
        <v>10458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40" x14ac:dyDescent="0.25">
      <c r="A11" s="20" t="s">
        <v>17</v>
      </c>
      <c r="B11" s="21"/>
      <c r="C11" s="18">
        <f t="shared" ref="C11:C21" si="1">G11+K11</f>
        <v>107</v>
      </c>
      <c r="D11" s="22">
        <f t="shared" ref="D11:D21" si="2">H11+L11</f>
        <v>53</v>
      </c>
      <c r="E11" s="22">
        <f t="shared" ref="E11:E21" si="3">I11+M11</f>
        <v>54</v>
      </c>
      <c r="F11" s="23"/>
      <c r="G11" s="18">
        <f t="shared" ref="G11:G21" si="4">SUM(H11:I11)</f>
        <v>69</v>
      </c>
      <c r="H11" s="37">
        <v>39</v>
      </c>
      <c r="I11" s="37">
        <v>30</v>
      </c>
      <c r="J11" s="23"/>
      <c r="K11" s="18">
        <f t="shared" ref="K11:K21" si="5">SUM(L11:M11)</f>
        <v>38</v>
      </c>
      <c r="L11" s="37">
        <v>14</v>
      </c>
      <c r="M11" s="37">
        <v>24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40" x14ac:dyDescent="0.25">
      <c r="A12" s="20" t="s">
        <v>18</v>
      </c>
      <c r="B12" s="21"/>
      <c r="C12" s="18">
        <f t="shared" si="1"/>
        <v>1713</v>
      </c>
      <c r="D12" s="22">
        <f t="shared" si="2"/>
        <v>478</v>
      </c>
      <c r="E12" s="22">
        <f t="shared" si="3"/>
        <v>1235</v>
      </c>
      <c r="F12" s="23"/>
      <c r="G12" s="18">
        <f t="shared" si="4"/>
        <v>848</v>
      </c>
      <c r="H12" s="37">
        <v>282</v>
      </c>
      <c r="I12" s="37">
        <v>566</v>
      </c>
      <c r="J12" s="23"/>
      <c r="K12" s="18">
        <f t="shared" si="5"/>
        <v>865</v>
      </c>
      <c r="L12" s="37">
        <v>196</v>
      </c>
      <c r="M12" s="37">
        <v>669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1:40" x14ac:dyDescent="0.25">
      <c r="A13" s="20" t="s">
        <v>19</v>
      </c>
      <c r="B13" s="21"/>
      <c r="C13" s="18">
        <f t="shared" si="1"/>
        <v>4202</v>
      </c>
      <c r="D13" s="22">
        <f t="shared" si="2"/>
        <v>1062</v>
      </c>
      <c r="E13" s="22">
        <f t="shared" si="3"/>
        <v>3140</v>
      </c>
      <c r="F13" s="23"/>
      <c r="G13" s="18">
        <f t="shared" si="4"/>
        <v>1502</v>
      </c>
      <c r="H13" s="37">
        <v>450</v>
      </c>
      <c r="I13" s="38">
        <v>1052</v>
      </c>
      <c r="J13" s="23"/>
      <c r="K13" s="18">
        <f t="shared" si="5"/>
        <v>2700</v>
      </c>
      <c r="L13" s="39">
        <v>612</v>
      </c>
      <c r="M13" s="38">
        <v>2088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6"/>
      <c r="AB13" s="6"/>
      <c r="AC13" s="6"/>
      <c r="AD13" s="6"/>
      <c r="AE13" s="6"/>
      <c r="AF13" s="6"/>
      <c r="AG13" s="6"/>
      <c r="AH13" s="6"/>
      <c r="AI13" s="5"/>
      <c r="AJ13" s="6"/>
      <c r="AK13" s="6"/>
      <c r="AL13" s="6"/>
      <c r="AM13" s="5"/>
      <c r="AN13" s="6"/>
    </row>
    <row r="14" spans="1:40" x14ac:dyDescent="0.25">
      <c r="A14" s="20" t="s">
        <v>20</v>
      </c>
      <c r="B14" s="21"/>
      <c r="C14" s="18">
        <f t="shared" si="1"/>
        <v>5281</v>
      </c>
      <c r="D14" s="22">
        <f t="shared" si="2"/>
        <v>1675</v>
      </c>
      <c r="E14" s="22">
        <f t="shared" si="3"/>
        <v>3606</v>
      </c>
      <c r="F14" s="23"/>
      <c r="G14" s="18">
        <f t="shared" si="4"/>
        <v>1803</v>
      </c>
      <c r="H14" s="37">
        <v>596</v>
      </c>
      <c r="I14" s="38">
        <v>1207</v>
      </c>
      <c r="J14" s="23"/>
      <c r="K14" s="18">
        <f t="shared" si="5"/>
        <v>3478</v>
      </c>
      <c r="L14" s="38">
        <v>1079</v>
      </c>
      <c r="M14" s="38">
        <v>2399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40" x14ac:dyDescent="0.25">
      <c r="A15" s="20" t="s">
        <v>21</v>
      </c>
      <c r="B15" s="21"/>
      <c r="C15" s="18">
        <f t="shared" si="1"/>
        <v>4544</v>
      </c>
      <c r="D15" s="22">
        <f t="shared" si="2"/>
        <v>1725</v>
      </c>
      <c r="E15" s="22">
        <f t="shared" si="3"/>
        <v>2819</v>
      </c>
      <c r="F15" s="23"/>
      <c r="G15" s="18">
        <f t="shared" si="4"/>
        <v>1600</v>
      </c>
      <c r="H15" s="37">
        <v>625</v>
      </c>
      <c r="I15" s="37">
        <v>975</v>
      </c>
      <c r="J15" s="23"/>
      <c r="K15" s="18">
        <f t="shared" si="5"/>
        <v>2944</v>
      </c>
      <c r="L15" s="38">
        <v>1100</v>
      </c>
      <c r="M15" s="38">
        <v>1844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40" x14ac:dyDescent="0.25">
      <c r="A16" s="20" t="s">
        <v>22</v>
      </c>
      <c r="B16" s="21"/>
      <c r="C16" s="18">
        <f t="shared" si="1"/>
        <v>3381</v>
      </c>
      <c r="D16" s="22">
        <f t="shared" si="2"/>
        <v>1322</v>
      </c>
      <c r="E16" s="22">
        <f t="shared" si="3"/>
        <v>2059</v>
      </c>
      <c r="F16" s="23"/>
      <c r="G16" s="18">
        <f t="shared" si="4"/>
        <v>1336</v>
      </c>
      <c r="H16" s="37">
        <v>503</v>
      </c>
      <c r="I16" s="37">
        <v>833</v>
      </c>
      <c r="J16" s="23"/>
      <c r="K16" s="18">
        <f t="shared" si="5"/>
        <v>2045</v>
      </c>
      <c r="L16" s="37">
        <v>819</v>
      </c>
      <c r="M16" s="38">
        <v>1226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49" x14ac:dyDescent="0.25">
      <c r="A17" s="20" t="s">
        <v>23</v>
      </c>
      <c r="B17" s="21"/>
      <c r="C17" s="18">
        <f t="shared" si="1"/>
        <v>2811</v>
      </c>
      <c r="D17" s="22">
        <f t="shared" si="2"/>
        <v>1211</v>
      </c>
      <c r="E17" s="22">
        <f t="shared" si="3"/>
        <v>1600</v>
      </c>
      <c r="F17" s="23"/>
      <c r="G17" s="18">
        <f t="shared" si="4"/>
        <v>1106</v>
      </c>
      <c r="H17" s="37">
        <v>466</v>
      </c>
      <c r="I17" s="37">
        <v>640</v>
      </c>
      <c r="J17" s="23"/>
      <c r="K17" s="18">
        <f t="shared" si="5"/>
        <v>1705</v>
      </c>
      <c r="L17" s="37">
        <v>745</v>
      </c>
      <c r="M17" s="37">
        <v>960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49" x14ac:dyDescent="0.25">
      <c r="A18" s="20" t="s">
        <v>24</v>
      </c>
      <c r="B18" s="21"/>
      <c r="C18" s="18">
        <f t="shared" si="1"/>
        <v>2242</v>
      </c>
      <c r="D18" s="22">
        <f t="shared" si="2"/>
        <v>1110</v>
      </c>
      <c r="E18" s="22">
        <f t="shared" si="3"/>
        <v>1132</v>
      </c>
      <c r="F18" s="23"/>
      <c r="G18" s="18">
        <f t="shared" si="4"/>
        <v>869</v>
      </c>
      <c r="H18" s="37">
        <v>435</v>
      </c>
      <c r="I18" s="37">
        <v>434</v>
      </c>
      <c r="J18" s="23"/>
      <c r="K18" s="18">
        <f t="shared" si="5"/>
        <v>1373</v>
      </c>
      <c r="L18" s="37">
        <v>675</v>
      </c>
      <c r="M18" s="37">
        <v>698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49" x14ac:dyDescent="0.25">
      <c r="A19" s="20" t="s">
        <v>25</v>
      </c>
      <c r="B19" s="21"/>
      <c r="C19" s="18">
        <f t="shared" si="1"/>
        <v>1476</v>
      </c>
      <c r="D19" s="22">
        <f t="shared" si="2"/>
        <v>836</v>
      </c>
      <c r="E19" s="22">
        <f t="shared" si="3"/>
        <v>640</v>
      </c>
      <c r="F19" s="23"/>
      <c r="G19" s="18">
        <f t="shared" si="4"/>
        <v>578</v>
      </c>
      <c r="H19" s="37">
        <v>314</v>
      </c>
      <c r="I19" s="37">
        <v>264</v>
      </c>
      <c r="J19" s="23"/>
      <c r="K19" s="18">
        <f t="shared" si="5"/>
        <v>898</v>
      </c>
      <c r="L19" s="37">
        <v>522</v>
      </c>
      <c r="M19" s="37">
        <v>376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49" x14ac:dyDescent="0.25">
      <c r="A20" s="20" t="s">
        <v>26</v>
      </c>
      <c r="B20" s="21"/>
      <c r="C20" s="18">
        <f t="shared" si="1"/>
        <v>896</v>
      </c>
      <c r="D20" s="22">
        <f t="shared" si="2"/>
        <v>592</v>
      </c>
      <c r="E20" s="22">
        <f t="shared" si="3"/>
        <v>304</v>
      </c>
      <c r="F20" s="23"/>
      <c r="G20" s="18">
        <f t="shared" si="4"/>
        <v>345</v>
      </c>
      <c r="H20" s="37">
        <v>215</v>
      </c>
      <c r="I20" s="37">
        <v>130</v>
      </c>
      <c r="J20" s="23"/>
      <c r="K20" s="18">
        <f t="shared" si="5"/>
        <v>551</v>
      </c>
      <c r="L20" s="37">
        <v>377</v>
      </c>
      <c r="M20" s="37">
        <v>174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N20" s="45" t="s">
        <v>0</v>
      </c>
      <c r="AO20" s="45"/>
      <c r="AP20" s="45"/>
      <c r="AQ20" s="45" t="s">
        <v>1</v>
      </c>
      <c r="AR20" s="45"/>
      <c r="AS20" s="45"/>
      <c r="AT20" s="45" t="s">
        <v>13</v>
      </c>
      <c r="AU20" s="45"/>
      <c r="AV20" s="45"/>
    </row>
    <row r="21" spans="1:49" x14ac:dyDescent="0.25">
      <c r="A21" s="24" t="s">
        <v>27</v>
      </c>
      <c r="B21" s="25"/>
      <c r="C21" s="26">
        <f t="shared" si="1"/>
        <v>15</v>
      </c>
      <c r="D21" s="27">
        <f t="shared" si="2"/>
        <v>11</v>
      </c>
      <c r="E21" s="27">
        <f t="shared" si="3"/>
        <v>4</v>
      </c>
      <c r="F21" s="28"/>
      <c r="G21" s="26">
        <f t="shared" si="4"/>
        <v>11</v>
      </c>
      <c r="H21" s="40">
        <v>7</v>
      </c>
      <c r="I21" s="40">
        <v>4</v>
      </c>
      <c r="J21" s="28"/>
      <c r="K21" s="26">
        <f t="shared" si="5"/>
        <v>4</v>
      </c>
      <c r="L21" s="40">
        <v>4</v>
      </c>
      <c r="M21" s="40">
        <v>0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M21" s="12"/>
      <c r="AN21" s="3" t="s">
        <v>15</v>
      </c>
      <c r="AO21" s="3" t="s">
        <v>5</v>
      </c>
      <c r="AP21" s="3" t="s">
        <v>6</v>
      </c>
      <c r="AQ21" s="3" t="s">
        <v>15</v>
      </c>
      <c r="AR21" s="3" t="s">
        <v>5</v>
      </c>
      <c r="AS21" s="3" t="s">
        <v>6</v>
      </c>
      <c r="AT21" s="3" t="s">
        <v>15</v>
      </c>
      <c r="AU21" s="3" t="s">
        <v>5</v>
      </c>
      <c r="AV21" s="3" t="s">
        <v>6</v>
      </c>
    </row>
    <row r="22" spans="1:49" s="2" customFormat="1" ht="17.25" x14ac:dyDescent="0.25">
      <c r="A22" s="8" t="s">
        <v>7</v>
      </c>
      <c r="B22" s="29"/>
      <c r="C22" s="30"/>
      <c r="D22" s="30"/>
      <c r="E22" s="30"/>
      <c r="F22" s="30"/>
      <c r="G22" s="30"/>
      <c r="H22" s="30"/>
      <c r="I22" s="30"/>
      <c r="M22" s="9" t="s">
        <v>8</v>
      </c>
      <c r="AM22" s="1">
        <v>2018</v>
      </c>
      <c r="AN22" s="1">
        <v>23647</v>
      </c>
      <c r="AO22" s="1">
        <v>9122</v>
      </c>
      <c r="AP22" s="1">
        <v>14525</v>
      </c>
      <c r="AQ22" s="1">
        <v>8833</v>
      </c>
      <c r="AR22" s="1">
        <v>3791</v>
      </c>
      <c r="AS22" s="1">
        <v>5042</v>
      </c>
      <c r="AT22" s="1">
        <v>14814</v>
      </c>
      <c r="AU22" s="1">
        <v>5331</v>
      </c>
      <c r="AV22" s="1">
        <v>9483</v>
      </c>
      <c r="AW22" s="1"/>
    </row>
    <row r="23" spans="1:49" x14ac:dyDescent="0.25">
      <c r="AM23" s="1">
        <v>2019</v>
      </c>
      <c r="AN23" s="1">
        <v>25652</v>
      </c>
      <c r="AO23" s="1">
        <v>9573</v>
      </c>
      <c r="AP23" s="1">
        <v>16079</v>
      </c>
      <c r="AQ23" s="1">
        <v>9280</v>
      </c>
      <c r="AR23" s="1">
        <v>3678</v>
      </c>
      <c r="AS23" s="1">
        <v>5602</v>
      </c>
      <c r="AT23" s="1">
        <v>16372</v>
      </c>
      <c r="AU23" s="1">
        <v>5895</v>
      </c>
      <c r="AV23" s="1">
        <v>10477</v>
      </c>
    </row>
    <row r="24" spans="1:49" x14ac:dyDescent="0.25">
      <c r="AM24" s="1">
        <v>2020</v>
      </c>
      <c r="AN24" s="31">
        <f>C10</f>
        <v>26668</v>
      </c>
      <c r="AO24" s="31">
        <f>D10</f>
        <v>10075</v>
      </c>
      <c r="AP24" s="31">
        <f>E10</f>
        <v>16593</v>
      </c>
      <c r="AQ24" s="31">
        <f>G10</f>
        <v>10067</v>
      </c>
      <c r="AR24" s="31">
        <f>H10</f>
        <v>3932</v>
      </c>
      <c r="AS24" s="31">
        <f>I10</f>
        <v>6135</v>
      </c>
      <c r="AT24" s="31">
        <f>K10</f>
        <v>16601</v>
      </c>
      <c r="AU24" s="31">
        <f>L10</f>
        <v>6143</v>
      </c>
      <c r="AV24" s="31">
        <f>M10</f>
        <v>10458</v>
      </c>
    </row>
    <row r="25" spans="1:49" x14ac:dyDescent="0.25">
      <c r="AN25" s="31"/>
      <c r="AO25" s="31"/>
      <c r="AP25" s="31"/>
      <c r="AQ25" s="31"/>
      <c r="AR25" s="31"/>
      <c r="AS25" s="31"/>
      <c r="AT25" s="31"/>
      <c r="AU25" s="31"/>
      <c r="AV25" s="31"/>
    </row>
    <row r="27" spans="1:49" x14ac:dyDescent="0.25">
      <c r="C27" s="12" t="s">
        <v>14</v>
      </c>
      <c r="D27" s="1" t="s">
        <v>5</v>
      </c>
      <c r="E27" s="1" t="s">
        <v>6</v>
      </c>
    </row>
    <row r="28" spans="1:49" x14ac:dyDescent="0.25">
      <c r="C28" s="21" t="s">
        <v>17</v>
      </c>
      <c r="D28" s="32">
        <v>8</v>
      </c>
      <c r="E28" s="32">
        <v>12</v>
      </c>
    </row>
    <row r="29" spans="1:49" x14ac:dyDescent="0.25">
      <c r="C29" s="21" t="s">
        <v>18</v>
      </c>
      <c r="D29" s="32">
        <v>554</v>
      </c>
      <c r="E29" s="32">
        <v>736</v>
      </c>
    </row>
    <row r="30" spans="1:49" x14ac:dyDescent="0.25">
      <c r="C30" s="21" t="s">
        <v>19</v>
      </c>
      <c r="D30" s="32">
        <v>1534</v>
      </c>
      <c r="E30" s="32">
        <v>2232</v>
      </c>
    </row>
    <row r="31" spans="1:49" x14ac:dyDescent="0.25">
      <c r="C31" s="21" t="s">
        <v>20</v>
      </c>
      <c r="D31" s="32">
        <v>1451</v>
      </c>
      <c r="E31" s="32">
        <v>1873</v>
      </c>
    </row>
    <row r="32" spans="1:49" x14ac:dyDescent="0.25">
      <c r="C32" s="21" t="s">
        <v>21</v>
      </c>
      <c r="D32" s="32">
        <v>1208</v>
      </c>
      <c r="E32" s="32">
        <v>1440</v>
      </c>
    </row>
    <row r="33" spans="3:5" x14ac:dyDescent="0.25">
      <c r="C33" s="21" t="s">
        <v>22</v>
      </c>
      <c r="D33" s="32">
        <v>1108</v>
      </c>
      <c r="E33" s="32">
        <v>1123</v>
      </c>
    </row>
    <row r="34" spans="3:5" x14ac:dyDescent="0.25">
      <c r="C34" s="21" t="s">
        <v>23</v>
      </c>
      <c r="D34" s="32">
        <v>954</v>
      </c>
      <c r="E34" s="32">
        <v>776</v>
      </c>
    </row>
    <row r="35" spans="3:5" x14ac:dyDescent="0.25">
      <c r="C35" s="21" t="s">
        <v>24</v>
      </c>
      <c r="D35" s="32">
        <v>781</v>
      </c>
      <c r="E35" s="32">
        <v>448</v>
      </c>
    </row>
    <row r="36" spans="3:5" x14ac:dyDescent="0.25">
      <c r="C36" s="21" t="s">
        <v>25</v>
      </c>
      <c r="D36" s="32">
        <v>611</v>
      </c>
      <c r="E36" s="32">
        <v>282</v>
      </c>
    </row>
    <row r="37" spans="3:5" x14ac:dyDescent="0.25">
      <c r="C37" s="21" t="s">
        <v>26</v>
      </c>
      <c r="D37" s="32">
        <v>327</v>
      </c>
      <c r="E37" s="32">
        <v>114</v>
      </c>
    </row>
    <row r="38" spans="3:5" x14ac:dyDescent="0.25">
      <c r="C38" s="25" t="s">
        <v>27</v>
      </c>
      <c r="D38" s="33">
        <v>67</v>
      </c>
      <c r="E38" s="33">
        <v>18</v>
      </c>
    </row>
    <row r="49" spans="15:39" x14ac:dyDescent="0.25"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</row>
    <row r="50" spans="15:39" x14ac:dyDescent="0.25"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</row>
    <row r="51" spans="15:39" x14ac:dyDescent="0.25"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</row>
    <row r="52" spans="15:39" x14ac:dyDescent="0.25"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</row>
    <row r="53" spans="15:39" x14ac:dyDescent="0.25"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</row>
    <row r="54" spans="15:39" x14ac:dyDescent="0.25"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</row>
    <row r="55" spans="15:39" x14ac:dyDescent="0.25"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</row>
    <row r="56" spans="15:39" x14ac:dyDescent="0.25"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</row>
    <row r="57" spans="15:39" x14ac:dyDescent="0.25"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</row>
  </sheetData>
  <mergeCells count="14">
    <mergeCell ref="A7:A8"/>
    <mergeCell ref="AN20:AP20"/>
    <mergeCell ref="AQ20:AS20"/>
    <mergeCell ref="AT20:AV20"/>
    <mergeCell ref="A2:M2"/>
    <mergeCell ref="A3:M3"/>
    <mergeCell ref="A4:N4"/>
    <mergeCell ref="A5:A6"/>
    <mergeCell ref="C5:E5"/>
    <mergeCell ref="G5:I5"/>
    <mergeCell ref="K5:M5"/>
    <mergeCell ref="C6:E6"/>
    <mergeCell ref="G6:I6"/>
    <mergeCell ref="K6:M6"/>
  </mergeCells>
  <pageMargins left="0.7" right="0.7" top="0.75" bottom="0.75" header="0.3" footer="0.3"/>
  <pageSetup paperSize="9" scale="83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</vt:lpstr>
      <vt:lpstr>'5.2'!Print_Area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2021-07-15T06:06:37Z</cp:lastPrinted>
  <dcterms:created xsi:type="dcterms:W3CDTF">2019-06-03T04:17:39Z</dcterms:created>
  <dcterms:modified xsi:type="dcterms:W3CDTF">2021-07-15T06:06:47Z</dcterms:modified>
</cp:coreProperties>
</file>