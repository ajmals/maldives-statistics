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12" sheetId="22" r:id="rId1"/>
  </sheets>
  <externalReferences>
    <externalReference r:id="rId2"/>
  </externalReferences>
  <definedNames>
    <definedName name="_xlnm._FilterDatabase" localSheetId="0" hidden="1">'5.12'!$AL$20:$AN$20</definedName>
    <definedName name="_xlnm.Print_Area" localSheetId="0">'5.12'!$A$1:$F$55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2" l="1"/>
  <c r="E10" i="22" s="1"/>
  <c r="C5" i="22"/>
  <c r="D5" i="22"/>
  <c r="AQ50" i="22"/>
  <c r="AP50" i="22"/>
  <c r="AQ49" i="22"/>
  <c r="AP49" i="22"/>
  <c r="AQ48" i="22"/>
  <c r="AP48" i="22"/>
  <c r="AQ47" i="22"/>
  <c r="AP47" i="22"/>
  <c r="AQ46" i="22"/>
  <c r="AP46" i="22"/>
  <c r="AQ45" i="22"/>
  <c r="AP45" i="22"/>
  <c r="AQ44" i="22"/>
  <c r="AP44" i="22"/>
  <c r="AQ43" i="22"/>
  <c r="AP43" i="22"/>
  <c r="AQ42" i="22"/>
  <c r="AP42" i="22"/>
  <c r="AQ41" i="22"/>
  <c r="AP41" i="22"/>
  <c r="AQ40" i="22"/>
  <c r="AP40" i="22"/>
  <c r="AQ39" i="22"/>
  <c r="AP39" i="22"/>
  <c r="AQ38" i="22"/>
  <c r="AP38" i="22"/>
  <c r="AQ37" i="22"/>
  <c r="AP37" i="22"/>
  <c r="AQ36" i="22"/>
  <c r="AP36" i="22"/>
  <c r="AQ35" i="22"/>
  <c r="AP35" i="22"/>
  <c r="AQ34" i="22"/>
  <c r="AP34" i="22"/>
  <c r="AQ33" i="22"/>
  <c r="AP33" i="22"/>
  <c r="AQ32" i="22"/>
  <c r="AP32" i="22"/>
  <c r="E20" i="22" l="1"/>
  <c r="E14" i="22"/>
  <c r="E18" i="22"/>
  <c r="E22" i="22"/>
  <c r="E16" i="22"/>
  <c r="E7" i="22"/>
  <c r="E11" i="22"/>
  <c r="E15" i="22"/>
  <c r="E19" i="22"/>
  <c r="E23" i="22"/>
  <c r="E12" i="22"/>
  <c r="E24" i="22"/>
  <c r="E8" i="22"/>
  <c r="E9" i="22"/>
  <c r="E13" i="22"/>
  <c r="E17" i="22"/>
  <c r="E21" i="22"/>
  <c r="E6" i="22"/>
  <c r="E5" i="22"/>
</calcChain>
</file>

<file path=xl/sharedStrings.xml><?xml version="1.0" encoding="utf-8"?>
<sst xmlns="http://schemas.openxmlformats.org/spreadsheetml/2006/main" count="84" uniqueCount="53">
  <si>
    <t>Male</t>
  </si>
  <si>
    <t>Female</t>
  </si>
  <si>
    <t>Total</t>
  </si>
  <si>
    <t>ޖުމްލަ</t>
  </si>
  <si>
    <t xml:space="preserve">Total </t>
  </si>
  <si>
    <t>Grand Total</t>
  </si>
  <si>
    <t>Agriculture</t>
  </si>
  <si>
    <t>Company Operators</t>
  </si>
  <si>
    <t>Construction</t>
  </si>
  <si>
    <t>Domestic</t>
  </si>
  <si>
    <t>Education</t>
  </si>
  <si>
    <t>Electricity, gas &amp; water supply</t>
  </si>
  <si>
    <t>Financial intermediation</t>
  </si>
  <si>
    <t>Fishery</t>
  </si>
  <si>
    <t>Gov Work Type</t>
  </si>
  <si>
    <t>Health &amp; Social Work</t>
  </si>
  <si>
    <t>Hotels &amp; Restaurants</t>
  </si>
  <si>
    <t>Manufacturing</t>
  </si>
  <si>
    <t>Other Community, Social and Personal Services</t>
  </si>
  <si>
    <t>Real Estate, Renting &amp; Business Activities</t>
  </si>
  <si>
    <t>Recycling</t>
  </si>
  <si>
    <t>Tourism</t>
  </si>
  <si>
    <t>Transport, Storage &amp; Communication</t>
  </si>
  <si>
    <t>Whole sale &amp; retail trade; repair of motor vehicles, motor cycles &amp; personal  household goods</t>
  </si>
  <si>
    <t xml:space="preserve">Female </t>
  </si>
  <si>
    <t>% share</t>
  </si>
  <si>
    <t>Others</t>
  </si>
  <si>
    <t>Source: Ministry of Economic Development</t>
  </si>
  <si>
    <t>Top five industry - Expatriate Employment by Nationality</t>
  </si>
  <si>
    <t xml:space="preserve"> Industry</t>
  </si>
  <si>
    <t>ދާއިރާ</t>
  </si>
  <si>
    <t>cnurukctWrWmiA</t>
  </si>
  <si>
    <t>cnwkirevurutwf</t>
  </si>
  <si>
    <t>cTcnerOTcser idwa WToh</t>
  </si>
  <si>
    <t xml:space="preserve">ގަނޑުކޮށް އަދި ވަކިން މުދާޒިއްކުން؛ އިންޖީނުލީ އެއްގަމު އުޅަދުފަހަރާއި ގޭގައި ހިފާގެންގުޅޭ ސާމާނު މަރާމާތުގެ ޚިދްމަތް  </t>
  </si>
  <si>
    <t>cnudcaefuaitekwt</t>
  </si>
  <si>
    <t xml:space="preserve">ctwmcdiK ItWz idwa IaWmitcjia އެހެނިހެން </t>
  </si>
  <si>
    <t>ޑޮމެސްޓިކް</t>
  </si>
  <si>
    <t>ސަރުކާރު</t>
  </si>
  <si>
    <t>utWlwsWvum idwa cnuTcaeheleb cSokWkcawrWdum ,iaWrutwfurutwd</t>
  </si>
  <si>
    <t>ސިއްޚި އަދި އިޖްތިމާޢީ</t>
  </si>
  <si>
    <t>cnwkirevuDnwd</t>
  </si>
  <si>
    <t>irWfwyiv egutWrWmia iaWrodegitOg</t>
  </si>
  <si>
    <t>WriaWd ImIluAwt</t>
  </si>
  <si>
    <t>cnef idwa csEgiaWTcnwrwk</t>
  </si>
  <si>
    <t>cnwkirevcswm</t>
  </si>
  <si>
    <t>ފައިނޭންޝަލް ޚިދުމަތްތައް</t>
  </si>
  <si>
    <t>ކޮމްޕެނީ އޮޕަރޭޓަރސް</t>
  </si>
  <si>
    <t>ރީސައިކަލްކުރުން</t>
  </si>
  <si>
    <t xml:space="preserve">އެހެނިހެން </t>
  </si>
  <si>
    <t>މަޢުލޫމާތު ފޯރުކޯށްދެއްވީ: މިނިސްޓްރީ އޮފް އިކޮނޮމިކް ޑިވެލޮޕްމަންޓް</t>
  </si>
  <si>
    <t>Table 5.12: Expatriate Employment by Industry and Sex, 2020</t>
  </si>
  <si>
    <t>ތާވަލު 5.12: ރާއްޖޭގައި ބިދޭސީ މަސައްކަތްތެރިން މަސައްކަތްކުރާ ދާއިރާއާއި ޖިންސު،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</si>
</sst>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70" formatCode="0.0%"/>
    <numFmt numFmtId="171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name val="A_Faseyha"/>
    </font>
    <font>
      <sz val="9"/>
      <color theme="1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0" fontId="3" fillId="0" borderId="0"/>
    <xf numFmtId="0" fontId="4" fillId="0" borderId="0"/>
    <xf numFmtId="164" fontId="4" fillId="0" borderId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3" fontId="6" fillId="2" borderId="0" xfId="4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0" fillId="2" borderId="1" xfId="0" applyFill="1" applyBorder="1" applyAlignment="1">
      <alignment vertical="center"/>
    </xf>
    <xf numFmtId="9" fontId="0" fillId="2" borderId="0" xfId="2" applyFont="1" applyFill="1"/>
    <xf numFmtId="0" fontId="7" fillId="2" borderId="0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170" fontId="7" fillId="2" borderId="0" xfId="2" applyNumberFormat="1" applyFont="1" applyFill="1" applyBorder="1" applyAlignment="1"/>
    <xf numFmtId="0" fontId="2" fillId="2" borderId="0" xfId="0" applyFont="1" applyFill="1" applyBorder="1" applyAlignment="1">
      <alignment vertical="center" wrapText="1"/>
    </xf>
    <xf numFmtId="37" fontId="2" fillId="2" borderId="0" xfId="1" applyNumberFormat="1" applyFont="1" applyFill="1" applyBorder="1" applyAlignment="1">
      <alignment horizontal="right" vertical="center"/>
    </xf>
    <xf numFmtId="164" fontId="14" fillId="2" borderId="0" xfId="3" applyNumberFormat="1" applyFont="1" applyFill="1" applyBorder="1" applyAlignment="1" applyProtection="1">
      <alignment horizontal="right" vertical="center" indent="3"/>
    </xf>
    <xf numFmtId="171" fontId="0" fillId="2" borderId="0" xfId="1" applyNumberFormat="1" applyFont="1" applyFill="1" applyAlignment="1">
      <alignment horizontal="left"/>
    </xf>
    <xf numFmtId="171" fontId="0" fillId="2" borderId="0" xfId="1" applyNumberFormat="1" applyFont="1" applyFill="1"/>
    <xf numFmtId="3" fontId="0" fillId="2" borderId="0" xfId="0" applyNumberFormat="1" applyFill="1" applyBorder="1" applyAlignment="1">
      <alignment vertical="center"/>
    </xf>
    <xf numFmtId="170" fontId="0" fillId="2" borderId="0" xfId="2" applyNumberFormat="1" applyFont="1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164" fontId="12" fillId="2" borderId="0" xfId="3" applyNumberFormat="1" applyFont="1" applyFill="1" applyBorder="1" applyAlignment="1" applyProtection="1">
      <alignment horizontal="right" vertical="center" indent="3"/>
    </xf>
    <xf numFmtId="170" fontId="0" fillId="2" borderId="0" xfId="2" applyNumberFormat="1" applyFont="1" applyFill="1"/>
    <xf numFmtId="164" fontId="12" fillId="2" borderId="0" xfId="11" applyNumberFormat="1" applyFont="1" applyFill="1" applyBorder="1" applyAlignment="1" applyProtection="1">
      <alignment horizontal="right" vertical="center" indent="3"/>
    </xf>
    <xf numFmtId="164" fontId="14" fillId="2" borderId="0" xfId="12" applyFont="1" applyFill="1" applyBorder="1" applyAlignment="1">
      <alignment horizontal="right" vertical="center" indent="3"/>
    </xf>
    <xf numFmtId="170" fontId="12" fillId="2" borderId="0" xfId="2" applyNumberFormat="1" applyFont="1" applyFill="1" applyBorder="1" applyAlignment="1">
      <alignment horizontal="right" vertical="center" indent="3"/>
    </xf>
    <xf numFmtId="3" fontId="0" fillId="2" borderId="1" xfId="0" applyNumberFormat="1" applyFill="1" applyBorder="1" applyAlignment="1">
      <alignment vertical="center"/>
    </xf>
    <xf numFmtId="170" fontId="0" fillId="2" borderId="1" xfId="2" applyNumberFormat="1" applyFont="1" applyFill="1" applyBorder="1" applyAlignment="1">
      <alignment vertical="center"/>
    </xf>
    <xf numFmtId="170" fontId="12" fillId="2" borderId="1" xfId="2" applyNumberFormat="1" applyFont="1" applyFill="1" applyBorder="1" applyAlignment="1">
      <alignment horizontal="right" vertical="center" indent="3"/>
    </xf>
    <xf numFmtId="0" fontId="13" fillId="2" borderId="0" xfId="0" applyFont="1" applyFill="1" applyAlignment="1">
      <alignment vertical="center"/>
    </xf>
    <xf numFmtId="164" fontId="16" fillId="2" borderId="0" xfId="12" applyFont="1" applyFill="1" applyBorder="1" applyAlignment="1">
      <alignment horizontal="right" vertical="center" indent="3"/>
    </xf>
    <xf numFmtId="0" fontId="15" fillId="2" borderId="0" xfId="0" applyFont="1" applyFill="1" applyBorder="1" applyAlignment="1">
      <alignment horizontal="right" vertical="center" wrapText="1" indent="3"/>
    </xf>
    <xf numFmtId="164" fontId="6" fillId="2" borderId="0" xfId="3" applyNumberFormat="1" applyFont="1" applyFill="1" applyBorder="1" applyAlignment="1" applyProtection="1">
      <alignment horizontal="right" vertical="center" indent="3"/>
    </xf>
    <xf numFmtId="164" fontId="8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0" fontId="2" fillId="2" borderId="0" xfId="2" applyNumberFormat="1" applyFont="1" applyFill="1" applyAlignment="1">
      <alignment vertical="center"/>
    </xf>
  </cellXfs>
  <cellStyles count="13">
    <cellStyle name="1" xfId="10"/>
    <cellStyle name="Comma" xfId="1" builtinId="3"/>
    <cellStyle name="Comma 3" xfId="8"/>
    <cellStyle name="Normal" xfId="0" builtinId="0"/>
    <cellStyle name="Normal 11" xfId="9"/>
    <cellStyle name="Normal 2" xfId="5"/>
    <cellStyle name="Normal 4" xfId="6"/>
    <cellStyle name="Normal 5" xfId="7"/>
    <cellStyle name="Normal_II-16(Populaion)" xfId="4"/>
    <cellStyle name="Normal_Population - II 2" xfId="3"/>
    <cellStyle name="Normal_Population - II 4" xfId="11"/>
    <cellStyle name="Normal_XII-1 (Commerce)" xfId="12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5.14: Percentage</a:t>
            </a:r>
            <a:r>
              <a:rPr lang="dv-MV" sz="1100" b="1" i="0" baseline="0">
                <a:effectLst/>
              </a:rPr>
              <a:t> </a:t>
            </a:r>
            <a:r>
              <a:rPr lang="en-US" sz="1100" b="1" i="0" baseline="0">
                <a:effectLst/>
              </a:rPr>
              <a:t>share  of Expatriate emplyment by industry and sex,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4438339570851663"/>
          <c:y val="5.721987363998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636635934077813E-2"/>
          <c:y val="0.16708333333333336"/>
          <c:w val="0.91280784482645927"/>
          <c:h val="0.33849154272382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'5.12'!$AP$31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'5.12'!$AK$32:$AK$50</c:f>
              <c:strCache>
                <c:ptCount val="19"/>
                <c:pt idx="0">
                  <c:v>Construction</c:v>
                </c:pt>
                <c:pt idx="1">
                  <c:v>Tourism</c:v>
                </c:pt>
                <c:pt idx="2">
                  <c:v>Whole sale &amp; retail trade; repair of motor vehicles, motor cycles &amp; personal  household goods</c:v>
                </c:pt>
                <c:pt idx="3">
                  <c:v>Hotels &amp; Restaurants</c:v>
                </c:pt>
                <c:pt idx="4">
                  <c:v>Manufacturing</c:v>
                </c:pt>
                <c:pt idx="5">
                  <c:v>Other Community, Social and Personal Services</c:v>
                </c:pt>
                <c:pt idx="6">
                  <c:v>Domestic</c:v>
                </c:pt>
                <c:pt idx="7">
                  <c:v>Gov Work Type</c:v>
                </c:pt>
                <c:pt idx="8">
                  <c:v>Transport, Storage &amp; Communication</c:v>
                </c:pt>
                <c:pt idx="9">
                  <c:v>Health &amp; Social Work</c:v>
                </c:pt>
                <c:pt idx="10">
                  <c:v>Education</c:v>
                </c:pt>
                <c:pt idx="11">
                  <c:v>Agriculture</c:v>
                </c:pt>
                <c:pt idx="12">
                  <c:v>Real Estate, Renting &amp; Business Activities</c:v>
                </c:pt>
                <c:pt idx="13">
                  <c:v>Electricity, gas &amp; water supply</c:v>
                </c:pt>
                <c:pt idx="14">
                  <c:v>Fishery</c:v>
                </c:pt>
                <c:pt idx="15">
                  <c:v>Financial intermediation</c:v>
                </c:pt>
                <c:pt idx="16">
                  <c:v>Company Operators</c:v>
                </c:pt>
                <c:pt idx="17">
                  <c:v>Recycling</c:v>
                </c:pt>
                <c:pt idx="18">
                  <c:v>Others</c:v>
                </c:pt>
              </c:strCache>
            </c:strRef>
          </c:cat>
          <c:val>
            <c:numRef>
              <c:f>'5.12'!$AP$32:$AP$50</c:f>
              <c:numCache>
                <c:formatCode>General</c:formatCode>
                <c:ptCount val="19"/>
                <c:pt idx="0">
                  <c:v>99.488246863602512</c:v>
                </c:pt>
                <c:pt idx="1">
                  <c:v>86.152975877813248</c:v>
                </c:pt>
                <c:pt idx="2">
                  <c:v>96.595174262734588</c:v>
                </c:pt>
                <c:pt idx="3">
                  <c:v>96.773277819833453</c:v>
                </c:pt>
                <c:pt idx="4">
                  <c:v>95.231316725978644</c:v>
                </c:pt>
                <c:pt idx="5">
                  <c:v>92.869107441971764</c:v>
                </c:pt>
                <c:pt idx="6">
                  <c:v>61.712944857254591</c:v>
                </c:pt>
                <c:pt idx="7">
                  <c:v>72.864812103465098</c:v>
                </c:pt>
                <c:pt idx="8">
                  <c:v>93.77218457566957</c:v>
                </c:pt>
                <c:pt idx="9">
                  <c:v>60.884014622798276</c:v>
                </c:pt>
                <c:pt idx="10">
                  <c:v>64.395822973644954</c:v>
                </c:pt>
                <c:pt idx="11">
                  <c:v>98.145604395604394</c:v>
                </c:pt>
                <c:pt idx="12">
                  <c:v>96.701388888888886</c:v>
                </c:pt>
                <c:pt idx="13">
                  <c:v>99.149453219927096</c:v>
                </c:pt>
                <c:pt idx="14">
                  <c:v>95.02262443438913</c:v>
                </c:pt>
                <c:pt idx="15">
                  <c:v>92.10526315789474</c:v>
                </c:pt>
                <c:pt idx="16">
                  <c:v>68.656716417910445</c:v>
                </c:pt>
                <c:pt idx="17">
                  <c:v>100</c:v>
                </c:pt>
                <c:pt idx="18">
                  <c:v>91.489361702127653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0-4B98-A0D5-D286846A8AF3}"/>
            </c:ext>
          </c:extLst>
        </c:ser>
        <c:ser>
          <c:idx val="1"/>
          <c:order val="1"/>
          <c:tx>
            <c:strRef>
              <c:f>'5.12'!$AQ$31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'5.12'!$AK$32:$AK$50</c:f>
              <c:strCache>
                <c:ptCount val="19"/>
                <c:pt idx="0">
                  <c:v>Construction</c:v>
                </c:pt>
                <c:pt idx="1">
                  <c:v>Tourism</c:v>
                </c:pt>
                <c:pt idx="2">
                  <c:v>Whole sale &amp; retail trade; repair of motor vehicles, motor cycles &amp; personal  household goods</c:v>
                </c:pt>
                <c:pt idx="3">
                  <c:v>Hotels &amp; Restaurants</c:v>
                </c:pt>
                <c:pt idx="4">
                  <c:v>Manufacturing</c:v>
                </c:pt>
                <c:pt idx="5">
                  <c:v>Other Community, Social and Personal Services</c:v>
                </c:pt>
                <c:pt idx="6">
                  <c:v>Domestic</c:v>
                </c:pt>
                <c:pt idx="7">
                  <c:v>Gov Work Type</c:v>
                </c:pt>
                <c:pt idx="8">
                  <c:v>Transport, Storage &amp; Communication</c:v>
                </c:pt>
                <c:pt idx="9">
                  <c:v>Health &amp; Social Work</c:v>
                </c:pt>
                <c:pt idx="10">
                  <c:v>Education</c:v>
                </c:pt>
                <c:pt idx="11">
                  <c:v>Agriculture</c:v>
                </c:pt>
                <c:pt idx="12">
                  <c:v>Real Estate, Renting &amp; Business Activities</c:v>
                </c:pt>
                <c:pt idx="13">
                  <c:v>Electricity, gas &amp; water supply</c:v>
                </c:pt>
                <c:pt idx="14">
                  <c:v>Fishery</c:v>
                </c:pt>
                <c:pt idx="15">
                  <c:v>Financial intermediation</c:v>
                </c:pt>
                <c:pt idx="16">
                  <c:v>Company Operators</c:v>
                </c:pt>
                <c:pt idx="17">
                  <c:v>Recycling</c:v>
                </c:pt>
                <c:pt idx="18">
                  <c:v>Others</c:v>
                </c:pt>
              </c:strCache>
            </c:strRef>
          </c:cat>
          <c:val>
            <c:numRef>
              <c:f>'5.12'!$AQ$32:$AQ$50</c:f>
              <c:numCache>
                <c:formatCode>General</c:formatCode>
                <c:ptCount val="19"/>
                <c:pt idx="0">
                  <c:v>0.5117531363974871</c:v>
                </c:pt>
                <c:pt idx="1">
                  <c:v>13.847024122186754</c:v>
                </c:pt>
                <c:pt idx="2">
                  <c:v>3.4048257372654156</c:v>
                </c:pt>
                <c:pt idx="3">
                  <c:v>3.2267221801665404</c:v>
                </c:pt>
                <c:pt idx="4">
                  <c:v>4.7686832740213525</c:v>
                </c:pt>
                <c:pt idx="5">
                  <c:v>7.1308925580282363</c:v>
                </c:pt>
                <c:pt idx="6">
                  <c:v>38.287055142745402</c:v>
                </c:pt>
                <c:pt idx="7">
                  <c:v>27.135187896534894</c:v>
                </c:pt>
                <c:pt idx="8">
                  <c:v>6.2278154243304291</c:v>
                </c:pt>
                <c:pt idx="9">
                  <c:v>39.115985377201731</c:v>
                </c:pt>
                <c:pt idx="10">
                  <c:v>35.604177026355046</c:v>
                </c:pt>
                <c:pt idx="11">
                  <c:v>1.8543956043956045</c:v>
                </c:pt>
                <c:pt idx="12">
                  <c:v>3.2986111111111112</c:v>
                </c:pt>
                <c:pt idx="13">
                  <c:v>0.85054678007290396</c:v>
                </c:pt>
                <c:pt idx="14">
                  <c:v>4.9773755656108598</c:v>
                </c:pt>
                <c:pt idx="15">
                  <c:v>7.8947368421052628</c:v>
                </c:pt>
                <c:pt idx="16">
                  <c:v>31.343283582089555</c:v>
                </c:pt>
                <c:pt idx="17">
                  <c:v>0</c:v>
                </c:pt>
                <c:pt idx="18">
                  <c:v>8.5106382978723403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0-4B98-A0D5-D286846A8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9879760"/>
        <c:axId val="549876232"/>
      </c:barChart>
      <c:catAx>
        <c:axId val="5498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6232"/>
        <c:crosses val="autoZero"/>
        <c:auto val="1"/>
        <c:lblAlgn val="ctr"/>
        <c:lblOffset val="100"/>
        <c:noMultiLvlLbl val="0"/>
      </c:catAx>
      <c:valAx>
        <c:axId val="5498762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EAFAFA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9760"/>
        <c:crosses val="autoZero"/>
        <c:crossBetween val="between"/>
      </c:valAx>
      <c:spPr>
        <a:solidFill>
          <a:srgbClr val="EAFAFA"/>
        </a:solidFill>
        <a:ln>
          <a:solidFill>
            <a:srgbClr val="EBD7C3"/>
          </a:solidFill>
        </a:ln>
        <a:effectLst/>
      </c:spPr>
    </c:plotArea>
    <c:legend>
      <c:legendPos val="b"/>
      <c:layout>
        <c:manualLayout>
          <c:xMode val="edge"/>
          <c:yMode val="edge"/>
          <c:x val="2.3240322257836051E-3"/>
          <c:y val="0.85815953837438785"/>
          <c:w val="0.15564699390531495"/>
          <c:h val="7.407814509104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Figure 5.15: Top five industry</a:t>
            </a:r>
            <a:r>
              <a:rPr lang="en-US" sz="1100" b="1" baseline="0"/>
              <a:t> - </a:t>
            </a:r>
            <a:r>
              <a:rPr lang="en-US" sz="1100" b="1"/>
              <a:t>Expatriate Employment,</a:t>
            </a:r>
            <a:r>
              <a:rPr lang="en-US" sz="1100" b="1" baseline="0"/>
              <a:t>  2020</a:t>
            </a:r>
            <a:r>
              <a:rPr lang="en-US" sz="1100" b="1"/>
              <a:t> </a:t>
            </a:r>
          </a:p>
        </c:rich>
      </c:tx>
      <c:layout>
        <c:manualLayout>
          <c:xMode val="edge"/>
          <c:yMode val="edge"/>
          <c:x val="0.2958680816805742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569264912048483"/>
          <c:y val="0.14856481481481484"/>
          <c:w val="0.6273047313459614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'5.12'!$AL$20:$AL$24</c:f>
              <c:strCache>
                <c:ptCount val="5"/>
                <c:pt idx="0">
                  <c:v>Manufacturing</c:v>
                </c:pt>
                <c:pt idx="1">
                  <c:v>Hotels &amp; Restaurants</c:v>
                </c:pt>
                <c:pt idx="2">
                  <c:v>Whole sale &amp; retail trade; repair of motor vehicles, motor cycles &amp; personal  household goods</c:v>
                </c:pt>
                <c:pt idx="3">
                  <c:v>Tourism</c:v>
                </c:pt>
                <c:pt idx="4">
                  <c:v>Construction</c:v>
                </c:pt>
              </c:strCache>
            </c:strRef>
          </c:cat>
          <c:val>
            <c:numRef>
              <c:f>'5.12'!$AM$20:$AM$24</c:f>
              <c:numCache>
                <c:formatCode>_-* #,##0_-;\-* #,##0_-;_-* "-"??_-;_-@_-</c:formatCode>
                <c:ptCount val="5"/>
                <c:pt idx="0">
                  <c:v>9835</c:v>
                </c:pt>
                <c:pt idx="1">
                  <c:v>10568</c:v>
                </c:pt>
                <c:pt idx="2">
                  <c:v>11190</c:v>
                </c:pt>
                <c:pt idx="3">
                  <c:v>24749</c:v>
                </c:pt>
                <c:pt idx="4">
                  <c:v>52369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9-4145-9B87-5467B2DB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9878584"/>
        <c:axId val="549876624"/>
      </c:barChart>
      <c:valAx>
        <c:axId val="549876624"/>
        <c:scaling>
          <c:orientation val="minMax"/>
          <c:max val="70000"/>
        </c:scaling>
        <c:delete val="0"/>
        <c:axPos val="b"/>
        <c:majorGridlines>
          <c:spPr>
            <a:ln w="9525" cap="flat" cmpd="sng" algn="ctr">
              <a:solidFill>
                <a:srgbClr val="B2EDEC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8584"/>
        <c:crosses val="autoZero"/>
        <c:crossBetween val="between"/>
      </c:valAx>
      <c:catAx>
        <c:axId val="54987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6624"/>
        <c:crosses val="autoZero"/>
        <c:auto val="1"/>
        <c:lblAlgn val="ctr"/>
        <c:lblOffset val="100"/>
        <c:noMultiLvlLbl val="0"/>
      </c:catAx>
      <c:spPr>
        <a:solidFill>
          <a:srgbClr val="EAFAFA"/>
        </a:solidFill>
        <a:ln>
          <a:solidFill>
            <a:srgbClr val="33CCCC">
              <a:alpha val="99000"/>
            </a:srgb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869785</xdr:colOff>
      <xdr:row>24</xdr:row>
      <xdr:rowOff>209550</xdr:rowOff>
    </xdr:from>
    <xdr:to>
      <xdr:col>5</xdr:col>
      <xdr:colOff>2200275</xdr:colOff>
      <xdr:row>39</xdr:row>
      <xdr:rowOff>152463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849984</xdr:colOff>
      <xdr:row>40</xdr:row>
      <xdr:rowOff>77329</xdr:rowOff>
    </xdr:from>
    <xdr:to>
      <xdr:col>5</xdr:col>
      <xdr:colOff>2209799</xdr:colOff>
      <xdr:row>54</xdr:row>
      <xdr:rowOff>108326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69"/>
  <sheetViews>
    <sheetView tabSelected="1" zoomScale="96" zoomScaleNormal="96" workbookViewId="0">
      <selection activeCell="E5" sqref="E5"/>
    </sheetView>
  </sheetViews>
  <sheetFormatPr defaultRowHeight="15" x14ac:dyDescent="0.25"/>
  <cols>
    <col min="1" max="1" width="50.85546875" style="1" customWidth="1"/>
    <col min="2" max="4" width="11.140625" style="1" customWidth="1"/>
    <col min="5" max="5" width="10.140625" style="1" customWidth="1"/>
    <col min="6" max="6" width="49.140625" style="1" customWidth="1"/>
    <col min="7" max="7" width="46.85546875" style="1" customWidth="1"/>
    <col min="8" max="8" width="9.140625" style="1"/>
    <col min="9" max="20" width="46.140625" style="13" customWidth="1"/>
    <col min="21" max="21" width="10.140625" style="1" bestFit="1" customWidth="1"/>
    <col min="22" max="23" width="11.140625" style="1" bestFit="1" customWidth="1"/>
    <col min="24" max="16384" width="9.140625" style="1"/>
  </cols>
  <sheetData>
    <row r="1" spans="1:24" ht="21" x14ac:dyDescent="0.25">
      <c r="A1" s="38" t="s">
        <v>52</v>
      </c>
      <c r="B1" s="38"/>
      <c r="C1" s="38"/>
      <c r="D1" s="38"/>
      <c r="E1" s="38"/>
      <c r="F1" s="38"/>
      <c r="G1" s="12"/>
    </row>
    <row r="2" spans="1:24" ht="15.75" x14ac:dyDescent="0.25">
      <c r="A2" s="39" t="s">
        <v>51</v>
      </c>
      <c r="B2" s="39"/>
      <c r="C2" s="39"/>
      <c r="D2" s="39"/>
      <c r="E2" s="39"/>
      <c r="F2" s="39"/>
    </row>
    <row r="3" spans="1:24" ht="21" x14ac:dyDescent="0.25">
      <c r="G3" s="9"/>
    </row>
    <row r="4" spans="1:24" ht="21" x14ac:dyDescent="0.55000000000000004">
      <c r="A4" s="14" t="s">
        <v>29</v>
      </c>
      <c r="B4" s="15" t="s">
        <v>4</v>
      </c>
      <c r="C4" s="15" t="s">
        <v>0</v>
      </c>
      <c r="D4" s="15" t="s">
        <v>24</v>
      </c>
      <c r="E4" s="15" t="s">
        <v>25</v>
      </c>
      <c r="F4" s="16" t="s">
        <v>30</v>
      </c>
      <c r="G4" s="17"/>
    </row>
    <row r="5" spans="1:24" ht="21" x14ac:dyDescent="0.55000000000000004">
      <c r="A5" s="18" t="s">
        <v>5</v>
      </c>
      <c r="B5" s="19">
        <f>SUM(B6:B24)</f>
        <v>138728</v>
      </c>
      <c r="C5" s="19">
        <f t="shared" ref="C5:D5" si="0">SUM(C6:C24)</f>
        <v>127947</v>
      </c>
      <c r="D5" s="19">
        <f t="shared" si="0"/>
        <v>10781</v>
      </c>
      <c r="E5" s="40">
        <f>B5/$B$5</f>
        <v>1</v>
      </c>
      <c r="F5" s="17" t="s">
        <v>3</v>
      </c>
      <c r="G5" s="20"/>
    </row>
    <row r="6" spans="1:24" x14ac:dyDescent="0.25">
      <c r="A6" s="2" t="s">
        <v>8</v>
      </c>
      <c r="B6" s="23">
        <v>52369</v>
      </c>
      <c r="C6" s="23">
        <v>52101</v>
      </c>
      <c r="D6" s="23">
        <v>268</v>
      </c>
      <c r="E6" s="24">
        <f t="shared" ref="E6:E24" si="1">B6/$B$5</f>
        <v>0.37749408915287469</v>
      </c>
      <c r="F6" s="20" t="s">
        <v>31</v>
      </c>
    </row>
    <row r="7" spans="1:24" x14ac:dyDescent="0.25">
      <c r="A7" s="2" t="s">
        <v>21</v>
      </c>
      <c r="B7" s="23">
        <v>24749</v>
      </c>
      <c r="C7" s="23">
        <v>21322</v>
      </c>
      <c r="D7" s="23">
        <v>3427</v>
      </c>
      <c r="E7" s="24">
        <f t="shared" si="1"/>
        <v>0.17839945793206852</v>
      </c>
      <c r="F7" s="20" t="s">
        <v>32</v>
      </c>
    </row>
    <row r="8" spans="1:24" ht="19.5" customHeight="1" x14ac:dyDescent="0.25">
      <c r="A8" s="2" t="s">
        <v>23</v>
      </c>
      <c r="B8" s="23">
        <v>11190</v>
      </c>
      <c r="C8" s="23">
        <v>10809</v>
      </c>
      <c r="D8" s="23">
        <v>381</v>
      </c>
      <c r="E8" s="24">
        <f t="shared" si="1"/>
        <v>8.0661438210022487E-2</v>
      </c>
      <c r="F8" s="37" t="s">
        <v>34</v>
      </c>
    </row>
    <row r="9" spans="1:24" x14ac:dyDescent="0.25">
      <c r="A9" s="25" t="s">
        <v>16</v>
      </c>
      <c r="B9" s="23">
        <v>10568</v>
      </c>
      <c r="C9" s="23">
        <v>10227</v>
      </c>
      <c r="D9" s="23">
        <v>341</v>
      </c>
      <c r="E9" s="24">
        <f t="shared" si="1"/>
        <v>7.6177844414970303E-2</v>
      </c>
      <c r="F9" s="36" t="s">
        <v>33</v>
      </c>
    </row>
    <row r="10" spans="1:24" x14ac:dyDescent="0.25">
      <c r="A10" s="2" t="s">
        <v>17</v>
      </c>
      <c r="B10" s="23">
        <v>9835</v>
      </c>
      <c r="C10" s="23">
        <v>9366</v>
      </c>
      <c r="D10" s="23">
        <v>469</v>
      </c>
      <c r="E10" s="24">
        <f t="shared" si="1"/>
        <v>7.0894123752955424E-2</v>
      </c>
      <c r="F10" s="20" t="s">
        <v>35</v>
      </c>
    </row>
    <row r="11" spans="1:24" x14ac:dyDescent="0.25">
      <c r="A11" s="2" t="s">
        <v>18</v>
      </c>
      <c r="B11" s="23">
        <v>8358</v>
      </c>
      <c r="C11" s="23">
        <v>7762</v>
      </c>
      <c r="D11" s="23">
        <v>596</v>
      </c>
      <c r="E11" s="24">
        <f t="shared" si="1"/>
        <v>6.024739057724468E-2</v>
      </c>
      <c r="F11" s="20" t="s">
        <v>36</v>
      </c>
    </row>
    <row r="12" spans="1:24" ht="17.25" x14ac:dyDescent="0.25">
      <c r="A12" s="2" t="s">
        <v>9</v>
      </c>
      <c r="B12" s="23">
        <v>5114</v>
      </c>
      <c r="C12" s="23">
        <v>3156</v>
      </c>
      <c r="D12" s="23">
        <v>1958</v>
      </c>
      <c r="E12" s="24">
        <f t="shared" si="1"/>
        <v>3.6863502681506254E-2</v>
      </c>
      <c r="F12" s="26" t="s">
        <v>37</v>
      </c>
    </row>
    <row r="13" spans="1:24" ht="17.25" x14ac:dyDescent="0.25">
      <c r="A13" s="2" t="s">
        <v>14</v>
      </c>
      <c r="B13" s="23">
        <v>4098</v>
      </c>
      <c r="C13" s="23">
        <v>2986</v>
      </c>
      <c r="D13" s="23">
        <v>1112</v>
      </c>
      <c r="E13" s="24">
        <f t="shared" si="1"/>
        <v>2.953981892624416E-2</v>
      </c>
      <c r="F13" s="26" t="s">
        <v>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4"/>
      <c r="W13" s="4"/>
      <c r="X13" s="27"/>
    </row>
    <row r="14" spans="1:24" x14ac:dyDescent="0.25">
      <c r="A14" s="2" t="s">
        <v>22</v>
      </c>
      <c r="B14" s="23">
        <v>3099</v>
      </c>
      <c r="C14" s="23">
        <v>2906</v>
      </c>
      <c r="D14" s="23">
        <v>193</v>
      </c>
      <c r="E14" s="24">
        <f t="shared" si="1"/>
        <v>2.2338677123579957E-2</v>
      </c>
      <c r="F14" s="20" t="s">
        <v>39</v>
      </c>
    </row>
    <row r="15" spans="1:24" ht="17.25" x14ac:dyDescent="0.25">
      <c r="A15" s="2" t="s">
        <v>15</v>
      </c>
      <c r="B15" s="23">
        <v>3009</v>
      </c>
      <c r="C15" s="23">
        <v>1832</v>
      </c>
      <c r="D15" s="23">
        <v>1177</v>
      </c>
      <c r="E15" s="24">
        <f t="shared" si="1"/>
        <v>2.1689925609826424E-2</v>
      </c>
      <c r="F15" s="28" t="s">
        <v>40</v>
      </c>
    </row>
    <row r="16" spans="1:24" x14ac:dyDescent="0.25">
      <c r="A16" s="2" t="s">
        <v>10</v>
      </c>
      <c r="B16" s="23">
        <v>2011</v>
      </c>
      <c r="C16" s="23">
        <v>1295</v>
      </c>
      <c r="D16" s="23">
        <v>716</v>
      </c>
      <c r="E16" s="24">
        <f t="shared" si="1"/>
        <v>1.4495992157315033E-2</v>
      </c>
      <c r="F16" s="20" t="s">
        <v>43</v>
      </c>
    </row>
    <row r="17" spans="1:43" x14ac:dyDescent="0.25">
      <c r="A17" s="2" t="s">
        <v>6</v>
      </c>
      <c r="B17" s="23">
        <v>1456</v>
      </c>
      <c r="C17" s="23">
        <v>1429</v>
      </c>
      <c r="D17" s="23">
        <v>27</v>
      </c>
      <c r="E17" s="24">
        <f t="shared" si="1"/>
        <v>1.0495357822501586E-2</v>
      </c>
      <c r="F17" s="29" t="s">
        <v>41</v>
      </c>
    </row>
    <row r="18" spans="1:43" x14ac:dyDescent="0.25">
      <c r="A18" s="2" t="s">
        <v>19</v>
      </c>
      <c r="B18" s="23">
        <v>1152</v>
      </c>
      <c r="C18" s="23">
        <v>1114</v>
      </c>
      <c r="D18" s="23">
        <v>38</v>
      </c>
      <c r="E18" s="24">
        <f t="shared" si="1"/>
        <v>8.3040193760452116E-3</v>
      </c>
      <c r="F18" s="20" t="s">
        <v>42</v>
      </c>
      <c r="AL18" s="6" t="s">
        <v>28</v>
      </c>
    </row>
    <row r="19" spans="1:43" x14ac:dyDescent="0.25">
      <c r="A19" s="2" t="s">
        <v>11</v>
      </c>
      <c r="B19" s="23">
        <v>823</v>
      </c>
      <c r="C19" s="23">
        <v>816</v>
      </c>
      <c r="D19" s="23">
        <v>7</v>
      </c>
      <c r="E19" s="24">
        <f t="shared" si="1"/>
        <v>5.9324721757684105E-3</v>
      </c>
      <c r="F19" s="20" t="s">
        <v>44</v>
      </c>
      <c r="AL19" s="13"/>
      <c r="AM19" s="15" t="s">
        <v>4</v>
      </c>
      <c r="AN19" s="15" t="s">
        <v>0</v>
      </c>
      <c r="AO19" s="15" t="s">
        <v>24</v>
      </c>
      <c r="AP19" s="10" t="s">
        <v>25</v>
      </c>
    </row>
    <row r="20" spans="1:43" x14ac:dyDescent="0.25">
      <c r="A20" s="2" t="s">
        <v>13</v>
      </c>
      <c r="B20" s="23">
        <v>442</v>
      </c>
      <c r="C20" s="23">
        <v>420</v>
      </c>
      <c r="D20" s="23">
        <v>22</v>
      </c>
      <c r="E20" s="24">
        <f t="shared" si="1"/>
        <v>3.1860907675451242E-3</v>
      </c>
      <c r="F20" s="20" t="s">
        <v>45</v>
      </c>
      <c r="AL20" s="21" t="s">
        <v>17</v>
      </c>
      <c r="AM20" s="22">
        <v>9835</v>
      </c>
      <c r="AN20" s="22">
        <v>9366</v>
      </c>
      <c r="AO20" s="22">
        <v>469</v>
      </c>
      <c r="AP20" s="8">
        <v>7.0792079207920786E-2</v>
      </c>
    </row>
    <row r="21" spans="1:43" ht="21" customHeight="1" x14ac:dyDescent="0.25">
      <c r="A21" s="2" t="s">
        <v>12</v>
      </c>
      <c r="B21" s="23">
        <v>304</v>
      </c>
      <c r="C21" s="23">
        <v>280</v>
      </c>
      <c r="D21" s="23">
        <v>24</v>
      </c>
      <c r="E21" s="24">
        <f t="shared" si="1"/>
        <v>2.191338446456375E-3</v>
      </c>
      <c r="F21" s="26" t="s">
        <v>46</v>
      </c>
      <c r="AL21" s="21" t="s">
        <v>16</v>
      </c>
      <c r="AM21" s="22">
        <v>10568</v>
      </c>
      <c r="AN21" s="22">
        <v>10227</v>
      </c>
      <c r="AO21" s="22">
        <v>341</v>
      </c>
      <c r="AP21" s="8">
        <v>7.1534653465346529E-2</v>
      </c>
    </row>
    <row r="22" spans="1:43" ht="17.25" x14ac:dyDescent="0.25">
      <c r="A22" s="2" t="s">
        <v>7</v>
      </c>
      <c r="B22" s="23">
        <v>67</v>
      </c>
      <c r="C22" s="23">
        <v>46</v>
      </c>
      <c r="D22" s="23">
        <v>21</v>
      </c>
      <c r="E22" s="24">
        <f t="shared" si="1"/>
        <v>4.8295946023874055E-4</v>
      </c>
      <c r="F22" s="30" t="s">
        <v>47</v>
      </c>
      <c r="AL22" s="21" t="s">
        <v>23</v>
      </c>
      <c r="AM22" s="22">
        <v>11190</v>
      </c>
      <c r="AN22" s="22">
        <v>10809</v>
      </c>
      <c r="AO22" s="22">
        <v>381</v>
      </c>
      <c r="AP22" s="8">
        <v>7.6218583396801223E-2</v>
      </c>
    </row>
    <row r="23" spans="1:43" ht="17.25" x14ac:dyDescent="0.25">
      <c r="A23" s="2" t="s">
        <v>20</v>
      </c>
      <c r="B23" s="23">
        <v>37</v>
      </c>
      <c r="C23" s="23">
        <v>37</v>
      </c>
      <c r="D23" s="23">
        <v>0</v>
      </c>
      <c r="E23" s="24">
        <f t="shared" si="1"/>
        <v>2.6670895565422984E-4</v>
      </c>
      <c r="F23" s="30" t="s">
        <v>48</v>
      </c>
      <c r="AL23" s="21" t="s">
        <v>21</v>
      </c>
      <c r="AM23" s="22">
        <v>24749</v>
      </c>
      <c r="AN23" s="22">
        <v>21322</v>
      </c>
      <c r="AO23" s="22">
        <v>3427</v>
      </c>
      <c r="AP23" s="8">
        <v>0.15809850215790811</v>
      </c>
    </row>
    <row r="24" spans="1:43" ht="17.25" x14ac:dyDescent="0.25">
      <c r="A24" s="7" t="s">
        <v>26</v>
      </c>
      <c r="B24" s="31">
        <v>47</v>
      </c>
      <c r="C24" s="31">
        <v>43</v>
      </c>
      <c r="D24" s="31">
        <v>4</v>
      </c>
      <c r="E24" s="32">
        <f t="shared" si="1"/>
        <v>3.387924571824001E-4</v>
      </c>
      <c r="F24" s="33" t="s">
        <v>49</v>
      </c>
      <c r="AL24" s="21" t="s">
        <v>8</v>
      </c>
      <c r="AM24" s="22">
        <v>52369</v>
      </c>
      <c r="AN24" s="22">
        <v>52101</v>
      </c>
      <c r="AO24" s="22">
        <v>268</v>
      </c>
      <c r="AP24" s="8">
        <v>0.43349834983498348</v>
      </c>
    </row>
    <row r="25" spans="1:43" ht="17.25" x14ac:dyDescent="0.25">
      <c r="A25" s="11" t="s">
        <v>27</v>
      </c>
      <c r="F25" s="5" t="s">
        <v>50</v>
      </c>
      <c r="G25" s="5"/>
    </row>
    <row r="26" spans="1:43" x14ac:dyDescent="0.25">
      <c r="A26" s="34"/>
    </row>
    <row r="27" spans="1:43" ht="15.75" x14ac:dyDescent="0.25">
      <c r="A27" s="13"/>
      <c r="B27" s="13"/>
      <c r="C27" s="1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1:43" x14ac:dyDescent="0.25">
      <c r="A28" s="13"/>
      <c r="B28" s="13"/>
      <c r="C28" s="13"/>
    </row>
    <row r="29" spans="1:43" x14ac:dyDescent="0.25">
      <c r="A29" s="13"/>
      <c r="B29" s="13"/>
      <c r="C29" s="13"/>
      <c r="AK29" s="13"/>
    </row>
    <row r="30" spans="1:43" x14ac:dyDescent="0.25">
      <c r="A30" s="13"/>
      <c r="B30" s="13"/>
      <c r="C30" s="13"/>
      <c r="AK30" s="13"/>
    </row>
    <row r="31" spans="1:43" x14ac:dyDescent="0.25">
      <c r="A31" s="13"/>
      <c r="B31" s="13"/>
      <c r="C31" s="13"/>
      <c r="AK31" s="13"/>
      <c r="AL31" s="1" t="s">
        <v>2</v>
      </c>
      <c r="AM31" s="1" t="s">
        <v>0</v>
      </c>
      <c r="AN31" s="1" t="s">
        <v>1</v>
      </c>
      <c r="AP31" s="1" t="s">
        <v>0</v>
      </c>
      <c r="AQ31" s="1" t="s">
        <v>1</v>
      </c>
    </row>
    <row r="32" spans="1:43" x14ac:dyDescent="0.25">
      <c r="A32" s="13"/>
      <c r="B32" s="13"/>
      <c r="C32" s="13"/>
      <c r="AK32" s="2" t="s">
        <v>8</v>
      </c>
      <c r="AL32" s="23">
        <v>52369</v>
      </c>
      <c r="AM32" s="23">
        <v>52101</v>
      </c>
      <c r="AN32" s="23">
        <v>268</v>
      </c>
      <c r="AP32" s="1">
        <f>AM32/AL32*100</f>
        <v>99.488246863602512</v>
      </c>
      <c r="AQ32" s="1">
        <f>AN32/AL32*100</f>
        <v>0.5117531363974871</v>
      </c>
    </row>
    <row r="33" spans="1:43" x14ac:dyDescent="0.25">
      <c r="A33" s="13"/>
      <c r="B33" s="13"/>
      <c r="C33" s="13"/>
      <c r="AK33" s="2" t="s">
        <v>21</v>
      </c>
      <c r="AL33" s="23">
        <v>24749</v>
      </c>
      <c r="AM33" s="23">
        <v>21322</v>
      </c>
      <c r="AN33" s="23">
        <v>3427</v>
      </c>
      <c r="AP33" s="1">
        <f t="shared" ref="AP33:AP50" si="2">AM33/AL33*100</f>
        <v>86.152975877813248</v>
      </c>
      <c r="AQ33" s="1">
        <f t="shared" ref="AQ33:AQ50" si="3">AN33/AL33*100</f>
        <v>13.847024122186754</v>
      </c>
    </row>
    <row r="34" spans="1:43" x14ac:dyDescent="0.25">
      <c r="A34" s="13"/>
      <c r="B34" s="13"/>
      <c r="C34" s="13"/>
      <c r="AK34" s="2" t="s">
        <v>23</v>
      </c>
      <c r="AL34" s="23">
        <v>11190</v>
      </c>
      <c r="AM34" s="23">
        <v>10809</v>
      </c>
      <c r="AN34" s="23">
        <v>381</v>
      </c>
      <c r="AP34" s="1">
        <f t="shared" si="2"/>
        <v>96.595174262734588</v>
      </c>
      <c r="AQ34" s="1">
        <f t="shared" si="3"/>
        <v>3.4048257372654156</v>
      </c>
    </row>
    <row r="35" spans="1:43" ht="45" x14ac:dyDescent="0.25">
      <c r="A35" s="13"/>
      <c r="B35" s="13"/>
      <c r="C35" s="13"/>
      <c r="AK35" s="25" t="s">
        <v>16</v>
      </c>
      <c r="AL35" s="23">
        <v>10568</v>
      </c>
      <c r="AM35" s="23">
        <v>10227</v>
      </c>
      <c r="AN35" s="23">
        <v>341</v>
      </c>
      <c r="AP35" s="1">
        <f t="shared" si="2"/>
        <v>96.773277819833453</v>
      </c>
      <c r="AQ35" s="1">
        <f t="shared" si="3"/>
        <v>3.2267221801665404</v>
      </c>
    </row>
    <row r="36" spans="1:43" x14ac:dyDescent="0.25">
      <c r="A36" s="13"/>
      <c r="B36" s="13"/>
      <c r="C36" s="13"/>
      <c r="AK36" s="2" t="s">
        <v>17</v>
      </c>
      <c r="AL36" s="23">
        <v>9835</v>
      </c>
      <c r="AM36" s="23">
        <v>9366</v>
      </c>
      <c r="AN36" s="23">
        <v>469</v>
      </c>
      <c r="AP36" s="1">
        <f t="shared" si="2"/>
        <v>95.231316725978644</v>
      </c>
      <c r="AQ36" s="1">
        <f t="shared" si="3"/>
        <v>4.7686832740213525</v>
      </c>
    </row>
    <row r="37" spans="1:43" x14ac:dyDescent="0.25">
      <c r="AK37" s="2" t="s">
        <v>18</v>
      </c>
      <c r="AL37" s="23">
        <v>8358</v>
      </c>
      <c r="AM37" s="23">
        <v>7762</v>
      </c>
      <c r="AN37" s="23">
        <v>596</v>
      </c>
      <c r="AP37" s="1">
        <f t="shared" si="2"/>
        <v>92.869107441971764</v>
      </c>
      <c r="AQ37" s="1">
        <f t="shared" si="3"/>
        <v>7.1308925580282363</v>
      </c>
    </row>
    <row r="38" spans="1:43" x14ac:dyDescent="0.25">
      <c r="AK38" s="2" t="s">
        <v>9</v>
      </c>
      <c r="AL38" s="23">
        <v>5114</v>
      </c>
      <c r="AM38" s="23">
        <v>3156</v>
      </c>
      <c r="AN38" s="23">
        <v>1958</v>
      </c>
      <c r="AP38" s="1">
        <f t="shared" si="2"/>
        <v>61.712944857254591</v>
      </c>
      <c r="AQ38" s="1">
        <f t="shared" si="3"/>
        <v>38.287055142745402</v>
      </c>
    </row>
    <row r="39" spans="1:43" x14ac:dyDescent="0.25">
      <c r="AK39" s="2" t="s">
        <v>14</v>
      </c>
      <c r="AL39" s="23">
        <v>4098</v>
      </c>
      <c r="AM39" s="23">
        <v>2986</v>
      </c>
      <c r="AN39" s="23">
        <v>1112</v>
      </c>
      <c r="AP39" s="1">
        <f t="shared" si="2"/>
        <v>72.864812103465098</v>
      </c>
      <c r="AQ39" s="1">
        <f t="shared" si="3"/>
        <v>27.135187896534894</v>
      </c>
    </row>
    <row r="40" spans="1:43" x14ac:dyDescent="0.25">
      <c r="AK40" s="2" t="s">
        <v>22</v>
      </c>
      <c r="AL40" s="23">
        <v>3099</v>
      </c>
      <c r="AM40" s="23">
        <v>2906</v>
      </c>
      <c r="AN40" s="23">
        <v>193</v>
      </c>
      <c r="AP40" s="1">
        <f t="shared" si="2"/>
        <v>93.77218457566957</v>
      </c>
      <c r="AQ40" s="1">
        <f t="shared" si="3"/>
        <v>6.2278154243304291</v>
      </c>
    </row>
    <row r="41" spans="1:43" x14ac:dyDescent="0.25">
      <c r="AK41" s="2" t="s">
        <v>15</v>
      </c>
      <c r="AL41" s="23">
        <v>3009</v>
      </c>
      <c r="AM41" s="23">
        <v>1832</v>
      </c>
      <c r="AN41" s="23">
        <v>1177</v>
      </c>
      <c r="AP41" s="1">
        <f t="shared" si="2"/>
        <v>60.884014622798276</v>
      </c>
      <c r="AQ41" s="1">
        <f t="shared" si="3"/>
        <v>39.115985377201731</v>
      </c>
    </row>
    <row r="42" spans="1:43" x14ac:dyDescent="0.25">
      <c r="AK42" s="2" t="s">
        <v>10</v>
      </c>
      <c r="AL42" s="23">
        <v>2011</v>
      </c>
      <c r="AM42" s="23">
        <v>1295</v>
      </c>
      <c r="AN42" s="23">
        <v>716</v>
      </c>
      <c r="AP42" s="1">
        <f t="shared" si="2"/>
        <v>64.395822973644954</v>
      </c>
      <c r="AQ42" s="1">
        <f t="shared" si="3"/>
        <v>35.604177026355046</v>
      </c>
    </row>
    <row r="43" spans="1:43" x14ac:dyDescent="0.25">
      <c r="AK43" s="2" t="s">
        <v>6</v>
      </c>
      <c r="AL43" s="23">
        <v>1456</v>
      </c>
      <c r="AM43" s="23">
        <v>1429</v>
      </c>
      <c r="AN43" s="23">
        <v>27</v>
      </c>
      <c r="AP43" s="1">
        <f t="shared" si="2"/>
        <v>98.145604395604394</v>
      </c>
      <c r="AQ43" s="1">
        <f t="shared" si="3"/>
        <v>1.8543956043956045</v>
      </c>
    </row>
    <row r="44" spans="1:43" x14ac:dyDescent="0.25">
      <c r="AK44" s="2" t="s">
        <v>19</v>
      </c>
      <c r="AL44" s="23">
        <v>1152</v>
      </c>
      <c r="AM44" s="23">
        <v>1114</v>
      </c>
      <c r="AN44" s="23">
        <v>38</v>
      </c>
      <c r="AP44" s="1">
        <f t="shared" si="2"/>
        <v>96.701388888888886</v>
      </c>
      <c r="AQ44" s="1">
        <f t="shared" si="3"/>
        <v>3.2986111111111112</v>
      </c>
    </row>
    <row r="45" spans="1:43" x14ac:dyDescent="0.25">
      <c r="AK45" s="2" t="s">
        <v>11</v>
      </c>
      <c r="AL45" s="23">
        <v>823</v>
      </c>
      <c r="AM45" s="23">
        <v>816</v>
      </c>
      <c r="AN45" s="23">
        <v>7</v>
      </c>
      <c r="AP45" s="1">
        <f t="shared" si="2"/>
        <v>99.149453219927096</v>
      </c>
      <c r="AQ45" s="1">
        <f t="shared" si="3"/>
        <v>0.85054678007290396</v>
      </c>
    </row>
    <row r="46" spans="1:43" x14ac:dyDescent="0.25">
      <c r="AK46" s="2" t="s">
        <v>13</v>
      </c>
      <c r="AL46" s="23">
        <v>442</v>
      </c>
      <c r="AM46" s="23">
        <v>420</v>
      </c>
      <c r="AN46" s="23">
        <v>22</v>
      </c>
      <c r="AP46" s="1">
        <f t="shared" si="2"/>
        <v>95.02262443438913</v>
      </c>
      <c r="AQ46" s="1">
        <f t="shared" si="3"/>
        <v>4.9773755656108598</v>
      </c>
    </row>
    <row r="47" spans="1:43" x14ac:dyDescent="0.25">
      <c r="AK47" s="2" t="s">
        <v>12</v>
      </c>
      <c r="AL47" s="23">
        <v>304</v>
      </c>
      <c r="AM47" s="23">
        <v>280</v>
      </c>
      <c r="AN47" s="23">
        <v>24</v>
      </c>
      <c r="AP47" s="1">
        <f t="shared" si="2"/>
        <v>92.10526315789474</v>
      </c>
      <c r="AQ47" s="1">
        <f t="shared" si="3"/>
        <v>7.8947368421052628</v>
      </c>
    </row>
    <row r="48" spans="1:43" x14ac:dyDescent="0.25">
      <c r="AK48" s="2" t="s">
        <v>7</v>
      </c>
      <c r="AL48" s="23">
        <v>67</v>
      </c>
      <c r="AM48" s="23">
        <v>46</v>
      </c>
      <c r="AN48" s="23">
        <v>21</v>
      </c>
      <c r="AP48" s="1">
        <f t="shared" si="2"/>
        <v>68.656716417910445</v>
      </c>
      <c r="AQ48" s="1">
        <f t="shared" si="3"/>
        <v>31.343283582089555</v>
      </c>
    </row>
    <row r="49" spans="37:43" x14ac:dyDescent="0.25">
      <c r="AK49" s="2" t="s">
        <v>20</v>
      </c>
      <c r="AL49" s="23">
        <v>37</v>
      </c>
      <c r="AM49" s="23">
        <v>37</v>
      </c>
      <c r="AN49" s="23">
        <v>0</v>
      </c>
      <c r="AP49" s="1">
        <f t="shared" si="2"/>
        <v>100</v>
      </c>
      <c r="AQ49" s="1">
        <f t="shared" si="3"/>
        <v>0</v>
      </c>
    </row>
    <row r="50" spans="37:43" x14ac:dyDescent="0.25">
      <c r="AK50" s="7" t="s">
        <v>26</v>
      </c>
      <c r="AL50" s="31">
        <v>47</v>
      </c>
      <c r="AM50" s="31">
        <v>43</v>
      </c>
      <c r="AN50" s="31">
        <v>4</v>
      </c>
      <c r="AP50" s="1">
        <f t="shared" si="2"/>
        <v>91.489361702127653</v>
      </c>
      <c r="AQ50" s="1">
        <f t="shared" si="3"/>
        <v>8.5106382978723403</v>
      </c>
    </row>
    <row r="51" spans="37:43" x14ac:dyDescent="0.25">
      <c r="AK51" s="13"/>
    </row>
    <row r="69" ht="20.25" customHeight="1" x14ac:dyDescent="0.25"/>
  </sheetData>
  <sortState ref="AL20:AP24">
    <sortCondition ref="AM5:AM9"/>
  </sortState>
  <mergeCells count="2">
    <mergeCell ref="A1:F1"/>
    <mergeCell ref="A2:F2"/>
  </mergeCells>
  <pageMargins left="0.7" right="0.7" top="0.75" bottom="0.75" header="0.3" footer="0.3"/>
  <pageSetup paperSize="9" scale="60" orientation="portrait" horizontalDpi="4294967295" verticalDpi="4294967295" r:id="rId1"/>
  <colBreaks count="1" manualBreakCount="1">
    <brk id="6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5.12</vt:lpstr>
      <vt:lpstr>'5.12'!Print_Area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2021-07-15T06:26:58Z</cp:lastPrinted>
  <dcterms:created xsi:type="dcterms:W3CDTF">2019-06-03T04:17:39Z</dcterms:created>
  <dcterms:modified xsi:type="dcterms:W3CDTF">2021-07-15T06:27:43Z</dcterms:modified>
</cp:coreProperties>
</file>