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5. Employment\"/>
    </mc:Choice>
  </mc:AlternateContent>
  <bookViews>
    <workbookView xWindow="0" yWindow="0" windowWidth="28800" windowHeight="12330" tabRatio="736"/>
  </bookViews>
  <sheets>
    <sheet name="5.3" sheetId="3" r:id="rId1"/>
  </sheets>
  <externalReferences>
    <externalReference r:id="rId2"/>
  </externalReferences>
  <definedNames>
    <definedName name="_xlnm.Print_Area" localSheetId="0">'5.3'!$A$1:$F$64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3" l="1"/>
  <c r="B17" i="3"/>
  <c r="D8" i="3" l="1"/>
  <c r="C8" i="3"/>
  <c r="B10" i="3" l="1"/>
  <c r="B11" i="3"/>
  <c r="B12" i="3"/>
  <c r="B13" i="3"/>
  <c r="B14" i="3"/>
  <c r="B15" i="3"/>
  <c r="B18" i="3"/>
  <c r="B19" i="3"/>
  <c r="B20" i="3"/>
  <c r="B21" i="3"/>
  <c r="B22" i="3"/>
  <c r="B23" i="3"/>
  <c r="B24" i="3"/>
  <c r="B25" i="3"/>
  <c r="B26" i="3"/>
  <c r="B27" i="3"/>
  <c r="B28" i="3"/>
  <c r="B9" i="3"/>
  <c r="BM9" i="3" s="1"/>
  <c r="D6" i="3"/>
  <c r="B8" i="3"/>
  <c r="B7" i="3"/>
  <c r="C6" i="3" l="1"/>
  <c r="B6" i="3" s="1"/>
  <c r="BM45" i="3" l="1"/>
  <c r="BN64" i="3"/>
  <c r="BM64" i="3"/>
  <c r="BN63" i="3"/>
  <c r="BM63" i="3"/>
  <c r="BN62" i="3"/>
  <c r="BM62" i="3"/>
  <c r="BN61" i="3"/>
  <c r="BM61" i="3"/>
  <c r="BN60" i="3"/>
  <c r="BM60" i="3"/>
  <c r="BN59" i="3"/>
  <c r="BM59" i="3"/>
  <c r="BN58" i="3"/>
  <c r="BM58" i="3"/>
  <c r="BN57" i="3"/>
  <c r="BM57" i="3"/>
  <c r="BN56" i="3"/>
  <c r="BM56" i="3"/>
  <c r="BN55" i="3"/>
  <c r="BM55" i="3"/>
  <c r="BN54" i="3"/>
  <c r="BM54" i="3"/>
  <c r="BN53" i="3"/>
  <c r="BM53" i="3"/>
  <c r="BN52" i="3"/>
  <c r="BM52" i="3"/>
  <c r="BN51" i="3"/>
  <c r="BM51" i="3"/>
  <c r="BN50" i="3"/>
  <c r="BM50" i="3"/>
  <c r="BN49" i="3"/>
  <c r="BM49" i="3"/>
  <c r="BN48" i="3"/>
  <c r="BM48" i="3"/>
  <c r="BN47" i="3"/>
  <c r="BM47" i="3"/>
  <c r="BN46" i="3"/>
  <c r="BM46" i="3"/>
  <c r="BN45" i="3"/>
  <c r="BM28" i="3"/>
  <c r="BM27" i="3"/>
  <c r="BM26" i="3"/>
  <c r="BM25" i="3"/>
  <c r="BM24" i="3"/>
  <c r="BM23" i="3"/>
  <c r="BM22" i="3"/>
  <c r="BM21" i="3"/>
  <c r="BM20" i="3"/>
  <c r="BM19" i="3"/>
  <c r="BM18" i="3"/>
  <c r="BM17" i="3"/>
  <c r="BM16" i="3"/>
  <c r="BM15" i="3"/>
  <c r="BM14" i="3"/>
  <c r="BM13" i="3"/>
  <c r="BM12" i="3"/>
  <c r="BM11" i="3"/>
  <c r="BM10" i="3"/>
  <c r="BM29" i="3" l="1"/>
</calcChain>
</file>

<file path=xl/sharedStrings.xml><?xml version="1.0" encoding="utf-8"?>
<sst xmlns="http://schemas.openxmlformats.org/spreadsheetml/2006/main" count="100" uniqueCount="78">
  <si>
    <t>ދެޖިންސް</t>
  </si>
  <si>
    <t>ފިރިހެން</t>
  </si>
  <si>
    <t>އަންހެން</t>
  </si>
  <si>
    <t>Male</t>
  </si>
  <si>
    <t>Female</t>
  </si>
  <si>
    <t>Source: Civil Service Commision</t>
  </si>
  <si>
    <t>މަޢުލޫމާތު ދެއްވި ފަރާތް: ސިވިލް ސަރވިސް ކޮމިޝަން</t>
  </si>
  <si>
    <t>މާލެ</t>
  </si>
  <si>
    <t>އަތޮޅުތައް</t>
  </si>
  <si>
    <t>Both sexes</t>
  </si>
  <si>
    <t>Locality</t>
  </si>
  <si>
    <t>ތަން</t>
  </si>
  <si>
    <t>REPUBLIC</t>
  </si>
  <si>
    <t>މުޅި ރާއްޖެ</t>
  </si>
  <si>
    <t>MALE'</t>
  </si>
  <si>
    <t>All ATOLLS</t>
  </si>
  <si>
    <t xml:space="preserve"> North Thiladhunmathi (HA)</t>
  </si>
  <si>
    <t xml:space="preserve">       (ah)  iruburutua Itwmcnudwlit</t>
  </si>
  <si>
    <t>HA</t>
  </si>
  <si>
    <t xml:space="preserve"> South Thiladhunmathi (HDh)</t>
  </si>
  <si>
    <t>(dh) irubunuked Itwmcnudwlit</t>
  </si>
  <si>
    <t>HDh</t>
  </si>
  <si>
    <t xml:space="preserve"> North Miladhunmadulu (Sh)</t>
  </si>
  <si>
    <t>(S) iruburutua uluDwmcnudwlim</t>
  </si>
  <si>
    <t>Sh</t>
  </si>
  <si>
    <t xml:space="preserve"> South Miladhunmadulu (N)</t>
  </si>
  <si>
    <t>(n) irubunuked uluDwmcnudwlim</t>
  </si>
  <si>
    <t>N</t>
  </si>
  <si>
    <t xml:space="preserve"> North Maalhosmadulu (R)</t>
  </si>
  <si>
    <t>(r) iruburutuauluDwmcsoLWm</t>
  </si>
  <si>
    <t>R</t>
  </si>
  <si>
    <t xml:space="preserve"> South Maalhosmadulu (B)</t>
  </si>
  <si>
    <t>(b) irubunukeduluDwcsoLWm</t>
  </si>
  <si>
    <t>B</t>
  </si>
  <si>
    <t xml:space="preserve"> Faadhippolhu (Lh)</t>
  </si>
  <si>
    <t>(L) uLopcaidWf</t>
  </si>
  <si>
    <t>Lh</t>
  </si>
  <si>
    <t xml:space="preserve"> Male' Atoll (K)</t>
  </si>
  <si>
    <t>(k) uLotwa elWm</t>
  </si>
  <si>
    <t>K</t>
  </si>
  <si>
    <t xml:space="preserve"> North Ari Atoll (AA)</t>
  </si>
  <si>
    <t>(aa) iruburutuauLotwairwa</t>
  </si>
  <si>
    <t>AA</t>
  </si>
  <si>
    <t xml:space="preserve"> South Ari Atoll (ADh)</t>
  </si>
  <si>
    <t>(da) iruburutuauLotwairwa</t>
  </si>
  <si>
    <t>ADh</t>
  </si>
  <si>
    <t xml:space="preserve"> Felidhu Atoll (V)</t>
  </si>
  <si>
    <t>(v) uLotwa udilef</t>
  </si>
  <si>
    <t>V</t>
  </si>
  <si>
    <t xml:space="preserve"> Mulakatholhu (M)</t>
  </si>
  <si>
    <t>(m) uLotwkwlum</t>
  </si>
  <si>
    <t>M</t>
  </si>
  <si>
    <t xml:space="preserve"> North Nilandhe Atoll (F)</t>
  </si>
  <si>
    <t>(f) iruburutua uLotwaedcnwlin</t>
  </si>
  <si>
    <t>F</t>
  </si>
  <si>
    <t xml:space="preserve"> South Nilandhe Atoll (D)</t>
  </si>
  <si>
    <t>(d) irubunuked uLotwaedcnwlin</t>
  </si>
  <si>
    <t>Dh</t>
  </si>
  <si>
    <t xml:space="preserve"> Kolhumadulu (Th)</t>
  </si>
  <si>
    <t>(t) uluDwmuLok</t>
  </si>
  <si>
    <t>Th</t>
  </si>
  <si>
    <t xml:space="preserve"> Hadhdhunmathi (L)</t>
  </si>
  <si>
    <t>(l) itwmcnudcawh</t>
  </si>
  <si>
    <t>L</t>
  </si>
  <si>
    <t xml:space="preserve"> North Huvadhu Atoll (GA)</t>
  </si>
  <si>
    <t>(ag) iruburutua uLotwaudwvuh</t>
  </si>
  <si>
    <t>GA</t>
  </si>
  <si>
    <t xml:space="preserve"> South Huvadhu Atoll (GDh)</t>
  </si>
  <si>
    <t xml:space="preserve"> (dg) irubunuked uLotwaudwvuh</t>
  </si>
  <si>
    <t>GDh</t>
  </si>
  <si>
    <t xml:space="preserve"> Fuvahmulah (Gn)</t>
  </si>
  <si>
    <t>(N)cawlumcawvuf</t>
  </si>
  <si>
    <t>Gn</t>
  </si>
  <si>
    <t xml:space="preserve"> Addu Atoll (S)</t>
  </si>
  <si>
    <t>(s) uLotwauDcawa</t>
  </si>
  <si>
    <t>S</t>
  </si>
  <si>
    <t>ތާވަލް 5.3: މާލެ އާއި އަތޮޅުތަކުގައި މަސައްކަތްކުރާ ސިވިލް ސަރވަންޓުންގެ އަދަދު އަދި ޖިންސް، 2020</t>
  </si>
  <si>
    <t>Table 5.3: CIVIL SERVANTS BY ATOLL AND SEX,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</si>
</sst>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General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eethi"/>
    </font>
    <font>
      <sz val="10"/>
      <name val="Courier"/>
      <family val="3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Calibri"/>
      <family val="2"/>
    </font>
    <font>
      <sz val="11"/>
      <name val="Calibri"/>
      <family val="2"/>
      <scheme val="minor"/>
    </font>
    <font>
      <b/>
      <sz val="11"/>
      <name val="Faruma"/>
    </font>
    <font>
      <b/>
      <sz val="11"/>
      <name val="Calibri"/>
      <family val="2"/>
    </font>
    <font>
      <sz val="10"/>
      <name val="A_Randhoo"/>
    </font>
    <font>
      <b/>
      <sz val="11"/>
      <color theme="1"/>
      <name val="Calibri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3" fillId="0" borderId="0"/>
    <xf numFmtId="43" fontId="3" fillId="0" borderId="0" applyFont="0" applyFill="0" applyBorder="0" applyAlignment="0" applyProtection="0"/>
    <xf numFmtId="0" fontId="19" fillId="0" borderId="0"/>
    <xf numFmtId="0" fontId="3" fillId="0" borderId="0"/>
  </cellStyleXfs>
  <cellXfs count="37">
    <xf numFmtId="0" fontId="0" fillId="0" borderId="0" xfId="0"/>
    <xf numFmtId="0" fontId="4" fillId="2" borderId="0" xfId="2" applyFont="1" applyFill="1" applyBorder="1" applyAlignment="1"/>
    <xf numFmtId="0" fontId="0" fillId="2" borderId="0" xfId="0" applyFill="1"/>
    <xf numFmtId="3" fontId="9" fillId="2" borderId="0" xfId="4" applyNumberFormat="1" applyFont="1" applyFill="1" applyBorder="1" applyAlignment="1" applyProtection="1">
      <alignment horizontal="right" vertical="center"/>
    </xf>
    <xf numFmtId="0" fontId="7" fillId="2" borderId="5" xfId="6" applyFont="1" applyFill="1" applyBorder="1" applyAlignment="1" applyProtection="1">
      <alignment horizontal="left" vertical="center" indent="2"/>
    </xf>
    <xf numFmtId="0" fontId="7" fillId="2" borderId="0" xfId="6" applyFont="1" applyFill="1" applyBorder="1" applyAlignment="1" applyProtection="1">
      <alignment horizontal="left" vertical="center" indent="2"/>
    </xf>
    <xf numFmtId="0" fontId="8" fillId="2" borderId="3" xfId="3" applyFont="1" applyFill="1" applyBorder="1"/>
    <xf numFmtId="0" fontId="13" fillId="2" borderId="0" xfId="0" applyFont="1" applyFill="1"/>
    <xf numFmtId="0" fontId="11" fillId="2" borderId="4" xfId="0" applyFont="1" applyFill="1" applyBorder="1" applyAlignment="1">
      <alignment horizontal="right" vertical="center" readingOrder="2"/>
    </xf>
    <xf numFmtId="0" fontId="10" fillId="2" borderId="2" xfId="0" applyFont="1" applyFill="1" applyBorder="1" applyAlignment="1">
      <alignment horizontal="right" vertical="center"/>
    </xf>
    <xf numFmtId="0" fontId="15" fillId="3" borderId="0" xfId="0" applyFont="1" applyFill="1" applyBorder="1" applyAlignment="1">
      <alignment horizontal="left" vertical="center"/>
    </xf>
    <xf numFmtId="3" fontId="11" fillId="2" borderId="0" xfId="5" applyNumberFormat="1" applyFont="1" applyFill="1" applyBorder="1" applyAlignment="1" applyProtection="1">
      <alignment horizontal="right" vertical="center"/>
    </xf>
    <xf numFmtId="3" fontId="6" fillId="2" borderId="0" xfId="1" applyNumberFormat="1" applyFont="1" applyFill="1" applyBorder="1" applyAlignment="1">
      <alignment vertical="center"/>
    </xf>
    <xf numFmtId="0" fontId="6" fillId="2" borderId="0" xfId="0" applyFont="1" applyFill="1"/>
    <xf numFmtId="3" fontId="16" fillId="2" borderId="0" xfId="5" applyNumberFormat="1" applyFont="1" applyFill="1" applyBorder="1" applyAlignment="1" applyProtection="1">
      <alignment horizontal="right" vertical="center" indent="2"/>
    </xf>
    <xf numFmtId="3" fontId="13" fillId="2" borderId="0" xfId="1" applyNumberFormat="1" applyFont="1" applyFill="1"/>
    <xf numFmtId="3" fontId="10" fillId="2" borderId="0" xfId="0" applyNumberFormat="1" applyFont="1" applyFill="1" applyBorder="1" applyAlignment="1">
      <alignment horizontal="right" vertical="center"/>
    </xf>
    <xf numFmtId="3" fontId="13" fillId="2" borderId="0" xfId="0" applyNumberFormat="1" applyFont="1" applyFill="1"/>
    <xf numFmtId="0" fontId="13" fillId="2" borderId="0" xfId="0" applyFont="1" applyFill="1" applyBorder="1"/>
    <xf numFmtId="0" fontId="6" fillId="2" borderId="0" xfId="0" applyFont="1" applyFill="1" applyBorder="1" applyAlignment="1"/>
    <xf numFmtId="3" fontId="13" fillId="2" borderId="0" xfId="1" applyNumberFormat="1" applyFont="1" applyFill="1" applyBorder="1"/>
    <xf numFmtId="0" fontId="12" fillId="3" borderId="0" xfId="0" applyFont="1" applyFill="1" applyBorder="1" applyAlignment="1">
      <alignment horizontal="left" vertical="center" indent="1"/>
    </xf>
    <xf numFmtId="0" fontId="12" fillId="3" borderId="2" xfId="0" applyFont="1" applyFill="1" applyBorder="1" applyAlignment="1">
      <alignment horizontal="left" vertical="center" indent="1"/>
    </xf>
    <xf numFmtId="3" fontId="16" fillId="2" borderId="2" xfId="5" applyNumberFormat="1" applyFont="1" applyFill="1" applyBorder="1" applyAlignment="1" applyProtection="1">
      <alignment horizontal="right" vertical="center" indent="2"/>
    </xf>
    <xf numFmtId="3" fontId="17" fillId="4" borderId="7" xfId="0" applyNumberFormat="1" applyFont="1" applyFill="1" applyBorder="1" applyAlignment="1">
      <alignment horizontal="right" vertical="center"/>
    </xf>
    <xf numFmtId="3" fontId="17" fillId="4" borderId="0" xfId="0" applyNumberFormat="1" applyFont="1" applyFill="1" applyBorder="1" applyAlignment="1">
      <alignment horizontal="right" vertical="center"/>
    </xf>
    <xf numFmtId="3" fontId="17" fillId="4" borderId="0" xfId="0" applyNumberFormat="1" applyFont="1" applyFill="1" applyBorder="1" applyAlignment="1">
      <alignment vertical="center"/>
    </xf>
    <xf numFmtId="3" fontId="17" fillId="4" borderId="6" xfId="0" applyNumberFormat="1" applyFont="1" applyFill="1" applyBorder="1" applyAlignment="1">
      <alignment vertical="center"/>
    </xf>
    <xf numFmtId="3" fontId="2" fillId="2" borderId="0" xfId="0" applyNumberFormat="1" applyFont="1" applyFill="1" applyBorder="1" applyAlignment="1">
      <alignment horizontal="right" vertical="center" wrapText="1"/>
    </xf>
    <xf numFmtId="0" fontId="0" fillId="2" borderId="0" xfId="0" applyFill="1" applyBorder="1" applyAlignment="1">
      <alignment horizontal="right" wrapText="1"/>
    </xf>
    <xf numFmtId="0" fontId="0" fillId="2" borderId="2" xfId="0" applyFill="1" applyBorder="1" applyAlignment="1">
      <alignment horizontal="right" wrapText="1"/>
    </xf>
    <xf numFmtId="0" fontId="6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left" vertical="center" indent="2"/>
    </xf>
    <xf numFmtId="0" fontId="6" fillId="2" borderId="2" xfId="0" applyFont="1" applyFill="1" applyBorder="1" applyAlignment="1">
      <alignment horizontal="left" vertical="center" indent="2"/>
    </xf>
    <xf numFmtId="0" fontId="14" fillId="2" borderId="1" xfId="0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right" vertical="center"/>
    </xf>
    <xf numFmtId="0" fontId="4" fillId="2" borderId="0" xfId="2" applyFont="1" applyFill="1" applyBorder="1" applyAlignment="1">
      <alignment horizontal="center"/>
    </xf>
  </cellXfs>
  <cellStyles count="13">
    <cellStyle name="1" xfId="12"/>
    <cellStyle name="Comma" xfId="1" builtinId="3"/>
    <cellStyle name="Comma 3" xfId="10"/>
    <cellStyle name="Normal" xfId="0" builtinId="0"/>
    <cellStyle name="Normal 11" xfId="11"/>
    <cellStyle name="Normal 2" xfId="7"/>
    <cellStyle name="Normal 4" xfId="8"/>
    <cellStyle name="Normal 5" xfId="9"/>
    <cellStyle name="Normal_5 Employment_done" xfId="2"/>
    <cellStyle name="Normal_II-15(Population) 2" xfId="5"/>
    <cellStyle name="Normal_II-16(Populaion)" xfId="4"/>
    <cellStyle name="Normal_immunization" xfId="6"/>
    <cellStyle name="Normal_po" xfId="3"/>
  </cellStyles>
  <dxfs count="2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>
      <tableStyleElement type="headerRow" dxfId="23"/>
      <tableStyleElement type="totalRow" dxfId="22"/>
      <tableStyleElement type="firstRowStripe" dxfId="21"/>
      <tableStyleElement type="firstColumnStripe" dxfId="20"/>
      <tableStyleElement type="firstSubtotalColumn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colors>
    <mruColors>
      <color rgb="FFEAFAFA"/>
      <color rgb="FF33CCCC"/>
      <color rgb="FFFF9900"/>
      <color rgb="FFB2EDEC"/>
      <color rgb="FF249390"/>
      <color rgb="FF196563"/>
      <color rgb="FFE5CBB1"/>
      <color rgb="FFF3E6D9"/>
      <color rgb="FFEBD7C3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37673624391435"/>
          <c:y val="0.1486227763196267"/>
          <c:w val="0.85059538350561081"/>
          <c:h val="0.7010028433945757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cat>
            <c:strRef>
              <c:f>'5.3'!$BL$9:$BL$28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'5.3'!$BM$9:$BM$28</c:f>
              <c:numCache>
                <c:formatCode>#,##0</c:formatCode>
                <c:ptCount val="20"/>
                <c:pt idx="0">
                  <c:v>1098</c:v>
                </c:pt>
                <c:pt idx="1">
                  <c:v>1517</c:v>
                </c:pt>
                <c:pt idx="2">
                  <c:v>1112</c:v>
                </c:pt>
                <c:pt idx="3">
                  <c:v>876</c:v>
                </c:pt>
                <c:pt idx="4">
                  <c:v>1298</c:v>
                </c:pt>
                <c:pt idx="5">
                  <c:v>890</c:v>
                </c:pt>
                <c:pt idx="6">
                  <c:v>541</c:v>
                </c:pt>
                <c:pt idx="7">
                  <c:v>893</c:v>
                </c:pt>
                <c:pt idx="8">
                  <c:v>559</c:v>
                </c:pt>
                <c:pt idx="9">
                  <c:v>680</c:v>
                </c:pt>
                <c:pt idx="10" formatCode="General">
                  <c:v>192</c:v>
                </c:pt>
                <c:pt idx="11" formatCode="General">
                  <c:v>508</c:v>
                </c:pt>
                <c:pt idx="12" formatCode="General">
                  <c:v>510</c:v>
                </c:pt>
                <c:pt idx="13" formatCode="General">
                  <c:v>555</c:v>
                </c:pt>
                <c:pt idx="14" formatCode="General">
                  <c:v>1002</c:v>
                </c:pt>
                <c:pt idx="15">
                  <c:v>991</c:v>
                </c:pt>
                <c:pt idx="16">
                  <c:v>675</c:v>
                </c:pt>
                <c:pt idx="17">
                  <c:v>910</c:v>
                </c:pt>
                <c:pt idx="18">
                  <c:v>620</c:v>
                </c:pt>
                <c:pt idx="19">
                  <c:v>1174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9-442D-82F1-B8E08261E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8"/>
        <c:axId val="484287192"/>
        <c:axId val="299421544"/>
      </c:barChart>
      <c:catAx>
        <c:axId val="4842871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99421544"/>
        <c:crosses val="autoZero"/>
        <c:auto val="1"/>
        <c:lblAlgn val="ctr"/>
        <c:lblOffset val="100"/>
        <c:noMultiLvlLbl val="0"/>
      </c:catAx>
      <c:valAx>
        <c:axId val="299421544"/>
        <c:scaling>
          <c:orientation val="minMax"/>
          <c:max val="1600"/>
        </c:scaling>
        <c:delete val="0"/>
        <c:axPos val="l"/>
        <c:majorGridlines>
          <c:spPr>
            <a:ln w="3175">
              <a:noFill/>
            </a:ln>
          </c:spPr>
        </c:majorGridlines>
        <c:numFmt formatCode="#,##0" sourceLinked="1"/>
        <c:majorTickMark val="none"/>
        <c:minorTickMark val="none"/>
        <c:tickLblPos val="nextTo"/>
        <c:crossAx val="484287192"/>
        <c:crosses val="autoZero"/>
        <c:crossBetween val="between"/>
      </c:valAx>
      <c:spPr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25599718537385"/>
          <c:y val="0.1355881578632458"/>
          <c:w val="0.8628426402646806"/>
          <c:h val="0.7329727401096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'5.3'!$BM$44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'5.3'!$BL$45:$BL$64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'5.3'!$BM$45:$BM$64</c:f>
              <c:numCache>
                <c:formatCode>#,##0</c:formatCode>
                <c:ptCount val="20"/>
                <c:pt idx="0">
                  <c:v>415</c:v>
                </c:pt>
                <c:pt idx="1">
                  <c:v>570</c:v>
                </c:pt>
                <c:pt idx="2">
                  <c:v>545</c:v>
                </c:pt>
                <c:pt idx="3">
                  <c:v>351</c:v>
                </c:pt>
                <c:pt idx="4">
                  <c:v>538</c:v>
                </c:pt>
                <c:pt idx="5">
                  <c:v>323</c:v>
                </c:pt>
                <c:pt idx="6">
                  <c:v>184</c:v>
                </c:pt>
                <c:pt idx="7">
                  <c:v>348</c:v>
                </c:pt>
                <c:pt idx="8">
                  <c:v>202</c:v>
                </c:pt>
                <c:pt idx="9">
                  <c:v>206</c:v>
                </c:pt>
                <c:pt idx="10">
                  <c:v>66</c:v>
                </c:pt>
                <c:pt idx="11">
                  <c:v>226</c:v>
                </c:pt>
                <c:pt idx="12">
                  <c:v>194</c:v>
                </c:pt>
                <c:pt idx="13">
                  <c:v>193</c:v>
                </c:pt>
                <c:pt idx="14">
                  <c:v>432</c:v>
                </c:pt>
                <c:pt idx="15">
                  <c:v>376</c:v>
                </c:pt>
                <c:pt idx="16">
                  <c:v>201</c:v>
                </c:pt>
                <c:pt idx="17">
                  <c:v>310</c:v>
                </c:pt>
                <c:pt idx="18">
                  <c:v>200</c:v>
                </c:pt>
                <c:pt idx="19">
                  <c:v>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A-4964-9A58-1239D5D1FF27}"/>
            </c:ext>
          </c:extLst>
        </c:ser>
        <c:ser>
          <c:idx val="1"/>
          <c:order val="1"/>
          <c:tx>
            <c:strRef>
              <c:f>'5.3'!$BN$44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cat>
            <c:strRef>
              <c:f>'5.3'!$BL$45:$BL$64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'5.3'!$BN$45:$BN$64</c:f>
              <c:numCache>
                <c:formatCode>#,##0</c:formatCode>
                <c:ptCount val="20"/>
                <c:pt idx="0">
                  <c:v>683</c:v>
                </c:pt>
                <c:pt idx="1">
                  <c:v>947</c:v>
                </c:pt>
                <c:pt idx="2">
                  <c:v>567</c:v>
                </c:pt>
                <c:pt idx="3">
                  <c:v>525</c:v>
                </c:pt>
                <c:pt idx="4">
                  <c:v>760</c:v>
                </c:pt>
                <c:pt idx="5">
                  <c:v>567</c:v>
                </c:pt>
                <c:pt idx="6">
                  <c:v>357</c:v>
                </c:pt>
                <c:pt idx="7">
                  <c:v>545</c:v>
                </c:pt>
                <c:pt idx="8">
                  <c:v>357</c:v>
                </c:pt>
                <c:pt idx="9">
                  <c:v>474</c:v>
                </c:pt>
                <c:pt idx="10">
                  <c:v>126</c:v>
                </c:pt>
                <c:pt idx="11">
                  <c:v>282</c:v>
                </c:pt>
                <c:pt idx="12">
                  <c:v>316</c:v>
                </c:pt>
                <c:pt idx="13">
                  <c:v>362</c:v>
                </c:pt>
                <c:pt idx="14">
                  <c:v>570</c:v>
                </c:pt>
                <c:pt idx="15">
                  <c:v>615</c:v>
                </c:pt>
                <c:pt idx="16">
                  <c:v>474</c:v>
                </c:pt>
                <c:pt idx="17">
                  <c:v>600</c:v>
                </c:pt>
                <c:pt idx="18">
                  <c:v>420</c:v>
                </c:pt>
                <c:pt idx="19">
                  <c:v>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DA-4964-9A58-1239D5D1F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485853600"/>
        <c:axId val="485855560"/>
      </c:barChart>
      <c:catAx>
        <c:axId val="4858536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85855560"/>
        <c:crosses val="autoZero"/>
        <c:auto val="1"/>
        <c:lblAlgn val="ctr"/>
        <c:lblOffset val="100"/>
        <c:noMultiLvlLbl val="0"/>
      </c:catAx>
      <c:valAx>
        <c:axId val="485855560"/>
        <c:scaling>
          <c:orientation val="minMax"/>
          <c:max val="1000"/>
        </c:scaling>
        <c:delete val="0"/>
        <c:axPos val="l"/>
        <c:majorGridlines>
          <c:spPr>
            <a:ln w="3175">
              <a:noFill/>
            </a:ln>
          </c:spPr>
        </c:majorGridlines>
        <c:numFmt formatCode="#,##0" sourceLinked="1"/>
        <c:majorTickMark val="out"/>
        <c:minorTickMark val="none"/>
        <c:tickLblPos val="nextTo"/>
        <c:crossAx val="485853600"/>
        <c:crosses val="autoZero"/>
        <c:crossBetween val="between"/>
      </c:valAx>
      <c:spPr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4926999664224829"/>
          <c:y val="0.19726012971782783"/>
          <c:w val="0.2127527010665517"/>
          <c:h val="7.9471420239136795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29</xdr:row>
      <xdr:rowOff>167640</xdr:rowOff>
    </xdr:from>
    <xdr:to>
      <xdr:col>4</xdr:col>
      <xdr:colOff>1935480</xdr:colOff>
      <xdr:row>44</xdr:row>
      <xdr:rowOff>167640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1066800</xdr:colOff>
      <xdr:row>30</xdr:row>
      <xdr:rowOff>28574</xdr:rowOff>
    </xdr:from>
    <xdr:to>
      <xdr:col>4</xdr:col>
      <xdr:colOff>1438275</xdr:colOff>
      <xdr:row>31</xdr:row>
      <xdr:rowOff>76199</xdr:rowOff>
    </xdr:to>
    <xdr:sp macro="" textlink="">
      <xdr:nvSpPr>
        <xdr:cNvPr id="3" name="TextBox 2"/>
        <xdr:cNvSpPr txBox="1"/>
      </xdr:nvSpPr>
      <xdr:spPr>
        <a:xfrm>
          <a:off x="1066800" y="6381749"/>
          <a:ext cx="46196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>
              <a:latin typeface="Consolas" pitchFamily="49" charset="0"/>
              <a:cs typeface="Consolas" pitchFamily="49" charset="0"/>
            </a:rPr>
            <a:t>   Figure 5.4: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</a:t>
          </a:r>
          <a:r>
            <a:rPr lang="en-US" sz="1100" b="1">
              <a:latin typeface="Consolas" pitchFamily="49" charset="0"/>
              <a:cs typeface="Consolas" pitchFamily="49" charset="0"/>
            </a:rPr>
            <a:t>Number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of civil servants by Atoll, 2020</a:t>
          </a:r>
          <a:endParaRPr lang="en-US" sz="110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66675</xdr:colOff>
      <xdr:row>46</xdr:row>
      <xdr:rowOff>38099</xdr:rowOff>
    </xdr:from>
    <xdr:to>
      <xdr:col>4</xdr:col>
      <xdr:colOff>1872615</xdr:colOff>
      <xdr:row>62</xdr:row>
      <xdr:rowOff>123824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963929</xdr:colOff>
      <xdr:row>46</xdr:row>
      <xdr:rowOff>80010</xdr:rowOff>
    </xdr:from>
    <xdr:to>
      <xdr:col>4</xdr:col>
      <xdr:colOff>1495424</xdr:colOff>
      <xdr:row>47</xdr:row>
      <xdr:rowOff>123825</xdr:rowOff>
    </xdr:to>
    <xdr:sp macro="" textlink="">
      <xdr:nvSpPr>
        <xdr:cNvPr id="5" name="TextBox 4"/>
        <xdr:cNvSpPr txBox="1"/>
      </xdr:nvSpPr>
      <xdr:spPr>
        <a:xfrm>
          <a:off x="963929" y="9481185"/>
          <a:ext cx="4779645" cy="234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5.5: Number</a:t>
          </a:r>
          <a:r>
            <a:rPr lang="en-US" sz="1100" b="1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of civil servants by atoll and sex, 2020</a:t>
          </a:r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138114</xdr:colOff>
      <xdr:row>33</xdr:row>
      <xdr:rowOff>76200</xdr:rowOff>
    </xdr:from>
    <xdr:to>
      <xdr:col>0</xdr:col>
      <xdr:colOff>409578</xdr:colOff>
      <xdr:row>41</xdr:row>
      <xdr:rowOff>185738</xdr:rowOff>
    </xdr:to>
    <xdr:sp macro="" textlink="">
      <xdr:nvSpPr>
        <xdr:cNvPr id="6" name="TextBox 5"/>
        <xdr:cNvSpPr txBox="1"/>
      </xdr:nvSpPr>
      <xdr:spPr>
        <a:xfrm rot="16200000">
          <a:off x="-542923" y="7681912"/>
          <a:ext cx="1633538" cy="2714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Number of civil servants</a:t>
          </a:r>
        </a:p>
      </xdr:txBody>
    </xdr:sp>
    <xdr:clientData/>
  </xdr:twoCellAnchor>
  <xdr:twoCellAnchor>
    <xdr:from>
      <xdr:col>0</xdr:col>
      <xdr:colOff>123826</xdr:colOff>
      <xdr:row>49</xdr:row>
      <xdr:rowOff>161924</xdr:rowOff>
    </xdr:from>
    <xdr:to>
      <xdr:col>0</xdr:col>
      <xdr:colOff>428626</xdr:colOff>
      <xdr:row>59</xdr:row>
      <xdr:rowOff>9524</xdr:rowOff>
    </xdr:to>
    <xdr:sp macro="" textlink="">
      <xdr:nvSpPr>
        <xdr:cNvPr id="7" name="TextBox 6"/>
        <xdr:cNvSpPr txBox="1"/>
      </xdr:nvSpPr>
      <xdr:spPr>
        <a:xfrm rot="16200000">
          <a:off x="-600074" y="10858499"/>
          <a:ext cx="1752600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civil servants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5.%20EMPLOYME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"/>
      <sheetName val="5.2"/>
      <sheetName val="5.3"/>
      <sheetName val="5.4"/>
      <sheetName val="5.5"/>
      <sheetName val="5.6"/>
      <sheetName val="5.7"/>
      <sheetName val="5.8"/>
      <sheetName val="5.9"/>
      <sheetName val="5.10"/>
      <sheetName val="5.11"/>
      <sheetName val="5.12"/>
      <sheetName val="5.13"/>
      <sheetName val="5.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">
          <cell r="C5" t="str">
            <v>Male</v>
          </cell>
          <cell r="D5" t="str">
            <v xml:space="preserve">Female </v>
          </cell>
        </row>
        <row r="6">
          <cell r="C6">
            <v>147671</v>
          </cell>
          <cell r="D6">
            <v>9889</v>
          </cell>
        </row>
        <row r="78">
          <cell r="AP78" t="str">
            <v>Bangladesh</v>
          </cell>
          <cell r="AS78">
            <v>110084</v>
          </cell>
        </row>
        <row r="79">
          <cell r="AP79" t="str">
            <v>India</v>
          </cell>
          <cell r="AS79">
            <v>20283</v>
          </cell>
        </row>
        <row r="80">
          <cell r="AP80" t="str">
            <v>Sri Lanka</v>
          </cell>
          <cell r="AS80">
            <v>11266</v>
          </cell>
        </row>
        <row r="81">
          <cell r="AP81" t="str">
            <v>Nepal</v>
          </cell>
          <cell r="AS81">
            <v>4342</v>
          </cell>
        </row>
        <row r="82">
          <cell r="AP82" t="str">
            <v>Philippines</v>
          </cell>
          <cell r="AS82">
            <v>2134</v>
          </cell>
        </row>
      </sheetData>
      <sheetData sheetId="11">
        <row r="33">
          <cell r="N33" t="str">
            <v>Male</v>
          </cell>
        </row>
      </sheetData>
      <sheetData sheetId="12">
        <row r="5">
          <cell r="A5" t="str">
            <v>Republic</v>
          </cell>
        </row>
      </sheetData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N71"/>
  <sheetViews>
    <sheetView tabSelected="1" zoomScaleNormal="100" workbookViewId="0">
      <selection activeCell="R12" sqref="R12"/>
    </sheetView>
  </sheetViews>
  <sheetFormatPr defaultRowHeight="15" x14ac:dyDescent="0.25"/>
  <cols>
    <col min="1" max="1" width="32.85546875" style="7" customWidth="1"/>
    <col min="2" max="4" width="10.28515625" style="7" customWidth="1"/>
    <col min="5" max="5" width="30.42578125" style="7" customWidth="1"/>
    <col min="6" max="6" width="9.140625" style="7" customWidth="1"/>
    <col min="7" max="16384" width="9.140625" style="7"/>
  </cols>
  <sheetData>
    <row r="1" spans="1:65" ht="21" x14ac:dyDescent="0.55000000000000004">
      <c r="A1" s="36" t="s">
        <v>76</v>
      </c>
      <c r="B1" s="36"/>
      <c r="C1" s="36"/>
      <c r="D1" s="36"/>
      <c r="E1" s="3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spans="1:65" x14ac:dyDescent="0.25">
      <c r="A2" s="31" t="s">
        <v>77</v>
      </c>
      <c r="B2" s="31"/>
      <c r="C2" s="31"/>
      <c r="D2" s="31"/>
      <c r="E2" s="31"/>
    </row>
    <row r="3" spans="1:65" ht="11.45" customHeight="1" x14ac:dyDescent="0.25"/>
    <row r="4" spans="1:65" ht="18.75" customHeight="1" x14ac:dyDescent="0.25">
      <c r="A4" s="32" t="s">
        <v>10</v>
      </c>
      <c r="B4" s="8" t="s">
        <v>0</v>
      </c>
      <c r="C4" s="8" t="s">
        <v>1</v>
      </c>
      <c r="D4" s="8" t="s">
        <v>2</v>
      </c>
      <c r="E4" s="34" t="s">
        <v>11</v>
      </c>
    </row>
    <row r="5" spans="1:65" ht="15" customHeight="1" x14ac:dyDescent="0.25">
      <c r="A5" s="33"/>
      <c r="B5" s="9" t="s">
        <v>9</v>
      </c>
      <c r="C5" s="9" t="s">
        <v>3</v>
      </c>
      <c r="D5" s="9" t="s">
        <v>4</v>
      </c>
      <c r="E5" s="35"/>
    </row>
    <row r="6" spans="1:65" ht="18.75" x14ac:dyDescent="0.25">
      <c r="A6" s="10" t="s">
        <v>12</v>
      </c>
      <c r="B6" s="24">
        <f>SUM(C6:D6)</f>
        <v>26668</v>
      </c>
      <c r="C6" s="24">
        <f>C8+C7</f>
        <v>10075</v>
      </c>
      <c r="D6" s="24">
        <f>D8+D7</f>
        <v>16593</v>
      </c>
      <c r="E6" s="11" t="s">
        <v>13</v>
      </c>
    </row>
    <row r="7" spans="1:65" s="13" customFormat="1" ht="18.75" x14ac:dyDescent="0.25">
      <c r="A7" s="10" t="s">
        <v>14</v>
      </c>
      <c r="B7" s="25">
        <f t="shared" ref="B7:B8" si="0">SUM(C7:D7)</f>
        <v>10067</v>
      </c>
      <c r="C7" s="28">
        <v>3932</v>
      </c>
      <c r="D7" s="28">
        <v>6135</v>
      </c>
      <c r="E7" s="11" t="s">
        <v>7</v>
      </c>
    </row>
    <row r="8" spans="1:65" s="13" customFormat="1" ht="18.75" x14ac:dyDescent="0.25">
      <c r="A8" s="10" t="s">
        <v>15</v>
      </c>
      <c r="B8" s="25">
        <f t="shared" si="0"/>
        <v>16601</v>
      </c>
      <c r="C8" s="26">
        <f>SUM(C9:C28)</f>
        <v>6143</v>
      </c>
      <c r="D8" s="26">
        <f>SUM(D9:D28)</f>
        <v>10458</v>
      </c>
      <c r="E8" s="11" t="s">
        <v>8</v>
      </c>
      <c r="BL8" s="7"/>
      <c r="BM8" s="7"/>
    </row>
    <row r="9" spans="1:65" ht="15.75" customHeight="1" x14ac:dyDescent="0.25">
      <c r="A9" s="21" t="s">
        <v>16</v>
      </c>
      <c r="B9" s="26">
        <f>SUM(C9:D9)</f>
        <v>1098</v>
      </c>
      <c r="C9" s="29">
        <v>415</v>
      </c>
      <c r="D9" s="29">
        <v>683</v>
      </c>
      <c r="E9" s="14" t="s">
        <v>17</v>
      </c>
      <c r="BL9" s="4" t="s">
        <v>18</v>
      </c>
      <c r="BM9" s="15">
        <f>B9</f>
        <v>1098</v>
      </c>
    </row>
    <row r="10" spans="1:65" ht="15.75" customHeight="1" x14ac:dyDescent="0.25">
      <c r="A10" s="21" t="s">
        <v>19</v>
      </c>
      <c r="B10" s="26">
        <f t="shared" ref="B10:B28" si="1">SUM(C10:D10)</f>
        <v>1517</v>
      </c>
      <c r="C10" s="29">
        <v>570</v>
      </c>
      <c r="D10" s="29">
        <v>947</v>
      </c>
      <c r="E10" s="14" t="s">
        <v>20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L10" s="4" t="s">
        <v>21</v>
      </c>
      <c r="BM10" s="15">
        <f t="shared" ref="BM10:BM28" si="2">B10</f>
        <v>1517</v>
      </c>
    </row>
    <row r="11" spans="1:65" ht="15.75" customHeight="1" x14ac:dyDescent="0.25">
      <c r="A11" s="21" t="s">
        <v>22</v>
      </c>
      <c r="B11" s="26">
        <f t="shared" si="1"/>
        <v>1112</v>
      </c>
      <c r="C11" s="29">
        <v>545</v>
      </c>
      <c r="D11" s="29">
        <v>567</v>
      </c>
      <c r="E11" s="14" t="s">
        <v>23</v>
      </c>
      <c r="BL11" s="4" t="s">
        <v>24</v>
      </c>
      <c r="BM11" s="15">
        <f t="shared" si="2"/>
        <v>1112</v>
      </c>
    </row>
    <row r="12" spans="1:65" ht="15.75" customHeight="1" x14ac:dyDescent="0.25">
      <c r="A12" s="21" t="s">
        <v>25</v>
      </c>
      <c r="B12" s="26">
        <f t="shared" si="1"/>
        <v>876</v>
      </c>
      <c r="C12" s="29">
        <v>351</v>
      </c>
      <c r="D12" s="29">
        <v>525</v>
      </c>
      <c r="E12" s="14" t="s">
        <v>26</v>
      </c>
      <c r="BL12" s="4" t="s">
        <v>27</v>
      </c>
      <c r="BM12" s="15">
        <f t="shared" si="2"/>
        <v>876</v>
      </c>
    </row>
    <row r="13" spans="1:65" ht="15.75" customHeight="1" x14ac:dyDescent="0.25">
      <c r="A13" s="21" t="s">
        <v>28</v>
      </c>
      <c r="B13" s="26">
        <f t="shared" si="1"/>
        <v>1298</v>
      </c>
      <c r="C13" s="29">
        <v>538</v>
      </c>
      <c r="D13" s="29">
        <v>760</v>
      </c>
      <c r="E13" s="14" t="s">
        <v>29</v>
      </c>
      <c r="BL13" s="4" t="s">
        <v>30</v>
      </c>
      <c r="BM13" s="15">
        <f t="shared" si="2"/>
        <v>1298</v>
      </c>
    </row>
    <row r="14" spans="1:65" ht="15.75" customHeight="1" x14ac:dyDescent="0.25">
      <c r="A14" s="21" t="s">
        <v>31</v>
      </c>
      <c r="B14" s="26">
        <f t="shared" si="1"/>
        <v>890</v>
      </c>
      <c r="C14" s="29">
        <v>323</v>
      </c>
      <c r="D14" s="29">
        <v>567</v>
      </c>
      <c r="E14" s="14" t="s">
        <v>32</v>
      </c>
      <c r="BF14" s="17"/>
      <c r="BG14" s="17"/>
      <c r="BH14" s="17"/>
      <c r="BL14" s="4" t="s">
        <v>33</v>
      </c>
      <c r="BM14" s="15">
        <f t="shared" si="2"/>
        <v>890</v>
      </c>
    </row>
    <row r="15" spans="1:65" ht="15.75" customHeight="1" x14ac:dyDescent="0.25">
      <c r="A15" s="21" t="s">
        <v>34</v>
      </c>
      <c r="B15" s="26">
        <f t="shared" si="1"/>
        <v>541</v>
      </c>
      <c r="C15" s="29">
        <v>184</v>
      </c>
      <c r="D15" s="29">
        <v>357</v>
      </c>
      <c r="E15" s="14" t="s">
        <v>35</v>
      </c>
      <c r="BF15" s="17"/>
      <c r="BG15" s="17"/>
      <c r="BH15" s="17"/>
      <c r="BL15" s="4" t="s">
        <v>36</v>
      </c>
      <c r="BM15" s="15">
        <f t="shared" si="2"/>
        <v>541</v>
      </c>
    </row>
    <row r="16" spans="1:65" ht="15.75" customHeight="1" x14ac:dyDescent="0.25">
      <c r="A16" s="21" t="s">
        <v>37</v>
      </c>
      <c r="B16" s="26">
        <f>SUM(C16:D16)</f>
        <v>893</v>
      </c>
      <c r="C16" s="29">
        <v>348</v>
      </c>
      <c r="D16" s="29">
        <v>545</v>
      </c>
      <c r="E16" s="14" t="s">
        <v>38</v>
      </c>
      <c r="BF16" s="17"/>
      <c r="BG16" s="17"/>
      <c r="BH16" s="17"/>
      <c r="BL16" s="4" t="s">
        <v>39</v>
      </c>
      <c r="BM16" s="15">
        <f t="shared" si="2"/>
        <v>893</v>
      </c>
    </row>
    <row r="17" spans="1:66" ht="15.75" customHeight="1" x14ac:dyDescent="0.25">
      <c r="A17" s="21" t="s">
        <v>40</v>
      </c>
      <c r="B17" s="26">
        <f t="shared" si="1"/>
        <v>559</v>
      </c>
      <c r="C17" s="29">
        <v>202</v>
      </c>
      <c r="D17" s="29">
        <v>357</v>
      </c>
      <c r="E17" s="14" t="s">
        <v>41</v>
      </c>
      <c r="G17" s="17"/>
      <c r="BF17" s="17"/>
      <c r="BG17" s="17"/>
      <c r="BH17" s="17"/>
      <c r="BL17" s="4" t="s">
        <v>42</v>
      </c>
      <c r="BM17" s="15">
        <f t="shared" si="2"/>
        <v>559</v>
      </c>
    </row>
    <row r="18" spans="1:66" ht="15.75" customHeight="1" x14ac:dyDescent="0.25">
      <c r="A18" s="21" t="s">
        <v>43</v>
      </c>
      <c r="B18" s="26">
        <f t="shared" si="1"/>
        <v>680</v>
      </c>
      <c r="C18" s="29">
        <v>206</v>
      </c>
      <c r="D18" s="29">
        <v>474</v>
      </c>
      <c r="E18" s="14" t="s">
        <v>44</v>
      </c>
      <c r="BF18" s="17"/>
      <c r="BG18" s="17"/>
      <c r="BH18" s="17"/>
      <c r="BL18" s="4" t="s">
        <v>45</v>
      </c>
      <c r="BM18" s="15">
        <f t="shared" si="2"/>
        <v>680</v>
      </c>
    </row>
    <row r="19" spans="1:66" ht="15.75" customHeight="1" x14ac:dyDescent="0.25">
      <c r="A19" s="21" t="s">
        <v>46</v>
      </c>
      <c r="B19" s="26">
        <f t="shared" si="1"/>
        <v>192</v>
      </c>
      <c r="C19" s="29">
        <v>66</v>
      </c>
      <c r="D19" s="29">
        <v>126</v>
      </c>
      <c r="E19" s="14" t="s">
        <v>47</v>
      </c>
      <c r="BF19" s="17"/>
      <c r="BG19" s="17"/>
      <c r="BH19" s="17"/>
      <c r="BL19" s="4" t="s">
        <v>48</v>
      </c>
      <c r="BM19" s="2">
        <f t="shared" si="2"/>
        <v>192</v>
      </c>
    </row>
    <row r="20" spans="1:66" ht="15.75" customHeight="1" x14ac:dyDescent="0.25">
      <c r="A20" s="21" t="s">
        <v>49</v>
      </c>
      <c r="B20" s="26">
        <f t="shared" si="1"/>
        <v>508</v>
      </c>
      <c r="C20" s="29">
        <v>226</v>
      </c>
      <c r="D20" s="29">
        <v>282</v>
      </c>
      <c r="E20" s="14" t="s">
        <v>50</v>
      </c>
      <c r="G20" s="17"/>
      <c r="BF20" s="17"/>
      <c r="BG20" s="17"/>
      <c r="BH20" s="17"/>
      <c r="BL20" s="4" t="s">
        <v>51</v>
      </c>
      <c r="BM20" s="2">
        <f t="shared" si="2"/>
        <v>508</v>
      </c>
    </row>
    <row r="21" spans="1:66" ht="15.75" customHeight="1" x14ac:dyDescent="0.25">
      <c r="A21" s="21" t="s">
        <v>52</v>
      </c>
      <c r="B21" s="26">
        <f t="shared" si="1"/>
        <v>510</v>
      </c>
      <c r="C21" s="29">
        <v>194</v>
      </c>
      <c r="D21" s="29">
        <v>316</v>
      </c>
      <c r="E21" s="14" t="s">
        <v>53</v>
      </c>
      <c r="BF21" s="17"/>
      <c r="BG21" s="17"/>
      <c r="BH21" s="17"/>
      <c r="BL21" s="4" t="s">
        <v>54</v>
      </c>
      <c r="BM21" s="2">
        <f t="shared" si="2"/>
        <v>510</v>
      </c>
      <c r="BN21" s="16"/>
    </row>
    <row r="22" spans="1:66" ht="15.75" customHeight="1" x14ac:dyDescent="0.25">
      <c r="A22" s="21" t="s">
        <v>55</v>
      </c>
      <c r="B22" s="26">
        <f t="shared" si="1"/>
        <v>555</v>
      </c>
      <c r="C22" s="29">
        <v>193</v>
      </c>
      <c r="D22" s="29">
        <v>362</v>
      </c>
      <c r="E22" s="14" t="s">
        <v>56</v>
      </c>
      <c r="BF22" s="17"/>
      <c r="BG22" s="17"/>
      <c r="BH22" s="17"/>
      <c r="BL22" s="4" t="s">
        <v>57</v>
      </c>
      <c r="BM22" s="2">
        <f t="shared" si="2"/>
        <v>555</v>
      </c>
      <c r="BN22" s="12"/>
    </row>
    <row r="23" spans="1:66" ht="15.75" customHeight="1" x14ac:dyDescent="0.25">
      <c r="A23" s="21" t="s">
        <v>58</v>
      </c>
      <c r="B23" s="26">
        <f t="shared" si="1"/>
        <v>1002</v>
      </c>
      <c r="C23" s="29">
        <v>432</v>
      </c>
      <c r="D23" s="29">
        <v>570</v>
      </c>
      <c r="E23" s="14" t="s">
        <v>59</v>
      </c>
      <c r="BF23" s="17"/>
      <c r="BG23" s="17"/>
      <c r="BH23" s="17"/>
      <c r="BL23" s="4" t="s">
        <v>60</v>
      </c>
      <c r="BM23" s="2">
        <f t="shared" si="2"/>
        <v>1002</v>
      </c>
      <c r="BN23" s="12"/>
    </row>
    <row r="24" spans="1:66" ht="15.75" customHeight="1" x14ac:dyDescent="0.25">
      <c r="A24" s="21" t="s">
        <v>61</v>
      </c>
      <c r="B24" s="26">
        <f t="shared" si="1"/>
        <v>991</v>
      </c>
      <c r="C24" s="29">
        <v>376</v>
      </c>
      <c r="D24" s="29">
        <v>615</v>
      </c>
      <c r="E24" s="14" t="s">
        <v>62</v>
      </c>
      <c r="BF24" s="17"/>
      <c r="BG24" s="17"/>
      <c r="BH24" s="17"/>
      <c r="BL24" s="4" t="s">
        <v>63</v>
      </c>
      <c r="BM24" s="15">
        <f t="shared" si="2"/>
        <v>991</v>
      </c>
      <c r="BN24" s="16"/>
    </row>
    <row r="25" spans="1:66" ht="15.75" customHeight="1" x14ac:dyDescent="0.25">
      <c r="A25" s="21" t="s">
        <v>64</v>
      </c>
      <c r="B25" s="26">
        <f t="shared" si="1"/>
        <v>675</v>
      </c>
      <c r="C25" s="29">
        <v>201</v>
      </c>
      <c r="D25" s="29">
        <v>474</v>
      </c>
      <c r="E25" s="14" t="s">
        <v>65</v>
      </c>
      <c r="BF25" s="17"/>
      <c r="BG25" s="17"/>
      <c r="BH25" s="17"/>
      <c r="BL25" s="4" t="s">
        <v>66</v>
      </c>
      <c r="BM25" s="15">
        <f t="shared" si="2"/>
        <v>675</v>
      </c>
      <c r="BN25" s="12"/>
    </row>
    <row r="26" spans="1:66" ht="15.75" customHeight="1" x14ac:dyDescent="0.25">
      <c r="A26" s="21" t="s">
        <v>67</v>
      </c>
      <c r="B26" s="26">
        <f t="shared" si="1"/>
        <v>910</v>
      </c>
      <c r="C26" s="29">
        <v>310</v>
      </c>
      <c r="D26" s="29">
        <v>600</v>
      </c>
      <c r="E26" s="14" t="s">
        <v>68</v>
      </c>
      <c r="BF26" s="17"/>
      <c r="BG26" s="17"/>
      <c r="BH26" s="17"/>
      <c r="BL26" s="4" t="s">
        <v>69</v>
      </c>
      <c r="BM26" s="15">
        <f t="shared" si="2"/>
        <v>910</v>
      </c>
      <c r="BN26" s="12"/>
    </row>
    <row r="27" spans="1:66" ht="15.75" customHeight="1" x14ac:dyDescent="0.25">
      <c r="A27" s="21" t="s">
        <v>70</v>
      </c>
      <c r="B27" s="26">
        <f t="shared" si="1"/>
        <v>620</v>
      </c>
      <c r="C27" s="29">
        <v>200</v>
      </c>
      <c r="D27" s="29">
        <v>420</v>
      </c>
      <c r="E27" s="14" t="s">
        <v>71</v>
      </c>
      <c r="BF27" s="17"/>
      <c r="BG27" s="17"/>
      <c r="BH27" s="17"/>
      <c r="BL27" s="4" t="s">
        <v>72</v>
      </c>
      <c r="BM27" s="15">
        <f t="shared" si="2"/>
        <v>620</v>
      </c>
      <c r="BN27" s="16"/>
    </row>
    <row r="28" spans="1:66" s="18" customFormat="1" ht="15.75" customHeight="1" x14ac:dyDescent="0.25">
      <c r="A28" s="22" t="s">
        <v>73</v>
      </c>
      <c r="B28" s="27">
        <f t="shared" si="1"/>
        <v>1174</v>
      </c>
      <c r="C28" s="30">
        <v>263</v>
      </c>
      <c r="D28" s="30">
        <v>911</v>
      </c>
      <c r="E28" s="23" t="s">
        <v>74</v>
      </c>
      <c r="BF28" s="17"/>
      <c r="BG28" s="17"/>
      <c r="BH28" s="17"/>
      <c r="BL28" s="5" t="s">
        <v>75</v>
      </c>
      <c r="BM28" s="20">
        <f t="shared" si="2"/>
        <v>1174</v>
      </c>
      <c r="BN28" s="16"/>
    </row>
    <row r="29" spans="1:66" ht="17.25" x14ac:dyDescent="0.25">
      <c r="A29" s="6" t="s">
        <v>5</v>
      </c>
      <c r="B29" s="17"/>
      <c r="C29" s="17"/>
      <c r="E29" s="3" t="s">
        <v>6</v>
      </c>
      <c r="BF29" s="17"/>
      <c r="BG29" s="17"/>
      <c r="BH29" s="17"/>
      <c r="BM29" s="17">
        <f>SUM(BM9:BM28)</f>
        <v>16601</v>
      </c>
      <c r="BN29" s="16"/>
    </row>
    <row r="30" spans="1:66" x14ac:dyDescent="0.25">
      <c r="BF30" s="17"/>
      <c r="BG30" s="17"/>
      <c r="BH30" s="17"/>
      <c r="BN30" s="12"/>
    </row>
    <row r="31" spans="1:66" x14ac:dyDescent="0.25">
      <c r="BF31" s="17"/>
      <c r="BG31" s="17"/>
      <c r="BH31" s="17"/>
      <c r="BN31" s="12"/>
    </row>
    <row r="32" spans="1:66" x14ac:dyDescent="0.25">
      <c r="BF32" s="17"/>
      <c r="BG32" s="17"/>
      <c r="BH32" s="17"/>
      <c r="BN32" s="16"/>
    </row>
    <row r="33" spans="58:66" x14ac:dyDescent="0.25">
      <c r="BF33" s="17"/>
      <c r="BG33" s="17"/>
      <c r="BH33" s="17"/>
      <c r="BN33" s="12"/>
    </row>
    <row r="34" spans="58:66" x14ac:dyDescent="0.25">
      <c r="BF34" s="17"/>
      <c r="BG34" s="17"/>
      <c r="BH34" s="17"/>
      <c r="BN34" s="12"/>
    </row>
    <row r="35" spans="58:66" x14ac:dyDescent="0.25">
      <c r="BF35" s="17"/>
      <c r="BG35" s="17"/>
      <c r="BH35" s="17"/>
      <c r="BN35" s="16"/>
    </row>
    <row r="36" spans="58:66" x14ac:dyDescent="0.25">
      <c r="BF36" s="17"/>
      <c r="BG36" s="17"/>
      <c r="BH36" s="17"/>
      <c r="BN36" s="12"/>
    </row>
    <row r="37" spans="58:66" x14ac:dyDescent="0.25">
      <c r="BN37" s="12"/>
    </row>
    <row r="38" spans="58:66" x14ac:dyDescent="0.25">
      <c r="BN38" s="16"/>
    </row>
    <row r="39" spans="58:66" x14ac:dyDescent="0.25">
      <c r="BN39" s="12"/>
    </row>
    <row r="44" spans="58:66" x14ac:dyDescent="0.25">
      <c r="BM44" s="9" t="s">
        <v>3</v>
      </c>
      <c r="BN44" s="9" t="s">
        <v>4</v>
      </c>
    </row>
    <row r="45" spans="58:66" x14ac:dyDescent="0.25">
      <c r="BL45" s="4" t="s">
        <v>18</v>
      </c>
      <c r="BM45" s="15">
        <f>C9</f>
        <v>415</v>
      </c>
      <c r="BN45" s="15">
        <f t="shared" ref="BM45:BN60" si="3">D9</f>
        <v>683</v>
      </c>
    </row>
    <row r="46" spans="58:66" x14ac:dyDescent="0.25">
      <c r="BL46" s="4" t="s">
        <v>21</v>
      </c>
      <c r="BM46" s="15">
        <f t="shared" si="3"/>
        <v>570</v>
      </c>
      <c r="BN46" s="15">
        <f t="shared" si="3"/>
        <v>947</v>
      </c>
    </row>
    <row r="47" spans="58:66" x14ac:dyDescent="0.25">
      <c r="BL47" s="4" t="s">
        <v>24</v>
      </c>
      <c r="BM47" s="15">
        <f t="shared" si="3"/>
        <v>545</v>
      </c>
      <c r="BN47" s="15">
        <f t="shared" si="3"/>
        <v>567</v>
      </c>
    </row>
    <row r="48" spans="58:66" x14ac:dyDescent="0.25">
      <c r="BL48" s="4" t="s">
        <v>27</v>
      </c>
      <c r="BM48" s="15">
        <f t="shared" si="3"/>
        <v>351</v>
      </c>
      <c r="BN48" s="15">
        <f t="shared" si="3"/>
        <v>525</v>
      </c>
    </row>
    <row r="49" spans="1:66" x14ac:dyDescent="0.25">
      <c r="BL49" s="4" t="s">
        <v>30</v>
      </c>
      <c r="BM49" s="15">
        <f t="shared" si="3"/>
        <v>538</v>
      </c>
      <c r="BN49" s="15">
        <f t="shared" si="3"/>
        <v>760</v>
      </c>
    </row>
    <row r="50" spans="1:66" x14ac:dyDescent="0.25">
      <c r="BL50" s="4" t="s">
        <v>33</v>
      </c>
      <c r="BM50" s="15">
        <f t="shared" si="3"/>
        <v>323</v>
      </c>
      <c r="BN50" s="15">
        <f t="shared" si="3"/>
        <v>567</v>
      </c>
    </row>
    <row r="51" spans="1:66" x14ac:dyDescent="0.25">
      <c r="A51" s="17"/>
      <c r="B51" s="17"/>
      <c r="BL51" s="4" t="s">
        <v>36</v>
      </c>
      <c r="BM51" s="15">
        <f t="shared" si="3"/>
        <v>184</v>
      </c>
      <c r="BN51" s="15">
        <f t="shared" si="3"/>
        <v>357</v>
      </c>
    </row>
    <row r="52" spans="1:66" x14ac:dyDescent="0.25">
      <c r="BL52" s="4" t="s">
        <v>39</v>
      </c>
      <c r="BM52" s="15">
        <f t="shared" si="3"/>
        <v>348</v>
      </c>
      <c r="BN52" s="15">
        <f t="shared" si="3"/>
        <v>545</v>
      </c>
    </row>
    <row r="53" spans="1:66" x14ac:dyDescent="0.25">
      <c r="BL53" s="4" t="s">
        <v>42</v>
      </c>
      <c r="BM53" s="15">
        <f t="shared" si="3"/>
        <v>202</v>
      </c>
      <c r="BN53" s="15">
        <f t="shared" si="3"/>
        <v>357</v>
      </c>
    </row>
    <row r="54" spans="1:66" x14ac:dyDescent="0.25">
      <c r="BL54" s="4" t="s">
        <v>45</v>
      </c>
      <c r="BM54" s="15">
        <f t="shared" si="3"/>
        <v>206</v>
      </c>
      <c r="BN54" s="15">
        <f t="shared" si="3"/>
        <v>474</v>
      </c>
    </row>
    <row r="55" spans="1:66" x14ac:dyDescent="0.25">
      <c r="A55" s="17"/>
      <c r="B55" s="17"/>
      <c r="BL55" s="4" t="s">
        <v>48</v>
      </c>
      <c r="BM55" s="15">
        <f t="shared" si="3"/>
        <v>66</v>
      </c>
      <c r="BN55" s="15">
        <f t="shared" si="3"/>
        <v>126</v>
      </c>
    </row>
    <row r="56" spans="1:66" x14ac:dyDescent="0.25">
      <c r="BL56" s="4" t="s">
        <v>51</v>
      </c>
      <c r="BM56" s="15">
        <f t="shared" si="3"/>
        <v>226</v>
      </c>
      <c r="BN56" s="15">
        <f t="shared" si="3"/>
        <v>282</v>
      </c>
    </row>
    <row r="57" spans="1:66" x14ac:dyDescent="0.25">
      <c r="BL57" s="4" t="s">
        <v>54</v>
      </c>
      <c r="BM57" s="15">
        <f t="shared" si="3"/>
        <v>194</v>
      </c>
      <c r="BN57" s="15">
        <f t="shared" si="3"/>
        <v>316</v>
      </c>
    </row>
    <row r="58" spans="1:66" x14ac:dyDescent="0.25">
      <c r="BL58" s="4" t="s">
        <v>57</v>
      </c>
      <c r="BM58" s="15">
        <f t="shared" si="3"/>
        <v>193</v>
      </c>
      <c r="BN58" s="15">
        <f t="shared" si="3"/>
        <v>362</v>
      </c>
    </row>
    <row r="59" spans="1:66" x14ac:dyDescent="0.25">
      <c r="BL59" s="4" t="s">
        <v>60</v>
      </c>
      <c r="BM59" s="15">
        <f t="shared" si="3"/>
        <v>432</v>
      </c>
      <c r="BN59" s="15">
        <f t="shared" si="3"/>
        <v>570</v>
      </c>
    </row>
    <row r="60" spans="1:66" x14ac:dyDescent="0.25">
      <c r="BL60" s="4" t="s">
        <v>63</v>
      </c>
      <c r="BM60" s="15">
        <f t="shared" si="3"/>
        <v>376</v>
      </c>
      <c r="BN60" s="15">
        <f t="shared" si="3"/>
        <v>615</v>
      </c>
    </row>
    <row r="61" spans="1:66" x14ac:dyDescent="0.25">
      <c r="BL61" s="4" t="s">
        <v>66</v>
      </c>
      <c r="BM61" s="15">
        <f t="shared" ref="BM61:BN64" si="4">C25</f>
        <v>201</v>
      </c>
      <c r="BN61" s="15">
        <f t="shared" si="4"/>
        <v>474</v>
      </c>
    </row>
    <row r="62" spans="1:66" x14ac:dyDescent="0.25">
      <c r="BL62" s="4" t="s">
        <v>69</v>
      </c>
      <c r="BM62" s="15">
        <f t="shared" si="4"/>
        <v>310</v>
      </c>
      <c r="BN62" s="15">
        <f t="shared" si="4"/>
        <v>600</v>
      </c>
    </row>
    <row r="63" spans="1:66" x14ac:dyDescent="0.25">
      <c r="BL63" s="4" t="s">
        <v>72</v>
      </c>
      <c r="BM63" s="15">
        <f t="shared" si="4"/>
        <v>200</v>
      </c>
      <c r="BN63" s="15">
        <f t="shared" si="4"/>
        <v>420</v>
      </c>
    </row>
    <row r="64" spans="1:66" x14ac:dyDescent="0.25">
      <c r="BL64" s="4" t="s">
        <v>75</v>
      </c>
      <c r="BM64" s="15">
        <f t="shared" si="4"/>
        <v>263</v>
      </c>
      <c r="BN64" s="15">
        <f t="shared" si="4"/>
        <v>911</v>
      </c>
    </row>
    <row r="68" spans="1:6" x14ac:dyDescent="0.25">
      <c r="A68" s="18"/>
      <c r="B68" s="18"/>
      <c r="C68" s="18"/>
      <c r="D68" s="18"/>
      <c r="E68" s="18"/>
      <c r="F68" s="18"/>
    </row>
    <row r="69" spans="1:6" ht="21" x14ac:dyDescent="0.55000000000000004">
      <c r="A69" s="1"/>
      <c r="B69" s="1"/>
      <c r="C69" s="1"/>
      <c r="D69" s="1"/>
      <c r="E69" s="1"/>
      <c r="F69" s="18"/>
    </row>
    <row r="70" spans="1:6" x14ac:dyDescent="0.25">
      <c r="A70" s="19"/>
      <c r="B70" s="19"/>
      <c r="C70" s="19"/>
      <c r="D70" s="19"/>
      <c r="E70" s="19"/>
      <c r="F70" s="18"/>
    </row>
    <row r="71" spans="1:6" x14ac:dyDescent="0.25">
      <c r="A71" s="18"/>
      <c r="B71" s="18"/>
      <c r="C71" s="18"/>
      <c r="D71" s="18"/>
      <c r="E71" s="18"/>
      <c r="F71" s="18"/>
    </row>
  </sheetData>
  <mergeCells count="4">
    <mergeCell ref="A1:E1"/>
    <mergeCell ref="A2:E2"/>
    <mergeCell ref="A4:A5"/>
    <mergeCell ref="E4:E5"/>
  </mergeCells>
  <conditionalFormatting sqref="B32">
    <cfRule type="duplicateValues" dxfId="12" priority="13"/>
  </conditionalFormatting>
  <conditionalFormatting sqref="B34">
    <cfRule type="duplicateValues" dxfId="11" priority="12"/>
  </conditionalFormatting>
  <conditionalFormatting sqref="B41">
    <cfRule type="duplicateValues" dxfId="10" priority="11"/>
  </conditionalFormatting>
  <conditionalFormatting sqref="B43">
    <cfRule type="duplicateValues" dxfId="9" priority="10"/>
  </conditionalFormatting>
  <conditionalFormatting sqref="B45:B48">
    <cfRule type="duplicateValues" dxfId="8" priority="9"/>
  </conditionalFormatting>
  <conditionalFormatting sqref="B50">
    <cfRule type="duplicateValues" dxfId="7" priority="8"/>
  </conditionalFormatting>
  <conditionalFormatting sqref="B67">
    <cfRule type="duplicateValues" dxfId="6" priority="7"/>
  </conditionalFormatting>
  <conditionalFormatting sqref="B69">
    <cfRule type="duplicateValues" dxfId="5" priority="6"/>
  </conditionalFormatting>
  <conditionalFormatting sqref="BM9:BM18 BM24:BM28">
    <cfRule type="duplicateValues" dxfId="4" priority="38"/>
  </conditionalFormatting>
  <conditionalFormatting sqref="BN21:BN39">
    <cfRule type="duplicateValues" dxfId="3" priority="39"/>
  </conditionalFormatting>
  <conditionalFormatting sqref="B1 B4:B5 B72:B1048576 B29:B68">
    <cfRule type="duplicateValues" dxfId="2" priority="40"/>
  </conditionalFormatting>
  <conditionalFormatting sqref="B33 B35:B40 B42 B44 B49 B51:B66 B1 B68 B4:B5 B72:B1048576 B29:B31">
    <cfRule type="duplicateValues" dxfId="1" priority="45"/>
  </conditionalFormatting>
  <conditionalFormatting sqref="B69">
    <cfRule type="duplicateValues" dxfId="0" priority="57"/>
  </conditionalFormatting>
  <pageMargins left="0.7" right="0.7" top="0.75" bottom="0.75" header="0.3" footer="0.3"/>
  <pageSetup paperSize="9" scale="75" orientation="portrait" horizontalDpi="4294967295" verticalDpi="4294967295" r:id="rId1"/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5.3</vt:lpstr>
      <vt:lpstr>'5.3'!Print_Area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2021-07-15T06:08:42Z</cp:lastPrinted>
  <dcterms:created xsi:type="dcterms:W3CDTF">2019-06-03T04:17:39Z</dcterms:created>
  <dcterms:modified xsi:type="dcterms:W3CDTF">2021-07-15T06:10:42Z</dcterms:modified>
</cp:coreProperties>
</file>