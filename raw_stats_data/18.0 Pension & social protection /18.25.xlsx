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841"/>
  </bookViews>
  <sheets>
    <sheet name="18.25" sheetId="24" r:id="rId1"/>
  </sheets>
  <externalReferences>
    <externalReference r:id="rId2"/>
  </externalReferences>
  <definedNames>
    <definedName name="_xlnm.Print_Area" localSheetId="0">'18.25'!$A$1:$J$260</definedName>
    <definedName name="_xlnm.Print_Titles" localSheetId="0">'18.25'!$3:$4</definedName>
  </definedNames>
  <calcPr calcId="162913"/>
</workbook>
</file>

<file path=xl/calcChain.xml><?xml version="1.0" encoding="utf-8"?>
<calcChain xmlns="http://schemas.openxmlformats.org/spreadsheetml/2006/main">
  <c r="G252" i="24" l="1"/>
  <c r="F252" i="24"/>
  <c r="E252" i="24"/>
  <c r="D252" i="24"/>
  <c r="C252" i="24"/>
  <c r="B252" i="24"/>
  <c r="G244" i="24"/>
  <c r="F244" i="24"/>
  <c r="E244" i="24"/>
  <c r="D244" i="24"/>
  <c r="C244" i="24"/>
  <c r="B244" i="24"/>
  <c r="G241" i="24"/>
  <c r="F241" i="24"/>
  <c r="E241" i="24"/>
  <c r="D241" i="24"/>
  <c r="C241" i="24"/>
  <c r="B241" i="24"/>
  <c r="G228" i="24"/>
  <c r="F228" i="24"/>
  <c r="D228" i="24"/>
  <c r="C228" i="24"/>
  <c r="B228" i="24"/>
  <c r="G216" i="24"/>
  <c r="F216" i="24"/>
  <c r="D216" i="24"/>
  <c r="C216" i="24"/>
  <c r="B216" i="24"/>
  <c r="G201" i="24"/>
  <c r="F201" i="24"/>
  <c r="D201" i="24"/>
  <c r="C201" i="24"/>
  <c r="B201" i="24"/>
  <c r="G186" i="24"/>
  <c r="F186" i="24"/>
  <c r="E186" i="24"/>
  <c r="D186" i="24"/>
  <c r="C186" i="24"/>
  <c r="B186" i="24"/>
  <c r="G176" i="24"/>
  <c r="F176" i="24"/>
  <c r="E176" i="24"/>
  <c r="D176" i="24"/>
  <c r="C176" i="24"/>
  <c r="B176" i="24"/>
  <c r="G169" i="24"/>
  <c r="F169" i="24"/>
  <c r="E169" i="24"/>
  <c r="D169" i="24"/>
  <c r="C169" i="24"/>
  <c r="B169" i="24"/>
  <c r="G158" i="24"/>
  <c r="F158" i="24"/>
  <c r="E158" i="24"/>
  <c r="D158" i="24"/>
  <c r="C158" i="24"/>
  <c r="B158" i="24"/>
  <c r="G151" i="24"/>
  <c r="F151" i="24"/>
  <c r="E151" i="24"/>
  <c r="D151" i="24"/>
  <c r="C151" i="24"/>
  <c r="B151" i="24"/>
  <c r="G139" i="24"/>
  <c r="F139" i="24"/>
  <c r="E139" i="24"/>
  <c r="D139" i="24"/>
  <c r="C139" i="24"/>
  <c r="B139" i="24"/>
  <c r="G129" i="24"/>
  <c r="F129" i="24"/>
  <c r="E129" i="24"/>
  <c r="D129" i="24"/>
  <c r="C129" i="24"/>
  <c r="B129" i="24"/>
  <c r="G118" i="24"/>
  <c r="F118" i="24"/>
  <c r="E118" i="24"/>
  <c r="D118" i="24"/>
  <c r="C118" i="24"/>
  <c r="B118" i="24"/>
  <c r="G111" i="24"/>
  <c r="F111" i="24"/>
  <c r="E111" i="24"/>
  <c r="D111" i="24"/>
  <c r="C111" i="24"/>
  <c r="B111" i="24"/>
  <c r="G96" i="24"/>
  <c r="F96" i="24"/>
  <c r="E96" i="24"/>
  <c r="D96" i="24"/>
  <c r="C96" i="24"/>
  <c r="B96" i="24"/>
  <c r="G77" i="24"/>
  <c r="F77" i="24"/>
  <c r="E77" i="24"/>
  <c r="D77" i="24"/>
  <c r="C77" i="24"/>
  <c r="B77" i="24"/>
  <c r="G62" i="24"/>
  <c r="F62" i="24"/>
  <c r="E62" i="24"/>
  <c r="D62" i="24"/>
  <c r="C62" i="24"/>
  <c r="B62" i="24"/>
  <c r="G44" i="24"/>
  <c r="F44" i="24"/>
  <c r="E44" i="24"/>
  <c r="D44" i="24"/>
  <c r="C44" i="24"/>
  <c r="B44" i="24"/>
  <c r="G26" i="24"/>
  <c r="F26" i="24"/>
  <c r="E26" i="24"/>
  <c r="D26" i="24"/>
  <c r="C26" i="24"/>
  <c r="B26" i="24"/>
  <c r="H8" i="24"/>
  <c r="G8" i="24"/>
  <c r="F8" i="24"/>
  <c r="E8" i="24"/>
  <c r="D8" i="24"/>
  <c r="C8" i="24"/>
  <c r="B8" i="24"/>
  <c r="B7" i="24" l="1"/>
  <c r="B5" i="24" s="1"/>
  <c r="E7" i="24"/>
  <c r="E5" i="24" s="1"/>
  <c r="C7" i="24"/>
  <c r="C5" i="24" s="1"/>
  <c r="D7" i="24"/>
  <c r="D5" i="24" s="1"/>
  <c r="G7" i="24"/>
  <c r="G5" i="24" s="1"/>
  <c r="F7" i="24"/>
  <c r="F5" i="24" s="1"/>
</calcChain>
</file>

<file path=xl/sharedStrings.xml><?xml version="1.0" encoding="utf-8"?>
<sst xmlns="http://schemas.openxmlformats.org/spreadsheetml/2006/main" count="477" uniqueCount="444">
  <si>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</si>
  <si>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</si>
  <si>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</si>
  <si>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</si>
  <si>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</si>
  <si>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</si>
  <si>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</si>
  <si>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</si>
  <si>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</si>
  <si>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</si>
  <si>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</si>
  <si>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</si>
  <si>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</si>
  <si>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</si>
  <si>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</si>
  <si>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</si>
  <si>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</si>
  <si>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</si>
  <si>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</si>
  <si>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</si>
  <si>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</si>
  <si>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</si>
  <si>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</si>
  <si>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</si>
  <si>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</si>
  <si>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</si>
  <si>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</si>
  <si>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</si>
  <si>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</si>
  <si>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</si>
  <si>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</si>
  <si>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</si>
  <si>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</si>
  <si>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</si>
  <si>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</si>
  <si>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</si>
  <si>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</si>
  <si>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</si>
  <si>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</si>
  <si>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</si>
  <si>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</si>
  <si>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</si>
  <si>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</si>
  <si>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</si>
  <si>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</si>
  <si>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</si>
  <si>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</si>
  <si>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</si>
  <si>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</si>
  <si>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</si>
  <si>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</si>
  <si>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</si>
  <si>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</si>
  <si>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</si>
  <si>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</si>
  <si>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</si>
  <si>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</si>
  <si>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</si>
  <si>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</si>
  <si>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</si>
  <si>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</si>
  <si>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</si>
  <si>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</si>
  <si>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</si>
  <si>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</si>
  <si>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</si>
  <si>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</si>
  <si>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</si>
  <si>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</si>
  <si>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</si>
  <si>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</si>
  <si>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</si>
  <si>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</si>
  <si>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</si>
  <si>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</si>
  <si>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</si>
  <si>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</si>
  <si>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</si>
  <si>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</si>
  <si>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</si>
  <si>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</si>
  <si>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</si>
  <si>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</si>
  <si>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</si>
  <si>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</si>
  <si>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</si>
  <si>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</si>
  <si>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</si>
  <si>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</si>
  <si>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</si>
  <si>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</si>
  <si>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</si>
  <si>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</si>
  <si>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</si>
  <si>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</si>
  <si>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</si>
  <si>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</si>
  <si>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</si>
  <si>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</si>
  <si>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</si>
  <si>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</si>
  <si>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</si>
  <si>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</si>
  <si>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</si>
  <si>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Faridhoo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</si>
  <si>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</si>
  <si>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</si>
  <si>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</si>
  <si>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</si>
  <si>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</si>
  <si>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</si>
  <si>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</si>
  <si>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</si>
  <si>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</si>
  <si>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</si>
  <si>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</si>
  <si>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</si>
  <si>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</si>
  <si>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</si>
  <si>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</si>
  <si>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</si>
  <si>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</si>
  <si>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</si>
  <si>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</si>
  <si>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</si>
  <si>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</si>
  <si>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</si>
  <si>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</si>
  <si>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</si>
  <si>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</si>
  <si>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</si>
  <si>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</si>
  <si>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</si>
  <si>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</si>
  <si>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</si>
  <si>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</si>
  <si>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</si>
  <si>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</si>
  <si>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</si>
  <si>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</si>
  <si>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</si>
  <si>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</si>
  <si>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</si>
  <si>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</si>
  <si>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</si>
  <si>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</si>
  <si>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</si>
  <si>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</si>
  <si>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</si>
  <si>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</si>
  <si>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</si>
  <si>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</si>
  <si>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</si>
  <si>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</si>
  <si>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</si>
  <si>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</si>
  <si>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</si>
  <si>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</si>
  <si>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</si>
  <si>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</si>
  <si>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</si>
  <si>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</si>
  <si>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</si>
  <si>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</si>
  <si>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</si>
  <si>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</si>
  <si>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</si>
  <si>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</si>
  <si>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</si>
  <si>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</si>
  <si>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</si>
  <si>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</si>
  <si>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</si>
  <si>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</si>
  <si>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</si>
  <si>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</si>
  <si>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</si>
  <si>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</si>
  <si>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</si>
  <si>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</si>
  <si>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</si>
  <si>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</si>
  <si>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</si>
  <si>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</si>
  <si>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</si>
  <si>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</si>
  <si>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</si>
  <si>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</si>
  <si>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</si>
  <si>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</si>
  <si>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</si>
  <si>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</si>
  <si>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</si>
  <si>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</si>
  <si>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</si>
  <si>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</si>
  <si>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</si>
  <si>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</si>
  <si>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</si>
  <si>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</si>
  <si>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</si>
  <si>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</si>
  <si>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</si>
  <si>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</si>
  <si>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</si>
  <si>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</si>
  <si>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</si>
  <si>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</si>
  <si>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</si>
  <si>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</si>
  <si>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</si>
  <si>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</si>
  <si>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</si>
  <si>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</si>
  <si>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</si>
  <si>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</si>
  <si>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</si>
  <si>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</si>
  <si>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</si>
  <si>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</si>
  <si>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</si>
  <si>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</si>
  <si>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</si>
  <si>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</si>
  <si>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</si>
  <si>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</si>
  <si>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</si>
  <si>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</si>
  <si>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</si>
  <si>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</si>
  <si>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</si>
  <si>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</si>
  <si>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</si>
  <si>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</si>
  <si>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</si>
  <si>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</si>
  <si>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</si>
  <si>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</si>
  <si>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</si>
  <si>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</si>
  <si>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</si>
  <si>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</si>
  <si>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</si>
  <si>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</si>
  <si>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</si>
  <si>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</si>
  <si>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</si>
  <si>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</si>
  <si>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</si>
  <si>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</si>
  <si>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</si>
  <si>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</si>
  <si>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</si>
  <si>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</si>
  <si>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</si>
  <si>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</si>
  <si>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</si>
  <si>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</si>
  <si>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</si>
  <si>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</si>
  <si>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</si>
  <si>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</si>
  <si>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</si>
  <si>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</si>
  <si>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</si>
  <si>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</si>
  <si>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</si>
  <si>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</si>
  <si>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</si>
  <si>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</si>
  <si>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</si>
  <si>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</si>
  <si>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</si>
  <si>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</si>
  <si>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</si>
  <si>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</si>
  <si>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</si>
  <si>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</si>
  <si>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</si>
  <si>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</si>
  <si>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</si>
  <si>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Madifushi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</si>
  <si>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</si>
  <si>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</si>
  <si>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</si>
  <si>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</si>
  <si>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</si>
  <si>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</si>
  <si>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</si>
  <si>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</si>
  <si>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</si>
  <si>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</si>
  <si>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</si>
  <si>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</si>
  <si>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</si>
  <si>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</si>
  <si>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</si>
  <si>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</si>
  <si>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</si>
  <si>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</si>
  <si>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</si>
  <si>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</si>
  <si>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</si>
  <si>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</si>
  <si>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</si>
  <si>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</si>
  <si>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</si>
  <si>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</si>
  <si>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</si>
  <si>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</si>
  <si>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</si>
  <si>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</si>
  <si>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</si>
  <si>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</si>
  <si>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</si>
  <si>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</si>
  <si>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</si>
  <si>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</si>
  <si>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</si>
  <si>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</si>
  <si>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</si>
  <si>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</si>
  <si>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</si>
  <si>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</si>
  <si>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</si>
  <si>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</si>
  <si>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</si>
  <si>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</si>
  <si>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</si>
  <si>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</si>
  <si>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</si>
  <si>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</si>
  <si>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</si>
  <si>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</si>
  <si>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</si>
  <si>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</si>
  <si>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</si>
  <si>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</si>
  <si>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</si>
  <si>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</si>
  <si>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</si>
  <si>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</si>
  <si>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</si>
  <si>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</si>
  <si>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</si>
  <si>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</si>
  <si>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</si>
  <si>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</si>
  <si>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</si>
  <si>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</si>
  <si>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</si>
  <si>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</si>
  <si>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</si>
  <si>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</si>
  <si>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</si>
  <si>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</si>
  <si>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</si>
  <si>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</si>
  <si>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</si>
  <si>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</si>
  <si>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</si>
  <si>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</si>
  <si>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</si>
  <si>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</si>
  <si>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</si>
  <si>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</si>
  <si>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</si>
  <si>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</si>
  <si>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</si>
  <si>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</si>
  <si>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</si>
  <si>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</si>
  <si>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</si>
  <si>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</si>
  <si>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</si>
  <si>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</si>
  <si>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</si>
  <si>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</si>
  <si>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</si>
  <si>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</si>
  <si>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</si>
  <si>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</si>
  <si>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</si>
  <si>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</si>
  <si>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</si>
  <si>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</si>
  <si>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</si>
  <si>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</si>
  <si>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</si>
  <si>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</si>
  <si>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</si>
  <si>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</si>
  <si>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</si>
  <si>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</si>
  <si>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މަޢުލޫމާތު ދެއްވީ: އާސަންދަ ޕްރައިވެޓް ލިމިޓެޑް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</si>
  <si>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</si>
  <si>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</si>
  <si>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</si>
  <si>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>Male'</t>
  </si>
  <si>
    <t xml:space="preserve">ރާއްޖެއިން ބޭރު ހޮސްޕިޓަލް </t>
  </si>
  <si>
    <t xml:space="preserve">އާސަންދަ  AASANDHA </t>
  </si>
  <si>
    <t>Hathifushi</t>
  </si>
  <si>
    <t>iSufitwh</t>
  </si>
  <si>
    <t>Udirwf</t>
  </si>
  <si>
    <t>Maakan'doodhoo</t>
  </si>
  <si>
    <t>1_/ UdUDnwkWm</t>
  </si>
  <si>
    <t>1_/  Udiawburif</t>
  </si>
  <si>
    <t xml:space="preserve">Ungulu </t>
  </si>
  <si>
    <t>އުނގުލު</t>
  </si>
  <si>
    <t>Udcnwm</t>
  </si>
  <si>
    <t xml:space="preserve"> 2_/ iSufiDwm</t>
  </si>
  <si>
    <t>Maathodaa</t>
  </si>
  <si>
    <t>WDotWm</t>
  </si>
  <si>
    <t>Fares</t>
  </si>
  <si>
    <t>cserwf</t>
  </si>
  <si>
    <t>Overseas Hospital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</si>
  <si>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</si>
  <si>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</si>
  <si>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</si>
  <si>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</si>
  <si>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</si>
  <si>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</si>
  <si>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t>Kalaidhoo</t>
  </si>
  <si>
    <t>ކަލައިދޫ</t>
  </si>
  <si>
    <t>Table 18.25 :  EXPENDITURE UNDER HEALTH INSURANCE SCHEMES BY ISLAND,  2014 - 2020</t>
  </si>
  <si>
    <t>ތާވަލް 18.25: އިޖްތިމާއީ ރައްކާތެރިކަމުގެ ދަށުން ހިނގިޚަރަދު 2014 - 2020</t>
  </si>
  <si>
    <t>އިންޑިޔާ</t>
  </si>
  <si>
    <t>ސްރީލަންކާ</t>
  </si>
  <si>
    <t>India</t>
  </si>
  <si>
    <t>Srilanka</t>
  </si>
  <si>
    <r>
      <t xml:space="preserve">Berinmadhoo </t>
    </r>
    <r>
      <rPr>
        <vertAlign val="superscript"/>
        <sz val="10"/>
        <rFont val="Arial"/>
        <family val="2"/>
      </rPr>
      <t>1_/</t>
    </r>
  </si>
  <si>
    <r>
      <t>1_/</t>
    </r>
    <r>
      <rPr>
        <sz val="9"/>
        <rFont val="A_Randhoo"/>
      </rPr>
      <t xml:space="preserve"> Udwmcnireb</t>
    </r>
  </si>
  <si>
    <r>
      <t xml:space="preserve">Firun'baidhoo </t>
    </r>
    <r>
      <rPr>
        <vertAlign val="superscript"/>
        <sz val="10"/>
        <rFont val="Arial"/>
        <family val="2"/>
      </rPr>
      <t>1_/</t>
    </r>
  </si>
  <si>
    <r>
      <t xml:space="preserve">Milandhoo </t>
    </r>
    <r>
      <rPr>
        <vertAlign val="superscript"/>
        <sz val="10"/>
        <rFont val="Arial"/>
        <family val="2"/>
      </rPr>
      <t>3_/</t>
    </r>
  </si>
  <si>
    <r>
      <t>3_/</t>
    </r>
    <r>
      <rPr>
        <sz val="9"/>
        <rFont val="A_Randhoo"/>
      </rPr>
      <t xml:space="preserve"> Udcnwlim</t>
    </r>
  </si>
  <si>
    <r>
      <t xml:space="preserve">Kandolhudhoo 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</si>
  <si>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UduLodnwk</t>
    </r>
  </si>
  <si>
    <r>
      <t xml:space="preserve">Dhuvaafaru  </t>
    </r>
    <r>
      <rPr>
        <vertAlign val="superscript"/>
        <sz val="10"/>
        <rFont val="Arial"/>
        <family val="2"/>
      </rPr>
      <t>3_/</t>
    </r>
  </si>
  <si>
    <r>
      <t xml:space="preserve">Madifushi </t>
    </r>
    <r>
      <rPr>
        <vertAlign val="superscript"/>
        <sz val="10"/>
        <rFont val="Arial"/>
        <family val="2"/>
      </rPr>
      <t>2_/</t>
    </r>
  </si>
  <si>
    <r>
      <t>Gemendhoo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</si>
  <si>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Udcnemeg</t>
    </r>
  </si>
  <si>
    <r>
      <t xml:space="preserve">Vilufushi </t>
    </r>
    <r>
      <rPr>
        <vertAlign val="superscript"/>
        <sz val="10"/>
        <rFont val="Arial"/>
        <family val="2"/>
      </rPr>
      <t>2_/</t>
    </r>
  </si>
  <si>
    <r>
      <t>2_/</t>
    </r>
    <r>
      <rPr>
        <sz val="9"/>
        <rFont val="A_Randhoo"/>
      </rPr>
      <t xml:space="preserve"> iSufuliv</t>
    </r>
  </si>
  <si>
    <r>
      <t>Dhiyadhoo</t>
    </r>
    <r>
      <rPr>
        <vertAlign val="superscript"/>
        <sz val="10"/>
        <rFont val="Calibri"/>
        <family val="2"/>
        <scheme val="minor"/>
      </rPr>
      <t xml:space="preserve"> 2_/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</si>
</sst>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General_)"/>
  </numFmts>
  <fonts count="2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1"/>
      <name val="Faruma"/>
    </font>
    <font>
      <b/>
      <sz val="9"/>
      <name val="Faruma"/>
    </font>
    <font>
      <sz val="9"/>
      <name val="Faruma"/>
    </font>
    <font>
      <vertAlign val="superscript"/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  <font>
      <b/>
      <sz val="9"/>
      <name val="Arial"/>
      <family val="2"/>
    </font>
    <font>
      <b/>
      <sz val="9"/>
      <name val="A_Randhoo"/>
    </font>
    <font>
      <sz val="11"/>
      <name val="Faruma"/>
    </font>
    <font>
      <sz val="11"/>
      <name val="Calibri"/>
      <family val="2"/>
      <scheme val="minor"/>
    </font>
    <font>
      <sz val="9"/>
      <name val="A_Randhoo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sz val="9"/>
      <name val="A_Reethi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7">
    <xf numFmtId="0" fontId="0" fillId="0" borderId="0"/>
    <xf numFmtId="0" fontId="3" fillId="0" borderId="1"/>
    <xf numFmtId="164" fontId="4" fillId="0" borderId="1"/>
    <xf numFmtId="0" fontId="1" fillId="0" borderId="1"/>
    <xf numFmtId="0" fontId="4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16" fillId="0" borderId="1"/>
    <xf numFmtId="0" fontId="17" fillId="0" borderId="1" applyFill="0" applyProtection="0"/>
    <xf numFmtId="0" fontId="18" fillId="0" borderId="1"/>
    <xf numFmtId="0" fontId="18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44">
    <xf numFmtId="0" fontId="0" fillId="0" borderId="0" xfId="0" applyFont="1" applyAlignment="1"/>
    <xf numFmtId="166" fontId="5" fillId="2" borderId="1" xfId="0" applyNumberFormat="1" applyFont="1" applyFill="1" applyBorder="1"/>
    <xf numFmtId="166" fontId="6" fillId="2" borderId="1" xfId="2" applyNumberFormat="1" applyFont="1" applyFill="1" applyBorder="1" applyAlignment="1" applyProtection="1">
      <alignment horizontal="left" vertical="center"/>
    </xf>
    <xf numFmtId="166" fontId="10" fillId="2" borderId="1" xfId="2" applyNumberFormat="1" applyFont="1" applyFill="1" applyBorder="1" applyAlignment="1" applyProtection="1">
      <alignment horizontal="left" vertical="center"/>
    </xf>
    <xf numFmtId="3" fontId="3" fillId="2" borderId="1" xfId="1" applyNumberFormat="1" applyFont="1" applyFill="1"/>
    <xf numFmtId="3" fontId="8" fillId="2" borderId="1" xfId="1" applyNumberFormat="1" applyFont="1" applyFill="1"/>
    <xf numFmtId="3" fontId="8" fillId="2" borderId="1" xfId="1" applyNumberFormat="1" applyFont="1" applyFill="1" applyBorder="1"/>
    <xf numFmtId="3" fontId="6" fillId="2" borderId="1" xfId="1" applyNumberFormat="1" applyFont="1" applyFill="1" applyBorder="1"/>
    <xf numFmtId="3" fontId="8" fillId="2" borderId="2" xfId="1" applyNumberFormat="1" applyFont="1" applyFill="1" applyBorder="1"/>
    <xf numFmtId="166" fontId="14" fillId="2" borderId="1" xfId="4" applyNumberFormat="1" applyFont="1" applyFill="1" applyAlignment="1">
      <alignment horizontal="right" vertical="center"/>
    </xf>
    <xf numFmtId="0" fontId="21" fillId="2" borderId="0" xfId="0" applyFont="1" applyFill="1"/>
    <xf numFmtId="0" fontId="9" fillId="2" borderId="2" xfId="1" applyNumberFormat="1" applyFont="1" applyFill="1" applyBorder="1" applyAlignment="1" applyProtection="1">
      <alignment horizontal="right" vertical="center"/>
    </xf>
    <xf numFmtId="164" fontId="6" fillId="2" borderId="1" xfId="6" applyNumberFormat="1" applyFont="1" applyFill="1" applyBorder="1" applyAlignment="1" applyProtection="1">
      <alignment horizontal="right" vertical="center"/>
    </xf>
    <xf numFmtId="3" fontId="13" fillId="2" borderId="1" xfId="1" applyNumberFormat="1" applyFont="1" applyFill="1" applyBorder="1" applyAlignment="1" applyProtection="1">
      <alignment horizontal="right" vertical="center" indent="2"/>
    </xf>
    <xf numFmtId="166" fontId="22" fillId="2" borderId="0" xfId="0" applyNumberFormat="1" applyFont="1" applyFill="1"/>
    <xf numFmtId="164" fontId="6" fillId="2" borderId="1" xfId="7" applyNumberFormat="1" applyFont="1" applyFill="1" applyAlignment="1">
      <alignment horizontal="right" vertical="center"/>
    </xf>
    <xf numFmtId="0" fontId="22" fillId="2" borderId="1" xfId="0" applyFont="1" applyFill="1" applyBorder="1"/>
    <xf numFmtId="166" fontId="22" fillId="2" borderId="1" xfId="0" applyNumberFormat="1" applyFont="1" applyFill="1" applyBorder="1"/>
    <xf numFmtId="164" fontId="6" fillId="2" borderId="1" xfId="6" applyNumberFormat="1" applyFont="1" applyFill="1" applyBorder="1" applyAlignment="1">
      <alignment horizontal="right" vertical="center"/>
    </xf>
    <xf numFmtId="3" fontId="20" fillId="2" borderId="1" xfId="1" applyNumberFormat="1" applyFont="1" applyFill="1" applyBorder="1" applyAlignment="1" applyProtection="1">
      <alignment horizontal="right" vertical="center" indent="2"/>
    </xf>
    <xf numFmtId="4" fontId="22" fillId="2" borderId="1" xfId="6" applyNumberFormat="1" applyFont="1" applyFill="1" applyBorder="1" applyAlignment="1">
      <alignment horizontal="center" vertical="center"/>
    </xf>
    <xf numFmtId="164" fontId="11" fillId="2" borderId="1" xfId="6" applyNumberFormat="1" applyFont="1" applyFill="1" applyBorder="1" applyAlignment="1">
      <alignment horizontal="right" vertical="center"/>
    </xf>
    <xf numFmtId="164" fontId="11" fillId="2" borderId="1" xfId="6" applyNumberFormat="1" applyFont="1" applyFill="1" applyAlignment="1">
      <alignment horizontal="right" vertical="center"/>
    </xf>
    <xf numFmtId="3" fontId="23" fillId="2" borderId="1" xfId="1" applyNumberFormat="1" applyFont="1" applyFill="1" applyBorder="1" applyAlignment="1" applyProtection="1">
      <alignment horizontal="right" vertical="center" indent="2"/>
    </xf>
    <xf numFmtId="3" fontId="25" fillId="2" borderId="1" xfId="1" applyNumberFormat="1" applyFont="1" applyFill="1" applyBorder="1" applyAlignment="1" applyProtection="1">
      <alignment horizontal="right" vertical="center" indent="2"/>
    </xf>
    <xf numFmtId="43" fontId="22" fillId="2" borderId="1" xfId="6" applyFont="1" applyFill="1" applyBorder="1"/>
    <xf numFmtId="3" fontId="26" fillId="2" borderId="1" xfId="1" applyNumberFormat="1" applyFont="1" applyFill="1" applyBorder="1" applyAlignment="1" applyProtection="1">
      <alignment horizontal="right" vertical="center" indent="2"/>
    </xf>
    <xf numFmtId="166" fontId="22" fillId="2" borderId="1" xfId="0" applyNumberFormat="1" applyFont="1" applyFill="1" applyBorder="1" applyAlignment="1">
      <alignment horizontal="right" indent="2"/>
    </xf>
    <xf numFmtId="3" fontId="23" fillId="2" borderId="1" xfId="1" applyNumberFormat="1" applyFont="1" applyFill="1" applyBorder="1" applyAlignment="1">
      <alignment horizontal="right" vertical="center" indent="2"/>
    </xf>
    <xf numFmtId="3" fontId="14" fillId="2" borderId="1" xfId="1" applyNumberFormat="1" applyFont="1" applyFill="1" applyBorder="1" applyAlignment="1" applyProtection="1">
      <alignment horizontal="right" vertical="center" indent="2"/>
    </xf>
    <xf numFmtId="43" fontId="22" fillId="2" borderId="1" xfId="6" applyFont="1" applyFill="1"/>
    <xf numFmtId="164" fontId="11" fillId="2" borderId="2" xfId="6" applyNumberFormat="1" applyFont="1" applyFill="1" applyBorder="1" applyAlignment="1">
      <alignment horizontal="right" vertical="center"/>
    </xf>
    <xf numFmtId="3" fontId="14" fillId="2" borderId="2" xfId="1" applyNumberFormat="1" applyFont="1" applyFill="1" applyBorder="1" applyAlignment="1" applyProtection="1">
      <alignment horizontal="right" vertical="center" indent="2"/>
    </xf>
    <xf numFmtId="3" fontId="27" fillId="2" borderId="1" xfId="1" applyNumberFormat="1" applyFont="1" applyFill="1" applyAlignment="1">
      <alignment vertical="center"/>
    </xf>
    <xf numFmtId="166" fontId="22" fillId="2" borderId="0" xfId="0" applyNumberFormat="1" applyFont="1" applyFill="1" applyAlignment="1">
      <alignment horizontal="right"/>
    </xf>
    <xf numFmtId="0" fontId="23" fillId="2" borderId="1" xfId="1" applyFont="1" applyFill="1" applyAlignment="1">
      <alignment horizontal="right" vertical="center"/>
    </xf>
    <xf numFmtId="3" fontId="10" fillId="2" borderId="1" xfId="1" applyNumberFormat="1" applyFont="1" applyFill="1" applyBorder="1" applyAlignment="1">
      <alignment vertical="center"/>
    </xf>
    <xf numFmtId="3" fontId="12" fillId="2" borderId="1" xfId="1" applyNumberFormat="1" applyFont="1" applyFill="1" applyAlignment="1">
      <alignment horizontal="center" vertical="center" readingOrder="2"/>
    </xf>
    <xf numFmtId="3" fontId="19" fillId="2" borderId="3" xfId="1" applyNumberFormat="1" applyFont="1" applyFill="1" applyBorder="1" applyAlignment="1">
      <alignment horizontal="left" vertical="center"/>
    </xf>
    <xf numFmtId="3" fontId="19" fillId="2" borderId="2" xfId="1" applyNumberFormat="1" applyFont="1" applyFill="1" applyBorder="1" applyAlignment="1">
      <alignment horizontal="left" vertical="center"/>
    </xf>
    <xf numFmtId="3" fontId="9" fillId="2" borderId="2" xfId="1" applyNumberFormat="1" applyFont="1" applyFill="1" applyBorder="1" applyAlignment="1" applyProtection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3" fontId="20" fillId="2" borderId="3" xfId="1" applyNumberFormat="1" applyFont="1" applyFill="1" applyBorder="1" applyAlignment="1">
      <alignment horizontal="center" vertical="center" wrapText="1"/>
    </xf>
    <xf numFmtId="3" fontId="20" fillId="2" borderId="2" xfId="1" applyNumberFormat="1" applyFont="1" applyFill="1" applyBorder="1" applyAlignment="1">
      <alignment horizontal="center" vertical="center" wrapText="1"/>
    </xf>
  </cellXfs>
  <cellStyles count="17">
    <cellStyle name="Comma 23" xfId="7"/>
    <cellStyle name="Comma 3" xfId="6"/>
    <cellStyle name="Normal" xfId="0" builtinId="0"/>
    <cellStyle name="Normal 10" xfId="12"/>
    <cellStyle name="Normal 12" xfId="5"/>
    <cellStyle name="Normal 2" xfId="2"/>
    <cellStyle name="Normal 25" xfId="16"/>
    <cellStyle name="Normal 3" xfId="9"/>
    <cellStyle name="Normal 3 2" xfId="3"/>
    <cellStyle name="Normal 30" xfId="11"/>
    <cellStyle name="Normal 4" xfId="10"/>
    <cellStyle name="Normal 54" xfId="13"/>
    <cellStyle name="Normal 58" xfId="15"/>
    <cellStyle name="Normal 59" xfId="14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B2EDEC"/>
      <color rgb="FF249390"/>
      <color rgb="FF33CCCC"/>
      <color rgb="FFFFBC79"/>
      <color rgb="FFBFF0EF"/>
      <color rgb="FFEAFAFA"/>
      <color rgb="FFFF9900"/>
      <color rgb="FF196563"/>
      <color rgb="FFFFDAA3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1164428500.4760997</v>
          </cell>
        </row>
        <row r="8">
          <cell r="A8" t="str">
            <v>Atolls</v>
          </cell>
          <cell r="B8">
            <v>725519558.47500014</v>
          </cell>
        </row>
        <row r="9">
          <cell r="A9" t="str">
            <v>Overseas</v>
          </cell>
          <cell r="B9">
            <v>124721731.0976</v>
          </cell>
        </row>
        <row r="11">
          <cell r="Q11">
            <v>2016</v>
          </cell>
          <cell r="R11">
            <v>2017</v>
          </cell>
          <cell r="S11">
            <v>2018</v>
          </cell>
          <cell r="T11">
            <v>2019</v>
          </cell>
          <cell r="U11">
            <v>2020</v>
          </cell>
        </row>
        <row r="12">
          <cell r="N12" t="str">
            <v>Republic</v>
          </cell>
          <cell r="Q12">
            <v>1675199187.0308001</v>
          </cell>
          <cell r="R12">
            <v>1797290685.4405</v>
          </cell>
          <cell r="S12">
            <v>2164672441.0613999</v>
          </cell>
          <cell r="T12">
            <v>2433716952.1484995</v>
          </cell>
          <cell r="U12">
            <v>2014669790.0487001</v>
          </cell>
        </row>
        <row r="13">
          <cell r="N13" t="str">
            <v xml:space="preserve">Male' </v>
          </cell>
          <cell r="Q13">
            <v>899761456.92000008</v>
          </cell>
          <cell r="R13">
            <v>1040187042.5204999</v>
          </cell>
          <cell r="S13">
            <v>1255240833.9584999</v>
          </cell>
          <cell r="T13">
            <v>1488868041.2019994</v>
          </cell>
          <cell r="U13">
            <v>1164428500.4760997</v>
          </cell>
        </row>
        <row r="14">
          <cell r="N14" t="str">
            <v>Atolls</v>
          </cell>
          <cell r="Q14">
            <v>552084045.86000001</v>
          </cell>
          <cell r="R14">
            <v>582040521.91999996</v>
          </cell>
          <cell r="S14">
            <v>642497891.10289991</v>
          </cell>
          <cell r="T14">
            <v>665276794.77769983</v>
          </cell>
          <cell r="U14">
            <v>725519558.47500014</v>
          </cell>
        </row>
        <row r="15">
          <cell r="N15" t="str">
            <v>Overseas</v>
          </cell>
          <cell r="Q15">
            <v>223353684.25080001</v>
          </cell>
          <cell r="R15">
            <v>175063121</v>
          </cell>
          <cell r="S15">
            <v>266933716</v>
          </cell>
          <cell r="T15">
            <v>279572116.1688</v>
          </cell>
          <cell r="U15">
            <v>124721731.0976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60"/>
  <sheetViews>
    <sheetView tabSelected="1" zoomScaleNormal="100" workbookViewId="0">
      <selection activeCell="I28" sqref="I28"/>
    </sheetView>
  </sheetViews>
  <sheetFormatPr defaultRowHeight="15" x14ac:dyDescent="0.25"/>
  <cols>
    <col min="1" max="1" width="27.140625" style="14" customWidth="1"/>
    <col min="2" max="8" width="18.140625" style="34" customWidth="1"/>
    <col min="9" max="9" width="27.7109375" style="14" customWidth="1"/>
    <col min="10" max="10" width="1.28515625" style="30" customWidth="1"/>
    <col min="11" max="16384" width="9.140625" style="14"/>
  </cols>
  <sheetData>
    <row r="1" spans="1:10" s="4" customFormat="1" ht="21" x14ac:dyDescent="0.2">
      <c r="A1" s="37" t="s">
        <v>425</v>
      </c>
      <c r="B1" s="37"/>
      <c r="C1" s="37"/>
      <c r="D1" s="37"/>
      <c r="E1" s="37"/>
      <c r="F1" s="37"/>
      <c r="G1" s="37"/>
      <c r="H1" s="37"/>
      <c r="I1" s="37"/>
    </row>
    <row r="2" spans="1:10" s="4" customFormat="1" x14ac:dyDescent="0.25">
      <c r="A2" s="40" t="s">
        <v>424</v>
      </c>
      <c r="B2" s="40"/>
      <c r="C2" s="40"/>
      <c r="D2" s="40"/>
      <c r="E2" s="40"/>
      <c r="F2" s="40"/>
      <c r="G2" s="40"/>
      <c r="H2" s="40"/>
      <c r="I2" s="40"/>
    </row>
    <row r="3" spans="1:10" s="10" customFormat="1" ht="21" customHeight="1" x14ac:dyDescent="0.55000000000000004">
      <c r="A3" s="38" t="s">
        <v>0</v>
      </c>
      <c r="B3" s="41" t="s">
        <v>400</v>
      </c>
      <c r="C3" s="41"/>
      <c r="D3" s="41"/>
      <c r="E3" s="41"/>
      <c r="F3" s="41"/>
      <c r="G3" s="41"/>
      <c r="H3" s="41"/>
      <c r="I3" s="42" t="s">
        <v>1</v>
      </c>
    </row>
    <row r="4" spans="1:10" s="1" customFormat="1" ht="18.75" customHeight="1" x14ac:dyDescent="0.15">
      <c r="A4" s="39"/>
      <c r="B4" s="11">
        <v>2014</v>
      </c>
      <c r="C4" s="11">
        <v>2015</v>
      </c>
      <c r="D4" s="11">
        <v>2016</v>
      </c>
      <c r="E4" s="11">
        <v>2017</v>
      </c>
      <c r="F4" s="11">
        <v>2018</v>
      </c>
      <c r="G4" s="11">
        <v>2019</v>
      </c>
      <c r="H4" s="11">
        <v>2020</v>
      </c>
      <c r="I4" s="43"/>
    </row>
    <row r="5" spans="1:10" ht="17.25" x14ac:dyDescent="0.25">
      <c r="A5" s="2" t="s">
        <v>2</v>
      </c>
      <c r="B5" s="12">
        <f t="shared" ref="B5:E5" si="0">SUM(B6:B7)+B252</f>
        <v>1063054680.1289001</v>
      </c>
      <c r="C5" s="12">
        <f t="shared" si="0"/>
        <v>1400609841.9116001</v>
      </c>
      <c r="D5" s="12">
        <f t="shared" si="0"/>
        <v>1675199186.7923002</v>
      </c>
      <c r="E5" s="12">
        <f t="shared" si="0"/>
        <v>1797290685.4303999</v>
      </c>
      <c r="F5" s="12">
        <f>SUM(F6:F7)+F252</f>
        <v>2164672441.0654001</v>
      </c>
      <c r="G5" s="12">
        <f>SUM(G6:G7)+G252</f>
        <v>2433716952.1478</v>
      </c>
      <c r="H5" s="12">
        <v>2014669790.0486999</v>
      </c>
      <c r="I5" s="13" t="s">
        <v>3</v>
      </c>
      <c r="J5" s="14"/>
    </row>
    <row r="6" spans="1:10" s="17" customFormat="1" ht="17.25" x14ac:dyDescent="0.25">
      <c r="A6" s="2" t="s">
        <v>398</v>
      </c>
      <c r="B6" s="12">
        <v>529844339.34140003</v>
      </c>
      <c r="C6" s="12">
        <v>694778647.79130006</v>
      </c>
      <c r="D6" s="12">
        <v>899761456.66649997</v>
      </c>
      <c r="E6" s="12">
        <v>1040187042.5204</v>
      </c>
      <c r="F6" s="15">
        <v>1255240833.9584999</v>
      </c>
      <c r="G6" s="15">
        <v>1480247823.2513001</v>
      </c>
      <c r="H6" s="15">
        <v>1164428500.4761</v>
      </c>
      <c r="I6" s="13" t="s">
        <v>4</v>
      </c>
      <c r="J6" s="16"/>
    </row>
    <row r="7" spans="1:10" s="17" customFormat="1" ht="17.25" x14ac:dyDescent="0.25">
      <c r="A7" s="2" t="s">
        <v>5</v>
      </c>
      <c r="B7" s="12">
        <f t="shared" ref="B7:G7" si="1">B8+B26+B44+B62+B77+B96+B111+B118+B129+B139+B151+B158+B169+B176+B186+B201+B216+B228+B241+B244</f>
        <v>364203693.46630001</v>
      </c>
      <c r="C7" s="12">
        <f t="shared" si="1"/>
        <v>483525096.47310001</v>
      </c>
      <c r="D7" s="12">
        <f t="shared" si="1"/>
        <v>552084045.875</v>
      </c>
      <c r="E7" s="12">
        <f t="shared" si="1"/>
        <v>582040521.90999997</v>
      </c>
      <c r="F7" s="12">
        <f t="shared" si="1"/>
        <v>642497891.10689998</v>
      </c>
      <c r="G7" s="12">
        <f t="shared" si="1"/>
        <v>673897012.7277</v>
      </c>
      <c r="H7" s="12">
        <v>725519558.4749999</v>
      </c>
      <c r="I7" s="13" t="s">
        <v>6</v>
      </c>
      <c r="J7" s="16"/>
    </row>
    <row r="8" spans="1:10" s="17" customFormat="1" x14ac:dyDescent="0.25">
      <c r="A8" s="7" t="s">
        <v>7</v>
      </c>
      <c r="B8" s="18">
        <f t="shared" ref="B8:E8" si="2">SUM(B9:B24)</f>
        <v>21476572.449999999</v>
      </c>
      <c r="C8" s="18">
        <f t="shared" si="2"/>
        <v>28247167.650000002</v>
      </c>
      <c r="D8" s="18">
        <f t="shared" si="2"/>
        <v>30277717.990000006</v>
      </c>
      <c r="E8" s="18">
        <f t="shared" si="2"/>
        <v>34032071.780000001</v>
      </c>
      <c r="F8" s="18">
        <f>SUM(F9:F24)</f>
        <v>37849375.520000003</v>
      </c>
      <c r="G8" s="18">
        <f>SUM(G9:G24)</f>
        <v>40448262.304399997</v>
      </c>
      <c r="H8" s="18">
        <f>SUM(H9:H24)</f>
        <v>42511028.648000002</v>
      </c>
      <c r="I8" s="19" t="s">
        <v>8</v>
      </c>
      <c r="J8" s="20"/>
    </row>
    <row r="9" spans="1:10" s="17" customFormat="1" x14ac:dyDescent="0.25">
      <c r="A9" s="6" t="s">
        <v>47</v>
      </c>
      <c r="B9" s="21">
        <v>110392</v>
      </c>
      <c r="C9" s="21">
        <v>303486.27</v>
      </c>
      <c r="D9" s="21">
        <v>451313.77</v>
      </c>
      <c r="E9" s="21">
        <v>362834.89</v>
      </c>
      <c r="F9" s="22">
        <v>512466.27</v>
      </c>
      <c r="G9" s="22">
        <v>443615.94000000006</v>
      </c>
      <c r="H9" s="22">
        <v>722329.28</v>
      </c>
      <c r="I9" s="23" t="s">
        <v>48</v>
      </c>
      <c r="J9" s="16"/>
    </row>
    <row r="10" spans="1:10" s="17" customFormat="1" x14ac:dyDescent="0.25">
      <c r="A10" s="6" t="s">
        <v>49</v>
      </c>
      <c r="B10" s="21">
        <v>411540.03</v>
      </c>
      <c r="C10" s="21">
        <v>677867.32</v>
      </c>
      <c r="D10" s="21">
        <v>611016.87</v>
      </c>
      <c r="E10" s="21">
        <v>652813.66</v>
      </c>
      <c r="F10" s="22">
        <v>629205.62</v>
      </c>
      <c r="G10" s="22">
        <v>607703.58600000001</v>
      </c>
      <c r="H10" s="22">
        <v>531088.1</v>
      </c>
      <c r="I10" s="23" t="s">
        <v>50</v>
      </c>
      <c r="J10" s="16"/>
    </row>
    <row r="11" spans="1:10" s="17" customFormat="1" x14ac:dyDescent="0.25">
      <c r="A11" s="6" t="s">
        <v>430</v>
      </c>
      <c r="B11" s="21">
        <v>0</v>
      </c>
      <c r="C11" s="21">
        <v>0</v>
      </c>
      <c r="D11" s="21">
        <v>0</v>
      </c>
      <c r="E11" s="21">
        <v>0</v>
      </c>
      <c r="F11" s="22">
        <v>0</v>
      </c>
      <c r="G11" s="22">
        <v>0</v>
      </c>
      <c r="H11" s="22">
        <v>0</v>
      </c>
      <c r="I11" s="24" t="s">
        <v>431</v>
      </c>
      <c r="J11" s="16"/>
    </row>
    <row r="12" spans="1:10" s="17" customFormat="1" x14ac:dyDescent="0.25">
      <c r="A12" s="6" t="s">
        <v>401</v>
      </c>
      <c r="B12" s="21">
        <v>0</v>
      </c>
      <c r="C12" s="21">
        <v>0</v>
      </c>
      <c r="D12" s="21">
        <v>0</v>
      </c>
      <c r="E12" s="21">
        <v>0</v>
      </c>
      <c r="F12" s="22">
        <v>0</v>
      </c>
      <c r="G12" s="22">
        <v>0</v>
      </c>
      <c r="H12" s="22">
        <v>0</v>
      </c>
      <c r="I12" s="23" t="s">
        <v>402</v>
      </c>
      <c r="J12" s="16"/>
    </row>
    <row r="13" spans="1:10" s="17" customFormat="1" x14ac:dyDescent="0.25">
      <c r="A13" s="6" t="s">
        <v>51</v>
      </c>
      <c r="B13" s="21">
        <v>81191.06</v>
      </c>
      <c r="C13" s="21">
        <v>204972.37</v>
      </c>
      <c r="D13" s="21">
        <v>234280.72</v>
      </c>
      <c r="E13" s="21">
        <v>213846.87</v>
      </c>
      <c r="F13" s="22">
        <v>274333.94</v>
      </c>
      <c r="G13" s="22">
        <v>334044.08999999997</v>
      </c>
      <c r="H13" s="22">
        <v>303664.34000000003</v>
      </c>
      <c r="I13" s="23" t="s">
        <v>52</v>
      </c>
      <c r="J13" s="16"/>
    </row>
    <row r="14" spans="1:10" s="17" customFormat="1" x14ac:dyDescent="0.25">
      <c r="A14" s="6" t="s">
        <v>53</v>
      </c>
      <c r="B14" s="21">
        <v>3352948.96</v>
      </c>
      <c r="C14" s="21">
        <v>4703349.18</v>
      </c>
      <c r="D14" s="21">
        <v>4215672.88</v>
      </c>
      <c r="E14" s="21">
        <v>5485853.6100000003</v>
      </c>
      <c r="F14" s="22">
        <v>5729946.75</v>
      </c>
      <c r="G14" s="22">
        <v>5722525.0539999995</v>
      </c>
      <c r="H14" s="22">
        <v>4666035.49</v>
      </c>
      <c r="I14" s="23" t="s">
        <v>54</v>
      </c>
      <c r="J14" s="16"/>
    </row>
    <row r="15" spans="1:10" s="17" customFormat="1" x14ac:dyDescent="0.25">
      <c r="A15" s="6" t="s">
        <v>55</v>
      </c>
      <c r="B15" s="21">
        <v>3699111.32</v>
      </c>
      <c r="C15" s="21">
        <v>4411492.28</v>
      </c>
      <c r="D15" s="21">
        <v>4981885.9800000004</v>
      </c>
      <c r="E15" s="21">
        <v>5767293.3099999996</v>
      </c>
      <c r="F15" s="22">
        <v>6517718.9299999997</v>
      </c>
      <c r="G15" s="22">
        <v>4685898.767</v>
      </c>
      <c r="H15" s="22">
        <v>4904732.0920000002</v>
      </c>
      <c r="I15" s="23" t="s">
        <v>56</v>
      </c>
      <c r="J15" s="16"/>
    </row>
    <row r="16" spans="1:10" s="17" customFormat="1" x14ac:dyDescent="0.25">
      <c r="A16" s="6" t="s">
        <v>57</v>
      </c>
      <c r="B16" s="21">
        <v>1145015.6200000001</v>
      </c>
      <c r="C16" s="21">
        <v>1305014.24</v>
      </c>
      <c r="D16" s="21">
        <v>1410016.69</v>
      </c>
      <c r="E16" s="21">
        <v>1653736.76</v>
      </c>
      <c r="F16" s="22">
        <v>1617353.81</v>
      </c>
      <c r="G16" s="22">
        <v>1683315.2561999999</v>
      </c>
      <c r="H16" s="22">
        <v>1982397.59</v>
      </c>
      <c r="I16" s="23" t="s">
        <v>58</v>
      </c>
      <c r="J16" s="16"/>
    </row>
    <row r="17" spans="1:10" s="17" customFormat="1" x14ac:dyDescent="0.25">
      <c r="A17" s="6" t="s">
        <v>59</v>
      </c>
      <c r="B17" s="21">
        <v>223033.25</v>
      </c>
      <c r="C17" s="21">
        <v>206227.25</v>
      </c>
      <c r="D17" s="21">
        <v>280469.34000000003</v>
      </c>
      <c r="E17" s="21">
        <v>274281.78000000003</v>
      </c>
      <c r="F17" s="22">
        <v>388069</v>
      </c>
      <c r="G17" s="22">
        <v>430031.13219999999</v>
      </c>
      <c r="H17" s="22">
        <v>420281.52</v>
      </c>
      <c r="I17" s="23" t="s">
        <v>60</v>
      </c>
      <c r="J17" s="25"/>
    </row>
    <row r="18" spans="1:10" s="17" customFormat="1" x14ac:dyDescent="0.25">
      <c r="A18" s="6" t="s">
        <v>61</v>
      </c>
      <c r="B18" s="21">
        <v>10578885.48</v>
      </c>
      <c r="C18" s="21">
        <v>13362402.58</v>
      </c>
      <c r="D18" s="21">
        <v>14253200.630000001</v>
      </c>
      <c r="E18" s="21">
        <v>16222916.25</v>
      </c>
      <c r="F18" s="22">
        <v>18704374.280000001</v>
      </c>
      <c r="G18" s="22">
        <v>21661623.913199998</v>
      </c>
      <c r="H18" s="22">
        <v>24183973.010000002</v>
      </c>
      <c r="I18" s="23" t="s">
        <v>62</v>
      </c>
      <c r="J18" s="25"/>
    </row>
    <row r="19" spans="1:10" s="17" customFormat="1" x14ac:dyDescent="0.25">
      <c r="A19" s="6" t="s">
        <v>63</v>
      </c>
      <c r="B19" s="21">
        <v>242342.2</v>
      </c>
      <c r="C19" s="21">
        <v>514528.94</v>
      </c>
      <c r="D19" s="21">
        <v>493447.92</v>
      </c>
      <c r="E19" s="21">
        <v>656082.69999999995</v>
      </c>
      <c r="F19" s="22">
        <v>562171.93999999994</v>
      </c>
      <c r="G19" s="22">
        <v>658561.78999999992</v>
      </c>
      <c r="H19" s="22">
        <v>720896.06</v>
      </c>
      <c r="I19" s="23" t="s">
        <v>64</v>
      </c>
      <c r="J19" s="25"/>
    </row>
    <row r="20" spans="1:10" s="17" customFormat="1" x14ac:dyDescent="0.25">
      <c r="A20" s="6" t="s">
        <v>65</v>
      </c>
      <c r="B20" s="21">
        <v>387950.96</v>
      </c>
      <c r="C20" s="21">
        <v>717320.22</v>
      </c>
      <c r="D20" s="21">
        <v>832886.51</v>
      </c>
      <c r="E20" s="21">
        <v>757849.11</v>
      </c>
      <c r="F20" s="22">
        <v>748890.07</v>
      </c>
      <c r="G20" s="22">
        <v>881787.08900000004</v>
      </c>
      <c r="H20" s="22">
        <v>932238.26</v>
      </c>
      <c r="I20" s="23" t="s">
        <v>66</v>
      </c>
      <c r="J20" s="25"/>
    </row>
    <row r="21" spans="1:10" s="17" customFormat="1" x14ac:dyDescent="0.25">
      <c r="A21" s="6" t="s">
        <v>67</v>
      </c>
      <c r="B21" s="21">
        <v>112240.23</v>
      </c>
      <c r="C21" s="21">
        <v>164197.39000000001</v>
      </c>
      <c r="D21" s="21">
        <v>337649.41</v>
      </c>
      <c r="E21" s="21">
        <v>317806.12</v>
      </c>
      <c r="F21" s="22">
        <v>288762.71999999997</v>
      </c>
      <c r="G21" s="22">
        <v>245922.408</v>
      </c>
      <c r="H21" s="22">
        <v>456295.86</v>
      </c>
      <c r="I21" s="23" t="s">
        <v>68</v>
      </c>
      <c r="J21" s="25"/>
    </row>
    <row r="22" spans="1:10" s="17" customFormat="1" x14ac:dyDescent="0.25">
      <c r="A22" s="6" t="s">
        <v>69</v>
      </c>
      <c r="B22" s="21">
        <v>94363.97</v>
      </c>
      <c r="C22" s="21">
        <v>138161.99</v>
      </c>
      <c r="D22" s="21">
        <v>322104.03000000003</v>
      </c>
      <c r="E22" s="21">
        <v>363643</v>
      </c>
      <c r="F22" s="22">
        <v>386207.13</v>
      </c>
      <c r="G22" s="22">
        <v>499298.50199999998</v>
      </c>
      <c r="H22" s="22">
        <v>420442.62</v>
      </c>
      <c r="I22" s="23" t="s">
        <v>70</v>
      </c>
      <c r="J22" s="16"/>
    </row>
    <row r="23" spans="1:10" s="17" customFormat="1" x14ac:dyDescent="0.25">
      <c r="A23" s="6" t="s">
        <v>71</v>
      </c>
      <c r="B23" s="21">
        <v>126094.5</v>
      </c>
      <c r="C23" s="21">
        <v>148149.85999999999</v>
      </c>
      <c r="D23" s="21">
        <v>388530.81</v>
      </c>
      <c r="E23" s="21">
        <v>460771.71</v>
      </c>
      <c r="F23" s="22">
        <v>425730.96</v>
      </c>
      <c r="G23" s="22">
        <v>484542.43800000002</v>
      </c>
      <c r="H23" s="22">
        <v>411886.87</v>
      </c>
      <c r="I23" s="23" t="s">
        <v>72</v>
      </c>
      <c r="J23" s="16"/>
    </row>
    <row r="24" spans="1:10" s="17" customFormat="1" x14ac:dyDescent="0.25">
      <c r="A24" s="6" t="s">
        <v>73</v>
      </c>
      <c r="B24" s="21">
        <v>911462.87</v>
      </c>
      <c r="C24" s="21">
        <v>1389997.76</v>
      </c>
      <c r="D24" s="21">
        <v>1465242.43</v>
      </c>
      <c r="E24" s="21">
        <v>842342.01</v>
      </c>
      <c r="F24" s="22">
        <v>1064144.1000000001</v>
      </c>
      <c r="G24" s="22">
        <v>2109392.3388</v>
      </c>
      <c r="H24" s="22">
        <v>1854767.5560000001</v>
      </c>
      <c r="I24" s="23" t="s">
        <v>74</v>
      </c>
      <c r="J24" s="25"/>
    </row>
    <row r="25" spans="1:10" s="17" customFormat="1" ht="21.75" customHeight="1" x14ac:dyDescent="0.25">
      <c r="A25" s="6"/>
      <c r="B25" s="21"/>
      <c r="C25" s="21"/>
      <c r="D25" s="21"/>
      <c r="E25" s="21"/>
      <c r="F25" s="21"/>
      <c r="G25" s="21"/>
      <c r="H25" s="21"/>
      <c r="I25" s="23"/>
      <c r="J25" s="25"/>
    </row>
    <row r="26" spans="1:10" s="17" customFormat="1" x14ac:dyDescent="0.25">
      <c r="A26" s="7" t="s">
        <v>9</v>
      </c>
      <c r="B26" s="18">
        <f t="shared" ref="B26:G26" si="3">SUM(B27:B42)</f>
        <v>47757008.690000013</v>
      </c>
      <c r="C26" s="18">
        <f t="shared" si="3"/>
        <v>55532820.669999994</v>
      </c>
      <c r="D26" s="18">
        <f t="shared" si="3"/>
        <v>60034554.979999997</v>
      </c>
      <c r="E26" s="18">
        <f t="shared" si="3"/>
        <v>69991758.379999995</v>
      </c>
      <c r="F26" s="18">
        <f t="shared" si="3"/>
        <v>73741273.559999987</v>
      </c>
      <c r="G26" s="18">
        <f t="shared" si="3"/>
        <v>78971036.104200006</v>
      </c>
      <c r="H26" s="18">
        <v>87106108.945999995</v>
      </c>
      <c r="I26" s="19" t="s">
        <v>10</v>
      </c>
      <c r="J26" s="25"/>
    </row>
    <row r="27" spans="1:10" s="17" customFormat="1" x14ac:dyDescent="0.25">
      <c r="A27" s="6" t="s">
        <v>104</v>
      </c>
      <c r="B27" s="21">
        <v>0</v>
      </c>
      <c r="C27" s="21">
        <v>0</v>
      </c>
      <c r="D27" s="21">
        <v>0</v>
      </c>
      <c r="E27" s="21">
        <v>0</v>
      </c>
      <c r="F27" s="22">
        <v>0</v>
      </c>
      <c r="G27" s="22">
        <v>0</v>
      </c>
      <c r="H27" s="22">
        <v>0</v>
      </c>
      <c r="I27" s="23" t="s">
        <v>403</v>
      </c>
      <c r="J27" s="16"/>
    </row>
    <row r="28" spans="1:10" s="17" customFormat="1" x14ac:dyDescent="0.25">
      <c r="A28" s="6" t="s">
        <v>75</v>
      </c>
      <c r="B28" s="21">
        <v>1156690.17</v>
      </c>
      <c r="C28" s="21">
        <v>2103689.0299999998</v>
      </c>
      <c r="D28" s="21">
        <v>1787015.55</v>
      </c>
      <c r="E28" s="21">
        <v>2133482.8199999998</v>
      </c>
      <c r="F28" s="22">
        <v>2460138.5</v>
      </c>
      <c r="G28" s="22">
        <v>2421002.1362000001</v>
      </c>
      <c r="H28" s="22">
        <v>2565098.48</v>
      </c>
      <c r="I28" s="23" t="s">
        <v>76</v>
      </c>
      <c r="J28" s="16"/>
    </row>
    <row r="29" spans="1:10" s="17" customFormat="1" x14ac:dyDescent="0.25">
      <c r="A29" s="6" t="s">
        <v>77</v>
      </c>
      <c r="B29" s="21">
        <v>83180.509999999995</v>
      </c>
      <c r="C29" s="21">
        <v>183434.67</v>
      </c>
      <c r="D29" s="21">
        <v>259759.1</v>
      </c>
      <c r="E29" s="21">
        <v>330386.62</v>
      </c>
      <c r="F29" s="22">
        <v>277371.86</v>
      </c>
      <c r="G29" s="22">
        <v>308163.90999999997</v>
      </c>
      <c r="H29" s="22">
        <v>373176.75</v>
      </c>
      <c r="I29" s="23" t="s">
        <v>78</v>
      </c>
      <c r="J29" s="16"/>
    </row>
    <row r="30" spans="1:10" s="17" customFormat="1" x14ac:dyDescent="0.25">
      <c r="A30" s="6" t="s">
        <v>79</v>
      </c>
      <c r="B30" s="21">
        <v>78203.05</v>
      </c>
      <c r="C30" s="21">
        <v>71519.429999999993</v>
      </c>
      <c r="D30" s="21">
        <v>267006.81</v>
      </c>
      <c r="E30" s="21">
        <v>252820.28</v>
      </c>
      <c r="F30" s="22">
        <v>396676.23</v>
      </c>
      <c r="G30" s="22">
        <v>464627.93</v>
      </c>
      <c r="H30" s="22">
        <v>252238.57</v>
      </c>
      <c r="I30" s="23" t="s">
        <v>80</v>
      </c>
      <c r="J30" s="16"/>
    </row>
    <row r="31" spans="1:10" s="17" customFormat="1" x14ac:dyDescent="0.25">
      <c r="A31" s="6" t="s">
        <v>81</v>
      </c>
      <c r="B31" s="21">
        <v>153295</v>
      </c>
      <c r="C31" s="21">
        <v>215791.45</v>
      </c>
      <c r="D31" s="21">
        <v>259951.67</v>
      </c>
      <c r="E31" s="21">
        <v>266597.32</v>
      </c>
      <c r="F31" s="22">
        <v>213079.28</v>
      </c>
      <c r="G31" s="22">
        <v>254392.071</v>
      </c>
      <c r="H31" s="22">
        <v>188661.05</v>
      </c>
      <c r="I31" s="23" t="s">
        <v>82</v>
      </c>
      <c r="J31" s="16"/>
    </row>
    <row r="32" spans="1:10" s="17" customFormat="1" x14ac:dyDescent="0.25">
      <c r="A32" s="6" t="s">
        <v>83</v>
      </c>
      <c r="B32" s="21">
        <v>334725</v>
      </c>
      <c r="C32" s="21">
        <v>589297.11</v>
      </c>
      <c r="D32" s="21">
        <v>1009854</v>
      </c>
      <c r="E32" s="21">
        <v>851744.11</v>
      </c>
      <c r="F32" s="22">
        <v>1151602.6399999999</v>
      </c>
      <c r="G32" s="22">
        <v>1055746.7010000001</v>
      </c>
      <c r="H32" s="22">
        <v>1191493.76</v>
      </c>
      <c r="I32" s="23" t="s">
        <v>84</v>
      </c>
      <c r="J32" s="16"/>
    </row>
    <row r="33" spans="1:10" s="17" customFormat="1" x14ac:dyDescent="0.25">
      <c r="A33" s="6" t="s">
        <v>85</v>
      </c>
      <c r="B33" s="21">
        <v>537847.75</v>
      </c>
      <c r="C33" s="21">
        <v>737642.33</v>
      </c>
      <c r="D33" s="21">
        <v>897913.32</v>
      </c>
      <c r="E33" s="21">
        <v>1130631.79</v>
      </c>
      <c r="F33" s="22">
        <v>966143.65</v>
      </c>
      <c r="G33" s="22">
        <v>1057134.6129999999</v>
      </c>
      <c r="H33" s="22">
        <v>912513.255</v>
      </c>
      <c r="I33" s="23" t="s">
        <v>86</v>
      </c>
      <c r="J33" s="16"/>
    </row>
    <row r="34" spans="1:10" s="17" customFormat="1" x14ac:dyDescent="0.25">
      <c r="A34" s="6" t="s">
        <v>87</v>
      </c>
      <c r="B34" s="21">
        <v>857834.76</v>
      </c>
      <c r="C34" s="21">
        <v>1580819.32</v>
      </c>
      <c r="D34" s="21">
        <v>1737050.39</v>
      </c>
      <c r="E34" s="21">
        <v>1871299.52</v>
      </c>
      <c r="F34" s="22">
        <v>1762448.98</v>
      </c>
      <c r="G34" s="22">
        <v>1940358.8929999999</v>
      </c>
      <c r="H34" s="22">
        <v>2245068.3800000004</v>
      </c>
      <c r="I34" s="23" t="s">
        <v>88</v>
      </c>
      <c r="J34" s="16"/>
    </row>
    <row r="35" spans="1:10" s="17" customFormat="1" x14ac:dyDescent="0.25">
      <c r="A35" s="6" t="s">
        <v>89</v>
      </c>
      <c r="B35" s="21">
        <v>118700</v>
      </c>
      <c r="C35" s="21">
        <v>191866.23999999999</v>
      </c>
      <c r="D35" s="21">
        <v>468932.15</v>
      </c>
      <c r="E35" s="21">
        <v>638696.17000000004</v>
      </c>
      <c r="F35" s="22">
        <v>679510.68</v>
      </c>
      <c r="G35" s="22">
        <v>680087.93</v>
      </c>
      <c r="H35" s="22">
        <v>672622.52</v>
      </c>
      <c r="I35" s="23" t="s">
        <v>90</v>
      </c>
      <c r="J35" s="16"/>
    </row>
    <row r="36" spans="1:10" s="17" customFormat="1" x14ac:dyDescent="0.25">
      <c r="A36" s="6" t="s">
        <v>91</v>
      </c>
      <c r="B36" s="21">
        <v>0</v>
      </c>
      <c r="C36" s="21">
        <v>0</v>
      </c>
      <c r="D36" s="21">
        <v>0</v>
      </c>
      <c r="E36" s="21">
        <v>0</v>
      </c>
      <c r="F36" s="22">
        <v>0</v>
      </c>
      <c r="G36" s="22">
        <v>0</v>
      </c>
      <c r="H36" s="22">
        <v>0</v>
      </c>
      <c r="I36" s="23" t="s">
        <v>92</v>
      </c>
      <c r="J36" s="25"/>
    </row>
    <row r="37" spans="1:10" s="17" customFormat="1" x14ac:dyDescent="0.25">
      <c r="A37" s="6" t="s">
        <v>93</v>
      </c>
      <c r="B37" s="21">
        <v>42500703.460000001</v>
      </c>
      <c r="C37" s="21">
        <v>46939884.149999999</v>
      </c>
      <c r="D37" s="21">
        <v>49614847.119999997</v>
      </c>
      <c r="E37" s="21">
        <v>58400381.670000002</v>
      </c>
      <c r="F37" s="22">
        <v>61174426.289999999</v>
      </c>
      <c r="G37" s="22">
        <v>66174408.490999997</v>
      </c>
      <c r="H37" s="22">
        <v>74143019.410999998</v>
      </c>
      <c r="I37" s="23" t="s">
        <v>94</v>
      </c>
      <c r="J37" s="16"/>
    </row>
    <row r="38" spans="1:10" s="17" customFormat="1" x14ac:dyDescent="0.25">
      <c r="A38" s="6" t="s">
        <v>95</v>
      </c>
      <c r="B38" s="21">
        <v>290414.17</v>
      </c>
      <c r="C38" s="21">
        <v>460509.17</v>
      </c>
      <c r="D38" s="21">
        <v>828111.26</v>
      </c>
      <c r="E38" s="21">
        <v>785594.33</v>
      </c>
      <c r="F38" s="22">
        <v>769185.3</v>
      </c>
      <c r="G38" s="22">
        <v>783511.41300000006</v>
      </c>
      <c r="H38" s="22">
        <v>948399.46</v>
      </c>
      <c r="I38" s="23" t="s">
        <v>96</v>
      </c>
      <c r="J38" s="16"/>
    </row>
    <row r="39" spans="1:10" s="17" customFormat="1" x14ac:dyDescent="0.25">
      <c r="A39" s="6" t="s">
        <v>97</v>
      </c>
      <c r="B39" s="21">
        <v>190844.34</v>
      </c>
      <c r="C39" s="21">
        <v>371840.32</v>
      </c>
      <c r="D39" s="21">
        <v>474984.73</v>
      </c>
      <c r="E39" s="21">
        <v>468786.28</v>
      </c>
      <c r="F39" s="22">
        <v>861263.74</v>
      </c>
      <c r="G39" s="22">
        <v>926416.63599999994</v>
      </c>
      <c r="H39" s="22">
        <v>997038.5</v>
      </c>
      <c r="I39" s="23" t="s">
        <v>98</v>
      </c>
      <c r="J39" s="25"/>
    </row>
    <row r="40" spans="1:10" s="17" customFormat="1" x14ac:dyDescent="0.25">
      <c r="A40" s="6" t="s">
        <v>99</v>
      </c>
      <c r="B40" s="21">
        <v>362644.81</v>
      </c>
      <c r="C40" s="21">
        <v>668781.98</v>
      </c>
      <c r="D40" s="21">
        <v>813192.78</v>
      </c>
      <c r="E40" s="21">
        <v>812709.25</v>
      </c>
      <c r="F40" s="22">
        <v>950747.17</v>
      </c>
      <c r="G40" s="22">
        <v>807651.76199999999</v>
      </c>
      <c r="H40" s="22">
        <v>893631.42</v>
      </c>
      <c r="I40" s="23" t="s">
        <v>100</v>
      </c>
      <c r="J40" s="25"/>
    </row>
    <row r="41" spans="1:10" s="17" customFormat="1" x14ac:dyDescent="0.25">
      <c r="A41" s="6" t="s">
        <v>101</v>
      </c>
      <c r="B41" s="21">
        <v>0</v>
      </c>
      <c r="C41" s="21">
        <v>0</v>
      </c>
      <c r="D41" s="21">
        <v>0</v>
      </c>
      <c r="E41" s="21">
        <v>0</v>
      </c>
      <c r="F41" s="22">
        <v>0</v>
      </c>
      <c r="G41" s="22">
        <v>0</v>
      </c>
      <c r="H41" s="22">
        <v>0</v>
      </c>
      <c r="I41" s="23" t="s">
        <v>102</v>
      </c>
      <c r="J41" s="25"/>
    </row>
    <row r="42" spans="1:10" s="17" customFormat="1" x14ac:dyDescent="0.25">
      <c r="A42" s="6" t="s">
        <v>103</v>
      </c>
      <c r="B42" s="21">
        <v>1091925.67</v>
      </c>
      <c r="C42" s="21">
        <v>1417745.47</v>
      </c>
      <c r="D42" s="21">
        <v>1615936.1</v>
      </c>
      <c r="E42" s="21">
        <v>2048628.22</v>
      </c>
      <c r="F42" s="22">
        <v>2078679.24</v>
      </c>
      <c r="G42" s="22">
        <v>2097533.6179999998</v>
      </c>
      <c r="H42" s="22">
        <v>1723147.3900000001</v>
      </c>
      <c r="I42" s="23" t="s">
        <v>105</v>
      </c>
      <c r="J42" s="25"/>
    </row>
    <row r="43" spans="1:10" s="17" customFormat="1" ht="9.75" customHeight="1" x14ac:dyDescent="0.25">
      <c r="A43" s="6"/>
      <c r="B43" s="21"/>
      <c r="C43" s="21"/>
      <c r="D43" s="21"/>
      <c r="E43" s="21"/>
      <c r="F43" s="21"/>
      <c r="G43" s="21"/>
      <c r="H43" s="21"/>
      <c r="I43" s="23"/>
      <c r="J43" s="25"/>
    </row>
    <row r="44" spans="1:10" s="17" customFormat="1" x14ac:dyDescent="0.25">
      <c r="A44" s="7" t="s">
        <v>11</v>
      </c>
      <c r="B44" s="18">
        <f t="shared" ref="B44:G44" si="4">SUM(B45:B60)</f>
        <v>18573633.77</v>
      </c>
      <c r="C44" s="18">
        <f t="shared" si="4"/>
        <v>22929493.009999998</v>
      </c>
      <c r="D44" s="18">
        <f t="shared" si="4"/>
        <v>21043099.035</v>
      </c>
      <c r="E44" s="18">
        <f t="shared" si="4"/>
        <v>22385644.167000003</v>
      </c>
      <c r="F44" s="18">
        <f t="shared" si="4"/>
        <v>24133600.374000002</v>
      </c>
      <c r="G44" s="18">
        <f t="shared" si="4"/>
        <v>25952832.935399994</v>
      </c>
      <c r="H44" s="18">
        <v>27517456.108000003</v>
      </c>
      <c r="I44" s="19" t="s">
        <v>12</v>
      </c>
      <c r="J44" s="16"/>
    </row>
    <row r="45" spans="1:10" s="17" customFormat="1" x14ac:dyDescent="0.25">
      <c r="A45" s="6" t="s">
        <v>106</v>
      </c>
      <c r="B45" s="21">
        <v>1916814.11</v>
      </c>
      <c r="C45" s="21">
        <v>2005957.3</v>
      </c>
      <c r="D45" s="21">
        <v>1443174.78</v>
      </c>
      <c r="E45" s="21">
        <v>1630262.93</v>
      </c>
      <c r="F45" s="22">
        <v>1812646.6440000001</v>
      </c>
      <c r="G45" s="22">
        <v>1829466.7859999998</v>
      </c>
      <c r="H45" s="22">
        <v>1672744.95</v>
      </c>
      <c r="I45" s="23" t="s">
        <v>107</v>
      </c>
      <c r="J45" s="16"/>
    </row>
    <row r="46" spans="1:10" s="17" customFormat="1" x14ac:dyDescent="0.25">
      <c r="A46" s="6" t="s">
        <v>108</v>
      </c>
      <c r="B46" s="21">
        <v>0</v>
      </c>
      <c r="C46" s="21">
        <v>146172.37</v>
      </c>
      <c r="D46" s="21">
        <v>149908.75</v>
      </c>
      <c r="E46" s="21">
        <v>148612.51999999999</v>
      </c>
      <c r="F46" s="22">
        <v>160738.84</v>
      </c>
      <c r="G46" s="22">
        <v>247493.33600000001</v>
      </c>
      <c r="H46" s="22">
        <v>344348.95</v>
      </c>
      <c r="I46" s="23" t="s">
        <v>109</v>
      </c>
      <c r="J46" s="16"/>
    </row>
    <row r="47" spans="1:10" s="17" customFormat="1" x14ac:dyDescent="0.25">
      <c r="A47" s="6" t="s">
        <v>110</v>
      </c>
      <c r="B47" s="21">
        <v>162856.45000000001</v>
      </c>
      <c r="C47" s="21">
        <v>566642.56000000006</v>
      </c>
      <c r="D47" s="21">
        <v>511234.82</v>
      </c>
      <c r="E47" s="21">
        <v>650941.06999999995</v>
      </c>
      <c r="F47" s="22">
        <v>665654.6</v>
      </c>
      <c r="G47" s="22">
        <v>856732.91</v>
      </c>
      <c r="H47" s="22">
        <v>907119.66</v>
      </c>
      <c r="I47" s="23" t="s">
        <v>111</v>
      </c>
      <c r="J47" s="16"/>
    </row>
    <row r="48" spans="1:10" s="17" customFormat="1" x14ac:dyDescent="0.25">
      <c r="A48" s="6" t="s">
        <v>112</v>
      </c>
      <c r="B48" s="21">
        <v>376774.56</v>
      </c>
      <c r="C48" s="21">
        <v>929150.15</v>
      </c>
      <c r="D48" s="21">
        <v>917681.68</v>
      </c>
      <c r="E48" s="21">
        <v>980123.32</v>
      </c>
      <c r="F48" s="22">
        <v>1073354.96</v>
      </c>
      <c r="G48" s="22">
        <v>1007043.856</v>
      </c>
      <c r="H48" s="22">
        <v>974419.28</v>
      </c>
      <c r="I48" s="23" t="s">
        <v>113</v>
      </c>
      <c r="J48" s="16"/>
    </row>
    <row r="49" spans="1:10" s="17" customFormat="1" x14ac:dyDescent="0.25">
      <c r="A49" s="6" t="s">
        <v>114</v>
      </c>
      <c r="B49" s="21">
        <v>438753.18</v>
      </c>
      <c r="C49" s="21">
        <v>424495.77</v>
      </c>
      <c r="D49" s="21">
        <v>346459.08</v>
      </c>
      <c r="E49" s="21">
        <v>417963.14</v>
      </c>
      <c r="F49" s="22">
        <v>386112.08</v>
      </c>
      <c r="G49" s="22">
        <v>565709.09499999997</v>
      </c>
      <c r="H49" s="22">
        <v>534850.01199999999</v>
      </c>
      <c r="I49" s="23" t="s">
        <v>115</v>
      </c>
      <c r="J49" s="16"/>
    </row>
    <row r="50" spans="1:10" s="17" customFormat="1" x14ac:dyDescent="0.25">
      <c r="A50" s="6" t="s">
        <v>116</v>
      </c>
      <c r="B50" s="21">
        <v>205963.96</v>
      </c>
      <c r="C50" s="21">
        <v>656631.29</v>
      </c>
      <c r="D50" s="21">
        <v>722529.7</v>
      </c>
      <c r="E50" s="21">
        <v>720896.40700000001</v>
      </c>
      <c r="F50" s="22">
        <v>870337.48</v>
      </c>
      <c r="G50" s="22">
        <v>833320.424</v>
      </c>
      <c r="H50" s="22">
        <v>938842.97</v>
      </c>
      <c r="I50" s="23" t="s">
        <v>117</v>
      </c>
      <c r="J50" s="25"/>
    </row>
    <row r="51" spans="1:10" s="17" customFormat="1" x14ac:dyDescent="0.25">
      <c r="A51" s="6" t="s">
        <v>118</v>
      </c>
      <c r="B51" s="21">
        <v>1442908.87</v>
      </c>
      <c r="C51" s="21">
        <v>1660194.03</v>
      </c>
      <c r="D51" s="21">
        <v>1650789.19</v>
      </c>
      <c r="E51" s="21">
        <v>1929943.71</v>
      </c>
      <c r="F51" s="22">
        <v>1913496.75</v>
      </c>
      <c r="G51" s="22">
        <v>1874195.797</v>
      </c>
      <c r="H51" s="22">
        <v>2128213.9900000002</v>
      </c>
      <c r="I51" s="23" t="s">
        <v>119</v>
      </c>
      <c r="J51" s="25"/>
    </row>
    <row r="52" spans="1:10" s="17" customFormat="1" x14ac:dyDescent="0.25">
      <c r="A52" s="6" t="s">
        <v>120</v>
      </c>
      <c r="B52" s="21">
        <v>107673</v>
      </c>
      <c r="C52" s="21">
        <v>366538.72</v>
      </c>
      <c r="D52" s="21">
        <v>471272.28</v>
      </c>
      <c r="E52" s="21">
        <v>336028.48</v>
      </c>
      <c r="F52" s="22">
        <v>483079.25</v>
      </c>
      <c r="G52" s="22">
        <v>628362.22499999998</v>
      </c>
      <c r="H52" s="22">
        <v>336979.47</v>
      </c>
      <c r="I52" s="23" t="s">
        <v>121</v>
      </c>
      <c r="J52" s="25"/>
    </row>
    <row r="53" spans="1:10" s="17" customFormat="1" hidden="1" x14ac:dyDescent="0.25">
      <c r="A53" s="6" t="s">
        <v>404</v>
      </c>
      <c r="B53" s="21">
        <v>0</v>
      </c>
      <c r="C53" s="21">
        <v>0</v>
      </c>
      <c r="D53" s="21">
        <v>0</v>
      </c>
      <c r="E53" s="21">
        <v>0</v>
      </c>
      <c r="F53" s="22">
        <v>0</v>
      </c>
      <c r="G53" s="22">
        <v>0</v>
      </c>
      <c r="H53" s="22">
        <v>0</v>
      </c>
      <c r="I53" s="23" t="s">
        <v>405</v>
      </c>
      <c r="J53" s="16"/>
    </row>
    <row r="54" spans="1:10" s="17" customFormat="1" x14ac:dyDescent="0.25">
      <c r="A54" s="6" t="s">
        <v>122</v>
      </c>
      <c r="B54" s="21">
        <v>120150</v>
      </c>
      <c r="C54" s="21">
        <v>354031.05</v>
      </c>
      <c r="D54" s="21">
        <v>277678.78000000003</v>
      </c>
      <c r="E54" s="21">
        <v>238437.85</v>
      </c>
      <c r="F54" s="22">
        <v>324796.76</v>
      </c>
      <c r="G54" s="22">
        <v>299917.39</v>
      </c>
      <c r="H54" s="22">
        <v>329697.71999999997</v>
      </c>
      <c r="I54" s="23" t="s">
        <v>123</v>
      </c>
      <c r="J54" s="16"/>
    </row>
    <row r="55" spans="1:10" s="17" customFormat="1" x14ac:dyDescent="0.25">
      <c r="A55" s="6" t="s">
        <v>124</v>
      </c>
      <c r="B55" s="21">
        <v>158963.49</v>
      </c>
      <c r="C55" s="21">
        <v>275149.17</v>
      </c>
      <c r="D55" s="21">
        <v>331950.06</v>
      </c>
      <c r="E55" s="21">
        <v>357380.84</v>
      </c>
      <c r="F55" s="22">
        <v>513949.49</v>
      </c>
      <c r="G55" s="22">
        <v>460339.24</v>
      </c>
      <c r="H55" s="22">
        <v>462676.54</v>
      </c>
      <c r="I55" s="23" t="s">
        <v>125</v>
      </c>
      <c r="J55" s="25"/>
    </row>
    <row r="56" spans="1:10" s="17" customFormat="1" hidden="1" x14ac:dyDescent="0.25">
      <c r="A56" s="6" t="s">
        <v>432</v>
      </c>
      <c r="B56" s="21">
        <v>0</v>
      </c>
      <c r="C56" s="21">
        <v>0</v>
      </c>
      <c r="D56" s="21">
        <v>0</v>
      </c>
      <c r="E56" s="21">
        <v>0</v>
      </c>
      <c r="F56" s="22">
        <v>0</v>
      </c>
      <c r="G56" s="22">
        <v>0</v>
      </c>
      <c r="H56" s="22">
        <v>0</v>
      </c>
      <c r="I56" s="23" t="s">
        <v>406</v>
      </c>
      <c r="J56" s="16"/>
    </row>
    <row r="57" spans="1:10" s="17" customFormat="1" x14ac:dyDescent="0.25">
      <c r="A57" s="6" t="s">
        <v>126</v>
      </c>
      <c r="B57" s="21">
        <v>2166089.8199999998</v>
      </c>
      <c r="C57" s="21">
        <v>2013241.44</v>
      </c>
      <c r="D57" s="21">
        <v>2142286.21</v>
      </c>
      <c r="E57" s="21">
        <v>1835766.39</v>
      </c>
      <c r="F57" s="22">
        <v>1812469.94</v>
      </c>
      <c r="G57" s="22">
        <v>2050706.4509999999</v>
      </c>
      <c r="H57" s="22">
        <v>2288303.0699999998</v>
      </c>
      <c r="I57" s="23" t="s">
        <v>127</v>
      </c>
      <c r="J57" s="16"/>
    </row>
    <row r="58" spans="1:10" s="17" customFormat="1" x14ac:dyDescent="0.25">
      <c r="A58" s="6" t="s">
        <v>128</v>
      </c>
      <c r="B58" s="21">
        <v>640597</v>
      </c>
      <c r="C58" s="21">
        <v>981259.44</v>
      </c>
      <c r="D58" s="21">
        <v>1010101.16</v>
      </c>
      <c r="E58" s="21">
        <v>1489295.57</v>
      </c>
      <c r="F58" s="22">
        <v>1042790.73</v>
      </c>
      <c r="G58" s="22">
        <v>1238569.176</v>
      </c>
      <c r="H58" s="22">
        <v>1096880.436</v>
      </c>
      <c r="I58" s="23" t="s">
        <v>129</v>
      </c>
      <c r="J58" s="25"/>
    </row>
    <row r="59" spans="1:10" s="17" customFormat="1" x14ac:dyDescent="0.25">
      <c r="A59" s="6" t="s">
        <v>130</v>
      </c>
      <c r="B59" s="21">
        <v>6108888.4500000002</v>
      </c>
      <c r="C59" s="21">
        <v>6901970.8300000001</v>
      </c>
      <c r="D59" s="21">
        <v>6165861.7450000001</v>
      </c>
      <c r="E59" s="21">
        <v>6680335.3600000003</v>
      </c>
      <c r="F59" s="22">
        <v>6428933.3300000001</v>
      </c>
      <c r="G59" s="22">
        <v>6596560.9803999998</v>
      </c>
      <c r="H59" s="22">
        <v>10518143.49</v>
      </c>
      <c r="I59" s="23" t="s">
        <v>131</v>
      </c>
      <c r="J59" s="25"/>
    </row>
    <row r="60" spans="1:10" s="17" customFormat="1" x14ac:dyDescent="0.25">
      <c r="A60" s="6" t="s">
        <v>433</v>
      </c>
      <c r="B60" s="21">
        <v>4727200.88</v>
      </c>
      <c r="C60" s="21">
        <v>5648058.8899999997</v>
      </c>
      <c r="D60" s="21">
        <v>4902170.8</v>
      </c>
      <c r="E60" s="21">
        <v>4969656.58</v>
      </c>
      <c r="F60" s="22">
        <v>6645239.5199999996</v>
      </c>
      <c r="G60" s="22">
        <v>7464415.2689999994</v>
      </c>
      <c r="H60" s="22">
        <v>4984235.57</v>
      </c>
      <c r="I60" s="24" t="s">
        <v>434</v>
      </c>
      <c r="J60" s="16"/>
    </row>
    <row r="61" spans="1:10" s="17" customFormat="1" x14ac:dyDescent="0.25">
      <c r="A61" s="6"/>
      <c r="B61" s="21"/>
      <c r="C61" s="21"/>
      <c r="D61" s="21"/>
      <c r="E61" s="21"/>
      <c r="F61" s="21"/>
      <c r="G61" s="21"/>
      <c r="H61" s="21"/>
      <c r="I61" s="24"/>
      <c r="J61" s="16"/>
    </row>
    <row r="62" spans="1:10" s="17" customFormat="1" x14ac:dyDescent="0.25">
      <c r="A62" s="7" t="s">
        <v>13</v>
      </c>
      <c r="B62" s="18">
        <f t="shared" ref="B62:G62" si="5">SUM(B63:B75)</f>
        <v>11788026.34</v>
      </c>
      <c r="C62" s="18">
        <f t="shared" si="5"/>
        <v>16282824.600000001</v>
      </c>
      <c r="D62" s="18">
        <f t="shared" si="5"/>
        <v>16255000.77</v>
      </c>
      <c r="E62" s="18">
        <f t="shared" si="5"/>
        <v>17119918.760000002</v>
      </c>
      <c r="F62" s="18">
        <f t="shared" si="5"/>
        <v>18665154.07</v>
      </c>
      <c r="G62" s="18">
        <f t="shared" si="5"/>
        <v>21571553.8116</v>
      </c>
      <c r="H62" s="18">
        <v>23643840.842</v>
      </c>
      <c r="I62" s="19" t="s">
        <v>14</v>
      </c>
      <c r="J62" s="16"/>
    </row>
    <row r="63" spans="1:10" s="17" customFormat="1" x14ac:dyDescent="0.25">
      <c r="A63" s="6" t="s">
        <v>132</v>
      </c>
      <c r="B63" s="21">
        <v>0</v>
      </c>
      <c r="C63" s="21">
        <v>148639.25</v>
      </c>
      <c r="D63" s="21">
        <v>232530.21</v>
      </c>
      <c r="E63" s="21">
        <v>494974.79</v>
      </c>
      <c r="F63" s="22">
        <v>426805.07</v>
      </c>
      <c r="G63" s="22">
        <v>539058.49899999995</v>
      </c>
      <c r="H63" s="22">
        <v>738730.77</v>
      </c>
      <c r="I63" s="23" t="s">
        <v>133</v>
      </c>
      <c r="J63" s="16"/>
    </row>
    <row r="64" spans="1:10" s="17" customFormat="1" x14ac:dyDescent="0.25">
      <c r="A64" s="6" t="s">
        <v>134</v>
      </c>
      <c r="B64" s="21">
        <v>606837.87</v>
      </c>
      <c r="C64" s="21">
        <v>1061596.77</v>
      </c>
      <c r="D64" s="21">
        <v>1076196.96</v>
      </c>
      <c r="E64" s="21">
        <v>1194407.92</v>
      </c>
      <c r="F64" s="22">
        <v>712778.53</v>
      </c>
      <c r="G64" s="22">
        <v>1054281.787</v>
      </c>
      <c r="H64" s="22">
        <v>1462400.05</v>
      </c>
      <c r="I64" s="23" t="s">
        <v>135</v>
      </c>
      <c r="J64" s="16"/>
    </row>
    <row r="65" spans="1:10" s="17" customFormat="1" x14ac:dyDescent="0.25">
      <c r="A65" s="6" t="s">
        <v>136</v>
      </c>
      <c r="B65" s="21">
        <v>47575.94</v>
      </c>
      <c r="C65" s="21">
        <v>299677.95</v>
      </c>
      <c r="D65" s="21">
        <v>397981.52</v>
      </c>
      <c r="E65" s="21">
        <v>652323.81999999995</v>
      </c>
      <c r="F65" s="22">
        <v>678413.96</v>
      </c>
      <c r="G65" s="22">
        <v>640417.81700000004</v>
      </c>
      <c r="H65" s="22">
        <v>747580.89</v>
      </c>
      <c r="I65" s="23" t="s">
        <v>137</v>
      </c>
      <c r="J65" s="16"/>
    </row>
    <row r="66" spans="1:10" s="17" customFormat="1" x14ac:dyDescent="0.25">
      <c r="A66" s="6" t="s">
        <v>138</v>
      </c>
      <c r="B66" s="21">
        <v>238740.26</v>
      </c>
      <c r="C66" s="21">
        <v>476223.97</v>
      </c>
      <c r="D66" s="21">
        <v>701131.11</v>
      </c>
      <c r="E66" s="21">
        <v>592662.06999999995</v>
      </c>
      <c r="F66" s="22">
        <v>494168.73</v>
      </c>
      <c r="G66" s="22">
        <v>540685.13399999996</v>
      </c>
      <c r="H66" s="22">
        <v>710924.27</v>
      </c>
      <c r="I66" s="23" t="s">
        <v>139</v>
      </c>
      <c r="J66" s="16"/>
    </row>
    <row r="67" spans="1:10" s="17" customFormat="1" x14ac:dyDescent="0.25">
      <c r="A67" s="6" t="s">
        <v>140</v>
      </c>
      <c r="B67" s="21">
        <v>371000</v>
      </c>
      <c r="C67" s="21">
        <v>488195.9</v>
      </c>
      <c r="D67" s="21">
        <v>636530.34</v>
      </c>
      <c r="E67" s="21">
        <v>627465.85</v>
      </c>
      <c r="F67" s="22">
        <v>401974.56</v>
      </c>
      <c r="G67" s="22">
        <v>750954.88400000008</v>
      </c>
      <c r="H67" s="22">
        <v>1201748.3999999999</v>
      </c>
      <c r="I67" s="23" t="s">
        <v>141</v>
      </c>
      <c r="J67" s="16"/>
    </row>
    <row r="68" spans="1:10" s="17" customFormat="1" x14ac:dyDescent="0.25">
      <c r="A68" s="6" t="s">
        <v>142</v>
      </c>
      <c r="B68" s="21">
        <v>15900</v>
      </c>
      <c r="C68" s="21">
        <v>72492.61</v>
      </c>
      <c r="D68" s="21">
        <v>404205.71</v>
      </c>
      <c r="E68" s="21">
        <v>534436.47</v>
      </c>
      <c r="F68" s="22">
        <v>409953.12</v>
      </c>
      <c r="G68" s="22">
        <v>578557.01399999997</v>
      </c>
      <c r="H68" s="22">
        <v>702050.12</v>
      </c>
      <c r="I68" s="23" t="s">
        <v>143</v>
      </c>
      <c r="J68" s="16"/>
    </row>
    <row r="69" spans="1:10" s="17" customFormat="1" x14ac:dyDescent="0.25">
      <c r="A69" s="6" t="s">
        <v>144</v>
      </c>
      <c r="B69" s="21">
        <v>180303.18</v>
      </c>
      <c r="C69" s="21">
        <v>367827</v>
      </c>
      <c r="D69" s="21">
        <v>462868.82</v>
      </c>
      <c r="E69" s="21">
        <v>507301.66</v>
      </c>
      <c r="F69" s="22">
        <v>537132.67000000004</v>
      </c>
      <c r="G69" s="22">
        <v>428636.54500000004</v>
      </c>
      <c r="H69" s="22">
        <v>639226.30999999994</v>
      </c>
      <c r="I69" s="23" t="s">
        <v>145</v>
      </c>
      <c r="J69" s="16"/>
    </row>
    <row r="70" spans="1:10" s="17" customFormat="1" x14ac:dyDescent="0.25">
      <c r="A70" s="6" t="s">
        <v>146</v>
      </c>
      <c r="B70" s="21">
        <v>190654.24</v>
      </c>
      <c r="C70" s="21">
        <v>275196.34999999998</v>
      </c>
      <c r="D70" s="21">
        <v>629712.55000000005</v>
      </c>
      <c r="E70" s="21">
        <v>661731.94999999995</v>
      </c>
      <c r="F70" s="22">
        <v>828688.75</v>
      </c>
      <c r="G70" s="22">
        <v>858899.39100000006</v>
      </c>
      <c r="H70" s="22">
        <v>1000249.83</v>
      </c>
      <c r="I70" s="23" t="s">
        <v>147</v>
      </c>
      <c r="J70" s="16"/>
    </row>
    <row r="71" spans="1:10" s="17" customFormat="1" x14ac:dyDescent="0.25">
      <c r="A71" s="6" t="s">
        <v>148</v>
      </c>
      <c r="B71" s="21">
        <v>0</v>
      </c>
      <c r="C71" s="21">
        <v>45743.46</v>
      </c>
      <c r="D71" s="21">
        <v>292395.99</v>
      </c>
      <c r="E71" s="21">
        <v>161313.46</v>
      </c>
      <c r="F71" s="22">
        <v>337782.63</v>
      </c>
      <c r="G71" s="22">
        <v>417674.35100000002</v>
      </c>
      <c r="H71" s="22">
        <v>418936.72</v>
      </c>
      <c r="I71" s="23" t="s">
        <v>149</v>
      </c>
      <c r="J71" s="25"/>
    </row>
    <row r="72" spans="1:10" s="17" customFormat="1" x14ac:dyDescent="0.25">
      <c r="A72" s="6" t="s">
        <v>150</v>
      </c>
      <c r="B72" s="21">
        <v>5003030.05</v>
      </c>
      <c r="C72" s="21">
        <v>6594631.7000000002</v>
      </c>
      <c r="D72" s="21">
        <v>5151014.55</v>
      </c>
      <c r="E72" s="21">
        <v>5318500.2</v>
      </c>
      <c r="F72" s="22">
        <v>7139561.8799999999</v>
      </c>
      <c r="G72" s="22">
        <v>8371809.0690000001</v>
      </c>
      <c r="H72" s="22">
        <v>8127030.6299999999</v>
      </c>
      <c r="I72" s="23" t="s">
        <v>151</v>
      </c>
      <c r="J72" s="25"/>
    </row>
    <row r="73" spans="1:10" s="17" customFormat="1" x14ac:dyDescent="0.25">
      <c r="A73" s="6" t="s">
        <v>152</v>
      </c>
      <c r="B73" s="21">
        <v>3187746.11</v>
      </c>
      <c r="C73" s="21">
        <v>3765359.72</v>
      </c>
      <c r="D73" s="21">
        <v>2952036.8200000003</v>
      </c>
      <c r="E73" s="21">
        <v>2990647.22</v>
      </c>
      <c r="F73" s="22">
        <v>3046413.31</v>
      </c>
      <c r="G73" s="22">
        <v>3267112.9850000003</v>
      </c>
      <c r="H73" s="22">
        <v>2921808.0120000001</v>
      </c>
      <c r="I73" s="23" t="s">
        <v>153</v>
      </c>
      <c r="J73" s="25"/>
    </row>
    <row r="74" spans="1:10" s="17" customFormat="1" x14ac:dyDescent="0.25">
      <c r="A74" s="6" t="s">
        <v>154</v>
      </c>
      <c r="B74" s="21">
        <v>9000</v>
      </c>
      <c r="C74" s="21">
        <v>128544.07</v>
      </c>
      <c r="D74" s="21">
        <v>183876.98</v>
      </c>
      <c r="E74" s="21">
        <v>73402.55</v>
      </c>
      <c r="F74" s="22">
        <v>132115.70000000001</v>
      </c>
      <c r="G74" s="22">
        <v>261991.30700000003</v>
      </c>
      <c r="H74" s="22">
        <v>357006.3</v>
      </c>
      <c r="I74" s="23" t="s">
        <v>155</v>
      </c>
      <c r="J74" s="25"/>
    </row>
    <row r="75" spans="1:10" s="17" customFormat="1" x14ac:dyDescent="0.25">
      <c r="A75" s="6" t="s">
        <v>156</v>
      </c>
      <c r="B75" s="21">
        <v>1937238.69</v>
      </c>
      <c r="C75" s="21">
        <v>2558695.85</v>
      </c>
      <c r="D75" s="21">
        <v>3134519.21</v>
      </c>
      <c r="E75" s="21">
        <v>3310750.8</v>
      </c>
      <c r="F75" s="22">
        <v>3519365.16</v>
      </c>
      <c r="G75" s="22">
        <v>3861475.0285999998</v>
      </c>
      <c r="H75" s="22">
        <v>4616148.54</v>
      </c>
      <c r="I75" s="23" t="s">
        <v>157</v>
      </c>
      <c r="J75" s="16"/>
    </row>
    <row r="76" spans="1:10" s="17" customFormat="1" ht="8.25" customHeight="1" x14ac:dyDescent="0.25">
      <c r="A76" s="6"/>
      <c r="B76" s="21"/>
      <c r="C76" s="21"/>
      <c r="D76" s="21"/>
      <c r="E76" s="21"/>
      <c r="F76" s="21"/>
      <c r="G76" s="21"/>
      <c r="H76" s="21"/>
      <c r="I76" s="23"/>
      <c r="J76" s="16"/>
    </row>
    <row r="77" spans="1:10" s="17" customFormat="1" x14ac:dyDescent="0.25">
      <c r="A77" s="7" t="s">
        <v>15</v>
      </c>
      <c r="B77" s="18">
        <f t="shared" ref="B77:G77" si="6">SUM(B78:B94)</f>
        <v>29304498.352999996</v>
      </c>
      <c r="C77" s="18">
        <f t="shared" si="6"/>
        <v>40394300.451000005</v>
      </c>
      <c r="D77" s="18">
        <f t="shared" si="6"/>
        <v>43959957.410000004</v>
      </c>
      <c r="E77" s="18">
        <f t="shared" si="6"/>
        <v>47021244.049999997</v>
      </c>
      <c r="F77" s="18">
        <f t="shared" si="6"/>
        <v>49456949.840000004</v>
      </c>
      <c r="G77" s="18">
        <f t="shared" si="6"/>
        <v>53008180.737799995</v>
      </c>
      <c r="H77" s="18">
        <v>59567614.17400001</v>
      </c>
      <c r="I77" s="19" t="s">
        <v>16</v>
      </c>
      <c r="J77" s="16"/>
    </row>
    <row r="78" spans="1:10" s="17" customFormat="1" x14ac:dyDescent="0.25">
      <c r="A78" s="6" t="s">
        <v>158</v>
      </c>
      <c r="B78" s="21">
        <v>2308805</v>
      </c>
      <c r="C78" s="21">
        <v>2929837.51</v>
      </c>
      <c r="D78" s="21">
        <v>3387522.5300000003</v>
      </c>
      <c r="E78" s="21">
        <v>3955771.27</v>
      </c>
      <c r="F78" s="22">
        <v>4240580.5599999996</v>
      </c>
      <c r="G78" s="22">
        <v>3160481.0690000001</v>
      </c>
      <c r="H78" s="22">
        <v>3102505.69</v>
      </c>
      <c r="I78" s="23" t="s">
        <v>159</v>
      </c>
      <c r="J78" s="16"/>
    </row>
    <row r="79" spans="1:10" s="17" customFormat="1" x14ac:dyDescent="0.25">
      <c r="A79" s="6" t="s">
        <v>160</v>
      </c>
      <c r="B79" s="21">
        <v>28645</v>
      </c>
      <c r="C79" s="21">
        <v>82831.460000000006</v>
      </c>
      <c r="D79" s="21">
        <v>381734</v>
      </c>
      <c r="E79" s="21">
        <v>429479.6</v>
      </c>
      <c r="F79" s="22">
        <v>459856.05</v>
      </c>
      <c r="G79" s="22">
        <v>411678.46400000004</v>
      </c>
      <c r="H79" s="22">
        <v>555360.91</v>
      </c>
      <c r="I79" s="23" t="s">
        <v>161</v>
      </c>
      <c r="J79" s="16"/>
    </row>
    <row r="80" spans="1:10" s="17" customFormat="1" x14ac:dyDescent="0.25">
      <c r="A80" s="6" t="s">
        <v>162</v>
      </c>
      <c r="B80" s="21">
        <v>241235.84</v>
      </c>
      <c r="C80" s="21">
        <v>448564.03</v>
      </c>
      <c r="D80" s="21">
        <v>549593.17999999993</v>
      </c>
      <c r="E80" s="21">
        <v>458981.9</v>
      </c>
      <c r="F80" s="22">
        <v>623819.68000000005</v>
      </c>
      <c r="G80" s="22">
        <v>661660.66599999997</v>
      </c>
      <c r="H80" s="22">
        <v>572606.07999999996</v>
      </c>
      <c r="I80" s="23" t="s">
        <v>163</v>
      </c>
      <c r="J80" s="16"/>
    </row>
    <row r="81" spans="1:10" s="17" customFormat="1" x14ac:dyDescent="0.25">
      <c r="A81" s="6" t="s">
        <v>164</v>
      </c>
      <c r="B81" s="21">
        <v>53005</v>
      </c>
      <c r="C81" s="21">
        <v>158479.45000000001</v>
      </c>
      <c r="D81" s="21">
        <v>244541</v>
      </c>
      <c r="E81" s="21">
        <v>216774.71</v>
      </c>
      <c r="F81" s="22">
        <v>328378.84999999998</v>
      </c>
      <c r="G81" s="22">
        <v>292134.82400000002</v>
      </c>
      <c r="H81" s="22">
        <v>215160.78</v>
      </c>
      <c r="I81" s="23" t="s">
        <v>165</v>
      </c>
      <c r="J81" s="16"/>
    </row>
    <row r="82" spans="1:10" s="17" customFormat="1" x14ac:dyDescent="0.25">
      <c r="A82" s="6" t="s">
        <v>166</v>
      </c>
      <c r="B82" s="21">
        <v>19260786.272999998</v>
      </c>
      <c r="C82" s="21">
        <v>23992138.561000001</v>
      </c>
      <c r="D82" s="21">
        <v>24537790.300000001</v>
      </c>
      <c r="E82" s="21">
        <v>26792840.920000002</v>
      </c>
      <c r="F82" s="22">
        <v>29051617.390000001</v>
      </c>
      <c r="G82" s="22">
        <v>28031860.586800002</v>
      </c>
      <c r="H82" s="22">
        <v>36960707.780000001</v>
      </c>
      <c r="I82" s="23" t="s">
        <v>167</v>
      </c>
      <c r="J82" s="16"/>
    </row>
    <row r="83" spans="1:10" s="17" customFormat="1" x14ac:dyDescent="0.25">
      <c r="A83" s="6" t="s">
        <v>435</v>
      </c>
      <c r="B83" s="21">
        <v>1621450.36</v>
      </c>
      <c r="C83" s="21">
        <v>2303823.92</v>
      </c>
      <c r="D83" s="21">
        <v>0</v>
      </c>
      <c r="E83" s="21">
        <v>2369821.8199999998</v>
      </c>
      <c r="F83" s="22">
        <v>2122621.59</v>
      </c>
      <c r="G83" s="22">
        <v>0</v>
      </c>
      <c r="H83" s="22">
        <v>0</v>
      </c>
      <c r="I83" s="24" t="s">
        <v>436</v>
      </c>
      <c r="J83" s="16"/>
    </row>
    <row r="84" spans="1:10" s="17" customFormat="1" x14ac:dyDescent="0.25">
      <c r="A84" s="6" t="s">
        <v>437</v>
      </c>
      <c r="B84" s="21">
        <v>427180.2</v>
      </c>
      <c r="C84" s="21">
        <v>1634144.96</v>
      </c>
      <c r="D84" s="21">
        <v>4646827.63</v>
      </c>
      <c r="E84" s="21">
        <v>2381675.94</v>
      </c>
      <c r="F84" s="22">
        <v>2349596.2200000002</v>
      </c>
      <c r="G84" s="22">
        <v>4553208.59</v>
      </c>
      <c r="H84" s="22">
        <v>4002623.2800000003</v>
      </c>
      <c r="I84" s="23" t="s">
        <v>168</v>
      </c>
      <c r="J84" s="25"/>
    </row>
    <row r="85" spans="1:10" s="17" customFormat="1" x14ac:dyDescent="0.25">
      <c r="A85" s="6" t="s">
        <v>169</v>
      </c>
      <c r="B85" s="21">
        <v>236449.36</v>
      </c>
      <c r="C85" s="21">
        <v>406044.4</v>
      </c>
      <c r="D85" s="21">
        <v>585573.97</v>
      </c>
      <c r="E85" s="21">
        <v>797014.32</v>
      </c>
      <c r="F85" s="22">
        <v>611193.54</v>
      </c>
      <c r="G85" s="22">
        <v>632918.12360000005</v>
      </c>
      <c r="H85" s="22">
        <v>638161.25</v>
      </c>
      <c r="I85" s="23" t="s">
        <v>170</v>
      </c>
      <c r="J85" s="25"/>
    </row>
    <row r="86" spans="1:10" s="17" customFormat="1" x14ac:dyDescent="0.25">
      <c r="A86" s="6" t="s">
        <v>171</v>
      </c>
      <c r="B86" s="21">
        <v>182173</v>
      </c>
      <c r="C86" s="21">
        <v>262477.98</v>
      </c>
      <c r="D86" s="21">
        <v>478663.5</v>
      </c>
      <c r="E86" s="21">
        <v>461347.05</v>
      </c>
      <c r="F86" s="22">
        <v>708187.75</v>
      </c>
      <c r="G86" s="22">
        <v>733808.37600000005</v>
      </c>
      <c r="H86" s="22">
        <v>936414.52</v>
      </c>
      <c r="I86" s="23" t="s">
        <v>172</v>
      </c>
      <c r="J86" s="25"/>
    </row>
    <row r="87" spans="1:10" s="17" customFormat="1" x14ac:dyDescent="0.25">
      <c r="A87" s="6" t="s">
        <v>173</v>
      </c>
      <c r="B87" s="21">
        <v>137990.70000000001</v>
      </c>
      <c r="C87" s="21">
        <v>455179.47</v>
      </c>
      <c r="D87" s="21">
        <v>603487.47</v>
      </c>
      <c r="E87" s="21">
        <v>540943.12</v>
      </c>
      <c r="F87" s="22">
        <v>484211.04</v>
      </c>
      <c r="G87" s="22">
        <v>400460.94099999999</v>
      </c>
      <c r="H87" s="22">
        <v>552210.93000000005</v>
      </c>
      <c r="I87" s="23" t="s">
        <v>174</v>
      </c>
      <c r="J87" s="25"/>
    </row>
    <row r="88" spans="1:10" s="17" customFormat="1" x14ac:dyDescent="0.25">
      <c r="A88" s="6" t="s">
        <v>175</v>
      </c>
      <c r="B88" s="21">
        <v>1194051.29</v>
      </c>
      <c r="C88" s="21">
        <v>1654839.11</v>
      </c>
      <c r="D88" s="21">
        <v>1986241.9699999997</v>
      </c>
      <c r="E88" s="21">
        <v>2068416.31</v>
      </c>
      <c r="F88" s="22">
        <v>2184403.46</v>
      </c>
      <c r="G88" s="22">
        <v>2441574.2820000001</v>
      </c>
      <c r="H88" s="22">
        <v>2510266.06</v>
      </c>
      <c r="I88" s="23" t="s">
        <v>176</v>
      </c>
      <c r="J88" s="25"/>
    </row>
    <row r="89" spans="1:10" s="17" customFormat="1" x14ac:dyDescent="0.25">
      <c r="A89" s="6" t="s">
        <v>177</v>
      </c>
      <c r="B89" s="21">
        <v>950579.85</v>
      </c>
      <c r="C89" s="21">
        <v>1759178.74</v>
      </c>
      <c r="D89" s="21">
        <v>1643465.24</v>
      </c>
      <c r="E89" s="21">
        <v>1891947.52</v>
      </c>
      <c r="F89" s="22">
        <v>1916305.76</v>
      </c>
      <c r="G89" s="22">
        <v>1895001.0374000003</v>
      </c>
      <c r="H89" s="22">
        <v>1866957.3499999999</v>
      </c>
      <c r="I89" s="23" t="s">
        <v>178</v>
      </c>
      <c r="J89" s="25"/>
    </row>
    <row r="90" spans="1:10" s="17" customFormat="1" x14ac:dyDescent="0.25">
      <c r="A90" s="6" t="s">
        <v>179</v>
      </c>
      <c r="B90" s="21">
        <v>17940</v>
      </c>
      <c r="C90" s="21">
        <v>150063.57</v>
      </c>
      <c r="D90" s="21">
        <v>262729.53000000003</v>
      </c>
      <c r="E90" s="21">
        <v>290129.32</v>
      </c>
      <c r="F90" s="22">
        <v>246079.75</v>
      </c>
      <c r="G90" s="22">
        <v>239756.46400000001</v>
      </c>
      <c r="H90" s="22">
        <v>247118.58</v>
      </c>
      <c r="I90" s="23" t="s">
        <v>180</v>
      </c>
      <c r="J90" s="25"/>
    </row>
    <row r="91" spans="1:10" s="17" customFormat="1" x14ac:dyDescent="0.25">
      <c r="A91" s="6" t="s">
        <v>181</v>
      </c>
      <c r="B91" s="21">
        <v>710064.3</v>
      </c>
      <c r="C91" s="21">
        <v>1206728.29</v>
      </c>
      <c r="D91" s="21">
        <v>1650484.49</v>
      </c>
      <c r="E91" s="21">
        <v>1443781.17</v>
      </c>
      <c r="F91" s="22">
        <v>1492929.3</v>
      </c>
      <c r="G91" s="22">
        <v>6619531.8340000007</v>
      </c>
      <c r="H91" s="22">
        <v>4476793.32</v>
      </c>
      <c r="I91" s="23" t="s">
        <v>182</v>
      </c>
      <c r="J91" s="16"/>
    </row>
    <row r="92" spans="1:10" s="17" customFormat="1" x14ac:dyDescent="0.25">
      <c r="A92" s="6" t="s">
        <v>183</v>
      </c>
      <c r="B92" s="21">
        <v>209698.75</v>
      </c>
      <c r="C92" s="21">
        <v>217974.82</v>
      </c>
      <c r="D92" s="21">
        <v>279534.28000000003</v>
      </c>
      <c r="E92" s="21">
        <v>264445.05</v>
      </c>
      <c r="F92" s="22">
        <v>386661.52</v>
      </c>
      <c r="G92" s="22">
        <v>435286.83</v>
      </c>
      <c r="H92" s="22">
        <v>331922.19</v>
      </c>
      <c r="I92" s="23" t="s">
        <v>184</v>
      </c>
      <c r="J92" s="16"/>
    </row>
    <row r="93" spans="1:10" s="17" customFormat="1" x14ac:dyDescent="0.25">
      <c r="A93" s="6" t="s">
        <v>185</v>
      </c>
      <c r="B93" s="21">
        <v>1724443.43</v>
      </c>
      <c r="C93" s="21">
        <v>2731994.18</v>
      </c>
      <c r="D93" s="21">
        <v>2721768.32</v>
      </c>
      <c r="E93" s="21">
        <v>2657874.0299999998</v>
      </c>
      <c r="F93" s="22">
        <v>2250507.38</v>
      </c>
      <c r="G93" s="22">
        <v>2498818.65</v>
      </c>
      <c r="H93" s="22">
        <v>2598805.4539999999</v>
      </c>
      <c r="I93" s="23" t="s">
        <v>186</v>
      </c>
      <c r="J93" s="16"/>
    </row>
    <row r="94" spans="1:10" s="17" customFormat="1" ht="15" hidden="1" customHeight="1" x14ac:dyDescent="0.25">
      <c r="A94" s="6" t="s">
        <v>407</v>
      </c>
      <c r="B94" s="21">
        <v>0</v>
      </c>
      <c r="C94" s="21">
        <v>0</v>
      </c>
      <c r="D94" s="21">
        <v>0</v>
      </c>
      <c r="E94" s="21">
        <v>0</v>
      </c>
      <c r="F94" s="22">
        <v>0</v>
      </c>
      <c r="G94" s="22"/>
      <c r="H94" s="22"/>
      <c r="I94" s="26" t="s">
        <v>408</v>
      </c>
      <c r="J94" s="16"/>
    </row>
    <row r="95" spans="1:10" s="17" customFormat="1" ht="12" customHeight="1" x14ac:dyDescent="0.25">
      <c r="A95" s="6"/>
      <c r="B95" s="21"/>
      <c r="C95" s="21"/>
      <c r="D95" s="21"/>
      <c r="E95" s="21"/>
      <c r="F95" s="21"/>
      <c r="G95" s="21"/>
      <c r="H95" s="21"/>
      <c r="I95" s="27"/>
      <c r="J95" s="16"/>
    </row>
    <row r="96" spans="1:10" s="17" customFormat="1" x14ac:dyDescent="0.25">
      <c r="A96" s="7" t="s">
        <v>17</v>
      </c>
      <c r="B96" s="18">
        <f t="shared" ref="B96:G96" si="7">SUM(B97:B109)</f>
        <v>15482386.66</v>
      </c>
      <c r="C96" s="18">
        <f t="shared" si="7"/>
        <v>21675172.101000007</v>
      </c>
      <c r="D96" s="18">
        <f t="shared" si="7"/>
        <v>26651220.370000005</v>
      </c>
      <c r="E96" s="18">
        <f t="shared" si="7"/>
        <v>30149104.175999999</v>
      </c>
      <c r="F96" s="18">
        <f t="shared" si="7"/>
        <v>33634879.119999997</v>
      </c>
      <c r="G96" s="18">
        <f t="shared" si="7"/>
        <v>27044367.550599996</v>
      </c>
      <c r="H96" s="18">
        <v>25655929.811999999</v>
      </c>
      <c r="I96" s="19" t="s">
        <v>18</v>
      </c>
      <c r="J96" s="16"/>
    </row>
    <row r="97" spans="1:10" s="17" customFormat="1" x14ac:dyDescent="0.25">
      <c r="A97" s="6" t="s">
        <v>187</v>
      </c>
      <c r="B97" s="21">
        <v>170837.14</v>
      </c>
      <c r="C97" s="21">
        <v>362232.12</v>
      </c>
      <c r="D97" s="21">
        <v>641767.24</v>
      </c>
      <c r="E97" s="21">
        <v>622427.88</v>
      </c>
      <c r="F97" s="22">
        <v>650742.19999999995</v>
      </c>
      <c r="G97" s="22">
        <v>699631.74800000002</v>
      </c>
      <c r="H97" s="22">
        <v>579500.13</v>
      </c>
      <c r="I97" s="23" t="s">
        <v>188</v>
      </c>
      <c r="J97" s="25"/>
    </row>
    <row r="98" spans="1:10" s="17" customFormat="1" x14ac:dyDescent="0.25">
      <c r="A98" s="6" t="s">
        <v>189</v>
      </c>
      <c r="B98" s="21">
        <v>61144.99</v>
      </c>
      <c r="C98" s="21">
        <v>383590.23</v>
      </c>
      <c r="D98" s="21">
        <v>576655.37</v>
      </c>
      <c r="E98" s="21">
        <v>520225.5</v>
      </c>
      <c r="F98" s="22">
        <v>472448.91</v>
      </c>
      <c r="G98" s="22">
        <v>709189.71299999999</v>
      </c>
      <c r="H98" s="22">
        <v>393510.09</v>
      </c>
      <c r="I98" s="23" t="s">
        <v>190</v>
      </c>
      <c r="J98" s="25"/>
    </row>
    <row r="99" spans="1:10" s="17" customFormat="1" x14ac:dyDescent="0.25">
      <c r="A99" s="6" t="s">
        <v>191</v>
      </c>
      <c r="B99" s="21">
        <v>1569339.82</v>
      </c>
      <c r="C99" s="21">
        <v>2128974.84</v>
      </c>
      <c r="D99" s="21">
        <v>3513938.54</v>
      </c>
      <c r="E99" s="21">
        <v>6695836.9900000002</v>
      </c>
      <c r="F99" s="22">
        <v>8272140.9100000001</v>
      </c>
      <c r="G99" s="22">
        <v>2108930.406</v>
      </c>
      <c r="H99" s="22">
        <v>1758803.47</v>
      </c>
      <c r="I99" s="23" t="s">
        <v>192</v>
      </c>
      <c r="J99" s="25"/>
    </row>
    <row r="100" spans="1:10" s="17" customFormat="1" x14ac:dyDescent="0.25">
      <c r="A100" s="6" t="s">
        <v>193</v>
      </c>
      <c r="B100" s="21">
        <v>45417.67</v>
      </c>
      <c r="C100" s="21">
        <v>174813.16</v>
      </c>
      <c r="D100" s="21">
        <v>307325.44</v>
      </c>
      <c r="E100" s="21">
        <v>258660.22</v>
      </c>
      <c r="F100" s="22">
        <v>296624.12</v>
      </c>
      <c r="G100" s="22">
        <v>469919.97599999997</v>
      </c>
      <c r="H100" s="22">
        <v>327136.84999999998</v>
      </c>
      <c r="I100" s="23" t="s">
        <v>194</v>
      </c>
      <c r="J100" s="25"/>
    </row>
    <row r="101" spans="1:10" s="17" customFormat="1" x14ac:dyDescent="0.25">
      <c r="A101" s="6" t="s">
        <v>195</v>
      </c>
      <c r="B101" s="21">
        <v>71157.56</v>
      </c>
      <c r="C101" s="21">
        <v>218391.37</v>
      </c>
      <c r="D101" s="21">
        <v>450463.44</v>
      </c>
      <c r="E101" s="21">
        <v>395894.86</v>
      </c>
      <c r="F101" s="22">
        <v>435665.08</v>
      </c>
      <c r="G101" s="22">
        <v>427798.2</v>
      </c>
      <c r="H101" s="22">
        <v>358133.85</v>
      </c>
      <c r="I101" s="23" t="s">
        <v>196</v>
      </c>
      <c r="J101" s="25"/>
    </row>
    <row r="102" spans="1:10" s="17" customFormat="1" x14ac:dyDescent="0.25">
      <c r="A102" s="6" t="s">
        <v>197</v>
      </c>
      <c r="B102" s="21">
        <v>431435.39</v>
      </c>
      <c r="C102" s="21">
        <v>1185989.03</v>
      </c>
      <c r="D102" s="21">
        <v>1386717.03</v>
      </c>
      <c r="E102" s="21">
        <v>1594079.5360000001</v>
      </c>
      <c r="F102" s="22">
        <v>1712784.49</v>
      </c>
      <c r="G102" s="22">
        <v>1796501.7796</v>
      </c>
      <c r="H102" s="22">
        <v>1360458.53</v>
      </c>
      <c r="I102" s="23" t="s">
        <v>198</v>
      </c>
      <c r="J102" s="25"/>
    </row>
    <row r="103" spans="1:10" s="17" customFormat="1" x14ac:dyDescent="0.25">
      <c r="A103" s="6" t="s">
        <v>199</v>
      </c>
      <c r="B103" s="21">
        <v>248420</v>
      </c>
      <c r="C103" s="21">
        <v>359272.72</v>
      </c>
      <c r="D103" s="21">
        <v>344303.16000000003</v>
      </c>
      <c r="E103" s="21">
        <v>384536.98</v>
      </c>
      <c r="F103" s="22">
        <v>543336.61</v>
      </c>
      <c r="G103" s="22">
        <v>520352.9</v>
      </c>
      <c r="H103" s="22">
        <v>514232.61</v>
      </c>
      <c r="I103" s="23" t="s">
        <v>200</v>
      </c>
      <c r="J103" s="25"/>
    </row>
    <row r="104" spans="1:10" s="17" customFormat="1" x14ac:dyDescent="0.25">
      <c r="A104" s="6" t="s">
        <v>201</v>
      </c>
      <c r="B104" s="21">
        <v>8875930.7599999998</v>
      </c>
      <c r="C104" s="21">
        <v>11092706.071</v>
      </c>
      <c r="D104" s="21">
        <v>12930193.189999999</v>
      </c>
      <c r="E104" s="21">
        <v>13539843.4</v>
      </c>
      <c r="F104" s="22">
        <v>14161686.449999999</v>
      </c>
      <c r="G104" s="22">
        <v>12605844.992000001</v>
      </c>
      <c r="H104" s="22">
        <v>13720946.202000001</v>
      </c>
      <c r="I104" s="23" t="s">
        <v>202</v>
      </c>
      <c r="J104" s="25"/>
    </row>
    <row r="105" spans="1:10" s="17" customFormat="1" x14ac:dyDescent="0.25">
      <c r="A105" s="6" t="s">
        <v>203</v>
      </c>
      <c r="B105" s="21">
        <v>2619512.86</v>
      </c>
      <c r="C105" s="21">
        <v>3385799.49</v>
      </c>
      <c r="D105" s="21">
        <v>3618460.4400000004</v>
      </c>
      <c r="E105" s="21">
        <v>3563940.13</v>
      </c>
      <c r="F105" s="22">
        <v>4475277.03</v>
      </c>
      <c r="G105" s="22">
        <v>4909132.1540000001</v>
      </c>
      <c r="H105" s="22">
        <v>4184029.61</v>
      </c>
      <c r="I105" s="23" t="s">
        <v>204</v>
      </c>
      <c r="J105" s="16"/>
    </row>
    <row r="106" spans="1:10" s="17" customFormat="1" x14ac:dyDescent="0.25">
      <c r="A106" s="6" t="s">
        <v>205</v>
      </c>
      <c r="B106" s="21">
        <v>773734.9</v>
      </c>
      <c r="C106" s="21">
        <v>1305030.6000000001</v>
      </c>
      <c r="D106" s="21">
        <v>1668405.7100000002</v>
      </c>
      <c r="E106" s="21">
        <v>1417131.62</v>
      </c>
      <c r="F106" s="22">
        <v>1355215.83</v>
      </c>
      <c r="G106" s="22">
        <v>1455313.5989999999</v>
      </c>
      <c r="H106" s="22">
        <v>1123788.24</v>
      </c>
      <c r="I106" s="23" t="s">
        <v>206</v>
      </c>
      <c r="J106" s="16"/>
    </row>
    <row r="107" spans="1:10" s="17" customFormat="1" x14ac:dyDescent="0.25">
      <c r="A107" s="6" t="s">
        <v>207</v>
      </c>
      <c r="B107" s="21">
        <v>5200</v>
      </c>
      <c r="C107" s="21">
        <v>60645.599999999999</v>
      </c>
      <c r="D107" s="21">
        <v>142165.76000000001</v>
      </c>
      <c r="E107" s="21">
        <v>185659.08</v>
      </c>
      <c r="F107" s="22">
        <v>168343</v>
      </c>
      <c r="G107" s="22">
        <v>182452.32699999999</v>
      </c>
      <c r="H107" s="22">
        <v>234515.18</v>
      </c>
      <c r="I107" s="23" t="s">
        <v>208</v>
      </c>
      <c r="J107" s="16"/>
    </row>
    <row r="108" spans="1:10" s="17" customFormat="1" x14ac:dyDescent="0.25">
      <c r="A108" s="6" t="s">
        <v>209</v>
      </c>
      <c r="B108" s="21">
        <v>5240</v>
      </c>
      <c r="C108" s="21">
        <v>26717.51</v>
      </c>
      <c r="D108" s="21">
        <v>63135.969999999994</v>
      </c>
      <c r="E108" s="21">
        <v>120442.06</v>
      </c>
      <c r="F108" s="22">
        <v>115184.51</v>
      </c>
      <c r="G108" s="22">
        <v>136343.94399999999</v>
      </c>
      <c r="H108" s="22">
        <v>187822.82</v>
      </c>
      <c r="I108" s="23" t="s">
        <v>210</v>
      </c>
      <c r="J108" s="16"/>
    </row>
    <row r="109" spans="1:10" s="17" customFormat="1" x14ac:dyDescent="0.25">
      <c r="A109" s="6" t="s">
        <v>110</v>
      </c>
      <c r="B109" s="21">
        <v>605015.56999999995</v>
      </c>
      <c r="C109" s="21">
        <v>991009.36</v>
      </c>
      <c r="D109" s="21">
        <v>1007689.0800000001</v>
      </c>
      <c r="E109" s="21">
        <v>850425.92</v>
      </c>
      <c r="F109" s="22">
        <v>975429.98</v>
      </c>
      <c r="G109" s="22">
        <v>1022955.8119999999</v>
      </c>
      <c r="H109" s="22">
        <v>913052.23</v>
      </c>
      <c r="I109" s="23" t="s">
        <v>111</v>
      </c>
      <c r="J109" s="25"/>
    </row>
    <row r="110" spans="1:10" s="17" customFormat="1" ht="6" customHeight="1" x14ac:dyDescent="0.25">
      <c r="A110" s="6"/>
      <c r="B110" s="21"/>
      <c r="C110" s="21"/>
      <c r="D110" s="21"/>
      <c r="E110" s="21"/>
      <c r="F110" s="21"/>
      <c r="G110" s="21"/>
      <c r="H110" s="21"/>
      <c r="I110" s="27"/>
      <c r="J110" s="25"/>
    </row>
    <row r="111" spans="1:10" s="17" customFormat="1" x14ac:dyDescent="0.25">
      <c r="A111" s="7" t="s">
        <v>19</v>
      </c>
      <c r="B111" s="18">
        <f t="shared" ref="B111:G111" si="8">SUM(B112:B116)</f>
        <v>23688972.940000001</v>
      </c>
      <c r="C111" s="18">
        <f t="shared" si="8"/>
        <v>27147750.809999999</v>
      </c>
      <c r="D111" s="18">
        <f t="shared" si="8"/>
        <v>31816789.559999999</v>
      </c>
      <c r="E111" s="18">
        <f t="shared" si="8"/>
        <v>38642931.219999999</v>
      </c>
      <c r="F111" s="18">
        <f t="shared" si="8"/>
        <v>35692529.050000004</v>
      </c>
      <c r="G111" s="18">
        <f t="shared" si="8"/>
        <v>32568445.948900003</v>
      </c>
      <c r="H111" s="18">
        <v>27942400.420000002</v>
      </c>
      <c r="I111" s="19" t="s">
        <v>20</v>
      </c>
      <c r="J111" s="25"/>
    </row>
    <row r="112" spans="1:10" s="17" customFormat="1" x14ac:dyDescent="0.25">
      <c r="A112" s="6" t="s">
        <v>211</v>
      </c>
      <c r="B112" s="21">
        <v>5211588.9800000004</v>
      </c>
      <c r="C112" s="21">
        <v>5255065.95</v>
      </c>
      <c r="D112" s="21">
        <v>5472344.1100000003</v>
      </c>
      <c r="E112" s="21">
        <v>7209527.79</v>
      </c>
      <c r="F112" s="22">
        <v>7181298.0300000003</v>
      </c>
      <c r="G112" s="22">
        <v>6225661.0963000003</v>
      </c>
      <c r="H112" s="22">
        <v>5172050.93</v>
      </c>
      <c r="I112" s="23" t="s">
        <v>212</v>
      </c>
      <c r="J112" s="16"/>
    </row>
    <row r="113" spans="1:10" s="17" customFormat="1" x14ac:dyDescent="0.25">
      <c r="A113" s="6" t="s">
        <v>213</v>
      </c>
      <c r="B113" s="21">
        <v>14589799.16</v>
      </c>
      <c r="C113" s="21">
        <v>18087255.73</v>
      </c>
      <c r="D113" s="21">
        <v>21723160.109999999</v>
      </c>
      <c r="E113" s="21">
        <v>25819817.02</v>
      </c>
      <c r="F113" s="22">
        <v>23698861.219999999</v>
      </c>
      <c r="G113" s="22">
        <v>21497761.908599999</v>
      </c>
      <c r="H113" s="22">
        <v>18773866.880000003</v>
      </c>
      <c r="I113" s="23" t="s">
        <v>214</v>
      </c>
      <c r="J113" s="16"/>
    </row>
    <row r="114" spans="1:10" s="17" customFormat="1" x14ac:dyDescent="0.25">
      <c r="A114" s="6" t="s">
        <v>215</v>
      </c>
      <c r="B114" s="21">
        <v>3692388.03</v>
      </c>
      <c r="C114" s="21">
        <v>3325713.58</v>
      </c>
      <c r="D114" s="21">
        <v>3919278.3</v>
      </c>
      <c r="E114" s="21">
        <v>4993687.78</v>
      </c>
      <c r="F114" s="22">
        <v>4275261.9800000004</v>
      </c>
      <c r="G114" s="22">
        <v>4374999.74</v>
      </c>
      <c r="H114" s="22">
        <v>3507338.8</v>
      </c>
      <c r="I114" s="23" t="s">
        <v>216</v>
      </c>
      <c r="J114" s="16"/>
    </row>
    <row r="115" spans="1:10" s="17" customFormat="1" x14ac:dyDescent="0.25">
      <c r="A115" s="6" t="s">
        <v>217</v>
      </c>
      <c r="B115" s="21">
        <v>195196.77</v>
      </c>
      <c r="C115" s="21">
        <v>479715.55</v>
      </c>
      <c r="D115" s="21">
        <v>702007.04</v>
      </c>
      <c r="E115" s="21">
        <v>619898.63</v>
      </c>
      <c r="F115" s="22">
        <v>537107.81999999995</v>
      </c>
      <c r="G115" s="22">
        <v>470023.20400000003</v>
      </c>
      <c r="H115" s="22">
        <v>489143.81</v>
      </c>
      <c r="I115" s="23" t="s">
        <v>218</v>
      </c>
      <c r="J115" s="16"/>
    </row>
    <row r="116" spans="1:10" s="17" customFormat="1" ht="15" hidden="1" customHeight="1" x14ac:dyDescent="0.25">
      <c r="A116" s="6" t="s">
        <v>219</v>
      </c>
      <c r="B116" s="21"/>
      <c r="C116" s="21">
        <v>0</v>
      </c>
      <c r="D116" s="21">
        <v>0</v>
      </c>
      <c r="E116" s="21">
        <v>0</v>
      </c>
      <c r="F116" s="22">
        <v>0</v>
      </c>
      <c r="G116" s="22">
        <v>0</v>
      </c>
      <c r="H116" s="22">
        <v>0</v>
      </c>
      <c r="I116" s="23" t="s">
        <v>220</v>
      </c>
      <c r="J116" s="16"/>
    </row>
    <row r="117" spans="1:10" s="17" customFormat="1" ht="7.5" customHeight="1" x14ac:dyDescent="0.25">
      <c r="A117" s="6"/>
      <c r="B117" s="21"/>
      <c r="C117" s="21"/>
      <c r="D117" s="21"/>
      <c r="E117" s="21"/>
      <c r="F117" s="21"/>
      <c r="G117" s="21"/>
      <c r="H117" s="21"/>
      <c r="I117" s="27"/>
      <c r="J117" s="16"/>
    </row>
    <row r="118" spans="1:10" s="17" customFormat="1" x14ac:dyDescent="0.25">
      <c r="A118" s="7" t="s">
        <v>21</v>
      </c>
      <c r="B118" s="18">
        <f t="shared" ref="B118:G118" si="9">SUM(B119:B127)</f>
        <v>7724957.6299999999</v>
      </c>
      <c r="C118" s="18">
        <f t="shared" si="9"/>
        <v>12281541.290000001</v>
      </c>
      <c r="D118" s="18">
        <f t="shared" si="9"/>
        <v>14543865.75</v>
      </c>
      <c r="E118" s="18">
        <f t="shared" si="9"/>
        <v>15450866.840299999</v>
      </c>
      <c r="F118" s="18">
        <f t="shared" si="9"/>
        <v>15019880.844000001</v>
      </c>
      <c r="G118" s="18">
        <f t="shared" si="9"/>
        <v>17197161.1184</v>
      </c>
      <c r="H118" s="18">
        <v>20342689.015000001</v>
      </c>
      <c r="I118" s="19" t="s">
        <v>22</v>
      </c>
      <c r="J118" s="16"/>
    </row>
    <row r="119" spans="1:10" s="17" customFormat="1" x14ac:dyDescent="0.25">
      <c r="A119" s="6" t="s">
        <v>221</v>
      </c>
      <c r="B119" s="21">
        <v>1686982.19</v>
      </c>
      <c r="C119" s="21">
        <v>2023441.13</v>
      </c>
      <c r="D119" s="21">
        <v>2607396.13</v>
      </c>
      <c r="E119" s="21">
        <v>2976756.51</v>
      </c>
      <c r="F119" s="22">
        <v>2626593</v>
      </c>
      <c r="G119" s="22">
        <v>2765804.2930000001</v>
      </c>
      <c r="H119" s="22">
        <v>2624563.6399999997</v>
      </c>
      <c r="I119" s="23" t="s">
        <v>222</v>
      </c>
      <c r="J119" s="16"/>
    </row>
    <row r="120" spans="1:10" s="17" customFormat="1" x14ac:dyDescent="0.25">
      <c r="A120" s="6" t="s">
        <v>223</v>
      </c>
      <c r="B120" s="21">
        <v>785531.32</v>
      </c>
      <c r="C120" s="21">
        <v>880446.88</v>
      </c>
      <c r="D120" s="21">
        <v>758286.34000000008</v>
      </c>
      <c r="E120" s="21">
        <v>765230.05</v>
      </c>
      <c r="F120" s="22">
        <v>879133.67</v>
      </c>
      <c r="G120" s="22">
        <v>982415.11100000003</v>
      </c>
      <c r="H120" s="22">
        <v>821775.34000000008</v>
      </c>
      <c r="I120" s="23" t="s">
        <v>224</v>
      </c>
      <c r="J120" s="25"/>
    </row>
    <row r="121" spans="1:10" s="17" customFormat="1" x14ac:dyDescent="0.25">
      <c r="A121" s="6" t="s">
        <v>225</v>
      </c>
      <c r="B121" s="21">
        <v>378379</v>
      </c>
      <c r="C121" s="21">
        <v>933943.47</v>
      </c>
      <c r="D121" s="21">
        <v>912630.24999999988</v>
      </c>
      <c r="E121" s="21">
        <v>1215402.8600000001</v>
      </c>
      <c r="F121" s="22">
        <v>1100517.42</v>
      </c>
      <c r="G121" s="22">
        <v>1090066.737</v>
      </c>
      <c r="H121" s="22">
        <v>904650.04</v>
      </c>
      <c r="I121" s="23" t="s">
        <v>226</v>
      </c>
      <c r="J121" s="25"/>
    </row>
    <row r="122" spans="1:10" s="17" customFormat="1" x14ac:dyDescent="0.25">
      <c r="A122" s="6" t="s">
        <v>227</v>
      </c>
      <c r="B122" s="21">
        <v>1321672.06</v>
      </c>
      <c r="C122" s="21">
        <v>2358049.16</v>
      </c>
      <c r="D122" s="21">
        <v>2087148.0899999999</v>
      </c>
      <c r="E122" s="21">
        <v>2490180.0299999998</v>
      </c>
      <c r="F122" s="22">
        <v>2188819.79</v>
      </c>
      <c r="G122" s="22">
        <v>2781018.2029999997</v>
      </c>
      <c r="H122" s="22">
        <v>3076267.7399999998</v>
      </c>
      <c r="I122" s="23" t="s">
        <v>228</v>
      </c>
      <c r="J122" s="25"/>
    </row>
    <row r="123" spans="1:10" s="17" customFormat="1" x14ac:dyDescent="0.25">
      <c r="A123" s="6" t="s">
        <v>229</v>
      </c>
      <c r="B123" s="21">
        <v>345484</v>
      </c>
      <c r="C123" s="21">
        <v>486100.11</v>
      </c>
      <c r="D123" s="21">
        <v>800334.13</v>
      </c>
      <c r="E123" s="21">
        <v>884747.67</v>
      </c>
      <c r="F123" s="22">
        <v>902402.58</v>
      </c>
      <c r="G123" s="22">
        <v>996412.42739999993</v>
      </c>
      <c r="H123" s="22">
        <v>1121569.3999999999</v>
      </c>
      <c r="I123" s="23" t="s">
        <v>230</v>
      </c>
      <c r="J123" s="16"/>
    </row>
    <row r="124" spans="1:10" s="17" customFormat="1" x14ac:dyDescent="0.25">
      <c r="A124" s="6" t="s">
        <v>231</v>
      </c>
      <c r="B124" s="21">
        <v>733764.13</v>
      </c>
      <c r="C124" s="21">
        <v>732587.88</v>
      </c>
      <c r="D124" s="21">
        <v>1119073.06</v>
      </c>
      <c r="E124" s="21">
        <v>1168094.32</v>
      </c>
      <c r="F124" s="22">
        <v>1323460.1200000001</v>
      </c>
      <c r="G124" s="22">
        <v>1301838.2540000002</v>
      </c>
      <c r="H124" s="22">
        <v>1921957.96</v>
      </c>
      <c r="I124" s="23" t="s">
        <v>232</v>
      </c>
      <c r="J124" s="16"/>
    </row>
    <row r="125" spans="1:10" s="17" customFormat="1" x14ac:dyDescent="0.25">
      <c r="A125" s="6" t="s">
        <v>233</v>
      </c>
      <c r="B125" s="21">
        <v>188054.36</v>
      </c>
      <c r="C125" s="21">
        <v>311566.28000000003</v>
      </c>
      <c r="D125" s="21">
        <v>511363.64999999997</v>
      </c>
      <c r="E125" s="21">
        <v>686123.51</v>
      </c>
      <c r="F125" s="22">
        <v>694211.04</v>
      </c>
      <c r="G125" s="22">
        <v>713889.80799999996</v>
      </c>
      <c r="H125" s="22">
        <v>710750.96</v>
      </c>
      <c r="I125" s="23" t="s">
        <v>234</v>
      </c>
      <c r="J125" s="16"/>
    </row>
    <row r="126" spans="1:10" s="17" customFormat="1" x14ac:dyDescent="0.25">
      <c r="A126" s="6" t="s">
        <v>235</v>
      </c>
      <c r="B126" s="21">
        <v>1184284.1000000001</v>
      </c>
      <c r="C126" s="21">
        <v>1801720.99</v>
      </c>
      <c r="D126" s="21">
        <v>2411620.4300000002</v>
      </c>
      <c r="E126" s="21">
        <v>2606438.1102999998</v>
      </c>
      <c r="F126" s="22">
        <v>2243238.1940000001</v>
      </c>
      <c r="G126" s="22">
        <v>2899451.7220000001</v>
      </c>
      <c r="H126" s="22">
        <v>6050392.1100000003</v>
      </c>
      <c r="I126" s="23" t="s">
        <v>236</v>
      </c>
      <c r="J126" s="25"/>
    </row>
    <row r="127" spans="1:10" s="17" customFormat="1" x14ac:dyDescent="0.25">
      <c r="A127" s="6" t="s">
        <v>237</v>
      </c>
      <c r="B127" s="21">
        <v>1100806.47</v>
      </c>
      <c r="C127" s="21">
        <v>2753685.39</v>
      </c>
      <c r="D127" s="21">
        <v>3336013.67</v>
      </c>
      <c r="E127" s="21">
        <v>2657893.7799999998</v>
      </c>
      <c r="F127" s="22">
        <v>3061505.03</v>
      </c>
      <c r="G127" s="22">
        <v>3666264.5630000001</v>
      </c>
      <c r="H127" s="22">
        <v>3110761.8250000002</v>
      </c>
      <c r="I127" s="23" t="s">
        <v>238</v>
      </c>
      <c r="J127" s="25"/>
    </row>
    <row r="128" spans="1:10" s="17" customFormat="1" ht="7.5" customHeight="1" x14ac:dyDescent="0.25">
      <c r="A128" s="6"/>
      <c r="B128" s="21"/>
      <c r="C128" s="21"/>
      <c r="D128" s="21"/>
      <c r="E128" s="21"/>
      <c r="F128" s="21"/>
      <c r="G128" s="21"/>
      <c r="H128" s="21"/>
      <c r="I128" s="27"/>
      <c r="J128" s="25"/>
    </row>
    <row r="129" spans="1:10" s="17" customFormat="1" x14ac:dyDescent="0.25">
      <c r="A129" s="7" t="s">
        <v>23</v>
      </c>
      <c r="B129" s="18">
        <f t="shared" ref="B129:G129" si="10">SUM(B130:B137)</f>
        <v>3540685.4400000004</v>
      </c>
      <c r="C129" s="18">
        <f t="shared" si="10"/>
        <v>7471919.1500000004</v>
      </c>
      <c r="D129" s="18">
        <f t="shared" si="10"/>
        <v>8698613.1500000004</v>
      </c>
      <c r="E129" s="18">
        <f t="shared" si="10"/>
        <v>5947100.96</v>
      </c>
      <c r="F129" s="18">
        <f t="shared" si="10"/>
        <v>10990868.450000001</v>
      </c>
      <c r="G129" s="18">
        <f t="shared" si="10"/>
        <v>11972620.460999999</v>
      </c>
      <c r="H129" s="18">
        <v>12008159.68</v>
      </c>
      <c r="I129" s="19" t="s">
        <v>24</v>
      </c>
      <c r="J129" s="16"/>
    </row>
    <row r="130" spans="1:10" s="17" customFormat="1" x14ac:dyDescent="0.25">
      <c r="A130" s="6" t="s">
        <v>239</v>
      </c>
      <c r="B130" s="21">
        <v>730184.88</v>
      </c>
      <c r="C130" s="21">
        <v>1616295.94</v>
      </c>
      <c r="D130" s="21">
        <v>1849399.2</v>
      </c>
      <c r="E130" s="21">
        <v>1047266.66</v>
      </c>
      <c r="F130" s="22">
        <v>1878959.5</v>
      </c>
      <c r="G130" s="22">
        <v>2207490.9180000001</v>
      </c>
      <c r="H130" s="22">
        <v>1758909.02</v>
      </c>
      <c r="I130" s="23" t="s">
        <v>240</v>
      </c>
      <c r="J130" s="16"/>
    </row>
    <row r="131" spans="1:10" s="17" customFormat="1" x14ac:dyDescent="0.25">
      <c r="A131" s="6" t="s">
        <v>241</v>
      </c>
      <c r="B131" s="21">
        <v>949970.55</v>
      </c>
      <c r="C131" s="21">
        <v>1979743.34</v>
      </c>
      <c r="D131" s="21">
        <v>2629416.4500000002</v>
      </c>
      <c r="E131" s="21">
        <v>1790861.85</v>
      </c>
      <c r="F131" s="22">
        <v>3182249.29</v>
      </c>
      <c r="G131" s="22">
        <v>3465809.1919999998</v>
      </c>
      <c r="H131" s="22">
        <v>4765398.49</v>
      </c>
      <c r="I131" s="23" t="s">
        <v>242</v>
      </c>
      <c r="J131" s="16"/>
    </row>
    <row r="132" spans="1:10" s="17" customFormat="1" x14ac:dyDescent="0.25">
      <c r="A132" s="6" t="s">
        <v>243</v>
      </c>
      <c r="B132" s="21">
        <v>463996.78</v>
      </c>
      <c r="C132" s="21">
        <v>849612.67</v>
      </c>
      <c r="D132" s="21">
        <v>1056558.51</v>
      </c>
      <c r="E132" s="21">
        <v>781987.99</v>
      </c>
      <c r="F132" s="22">
        <v>1323723.98</v>
      </c>
      <c r="G132" s="22">
        <v>1419780.2439999999</v>
      </c>
      <c r="H132" s="22">
        <v>1280259.6199999999</v>
      </c>
      <c r="I132" s="23" t="s">
        <v>244</v>
      </c>
      <c r="J132" s="16"/>
    </row>
    <row r="133" spans="1:10" s="17" customFormat="1" x14ac:dyDescent="0.25">
      <c r="A133" s="6" t="s">
        <v>245</v>
      </c>
      <c r="B133" s="21">
        <v>330701.21000000002</v>
      </c>
      <c r="C133" s="21">
        <v>779524.99</v>
      </c>
      <c r="D133" s="21">
        <v>831145.56</v>
      </c>
      <c r="E133" s="21">
        <v>649830.31999999995</v>
      </c>
      <c r="F133" s="22">
        <v>1090271.31</v>
      </c>
      <c r="G133" s="22">
        <v>1148043.57</v>
      </c>
      <c r="H133" s="22">
        <v>894878.76</v>
      </c>
      <c r="I133" s="23" t="s">
        <v>246</v>
      </c>
      <c r="J133" s="16"/>
    </row>
    <row r="134" spans="1:10" s="17" customFormat="1" x14ac:dyDescent="0.25">
      <c r="A134" s="6" t="s">
        <v>247</v>
      </c>
      <c r="B134" s="21">
        <v>397867.6</v>
      </c>
      <c r="C134" s="21">
        <v>500225.26</v>
      </c>
      <c r="D134" s="21">
        <v>668373.68999999994</v>
      </c>
      <c r="E134" s="21">
        <v>474172.47</v>
      </c>
      <c r="F134" s="22">
        <v>946802.02</v>
      </c>
      <c r="G134" s="22">
        <v>953047.99</v>
      </c>
      <c r="H134" s="22">
        <v>725406.19</v>
      </c>
      <c r="I134" s="28" t="s">
        <v>248</v>
      </c>
      <c r="J134" s="16"/>
    </row>
    <row r="135" spans="1:10" s="17" customFormat="1" x14ac:dyDescent="0.25">
      <c r="A135" s="6" t="s">
        <v>249</v>
      </c>
      <c r="B135" s="21">
        <v>258494.18</v>
      </c>
      <c r="C135" s="21">
        <v>743912.91</v>
      </c>
      <c r="D135" s="21">
        <v>467304.22</v>
      </c>
      <c r="E135" s="21">
        <v>478879.24</v>
      </c>
      <c r="F135" s="22">
        <v>691286.89</v>
      </c>
      <c r="G135" s="22">
        <v>733219.05900000001</v>
      </c>
      <c r="H135" s="22">
        <v>886821.28</v>
      </c>
      <c r="I135" s="23" t="s">
        <v>250</v>
      </c>
      <c r="J135" s="16"/>
    </row>
    <row r="136" spans="1:10" s="17" customFormat="1" x14ac:dyDescent="0.25">
      <c r="A136" s="6" t="s">
        <v>199</v>
      </c>
      <c r="B136" s="21">
        <v>161595.74</v>
      </c>
      <c r="C136" s="21">
        <v>368201.76</v>
      </c>
      <c r="D136" s="21">
        <v>532952.52</v>
      </c>
      <c r="E136" s="21">
        <v>367542.48</v>
      </c>
      <c r="F136" s="22">
        <v>1053390.98</v>
      </c>
      <c r="G136" s="22">
        <v>933333.06900000002</v>
      </c>
      <c r="H136" s="22">
        <v>780986.33</v>
      </c>
      <c r="I136" s="23" t="s">
        <v>200</v>
      </c>
      <c r="J136" s="25"/>
    </row>
    <row r="137" spans="1:10" s="17" customFormat="1" x14ac:dyDescent="0.25">
      <c r="A137" s="6" t="s">
        <v>251</v>
      </c>
      <c r="B137" s="21">
        <v>247874.5</v>
      </c>
      <c r="C137" s="21">
        <v>634402.28</v>
      </c>
      <c r="D137" s="21">
        <v>663463</v>
      </c>
      <c r="E137" s="21">
        <v>356559.95</v>
      </c>
      <c r="F137" s="22">
        <v>824184.48</v>
      </c>
      <c r="G137" s="22">
        <v>1111896.419</v>
      </c>
      <c r="H137" s="22">
        <v>915499.99</v>
      </c>
      <c r="I137" s="23" t="s">
        <v>252</v>
      </c>
      <c r="J137" s="25"/>
    </row>
    <row r="138" spans="1:10" s="17" customFormat="1" ht="13.5" customHeight="1" x14ac:dyDescent="0.25">
      <c r="A138" s="6"/>
      <c r="B138" s="21"/>
      <c r="C138" s="21"/>
      <c r="D138" s="21"/>
      <c r="E138" s="21"/>
      <c r="F138" s="21"/>
      <c r="G138" s="21"/>
      <c r="H138" s="21"/>
      <c r="I138" s="27"/>
      <c r="J138" s="25"/>
    </row>
    <row r="139" spans="1:10" s="17" customFormat="1" x14ac:dyDescent="0.25">
      <c r="A139" s="7" t="s">
        <v>25</v>
      </c>
      <c r="B139" s="18">
        <f t="shared" ref="B139:G139" si="11">SUM(B140:B149)</f>
        <v>13156080.829999998</v>
      </c>
      <c r="C139" s="18">
        <f t="shared" si="11"/>
        <v>17498120.029999997</v>
      </c>
      <c r="D139" s="18">
        <f t="shared" si="11"/>
        <v>21983644.339999996</v>
      </c>
      <c r="E139" s="18">
        <f t="shared" si="11"/>
        <v>9181590.7400000021</v>
      </c>
      <c r="F139" s="18">
        <f t="shared" si="11"/>
        <v>25909086.929999996</v>
      </c>
      <c r="G139" s="18">
        <f t="shared" si="11"/>
        <v>27622860.337000005</v>
      </c>
      <c r="H139" s="18">
        <v>29868861.675999999</v>
      </c>
      <c r="I139" s="19" t="s">
        <v>26</v>
      </c>
      <c r="J139" s="25"/>
    </row>
    <row r="140" spans="1:10" s="17" customFormat="1" x14ac:dyDescent="0.25">
      <c r="A140" s="6" t="s">
        <v>253</v>
      </c>
      <c r="B140" s="21">
        <v>221711</v>
      </c>
      <c r="C140" s="21">
        <v>482694.29</v>
      </c>
      <c r="D140" s="21">
        <v>549963.77</v>
      </c>
      <c r="E140" s="21">
        <v>252917.73</v>
      </c>
      <c r="F140" s="22">
        <v>566765.61</v>
      </c>
      <c r="G140" s="22">
        <v>729065.54200000002</v>
      </c>
      <c r="H140" s="22">
        <v>628123.05000000005</v>
      </c>
      <c r="I140" s="23" t="s">
        <v>254</v>
      </c>
      <c r="J140" s="25"/>
    </row>
    <row r="141" spans="1:10" s="17" customFormat="1" x14ac:dyDescent="0.25">
      <c r="A141" s="6" t="s">
        <v>255</v>
      </c>
      <c r="B141" s="21">
        <v>855463.42</v>
      </c>
      <c r="C141" s="21">
        <v>767029.33</v>
      </c>
      <c r="D141" s="21">
        <v>957376.89000000013</v>
      </c>
      <c r="E141" s="21">
        <v>408801.08</v>
      </c>
      <c r="F141" s="22">
        <v>1398424.98</v>
      </c>
      <c r="G141" s="22">
        <v>1464374.2990000001</v>
      </c>
      <c r="H141" s="22">
        <v>1445817.15</v>
      </c>
      <c r="I141" s="23" t="s">
        <v>256</v>
      </c>
      <c r="J141" s="25"/>
    </row>
    <row r="142" spans="1:10" s="17" customFormat="1" x14ac:dyDescent="0.25">
      <c r="A142" s="6" t="s">
        <v>257</v>
      </c>
      <c r="B142" s="21">
        <v>62825</v>
      </c>
      <c r="C142" s="21">
        <v>139067.81</v>
      </c>
      <c r="D142" s="21">
        <v>269218.27</v>
      </c>
      <c r="E142" s="21">
        <v>91605.78</v>
      </c>
      <c r="F142" s="22">
        <v>329209.92</v>
      </c>
      <c r="G142" s="22">
        <v>482333.51</v>
      </c>
      <c r="H142" s="22">
        <v>364120.34</v>
      </c>
      <c r="I142" s="23" t="s">
        <v>92</v>
      </c>
      <c r="J142" s="25"/>
    </row>
    <row r="143" spans="1:10" s="17" customFormat="1" x14ac:dyDescent="0.25">
      <c r="A143" s="6" t="s">
        <v>258</v>
      </c>
      <c r="B143" s="21">
        <v>6375648.2599999998</v>
      </c>
      <c r="C143" s="21">
        <v>8354922.8300000001</v>
      </c>
      <c r="D143" s="21">
        <v>11948441.439999999</v>
      </c>
      <c r="E143" s="21">
        <v>2475773.23</v>
      </c>
      <c r="F143" s="22">
        <v>13408276.029999999</v>
      </c>
      <c r="G143" s="22">
        <v>13033778.669</v>
      </c>
      <c r="H143" s="22">
        <v>17422855.940000001</v>
      </c>
      <c r="I143" s="23" t="s">
        <v>259</v>
      </c>
      <c r="J143" s="25"/>
    </row>
    <row r="144" spans="1:10" s="17" customFormat="1" x14ac:dyDescent="0.25">
      <c r="A144" s="6" t="s">
        <v>260</v>
      </c>
      <c r="B144" s="21">
        <v>7496</v>
      </c>
      <c r="C144" s="21">
        <v>108285.86</v>
      </c>
      <c r="D144" s="21">
        <v>339876.29</v>
      </c>
      <c r="E144" s="21">
        <v>164477.85</v>
      </c>
      <c r="F144" s="22">
        <v>466781.03</v>
      </c>
      <c r="G144" s="22">
        <v>559773.20600000001</v>
      </c>
      <c r="H144" s="22">
        <v>384446.73</v>
      </c>
      <c r="I144" s="23" t="s">
        <v>409</v>
      </c>
      <c r="J144" s="25"/>
    </row>
    <row r="145" spans="1:10" s="17" customFormat="1" x14ac:dyDescent="0.25">
      <c r="A145" s="6" t="s">
        <v>261</v>
      </c>
      <c r="B145" s="21">
        <v>549895.6</v>
      </c>
      <c r="C145" s="21">
        <v>1298788.7</v>
      </c>
      <c r="D145" s="21">
        <v>952041.58000000007</v>
      </c>
      <c r="E145" s="21">
        <v>386982.84</v>
      </c>
      <c r="F145" s="22">
        <v>1019592.69</v>
      </c>
      <c r="G145" s="22">
        <v>1351294.747</v>
      </c>
      <c r="H145" s="22">
        <v>1015566.81</v>
      </c>
      <c r="I145" s="23" t="s">
        <v>262</v>
      </c>
      <c r="J145" s="25"/>
    </row>
    <row r="146" spans="1:10" s="17" customFormat="1" x14ac:dyDescent="0.25">
      <c r="A146" s="6" t="s">
        <v>263</v>
      </c>
      <c r="B146" s="21">
        <v>351441</v>
      </c>
      <c r="C146" s="21">
        <v>804038.71</v>
      </c>
      <c r="D146" s="21">
        <v>708373.45</v>
      </c>
      <c r="E146" s="21">
        <v>489752.03</v>
      </c>
      <c r="F146" s="22">
        <v>756055.19</v>
      </c>
      <c r="G146" s="22">
        <v>826765.46699999995</v>
      </c>
      <c r="H146" s="22">
        <v>902580.25600000005</v>
      </c>
      <c r="I146" s="28" t="s">
        <v>264</v>
      </c>
      <c r="J146" s="25"/>
    </row>
    <row r="147" spans="1:10" s="17" customFormat="1" x14ac:dyDescent="0.25">
      <c r="A147" s="6" t="s">
        <v>265</v>
      </c>
      <c r="B147" s="21">
        <v>817824.87</v>
      </c>
      <c r="C147" s="21">
        <v>1276878.81</v>
      </c>
      <c r="D147" s="21">
        <v>1533052.27</v>
      </c>
      <c r="E147" s="21">
        <v>1216176.1000000001</v>
      </c>
      <c r="F147" s="22">
        <v>2078469.45</v>
      </c>
      <c r="G147" s="22">
        <v>1906738.578</v>
      </c>
      <c r="H147" s="22">
        <v>1437355.86</v>
      </c>
      <c r="I147" s="23" t="s">
        <v>266</v>
      </c>
      <c r="J147" s="25"/>
    </row>
    <row r="148" spans="1:10" s="17" customFormat="1" x14ac:dyDescent="0.25">
      <c r="A148" s="6" t="s">
        <v>61</v>
      </c>
      <c r="B148" s="21">
        <v>0</v>
      </c>
      <c r="C148" s="21">
        <v>199985.2</v>
      </c>
      <c r="D148" s="21">
        <v>285358.06</v>
      </c>
      <c r="E148" s="21">
        <v>229608.4</v>
      </c>
      <c r="F148" s="22">
        <v>247889.83</v>
      </c>
      <c r="G148" s="22">
        <v>217246.38099999999</v>
      </c>
      <c r="H148" s="22">
        <v>193475.28</v>
      </c>
      <c r="I148" s="23" t="s">
        <v>62</v>
      </c>
      <c r="J148" s="25"/>
    </row>
    <row r="149" spans="1:10" s="17" customFormat="1" x14ac:dyDescent="0.25">
      <c r="A149" s="6" t="s">
        <v>267</v>
      </c>
      <c r="B149" s="21">
        <v>3913775.68</v>
      </c>
      <c r="C149" s="21">
        <v>4066428.49</v>
      </c>
      <c r="D149" s="21">
        <v>4439942.32</v>
      </c>
      <c r="E149" s="21">
        <v>3465495.7</v>
      </c>
      <c r="F149" s="22">
        <v>5637622.2000000002</v>
      </c>
      <c r="G149" s="22">
        <v>7051489.9380000001</v>
      </c>
      <c r="H149" s="22">
        <v>6074520.2599999998</v>
      </c>
      <c r="I149" s="23" t="s">
        <v>268</v>
      </c>
      <c r="J149" s="25"/>
    </row>
    <row r="150" spans="1:10" s="17" customFormat="1" ht="9" customHeight="1" x14ac:dyDescent="0.25">
      <c r="A150" s="6"/>
      <c r="B150" s="21"/>
      <c r="C150" s="21"/>
      <c r="D150" s="21"/>
      <c r="E150" s="21"/>
      <c r="F150" s="21"/>
      <c r="G150" s="21"/>
      <c r="H150" s="21"/>
      <c r="I150" s="27"/>
      <c r="J150" s="25"/>
    </row>
    <row r="151" spans="1:10" s="17" customFormat="1" x14ac:dyDescent="0.25">
      <c r="A151" s="7" t="s">
        <v>27</v>
      </c>
      <c r="B151" s="18">
        <f t="shared" ref="B151:G151" si="12">SUM(B152:B156)</f>
        <v>563786.18999999994</v>
      </c>
      <c r="C151" s="18">
        <f t="shared" si="12"/>
        <v>1773766.73</v>
      </c>
      <c r="D151" s="18">
        <f t="shared" si="12"/>
        <v>2451686.34</v>
      </c>
      <c r="E151" s="18">
        <f t="shared" si="12"/>
        <v>2580520.0900000003</v>
      </c>
      <c r="F151" s="18">
        <f t="shared" si="12"/>
        <v>2433263.37</v>
      </c>
      <c r="G151" s="18">
        <f t="shared" si="12"/>
        <v>2757929.4719999996</v>
      </c>
      <c r="H151" s="18">
        <v>3448993.7300000004</v>
      </c>
      <c r="I151" s="19" t="s">
        <v>28</v>
      </c>
      <c r="J151" s="25"/>
    </row>
    <row r="152" spans="1:10" s="17" customFormat="1" x14ac:dyDescent="0.25">
      <c r="A152" s="6" t="s">
        <v>269</v>
      </c>
      <c r="B152" s="21">
        <v>0</v>
      </c>
      <c r="C152" s="21">
        <v>101094.57</v>
      </c>
      <c r="D152" s="21">
        <v>204392.07</v>
      </c>
      <c r="E152" s="21">
        <v>225184.37</v>
      </c>
      <c r="F152" s="22">
        <v>144997.45000000001</v>
      </c>
      <c r="G152" s="22">
        <v>253314.33000000002</v>
      </c>
      <c r="H152" s="22">
        <v>284493.51</v>
      </c>
      <c r="I152" s="23" t="s">
        <v>270</v>
      </c>
      <c r="J152" s="16"/>
    </row>
    <row r="153" spans="1:10" s="17" customFormat="1" x14ac:dyDescent="0.25">
      <c r="A153" s="6" t="s">
        <v>271</v>
      </c>
      <c r="B153" s="21">
        <v>0</v>
      </c>
      <c r="C153" s="21">
        <v>3016.7</v>
      </c>
      <c r="D153" s="21">
        <v>2058.6</v>
      </c>
      <c r="E153" s="21">
        <v>20152.72</v>
      </c>
      <c r="F153" s="22">
        <v>36537.33</v>
      </c>
      <c r="G153" s="22">
        <v>3428.1</v>
      </c>
      <c r="H153" s="22">
        <v>0</v>
      </c>
      <c r="I153" s="23" t="s">
        <v>272</v>
      </c>
      <c r="J153" s="25"/>
    </row>
    <row r="154" spans="1:10" s="17" customFormat="1" x14ac:dyDescent="0.25">
      <c r="A154" s="6" t="s">
        <v>273</v>
      </c>
      <c r="B154" s="21">
        <v>555286.18999999994</v>
      </c>
      <c r="C154" s="21">
        <v>1353638.3</v>
      </c>
      <c r="D154" s="21">
        <v>1706034.72</v>
      </c>
      <c r="E154" s="21">
        <v>1795892.37</v>
      </c>
      <c r="F154" s="22">
        <v>1761704</v>
      </c>
      <c r="G154" s="22">
        <v>1868285.7319999998</v>
      </c>
      <c r="H154" s="22">
        <v>2435870.9700000002</v>
      </c>
      <c r="I154" s="23" t="s">
        <v>274</v>
      </c>
      <c r="J154" s="16"/>
    </row>
    <row r="155" spans="1:10" s="17" customFormat="1" x14ac:dyDescent="0.25">
      <c r="A155" s="6" t="s">
        <v>275</v>
      </c>
      <c r="B155" s="21">
        <v>8500</v>
      </c>
      <c r="C155" s="21">
        <v>264335.27</v>
      </c>
      <c r="D155" s="21">
        <v>383026.62</v>
      </c>
      <c r="E155" s="21">
        <v>372689.45</v>
      </c>
      <c r="F155" s="22">
        <v>358762.72</v>
      </c>
      <c r="G155" s="22">
        <v>508226.74</v>
      </c>
      <c r="H155" s="22">
        <v>523477.13</v>
      </c>
      <c r="I155" s="23" t="s">
        <v>276</v>
      </c>
      <c r="J155" s="16"/>
    </row>
    <row r="156" spans="1:10" s="17" customFormat="1" x14ac:dyDescent="0.25">
      <c r="A156" s="6" t="s">
        <v>277</v>
      </c>
      <c r="B156" s="21">
        <v>0</v>
      </c>
      <c r="C156" s="21">
        <v>51681.89</v>
      </c>
      <c r="D156" s="21">
        <v>156174.32999999999</v>
      </c>
      <c r="E156" s="21">
        <v>166601.18</v>
      </c>
      <c r="F156" s="22">
        <v>131261.87</v>
      </c>
      <c r="G156" s="22">
        <v>124674.57</v>
      </c>
      <c r="H156" s="22">
        <v>205152.12</v>
      </c>
      <c r="I156" s="23" t="s">
        <v>278</v>
      </c>
      <c r="J156" s="25"/>
    </row>
    <row r="157" spans="1:10" s="17" customFormat="1" ht="12" customHeight="1" x14ac:dyDescent="0.25">
      <c r="A157" s="6"/>
      <c r="B157" s="21"/>
      <c r="C157" s="21"/>
      <c r="D157" s="21"/>
      <c r="E157" s="21"/>
      <c r="F157" s="21"/>
      <c r="G157" s="21"/>
      <c r="H157" s="21"/>
      <c r="I157" s="27"/>
      <c r="J157" s="25"/>
    </row>
    <row r="158" spans="1:10" s="17" customFormat="1" x14ac:dyDescent="0.25">
      <c r="A158" s="7" t="s">
        <v>29</v>
      </c>
      <c r="B158" s="18">
        <f t="shared" ref="B158:G158" si="13">SUM(B159:B167)</f>
        <v>9125266.5999999978</v>
      </c>
      <c r="C158" s="18">
        <f t="shared" si="13"/>
        <v>12610137.149999997</v>
      </c>
      <c r="D158" s="18">
        <f t="shared" si="13"/>
        <v>11946502.880000001</v>
      </c>
      <c r="E158" s="18">
        <f t="shared" si="13"/>
        <v>7909169.9100000001</v>
      </c>
      <c r="F158" s="18">
        <f t="shared" si="13"/>
        <v>11312990.07</v>
      </c>
      <c r="G158" s="18">
        <f t="shared" si="13"/>
        <v>10031071.428400002</v>
      </c>
      <c r="H158" s="18">
        <v>10855208.769999998</v>
      </c>
      <c r="I158" s="19" t="s">
        <v>30</v>
      </c>
      <c r="J158" s="25"/>
    </row>
    <row r="159" spans="1:10" s="17" customFormat="1" x14ac:dyDescent="0.25">
      <c r="A159" s="6" t="s">
        <v>279</v>
      </c>
      <c r="B159" s="21">
        <v>0</v>
      </c>
      <c r="C159" s="21">
        <v>57095.32</v>
      </c>
      <c r="D159" s="21">
        <v>102018.86</v>
      </c>
      <c r="E159" s="21">
        <v>127060.95</v>
      </c>
      <c r="F159" s="22">
        <v>104736.32000000001</v>
      </c>
      <c r="G159" s="22">
        <v>89219.09</v>
      </c>
      <c r="H159" s="22">
        <v>79343.820000000007</v>
      </c>
      <c r="I159" s="23" t="s">
        <v>280</v>
      </c>
      <c r="J159" s="16"/>
    </row>
    <row r="160" spans="1:10" s="17" customFormat="1" hidden="1" x14ac:dyDescent="0.25">
      <c r="A160" s="6" t="s">
        <v>438</v>
      </c>
      <c r="B160" s="21">
        <v>0</v>
      </c>
      <c r="C160" s="21">
        <v>0</v>
      </c>
      <c r="D160" s="21">
        <v>0</v>
      </c>
      <c r="E160" s="21">
        <v>0</v>
      </c>
      <c r="F160" s="22">
        <v>0</v>
      </c>
      <c r="G160" s="22">
        <v>0</v>
      </c>
      <c r="H160" s="22">
        <v>0</v>
      </c>
      <c r="I160" s="23" t="s">
        <v>410</v>
      </c>
      <c r="J160" s="16"/>
    </row>
    <row r="161" spans="1:10" s="17" customFormat="1" x14ac:dyDescent="0.25">
      <c r="A161" s="6" t="s">
        <v>282</v>
      </c>
      <c r="B161" s="21">
        <v>100</v>
      </c>
      <c r="C161" s="21">
        <v>79088.02</v>
      </c>
      <c r="D161" s="21">
        <v>144733.15</v>
      </c>
      <c r="E161" s="21">
        <v>107271.49</v>
      </c>
      <c r="F161" s="22">
        <v>156240.79999999999</v>
      </c>
      <c r="G161" s="22">
        <v>146088.01</v>
      </c>
      <c r="H161" s="22">
        <v>201673.9</v>
      </c>
      <c r="I161" s="23" t="s">
        <v>283</v>
      </c>
      <c r="J161" s="16"/>
    </row>
    <row r="162" spans="1:10" s="17" customFormat="1" x14ac:dyDescent="0.25">
      <c r="A162" s="6" t="s">
        <v>284</v>
      </c>
      <c r="B162" s="21">
        <v>932544.02</v>
      </c>
      <c r="C162" s="21">
        <v>1294933.77</v>
      </c>
      <c r="D162" s="21">
        <v>1354828.67</v>
      </c>
      <c r="E162" s="21">
        <v>816179.93</v>
      </c>
      <c r="F162" s="22">
        <v>1610200.51</v>
      </c>
      <c r="G162" s="22">
        <v>1458949.0279999999</v>
      </c>
      <c r="H162" s="22">
        <v>1780995.696</v>
      </c>
      <c r="I162" s="23" t="s">
        <v>285</v>
      </c>
      <c r="J162" s="16"/>
    </row>
    <row r="163" spans="1:10" s="17" customFormat="1" x14ac:dyDescent="0.25">
      <c r="A163" s="6" t="s">
        <v>286</v>
      </c>
      <c r="B163" s="21">
        <v>7143463.2699999996</v>
      </c>
      <c r="C163" s="21">
        <v>9167843.1999999993</v>
      </c>
      <c r="D163" s="21">
        <v>7976522.79</v>
      </c>
      <c r="E163" s="21">
        <v>5521292.7000000002</v>
      </c>
      <c r="F163" s="22">
        <v>7583513.8100000005</v>
      </c>
      <c r="G163" s="22">
        <v>6095056.4384000003</v>
      </c>
      <c r="H163" s="22">
        <v>6302656.75</v>
      </c>
      <c r="I163" s="23" t="s">
        <v>287</v>
      </c>
      <c r="J163" s="16"/>
    </row>
    <row r="164" spans="1:10" s="17" customFormat="1" x14ac:dyDescent="0.25">
      <c r="A164" s="6" t="s">
        <v>288</v>
      </c>
      <c r="B164" s="21">
        <v>18035</v>
      </c>
      <c r="C164" s="21">
        <v>225582.82</v>
      </c>
      <c r="D164" s="21">
        <v>348981.85</v>
      </c>
      <c r="E164" s="21">
        <v>108289.2</v>
      </c>
      <c r="F164" s="22">
        <v>246635.18</v>
      </c>
      <c r="G164" s="22">
        <v>328672.71799999999</v>
      </c>
      <c r="H164" s="22">
        <v>394454.39</v>
      </c>
      <c r="I164" s="23" t="s">
        <v>289</v>
      </c>
      <c r="J164" s="16"/>
    </row>
    <row r="165" spans="1:10" s="17" customFormat="1" x14ac:dyDescent="0.25">
      <c r="A165" s="6" t="s">
        <v>290</v>
      </c>
      <c r="B165" s="21">
        <v>472559.9</v>
      </c>
      <c r="C165" s="21">
        <v>633070.78</v>
      </c>
      <c r="D165" s="21">
        <v>867751.96</v>
      </c>
      <c r="E165" s="21">
        <v>507235.67</v>
      </c>
      <c r="F165" s="22">
        <v>691751.2</v>
      </c>
      <c r="G165" s="22">
        <v>734092.20299999998</v>
      </c>
      <c r="H165" s="22">
        <v>749066.77</v>
      </c>
      <c r="I165" s="23" t="s">
        <v>291</v>
      </c>
      <c r="J165" s="16"/>
    </row>
    <row r="166" spans="1:10" s="17" customFormat="1" x14ac:dyDescent="0.25">
      <c r="A166" s="6" t="s">
        <v>292</v>
      </c>
      <c r="B166" s="21">
        <v>374490.37</v>
      </c>
      <c r="C166" s="21">
        <v>708228.21</v>
      </c>
      <c r="D166" s="21">
        <v>751402.6</v>
      </c>
      <c r="E166" s="21">
        <v>507607.12</v>
      </c>
      <c r="F166" s="22">
        <v>679981.08</v>
      </c>
      <c r="G166" s="22">
        <v>882103.11699999997</v>
      </c>
      <c r="H166" s="22">
        <v>1004947.824</v>
      </c>
      <c r="I166" s="23" t="s">
        <v>293</v>
      </c>
      <c r="J166" s="16"/>
    </row>
    <row r="167" spans="1:10" s="17" customFormat="1" x14ac:dyDescent="0.25">
      <c r="A167" s="6" t="s">
        <v>175</v>
      </c>
      <c r="B167" s="21">
        <v>184074.04</v>
      </c>
      <c r="C167" s="21">
        <v>444295.03</v>
      </c>
      <c r="D167" s="21">
        <v>400263</v>
      </c>
      <c r="E167" s="21">
        <v>214232.85</v>
      </c>
      <c r="F167" s="22">
        <v>239931.17</v>
      </c>
      <c r="G167" s="22">
        <v>296890.82400000002</v>
      </c>
      <c r="H167" s="22">
        <v>342069.62</v>
      </c>
      <c r="I167" s="23" t="s">
        <v>176</v>
      </c>
      <c r="J167" s="25"/>
    </row>
    <row r="168" spans="1:10" s="17" customFormat="1" ht="8.25" customHeight="1" x14ac:dyDescent="0.25">
      <c r="A168" s="6"/>
      <c r="B168" s="21"/>
      <c r="C168" s="21"/>
      <c r="D168" s="21"/>
      <c r="E168" s="21"/>
      <c r="F168" s="21"/>
      <c r="G168" s="21"/>
      <c r="H168" s="21"/>
      <c r="I168" s="27"/>
      <c r="J168" s="25"/>
    </row>
    <row r="169" spans="1:10" s="17" customFormat="1" x14ac:dyDescent="0.25">
      <c r="A169" s="7" t="s">
        <v>31</v>
      </c>
      <c r="B169" s="18">
        <f t="shared" ref="B169:G169" si="14">SUM(B170:B174)</f>
        <v>6589192.25</v>
      </c>
      <c r="C169" s="18">
        <f t="shared" si="14"/>
        <v>9723321.2799999993</v>
      </c>
      <c r="D169" s="18">
        <f t="shared" si="14"/>
        <v>10153645.83</v>
      </c>
      <c r="E169" s="18">
        <f t="shared" si="14"/>
        <v>6358160.0700000003</v>
      </c>
      <c r="F169" s="18">
        <f t="shared" si="14"/>
        <v>13465688.68</v>
      </c>
      <c r="G169" s="18">
        <f t="shared" si="14"/>
        <v>13925732.6666</v>
      </c>
      <c r="H169" s="18">
        <v>14387088.829999998</v>
      </c>
      <c r="I169" s="19" t="s">
        <v>32</v>
      </c>
      <c r="J169" s="25"/>
    </row>
    <row r="170" spans="1:10" s="17" customFormat="1" x14ac:dyDescent="0.25">
      <c r="A170" s="6" t="s">
        <v>294</v>
      </c>
      <c r="B170" s="21">
        <v>3006325.82</v>
      </c>
      <c r="C170" s="21">
        <v>4783051.7699999996</v>
      </c>
      <c r="D170" s="21">
        <v>4292375.6100000003</v>
      </c>
      <c r="E170" s="21">
        <v>1728602.29</v>
      </c>
      <c r="F170" s="22">
        <v>1714094.86</v>
      </c>
      <c r="G170" s="22">
        <v>2159278.8596000001</v>
      </c>
      <c r="H170" s="22">
        <v>2074020.32</v>
      </c>
      <c r="I170" s="23" t="s">
        <v>295</v>
      </c>
      <c r="J170" s="25"/>
    </row>
    <row r="171" spans="1:10" s="17" customFormat="1" x14ac:dyDescent="0.25">
      <c r="A171" s="6" t="s">
        <v>296</v>
      </c>
      <c r="B171" s="21">
        <v>773280.33</v>
      </c>
      <c r="C171" s="21">
        <v>1461210.3</v>
      </c>
      <c r="D171" s="21">
        <v>1773017.39</v>
      </c>
      <c r="E171" s="21">
        <v>1217936.74</v>
      </c>
      <c r="F171" s="22">
        <v>1741037.43</v>
      </c>
      <c r="G171" s="22">
        <v>2006464.183</v>
      </c>
      <c r="H171" s="22">
        <v>1621957.41</v>
      </c>
      <c r="I171" s="23" t="s">
        <v>297</v>
      </c>
      <c r="J171" s="25"/>
    </row>
    <row r="172" spans="1:10" s="17" customFormat="1" x14ac:dyDescent="0.25">
      <c r="A172" s="6" t="s">
        <v>148</v>
      </c>
      <c r="B172" s="21">
        <v>602066.24</v>
      </c>
      <c r="C172" s="21">
        <v>782428.6</v>
      </c>
      <c r="D172" s="21">
        <v>822283.2</v>
      </c>
      <c r="E172" s="21">
        <v>591006.79</v>
      </c>
      <c r="F172" s="22">
        <v>1019640.48</v>
      </c>
      <c r="G172" s="22">
        <v>1003383.909</v>
      </c>
      <c r="H172" s="22">
        <v>933993.79</v>
      </c>
      <c r="I172" s="23" t="s">
        <v>149</v>
      </c>
      <c r="J172" s="16"/>
    </row>
    <row r="173" spans="1:10" s="17" customFormat="1" x14ac:dyDescent="0.25">
      <c r="A173" s="6" t="s">
        <v>298</v>
      </c>
      <c r="B173" s="21">
        <v>198613.37</v>
      </c>
      <c r="C173" s="21">
        <v>318410.55</v>
      </c>
      <c r="D173" s="21">
        <v>253350.59</v>
      </c>
      <c r="E173" s="21">
        <v>219840.44</v>
      </c>
      <c r="F173" s="22">
        <v>276533.3</v>
      </c>
      <c r="G173" s="22">
        <v>344049.891</v>
      </c>
      <c r="H173" s="22">
        <v>289965.05</v>
      </c>
      <c r="I173" s="23" t="s">
        <v>299</v>
      </c>
      <c r="J173" s="16"/>
    </row>
    <row r="174" spans="1:10" s="17" customFormat="1" x14ac:dyDescent="0.25">
      <c r="A174" s="6" t="s">
        <v>300</v>
      </c>
      <c r="B174" s="21">
        <v>2008906.49</v>
      </c>
      <c r="C174" s="21">
        <v>2378220.06</v>
      </c>
      <c r="D174" s="21">
        <v>3012619.04</v>
      </c>
      <c r="E174" s="21">
        <v>2600773.81</v>
      </c>
      <c r="F174" s="22">
        <v>8714382.6100000013</v>
      </c>
      <c r="G174" s="22">
        <v>8412555.8239999991</v>
      </c>
      <c r="H174" s="22">
        <v>9467152.2599999998</v>
      </c>
      <c r="I174" s="23" t="s">
        <v>301</v>
      </c>
      <c r="J174" s="16"/>
    </row>
    <row r="175" spans="1:10" s="17" customFormat="1" ht="9.75" customHeight="1" x14ac:dyDescent="0.25">
      <c r="A175" s="6"/>
      <c r="B175" s="21"/>
      <c r="C175" s="21"/>
      <c r="D175" s="21"/>
      <c r="E175" s="21"/>
      <c r="F175" s="21"/>
      <c r="G175" s="21"/>
      <c r="H175" s="21"/>
      <c r="I175" s="27"/>
      <c r="J175" s="16"/>
    </row>
    <row r="176" spans="1:10" s="17" customFormat="1" x14ac:dyDescent="0.25">
      <c r="A176" s="7" t="s">
        <v>33</v>
      </c>
      <c r="B176" s="18">
        <f t="shared" ref="B176:G176" si="15">SUM(B177:B184)</f>
        <v>9874084.1600000001</v>
      </c>
      <c r="C176" s="18">
        <f t="shared" si="15"/>
        <v>12434694.649999999</v>
      </c>
      <c r="D176" s="18">
        <f t="shared" si="15"/>
        <v>11807838.66</v>
      </c>
      <c r="E176" s="18">
        <f t="shared" si="15"/>
        <v>13061458.859999999</v>
      </c>
      <c r="F176" s="18">
        <f t="shared" si="15"/>
        <v>15100490.25</v>
      </c>
      <c r="G176" s="18">
        <f t="shared" si="15"/>
        <v>17043507.484000001</v>
      </c>
      <c r="H176" s="18">
        <v>16428599.425000001</v>
      </c>
      <c r="I176" s="19" t="s">
        <v>34</v>
      </c>
      <c r="J176" s="16"/>
    </row>
    <row r="177" spans="1:10" s="17" customFormat="1" x14ac:dyDescent="0.25">
      <c r="A177" s="6" t="s">
        <v>181</v>
      </c>
      <c r="B177" s="21">
        <v>860300.08</v>
      </c>
      <c r="C177" s="21">
        <v>1096727.83</v>
      </c>
      <c r="D177" s="21">
        <v>1528718.54</v>
      </c>
      <c r="E177" s="21">
        <v>1533416.45</v>
      </c>
      <c r="F177" s="22">
        <v>1719727.24</v>
      </c>
      <c r="G177" s="22">
        <v>1650794.6980000001</v>
      </c>
      <c r="H177" s="22">
        <v>1487814.2209999999</v>
      </c>
      <c r="I177" s="23" t="s">
        <v>182</v>
      </c>
      <c r="J177" s="16"/>
    </row>
    <row r="178" spans="1:10" s="17" customFormat="1" x14ac:dyDescent="0.25">
      <c r="A178" s="6" t="s">
        <v>302</v>
      </c>
      <c r="B178" s="21">
        <v>487061.5</v>
      </c>
      <c r="C178" s="21">
        <v>949103.09</v>
      </c>
      <c r="D178" s="21">
        <v>800381.21</v>
      </c>
      <c r="E178" s="21">
        <v>932478.16</v>
      </c>
      <c r="F178" s="22">
        <v>1017190.67</v>
      </c>
      <c r="G178" s="22">
        <v>958623.16799999995</v>
      </c>
      <c r="H178" s="22">
        <v>838042.45400000003</v>
      </c>
      <c r="I178" s="23" t="s">
        <v>303</v>
      </c>
      <c r="J178" s="16"/>
    </row>
    <row r="179" spans="1:10" s="17" customFormat="1" x14ac:dyDescent="0.25">
      <c r="A179" s="6" t="s">
        <v>304</v>
      </c>
      <c r="B179" s="21">
        <v>0</v>
      </c>
      <c r="C179" s="21">
        <v>140576</v>
      </c>
      <c r="D179" s="21">
        <v>262146.08</v>
      </c>
      <c r="E179" s="21">
        <v>368745.91</v>
      </c>
      <c r="F179" s="22">
        <v>247583.4</v>
      </c>
      <c r="G179" s="22">
        <v>397723.755</v>
      </c>
      <c r="H179" s="22">
        <v>466110.53</v>
      </c>
      <c r="I179" s="23" t="s">
        <v>305</v>
      </c>
      <c r="J179" s="16"/>
    </row>
    <row r="180" spans="1:10" s="17" customFormat="1" x14ac:dyDescent="0.25">
      <c r="A180" s="6" t="s">
        <v>306</v>
      </c>
      <c r="B180" s="21">
        <v>880391.22</v>
      </c>
      <c r="C180" s="21">
        <v>1145420.03</v>
      </c>
      <c r="D180" s="21">
        <v>1011121.3</v>
      </c>
      <c r="E180" s="21">
        <v>1361311.11</v>
      </c>
      <c r="F180" s="22">
        <v>1716324.19</v>
      </c>
      <c r="G180" s="22">
        <v>1399308.017</v>
      </c>
      <c r="H180" s="22">
        <v>866928.86</v>
      </c>
      <c r="I180" s="23" t="s">
        <v>307</v>
      </c>
      <c r="J180" s="16"/>
    </row>
    <row r="181" spans="1:10" s="17" customFormat="1" hidden="1" x14ac:dyDescent="0.25">
      <c r="A181" s="6" t="s">
        <v>439</v>
      </c>
      <c r="B181" s="21">
        <v>0</v>
      </c>
      <c r="C181" s="21">
        <v>0</v>
      </c>
      <c r="D181" s="21">
        <v>0</v>
      </c>
      <c r="E181" s="21">
        <v>0</v>
      </c>
      <c r="F181" s="22">
        <v>0</v>
      </c>
      <c r="G181" s="22">
        <v>0</v>
      </c>
      <c r="H181" s="22">
        <v>0</v>
      </c>
      <c r="I181" s="24" t="s">
        <v>440</v>
      </c>
      <c r="J181" s="16"/>
    </row>
    <row r="182" spans="1:10" s="17" customFormat="1" hidden="1" x14ac:dyDescent="0.25">
      <c r="A182" s="6" t="s">
        <v>308</v>
      </c>
      <c r="B182" s="21">
        <v>0</v>
      </c>
      <c r="C182" s="21">
        <v>0</v>
      </c>
      <c r="D182" s="21">
        <v>0</v>
      </c>
      <c r="E182" s="21">
        <v>0</v>
      </c>
      <c r="F182" s="22">
        <v>0</v>
      </c>
      <c r="G182" s="22">
        <v>0</v>
      </c>
      <c r="H182" s="22">
        <v>0</v>
      </c>
      <c r="I182" s="23" t="s">
        <v>309</v>
      </c>
      <c r="J182" s="25"/>
    </row>
    <row r="183" spans="1:10" s="17" customFormat="1" x14ac:dyDescent="0.25">
      <c r="A183" s="6" t="s">
        <v>310</v>
      </c>
      <c r="B183" s="21">
        <v>342079.06</v>
      </c>
      <c r="C183" s="21">
        <v>574582.66</v>
      </c>
      <c r="D183" s="21">
        <v>755309.09</v>
      </c>
      <c r="E183" s="21">
        <v>851602.41</v>
      </c>
      <c r="F183" s="22">
        <v>978928.91</v>
      </c>
      <c r="G183" s="22">
        <v>1054697.3570000001</v>
      </c>
      <c r="H183" s="22">
        <v>893808.02</v>
      </c>
      <c r="I183" s="23" t="s">
        <v>311</v>
      </c>
      <c r="J183" s="25"/>
    </row>
    <row r="184" spans="1:10" s="17" customFormat="1" x14ac:dyDescent="0.25">
      <c r="A184" s="6" t="s">
        <v>312</v>
      </c>
      <c r="B184" s="21">
        <v>7304252.2999999998</v>
      </c>
      <c r="C184" s="21">
        <v>8528285.0399999991</v>
      </c>
      <c r="D184" s="21">
        <v>7450162.4400000004</v>
      </c>
      <c r="E184" s="21">
        <v>8013904.8200000003</v>
      </c>
      <c r="F184" s="22">
        <v>9420735.8399999999</v>
      </c>
      <c r="G184" s="22">
        <v>11582360.489</v>
      </c>
      <c r="H184" s="22">
        <v>11875895.34</v>
      </c>
      <c r="I184" s="23" t="s">
        <v>313</v>
      </c>
      <c r="J184" s="25"/>
    </row>
    <row r="185" spans="1:10" s="17" customFormat="1" ht="8.25" customHeight="1" x14ac:dyDescent="0.25">
      <c r="A185" s="6"/>
      <c r="B185" s="21"/>
      <c r="C185" s="21"/>
      <c r="D185" s="21"/>
      <c r="E185" s="21"/>
      <c r="F185" s="21"/>
      <c r="G185" s="21"/>
      <c r="H185" s="21"/>
      <c r="I185" s="27"/>
      <c r="J185" s="25"/>
    </row>
    <row r="186" spans="1:10" s="17" customFormat="1" x14ac:dyDescent="0.25">
      <c r="A186" s="7" t="s">
        <v>35</v>
      </c>
      <c r="B186" s="18">
        <f t="shared" ref="B186:G186" si="16">SUM(B187:B199)</f>
        <v>15424283.250000002</v>
      </c>
      <c r="C186" s="18">
        <f t="shared" si="16"/>
        <v>20505081.599999998</v>
      </c>
      <c r="D186" s="18">
        <f t="shared" si="16"/>
        <v>22462983.789999995</v>
      </c>
      <c r="E186" s="18">
        <f t="shared" si="16"/>
        <v>23683245.52</v>
      </c>
      <c r="F186" s="18">
        <f t="shared" si="16"/>
        <v>21574058.689999998</v>
      </c>
      <c r="G186" s="18">
        <f t="shared" si="16"/>
        <v>23421048.300000004</v>
      </c>
      <c r="H186" s="18">
        <v>23808645.879999999</v>
      </c>
      <c r="I186" s="19" t="s">
        <v>36</v>
      </c>
      <c r="J186" s="25"/>
    </row>
    <row r="187" spans="1:10" s="17" customFormat="1" x14ac:dyDescent="0.25">
      <c r="A187" s="6" t="s">
        <v>314</v>
      </c>
      <c r="B187" s="21">
        <v>542764.73</v>
      </c>
      <c r="C187" s="21">
        <v>537529.36</v>
      </c>
      <c r="D187" s="21">
        <v>535288.37</v>
      </c>
      <c r="E187" s="21">
        <v>614184.01</v>
      </c>
      <c r="F187" s="22">
        <v>780607.04</v>
      </c>
      <c r="G187" s="22">
        <v>777708.46</v>
      </c>
      <c r="H187" s="22">
        <v>597117.4</v>
      </c>
      <c r="I187" s="23" t="s">
        <v>315</v>
      </c>
      <c r="J187" s="16"/>
    </row>
    <row r="188" spans="1:10" s="17" customFormat="1" x14ac:dyDescent="0.25">
      <c r="A188" s="6" t="s">
        <v>441</v>
      </c>
      <c r="B188" s="21">
        <v>1017088.8</v>
      </c>
      <c r="C188" s="21">
        <v>1626901.82</v>
      </c>
      <c r="D188" s="21">
        <v>2389527.81</v>
      </c>
      <c r="E188" s="21">
        <v>2393651.04</v>
      </c>
      <c r="F188" s="22">
        <v>1872201.27</v>
      </c>
      <c r="G188" s="22">
        <v>2134780.29</v>
      </c>
      <c r="H188" s="22">
        <v>2040610.95</v>
      </c>
      <c r="I188" s="24" t="s">
        <v>442</v>
      </c>
      <c r="J188" s="16"/>
    </row>
    <row r="189" spans="1:10" s="17" customFormat="1" x14ac:dyDescent="0.25">
      <c r="A189" s="6" t="s">
        <v>281</v>
      </c>
      <c r="B189" s="21">
        <v>413280.34</v>
      </c>
      <c r="C189" s="21">
        <v>878553.08</v>
      </c>
      <c r="D189" s="21">
        <v>852214.39</v>
      </c>
      <c r="E189" s="21">
        <v>1315323.3999999999</v>
      </c>
      <c r="F189" s="22">
        <v>991365.86</v>
      </c>
      <c r="G189" s="22">
        <v>1113835.1400000001</v>
      </c>
      <c r="H189" s="22">
        <v>957632.67</v>
      </c>
      <c r="I189" s="23" t="s">
        <v>316</v>
      </c>
      <c r="J189" s="16"/>
    </row>
    <row r="190" spans="1:10" s="17" customFormat="1" x14ac:dyDescent="0.25">
      <c r="A190" s="6" t="s">
        <v>317</v>
      </c>
      <c r="B190" s="21">
        <v>176222.38</v>
      </c>
      <c r="C190" s="21">
        <v>665202.23</v>
      </c>
      <c r="D190" s="21">
        <v>564413.30000000005</v>
      </c>
      <c r="E190" s="21">
        <v>702745.75</v>
      </c>
      <c r="F190" s="22">
        <v>614907.99</v>
      </c>
      <c r="G190" s="22">
        <v>660559.54999999993</v>
      </c>
      <c r="H190" s="22">
        <v>708089.59</v>
      </c>
      <c r="I190" s="23" t="s">
        <v>318</v>
      </c>
      <c r="J190" s="16"/>
    </row>
    <row r="191" spans="1:10" s="17" customFormat="1" x14ac:dyDescent="0.25">
      <c r="A191" s="6" t="s">
        <v>237</v>
      </c>
      <c r="B191" s="21">
        <v>1890259.22</v>
      </c>
      <c r="C191" s="21">
        <v>2367729.7799999998</v>
      </c>
      <c r="D191" s="21">
        <v>2698274.24</v>
      </c>
      <c r="E191" s="21">
        <v>2653706.58</v>
      </c>
      <c r="F191" s="22">
        <v>2322246.2799999998</v>
      </c>
      <c r="G191" s="22">
        <v>2259289.04</v>
      </c>
      <c r="H191" s="22">
        <v>2180539.7199999997</v>
      </c>
      <c r="I191" s="23" t="s">
        <v>238</v>
      </c>
      <c r="J191" s="16"/>
    </row>
    <row r="192" spans="1:10" s="17" customFormat="1" x14ac:dyDescent="0.25">
      <c r="A192" s="6" t="s">
        <v>319</v>
      </c>
      <c r="B192" s="21">
        <v>193481.8</v>
      </c>
      <c r="C192" s="21">
        <v>484320.08</v>
      </c>
      <c r="D192" s="21">
        <v>587893.54</v>
      </c>
      <c r="E192" s="21">
        <v>542917.04</v>
      </c>
      <c r="F192" s="22">
        <v>528617</v>
      </c>
      <c r="G192" s="22">
        <v>637454.28</v>
      </c>
      <c r="H192" s="22">
        <v>581202.92000000004</v>
      </c>
      <c r="I192" s="23" t="s">
        <v>320</v>
      </c>
      <c r="J192" s="16"/>
    </row>
    <row r="193" spans="1:10" s="17" customFormat="1" x14ac:dyDescent="0.25">
      <c r="A193" s="6" t="s">
        <v>321</v>
      </c>
      <c r="B193" s="21">
        <v>29710.12</v>
      </c>
      <c r="C193" s="21">
        <v>136854.35999999999</v>
      </c>
      <c r="D193" s="21">
        <v>209342.76</v>
      </c>
      <c r="E193" s="21">
        <v>204333.75</v>
      </c>
      <c r="F193" s="22">
        <v>157565.5</v>
      </c>
      <c r="G193" s="22">
        <v>435333.79000000004</v>
      </c>
      <c r="H193" s="22">
        <v>300174.98</v>
      </c>
      <c r="I193" s="23" t="s">
        <v>322</v>
      </c>
      <c r="J193" s="16"/>
    </row>
    <row r="194" spans="1:10" s="17" customFormat="1" x14ac:dyDescent="0.25">
      <c r="A194" s="6" t="s">
        <v>323</v>
      </c>
      <c r="B194" s="21">
        <v>1274485.23</v>
      </c>
      <c r="C194" s="21">
        <v>1633334.55</v>
      </c>
      <c r="D194" s="21">
        <v>1838537.32</v>
      </c>
      <c r="E194" s="21">
        <v>1717101.01</v>
      </c>
      <c r="F194" s="22">
        <v>1965893.96</v>
      </c>
      <c r="G194" s="22">
        <v>1720353.8900000001</v>
      </c>
      <c r="H194" s="22">
        <v>1658241.2</v>
      </c>
      <c r="I194" s="23" t="s">
        <v>324</v>
      </c>
      <c r="J194" s="25"/>
    </row>
    <row r="195" spans="1:10" s="17" customFormat="1" x14ac:dyDescent="0.25">
      <c r="A195" s="6" t="s">
        <v>325</v>
      </c>
      <c r="B195" s="21">
        <v>172272.83</v>
      </c>
      <c r="C195" s="21">
        <v>259761.18</v>
      </c>
      <c r="D195" s="21">
        <v>322150.37</v>
      </c>
      <c r="E195" s="21">
        <v>264745.01</v>
      </c>
      <c r="F195" s="22">
        <v>228750.15</v>
      </c>
      <c r="G195" s="22">
        <v>257372.76</v>
      </c>
      <c r="H195" s="22">
        <v>252374.87</v>
      </c>
      <c r="I195" s="23" t="s">
        <v>326</v>
      </c>
      <c r="J195" s="25"/>
    </row>
    <row r="196" spans="1:10" s="17" customFormat="1" x14ac:dyDescent="0.25">
      <c r="A196" s="6" t="s">
        <v>327</v>
      </c>
      <c r="B196" s="21">
        <v>981325.06</v>
      </c>
      <c r="C196" s="21">
        <v>1566689.44</v>
      </c>
      <c r="D196" s="21">
        <v>1977662.31</v>
      </c>
      <c r="E196" s="21">
        <v>2424467.9300000002</v>
      </c>
      <c r="F196" s="22">
        <v>2103783.02</v>
      </c>
      <c r="G196" s="22">
        <v>2099705.64</v>
      </c>
      <c r="H196" s="22">
        <v>2080763.29</v>
      </c>
      <c r="I196" s="23" t="s">
        <v>328</v>
      </c>
      <c r="J196" s="25"/>
    </row>
    <row r="197" spans="1:10" s="17" customFormat="1" x14ac:dyDescent="0.25">
      <c r="A197" s="6" t="s">
        <v>329</v>
      </c>
      <c r="B197" s="21">
        <v>8383508.1100000003</v>
      </c>
      <c r="C197" s="21">
        <v>9184973.7599999998</v>
      </c>
      <c r="D197" s="21">
        <v>9233968.0299999993</v>
      </c>
      <c r="E197" s="21">
        <v>9557774.2300000004</v>
      </c>
      <c r="F197" s="22">
        <v>8749262.0099999998</v>
      </c>
      <c r="G197" s="22">
        <v>9770028.2800000012</v>
      </c>
      <c r="H197" s="22">
        <v>10986279.539999999</v>
      </c>
      <c r="I197" s="23" t="s">
        <v>330</v>
      </c>
      <c r="J197" s="25"/>
    </row>
    <row r="198" spans="1:10" s="17" customFormat="1" x14ac:dyDescent="0.25">
      <c r="A198" s="6" t="s">
        <v>331</v>
      </c>
      <c r="B198" s="21">
        <v>180192.5</v>
      </c>
      <c r="C198" s="21">
        <v>665196.06000000006</v>
      </c>
      <c r="D198" s="21">
        <v>779451.4</v>
      </c>
      <c r="E198" s="21">
        <v>832204.16</v>
      </c>
      <c r="F198" s="22">
        <v>825287.63</v>
      </c>
      <c r="G198" s="22">
        <v>908261.22</v>
      </c>
      <c r="H198" s="22">
        <v>841568.87</v>
      </c>
      <c r="I198" s="23" t="s">
        <v>332</v>
      </c>
      <c r="J198" s="25"/>
    </row>
    <row r="199" spans="1:10" s="17" customFormat="1" x14ac:dyDescent="0.25">
      <c r="A199" s="6" t="s">
        <v>255</v>
      </c>
      <c r="B199" s="21">
        <v>169692.13</v>
      </c>
      <c r="C199" s="21">
        <v>498035.9</v>
      </c>
      <c r="D199" s="21">
        <v>474259.95</v>
      </c>
      <c r="E199" s="21">
        <v>460091.61</v>
      </c>
      <c r="F199" s="22">
        <v>433570.98</v>
      </c>
      <c r="G199" s="22">
        <v>646365.96</v>
      </c>
      <c r="H199" s="22">
        <v>624049.88</v>
      </c>
      <c r="I199" s="23" t="s">
        <v>256</v>
      </c>
      <c r="J199" s="25"/>
    </row>
    <row r="200" spans="1:10" s="17" customFormat="1" ht="9" customHeight="1" x14ac:dyDescent="0.25">
      <c r="A200" s="6"/>
      <c r="B200" s="21"/>
      <c r="C200" s="21"/>
      <c r="D200" s="21"/>
      <c r="E200" s="21"/>
      <c r="F200" s="21"/>
      <c r="G200" s="21"/>
      <c r="H200" s="21"/>
      <c r="I200" s="23"/>
      <c r="J200" s="25"/>
    </row>
    <row r="201" spans="1:10" s="17" customFormat="1" x14ac:dyDescent="0.25">
      <c r="A201" s="7" t="s">
        <v>37</v>
      </c>
      <c r="B201" s="18">
        <f t="shared" ref="B201:G201" si="17">SUM(B202:B213)</f>
        <v>19121149.299999997</v>
      </c>
      <c r="C201" s="18">
        <f t="shared" si="17"/>
        <v>27347316.960000001</v>
      </c>
      <c r="D201" s="18">
        <f t="shared" si="17"/>
        <v>30750547.939999998</v>
      </c>
      <c r="E201" s="18">
        <v>32945144.069999997</v>
      </c>
      <c r="F201" s="18">
        <f t="shared" si="17"/>
        <v>34810489.399999999</v>
      </c>
      <c r="G201" s="18">
        <f t="shared" si="17"/>
        <v>42832104.029999994</v>
      </c>
      <c r="H201" s="18">
        <v>50794534.460000008</v>
      </c>
      <c r="I201" s="19" t="s">
        <v>38</v>
      </c>
      <c r="J201" s="25"/>
    </row>
    <row r="202" spans="1:10" s="17" customFormat="1" x14ac:dyDescent="0.25">
      <c r="A202" s="6" t="s">
        <v>333</v>
      </c>
      <c r="B202" s="21">
        <v>354237.1</v>
      </c>
      <c r="C202" s="21">
        <v>870215.65</v>
      </c>
      <c r="D202" s="21">
        <v>1254590.08</v>
      </c>
      <c r="E202" s="21">
        <v>1199488.58</v>
      </c>
      <c r="F202" s="22">
        <v>1825920.66</v>
      </c>
      <c r="G202" s="22">
        <v>1791888.91</v>
      </c>
      <c r="H202" s="22">
        <v>1898296.1900000002</v>
      </c>
      <c r="I202" s="23" t="s">
        <v>334</v>
      </c>
      <c r="J202" s="25"/>
    </row>
    <row r="203" spans="1:10" s="17" customFormat="1" x14ac:dyDescent="0.25">
      <c r="A203" s="6" t="s">
        <v>335</v>
      </c>
      <c r="B203" s="21">
        <v>211830</v>
      </c>
      <c r="C203" s="21">
        <v>300491.92</v>
      </c>
      <c r="D203" s="21">
        <v>603164.36</v>
      </c>
      <c r="E203" s="21">
        <v>689618.16</v>
      </c>
      <c r="F203" s="22">
        <v>709878.63</v>
      </c>
      <c r="G203" s="22">
        <v>776481.57</v>
      </c>
      <c r="H203" s="22">
        <v>708006.36</v>
      </c>
      <c r="I203" s="23" t="s">
        <v>336</v>
      </c>
      <c r="J203" s="25"/>
    </row>
    <row r="204" spans="1:10" s="17" customFormat="1" x14ac:dyDescent="0.25">
      <c r="A204" s="6" t="s">
        <v>337</v>
      </c>
      <c r="B204" s="21">
        <v>214381.1</v>
      </c>
      <c r="C204" s="21">
        <v>452842.75</v>
      </c>
      <c r="D204" s="21">
        <v>322166.84999999998</v>
      </c>
      <c r="E204" s="21">
        <v>547440.74</v>
      </c>
      <c r="F204" s="22">
        <v>386965.35</v>
      </c>
      <c r="G204" s="22">
        <v>394581.37</v>
      </c>
      <c r="H204" s="22">
        <v>670537.43999999994</v>
      </c>
      <c r="I204" s="23" t="s">
        <v>338</v>
      </c>
      <c r="J204" s="25"/>
    </row>
    <row r="205" spans="1:10" s="17" customFormat="1" x14ac:dyDescent="0.25">
      <c r="A205" s="6" t="s">
        <v>339</v>
      </c>
      <c r="B205" s="21">
        <v>27820</v>
      </c>
      <c r="C205" s="21">
        <v>145192.95999999999</v>
      </c>
      <c r="D205" s="21">
        <v>95358.66</v>
      </c>
      <c r="E205" s="21">
        <v>28674.400000000001</v>
      </c>
      <c r="F205" s="22">
        <v>158700.85</v>
      </c>
      <c r="G205" s="22">
        <v>84359.03</v>
      </c>
      <c r="H205" s="22">
        <v>61914.47</v>
      </c>
      <c r="I205" s="23" t="s">
        <v>340</v>
      </c>
      <c r="J205" s="25"/>
    </row>
    <row r="206" spans="1:10" s="17" customFormat="1" hidden="1" x14ac:dyDescent="0.25">
      <c r="A206" s="6" t="s">
        <v>341</v>
      </c>
      <c r="B206" s="21">
        <v>0</v>
      </c>
      <c r="C206" s="21">
        <v>0</v>
      </c>
      <c r="D206" s="21">
        <v>0</v>
      </c>
      <c r="E206" s="21">
        <v>0</v>
      </c>
      <c r="F206" s="22">
        <v>0</v>
      </c>
      <c r="G206" s="22">
        <v>0</v>
      </c>
      <c r="H206" s="22">
        <v>0</v>
      </c>
      <c r="I206" s="23" t="s">
        <v>342</v>
      </c>
      <c r="J206" s="25"/>
    </row>
    <row r="207" spans="1:10" s="17" customFormat="1" x14ac:dyDescent="0.25">
      <c r="A207" s="6" t="s">
        <v>343</v>
      </c>
      <c r="B207" s="21">
        <v>15696148.060000001</v>
      </c>
      <c r="C207" s="21">
        <v>19583745.210000001</v>
      </c>
      <c r="D207" s="21">
        <v>21101781.059999999</v>
      </c>
      <c r="E207" s="21">
        <v>22611943.329999998</v>
      </c>
      <c r="F207" s="22">
        <v>24804393.879999999</v>
      </c>
      <c r="G207" s="22">
        <v>32147961.759999998</v>
      </c>
      <c r="H207" s="22">
        <v>36394897.990000002</v>
      </c>
      <c r="I207" s="23" t="s">
        <v>344</v>
      </c>
      <c r="J207" s="25"/>
    </row>
    <row r="208" spans="1:10" s="17" customFormat="1" x14ac:dyDescent="0.25">
      <c r="A208" s="6" t="s">
        <v>345</v>
      </c>
      <c r="B208" s="21">
        <v>1071238.1000000001</v>
      </c>
      <c r="C208" s="21">
        <v>2398890.2000000002</v>
      </c>
      <c r="D208" s="21">
        <v>3025174.77</v>
      </c>
      <c r="E208" s="21">
        <v>2644102.84</v>
      </c>
      <c r="F208" s="22">
        <v>2282886.31</v>
      </c>
      <c r="G208" s="22">
        <v>2774897.8</v>
      </c>
      <c r="H208" s="22">
        <v>2530299.5300000003</v>
      </c>
      <c r="I208" s="23" t="s">
        <v>346</v>
      </c>
      <c r="J208" s="25"/>
    </row>
    <row r="209" spans="1:10" s="17" customFormat="1" x14ac:dyDescent="0.25">
      <c r="A209" s="6" t="s">
        <v>347</v>
      </c>
      <c r="B209" s="21">
        <v>559235.9</v>
      </c>
      <c r="C209" s="21">
        <v>1723098.92</v>
      </c>
      <c r="D209" s="21">
        <v>1597041.42</v>
      </c>
      <c r="E209" s="21">
        <v>1912167.29</v>
      </c>
      <c r="F209" s="22">
        <v>1641112.94</v>
      </c>
      <c r="G209" s="22">
        <v>1898557.2200000002</v>
      </c>
      <c r="H209" s="22">
        <v>4847632.67</v>
      </c>
      <c r="I209" s="23" t="s">
        <v>348</v>
      </c>
      <c r="J209" s="25"/>
    </row>
    <row r="210" spans="1:10" s="17" customFormat="1" x14ac:dyDescent="0.25">
      <c r="A210" s="6" t="s">
        <v>349</v>
      </c>
      <c r="B210" s="21">
        <v>2320</v>
      </c>
      <c r="C210" s="21">
        <v>8440</v>
      </c>
      <c r="D210" s="21">
        <v>2855</v>
      </c>
      <c r="E210" s="21">
        <v>0</v>
      </c>
      <c r="F210" s="22">
        <v>0</v>
      </c>
      <c r="G210" s="22">
        <v>0</v>
      </c>
      <c r="H210" s="22">
        <v>0</v>
      </c>
      <c r="I210" s="23" t="s">
        <v>350</v>
      </c>
      <c r="J210" s="25"/>
    </row>
    <row r="211" spans="1:10" s="17" customFormat="1" x14ac:dyDescent="0.25">
      <c r="A211" s="6" t="s">
        <v>351</v>
      </c>
      <c r="B211" s="21">
        <v>24490</v>
      </c>
      <c r="C211" s="21">
        <v>0</v>
      </c>
      <c r="D211" s="21">
        <v>900</v>
      </c>
      <c r="E211" s="21">
        <v>0</v>
      </c>
      <c r="F211" s="22">
        <v>35060</v>
      </c>
      <c r="G211" s="22">
        <v>196548.18</v>
      </c>
      <c r="H211" s="22">
        <v>822873.92</v>
      </c>
      <c r="I211" s="23" t="s">
        <v>352</v>
      </c>
      <c r="J211" s="25"/>
    </row>
    <row r="212" spans="1:10" s="17" customFormat="1" x14ac:dyDescent="0.25">
      <c r="A212" s="6" t="s">
        <v>353</v>
      </c>
      <c r="B212" s="21">
        <v>830349.04</v>
      </c>
      <c r="C212" s="21">
        <v>1365877.1</v>
      </c>
      <c r="D212" s="21">
        <v>1891888.03</v>
      </c>
      <c r="E212" s="21">
        <v>2409799.87</v>
      </c>
      <c r="F212" s="22">
        <v>2092897.59</v>
      </c>
      <c r="G212" s="22">
        <v>1972326.8599999999</v>
      </c>
      <c r="H212" s="22">
        <v>2154695.4699999997</v>
      </c>
      <c r="I212" s="23" t="s">
        <v>354</v>
      </c>
      <c r="J212" s="25"/>
    </row>
    <row r="213" spans="1:10" s="17" customFormat="1" x14ac:dyDescent="0.25">
      <c r="A213" s="6" t="s">
        <v>355</v>
      </c>
      <c r="B213" s="21">
        <v>129100</v>
      </c>
      <c r="C213" s="21">
        <v>498522.25</v>
      </c>
      <c r="D213" s="21">
        <v>855627.71</v>
      </c>
      <c r="E213" s="21">
        <v>901908.86</v>
      </c>
      <c r="F213" s="22">
        <v>872673.19</v>
      </c>
      <c r="G213" s="22">
        <v>794501.33000000007</v>
      </c>
      <c r="H213" s="22">
        <v>705380.42</v>
      </c>
      <c r="I213" s="23" t="s">
        <v>356</v>
      </c>
      <c r="J213" s="25"/>
    </row>
    <row r="214" spans="1:10" s="17" customFormat="1" ht="17.25" hidden="1" customHeight="1" x14ac:dyDescent="0.25">
      <c r="A214" s="6" t="s">
        <v>422</v>
      </c>
      <c r="B214" s="21"/>
      <c r="C214" s="21"/>
      <c r="D214" s="21"/>
      <c r="E214" s="21"/>
      <c r="F214" s="22"/>
      <c r="G214" s="22"/>
      <c r="H214" s="22"/>
      <c r="I214" s="29" t="s">
        <v>423</v>
      </c>
      <c r="J214" s="25"/>
    </row>
    <row r="215" spans="1:10" s="17" customFormat="1" ht="9" customHeight="1" x14ac:dyDescent="0.25">
      <c r="A215" s="6"/>
      <c r="B215" s="21"/>
      <c r="C215" s="21"/>
      <c r="D215" s="21"/>
      <c r="E215" s="21"/>
      <c r="F215" s="21"/>
      <c r="G215" s="21"/>
      <c r="H215" s="21"/>
      <c r="I215" s="27"/>
      <c r="J215" s="25"/>
    </row>
    <row r="216" spans="1:10" s="17" customFormat="1" x14ac:dyDescent="0.25">
      <c r="A216" s="7" t="s">
        <v>39</v>
      </c>
      <c r="B216" s="18">
        <f t="shared" ref="B216:G216" si="18">SUM(B217:B226)</f>
        <v>14483951.450000003</v>
      </c>
      <c r="C216" s="18">
        <f t="shared" si="18"/>
        <v>21910210.289999995</v>
      </c>
      <c r="D216" s="18">
        <f t="shared" si="18"/>
        <v>25050862.830000002</v>
      </c>
      <c r="E216" s="18">
        <v>28968304</v>
      </c>
      <c r="F216" s="18">
        <f t="shared" si="18"/>
        <v>27993704.789999995</v>
      </c>
      <c r="G216" s="18">
        <f t="shared" si="18"/>
        <v>31369978.870000001</v>
      </c>
      <c r="H216" s="18">
        <v>29440804.519999996</v>
      </c>
      <c r="I216" s="19" t="s">
        <v>40</v>
      </c>
      <c r="J216" s="16"/>
    </row>
    <row r="217" spans="1:10" s="17" customFormat="1" x14ac:dyDescent="0.25">
      <c r="A217" s="6" t="s">
        <v>357</v>
      </c>
      <c r="B217" s="21">
        <v>1271232.72</v>
      </c>
      <c r="C217" s="21">
        <v>1902744.76</v>
      </c>
      <c r="D217" s="21">
        <v>1978679.99</v>
      </c>
      <c r="E217" s="21">
        <v>1979469.32</v>
      </c>
      <c r="F217" s="22">
        <v>1593347.66</v>
      </c>
      <c r="G217" s="22">
        <v>1938364.61</v>
      </c>
      <c r="H217" s="22">
        <v>1725282.86</v>
      </c>
      <c r="I217" s="23" t="s">
        <v>358</v>
      </c>
      <c r="J217" s="16"/>
    </row>
    <row r="218" spans="1:10" s="17" customFormat="1" x14ac:dyDescent="0.25">
      <c r="A218" s="6" t="s">
        <v>359</v>
      </c>
      <c r="B218" s="21">
        <v>8045464.4100000001</v>
      </c>
      <c r="C218" s="21">
        <v>12387461.039999999</v>
      </c>
      <c r="D218" s="21">
        <v>15430316.74</v>
      </c>
      <c r="E218" s="21">
        <v>18365434.559999999</v>
      </c>
      <c r="F218" s="22">
        <v>18741934.960000001</v>
      </c>
      <c r="G218" s="22">
        <v>19473818.329999998</v>
      </c>
      <c r="H218" s="22">
        <v>17512749.34</v>
      </c>
      <c r="I218" s="23" t="s">
        <v>360</v>
      </c>
      <c r="J218" s="16"/>
    </row>
    <row r="219" spans="1:10" s="17" customFormat="1" x14ac:dyDescent="0.25">
      <c r="A219" s="6" t="s">
        <v>351</v>
      </c>
      <c r="B219" s="21">
        <v>533551.99</v>
      </c>
      <c r="C219" s="21">
        <v>1287144.67</v>
      </c>
      <c r="D219" s="21">
        <v>1032043.43</v>
      </c>
      <c r="E219" s="21">
        <v>1240159.76</v>
      </c>
      <c r="F219" s="22">
        <v>652890.82999999996</v>
      </c>
      <c r="G219" s="22">
        <v>1634534.5699999998</v>
      </c>
      <c r="H219" s="22">
        <v>2019514.31</v>
      </c>
      <c r="I219" s="23" t="s">
        <v>352</v>
      </c>
      <c r="J219" s="25"/>
    </row>
    <row r="220" spans="1:10" s="17" customFormat="1" x14ac:dyDescent="0.25">
      <c r="A220" s="6" t="s">
        <v>300</v>
      </c>
      <c r="B220" s="21">
        <v>45870.5</v>
      </c>
      <c r="C220" s="21">
        <v>420942.12</v>
      </c>
      <c r="D220" s="21">
        <v>785263.28</v>
      </c>
      <c r="E220" s="21">
        <v>855585.85</v>
      </c>
      <c r="F220" s="22">
        <v>493056.17</v>
      </c>
      <c r="G220" s="22">
        <v>798961.79999999993</v>
      </c>
      <c r="H220" s="22">
        <v>663724.82999999996</v>
      </c>
      <c r="I220" s="23" t="s">
        <v>301</v>
      </c>
      <c r="J220" s="25"/>
    </row>
    <row r="221" spans="1:10" s="17" customFormat="1" x14ac:dyDescent="0.25">
      <c r="A221" s="6" t="s">
        <v>361</v>
      </c>
      <c r="B221" s="21">
        <v>2810854.07</v>
      </c>
      <c r="C221" s="21">
        <v>3087984.56</v>
      </c>
      <c r="D221" s="21">
        <v>3092449.68</v>
      </c>
      <c r="E221" s="21">
        <v>2792513.23</v>
      </c>
      <c r="F221" s="22">
        <v>2851325.99</v>
      </c>
      <c r="G221" s="22">
        <v>3038245.23</v>
      </c>
      <c r="H221" s="22">
        <v>2708388.57</v>
      </c>
      <c r="I221" s="23" t="s">
        <v>362</v>
      </c>
      <c r="J221" s="25"/>
    </row>
    <row r="222" spans="1:10" s="17" customFormat="1" x14ac:dyDescent="0.25">
      <c r="A222" s="6" t="s">
        <v>363</v>
      </c>
      <c r="B222" s="21">
        <v>548321.14</v>
      </c>
      <c r="C222" s="21">
        <v>941583.4</v>
      </c>
      <c r="D222" s="21">
        <v>828185.62</v>
      </c>
      <c r="E222" s="21">
        <v>930346.82</v>
      </c>
      <c r="F222" s="22">
        <v>655038.02</v>
      </c>
      <c r="G222" s="22">
        <v>662020.64999999991</v>
      </c>
      <c r="H222" s="22">
        <v>782749.52</v>
      </c>
      <c r="I222" s="23" t="s">
        <v>364</v>
      </c>
      <c r="J222" s="25"/>
    </row>
    <row r="223" spans="1:10" s="17" customFormat="1" x14ac:dyDescent="0.25">
      <c r="A223" s="6" t="s">
        <v>365</v>
      </c>
      <c r="B223" s="21">
        <v>52324</v>
      </c>
      <c r="C223" s="21">
        <v>242502.02</v>
      </c>
      <c r="D223" s="21">
        <v>241414.09</v>
      </c>
      <c r="E223" s="21">
        <v>305873.68</v>
      </c>
      <c r="F223" s="22">
        <v>221812.31</v>
      </c>
      <c r="G223" s="22">
        <v>251932.09000000003</v>
      </c>
      <c r="H223" s="22">
        <v>403781.42</v>
      </c>
      <c r="I223" s="23" t="s">
        <v>366</v>
      </c>
      <c r="J223" s="25"/>
    </row>
    <row r="224" spans="1:10" s="17" customFormat="1" ht="15.75" hidden="1" x14ac:dyDescent="0.25">
      <c r="A224" s="6" t="s">
        <v>443</v>
      </c>
      <c r="B224" s="21">
        <v>0</v>
      </c>
      <c r="C224" s="21">
        <v>0</v>
      </c>
      <c r="D224" s="21">
        <v>0</v>
      </c>
      <c r="E224" s="21">
        <v>0</v>
      </c>
      <c r="F224" s="22">
        <v>0</v>
      </c>
      <c r="G224" s="22">
        <v>0</v>
      </c>
      <c r="H224" s="22">
        <v>0</v>
      </c>
      <c r="I224" s="23" t="s">
        <v>367</v>
      </c>
      <c r="J224" s="25"/>
    </row>
    <row r="225" spans="1:10" s="17" customFormat="1" x14ac:dyDescent="0.25">
      <c r="A225" s="6" t="s">
        <v>368</v>
      </c>
      <c r="B225" s="21">
        <v>1157432.6200000001</v>
      </c>
      <c r="C225" s="21">
        <v>1342849.49</v>
      </c>
      <c r="D225" s="21">
        <v>1252589.26</v>
      </c>
      <c r="E225" s="21">
        <v>1980004.54</v>
      </c>
      <c r="F225" s="22">
        <v>2223124.83</v>
      </c>
      <c r="G225" s="22">
        <v>2822857.9000000004</v>
      </c>
      <c r="H225" s="22">
        <v>2369223.86</v>
      </c>
      <c r="I225" s="23" t="s">
        <v>369</v>
      </c>
      <c r="J225" s="25"/>
    </row>
    <row r="226" spans="1:10" s="17" customFormat="1" x14ac:dyDescent="0.25">
      <c r="A226" s="6" t="s">
        <v>370</v>
      </c>
      <c r="B226" s="21">
        <v>18900</v>
      </c>
      <c r="C226" s="21">
        <v>296998.23</v>
      </c>
      <c r="D226" s="21">
        <v>409920.74</v>
      </c>
      <c r="E226" s="21">
        <v>518916.24</v>
      </c>
      <c r="F226" s="22">
        <v>561174.02</v>
      </c>
      <c r="G226" s="22">
        <v>749243.69</v>
      </c>
      <c r="H226" s="22">
        <v>1255389.81</v>
      </c>
      <c r="I226" s="23" t="s">
        <v>371</v>
      </c>
      <c r="J226" s="16"/>
    </row>
    <row r="227" spans="1:10" s="17" customFormat="1" ht="8.25" customHeight="1" x14ac:dyDescent="0.25">
      <c r="A227" s="6"/>
      <c r="B227" s="21"/>
      <c r="C227" s="21"/>
      <c r="D227" s="21"/>
      <c r="E227" s="21"/>
      <c r="F227" s="21"/>
      <c r="G227" s="21"/>
      <c r="H227" s="21"/>
      <c r="I227" s="27"/>
      <c r="J227" s="16"/>
    </row>
    <row r="228" spans="1:10" s="17" customFormat="1" x14ac:dyDescent="0.25">
      <c r="A228" s="7" t="s">
        <v>41</v>
      </c>
      <c r="B228" s="18">
        <f t="shared" ref="B228:G228" si="19">SUM(B229:B239)</f>
        <v>27642128.07</v>
      </c>
      <c r="C228" s="18">
        <f t="shared" si="19"/>
        <v>34260241.729999997</v>
      </c>
      <c r="D228" s="18">
        <f t="shared" si="19"/>
        <v>39536598.640000001</v>
      </c>
      <c r="E228" s="18">
        <v>44492550.350000001</v>
      </c>
      <c r="F228" s="18">
        <f t="shared" si="19"/>
        <v>46107004.269999996</v>
      </c>
      <c r="G228" s="18">
        <f t="shared" si="19"/>
        <v>52074088.549999997</v>
      </c>
      <c r="H228" s="18">
        <v>52286749.170000002</v>
      </c>
      <c r="I228" s="19" t="s">
        <v>42</v>
      </c>
      <c r="J228" s="16"/>
    </row>
    <row r="229" spans="1:10" s="17" customFormat="1" x14ac:dyDescent="0.25">
      <c r="A229" s="6" t="s">
        <v>372</v>
      </c>
      <c r="B229" s="21">
        <v>363036.92</v>
      </c>
      <c r="C229" s="21">
        <v>1050945.76</v>
      </c>
      <c r="D229" s="21">
        <v>1122121.94</v>
      </c>
      <c r="E229" s="21">
        <v>1761530.17</v>
      </c>
      <c r="F229" s="22">
        <v>1723322.76</v>
      </c>
      <c r="G229" s="22">
        <v>1459916.6300000001</v>
      </c>
      <c r="H229" s="22">
        <v>1552590.89</v>
      </c>
      <c r="I229" s="23" t="s">
        <v>373</v>
      </c>
      <c r="J229" s="16"/>
    </row>
    <row r="230" spans="1:10" s="17" customFormat="1" x14ac:dyDescent="0.25">
      <c r="A230" s="6" t="s">
        <v>374</v>
      </c>
      <c r="B230" s="21">
        <v>252771.9</v>
      </c>
      <c r="C230" s="21">
        <v>566139.19999999995</v>
      </c>
      <c r="D230" s="21">
        <v>878988.21</v>
      </c>
      <c r="E230" s="21">
        <v>856738.78</v>
      </c>
      <c r="F230" s="22">
        <v>768497.12</v>
      </c>
      <c r="G230" s="22">
        <v>1035683.6499999999</v>
      </c>
      <c r="H230" s="22">
        <v>1094454.0299999998</v>
      </c>
      <c r="I230" s="23" t="s">
        <v>375</v>
      </c>
      <c r="J230" s="16"/>
    </row>
    <row r="231" spans="1:10" s="17" customFormat="1" x14ac:dyDescent="0.25">
      <c r="A231" s="6" t="s">
        <v>376</v>
      </c>
      <c r="B231" s="21">
        <v>345834</v>
      </c>
      <c r="C231" s="21">
        <v>679513.03</v>
      </c>
      <c r="D231" s="21">
        <v>961524.9</v>
      </c>
      <c r="E231" s="21">
        <v>826694.47</v>
      </c>
      <c r="F231" s="22">
        <v>967134.07</v>
      </c>
      <c r="G231" s="22">
        <v>1240583.22</v>
      </c>
      <c r="H231" s="22">
        <v>971158.63</v>
      </c>
      <c r="I231" s="23" t="s">
        <v>377</v>
      </c>
      <c r="J231" s="16"/>
    </row>
    <row r="232" spans="1:10" s="17" customFormat="1" x14ac:dyDescent="0.25">
      <c r="A232" s="6" t="s">
        <v>378</v>
      </c>
      <c r="B232" s="21">
        <v>2491722.0699999998</v>
      </c>
      <c r="C232" s="21">
        <v>2867595.38</v>
      </c>
      <c r="D232" s="21">
        <v>3502187.7</v>
      </c>
      <c r="E232" s="21">
        <v>4409416.59</v>
      </c>
      <c r="F232" s="22">
        <v>4637541.5199999996</v>
      </c>
      <c r="G232" s="22">
        <v>3755143.8</v>
      </c>
      <c r="H232" s="22">
        <v>2747474.9099999997</v>
      </c>
      <c r="I232" s="23" t="s">
        <v>379</v>
      </c>
      <c r="J232" s="25"/>
    </row>
    <row r="233" spans="1:10" s="17" customFormat="1" x14ac:dyDescent="0.25">
      <c r="A233" s="6" t="s">
        <v>380</v>
      </c>
      <c r="B233" s="21">
        <v>390537.85</v>
      </c>
      <c r="C233" s="21">
        <v>1054781.5</v>
      </c>
      <c r="D233" s="21">
        <v>1164141.1100000001</v>
      </c>
      <c r="E233" s="21">
        <v>1010275.68</v>
      </c>
      <c r="F233" s="22">
        <v>1219076.1399999999</v>
      </c>
      <c r="G233" s="22">
        <v>1416662.38</v>
      </c>
      <c r="H233" s="22">
        <v>1341994.4200000002</v>
      </c>
      <c r="I233" s="23" t="s">
        <v>381</v>
      </c>
      <c r="J233" s="25"/>
    </row>
    <row r="234" spans="1:10" s="17" customFormat="1" x14ac:dyDescent="0.25">
      <c r="A234" s="6" t="s">
        <v>160</v>
      </c>
      <c r="B234" s="21">
        <v>507327.83</v>
      </c>
      <c r="C234" s="21">
        <v>926156.72</v>
      </c>
      <c r="D234" s="21">
        <v>939196.24</v>
      </c>
      <c r="E234" s="21">
        <v>884852.17</v>
      </c>
      <c r="F234" s="22">
        <v>1198732.22</v>
      </c>
      <c r="G234" s="22">
        <v>898002.6</v>
      </c>
      <c r="H234" s="22">
        <v>690525.06</v>
      </c>
      <c r="I234" s="23" t="s">
        <v>161</v>
      </c>
      <c r="J234" s="25"/>
    </row>
    <row r="235" spans="1:10" s="17" customFormat="1" x14ac:dyDescent="0.25">
      <c r="A235" s="6" t="s">
        <v>382</v>
      </c>
      <c r="B235" s="21">
        <v>958469.15</v>
      </c>
      <c r="C235" s="21">
        <v>1322924.8799999999</v>
      </c>
      <c r="D235" s="21">
        <v>1194700.75</v>
      </c>
      <c r="E235" s="21">
        <v>1164792.33</v>
      </c>
      <c r="F235" s="22">
        <v>1354654.01</v>
      </c>
      <c r="G235" s="22">
        <v>1381538.16</v>
      </c>
      <c r="H235" s="22">
        <v>1042813.69</v>
      </c>
      <c r="I235" s="23" t="s">
        <v>383</v>
      </c>
      <c r="J235" s="25"/>
    </row>
    <row r="236" spans="1:10" s="17" customFormat="1" x14ac:dyDescent="0.25">
      <c r="A236" s="6" t="s">
        <v>384</v>
      </c>
      <c r="B236" s="21">
        <v>394652.61</v>
      </c>
      <c r="C236" s="21">
        <v>1020507.97</v>
      </c>
      <c r="D236" s="21">
        <v>1840761.81</v>
      </c>
      <c r="E236" s="21">
        <v>1806228.56</v>
      </c>
      <c r="F236" s="22">
        <v>1529898.16</v>
      </c>
      <c r="G236" s="22">
        <v>2143797.4</v>
      </c>
      <c r="H236" s="22">
        <v>2096020.54</v>
      </c>
      <c r="I236" s="23" t="s">
        <v>385</v>
      </c>
      <c r="J236" s="25"/>
    </row>
    <row r="237" spans="1:10" s="17" customFormat="1" hidden="1" x14ac:dyDescent="0.25">
      <c r="A237" s="6" t="s">
        <v>411</v>
      </c>
      <c r="B237" s="21">
        <v>0</v>
      </c>
      <c r="C237" s="21">
        <v>0</v>
      </c>
      <c r="D237" s="21">
        <v>0</v>
      </c>
      <c r="E237" s="21">
        <v>0</v>
      </c>
      <c r="F237" s="22">
        <v>0</v>
      </c>
      <c r="G237" s="22">
        <v>0</v>
      </c>
      <c r="H237" s="22">
        <v>0</v>
      </c>
      <c r="I237" s="23" t="s">
        <v>412</v>
      </c>
      <c r="J237" s="25"/>
    </row>
    <row r="238" spans="1:10" s="17" customFormat="1" hidden="1" x14ac:dyDescent="0.25">
      <c r="A238" s="6" t="s">
        <v>413</v>
      </c>
      <c r="B238" s="21">
        <v>0</v>
      </c>
      <c r="C238" s="21">
        <v>0</v>
      </c>
      <c r="D238" s="21">
        <v>0</v>
      </c>
      <c r="E238" s="21">
        <v>0</v>
      </c>
      <c r="F238" s="22">
        <v>0</v>
      </c>
      <c r="G238" s="22">
        <v>0</v>
      </c>
      <c r="H238" s="22">
        <v>0</v>
      </c>
      <c r="I238" s="23" t="s">
        <v>414</v>
      </c>
      <c r="J238" s="25"/>
    </row>
    <row r="239" spans="1:10" s="17" customFormat="1" x14ac:dyDescent="0.25">
      <c r="A239" s="6" t="s">
        <v>271</v>
      </c>
      <c r="B239" s="21">
        <v>21937775.739999998</v>
      </c>
      <c r="C239" s="21">
        <v>24771677.289999999</v>
      </c>
      <c r="D239" s="21">
        <v>27932975.98</v>
      </c>
      <c r="E239" s="21">
        <v>31772021.600000001</v>
      </c>
      <c r="F239" s="22">
        <v>32708148.27</v>
      </c>
      <c r="G239" s="22">
        <v>38742760.710000001</v>
      </c>
      <c r="H239" s="22">
        <v>40749717</v>
      </c>
      <c r="I239" s="23" t="s">
        <v>272</v>
      </c>
      <c r="J239" s="25"/>
    </row>
    <row r="240" spans="1:10" s="17" customFormat="1" ht="11.25" customHeight="1" x14ac:dyDescent="0.25">
      <c r="A240" s="6"/>
      <c r="B240" s="21"/>
      <c r="C240" s="21"/>
      <c r="D240" s="21"/>
      <c r="E240" s="21"/>
      <c r="F240" s="21"/>
      <c r="G240" s="21"/>
      <c r="H240" s="21"/>
      <c r="I240" s="27"/>
      <c r="J240" s="25"/>
    </row>
    <row r="241" spans="1:10" s="17" customFormat="1" x14ac:dyDescent="0.25">
      <c r="A241" s="7" t="s">
        <v>43</v>
      </c>
      <c r="B241" s="18">
        <f t="shared" ref="B241:G241" si="20">SUM(B242)</f>
        <v>12905259.859999999</v>
      </c>
      <c r="C241" s="18">
        <f t="shared" si="20"/>
        <v>19379941.390000001</v>
      </c>
      <c r="D241" s="18">
        <f t="shared" si="20"/>
        <v>20312685.899999999</v>
      </c>
      <c r="E241" s="18">
        <f t="shared" si="20"/>
        <v>15456736.35</v>
      </c>
      <c r="F241" s="18">
        <f t="shared" si="20"/>
        <v>23428238.909999996</v>
      </c>
      <c r="G241" s="18">
        <f t="shared" si="20"/>
        <v>26813330.047800001</v>
      </c>
      <c r="H241" s="18">
        <v>30205366.392999999</v>
      </c>
      <c r="I241" s="19" t="s">
        <v>44</v>
      </c>
      <c r="J241" s="25"/>
    </row>
    <row r="242" spans="1:10" s="17" customFormat="1" x14ac:dyDescent="0.25">
      <c r="A242" s="6" t="s">
        <v>386</v>
      </c>
      <c r="B242" s="21">
        <v>12905259.859999999</v>
      </c>
      <c r="C242" s="21">
        <v>19379941.390000001</v>
      </c>
      <c r="D242" s="21">
        <v>20312685.899999999</v>
      </c>
      <c r="E242" s="21">
        <v>15456736.35</v>
      </c>
      <c r="F242" s="22">
        <v>23428238.909999996</v>
      </c>
      <c r="G242" s="22">
        <v>26813330.047800001</v>
      </c>
      <c r="H242" s="22">
        <v>30205366.392999999</v>
      </c>
      <c r="I242" s="23" t="s">
        <v>387</v>
      </c>
      <c r="J242" s="25"/>
    </row>
    <row r="243" spans="1:10" s="17" customFormat="1" ht="8.25" customHeight="1" x14ac:dyDescent="0.25">
      <c r="A243" s="6"/>
      <c r="B243" s="21"/>
      <c r="C243" s="21"/>
      <c r="D243" s="21"/>
      <c r="E243" s="21"/>
      <c r="F243" s="21"/>
      <c r="G243" s="21"/>
      <c r="H243" s="21"/>
      <c r="I243" s="27"/>
      <c r="J243" s="25"/>
    </row>
    <row r="244" spans="1:10" s="17" customFormat="1" x14ac:dyDescent="0.25">
      <c r="A244" s="7" t="s">
        <v>45</v>
      </c>
      <c r="B244" s="18">
        <f t="shared" ref="B244:G244" si="21">SUM(B245:B250)</f>
        <v>55981769.233300008</v>
      </c>
      <c r="C244" s="18">
        <f t="shared" si="21"/>
        <v>74119274.931099996</v>
      </c>
      <c r="D244" s="18">
        <f t="shared" si="21"/>
        <v>102346229.71000001</v>
      </c>
      <c r="E244" s="18">
        <f t="shared" si="21"/>
        <v>116663001.61669999</v>
      </c>
      <c r="F244" s="18">
        <f t="shared" si="21"/>
        <v>121178364.9189</v>
      </c>
      <c r="G244" s="18">
        <f t="shared" si="21"/>
        <v>117270900.5696</v>
      </c>
      <c r="H244" s="18">
        <v>137699477.97600001</v>
      </c>
      <c r="I244" s="19" t="s">
        <v>46</v>
      </c>
      <c r="J244" s="25"/>
    </row>
    <row r="245" spans="1:10" s="17" customFormat="1" x14ac:dyDescent="0.25">
      <c r="A245" s="6" t="s">
        <v>181</v>
      </c>
      <c r="B245" s="21">
        <v>3005819.96</v>
      </c>
      <c r="C245" s="21">
        <v>3478400.98</v>
      </c>
      <c r="D245" s="21">
        <v>3766139.66</v>
      </c>
      <c r="E245" s="21">
        <v>3469780.91</v>
      </c>
      <c r="F245" s="22">
        <v>4516324.38</v>
      </c>
      <c r="G245" s="22">
        <v>5035169.6090000002</v>
      </c>
      <c r="H245" s="22">
        <v>3977044.3509999998</v>
      </c>
      <c r="I245" s="23" t="s">
        <v>182</v>
      </c>
      <c r="J245" s="25"/>
    </row>
    <row r="246" spans="1:10" s="17" customFormat="1" x14ac:dyDescent="0.25">
      <c r="A246" s="6" t="s">
        <v>353</v>
      </c>
      <c r="B246" s="21">
        <v>41976292.043300003</v>
      </c>
      <c r="C246" s="21">
        <v>53183566.141099997</v>
      </c>
      <c r="D246" s="21">
        <v>62067489.68</v>
      </c>
      <c r="E246" s="21">
        <v>68151767.1567</v>
      </c>
      <c r="F246" s="22">
        <v>74777325.458900005</v>
      </c>
      <c r="G246" s="22">
        <v>74582055.490600005</v>
      </c>
      <c r="H246" s="22">
        <v>86594151.195000008</v>
      </c>
      <c r="I246" s="23" t="s">
        <v>354</v>
      </c>
      <c r="J246" s="25"/>
    </row>
    <row r="247" spans="1:10" s="17" customFormat="1" x14ac:dyDescent="0.25">
      <c r="A247" s="6" t="s">
        <v>388</v>
      </c>
      <c r="B247" s="21">
        <v>3425764.24</v>
      </c>
      <c r="C247" s="21">
        <v>3679508.85</v>
      </c>
      <c r="D247" s="21">
        <v>9117224.4100000001</v>
      </c>
      <c r="E247" s="21">
        <v>10524328.4</v>
      </c>
      <c r="F247" s="22">
        <v>10141938.970000001</v>
      </c>
      <c r="G247" s="22">
        <v>6885688.1370000001</v>
      </c>
      <c r="H247" s="22">
        <v>3545561.25</v>
      </c>
      <c r="I247" s="23" t="s">
        <v>389</v>
      </c>
      <c r="J247" s="25"/>
    </row>
    <row r="248" spans="1:10" s="17" customFormat="1" x14ac:dyDescent="0.25">
      <c r="A248" s="6" t="s">
        <v>112</v>
      </c>
      <c r="B248" s="21">
        <v>2742664.45</v>
      </c>
      <c r="C248" s="21">
        <v>8542310.2300000004</v>
      </c>
      <c r="D248" s="21">
        <v>18755836.59</v>
      </c>
      <c r="E248" s="21">
        <v>27828171.52</v>
      </c>
      <c r="F248" s="22">
        <v>26509036</v>
      </c>
      <c r="G248" s="22">
        <v>23908660.357999999</v>
      </c>
      <c r="H248" s="22">
        <v>34327618.590000004</v>
      </c>
      <c r="I248" s="23" t="s">
        <v>113</v>
      </c>
      <c r="J248" s="25"/>
    </row>
    <row r="249" spans="1:10" x14ac:dyDescent="0.25">
      <c r="A249" s="5" t="s">
        <v>390</v>
      </c>
      <c r="B249" s="22">
        <v>1827831.24</v>
      </c>
      <c r="C249" s="22">
        <v>2083316.76</v>
      </c>
      <c r="D249" s="22">
        <v>5849697.0599999996</v>
      </c>
      <c r="E249" s="22">
        <v>3951430.07</v>
      </c>
      <c r="F249" s="22">
        <v>2753529.48</v>
      </c>
      <c r="G249" s="22">
        <v>3630528.9299999997</v>
      </c>
      <c r="H249" s="22">
        <v>4088797.7800000003</v>
      </c>
      <c r="I249" s="23" t="s">
        <v>391</v>
      </c>
    </row>
    <row r="250" spans="1:10" x14ac:dyDescent="0.25">
      <c r="A250" s="6" t="s">
        <v>392</v>
      </c>
      <c r="B250" s="21">
        <v>3003397.3</v>
      </c>
      <c r="C250" s="21">
        <v>3152171.97</v>
      </c>
      <c r="D250" s="21">
        <v>2789842.31</v>
      </c>
      <c r="E250" s="21">
        <v>2737523.56</v>
      </c>
      <c r="F250" s="22">
        <v>2480210.63</v>
      </c>
      <c r="G250" s="22">
        <v>3228798.0449999999</v>
      </c>
      <c r="H250" s="22">
        <v>5166304.8099999996</v>
      </c>
      <c r="I250" s="23" t="s">
        <v>393</v>
      </c>
    </row>
    <row r="251" spans="1:10" x14ac:dyDescent="0.25">
      <c r="A251" s="6"/>
      <c r="B251" s="21"/>
      <c r="C251" s="21"/>
      <c r="D251" s="21"/>
      <c r="E251" s="21"/>
      <c r="F251" s="21"/>
      <c r="G251" s="21"/>
      <c r="H251" s="21"/>
      <c r="I251" s="23"/>
    </row>
    <row r="252" spans="1:10" ht="17.25" x14ac:dyDescent="0.25">
      <c r="A252" s="7" t="s">
        <v>415</v>
      </c>
      <c r="B252" s="18">
        <f>SUM(B255)</f>
        <v>169006647.32120001</v>
      </c>
      <c r="C252" s="18">
        <f>SUM(C255)</f>
        <v>222306097.64719999</v>
      </c>
      <c r="D252" s="18">
        <f>SUM(D255)</f>
        <v>223353684.25080001</v>
      </c>
      <c r="E252" s="18">
        <f t="shared" ref="E252:G252" si="22">SUM(E255)</f>
        <v>175063121</v>
      </c>
      <c r="F252" s="18">
        <f t="shared" si="22"/>
        <v>266933716</v>
      </c>
      <c r="G252" s="18">
        <f t="shared" si="22"/>
        <v>279572116.1688</v>
      </c>
      <c r="H252" s="18">
        <v>124721731.0976</v>
      </c>
      <c r="I252" s="13" t="s">
        <v>399</v>
      </c>
    </row>
    <row r="253" spans="1:10" ht="17.25" x14ac:dyDescent="0.25">
      <c r="A253" s="6" t="s">
        <v>428</v>
      </c>
      <c r="B253" s="21">
        <v>0</v>
      </c>
      <c r="C253" s="21">
        <v>0</v>
      </c>
      <c r="D253" s="21">
        <v>0</v>
      </c>
      <c r="E253" s="21">
        <v>0</v>
      </c>
      <c r="F253" s="21">
        <v>0</v>
      </c>
      <c r="G253" s="21">
        <v>0</v>
      </c>
      <c r="H253" s="18">
        <v>108921452.20999999</v>
      </c>
      <c r="I253" s="29" t="s">
        <v>426</v>
      </c>
    </row>
    <row r="254" spans="1:10" ht="17.25" x14ac:dyDescent="0.25">
      <c r="A254" s="6" t="s">
        <v>429</v>
      </c>
      <c r="B254" s="21">
        <v>0</v>
      </c>
      <c r="C254" s="21">
        <v>0</v>
      </c>
      <c r="D254" s="21">
        <v>0</v>
      </c>
      <c r="E254" s="21">
        <v>0</v>
      </c>
      <c r="F254" s="21">
        <v>0</v>
      </c>
      <c r="G254" s="21">
        <v>0</v>
      </c>
      <c r="H254" s="18">
        <v>15800278.890000001</v>
      </c>
      <c r="I254" s="29" t="s">
        <v>427</v>
      </c>
    </row>
    <row r="255" spans="1:10" ht="17.25" x14ac:dyDescent="0.25">
      <c r="A255" s="8" t="s">
        <v>415</v>
      </c>
      <c r="B255" s="31">
        <v>169006647.32120001</v>
      </c>
      <c r="C255" s="31">
        <v>222306097.64719999</v>
      </c>
      <c r="D255" s="31">
        <v>223353684.25080001</v>
      </c>
      <c r="E255" s="31">
        <v>175063121</v>
      </c>
      <c r="F255" s="31">
        <v>266933716</v>
      </c>
      <c r="G255" s="31">
        <v>279572116.1688</v>
      </c>
      <c r="H255" s="31">
        <v>0</v>
      </c>
      <c r="I255" s="32" t="s">
        <v>399</v>
      </c>
    </row>
    <row r="256" spans="1:10" x14ac:dyDescent="0.25">
      <c r="A256" s="33" t="s">
        <v>416</v>
      </c>
      <c r="I256" s="35" t="s">
        <v>417</v>
      </c>
    </row>
    <row r="257" spans="1:10" x14ac:dyDescent="0.25">
      <c r="A257" s="33" t="s">
        <v>418</v>
      </c>
      <c r="I257" s="35" t="s">
        <v>419</v>
      </c>
    </row>
    <row r="258" spans="1:10" x14ac:dyDescent="0.25">
      <c r="A258" s="33" t="s">
        <v>420</v>
      </c>
      <c r="I258" s="35" t="s">
        <v>421</v>
      </c>
      <c r="J258" s="14"/>
    </row>
    <row r="259" spans="1:10" ht="17.25" x14ac:dyDescent="0.25">
      <c r="A259" s="36" t="s">
        <v>395</v>
      </c>
      <c r="I259" s="9" t="s">
        <v>396</v>
      </c>
      <c r="J259" s="14"/>
    </row>
    <row r="260" spans="1:10" ht="17.25" x14ac:dyDescent="0.25">
      <c r="A260" s="3" t="s">
        <v>397</v>
      </c>
      <c r="I260" s="9" t="s">
        <v>394</v>
      </c>
      <c r="J260" s="14"/>
    </row>
  </sheetData>
  <mergeCells count="5">
    <mergeCell ref="A3:A4"/>
    <mergeCell ref="A1:I1"/>
    <mergeCell ref="A2:I2"/>
    <mergeCell ref="B3:H3"/>
    <mergeCell ref="I3:I4"/>
  </mergeCells>
  <pageMargins left="0.7" right="0.7" top="0.75" bottom="0.75" header="0.3" footer="0.3"/>
  <pageSetup scale="49" orientation="portrait" r:id="rId1"/>
  <rowBreaks count="1" manualBreakCount="1">
    <brk id="9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18.25</vt:lpstr>
      <vt:lpstr>'18.25'!Print_Area</vt:lpstr>
      <vt:lpstr>'18.25'!Print_Titles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2021-09-23T05:54:44Z</cp:lastPrinted>
  <dcterms:created xsi:type="dcterms:W3CDTF">2019-02-21T04:10:17Z</dcterms:created>
  <dcterms:modified xsi:type="dcterms:W3CDTF">2021-09-23T05:54:56Z</dcterms:modified>
</cp:coreProperties>
</file>