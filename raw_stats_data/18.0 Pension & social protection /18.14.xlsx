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8. Pension and Social Protection\"/>
    </mc:Choice>
  </mc:AlternateContent>
  <bookViews>
    <workbookView xWindow="0" yWindow="0" windowWidth="28800" windowHeight="12435" tabRatio="842"/>
  </bookViews>
  <sheets>
    <sheet name="18.14" sheetId="13" r:id="rId1"/>
  </sheets>
  <definedNames>
    <definedName name="_xlnm.Print_Area" localSheetId="0">'18.14'!$A$1:$J$54</definedName>
  </definedNames>
  <calcPr calcId="152511"/>
</workbook>
</file>

<file path=xl/calcChain.xml><?xml version="1.0" encoding="utf-8"?>
<calcChain xmlns="http://schemas.openxmlformats.org/spreadsheetml/2006/main">
  <c r="G32" i="13" l="1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B6" i="13" l="1"/>
  <c r="C6" i="13"/>
  <c r="D6" i="13"/>
  <c r="E6" i="13"/>
  <c r="F6" i="13"/>
  <c r="G6" i="13" l="1"/>
  <c r="H21" i="13" l="1"/>
  <c r="H25" i="13"/>
  <c r="H31" i="13"/>
  <c r="H27" i="13"/>
  <c r="H23" i="13"/>
  <c r="H19" i="13"/>
  <c r="H15" i="13"/>
  <c r="H11" i="13"/>
  <c r="H7" i="13"/>
  <c r="H29" i="13"/>
  <c r="H9" i="13"/>
  <c r="H13" i="13"/>
  <c r="H17" i="13"/>
  <c r="H26" i="13"/>
  <c r="H10" i="13"/>
  <c r="H12" i="13"/>
  <c r="H8" i="13"/>
  <c r="H16" i="13"/>
  <c r="H18" i="13"/>
  <c r="H20" i="13"/>
  <c r="H28" i="13"/>
  <c r="H24" i="13"/>
  <c r="H14" i="13"/>
  <c r="H32" i="13"/>
  <c r="H22" i="13"/>
  <c r="H30" i="13"/>
  <c r="H6" i="13"/>
</calcChain>
</file>

<file path=xl/sharedStrings.xml><?xml version="1.0" encoding="utf-8"?>
<sst xmlns="http://schemas.openxmlformats.org/spreadsheetml/2006/main" count="69" uniqueCount="68">
  <si>
    <t>ޖުމްލަ</t>
  </si>
  <si>
    <t>% share</t>
  </si>
  <si>
    <t>Total</t>
  </si>
  <si>
    <t>Source: Maldives Pension Administration</t>
  </si>
  <si>
    <t>މަޢުލޫމާތު ދެއްވި ފަރާތް: މޯލްޑިވްސް ޕެންޝަން އެޑްމިނިސްޓްރޭޝަން</t>
  </si>
  <si>
    <t>Sector</t>
  </si>
  <si>
    <t xml:space="preserve">މަސައްކަތްކުރާ ތަނުގެ ދާއިރާ </t>
  </si>
  <si>
    <t>0-9</t>
  </si>
  <si>
    <t>10-49</t>
  </si>
  <si>
    <t>50-99</t>
  </si>
  <si>
    <t>100-299</t>
  </si>
  <si>
    <t>&gt;300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</si>
  <si>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</si>
  <si>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</si>
  <si>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</si>
  <si>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</si>
  <si>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</si>
  <si>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</si>
  <si>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</si>
  <si>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</si>
  <si>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</si>
  <si>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</si>
  <si>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</si>
  <si>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</si>
  <si>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</si>
  <si>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</si>
  <si>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</si>
  <si>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</si>
  <si>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</si>
  <si>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</si>
  <si>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</si>
  <si>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</si>
  <si>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</si>
  <si>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</si>
  <si>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</si>
  <si>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</si>
  <si>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 xml:space="preserve">Housing Development 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</si>
  <si>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</si>
  <si>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</si>
  <si>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</si>
  <si>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</si>
  <si>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</si>
  <si>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</si>
  <si>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</si>
  <si>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</si>
  <si>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</si>
  <si>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</si>
  <si>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</si>
  <si>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</si>
  <si>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</si>
  <si>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</si>
  <si>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</si>
  <si>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</si>
  <si>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</si>
  <si>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</si>
  <si>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</si>
  <si>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</si>
  <si>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</si>
  <si>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</si>
  <si>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</si>
  <si>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Others</t>
  </si>
  <si>
    <t>އެހެނިހެން</t>
  </si>
  <si>
    <t>Employment size</t>
  </si>
  <si>
    <t xml:space="preserve">Note: The Difference between values in this table  is due to  some members having multiple contracts with more than one employer </t>
  </si>
  <si>
    <t>Passenger Ferries</t>
  </si>
  <si>
    <t>ފެރީގެ ޙިދުމަތް</t>
  </si>
  <si>
    <t>TABLE   18.14: EMPLOYEES  REGISTERED IN THE RETIREMENT PENSION SCHEME, BY EMPLOYMENT SIZE, END  2020</t>
  </si>
  <si>
    <t>ތާވަލު  18.14 : އެކި ދާއިރާތަކުން ރިޓާޔަމަންޓް ޕެންޝަން ސްކީމްގައި ރެޖިސްޓަރކޮށްފައިވާ މުވައްޒަފުންގެ ޢަދަދު، ތަނުގެމުވައްޒަފުންގެ ގިންތިން،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</si>
</sst>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0.0"/>
  </numFmts>
  <fonts count="1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b/>
      <sz val="12"/>
      <color rgb="FF000000"/>
      <name val="Consolas"/>
      <family val="3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1"/>
      <color rgb="FF000000"/>
      <name val="Arial"/>
    </font>
    <font>
      <sz val="11"/>
      <color theme="1"/>
      <name val="Arial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9">
    <xf numFmtId="0" fontId="0" fillId="0" borderId="0"/>
    <xf numFmtId="165" fontId="12" fillId="0" borderId="16"/>
    <xf numFmtId="0" fontId="1" fillId="0" borderId="16"/>
    <xf numFmtId="0" fontId="1" fillId="0" borderId="16"/>
    <xf numFmtId="164" fontId="10" fillId="0" borderId="16" applyFont="0" applyFill="0" applyBorder="0" applyAlignment="0" applyProtection="0"/>
    <xf numFmtId="164" fontId="10" fillId="0" borderId="16" applyFont="0" applyFill="0" applyBorder="0" applyAlignment="0" applyProtection="0"/>
    <xf numFmtId="0" fontId="10" fillId="0" borderId="16"/>
    <xf numFmtId="0" fontId="14" fillId="0" borderId="16"/>
    <xf numFmtId="0" fontId="15" fillId="0" borderId="16" applyFill="0" applyProtection="0"/>
  </cellStyleXfs>
  <cellXfs count="48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/>
    <xf numFmtId="0" fontId="6" fillId="2" borderId="2" xfId="0" applyFont="1" applyFill="1" applyBorder="1" applyAlignment="1"/>
    <xf numFmtId="0" fontId="0" fillId="2" borderId="2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right" vertical="center"/>
    </xf>
    <xf numFmtId="49" fontId="4" fillId="2" borderId="13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left" vertical="center"/>
    </xf>
    <xf numFmtId="3" fontId="4" fillId="2" borderId="6" xfId="0" applyNumberFormat="1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center" vertical="center" readingOrder="1"/>
    </xf>
    <xf numFmtId="3" fontId="0" fillId="4" borderId="16" xfId="0" applyNumberFormat="1" applyFont="1" applyFill="1" applyBorder="1" applyAlignment="1">
      <alignment horizontal="right" vertical="center"/>
    </xf>
    <xf numFmtId="3" fontId="0" fillId="4" borderId="17" xfId="0" applyNumberFormat="1" applyFont="1" applyFill="1" applyBorder="1" applyAlignment="1">
      <alignment horizontal="right" vertical="center"/>
    </xf>
    <xf numFmtId="0" fontId="0" fillId="5" borderId="16" xfId="0" applyFont="1" applyFill="1" applyBorder="1" applyAlignment="1">
      <alignment horizontal="left" vertical="center"/>
    </xf>
    <xf numFmtId="0" fontId="0" fillId="5" borderId="16" xfId="0" applyFont="1" applyFill="1" applyBorder="1" applyAlignment="1">
      <alignment horizontal="left" vertical="center" wrapText="1"/>
    </xf>
    <xf numFmtId="0" fontId="0" fillId="5" borderId="17" xfId="0" applyFont="1" applyFill="1" applyBorder="1" applyAlignment="1">
      <alignment horizontal="left" vertical="center"/>
    </xf>
    <xf numFmtId="0" fontId="5" fillId="5" borderId="16" xfId="0" applyFont="1" applyFill="1" applyBorder="1" applyAlignment="1"/>
    <xf numFmtId="0" fontId="5" fillId="5" borderId="16" xfId="0" applyFont="1" applyFill="1" applyBorder="1" applyAlignment="1">
      <alignment horizontal="right" vertical="center" wrapText="1"/>
    </xf>
    <xf numFmtId="0" fontId="5" fillId="5" borderId="17" xfId="0" applyFont="1" applyFill="1" applyBorder="1" applyAlignment="1"/>
    <xf numFmtId="0" fontId="7" fillId="5" borderId="16" xfId="0" applyFont="1" applyFill="1" applyBorder="1" applyAlignment="1">
      <alignment horizontal="left" vertical="center"/>
    </xf>
    <xf numFmtId="3" fontId="0" fillId="5" borderId="16" xfId="0" applyNumberFormat="1" applyFont="1" applyFill="1" applyBorder="1" applyAlignment="1">
      <alignment horizontal="right" vertical="center"/>
    </xf>
    <xf numFmtId="0" fontId="7" fillId="5" borderId="16" xfId="0" applyFont="1" applyFill="1" applyBorder="1"/>
    <xf numFmtId="3" fontId="0" fillId="5" borderId="17" xfId="0" applyNumberFormat="1" applyFont="1" applyFill="1" applyBorder="1" applyAlignment="1">
      <alignment horizontal="right" vertical="center"/>
    </xf>
    <xf numFmtId="3" fontId="0" fillId="4" borderId="16" xfId="0" applyNumberFormat="1" applyFont="1" applyFill="1" applyBorder="1" applyAlignment="1">
      <alignment horizontal="right" vertical="center" wrapText="1"/>
    </xf>
    <xf numFmtId="0" fontId="13" fillId="5" borderId="16" xfId="0" applyFont="1" applyFill="1" applyBorder="1" applyAlignment="1"/>
    <xf numFmtId="0" fontId="0" fillId="3" borderId="0" xfId="0" applyFont="1" applyFill="1" applyAlignment="1">
      <alignment horizontal="center" vertical="center"/>
    </xf>
    <xf numFmtId="0" fontId="0" fillId="5" borderId="16" xfId="0" applyFont="1" applyFill="1" applyBorder="1" applyAlignment="1">
      <alignment horizontal="right" vertical="center"/>
    </xf>
    <xf numFmtId="0" fontId="0" fillId="3" borderId="0" xfId="0" applyFont="1" applyFill="1" applyAlignment="1">
      <alignment horizontal="right" vertical="center"/>
    </xf>
    <xf numFmtId="0" fontId="8" fillId="2" borderId="2" xfId="0" applyFont="1" applyFill="1" applyBorder="1" applyAlignment="1">
      <alignment horizontal="center" vertical="center"/>
    </xf>
    <xf numFmtId="166" fontId="4" fillId="2" borderId="14" xfId="0" applyNumberFormat="1" applyFont="1" applyFill="1" applyBorder="1" applyAlignment="1">
      <alignment horizontal="center" vertical="center"/>
    </xf>
    <xf numFmtId="166" fontId="0" fillId="5" borderId="15" xfId="0" applyNumberFormat="1" applyFont="1" applyFill="1" applyBorder="1" applyAlignment="1">
      <alignment horizontal="center" vertical="center"/>
    </xf>
    <xf numFmtId="166" fontId="0" fillId="5" borderId="12" xfId="0" applyNumberFormat="1" applyFont="1" applyFill="1" applyBorder="1" applyAlignment="1">
      <alignment horizontal="center" vertical="center"/>
    </xf>
    <xf numFmtId="0" fontId="3" fillId="3" borderId="3" xfId="0" applyFont="1" applyFill="1" applyBorder="1"/>
    <xf numFmtId="0" fontId="3" fillId="3" borderId="16" xfId="0" applyFont="1" applyFill="1" applyBorder="1"/>
    <xf numFmtId="0" fontId="3" fillId="3" borderId="4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0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</cellXfs>
  <cellStyles count="9">
    <cellStyle name="Comma 23" xfId="5"/>
    <cellStyle name="Comma 3" xfId="4"/>
    <cellStyle name="Normal" xfId="0" builtinId="0"/>
    <cellStyle name="Normal 12" xfId="3"/>
    <cellStyle name="Normal 2" xfId="1"/>
    <cellStyle name="Normal 3" xfId="7"/>
    <cellStyle name="Normal 3 2" xfId="2"/>
    <cellStyle name="Normal 4" xfId="8"/>
    <cellStyle name="Normal 8" xfId="6"/>
  </cellStyles>
  <dxfs count="0"/>
  <tableStyles count="0" defaultTableStyle="TableStyleMedium2" defaultPivotStyle="PivotStyleLight16"/>
  <colors>
    <mruColors>
      <color rgb="FFFF9900"/>
      <color rgb="FFFFBC79"/>
      <color rgb="FF33CCCC"/>
      <color rgb="FFB2EDEC"/>
      <color rgb="FFEAFAFA"/>
      <color rgb="FF249390"/>
      <color rgb="FF196563"/>
      <color rgb="FFFFDAA3"/>
      <color rgb="FFBFF0EF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8811244979919693E-2"/>
          <c:y val="0.23497104184291018"/>
          <c:w val="0.8790337412642697"/>
          <c:h val="0.62027779585403064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33CCCC"/>
            </a:solidFill>
          </c:spPr>
          <c:invertIfNegative val="1"/>
          <c:cat>
            <c:strRef>
              <c:f>'18.14'!$B$5:$F$5</c:f>
              <c:strCache>
                <c:ptCount val="5"/>
                <c:pt idx="0">
                  <c:v>0-9</c:v>
                </c:pt>
                <c:pt idx="1">
                  <c:v>10-49</c:v>
                </c:pt>
                <c:pt idx="2">
                  <c:v>50-99</c:v>
                </c:pt>
                <c:pt idx="3">
                  <c:v>100-299</c:v>
                </c:pt>
                <c:pt idx="4">
                  <c:v>&gt;300</c:v>
                </c:pt>
              </c:strCache>
            </c:strRef>
          </c:cat>
          <c:val>
            <c:numRef>
              <c:f>'18.14'!$B$6:$F$6</c:f>
              <c:numCache>
                <c:formatCode>#,##0</c:formatCode>
                <c:ptCount val="5"/>
                <c:pt idx="0">
                  <c:v>3823</c:v>
                </c:pt>
                <c:pt idx="1">
                  <c:v>12352</c:v>
                </c:pt>
                <c:pt idx="2">
                  <c:v>11365</c:v>
                </c:pt>
                <c:pt idx="3">
                  <c:v>22747</c:v>
                </c:pt>
                <c:pt idx="4">
                  <c:v>45211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57C-4967-932F-95DBDEC05590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580168"/>
        <c:axId val="137576640"/>
      </c:barChart>
      <c:catAx>
        <c:axId val="137580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/>
                </a:pPr>
                <a:r>
                  <a:rPr lang="en-US"/>
                  <a:t>employment size</a:t>
                </a:r>
              </a:p>
            </c:rich>
          </c:tx>
          <c:layout/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1" i="0"/>
            </a:pPr>
            <a:endParaRPr lang="en-US"/>
          </a:p>
        </c:txPr>
        <c:crossAx val="137576640"/>
        <c:crosses val="autoZero"/>
        <c:auto val="1"/>
        <c:lblAlgn val="ctr"/>
        <c:lblOffset val="100"/>
        <c:noMultiLvlLbl val="1"/>
      </c:catAx>
      <c:valAx>
        <c:axId val="137576640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/>
                </a:pPr>
                <a:r>
                  <a:rPr lang="en-US"/>
                  <a:t>In Numbers</a:t>
                </a:r>
              </a:p>
            </c:rich>
          </c:tx>
          <c:layout/>
          <c:overlay val="0"/>
        </c:title>
        <c:numFmt formatCode="#,##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1" i="0"/>
            </a:pPr>
            <a:endParaRPr lang="en-US"/>
          </a:p>
        </c:txPr>
        <c:crossAx val="137580168"/>
        <c:crosses val="autoZero"/>
        <c:crossBetween val="between"/>
      </c:valAx>
      <c:spPr>
        <a:solidFill>
          <a:srgbClr val="FF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976057</xdr:colOff>
      <xdr:row>34</xdr:row>
      <xdr:rowOff>167660</xdr:rowOff>
    </xdr:from>
    <xdr:ext cx="7905750" cy="3457575"/>
    <xdr:graphicFrame macro=""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0.0253</cdr:x>
      <cdr:y>0.06703</cdr:y>
    </cdr:from>
    <cdr:to>
      <cdr:x>0.9494</cdr:x>
      <cdr:y>0.23322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0025" y="231775"/>
          <a:ext cx="7305675" cy="5746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18.17: Employees registered in the retirement pension scheme, </a:t>
          </a:r>
        </a:p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by employment size, 2020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54"/>
  <sheetViews>
    <sheetView tabSelected="1" zoomScaleNormal="100" zoomScaleSheetLayoutView="93" workbookViewId="0">
      <selection activeCell="I45" sqref="I45"/>
    </sheetView>
  </sheetViews>
  <sheetFormatPr defaultColWidth="12.7109375" defaultRowHeight="15" customHeight="1" x14ac:dyDescent="0.25"/>
  <cols>
    <col min="1" max="1" width="51.5703125" style="2" customWidth="1"/>
    <col min="2" max="7" width="11.42578125" style="30" customWidth="1"/>
    <col min="8" max="8" width="12.140625" style="28" customWidth="1"/>
    <col min="9" max="9" width="41.42578125" style="2" customWidth="1"/>
    <col min="10" max="10" width="5.85546875" style="2" customWidth="1"/>
    <col min="11" max="16384" width="12.7109375" style="2"/>
  </cols>
  <sheetData>
    <row r="1" spans="1:29" ht="21" customHeight="1" x14ac:dyDescent="0.55000000000000004">
      <c r="A1" s="39" t="s">
        <v>67</v>
      </c>
      <c r="B1" s="35"/>
      <c r="C1" s="35"/>
      <c r="D1" s="35"/>
      <c r="E1" s="35"/>
      <c r="F1" s="35"/>
      <c r="G1" s="35"/>
      <c r="H1" s="35"/>
      <c r="I1" s="3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38" t="s">
        <v>66</v>
      </c>
      <c r="B2" s="35"/>
      <c r="C2" s="35"/>
      <c r="D2" s="35"/>
      <c r="E2" s="35"/>
      <c r="F2" s="35"/>
      <c r="G2" s="35"/>
      <c r="H2" s="35"/>
      <c r="I2" s="3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/>
      <c r="B3" s="7"/>
      <c r="C3" s="7"/>
      <c r="D3" s="7"/>
      <c r="E3" s="7"/>
      <c r="F3" s="7"/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5">
      <c r="A4" s="41" t="s">
        <v>5</v>
      </c>
      <c r="B4" s="42" t="s">
        <v>62</v>
      </c>
      <c r="C4" s="46"/>
      <c r="D4" s="46"/>
      <c r="E4" s="46"/>
      <c r="F4" s="46"/>
      <c r="G4" s="47"/>
      <c r="H4" s="44" t="s">
        <v>1</v>
      </c>
      <c r="I4" s="43" t="s">
        <v>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/>
      <c r="AB4" s="1"/>
      <c r="AC4" s="1"/>
    </row>
    <row r="5" spans="1:29" ht="15" customHeight="1" x14ac:dyDescent="0.25">
      <c r="A5" s="36"/>
      <c r="B5" s="9" t="s">
        <v>7</v>
      </c>
      <c r="C5" s="9" t="s">
        <v>8</v>
      </c>
      <c r="D5" s="9" t="s">
        <v>9</v>
      </c>
      <c r="E5" s="9" t="s">
        <v>10</v>
      </c>
      <c r="F5" s="10" t="s">
        <v>11</v>
      </c>
      <c r="G5" s="10" t="s">
        <v>2</v>
      </c>
      <c r="H5" s="45"/>
      <c r="I5" s="4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1"/>
      <c r="AB5" s="1"/>
      <c r="AC5" s="1"/>
    </row>
    <row r="6" spans="1:29" ht="21" customHeight="1" x14ac:dyDescent="0.55000000000000004">
      <c r="A6" s="11" t="s">
        <v>2</v>
      </c>
      <c r="B6" s="12">
        <f>SUM(B7:B32)</f>
        <v>3823</v>
      </c>
      <c r="C6" s="12">
        <f t="shared" ref="C6:F6" si="0">SUM(C7:C32)</f>
        <v>12352</v>
      </c>
      <c r="D6" s="12">
        <f t="shared" si="0"/>
        <v>11365</v>
      </c>
      <c r="E6" s="12">
        <f t="shared" si="0"/>
        <v>22747</v>
      </c>
      <c r="F6" s="12">
        <f t="shared" si="0"/>
        <v>45211</v>
      </c>
      <c r="G6" s="12">
        <f>SUM(G7:G32)</f>
        <v>95498</v>
      </c>
      <c r="H6" s="32">
        <f>G6/G6*100</f>
        <v>100</v>
      </c>
      <c r="I6" s="5" t="s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1"/>
      <c r="AB6" s="1"/>
      <c r="AC6" s="1"/>
    </row>
    <row r="7" spans="1:29" ht="21" customHeight="1" x14ac:dyDescent="0.55000000000000004">
      <c r="A7" s="16" t="s">
        <v>12</v>
      </c>
      <c r="B7" s="14">
        <v>21</v>
      </c>
      <c r="C7" s="14">
        <v>32</v>
      </c>
      <c r="D7" s="14">
        <v>74</v>
      </c>
      <c r="E7" s="14">
        <v>0</v>
      </c>
      <c r="F7" s="14">
        <v>0</v>
      </c>
      <c r="G7" s="23">
        <f t="shared" ref="G7:G20" si="1">SUM(B7:F7)</f>
        <v>127</v>
      </c>
      <c r="H7" s="33">
        <f t="shared" ref="H7:H32" si="2">G7/$G$6*100</f>
        <v>0.13298707826341913</v>
      </c>
      <c r="I7" s="19" t="s">
        <v>13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21" customHeight="1" x14ac:dyDescent="0.55000000000000004">
      <c r="A8" s="16" t="s">
        <v>14</v>
      </c>
      <c r="B8" s="14">
        <v>18</v>
      </c>
      <c r="C8" s="14">
        <v>41</v>
      </c>
      <c r="D8" s="14">
        <v>106</v>
      </c>
      <c r="E8" s="14">
        <v>217</v>
      </c>
      <c r="F8" s="14">
        <v>4253</v>
      </c>
      <c r="G8" s="23">
        <f t="shared" si="1"/>
        <v>4635</v>
      </c>
      <c r="H8" s="33">
        <f t="shared" si="2"/>
        <v>4.8535047854405331</v>
      </c>
      <c r="I8" s="19" t="s">
        <v>15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1" customHeight="1" x14ac:dyDescent="0.55000000000000004">
      <c r="A9" s="16" t="s">
        <v>16</v>
      </c>
      <c r="B9" s="14">
        <v>10</v>
      </c>
      <c r="C9" s="14">
        <v>0</v>
      </c>
      <c r="D9" s="14">
        <v>0</v>
      </c>
      <c r="E9" s="14">
        <v>0</v>
      </c>
      <c r="F9" s="14">
        <v>0</v>
      </c>
      <c r="G9" s="23">
        <f t="shared" si="1"/>
        <v>10</v>
      </c>
      <c r="H9" s="33">
        <f t="shared" si="2"/>
        <v>1.0471423485308592E-2</v>
      </c>
      <c r="I9" s="19" t="s">
        <v>17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21" customHeight="1" x14ac:dyDescent="0.55000000000000004">
      <c r="A10" s="16" t="s">
        <v>18</v>
      </c>
      <c r="B10" s="14">
        <v>37</v>
      </c>
      <c r="C10" s="14">
        <v>24</v>
      </c>
      <c r="D10" s="14">
        <v>0</v>
      </c>
      <c r="E10" s="14">
        <v>0</v>
      </c>
      <c r="F10" s="14">
        <v>0</v>
      </c>
      <c r="G10" s="23">
        <f t="shared" si="1"/>
        <v>61</v>
      </c>
      <c r="H10" s="33">
        <f t="shared" si="2"/>
        <v>6.3875683260382413E-2</v>
      </c>
      <c r="I10" s="19" t="s">
        <v>19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21" customHeight="1" x14ac:dyDescent="0.55000000000000004">
      <c r="A11" s="16" t="s">
        <v>20</v>
      </c>
      <c r="B11" s="14">
        <v>318</v>
      </c>
      <c r="C11" s="14">
        <v>681</v>
      </c>
      <c r="D11" s="14">
        <v>426</v>
      </c>
      <c r="E11" s="14">
        <v>372</v>
      </c>
      <c r="F11" s="14">
        <v>743</v>
      </c>
      <c r="G11" s="23">
        <f t="shared" si="1"/>
        <v>2540</v>
      </c>
      <c r="H11" s="33">
        <f t="shared" si="2"/>
        <v>2.6597415652683827</v>
      </c>
      <c r="I11" s="19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21" customHeight="1" x14ac:dyDescent="0.55000000000000004">
      <c r="A12" s="16" t="s">
        <v>22</v>
      </c>
      <c r="B12" s="14">
        <v>71</v>
      </c>
      <c r="C12" s="14">
        <v>77</v>
      </c>
      <c r="D12" s="14">
        <v>0</v>
      </c>
      <c r="E12" s="14">
        <v>106</v>
      </c>
      <c r="F12" s="14">
        <v>0</v>
      </c>
      <c r="G12" s="23">
        <f t="shared" si="1"/>
        <v>254</v>
      </c>
      <c r="H12" s="33">
        <f t="shared" si="2"/>
        <v>0.26597415652683826</v>
      </c>
      <c r="I12" s="19" t="s">
        <v>23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39.75" customHeight="1" x14ac:dyDescent="0.25">
      <c r="A13" s="17" t="s">
        <v>24</v>
      </c>
      <c r="B13" s="26">
        <v>104</v>
      </c>
      <c r="C13" s="26">
        <v>651</v>
      </c>
      <c r="D13" s="26">
        <v>377</v>
      </c>
      <c r="E13" s="26">
        <v>641</v>
      </c>
      <c r="F13" s="26">
        <v>3162</v>
      </c>
      <c r="G13" s="23">
        <f t="shared" si="1"/>
        <v>4935</v>
      </c>
      <c r="H13" s="33">
        <f t="shared" si="2"/>
        <v>5.1676474899997906</v>
      </c>
      <c r="I13" s="20" t="s">
        <v>25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23.25" customHeight="1" x14ac:dyDescent="0.55000000000000004">
      <c r="A14" s="16" t="s">
        <v>26</v>
      </c>
      <c r="B14" s="14">
        <v>20</v>
      </c>
      <c r="C14" s="14">
        <v>30</v>
      </c>
      <c r="D14" s="14">
        <v>79</v>
      </c>
      <c r="E14" s="14">
        <v>198</v>
      </c>
      <c r="F14" s="14">
        <v>916</v>
      </c>
      <c r="G14" s="23">
        <f t="shared" si="1"/>
        <v>1243</v>
      </c>
      <c r="H14" s="33">
        <f t="shared" si="2"/>
        <v>1.3015979392238581</v>
      </c>
      <c r="I14" s="19" t="s">
        <v>27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21" customHeight="1" x14ac:dyDescent="0.55000000000000004">
      <c r="A15" s="16" t="s">
        <v>28</v>
      </c>
      <c r="B15" s="14">
        <v>7</v>
      </c>
      <c r="C15" s="14">
        <v>86</v>
      </c>
      <c r="D15" s="14">
        <v>78</v>
      </c>
      <c r="E15" s="14">
        <v>0</v>
      </c>
      <c r="F15" s="14">
        <v>0</v>
      </c>
      <c r="G15" s="23">
        <f t="shared" si="1"/>
        <v>171</v>
      </c>
      <c r="H15" s="33">
        <f t="shared" si="2"/>
        <v>0.17906134159877693</v>
      </c>
      <c r="I15" s="19" t="s">
        <v>29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21" customHeight="1" x14ac:dyDescent="0.55000000000000004">
      <c r="A16" s="16" t="s">
        <v>30</v>
      </c>
      <c r="B16" s="14">
        <v>122</v>
      </c>
      <c r="C16" s="14">
        <v>5027</v>
      </c>
      <c r="D16" s="14">
        <v>4272</v>
      </c>
      <c r="E16" s="14">
        <v>10005</v>
      </c>
      <c r="F16" s="14">
        <v>22014</v>
      </c>
      <c r="G16" s="23">
        <f t="shared" si="1"/>
        <v>41440</v>
      </c>
      <c r="H16" s="33">
        <f t="shared" si="2"/>
        <v>43.39357892311881</v>
      </c>
      <c r="I16" s="19" t="s">
        <v>31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21" customHeight="1" x14ac:dyDescent="0.55000000000000004">
      <c r="A17" s="16" t="s">
        <v>32</v>
      </c>
      <c r="B17" s="14">
        <v>68</v>
      </c>
      <c r="C17" s="14">
        <v>317</v>
      </c>
      <c r="D17" s="14">
        <v>0</v>
      </c>
      <c r="E17" s="14">
        <v>526</v>
      </c>
      <c r="F17" s="14">
        <v>325</v>
      </c>
      <c r="G17" s="23">
        <f t="shared" si="1"/>
        <v>1236</v>
      </c>
      <c r="H17" s="33">
        <f t="shared" si="2"/>
        <v>1.2942679427841421</v>
      </c>
      <c r="I17" s="19" t="s">
        <v>33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21" customHeight="1" x14ac:dyDescent="0.55000000000000004">
      <c r="A18" s="16" t="s">
        <v>34</v>
      </c>
      <c r="B18" s="14">
        <v>530</v>
      </c>
      <c r="C18" s="14">
        <v>1267</v>
      </c>
      <c r="D18" s="14">
        <v>3545</v>
      </c>
      <c r="E18" s="14">
        <v>8417</v>
      </c>
      <c r="F18" s="14">
        <v>2383</v>
      </c>
      <c r="G18" s="23">
        <f t="shared" si="1"/>
        <v>16142</v>
      </c>
      <c r="H18" s="33">
        <f t="shared" si="2"/>
        <v>16.902971789985131</v>
      </c>
      <c r="I18" s="19" t="s">
        <v>35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21" customHeight="1" x14ac:dyDescent="0.55000000000000004">
      <c r="A19" s="16" t="s">
        <v>36</v>
      </c>
      <c r="B19" s="14">
        <v>14</v>
      </c>
      <c r="C19" s="14">
        <v>57</v>
      </c>
      <c r="D19" s="14">
        <v>0</v>
      </c>
      <c r="E19" s="14">
        <v>0</v>
      </c>
      <c r="F19" s="14">
        <v>0</v>
      </c>
      <c r="G19" s="23">
        <f t="shared" si="1"/>
        <v>71</v>
      </c>
      <c r="H19" s="33">
        <f t="shared" si="2"/>
        <v>7.4347106745691005E-2</v>
      </c>
      <c r="I19" s="19" t="s">
        <v>37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21" customHeight="1" x14ac:dyDescent="0.55000000000000004">
      <c r="A20" s="16" t="s">
        <v>38</v>
      </c>
      <c r="B20" s="14">
        <v>12</v>
      </c>
      <c r="C20" s="14">
        <v>15</v>
      </c>
      <c r="D20" s="14">
        <v>0</v>
      </c>
      <c r="E20" s="14">
        <v>0</v>
      </c>
      <c r="F20" s="14">
        <v>570</v>
      </c>
      <c r="G20" s="23">
        <f t="shared" si="1"/>
        <v>597</v>
      </c>
      <c r="H20" s="33">
        <f t="shared" si="2"/>
        <v>0.62514398207292299</v>
      </c>
      <c r="I20" s="19" t="s">
        <v>39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21" customHeight="1" x14ac:dyDescent="0.55000000000000004">
      <c r="A21" s="16" t="s">
        <v>40</v>
      </c>
      <c r="B21" s="14">
        <v>6</v>
      </c>
      <c r="C21" s="14">
        <v>0</v>
      </c>
      <c r="D21" s="14">
        <v>0</v>
      </c>
      <c r="E21" s="14">
        <v>0</v>
      </c>
      <c r="F21" s="14">
        <v>0</v>
      </c>
      <c r="G21" s="23">
        <f>B21+C21+D21+E21+F21</f>
        <v>6</v>
      </c>
      <c r="H21" s="33">
        <f t="shared" si="2"/>
        <v>6.282854091185155E-3</v>
      </c>
      <c r="I21" s="19" t="s">
        <v>41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21" customHeight="1" x14ac:dyDescent="0.25">
      <c r="A22" s="16" t="s">
        <v>64</v>
      </c>
      <c r="B22" s="14">
        <v>2</v>
      </c>
      <c r="C22" s="14">
        <v>0</v>
      </c>
      <c r="D22" s="14">
        <v>0</v>
      </c>
      <c r="E22" s="14">
        <v>0</v>
      </c>
      <c r="F22" s="14">
        <v>0</v>
      </c>
      <c r="G22" s="23">
        <f t="shared" ref="G22:G32" si="3">SUM(B22:F22)</f>
        <v>2</v>
      </c>
      <c r="H22" s="33">
        <f t="shared" si="2"/>
        <v>2.0942846970617188E-3</v>
      </c>
      <c r="I22" s="27" t="s">
        <v>65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21" customHeight="1" x14ac:dyDescent="0.55000000000000004">
      <c r="A23" s="16" t="s">
        <v>42</v>
      </c>
      <c r="B23" s="14">
        <v>28</v>
      </c>
      <c r="C23" s="14">
        <v>28</v>
      </c>
      <c r="D23" s="14">
        <v>0</v>
      </c>
      <c r="E23" s="14">
        <v>0</v>
      </c>
      <c r="F23" s="14">
        <v>0</v>
      </c>
      <c r="G23" s="23">
        <f t="shared" si="3"/>
        <v>56</v>
      </c>
      <c r="H23" s="33">
        <f t="shared" si="2"/>
        <v>5.8639971517728116E-2</v>
      </c>
      <c r="I23" s="19" t="s">
        <v>43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21" customHeight="1" x14ac:dyDescent="0.55000000000000004">
      <c r="A24" s="16" t="s">
        <v>44</v>
      </c>
      <c r="B24" s="14">
        <v>58</v>
      </c>
      <c r="C24" s="14">
        <v>102</v>
      </c>
      <c r="D24" s="14">
        <v>0</v>
      </c>
      <c r="E24" s="14">
        <v>0</v>
      </c>
      <c r="F24" s="14">
        <v>0</v>
      </c>
      <c r="G24" s="23">
        <f t="shared" si="3"/>
        <v>160</v>
      </c>
      <c r="H24" s="33">
        <f t="shared" si="2"/>
        <v>0.16754277576493748</v>
      </c>
      <c r="I24" s="19" t="s">
        <v>45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21" customHeight="1" x14ac:dyDescent="0.55000000000000004">
      <c r="A25" s="16" t="s">
        <v>46</v>
      </c>
      <c r="B25" s="14">
        <v>0</v>
      </c>
      <c r="C25" s="14">
        <v>18</v>
      </c>
      <c r="D25" s="14">
        <v>62</v>
      </c>
      <c r="E25" s="14">
        <v>0</v>
      </c>
      <c r="F25" s="14">
        <v>0</v>
      </c>
      <c r="G25" s="23">
        <f t="shared" si="3"/>
        <v>80</v>
      </c>
      <c r="H25" s="33">
        <f t="shared" si="2"/>
        <v>8.377138788246874E-2</v>
      </c>
      <c r="I25" s="19" t="s">
        <v>47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21" customHeight="1" x14ac:dyDescent="0.55000000000000004">
      <c r="A26" s="16" t="s">
        <v>48</v>
      </c>
      <c r="B26" s="14">
        <v>77</v>
      </c>
      <c r="C26" s="14">
        <v>427</v>
      </c>
      <c r="D26" s="14">
        <v>663</v>
      </c>
      <c r="E26" s="14">
        <v>731</v>
      </c>
      <c r="F26" s="14">
        <v>0</v>
      </c>
      <c r="G26" s="23">
        <f t="shared" si="3"/>
        <v>1898</v>
      </c>
      <c r="H26" s="33">
        <f t="shared" si="2"/>
        <v>1.9874761775115708</v>
      </c>
      <c r="I26" s="19" t="s">
        <v>49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21" customHeight="1" x14ac:dyDescent="0.55000000000000004">
      <c r="A27" s="16" t="s">
        <v>50</v>
      </c>
      <c r="B27" s="14">
        <v>100</v>
      </c>
      <c r="C27" s="14">
        <v>227</v>
      </c>
      <c r="D27" s="14">
        <v>290</v>
      </c>
      <c r="E27" s="14">
        <v>218</v>
      </c>
      <c r="F27" s="14">
        <v>2838</v>
      </c>
      <c r="G27" s="23">
        <f t="shared" si="3"/>
        <v>3673</v>
      </c>
      <c r="H27" s="33">
        <f t="shared" si="2"/>
        <v>3.8461538461538463</v>
      </c>
      <c r="I27" s="19" t="s">
        <v>51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21" customHeight="1" x14ac:dyDescent="0.55000000000000004">
      <c r="A28" s="16" t="s">
        <v>52</v>
      </c>
      <c r="B28" s="14">
        <v>680</v>
      </c>
      <c r="C28" s="14">
        <v>1056</v>
      </c>
      <c r="D28" s="14">
        <v>474</v>
      </c>
      <c r="E28" s="14">
        <v>575</v>
      </c>
      <c r="F28" s="14">
        <v>0</v>
      </c>
      <c r="G28" s="23">
        <f t="shared" si="3"/>
        <v>2785</v>
      </c>
      <c r="H28" s="33">
        <f t="shared" si="2"/>
        <v>2.9162914406584433</v>
      </c>
      <c r="I28" s="19" t="s">
        <v>53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21" customHeight="1" x14ac:dyDescent="0.55000000000000004">
      <c r="A29" s="16" t="s">
        <v>54</v>
      </c>
      <c r="B29" s="14">
        <v>28</v>
      </c>
      <c r="C29" s="14">
        <v>166</v>
      </c>
      <c r="D29" s="14">
        <v>121</v>
      </c>
      <c r="E29" s="14">
        <v>130</v>
      </c>
      <c r="F29" s="14">
        <v>1083</v>
      </c>
      <c r="G29" s="23">
        <f t="shared" si="3"/>
        <v>1528</v>
      </c>
      <c r="H29" s="33">
        <f t="shared" si="2"/>
        <v>1.6000335085551529</v>
      </c>
      <c r="I29" s="19" t="s">
        <v>55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21" customHeight="1" x14ac:dyDescent="0.55000000000000004">
      <c r="A30" s="16" t="s">
        <v>56</v>
      </c>
      <c r="B30" s="14">
        <v>17</v>
      </c>
      <c r="C30" s="14">
        <v>15</v>
      </c>
      <c r="D30" s="14">
        <v>0</v>
      </c>
      <c r="E30" s="14">
        <v>0</v>
      </c>
      <c r="F30" s="14">
        <v>0</v>
      </c>
      <c r="G30" s="23">
        <f t="shared" si="3"/>
        <v>32</v>
      </c>
      <c r="H30" s="33">
        <f t="shared" si="2"/>
        <v>3.35085551529875E-2</v>
      </c>
      <c r="I30" s="19" t="s">
        <v>57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21" customHeight="1" x14ac:dyDescent="0.55000000000000004">
      <c r="A31" s="16" t="s">
        <v>58</v>
      </c>
      <c r="B31" s="14">
        <v>389</v>
      </c>
      <c r="C31" s="14">
        <v>531</v>
      </c>
      <c r="D31" s="14">
        <v>373</v>
      </c>
      <c r="E31" s="14">
        <v>163</v>
      </c>
      <c r="F31" s="14">
        <v>2068</v>
      </c>
      <c r="G31" s="23">
        <f t="shared" si="3"/>
        <v>3524</v>
      </c>
      <c r="H31" s="33">
        <f t="shared" si="2"/>
        <v>3.6901296362227485</v>
      </c>
      <c r="I31" s="19" t="s">
        <v>59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21" customHeight="1" x14ac:dyDescent="0.55000000000000004">
      <c r="A32" s="18" t="s">
        <v>60</v>
      </c>
      <c r="B32" s="15">
        <v>1086</v>
      </c>
      <c r="C32" s="15">
        <v>1477</v>
      </c>
      <c r="D32" s="15">
        <v>425</v>
      </c>
      <c r="E32" s="15">
        <v>448</v>
      </c>
      <c r="F32" s="15">
        <v>4856</v>
      </c>
      <c r="G32" s="25">
        <f t="shared" si="3"/>
        <v>8292</v>
      </c>
      <c r="H32" s="34">
        <f t="shared" si="2"/>
        <v>8.6829043540178859</v>
      </c>
      <c r="I32" s="21" t="s">
        <v>61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8.75" customHeight="1" x14ac:dyDescent="0.25">
      <c r="A33" s="22" t="s">
        <v>63</v>
      </c>
      <c r="B33" s="23"/>
      <c r="C33" s="23"/>
      <c r="D33" s="23"/>
      <c r="E33" s="23"/>
      <c r="F33" s="23"/>
      <c r="G33" s="7"/>
      <c r="H33" s="3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45">
      <c r="A34" s="24" t="s">
        <v>3</v>
      </c>
      <c r="B34" s="29"/>
      <c r="C34" s="29"/>
      <c r="D34" s="29"/>
      <c r="E34" s="29"/>
      <c r="F34" s="29"/>
      <c r="G34" s="7"/>
      <c r="H34" s="8"/>
      <c r="I34" s="6" t="s">
        <v>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25">
      <c r="A35" s="1"/>
      <c r="B35" s="7"/>
      <c r="C35" s="7"/>
      <c r="D35" s="7"/>
      <c r="E35" s="7"/>
      <c r="F35" s="7"/>
      <c r="G35" s="7"/>
      <c r="H35" s="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25">
      <c r="A36" s="1"/>
      <c r="B36" s="7"/>
      <c r="C36" s="7"/>
      <c r="D36" s="7"/>
      <c r="E36" s="7"/>
      <c r="F36" s="7"/>
      <c r="G36" s="7"/>
      <c r="H36" s="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25">
      <c r="A37" s="1"/>
      <c r="B37" s="7"/>
      <c r="C37" s="7"/>
      <c r="D37" s="7"/>
      <c r="E37" s="7"/>
      <c r="F37" s="7"/>
      <c r="G37" s="7"/>
      <c r="H37" s="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25">
      <c r="A38" s="1"/>
      <c r="B38" s="7"/>
      <c r="C38" s="7"/>
      <c r="D38" s="7"/>
      <c r="E38" s="7"/>
      <c r="F38" s="7"/>
      <c r="G38" s="7"/>
      <c r="H38" s="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25">
      <c r="A39" s="1"/>
      <c r="B39" s="7"/>
      <c r="C39" s="7"/>
      <c r="D39" s="7"/>
      <c r="E39" s="7"/>
      <c r="F39" s="7"/>
      <c r="G39" s="7"/>
      <c r="H39" s="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25">
      <c r="A40" s="1"/>
      <c r="B40" s="7"/>
      <c r="C40" s="7"/>
      <c r="D40" s="7"/>
      <c r="E40" s="7"/>
      <c r="F40" s="7"/>
      <c r="G40" s="7"/>
      <c r="H40" s="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25">
      <c r="A41" s="1"/>
      <c r="B41" s="7"/>
      <c r="C41" s="7"/>
      <c r="D41" s="7"/>
      <c r="E41" s="7"/>
      <c r="F41" s="7"/>
      <c r="G41" s="7"/>
      <c r="H41" s="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x14ac:dyDescent="0.25">
      <c r="A42" s="1"/>
      <c r="B42" s="7"/>
      <c r="C42" s="7"/>
      <c r="D42" s="7"/>
      <c r="E42" s="7"/>
      <c r="F42" s="7"/>
      <c r="G42" s="7"/>
      <c r="H42" s="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x14ac:dyDescent="0.25">
      <c r="A43" s="1"/>
      <c r="B43" s="7"/>
      <c r="C43" s="7"/>
      <c r="D43" s="7"/>
      <c r="E43" s="7"/>
      <c r="F43" s="7"/>
      <c r="G43" s="7"/>
      <c r="H43" s="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x14ac:dyDescent="0.25">
      <c r="A44" s="1"/>
      <c r="B44" s="7"/>
      <c r="C44" s="7"/>
      <c r="D44" s="7"/>
      <c r="E44" s="7"/>
      <c r="F44" s="7"/>
      <c r="G44" s="7"/>
      <c r="H44" s="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25">
      <c r="A45" s="1"/>
      <c r="B45" s="7"/>
      <c r="C45" s="7"/>
      <c r="D45" s="7"/>
      <c r="E45" s="7"/>
      <c r="F45" s="7"/>
      <c r="G45" s="7"/>
      <c r="H45" s="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25">
      <c r="A46" s="1"/>
      <c r="B46" s="7"/>
      <c r="C46" s="7"/>
      <c r="D46" s="7"/>
      <c r="E46" s="7"/>
      <c r="F46" s="7"/>
      <c r="G46" s="7"/>
      <c r="H46" s="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25">
      <c r="A47" s="1"/>
      <c r="B47" s="7"/>
      <c r="C47" s="7"/>
      <c r="D47" s="7"/>
      <c r="E47" s="7"/>
      <c r="F47" s="7"/>
      <c r="G47" s="7"/>
      <c r="H47" s="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25">
      <c r="A48" s="1"/>
      <c r="B48" s="7"/>
      <c r="C48" s="7"/>
      <c r="D48" s="7"/>
      <c r="E48" s="7"/>
      <c r="F48" s="7"/>
      <c r="G48" s="7"/>
      <c r="H48" s="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25">
      <c r="A49" s="1"/>
      <c r="B49" s="7"/>
      <c r="C49" s="7"/>
      <c r="D49" s="7"/>
      <c r="E49" s="7"/>
      <c r="F49" s="7"/>
      <c r="G49" s="7"/>
      <c r="H49" s="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25">
      <c r="A50" s="1"/>
      <c r="B50" s="7"/>
      <c r="C50" s="7"/>
      <c r="D50" s="7"/>
      <c r="E50" s="7"/>
      <c r="F50" s="7"/>
      <c r="G50" s="7"/>
      <c r="H50" s="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25">
      <c r="A51" s="1"/>
      <c r="B51" s="7"/>
      <c r="C51" s="7"/>
      <c r="D51" s="7"/>
      <c r="E51" s="7"/>
      <c r="F51" s="7"/>
      <c r="G51" s="7"/>
      <c r="H51" s="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25">
      <c r="A52" s="1"/>
      <c r="B52" s="7"/>
      <c r="C52" s="7"/>
      <c r="D52" s="7"/>
      <c r="E52" s="7"/>
      <c r="F52" s="7"/>
      <c r="G52" s="7"/>
      <c r="H52" s="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" customHeight="1" x14ac:dyDescent="0.25">
      <c r="A53" s="1"/>
      <c r="B53" s="7"/>
      <c r="C53" s="7"/>
      <c r="D53" s="7"/>
      <c r="E53" s="7"/>
      <c r="F53" s="7"/>
      <c r="G53" s="7"/>
      <c r="H53" s="8"/>
      <c r="I53" s="1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25">
      <c r="A54" s="1"/>
      <c r="B54" s="7"/>
      <c r="C54" s="7"/>
      <c r="D54" s="7"/>
      <c r="E54" s="7"/>
      <c r="F54" s="7"/>
      <c r="G54" s="7"/>
      <c r="H54" s="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</sheetData>
  <mergeCells count="6">
    <mergeCell ref="A1:I1"/>
    <mergeCell ref="H4:H5"/>
    <mergeCell ref="I4:I5"/>
    <mergeCell ref="B4:G4"/>
    <mergeCell ref="A4:A5"/>
    <mergeCell ref="A2:I2"/>
  </mergeCells>
  <pageMargins left="0.7" right="0.7" top="0.75" bottom="0.75" header="0" footer="0"/>
  <pageSetup paperSize="9" scale="71" orientation="landscape" horizontalDpi="4294967295" verticalDpi="4294967295" r:id="rId1"/>
  <rowBreaks count="1" manualBreakCount="1">
    <brk id="33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18.14</vt:lpstr>
      <vt:lpstr>'18.14'!Print_Area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2021-06-20T05:34:49Z</cp:lastPrinted>
  <dcterms:created xsi:type="dcterms:W3CDTF">2019-02-21T04:10:17Z</dcterms:created>
  <dcterms:modified xsi:type="dcterms:W3CDTF">2021-06-20T05:35:39Z</dcterms:modified>
</cp:coreProperties>
</file>