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April 2021\YEARBOOK 2021_ Work from Home\CHECKING\CHECKED\web\18. Pension and Social Protection\"/>
    </mc:Choice>
  </mc:AlternateContent>
  <bookViews>
    <workbookView xWindow="0" yWindow="0" windowWidth="28800" windowHeight="12435" tabRatio="841"/>
  </bookViews>
  <sheets>
    <sheet name="18.26" sheetId="19" r:id="rId1"/>
    <sheet name="11.27" sheetId="27" r:id="rId2"/>
  </sheets>
  <externalReferences>
    <externalReference r:id="rId3"/>
  </externalReferences>
  <calcPr calcId="162913"/>
</workbook>
</file>

<file path=xl/calcChain.xml><?xml version="1.0" encoding="utf-8"?>
<calcChain xmlns="http://schemas.openxmlformats.org/spreadsheetml/2006/main">
  <c r="E5" i="27" l="1"/>
  <c r="D5" i="27"/>
  <c r="C5" i="27"/>
  <c r="B5" i="27"/>
</calcChain>
</file>

<file path=xl/sharedStrings.xml><?xml version="1.0" encoding="utf-8"?>
<sst xmlns="http://schemas.openxmlformats.org/spreadsheetml/2006/main" count="48" uniqueCount="41">
  <si>
    <t>Republic</t>
  </si>
  <si>
    <t xml:space="preserve">Male' </t>
  </si>
  <si>
    <t>Atolls</t>
  </si>
  <si>
    <t>North Thiladhunmathi (HA)</t>
  </si>
  <si>
    <t>South Thiladhunmathi (HDh)</t>
  </si>
  <si>
    <t>North Miladhunmadulu (Sh)</t>
  </si>
  <si>
    <t>South Miladhunmadulu (N)</t>
  </si>
  <si>
    <t>North Maalhosmadulu (R)</t>
  </si>
  <si>
    <t>South Maalhosmadulu (B)</t>
  </si>
  <si>
    <t>Faadhippolhu (Lh)</t>
  </si>
  <si>
    <t>Male' Atoll (K)</t>
  </si>
  <si>
    <t>North Ari Atoll (AA)</t>
  </si>
  <si>
    <t>South Ari Atoll (ADh)</t>
  </si>
  <si>
    <t>Felidhu Atoll (V)</t>
  </si>
  <si>
    <t>Mulakatholhu (M)</t>
  </si>
  <si>
    <t>North Nilandhe Atoll (F)</t>
  </si>
  <si>
    <t>South Nilandhe Atoll (Dh)</t>
  </si>
  <si>
    <t>Kolhumadulu (Th)</t>
  </si>
  <si>
    <t>Hadhdhunmathi (L)</t>
  </si>
  <si>
    <t>North Huvadhu Atoll (GA)</t>
  </si>
  <si>
    <t>South Huvadhu Atoll (GDh)</t>
  </si>
  <si>
    <t>Fuvahmulah (Gn)</t>
  </si>
  <si>
    <t>Addu Atoll (S)</t>
  </si>
  <si>
    <t>Source: National Social Protection Agency</t>
  </si>
  <si>
    <t>Emergency Evacuation</t>
  </si>
  <si>
    <t>އިމަޖެންސީ އިވަކުއޭޝަންގެ ޢަދަދު</t>
  </si>
  <si>
    <t>Sent Abroad</t>
  </si>
  <si>
    <t>ބޭސްފަރުވާ އަށް ރާއްޖެއިން ބޭރަށް ބަލިމީހުން ފޮނުވުނު ޢަދަދު</t>
  </si>
  <si>
    <t>Empaneled Hospitals</t>
  </si>
  <si>
    <t>ޚިދުމަތް ލިބޭ ހޮސްޕިޓަލުތަކާއި ކްލިނިކްތަކުގެ ޢަދަދު</t>
  </si>
  <si>
    <t>Empaneled Pharmacies</t>
  </si>
  <si>
    <t>ޚިދުމަތް ލިބޭ ބޭސްފިހާރަތަކުގެ ޢަދަދު</t>
  </si>
  <si>
    <t>Abroad</t>
  </si>
  <si>
    <t xml:space="preserve">މަޢުލޫމާތު ދެއްވީ:  އާސަންދަ ޕްރައިވެޓް ލިމިޓެޑް </t>
  </si>
  <si>
    <t xml:space="preserve">Number of </t>
  </si>
  <si>
    <t>Empaneled Hospitals and clinics</t>
  </si>
  <si>
    <t>Table 18.27: Aasandha Services provided by type and Atoll, 2020</t>
  </si>
  <si>
    <t>Table 18.26: Aasandha Services provided by type, 2018 -2020</t>
  </si>
  <si>
    <t>Note: Both Emergency evacuation and sent abroad figures had been given by number of cases, and may include multiple cases of same patient. Sent abroad cases includes both cases referred from Maldives and patient's who seeked treatment from abroad.</t>
  </si>
  <si>
    <t>ޚިދުމަތް</t>
  </si>
  <si>
    <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</si>
</sst>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6" formatCode="General_)"/>
  </numFmts>
  <fonts count="23" x14ac:knownFonts="1">
    <font>
      <sz val="11"/>
      <color rgb="FF000000"/>
      <name val="Calibri"/>
    </font>
    <font>
      <sz val="11"/>
      <color theme="1"/>
      <name val="Calibri"/>
      <family val="2"/>
      <scheme val="minor"/>
    </font>
    <font>
      <b/>
      <sz val="11"/>
      <color rgb="FF000000"/>
      <name val="Faruma"/>
    </font>
    <font>
      <b/>
      <sz val="11"/>
      <color rgb="FF000000"/>
      <name val="Calibri"/>
      <family val="2"/>
    </font>
    <font>
      <sz val="11"/>
      <color rgb="FF000000"/>
      <name val="Faruma"/>
    </font>
    <font>
      <i/>
      <sz val="10"/>
      <color rgb="FF000000"/>
      <name val="Calibri"/>
      <family val="2"/>
    </font>
    <font>
      <sz val="11"/>
      <color rgb="FF000000"/>
      <name val="Calibri"/>
      <family val="2"/>
    </font>
    <font>
      <sz val="11"/>
      <color rgb="FF000000"/>
      <name val="Calibri"/>
      <family val="2"/>
    </font>
    <font>
      <sz val="10"/>
      <name val="Arial"/>
      <family val="2"/>
    </font>
    <font>
      <sz val="9"/>
      <color theme="1"/>
      <name val="Faruma"/>
    </font>
    <font>
      <sz val="10"/>
      <name val="Courier"/>
      <family val="3"/>
    </font>
    <font>
      <b/>
      <sz val="10"/>
      <name val="Calibri"/>
      <family val="2"/>
      <scheme val="minor"/>
    </font>
    <font>
      <b/>
      <sz val="10"/>
      <color theme="1" tint="0.14999847407452621"/>
      <name val="Calibri"/>
      <family val="2"/>
      <scheme val="minor"/>
    </font>
    <font>
      <sz val="10"/>
      <color theme="1" tint="0.14999847407452621"/>
      <name val="Calibri"/>
      <family val="2"/>
      <scheme val="minor"/>
    </font>
    <font>
      <i/>
      <sz val="9"/>
      <name val="Calibri"/>
      <family val="2"/>
      <scheme val="minor"/>
    </font>
    <font>
      <sz val="10"/>
      <name val="Calibri"/>
      <family val="2"/>
      <charset val="1"/>
      <scheme val="minor"/>
    </font>
    <font>
      <sz val="11"/>
      <color theme="1"/>
      <name val="Arial"/>
      <family val="2"/>
    </font>
    <font>
      <b/>
      <sz val="14"/>
      <color rgb="FF000000"/>
      <name val="Calibri"/>
      <family val="2"/>
    </font>
    <font>
      <b/>
      <sz val="10"/>
      <color rgb="FF000000"/>
      <name val="Calibri"/>
      <family val="2"/>
      <scheme val="minor"/>
    </font>
    <font>
      <sz val="10"/>
      <color rgb="FF000000"/>
      <name val="Calibri"/>
      <family val="2"/>
      <scheme val="minor"/>
    </font>
    <font>
      <sz val="11"/>
      <color indexed="8"/>
      <name val="Calibri"/>
      <family val="2"/>
    </font>
    <font>
      <sz val="11"/>
      <color rgb="FF000000"/>
      <name val="Calibri"/>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hair">
        <color indexed="64"/>
      </bottom>
      <diagonal/>
    </border>
  </borders>
  <cellStyleXfs count="18">
    <xf numFmtId="0" fontId="0" fillId="0" borderId="0"/>
    <xf numFmtId="43" fontId="7" fillId="0" borderId="0" applyFont="0" applyFill="0" applyBorder="0" applyAlignment="0" applyProtection="0"/>
    <xf numFmtId="0" fontId="8" fillId="0" borderId="1"/>
    <xf numFmtId="164" fontId="10" fillId="0" borderId="1"/>
    <xf numFmtId="0" fontId="1" fillId="0" borderId="1"/>
    <xf numFmtId="0" fontId="10" fillId="0" borderId="1"/>
    <xf numFmtId="0" fontId="1" fillId="0" borderId="1"/>
    <xf numFmtId="43" fontId="6" fillId="0" borderId="1" applyFont="0" applyFill="0" applyBorder="0" applyAlignment="0" applyProtection="0"/>
    <xf numFmtId="43" fontId="6" fillId="0" borderId="1" applyFont="0" applyFill="0" applyBorder="0" applyAlignment="0" applyProtection="0"/>
    <xf numFmtId="0" fontId="6" fillId="0" borderId="1"/>
    <xf numFmtId="0" fontId="16" fillId="0" borderId="1"/>
    <xf numFmtId="0" fontId="20" fillId="0" borderId="1" applyFill="0" applyProtection="0"/>
    <xf numFmtId="0" fontId="21" fillId="0" borderId="1"/>
    <xf numFmtId="0" fontId="21" fillId="0" borderId="1"/>
    <xf numFmtId="0" fontId="6" fillId="0" borderId="1"/>
    <xf numFmtId="0" fontId="6" fillId="0" borderId="1"/>
    <xf numFmtId="0" fontId="6" fillId="0" borderId="1"/>
    <xf numFmtId="0" fontId="6" fillId="0" borderId="1"/>
  </cellStyleXfs>
  <cellXfs count="36">
    <xf numFmtId="0" fontId="0" fillId="0" borderId="0" xfId="0" applyFont="1" applyAlignment="1"/>
    <xf numFmtId="0" fontId="0" fillId="2" borderId="0" xfId="0" applyFont="1" applyFill="1" applyAlignment="1"/>
    <xf numFmtId="166" fontId="11" fillId="2" borderId="1" xfId="3" applyNumberFormat="1" applyFont="1" applyFill="1" applyBorder="1" applyAlignment="1" applyProtection="1">
      <alignment horizontal="left" vertical="center"/>
    </xf>
    <xf numFmtId="3" fontId="12" fillId="2" borderId="1" xfId="2" applyNumberFormat="1" applyFont="1" applyFill="1"/>
    <xf numFmtId="0" fontId="0" fillId="2" borderId="0" xfId="0" applyFill="1"/>
    <xf numFmtId="3" fontId="13" fillId="2" borderId="2" xfId="2" applyNumberFormat="1" applyFont="1" applyFill="1" applyBorder="1"/>
    <xf numFmtId="166" fontId="14" fillId="2" borderId="1" xfId="3" applyNumberFormat="1" applyFont="1" applyFill="1" applyBorder="1" applyAlignment="1" applyProtection="1">
      <alignment horizontal="left" vertical="center"/>
    </xf>
    <xf numFmtId="0" fontId="4" fillId="2" borderId="0" xfId="0" applyFont="1" applyFill="1" applyAlignment="1"/>
    <xf numFmtId="0" fontId="4" fillId="2" borderId="0" xfId="0" applyFont="1" applyFill="1"/>
    <xf numFmtId="0" fontId="0" fillId="2" borderId="2" xfId="0" applyFont="1" applyFill="1" applyBorder="1" applyAlignment="1"/>
    <xf numFmtId="0" fontId="4" fillId="2" borderId="2" xfId="0" applyFont="1" applyFill="1" applyBorder="1" applyAlignment="1"/>
    <xf numFmtId="0" fontId="0" fillId="2" borderId="0" xfId="0" applyFill="1" applyAlignment="1">
      <alignment vertical="center" wrapText="1"/>
    </xf>
    <xf numFmtId="0" fontId="3" fillId="2" borderId="4" xfId="0" applyFont="1" applyFill="1" applyBorder="1" applyAlignment="1">
      <alignment vertical="center"/>
    </xf>
    <xf numFmtId="166" fontId="9" fillId="2" borderId="1" xfId="5" applyNumberFormat="1" applyFont="1" applyFill="1" applyAlignment="1">
      <alignment horizontal="right" vertical="center"/>
    </xf>
    <xf numFmtId="0" fontId="0" fillId="2" borderId="0" xfId="0" applyFill="1" applyAlignment="1">
      <alignment horizontal="right" vertical="center"/>
    </xf>
    <xf numFmtId="0" fontId="3" fillId="2" borderId="4" xfId="0" applyFont="1" applyFill="1" applyBorder="1" applyAlignment="1">
      <alignment horizontal="right" vertical="center"/>
    </xf>
    <xf numFmtId="0" fontId="3" fillId="2" borderId="1" xfId="0" applyFont="1" applyFill="1" applyBorder="1" applyAlignment="1">
      <alignment horizontal="left" vertical="center"/>
    </xf>
    <xf numFmtId="3" fontId="13" fillId="2" borderId="1" xfId="2" applyNumberFormat="1" applyFont="1" applyFill="1" applyAlignment="1">
      <alignment horizontal="left" vertical="center" indent="1"/>
    </xf>
    <xf numFmtId="3" fontId="13" fillId="2" borderId="1" xfId="2" applyNumberFormat="1" applyFont="1" applyFill="1" applyBorder="1" applyAlignment="1">
      <alignment horizontal="left" vertical="center" indent="1"/>
    </xf>
    <xf numFmtId="164" fontId="11" fillId="2" borderId="1" xfId="7" applyNumberFormat="1" applyFont="1" applyFill="1" applyBorder="1" applyAlignment="1">
      <alignment horizontal="right" vertical="center"/>
    </xf>
    <xf numFmtId="164" fontId="15" fillId="2" borderId="1" xfId="7" applyNumberFormat="1" applyFont="1" applyFill="1" applyBorder="1" applyAlignment="1">
      <alignment horizontal="right" vertical="center"/>
    </xf>
    <xf numFmtId="164" fontId="15" fillId="2" borderId="2" xfId="7" applyNumberFormat="1" applyFont="1" applyFill="1" applyBorder="1" applyAlignment="1">
      <alignment horizontal="right" vertical="center"/>
    </xf>
    <xf numFmtId="164" fontId="18" fillId="2" borderId="1" xfId="1" applyNumberFormat="1" applyFont="1" applyFill="1" applyBorder="1" applyAlignment="1">
      <alignment vertical="center" wrapText="1"/>
    </xf>
    <xf numFmtId="164" fontId="19" fillId="2" borderId="1" xfId="1" applyNumberFormat="1" applyFont="1" applyFill="1" applyBorder="1" applyAlignment="1">
      <alignment vertical="center" wrapText="1"/>
    </xf>
    <xf numFmtId="164" fontId="19" fillId="2" borderId="2" xfId="1" applyNumberFormat="1" applyFont="1" applyFill="1" applyBorder="1" applyAlignment="1">
      <alignment vertical="center" wrapText="1"/>
    </xf>
    <xf numFmtId="0" fontId="3" fillId="2" borderId="2" xfId="0" applyFont="1" applyFill="1" applyBorder="1" applyAlignment="1">
      <alignment horizontal="right" vertical="center" wrapText="1"/>
    </xf>
    <xf numFmtId="3" fontId="22" fillId="2" borderId="1" xfId="8" applyNumberFormat="1" applyFont="1" applyFill="1" applyAlignment="1">
      <alignment horizontal="right" vertical="center"/>
    </xf>
    <xf numFmtId="3" fontId="22" fillId="2" borderId="2" xfId="8" applyNumberFormat="1" applyFont="1" applyFill="1" applyBorder="1" applyAlignment="1">
      <alignment horizontal="right" vertical="center"/>
    </xf>
    <xf numFmtId="0" fontId="2" fillId="2" borderId="4" xfId="0" applyFont="1" applyFill="1" applyBorder="1"/>
    <xf numFmtId="0" fontId="17" fillId="2" borderId="0" xfId="0" applyFont="1" applyFill="1" applyAlignment="1">
      <alignment horizontal="center" vertical="center"/>
    </xf>
    <xf numFmtId="0" fontId="5" fillId="2" borderId="0" xfId="0" applyFont="1" applyFill="1" applyAlignment="1">
      <alignment horizontal="left" vertical="center" wrapText="1"/>
    </xf>
    <xf numFmtId="0" fontId="3" fillId="2" borderId="1" xfId="0" applyFont="1" applyFill="1" applyBorder="1" applyAlignment="1">
      <alignment horizontal="center" vertical="center"/>
    </xf>
    <xf numFmtId="0" fontId="3" fillId="2" borderId="3" xfId="0" applyFont="1" applyFill="1" applyBorder="1" applyAlignment="1">
      <alignment horizontal="left" vertical="center"/>
    </xf>
    <xf numFmtId="0" fontId="3" fillId="2" borderId="2" xfId="0" applyFont="1" applyFill="1" applyBorder="1" applyAlignment="1">
      <alignment horizontal="left" vertical="center"/>
    </xf>
    <xf numFmtId="0" fontId="3" fillId="2" borderId="5" xfId="0" applyFont="1" applyFill="1" applyBorder="1" applyAlignment="1">
      <alignment horizontal="center" vertical="center" wrapText="1"/>
    </xf>
    <xf numFmtId="166" fontId="14" fillId="2" borderId="1" xfId="3" applyNumberFormat="1" applyFont="1" applyFill="1" applyBorder="1" applyAlignment="1" applyProtection="1">
      <alignment horizontal="left" vertical="center" wrapText="1"/>
    </xf>
  </cellXfs>
  <cellStyles count="18">
    <cellStyle name="Comma" xfId="1" builtinId="3"/>
    <cellStyle name="Comma 23" xfId="8"/>
    <cellStyle name="Comma 3" xfId="7"/>
    <cellStyle name="Normal" xfId="0" builtinId="0"/>
    <cellStyle name="Normal 10" xfId="13"/>
    <cellStyle name="Normal 12" xfId="6"/>
    <cellStyle name="Normal 2" xfId="3"/>
    <cellStyle name="Normal 25" xfId="17"/>
    <cellStyle name="Normal 3" xfId="10"/>
    <cellStyle name="Normal 3 2" xfId="4"/>
    <cellStyle name="Normal 30" xfId="12"/>
    <cellStyle name="Normal 4" xfId="11"/>
    <cellStyle name="Normal 54" xfId="14"/>
    <cellStyle name="Normal 58" xfId="16"/>
    <cellStyle name="Normal 59" xfId="15"/>
    <cellStyle name="Normal 8" xfId="9"/>
    <cellStyle name="Normal_3 Population." xfId="5"/>
    <cellStyle name="Normal_II-15(Population) 2" xfId="2"/>
  </cellStyles>
  <dxfs count="0"/>
  <tableStyles count="0" defaultTableStyle="TableStyleMedium2" defaultPivotStyle="PivotStyleLight16"/>
  <colors>
    <mruColors>
      <color rgb="FFB2EDEC"/>
      <color rgb="FF249390"/>
      <color rgb="FF33CCCC"/>
      <color rgb="FFFFBC79"/>
      <color rgb="FFBFF0EF"/>
      <color rgb="FFEAFAFA"/>
      <color rgb="FFFF9900"/>
      <color rgb="FF196563"/>
      <color rgb="FFFFDAA3"/>
      <color rgb="FFE5C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cell r="B7">
            <v>1164428500.4760997</v>
          </cell>
        </row>
        <row r="8">
          <cell r="A8" t="str">
            <v>Atolls</v>
          </cell>
          <cell r="B8">
            <v>725519558.47500014</v>
          </cell>
        </row>
        <row r="9">
          <cell r="A9" t="str">
            <v>Overseas</v>
          </cell>
          <cell r="B9">
            <v>124721731.0976</v>
          </cell>
        </row>
        <row r="11">
          <cell r="Q11">
            <v>2016</v>
          </cell>
          <cell r="R11">
            <v>2017</v>
          </cell>
          <cell r="S11">
            <v>2018</v>
          </cell>
          <cell r="T11">
            <v>2019</v>
          </cell>
          <cell r="U11">
            <v>2020</v>
          </cell>
        </row>
        <row r="12">
          <cell r="N12" t="str">
            <v>Republic</v>
          </cell>
          <cell r="Q12">
            <v>1675199187.0308001</v>
          </cell>
          <cell r="R12">
            <v>1797290685.4405</v>
          </cell>
          <cell r="S12">
            <v>2164672441.0613999</v>
          </cell>
          <cell r="T12">
            <v>2433716952.1484995</v>
          </cell>
          <cell r="U12">
            <v>2014669790.0487001</v>
          </cell>
        </row>
        <row r="13">
          <cell r="N13" t="str">
            <v xml:space="preserve">Male' </v>
          </cell>
          <cell r="Q13">
            <v>899761456.92000008</v>
          </cell>
          <cell r="R13">
            <v>1040187042.5204999</v>
          </cell>
          <cell r="S13">
            <v>1255240833.9584999</v>
          </cell>
          <cell r="T13">
            <v>1488868041.2019994</v>
          </cell>
          <cell r="U13">
            <v>1164428500.4760997</v>
          </cell>
        </row>
        <row r="14">
          <cell r="N14" t="str">
            <v>Atolls</v>
          </cell>
          <cell r="Q14">
            <v>552084045.86000001</v>
          </cell>
          <cell r="R14">
            <v>582040521.91999996</v>
          </cell>
          <cell r="S14">
            <v>642497891.10289991</v>
          </cell>
          <cell r="T14">
            <v>665276794.77769983</v>
          </cell>
          <cell r="U14">
            <v>725519558.47500014</v>
          </cell>
        </row>
        <row r="15">
          <cell r="N15" t="str">
            <v>Overseas</v>
          </cell>
          <cell r="Q15">
            <v>223353684.25080001</v>
          </cell>
          <cell r="R15">
            <v>175063121</v>
          </cell>
          <cell r="S15">
            <v>266933716</v>
          </cell>
          <cell r="T15">
            <v>279572116.1688</v>
          </cell>
          <cell r="U15">
            <v>124721731.0976</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9"/>
  <sheetViews>
    <sheetView tabSelected="1" zoomScaleNormal="100" workbookViewId="0">
      <selection activeCell="G16" sqref="G16"/>
    </sheetView>
  </sheetViews>
  <sheetFormatPr defaultColWidth="16.85546875" defaultRowHeight="21" x14ac:dyDescent="0.55000000000000004"/>
  <cols>
    <col min="1" max="1" width="26.85546875" style="4" customWidth="1"/>
    <col min="2" max="4" width="17.5703125" style="14" customWidth="1"/>
    <col min="5" max="5" width="45.5703125" style="8" customWidth="1"/>
    <col min="6" max="16384" width="16.85546875" style="4"/>
  </cols>
  <sheetData>
    <row r="1" spans="1:5" ht="21" customHeight="1" x14ac:dyDescent="0.25">
      <c r="A1" s="29" t="s">
        <v>37</v>
      </c>
      <c r="B1" s="29"/>
      <c r="C1" s="29"/>
      <c r="D1" s="29"/>
      <c r="E1" s="29"/>
    </row>
    <row r="2" spans="1:5" ht="15" x14ac:dyDescent="0.25">
      <c r="E2" s="4"/>
    </row>
    <row r="3" spans="1:5" ht="24" customHeight="1" x14ac:dyDescent="0.55000000000000004">
      <c r="A3" s="12" t="s">
        <v>40</v>
      </c>
      <c r="B3" s="15">
        <v>2018</v>
      </c>
      <c r="C3" s="15">
        <v>2019</v>
      </c>
      <c r="D3" s="15">
        <v>2020</v>
      </c>
      <c r="E3" s="28" t="s">
        <v>39</v>
      </c>
    </row>
    <row r="4" spans="1:5" ht="27.75" customHeight="1" x14ac:dyDescent="0.55000000000000004">
      <c r="A4" s="1" t="s">
        <v>24</v>
      </c>
      <c r="B4" s="26">
        <v>3727</v>
      </c>
      <c r="C4" s="26">
        <v>3884</v>
      </c>
      <c r="D4" s="26">
        <v>3790</v>
      </c>
      <c r="E4" s="7" t="s">
        <v>25</v>
      </c>
    </row>
    <row r="5" spans="1:5" ht="27.75" customHeight="1" x14ac:dyDescent="0.55000000000000004">
      <c r="A5" s="1" t="s">
        <v>26</v>
      </c>
      <c r="B5" s="26">
        <v>5588</v>
      </c>
      <c r="C5" s="26">
        <v>7574</v>
      </c>
      <c r="D5" s="26">
        <v>3190</v>
      </c>
      <c r="E5" s="7" t="s">
        <v>27</v>
      </c>
    </row>
    <row r="6" spans="1:5" ht="27.75" customHeight="1" x14ac:dyDescent="0.55000000000000004">
      <c r="A6" s="1" t="s">
        <v>28</v>
      </c>
      <c r="B6" s="26">
        <v>122</v>
      </c>
      <c r="C6" s="26">
        <v>286</v>
      </c>
      <c r="D6" s="26">
        <v>303</v>
      </c>
      <c r="E6" s="7" t="s">
        <v>29</v>
      </c>
    </row>
    <row r="7" spans="1:5" ht="27.75" customHeight="1" x14ac:dyDescent="0.55000000000000004">
      <c r="A7" s="9" t="s">
        <v>30</v>
      </c>
      <c r="B7" s="27">
        <v>299</v>
      </c>
      <c r="C7" s="27">
        <v>308</v>
      </c>
      <c r="D7" s="27">
        <v>331</v>
      </c>
      <c r="E7" s="10" t="s">
        <v>31</v>
      </c>
    </row>
    <row r="8" spans="1:5" ht="39.75" customHeight="1" x14ac:dyDescent="0.25">
      <c r="A8" s="30" t="s">
        <v>38</v>
      </c>
      <c r="B8" s="30"/>
      <c r="C8" s="30"/>
      <c r="D8" s="30"/>
      <c r="E8" s="13" t="s">
        <v>33</v>
      </c>
    </row>
    <row r="9" spans="1:5" ht="24" customHeight="1" x14ac:dyDescent="0.55000000000000004">
      <c r="A9" s="6" t="s">
        <v>23</v>
      </c>
    </row>
  </sheetData>
  <mergeCells count="2">
    <mergeCell ref="A1:E1"/>
    <mergeCell ref="A8:D8"/>
  </mergeCells>
  <pageMargins left="0.7" right="0.7" top="0.75" bottom="0.75" header="0.3" footer="0.3"/>
  <pageSetup paperSize="9" scale="62"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30"/>
  <sheetViews>
    <sheetView workbookViewId="0">
      <selection activeCell="I14" sqref="I14"/>
    </sheetView>
  </sheetViews>
  <sheetFormatPr defaultColWidth="16.85546875" defaultRowHeight="15" x14ac:dyDescent="0.25"/>
  <cols>
    <col min="1" max="1" width="24.85546875" style="4" customWidth="1"/>
    <col min="2" max="3" width="16.28515625" style="11" customWidth="1"/>
    <col min="4" max="5" width="20" style="11" customWidth="1"/>
    <col min="6" max="6" width="13.7109375" style="11" customWidth="1"/>
    <col min="7" max="16384" width="16.85546875" style="4"/>
  </cols>
  <sheetData>
    <row r="1" spans="1:5" ht="28.5" customHeight="1" x14ac:dyDescent="0.25">
      <c r="A1" s="31" t="s">
        <v>36</v>
      </c>
      <c r="B1" s="31"/>
      <c r="C1" s="31"/>
      <c r="D1" s="31"/>
      <c r="E1" s="31"/>
    </row>
    <row r="2" spans="1:5" ht="9" customHeight="1" x14ac:dyDescent="0.25">
      <c r="B2" s="4"/>
      <c r="C2" s="4"/>
      <c r="D2" s="4"/>
      <c r="E2" s="4"/>
    </row>
    <row r="3" spans="1:5" ht="22.5" customHeight="1" x14ac:dyDescent="0.25">
      <c r="A3" s="32" t="s">
        <v>2</v>
      </c>
      <c r="B3" s="34" t="s">
        <v>34</v>
      </c>
      <c r="C3" s="34"/>
      <c r="D3" s="34"/>
      <c r="E3" s="34"/>
    </row>
    <row r="4" spans="1:5" ht="39.75" customHeight="1" x14ac:dyDescent="0.25">
      <c r="A4" s="33"/>
      <c r="B4" s="25" t="s">
        <v>24</v>
      </c>
      <c r="C4" s="25" t="s">
        <v>26</v>
      </c>
      <c r="D4" s="25" t="s">
        <v>35</v>
      </c>
      <c r="E4" s="25" t="s">
        <v>30</v>
      </c>
    </row>
    <row r="5" spans="1:5" x14ac:dyDescent="0.25">
      <c r="A5" s="16" t="s">
        <v>0</v>
      </c>
      <c r="B5" s="22">
        <f>B6+B7</f>
        <v>3790</v>
      </c>
      <c r="C5" s="22">
        <f>C28</f>
        <v>3190</v>
      </c>
      <c r="D5" s="22">
        <f>D6+D7+D28</f>
        <v>303</v>
      </c>
      <c r="E5" s="22">
        <f>E6+E7</f>
        <v>331</v>
      </c>
    </row>
    <row r="6" spans="1:5" x14ac:dyDescent="0.25">
      <c r="A6" s="3" t="s">
        <v>1</v>
      </c>
      <c r="B6" s="22">
        <v>10</v>
      </c>
      <c r="C6" s="19">
        <v>0</v>
      </c>
      <c r="D6" s="22">
        <v>59</v>
      </c>
      <c r="E6" s="22">
        <v>77</v>
      </c>
    </row>
    <row r="7" spans="1:5" ht="15" customHeight="1" x14ac:dyDescent="0.25">
      <c r="A7" s="2" t="s">
        <v>2</v>
      </c>
      <c r="B7" s="22">
        <v>3780</v>
      </c>
      <c r="C7" s="20">
        <v>0</v>
      </c>
      <c r="D7" s="22">
        <v>202</v>
      </c>
      <c r="E7" s="22">
        <v>254</v>
      </c>
    </row>
    <row r="8" spans="1:5" x14ac:dyDescent="0.25">
      <c r="A8" s="17" t="s">
        <v>3</v>
      </c>
      <c r="B8" s="23">
        <v>327</v>
      </c>
      <c r="C8" s="20">
        <v>0</v>
      </c>
      <c r="D8" s="23">
        <v>14</v>
      </c>
      <c r="E8" s="23">
        <v>18</v>
      </c>
    </row>
    <row r="9" spans="1:5" x14ac:dyDescent="0.25">
      <c r="A9" s="17" t="s">
        <v>4</v>
      </c>
      <c r="B9" s="23">
        <v>401</v>
      </c>
      <c r="C9" s="20">
        <v>0</v>
      </c>
      <c r="D9" s="23">
        <v>14</v>
      </c>
      <c r="E9" s="23">
        <v>18</v>
      </c>
    </row>
    <row r="10" spans="1:5" x14ac:dyDescent="0.25">
      <c r="A10" s="17" t="s">
        <v>5</v>
      </c>
      <c r="B10" s="23">
        <v>203</v>
      </c>
      <c r="C10" s="20">
        <v>0</v>
      </c>
      <c r="D10" s="23">
        <v>14</v>
      </c>
      <c r="E10" s="23">
        <v>19</v>
      </c>
    </row>
    <row r="11" spans="1:5" x14ac:dyDescent="0.25">
      <c r="A11" s="17" t="s">
        <v>6</v>
      </c>
      <c r="B11" s="23">
        <v>205</v>
      </c>
      <c r="C11" s="20">
        <v>0</v>
      </c>
      <c r="D11" s="23">
        <v>13</v>
      </c>
      <c r="E11" s="23">
        <v>15</v>
      </c>
    </row>
    <row r="12" spans="1:5" x14ac:dyDescent="0.25">
      <c r="A12" s="17" t="s">
        <v>7</v>
      </c>
      <c r="B12" s="23">
        <v>363</v>
      </c>
      <c r="C12" s="20">
        <v>0</v>
      </c>
      <c r="D12" s="23">
        <v>15</v>
      </c>
      <c r="E12" s="23">
        <v>22</v>
      </c>
    </row>
    <row r="13" spans="1:5" x14ac:dyDescent="0.25">
      <c r="A13" s="17" t="s">
        <v>8</v>
      </c>
      <c r="B13" s="23">
        <v>147</v>
      </c>
      <c r="C13" s="20">
        <v>0</v>
      </c>
      <c r="D13" s="23">
        <v>14</v>
      </c>
      <c r="E13" s="23">
        <v>16</v>
      </c>
    </row>
    <row r="14" spans="1:5" x14ac:dyDescent="0.25">
      <c r="A14" s="17" t="s">
        <v>9</v>
      </c>
      <c r="B14" s="23">
        <v>112</v>
      </c>
      <c r="C14" s="20">
        <v>0</v>
      </c>
      <c r="D14" s="23">
        <v>4</v>
      </c>
      <c r="E14" s="23">
        <v>9</v>
      </c>
    </row>
    <row r="15" spans="1:5" x14ac:dyDescent="0.25">
      <c r="A15" s="17" t="s">
        <v>10</v>
      </c>
      <c r="B15" s="23">
        <v>97</v>
      </c>
      <c r="C15" s="20">
        <v>0</v>
      </c>
      <c r="D15" s="23">
        <v>11</v>
      </c>
      <c r="E15" s="23">
        <v>12</v>
      </c>
    </row>
    <row r="16" spans="1:5" x14ac:dyDescent="0.25">
      <c r="A16" s="17" t="s">
        <v>11</v>
      </c>
      <c r="B16" s="23">
        <v>131</v>
      </c>
      <c r="C16" s="20">
        <v>0</v>
      </c>
      <c r="D16" s="23">
        <v>8</v>
      </c>
      <c r="E16" s="23">
        <v>8</v>
      </c>
    </row>
    <row r="17" spans="1:5" x14ac:dyDescent="0.25">
      <c r="A17" s="17" t="s">
        <v>12</v>
      </c>
      <c r="B17" s="23">
        <v>190</v>
      </c>
      <c r="C17" s="20">
        <v>0</v>
      </c>
      <c r="D17" s="23">
        <v>12</v>
      </c>
      <c r="E17" s="23">
        <v>18</v>
      </c>
    </row>
    <row r="18" spans="1:5" x14ac:dyDescent="0.25">
      <c r="A18" s="17" t="s">
        <v>13</v>
      </c>
      <c r="B18" s="23">
        <v>25</v>
      </c>
      <c r="C18" s="20">
        <v>0</v>
      </c>
      <c r="D18" s="23">
        <v>5</v>
      </c>
      <c r="E18" s="23">
        <v>5</v>
      </c>
    </row>
    <row r="19" spans="1:5" x14ac:dyDescent="0.25">
      <c r="A19" s="17" t="s">
        <v>14</v>
      </c>
      <c r="B19" s="23">
        <v>76</v>
      </c>
      <c r="C19" s="20">
        <v>0</v>
      </c>
      <c r="D19" s="23">
        <v>8</v>
      </c>
      <c r="E19" s="23">
        <v>9</v>
      </c>
    </row>
    <row r="20" spans="1:5" x14ac:dyDescent="0.25">
      <c r="A20" s="17" t="s">
        <v>15</v>
      </c>
      <c r="B20" s="23">
        <v>64</v>
      </c>
      <c r="C20" s="20">
        <v>0</v>
      </c>
      <c r="D20" s="23">
        <v>5</v>
      </c>
      <c r="E20" s="23">
        <v>6</v>
      </c>
    </row>
    <row r="21" spans="1:5" x14ac:dyDescent="0.25">
      <c r="A21" s="17" t="s">
        <v>16</v>
      </c>
      <c r="B21" s="23">
        <v>87</v>
      </c>
      <c r="C21" s="20">
        <v>0</v>
      </c>
      <c r="D21" s="23">
        <v>6</v>
      </c>
      <c r="E21" s="23">
        <v>7</v>
      </c>
    </row>
    <row r="22" spans="1:5" x14ac:dyDescent="0.25">
      <c r="A22" s="17" t="s">
        <v>17</v>
      </c>
      <c r="B22" s="23">
        <v>194</v>
      </c>
      <c r="C22" s="20">
        <v>0</v>
      </c>
      <c r="D22" s="23">
        <v>13</v>
      </c>
      <c r="E22" s="23">
        <v>14</v>
      </c>
    </row>
    <row r="23" spans="1:5" x14ac:dyDescent="0.25">
      <c r="A23" s="18" t="s">
        <v>18</v>
      </c>
      <c r="B23" s="23">
        <v>173</v>
      </c>
      <c r="C23" s="20">
        <v>0</v>
      </c>
      <c r="D23" s="23">
        <v>10</v>
      </c>
      <c r="E23" s="23">
        <v>12</v>
      </c>
    </row>
    <row r="24" spans="1:5" x14ac:dyDescent="0.25">
      <c r="A24" s="17" t="s">
        <v>19</v>
      </c>
      <c r="B24" s="23">
        <v>349</v>
      </c>
      <c r="C24" s="20">
        <v>0</v>
      </c>
      <c r="D24" s="23">
        <v>10</v>
      </c>
      <c r="E24" s="23">
        <v>12</v>
      </c>
    </row>
    <row r="25" spans="1:5" x14ac:dyDescent="0.25">
      <c r="A25" s="18" t="s">
        <v>20</v>
      </c>
      <c r="B25" s="23">
        <v>289</v>
      </c>
      <c r="C25" s="20">
        <v>0</v>
      </c>
      <c r="D25" s="23">
        <v>10</v>
      </c>
      <c r="E25" s="23">
        <v>12</v>
      </c>
    </row>
    <row r="26" spans="1:5" x14ac:dyDescent="0.25">
      <c r="A26" s="18" t="s">
        <v>21</v>
      </c>
      <c r="B26" s="23">
        <v>112</v>
      </c>
      <c r="C26" s="20">
        <v>0</v>
      </c>
      <c r="D26" s="23">
        <v>2</v>
      </c>
      <c r="E26" s="23">
        <v>5</v>
      </c>
    </row>
    <row r="27" spans="1:5" x14ac:dyDescent="0.25">
      <c r="A27" s="18" t="s">
        <v>22</v>
      </c>
      <c r="B27" s="23">
        <v>235</v>
      </c>
      <c r="C27" s="20">
        <v>0</v>
      </c>
      <c r="D27" s="23">
        <v>14</v>
      </c>
      <c r="E27" s="23">
        <v>17</v>
      </c>
    </row>
    <row r="28" spans="1:5" x14ac:dyDescent="0.25">
      <c r="A28" s="5" t="s">
        <v>32</v>
      </c>
      <c r="B28" s="21">
        <v>0</v>
      </c>
      <c r="C28" s="24">
        <v>3190</v>
      </c>
      <c r="D28" s="24">
        <v>42</v>
      </c>
      <c r="E28" s="21">
        <v>0</v>
      </c>
    </row>
    <row r="29" spans="1:5" ht="50.25" customHeight="1" x14ac:dyDescent="0.25">
      <c r="A29" s="35" t="s">
        <v>38</v>
      </c>
      <c r="B29" s="35"/>
      <c r="C29" s="35"/>
      <c r="D29" s="35"/>
    </row>
    <row r="30" spans="1:5" ht="17.25" x14ac:dyDescent="0.25">
      <c r="A30" s="6" t="s">
        <v>23</v>
      </c>
      <c r="E30" s="13" t="s">
        <v>33</v>
      </c>
    </row>
  </sheetData>
  <mergeCells count="4">
    <mergeCell ref="A1:E1"/>
    <mergeCell ref="A3:A4"/>
    <mergeCell ref="B3:E3"/>
    <mergeCell ref="A29:D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18.26</vt:lpstr>
      <vt:lpstr>11.27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2021-09-23T05:56:40Z</cp:lastPrinted>
  <dcterms:created xsi:type="dcterms:W3CDTF">2019-02-21T04:10:17Z</dcterms:created>
  <dcterms:modified xsi:type="dcterms:W3CDTF">2021-09-23T05:56:48Z</dcterms:modified>
</cp:coreProperties>
</file>