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CHECKED\web\18. Pension and Social Protection\"/>
    </mc:Choice>
  </mc:AlternateContent>
  <bookViews>
    <workbookView xWindow="0" yWindow="0" windowWidth="28800" windowHeight="12435" tabRatio="841"/>
  </bookViews>
  <sheets>
    <sheet name="18.18" sheetId="16" r:id="rId1"/>
  </sheets>
  <externalReferences>
    <externalReference r:id="rId2"/>
  </externalReferences>
  <definedNames>
    <definedName name="_xlnm.Print_Area" localSheetId="0">'18.18'!$A$1:$K$52</definedName>
  </definedNames>
  <calcPr calcId="162913"/>
</workbook>
</file>

<file path=xl/calcChain.xml><?xml version="1.0" encoding="utf-8"?>
<calcChain xmlns="http://schemas.openxmlformats.org/spreadsheetml/2006/main">
  <c r="H11" i="16" l="1"/>
  <c r="B11" i="16" l="1"/>
  <c r="B9" i="16" s="1"/>
  <c r="I11" i="16" l="1"/>
  <c r="I9" i="16" s="1"/>
  <c r="H9" i="16"/>
  <c r="G11" i="16"/>
  <c r="G9" i="16" s="1"/>
  <c r="F11" i="16"/>
  <c r="F9" i="16" s="1"/>
  <c r="E11" i="16"/>
  <c r="E9" i="16" s="1"/>
  <c r="D11" i="16"/>
  <c r="D9" i="16" s="1"/>
  <c r="C11" i="16"/>
  <c r="C9" i="16" s="1"/>
</calcChain>
</file>

<file path=xl/sharedStrings.xml><?xml version="1.0" encoding="utf-8"?>
<sst xmlns="http://schemas.openxmlformats.org/spreadsheetml/2006/main" count="97" uniqueCount="94">
  <si>
    <t>Locality</t>
  </si>
  <si>
    <t>ހެލްތް އިންޝުއަރަންސް</t>
  </si>
  <si>
    <t xml:space="preserve">އެކަނިވެރި މައިންނާއި ކުދިންނަށް ދެވޭ އެހީ </t>
  </si>
  <si>
    <t xml:space="preserve">އަޅާލާނެ މީހަކުނެތިފައިވާ ކުދިން ބަލަމުންދާ މީހުންނަށް ދެވޭ އެހީ </t>
  </si>
  <si>
    <t>ވެލްފެއާ އެހީ</t>
  </si>
  <si>
    <t xml:space="preserve">ނުކުޅެދުންތެރިކަން ހުންނަ ފަރާތްތަކަށް ދެވޭ އެހީ </t>
  </si>
  <si>
    <t>ފަޤީރު ހާލަތުގައި ދިރިއުޅޭ ފަރާތްތަކުން ކާބޯތަކެތި ގަތުމަށް ދެވޭ މާލީ އެހީ</t>
  </si>
  <si>
    <t>cnwt</t>
  </si>
  <si>
    <t>HEALTH INSURANCE SCHEMES</t>
  </si>
  <si>
    <t>SINGLE PARENT ALLOWANCE</t>
  </si>
  <si>
    <t>EMERGENCY MEDICAL WELFARE</t>
  </si>
  <si>
    <t>Aasandha</t>
  </si>
  <si>
    <t xml:space="preserve">Parent </t>
  </si>
  <si>
    <t>Children</t>
  </si>
  <si>
    <t xml:space="preserve">Children </t>
  </si>
  <si>
    <t xml:space="preserve">އާސަންދަ </t>
  </si>
  <si>
    <t>މައިން</t>
  </si>
  <si>
    <t xml:space="preserve">ކުދިން </t>
  </si>
  <si>
    <t>ބެލެނިވެރިން</t>
  </si>
  <si>
    <t>Republic</t>
  </si>
  <si>
    <t>މުޅި ރާއްޖެ</t>
  </si>
  <si>
    <t xml:space="preserve">Male' </t>
  </si>
  <si>
    <t>މާލެ</t>
  </si>
  <si>
    <t>Atolls</t>
  </si>
  <si>
    <t>އަތޮޅުތައް</t>
  </si>
  <si>
    <t>North Thiladhunmathi (HA)</t>
  </si>
  <si>
    <t xml:space="preserve">       (ah)  iruburutua Itwmcnudwlit</t>
  </si>
  <si>
    <t>South Thiladhunmathi (HDh)</t>
  </si>
  <si>
    <t>(dh) irubunuked Itwmcnudwlit</t>
  </si>
  <si>
    <t>North Miladhunmadulu (Sh)</t>
  </si>
  <si>
    <t>(S) iruburutua uluDwmcnudwlim</t>
  </si>
  <si>
    <t>South Miladhunmadulu (N)</t>
  </si>
  <si>
    <t>(n) irubunuked uluDwmcnudwlim</t>
  </si>
  <si>
    <t>North Maalhosmadulu (R)</t>
  </si>
  <si>
    <t>(r) iruburutuauluDwmcsoLWm</t>
  </si>
  <si>
    <t>South Maalhosmadulu (B)</t>
  </si>
  <si>
    <t>(b) irubunukeduluDwcsoLWm</t>
  </si>
  <si>
    <t>Faadhippolhu (Lh)</t>
  </si>
  <si>
    <t>(L) uLopcaidWf</t>
  </si>
  <si>
    <t>Male' Atoll (K)</t>
  </si>
  <si>
    <t>(k) uLotwa elWm</t>
  </si>
  <si>
    <t>North Ari Atoll (AA)</t>
  </si>
  <si>
    <t>(aa) iruburutuauLotwairwa</t>
  </si>
  <si>
    <t>South Ari Atoll (ADh)</t>
  </si>
  <si>
    <t>(da) iruburutuauLotwairwa</t>
  </si>
  <si>
    <t>Felidhu Atoll (V)</t>
  </si>
  <si>
    <t>(v) uLotwa udilef</t>
  </si>
  <si>
    <t>Mulakatholhu (M)</t>
  </si>
  <si>
    <t>(m) uLotwkwlum</t>
  </si>
  <si>
    <t>North Nilandhe Atoll (F)</t>
  </si>
  <si>
    <t>(f) iruburutua uLotwaedcnwlin</t>
  </si>
  <si>
    <t>South Nilandhe Atoll (Dh)</t>
  </si>
  <si>
    <t>(d) irubunuked uLotwaedcnwlin</t>
  </si>
  <si>
    <t>Kolhumadulu (Th)</t>
  </si>
  <si>
    <t>(t) uluDwmuLok</t>
  </si>
  <si>
    <t>Hadhdhunmathi (L)</t>
  </si>
  <si>
    <t>(l) itwmcnudcawh</t>
  </si>
  <si>
    <t>North Huvadhu Atoll (GA)</t>
  </si>
  <si>
    <t>(ag) iruburutua uLotwaudwvuh</t>
  </si>
  <si>
    <t>South Huvadhu Atoll (GDh)</t>
  </si>
  <si>
    <t xml:space="preserve"> (dg) irubunuked uLotwaudwvuh</t>
  </si>
  <si>
    <t>Fuvahmulah (Gn)</t>
  </si>
  <si>
    <t>(N)cawlumcawvuf</t>
  </si>
  <si>
    <t>Addu Atoll (S)</t>
  </si>
  <si>
    <t>(s) uLotwauDcawa</t>
  </si>
  <si>
    <t>Note: Universal Health Insuarance Scheme named "Aasandha" was introduced in January 2012 and replaced the existing schemes "Madhana" and "Madhana Plus".</t>
  </si>
  <si>
    <t>Source: National Social Protection Agency</t>
  </si>
  <si>
    <t xml:space="preserve"> </t>
  </si>
  <si>
    <t xml:space="preserve">މަޢުލޫމާތު ދެއްވީ: ނެޝަނަލް ސޯޝަލް ޕްރޮޓެކްޝަން އޭޖެންސީ </t>
  </si>
  <si>
    <t>DISABILITY ALLOWANCE</t>
  </si>
  <si>
    <t>FOOD SUBSIDY</t>
  </si>
  <si>
    <t xml:space="preserve">FOSTER PARENT ALLOWANCE </t>
  </si>
  <si>
    <t xml:space="preserve"> HA</t>
  </si>
  <si>
    <t>HDh</t>
  </si>
  <si>
    <t>Sh</t>
  </si>
  <si>
    <t>N</t>
  </si>
  <si>
    <t>R</t>
  </si>
  <si>
    <t>B</t>
  </si>
  <si>
    <t xml:space="preserve"> 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</si>
  <si>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</si>
  <si>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</si>
  <si>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</si>
  <si>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</si>
  <si>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</si>
  <si>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</si>
  <si>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</si>
  <si>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</si>
  <si>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</si>
  <si>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</si>
  <si>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</si>
  <si>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</si>
  <si>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</si>
  <si>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>Table 18.18 :  NUMBER OF PERSONS COVERED UNDER DIFFERENT SOCIAL PROTECTION SCHEMES BY LOCALITY,  2020</t>
  </si>
  <si>
    <t>ތާވަލް 18.18: އިޖްތިމާއީ ރައްކާތެރިކަމުގެ ދަށުން އަތޮޅުތަކުން ޚިދުމަތްދެވިފައިވާ މީހުންގެ އަދަދު،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</si>
</sst>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6" formatCode="General_)"/>
  </numFmts>
  <fonts count="40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 tint="0.14999847407452621"/>
      <name val="Faruma"/>
    </font>
    <font>
      <sz val="10"/>
      <color theme="1" tint="0.14999847407452621"/>
      <name val="Arial"/>
      <family val="2"/>
    </font>
    <font>
      <b/>
      <sz val="11"/>
      <color theme="1" tint="0.14999847407452621"/>
      <name val="Calibri"/>
      <family val="2"/>
      <scheme val="minor"/>
    </font>
    <font>
      <b/>
      <sz val="9"/>
      <color theme="1" tint="0.14999847407452621"/>
      <name val="Arial"/>
      <family val="2"/>
    </font>
    <font>
      <b/>
      <sz val="10"/>
      <color theme="1"/>
      <name val="Faruma"/>
    </font>
    <font>
      <b/>
      <sz val="9"/>
      <color theme="1"/>
      <name val="Faruma"/>
    </font>
    <font>
      <b/>
      <sz val="9"/>
      <color theme="1" tint="0.14999847407452621"/>
      <name val="A_Randhoo"/>
    </font>
    <font>
      <sz val="9"/>
      <color theme="1"/>
      <name val="Faruma"/>
    </font>
    <font>
      <sz val="10"/>
      <name val="Courier"/>
      <family val="3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sz val="9"/>
      <name val="Courier"/>
      <family val="3"/>
    </font>
    <font>
      <b/>
      <sz val="10"/>
      <name val="Calibri"/>
      <family val="2"/>
      <scheme val="minor"/>
    </font>
    <font>
      <b/>
      <sz val="10"/>
      <name val="Faruma"/>
    </font>
    <font>
      <b/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10"/>
      <color theme="1" tint="0.14999847407452621"/>
      <name val="Faruma"/>
    </font>
    <font>
      <sz val="11"/>
      <color theme="1"/>
      <name val="Calibri"/>
      <family val="2"/>
      <charset val="1"/>
      <scheme val="minor"/>
    </font>
    <font>
      <b/>
      <sz val="10"/>
      <color theme="1" tint="0.1499984740745262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 tint="0.14999847407452621"/>
      <name val="Calibri"/>
      <family val="2"/>
      <scheme val="minor"/>
    </font>
    <font>
      <sz val="10"/>
      <name val="Calibri"/>
      <family val="2"/>
      <scheme val="minor"/>
    </font>
    <font>
      <sz val="10"/>
      <color theme="1" tint="0.14999847407452621"/>
      <name val="A_Randhoo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color theme="1" tint="0.14999847407452621"/>
      <name val="Faruma"/>
    </font>
    <font>
      <sz val="12"/>
      <color theme="1" tint="0.14999847407452621"/>
      <name val="Arial"/>
      <family val="2"/>
    </font>
    <font>
      <b/>
      <sz val="13.5"/>
      <color rgb="FF000000"/>
      <name val="Calibri"/>
      <family val="2"/>
    </font>
    <font>
      <sz val="10"/>
      <color theme="1" tint="0.14999847407452621"/>
      <name val="A_Faseyha"/>
    </font>
    <font>
      <b/>
      <sz val="9"/>
      <color theme="1" tint="0.14999847407452621"/>
      <name val="A_Faseyha"/>
    </font>
    <font>
      <sz val="11"/>
      <color theme="1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hair">
        <color indexed="64"/>
      </left>
      <right/>
      <top/>
      <bottom style="dotted">
        <color indexed="64"/>
      </bottom>
      <diagonal/>
    </border>
    <border>
      <left/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/>
      <diagonal/>
    </border>
  </borders>
  <cellStyleXfs count="18">
    <xf numFmtId="0" fontId="0" fillId="0" borderId="0"/>
    <xf numFmtId="43" fontId="3" fillId="0" borderId="0" applyFont="0" applyFill="0" applyBorder="0" applyAlignment="0" applyProtection="0"/>
    <xf numFmtId="0" fontId="5" fillId="0" borderId="1"/>
    <xf numFmtId="164" fontId="14" fillId="0" borderId="1"/>
    <xf numFmtId="0" fontId="1" fillId="0" borderId="1"/>
    <xf numFmtId="0" fontId="14" fillId="0" borderId="1"/>
    <xf numFmtId="0" fontId="1" fillId="0" borderId="1"/>
    <xf numFmtId="43" fontId="2" fillId="0" borderId="1" applyFont="0" applyFill="0" applyBorder="0" applyAlignment="0" applyProtection="0"/>
    <xf numFmtId="43" fontId="2" fillId="0" borderId="1" applyFont="0" applyFill="0" applyBorder="0" applyAlignment="0" applyProtection="0"/>
    <xf numFmtId="0" fontId="2" fillId="0" borderId="1"/>
    <xf numFmtId="0" fontId="37" fillId="0" borderId="1"/>
    <xf numFmtId="0" fontId="38" fillId="0" borderId="1" applyFill="0" applyProtection="0"/>
    <xf numFmtId="0" fontId="39" fillId="0" borderId="1"/>
    <xf numFmtId="0" fontId="39" fillId="0" borderId="1"/>
    <xf numFmtId="0" fontId="2" fillId="0" borderId="1"/>
    <xf numFmtId="0" fontId="2" fillId="0" borderId="1"/>
    <xf numFmtId="0" fontId="2" fillId="0" borderId="1"/>
    <xf numFmtId="0" fontId="2" fillId="0" borderId="1"/>
  </cellStyleXfs>
  <cellXfs count="140">
    <xf numFmtId="0" fontId="0" fillId="0" borderId="0" xfId="0" applyFont="1" applyAlignment="1"/>
    <xf numFmtId="0" fontId="0" fillId="2" borderId="0" xfId="0" applyFont="1" applyFill="1" applyAlignment="1"/>
    <xf numFmtId="3" fontId="7" fillId="2" borderId="1" xfId="2" applyNumberFormat="1" applyFont="1" applyFill="1"/>
    <xf numFmtId="3" fontId="7" fillId="2" borderId="1" xfId="2" applyNumberFormat="1" applyFont="1" applyFill="1" applyBorder="1"/>
    <xf numFmtId="0" fontId="13" fillId="2" borderId="0" xfId="0" applyFont="1" applyFill="1"/>
    <xf numFmtId="166" fontId="17" fillId="2" borderId="0" xfId="0" applyNumberFormat="1" applyFont="1" applyFill="1" applyAlignment="1">
      <alignment vertical="center"/>
    </xf>
    <xf numFmtId="166" fontId="18" fillId="2" borderId="14" xfId="3" applyNumberFormat="1" applyFont="1" applyFill="1" applyBorder="1" applyAlignment="1">
      <alignment horizontal="right" vertical="center" wrapText="1"/>
    </xf>
    <xf numFmtId="166" fontId="18" fillId="2" borderId="15" xfId="3" applyNumberFormat="1" applyFont="1" applyFill="1" applyBorder="1" applyAlignment="1">
      <alignment horizontal="right" vertical="center" wrapText="1"/>
    </xf>
    <xf numFmtId="166" fontId="17" fillId="2" borderId="1" xfId="0" applyNumberFormat="1" applyFont="1" applyFill="1" applyBorder="1"/>
    <xf numFmtId="166" fontId="19" fillId="2" borderId="11" xfId="3" applyNumberFormat="1" applyFont="1" applyFill="1" applyBorder="1" applyAlignment="1">
      <alignment horizontal="right" vertical="center" wrapText="1"/>
    </xf>
    <xf numFmtId="166" fontId="19" fillId="2" borderId="12" xfId="3" applyNumberFormat="1" applyFont="1" applyFill="1" applyBorder="1" applyAlignment="1">
      <alignment horizontal="right" vertical="center" wrapText="1"/>
    </xf>
    <xf numFmtId="166" fontId="4" fillId="2" borderId="16" xfId="0" applyNumberFormat="1" applyFont="1" applyFill="1" applyBorder="1" applyAlignment="1">
      <alignment horizontal="center" vertical="center"/>
    </xf>
    <xf numFmtId="166" fontId="4" fillId="2" borderId="2" xfId="0" applyNumberFormat="1" applyFont="1" applyFill="1" applyBorder="1" applyAlignment="1">
      <alignment horizontal="center" vertical="center"/>
    </xf>
    <xf numFmtId="166" fontId="0" fillId="2" borderId="0" xfId="0" applyNumberFormat="1" applyFill="1"/>
    <xf numFmtId="166" fontId="18" fillId="2" borderId="1" xfId="3" applyNumberFormat="1" applyFont="1" applyFill="1" applyBorder="1" applyAlignment="1" applyProtection="1">
      <alignment horizontal="left" vertical="center"/>
    </xf>
    <xf numFmtId="37" fontId="18" fillId="2" borderId="1" xfId="1" applyNumberFormat="1" applyFont="1" applyFill="1" applyBorder="1" applyAlignment="1" applyProtection="1">
      <alignment vertical="center"/>
    </xf>
    <xf numFmtId="37" fontId="18" fillId="2" borderId="14" xfId="1" applyNumberFormat="1" applyFont="1" applyFill="1" applyBorder="1" applyAlignment="1" applyProtection="1">
      <alignment horizontal="right" vertical="center"/>
    </xf>
    <xf numFmtId="37" fontId="18" fillId="2" borderId="1" xfId="1" applyNumberFormat="1" applyFont="1" applyFill="1" applyBorder="1" applyAlignment="1" applyProtection="1">
      <alignment horizontal="right" vertical="center"/>
    </xf>
    <xf numFmtId="3" fontId="22" fillId="2" borderId="1" xfId="2" applyNumberFormat="1" applyFont="1" applyFill="1" applyBorder="1" applyAlignment="1" applyProtection="1">
      <alignment horizontal="right" vertical="center"/>
    </xf>
    <xf numFmtId="166" fontId="23" fillId="2" borderId="0" xfId="0" applyNumberFormat="1" applyFont="1" applyFill="1"/>
    <xf numFmtId="3" fontId="24" fillId="2" borderId="1" xfId="2" applyNumberFormat="1" applyFont="1" applyFill="1"/>
    <xf numFmtId="166" fontId="20" fillId="2" borderId="0" xfId="0" applyNumberFormat="1" applyFont="1" applyFill="1"/>
    <xf numFmtId="37" fontId="21" fillId="2" borderId="15" xfId="1" applyNumberFormat="1" applyFont="1" applyFill="1" applyBorder="1" applyAlignment="1">
      <alignment vertical="center"/>
    </xf>
    <xf numFmtId="3" fontId="28" fillId="2" borderId="1" xfId="2" applyNumberFormat="1" applyFont="1" applyFill="1" applyBorder="1" applyAlignment="1" applyProtection="1">
      <alignment horizontal="right" vertical="center"/>
    </xf>
    <xf numFmtId="0" fontId="0" fillId="2" borderId="0" xfId="0" applyFill="1"/>
    <xf numFmtId="3" fontId="29" fillId="2" borderId="1" xfId="1" applyNumberFormat="1" applyFont="1" applyFill="1" applyBorder="1" applyAlignment="1" applyProtection="1">
      <alignment horizontal="right" vertical="center"/>
    </xf>
    <xf numFmtId="37" fontId="27" fillId="2" borderId="1" xfId="1" applyNumberFormat="1" applyFont="1" applyFill="1" applyBorder="1" applyAlignment="1" applyProtection="1">
      <alignment vertical="center"/>
    </xf>
    <xf numFmtId="3" fontId="26" fillId="2" borderId="1" xfId="2" applyNumberFormat="1" applyFont="1" applyFill="1" applyBorder="1"/>
    <xf numFmtId="166" fontId="23" fillId="2" borderId="1" xfId="0" applyNumberFormat="1" applyFont="1" applyFill="1" applyBorder="1"/>
    <xf numFmtId="0" fontId="23" fillId="2" borderId="0" xfId="0" applyFont="1" applyFill="1"/>
    <xf numFmtId="0" fontId="23" fillId="2" borderId="1" xfId="0" applyFont="1" applyFill="1" applyBorder="1"/>
    <xf numFmtId="0" fontId="30" fillId="2" borderId="0" xfId="0" applyFont="1" applyFill="1"/>
    <xf numFmtId="0" fontId="25" fillId="2" borderId="0" xfId="0" applyFont="1" applyFill="1"/>
    <xf numFmtId="0" fontId="21" fillId="2" borderId="0" xfId="0" applyFont="1" applyFill="1" applyAlignment="1">
      <alignment horizontal="center" vertical="center"/>
    </xf>
    <xf numFmtId="166" fontId="31" fillId="2" borderId="1" xfId="3" applyNumberFormat="1" applyFont="1" applyFill="1" applyBorder="1" applyAlignment="1" applyProtection="1">
      <alignment horizontal="left" vertical="center"/>
    </xf>
    <xf numFmtId="166" fontId="32" fillId="2" borderId="1" xfId="5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0" fillId="2" borderId="1" xfId="0" applyFill="1" applyBorder="1"/>
    <xf numFmtId="0" fontId="4" fillId="2" borderId="1" xfId="0" applyFont="1" applyFill="1" applyBorder="1" applyAlignment="1">
      <alignment horizontal="center" vertical="center"/>
    </xf>
    <xf numFmtId="166" fontId="32" fillId="2" borderId="1" xfId="5" applyNumberFormat="1" applyFont="1" applyFill="1" applyBorder="1" applyAlignment="1">
      <alignment horizontal="right" vertical="center"/>
    </xf>
    <xf numFmtId="3" fontId="33" fillId="2" borderId="1" xfId="2" applyNumberFormat="1" applyFont="1" applyFill="1"/>
    <xf numFmtId="3" fontId="33" fillId="2" borderId="1" xfId="2" applyNumberFormat="1" applyFont="1" applyFill="1" applyBorder="1"/>
    <xf numFmtId="166" fontId="19" fillId="2" borderId="1" xfId="3" applyNumberFormat="1" applyFont="1" applyFill="1" applyBorder="1" applyAlignment="1">
      <alignment horizontal="right" vertical="center" wrapText="1"/>
    </xf>
    <xf numFmtId="166" fontId="20" fillId="2" borderId="1" xfId="0" applyNumberFormat="1" applyFont="1" applyFill="1" applyBorder="1"/>
    <xf numFmtId="166" fontId="4" fillId="2" borderId="1" xfId="0" applyNumberFormat="1" applyFont="1" applyFill="1" applyBorder="1" applyAlignment="1">
      <alignment horizontal="center" vertical="center"/>
    </xf>
    <xf numFmtId="37" fontId="21" fillId="2" borderId="1" xfId="1" applyNumberFormat="1" applyFont="1" applyFill="1" applyBorder="1" applyAlignment="1">
      <alignment horizontal="right" vertical="center" indent="3"/>
    </xf>
    <xf numFmtId="3" fontId="24" fillId="2" borderId="1" xfId="2" applyNumberFormat="1" applyFont="1" applyFill="1" applyBorder="1"/>
    <xf numFmtId="37" fontId="21" fillId="2" borderId="1" xfId="1" applyNumberFormat="1" applyFont="1" applyFill="1" applyBorder="1" applyAlignment="1">
      <alignment horizontal="right" vertical="center"/>
    </xf>
    <xf numFmtId="37" fontId="27" fillId="2" borderId="1" xfId="1" applyNumberFormat="1" applyFont="1" applyFill="1" applyBorder="1" applyAlignment="1" applyProtection="1">
      <alignment horizontal="right" vertical="center"/>
    </xf>
    <xf numFmtId="37" fontId="25" fillId="2" borderId="1" xfId="1" applyNumberFormat="1" applyFont="1" applyFill="1" applyBorder="1" applyAlignment="1">
      <alignment horizontal="right" vertical="center"/>
    </xf>
    <xf numFmtId="37" fontId="25" fillId="2" borderId="1" xfId="1" applyNumberFormat="1" applyFont="1" applyFill="1" applyBorder="1" applyAlignment="1">
      <alignment horizontal="right" vertical="center" indent="3"/>
    </xf>
    <xf numFmtId="37" fontId="18" fillId="2" borderId="13" xfId="1" applyNumberFormat="1" applyFont="1" applyFill="1" applyBorder="1" applyAlignment="1" applyProtection="1">
      <alignment horizontal="right" vertical="center"/>
    </xf>
    <xf numFmtId="37" fontId="18" fillId="2" borderId="6" xfId="1" applyNumberFormat="1" applyFont="1" applyFill="1" applyBorder="1" applyAlignment="1" applyProtection="1">
      <alignment horizontal="right" vertical="center"/>
    </xf>
    <xf numFmtId="37" fontId="18" fillId="2" borderId="4" xfId="1" applyNumberFormat="1" applyFont="1" applyFill="1" applyBorder="1" applyAlignment="1" applyProtection="1">
      <alignment horizontal="right" vertical="center"/>
    </xf>
    <xf numFmtId="166" fontId="15" fillId="2" borderId="2" xfId="3" applyNumberFormat="1" applyFont="1" applyFill="1" applyBorder="1" applyAlignment="1">
      <alignment horizontal="right" vertical="center" wrapText="1" indent="1"/>
    </xf>
    <xf numFmtId="166" fontId="18" fillId="2" borderId="1" xfId="3" applyNumberFormat="1" applyFont="1" applyFill="1" applyBorder="1" applyAlignment="1">
      <alignment horizontal="right" vertical="center" wrapText="1" indent="1"/>
    </xf>
    <xf numFmtId="166" fontId="19" fillId="2" borderId="2" xfId="3" applyNumberFormat="1" applyFont="1" applyFill="1" applyBorder="1" applyAlignment="1">
      <alignment horizontal="right" vertical="center" wrapText="1" indent="1"/>
    </xf>
    <xf numFmtId="37" fontId="18" fillId="2" borderId="14" xfId="1" applyNumberFormat="1" applyFont="1" applyFill="1" applyBorder="1" applyAlignment="1" applyProtection="1">
      <alignment horizontal="center" vertical="center"/>
    </xf>
    <xf numFmtId="37" fontId="21" fillId="2" borderId="13" xfId="1" applyNumberFormat="1" applyFont="1" applyFill="1" applyBorder="1" applyAlignment="1">
      <alignment vertical="center"/>
    </xf>
    <xf numFmtId="37" fontId="27" fillId="2" borderId="15" xfId="7" applyNumberFormat="1" applyFont="1" applyFill="1" applyBorder="1" applyAlignment="1">
      <alignment vertical="center"/>
    </xf>
    <xf numFmtId="0" fontId="34" fillId="2" borderId="0" xfId="0" applyFont="1" applyFill="1" applyAlignment="1">
      <alignment vertical="center"/>
    </xf>
    <xf numFmtId="37" fontId="21" fillId="2" borderId="13" xfId="8" applyNumberFormat="1" applyFont="1" applyFill="1" applyBorder="1" applyAlignment="1">
      <alignment horizontal="right" vertical="center"/>
    </xf>
    <xf numFmtId="37" fontId="21" fillId="2" borderId="15" xfId="8" applyNumberFormat="1" applyFont="1" applyFill="1" applyBorder="1" applyAlignment="1">
      <alignment horizontal="right" vertical="center"/>
    </xf>
    <xf numFmtId="0" fontId="0" fillId="2" borderId="0" xfId="0" applyFont="1" applyFill="1" applyAlignment="1">
      <alignment horizontal="left" vertical="center" indent="1"/>
    </xf>
    <xf numFmtId="37" fontId="25" fillId="2" borderId="13" xfId="8" applyNumberFormat="1" applyFont="1" applyFill="1" applyBorder="1" applyAlignment="1">
      <alignment vertical="center"/>
    </xf>
    <xf numFmtId="37" fontId="27" fillId="2" borderId="15" xfId="8" applyNumberFormat="1" applyFont="1" applyFill="1" applyBorder="1" applyAlignment="1" applyProtection="1">
      <alignment vertical="center"/>
    </xf>
    <xf numFmtId="37" fontId="27" fillId="2" borderId="1" xfId="8" applyNumberFormat="1" applyFont="1" applyFill="1" applyBorder="1" applyAlignment="1" applyProtection="1">
      <alignment vertical="center"/>
    </xf>
    <xf numFmtId="37" fontId="25" fillId="2" borderId="16" xfId="8" applyNumberFormat="1" applyFont="1" applyFill="1" applyBorder="1" applyAlignment="1">
      <alignment vertical="center"/>
    </xf>
    <xf numFmtId="37" fontId="27" fillId="2" borderId="2" xfId="8" applyNumberFormat="1" applyFont="1" applyFill="1" applyBorder="1" applyAlignment="1" applyProtection="1">
      <alignment vertical="center"/>
    </xf>
    <xf numFmtId="1" fontId="29" fillId="2" borderId="1" xfId="8" applyNumberFormat="1" applyFont="1" applyFill="1" applyBorder="1" applyAlignment="1" applyProtection="1">
      <alignment horizontal="right" vertical="center"/>
    </xf>
    <xf numFmtId="37" fontId="18" fillId="2" borderId="1" xfId="8" applyNumberFormat="1" applyFont="1" applyFill="1" applyBorder="1" applyAlignment="1" applyProtection="1">
      <alignment vertical="center"/>
    </xf>
    <xf numFmtId="37" fontId="18" fillId="2" borderId="13" xfId="8" applyNumberFormat="1" applyFont="1" applyFill="1" applyBorder="1" applyAlignment="1">
      <alignment horizontal="right" vertical="center"/>
    </xf>
    <xf numFmtId="37" fontId="21" fillId="2" borderId="13" xfId="8" applyNumberFormat="1" applyFont="1" applyFill="1" applyBorder="1" applyAlignment="1">
      <alignment horizontal="center" vertical="center"/>
    </xf>
    <xf numFmtId="37" fontId="27" fillId="2" borderId="12" xfId="7" applyNumberFormat="1" applyFont="1" applyFill="1" applyBorder="1" applyAlignment="1">
      <alignment vertical="center"/>
    </xf>
    <xf numFmtId="3" fontId="26" fillId="2" borderId="1" xfId="2" applyNumberFormat="1" applyFont="1" applyFill="1" applyAlignment="1">
      <alignment horizontal="left" vertical="center" indent="1"/>
    </xf>
    <xf numFmtId="3" fontId="26" fillId="2" borderId="1" xfId="2" applyNumberFormat="1" applyFont="1" applyFill="1" applyBorder="1" applyAlignment="1">
      <alignment horizontal="left" vertical="center" indent="1"/>
    </xf>
    <xf numFmtId="3" fontId="26" fillId="2" borderId="2" xfId="2" applyNumberFormat="1" applyFont="1" applyFill="1" applyBorder="1" applyAlignment="1">
      <alignment horizontal="left" vertical="center" indent="1"/>
    </xf>
    <xf numFmtId="37" fontId="27" fillId="2" borderId="15" xfId="8" applyNumberFormat="1" applyFont="1" applyFill="1" applyBorder="1" applyAlignment="1" applyProtection="1">
      <alignment horizontal="right" vertical="center" indent="1"/>
    </xf>
    <xf numFmtId="37" fontId="27" fillId="2" borderId="16" xfId="8" applyNumberFormat="1" applyFont="1" applyFill="1" applyBorder="1" applyAlignment="1" applyProtection="1">
      <alignment horizontal="right" vertical="center" indent="1"/>
    </xf>
    <xf numFmtId="37" fontId="27" fillId="2" borderId="15" xfId="8" applyNumberFormat="1" applyFont="1" applyFill="1" applyBorder="1" applyAlignment="1" applyProtection="1">
      <alignment horizontal="right" vertical="center" indent="5"/>
    </xf>
    <xf numFmtId="37" fontId="27" fillId="2" borderId="16" xfId="8" applyNumberFormat="1" applyFont="1" applyFill="1" applyBorder="1" applyAlignment="1" applyProtection="1">
      <alignment horizontal="right" vertical="center" indent="5"/>
    </xf>
    <xf numFmtId="166" fontId="15" fillId="2" borderId="1" xfId="3" applyNumberFormat="1" applyFont="1" applyFill="1" applyBorder="1" applyAlignment="1">
      <alignment horizontal="center" vertical="center" wrapText="1"/>
    </xf>
    <xf numFmtId="3" fontId="8" fillId="2" borderId="1" xfId="2" applyNumberFormat="1" applyFont="1" applyFill="1" applyBorder="1" applyAlignment="1" applyProtection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166" fontId="18" fillId="2" borderId="1" xfId="3" applyNumberFormat="1" applyFont="1" applyFill="1" applyBorder="1" applyAlignment="1">
      <alignment horizontal="right" vertical="center" wrapText="1"/>
    </xf>
    <xf numFmtId="0" fontId="13" fillId="2" borderId="1" xfId="0" applyFont="1" applyFill="1" applyBorder="1"/>
    <xf numFmtId="166" fontId="17" fillId="2" borderId="1" xfId="0" applyNumberFormat="1" applyFont="1" applyFill="1" applyBorder="1" applyAlignment="1">
      <alignment vertical="center"/>
    </xf>
    <xf numFmtId="166" fontId="0" fillId="2" borderId="1" xfId="0" applyNumberFormat="1" applyFill="1" applyBorder="1"/>
    <xf numFmtId="3" fontId="8" fillId="2" borderId="1" xfId="2" applyNumberFormat="1" applyFont="1" applyFill="1" applyBorder="1"/>
    <xf numFmtId="0" fontId="25" fillId="2" borderId="1" xfId="0" applyFont="1" applyFill="1" applyBorder="1"/>
    <xf numFmtId="37" fontId="13" fillId="2" borderId="1" xfId="0" applyNumberFormat="1" applyFont="1" applyFill="1" applyBorder="1"/>
    <xf numFmtId="37" fontId="27" fillId="2" borderId="1" xfId="7" applyNumberFormat="1" applyFont="1" applyFill="1" applyBorder="1" applyAlignment="1">
      <alignment vertical="center"/>
    </xf>
    <xf numFmtId="37" fontId="21" fillId="2" borderId="1" xfId="1" applyNumberFormat="1" applyFont="1" applyFill="1" applyBorder="1" applyAlignment="1">
      <alignment vertical="center"/>
    </xf>
    <xf numFmtId="0" fontId="2" fillId="2" borderId="1" xfId="0" applyFont="1" applyFill="1" applyBorder="1"/>
    <xf numFmtId="3" fontId="35" fillId="2" borderId="1" xfId="2" applyNumberFormat="1" applyFont="1" applyFill="1" applyBorder="1" applyAlignment="1" applyProtection="1">
      <alignment horizontal="right" vertical="center" indent="1"/>
    </xf>
    <xf numFmtId="3" fontId="35" fillId="2" borderId="2" xfId="2" applyNumberFormat="1" applyFont="1" applyFill="1" applyBorder="1" applyAlignment="1" applyProtection="1">
      <alignment horizontal="right" vertical="center" indent="1"/>
    </xf>
    <xf numFmtId="166" fontId="15" fillId="2" borderId="1" xfId="3" applyNumberFormat="1" applyFont="1" applyFill="1" applyBorder="1" applyAlignment="1">
      <alignment horizontal="center" vertical="center" wrapText="1"/>
    </xf>
    <xf numFmtId="3" fontId="6" fillId="2" borderId="1" xfId="2" applyNumberFormat="1" applyFont="1" applyFill="1" applyAlignment="1">
      <alignment horizontal="center" vertical="center" readingOrder="2"/>
    </xf>
    <xf numFmtId="3" fontId="8" fillId="2" borderId="1" xfId="2" applyNumberFormat="1" applyFont="1" applyFill="1" applyBorder="1" applyAlignment="1" applyProtection="1">
      <alignment horizontal="center" vertical="center"/>
    </xf>
    <xf numFmtId="3" fontId="9" fillId="2" borderId="3" xfId="2" applyNumberFormat="1" applyFont="1" applyFill="1" applyBorder="1" applyAlignment="1">
      <alignment horizontal="left" vertical="center"/>
    </xf>
    <xf numFmtId="3" fontId="9" fillId="2" borderId="1" xfId="2" applyNumberFormat="1" applyFont="1" applyFill="1" applyBorder="1" applyAlignment="1">
      <alignment horizontal="left" vertical="center"/>
    </xf>
    <xf numFmtId="3" fontId="9" fillId="2" borderId="2" xfId="2" applyNumberFormat="1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right" vertical="center" wrapText="1" indent="1"/>
    </xf>
    <xf numFmtId="0" fontId="10" fillId="2" borderId="7" xfId="0" applyFont="1" applyFill="1" applyBorder="1" applyAlignment="1">
      <alignment horizontal="right" vertical="center" wrapText="1" inden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wrapText="1"/>
    </xf>
    <xf numFmtId="0" fontId="10" fillId="2" borderId="5" xfId="0" applyFont="1" applyFill="1" applyBorder="1" applyAlignment="1">
      <alignment horizontal="center" wrapText="1"/>
    </xf>
    <xf numFmtId="0" fontId="10" fillId="2" borderId="8" xfId="0" applyFont="1" applyFill="1" applyBorder="1" applyAlignment="1">
      <alignment horizontal="center" wrapText="1"/>
    </xf>
    <xf numFmtId="0" fontId="10" fillId="2" borderId="9" xfId="0" applyFont="1" applyFill="1" applyBorder="1" applyAlignment="1">
      <alignment horizontal="center" wrapText="1"/>
    </xf>
    <xf numFmtId="0" fontId="11" fillId="2" borderId="4" xfId="0" applyFont="1" applyFill="1" applyBorder="1" applyAlignment="1">
      <alignment horizontal="right" vertical="center" wrapText="1"/>
    </xf>
    <xf numFmtId="0" fontId="11" fillId="2" borderId="8" xfId="0" applyFont="1" applyFill="1" applyBorder="1" applyAlignment="1">
      <alignment horizontal="right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3" fontId="36" fillId="2" borderId="3" xfId="2" applyNumberFormat="1" applyFont="1" applyFill="1" applyBorder="1" applyAlignment="1">
      <alignment horizontal="right" vertical="center" wrapText="1"/>
    </xf>
    <xf numFmtId="3" fontId="36" fillId="2" borderId="1" xfId="2" applyNumberFormat="1" applyFont="1" applyFill="1" applyBorder="1" applyAlignment="1">
      <alignment horizontal="right" vertical="center" wrapText="1"/>
    </xf>
    <xf numFmtId="3" fontId="36" fillId="2" borderId="2" xfId="2" applyNumberFormat="1" applyFont="1" applyFill="1" applyBorder="1" applyAlignment="1">
      <alignment horizontal="right" vertical="center" wrapText="1"/>
    </xf>
    <xf numFmtId="166" fontId="15" fillId="2" borderId="11" xfId="3" applyNumberFormat="1" applyFont="1" applyFill="1" applyBorder="1" applyAlignment="1">
      <alignment horizontal="center" vertical="center" wrapText="1"/>
    </xf>
    <xf numFmtId="166" fontId="15" fillId="2" borderId="12" xfId="3" applyNumberFormat="1" applyFont="1" applyFill="1" applyBorder="1" applyAlignment="1">
      <alignment horizontal="center" vertical="center" wrapText="1"/>
    </xf>
    <xf numFmtId="166" fontId="15" fillId="2" borderId="13" xfId="3" applyNumberFormat="1" applyFont="1" applyFill="1" applyBorder="1" applyAlignment="1">
      <alignment horizontal="center" vertical="center" wrapText="1"/>
    </xf>
    <xf numFmtId="166" fontId="15" fillId="2" borderId="1" xfId="3" applyNumberFormat="1" applyFont="1" applyFill="1" applyBorder="1" applyAlignment="1">
      <alignment horizontal="center" vertical="center" wrapText="1"/>
    </xf>
    <xf numFmtId="166" fontId="15" fillId="2" borderId="17" xfId="3" applyNumberFormat="1" applyFont="1" applyFill="1" applyBorder="1" applyAlignment="1">
      <alignment horizontal="right" vertical="center" wrapText="1"/>
    </xf>
    <xf numFmtId="166" fontId="15" fillId="2" borderId="13" xfId="3" applyNumberFormat="1" applyFont="1" applyFill="1" applyBorder="1" applyAlignment="1">
      <alignment horizontal="right" vertical="center" wrapText="1"/>
    </xf>
    <xf numFmtId="166" fontId="15" fillId="2" borderId="16" xfId="3" applyNumberFormat="1" applyFont="1" applyFill="1" applyBorder="1" applyAlignment="1">
      <alignment horizontal="right" vertical="center" wrapText="1"/>
    </xf>
    <xf numFmtId="166" fontId="16" fillId="2" borderId="1" xfId="3" applyNumberFormat="1" applyFont="1" applyFill="1" applyBorder="1" applyAlignment="1">
      <alignment horizontal="right" vertical="center" wrapText="1"/>
    </xf>
    <xf numFmtId="3" fontId="6" fillId="2" borderId="1" xfId="2" applyNumberFormat="1" applyFont="1" applyFill="1" applyBorder="1" applyAlignment="1">
      <alignment horizontal="center" vertical="center" readingOrder="2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wrapText="1"/>
    </xf>
    <xf numFmtId="0" fontId="11" fillId="2" borderId="1" xfId="0" applyFont="1" applyFill="1" applyBorder="1" applyAlignment="1">
      <alignment horizontal="right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2" fillId="2" borderId="1" xfId="2" applyNumberFormat="1" applyFont="1" applyFill="1" applyBorder="1" applyAlignment="1">
      <alignment horizontal="right" vertical="center" wrapText="1"/>
    </xf>
    <xf numFmtId="37" fontId="21" fillId="2" borderId="1" xfId="1" applyNumberFormat="1" applyFont="1" applyFill="1" applyBorder="1" applyAlignment="1">
      <alignment horizontal="center" vertical="center"/>
    </xf>
    <xf numFmtId="37" fontId="27" fillId="2" borderId="1" xfId="1" applyNumberFormat="1" applyFont="1" applyFill="1" applyBorder="1" applyAlignment="1" applyProtection="1">
      <alignment horizontal="center" vertical="center"/>
    </xf>
    <xf numFmtId="37" fontId="25" fillId="2" borderId="1" xfId="1" applyNumberFormat="1" applyFont="1" applyFill="1" applyBorder="1" applyAlignment="1">
      <alignment horizontal="center" vertical="center"/>
    </xf>
    <xf numFmtId="37" fontId="25" fillId="2" borderId="14" xfId="1" applyNumberFormat="1" applyFont="1" applyFill="1" applyBorder="1" applyAlignment="1">
      <alignment horizontal="center" vertical="center"/>
    </xf>
    <xf numFmtId="37" fontId="25" fillId="2" borderId="11" xfId="1" applyNumberFormat="1" applyFont="1" applyFill="1" applyBorder="1" applyAlignment="1">
      <alignment horizontal="center" vertical="center"/>
    </xf>
  </cellXfs>
  <cellStyles count="18">
    <cellStyle name="Comma" xfId="1" builtinId="3"/>
    <cellStyle name="Comma 23" xfId="8"/>
    <cellStyle name="Comma 3" xfId="7"/>
    <cellStyle name="Normal" xfId="0" builtinId="0"/>
    <cellStyle name="Normal 10" xfId="13"/>
    <cellStyle name="Normal 12" xfId="6"/>
    <cellStyle name="Normal 2" xfId="3"/>
    <cellStyle name="Normal 25" xfId="17"/>
    <cellStyle name="Normal 3" xfId="10"/>
    <cellStyle name="Normal 3 2" xfId="4"/>
    <cellStyle name="Normal 30" xfId="12"/>
    <cellStyle name="Normal 4" xfId="11"/>
    <cellStyle name="Normal 54" xfId="14"/>
    <cellStyle name="Normal 58" xfId="16"/>
    <cellStyle name="Normal 59" xfId="15"/>
    <cellStyle name="Normal 8" xfId="9"/>
    <cellStyle name="Normal_3 Population." xfId="5"/>
    <cellStyle name="Normal_II-15(Population) 2" xfId="2"/>
  </cellStyles>
  <dxfs count="0"/>
  <tableStyles count="0" defaultTableStyle="TableStyleMedium2" defaultPivotStyle="PivotStyleLight16"/>
  <colors>
    <mruColors>
      <color rgb="FFB2EDEC"/>
      <color rgb="FF249390"/>
      <color rgb="FF33CCCC"/>
      <color rgb="FFFFBC79"/>
      <color rgb="FFBFF0EF"/>
      <color rgb="FFEAFAFA"/>
      <color rgb="FFFF9900"/>
      <color rgb="FF196563"/>
      <color rgb="FFFFDAA3"/>
      <color rgb="FFE5C9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200" b="1" i="0" u="none" strike="noStrike" baseline="0">
                <a:effectLst/>
                <a:latin typeface="+mn-lt"/>
              </a:rPr>
              <a:t>Figure 18.20:  NUMBER OF PERSON SERVICED UNDER HEALTH INSURANCE SCHEMES BY ATOLL, 2019 - 2020</a:t>
            </a:r>
            <a:endParaRPr lang="en-US" sz="1200">
              <a:latin typeface="+mn-lt"/>
            </a:endParaRPr>
          </a:p>
        </c:rich>
      </c:tx>
      <c:layout>
        <c:manualLayout>
          <c:xMode val="edge"/>
          <c:yMode val="edge"/>
          <c:x val="0.18009829207292896"/>
          <c:y val="7.131518153502806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7045954897955141E-2"/>
          <c:y val="0.20294790493901321"/>
          <c:w val="0.90863920347488047"/>
          <c:h val="0.6911985941149064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'18.18'!$AV$43</c:f>
              <c:strCache>
                <c:ptCount val="1"/>
                <c:pt idx="0">
                  <c:v>2019 </c:v>
                </c:pt>
              </c:strCache>
            </c:strRef>
          </c:tx>
          <c:spPr>
            <a:solidFill>
              <a:srgbClr val="249390"/>
            </a:solidFill>
            <a:ln>
              <a:noFill/>
            </a:ln>
          </c:spPr>
          <c:invertIfNegative val="0"/>
          <c:cat>
            <c:strRef>
              <c:f>'18.18'!$AU$44:$AU$64</c:f>
              <c:strCache>
                <c:ptCount val="21"/>
                <c:pt idx="0">
                  <c:v>Male' </c:v>
                </c:pt>
                <c:pt idx="1">
                  <c:v> 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 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'18.18'!$AV$44:$AV$64</c:f>
              <c:numCache>
                <c:formatCode>#,##0_);\(#,##0\)</c:formatCode>
                <c:ptCount val="21"/>
                <c:pt idx="0">
                  <c:v>61192</c:v>
                </c:pt>
                <c:pt idx="1">
                  <c:v>21255</c:v>
                </c:pt>
                <c:pt idx="2">
                  <c:v>25100</c:v>
                </c:pt>
                <c:pt idx="3">
                  <c:v>16879</c:v>
                </c:pt>
                <c:pt idx="4">
                  <c:v>15363</c:v>
                </c:pt>
                <c:pt idx="5">
                  <c:v>22095</c:v>
                </c:pt>
                <c:pt idx="6">
                  <c:v>13749</c:v>
                </c:pt>
                <c:pt idx="7">
                  <c:v>12292</c:v>
                </c:pt>
                <c:pt idx="8">
                  <c:v>12789</c:v>
                </c:pt>
                <c:pt idx="9">
                  <c:v>7881</c:v>
                </c:pt>
                <c:pt idx="10">
                  <c:v>10975</c:v>
                </c:pt>
                <c:pt idx="11">
                  <c:v>2337</c:v>
                </c:pt>
                <c:pt idx="12">
                  <c:v>6998</c:v>
                </c:pt>
                <c:pt idx="13">
                  <c:v>5981</c:v>
                </c:pt>
                <c:pt idx="14">
                  <c:v>7445</c:v>
                </c:pt>
                <c:pt idx="15" formatCode="General">
                  <c:v>15185</c:v>
                </c:pt>
                <c:pt idx="16" formatCode="General">
                  <c:v>17079</c:v>
                </c:pt>
                <c:pt idx="17" formatCode="General">
                  <c:v>13784</c:v>
                </c:pt>
                <c:pt idx="18" formatCode="General">
                  <c:v>19660</c:v>
                </c:pt>
                <c:pt idx="19" formatCode="General">
                  <c:v>11506</c:v>
                </c:pt>
                <c:pt idx="20" formatCode="General">
                  <c:v>30198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D7-4050-872F-7D3CC4AC9683}"/>
            </c:ext>
          </c:extLst>
        </c:ser>
        <c:ser>
          <c:idx val="3"/>
          <c:order val="1"/>
          <c:tx>
            <c:strRef>
              <c:f>'18.18'!$AW$43</c:f>
              <c:strCache>
                <c:ptCount val="1"/>
                <c:pt idx="0">
                  <c:v>2020 </c:v>
                </c:pt>
              </c:strCache>
            </c:strRef>
          </c:tx>
          <c:spPr>
            <a:solidFill>
              <a:srgbClr val="FFBC79"/>
            </a:solidFill>
          </c:spPr>
          <c:invertIfNegative val="0"/>
          <c:cat>
            <c:strRef>
              <c:f>'18.18'!$AU$44:$AU$64</c:f>
              <c:strCache>
                <c:ptCount val="21"/>
                <c:pt idx="0">
                  <c:v>Male' </c:v>
                </c:pt>
                <c:pt idx="1">
                  <c:v> 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 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'18.18'!$AW$44:$AW$64</c:f>
              <c:numCache>
                <c:formatCode>#,##0_);\(#,##0\)</c:formatCode>
                <c:ptCount val="21"/>
                <c:pt idx="0">
                  <c:v>57699</c:v>
                </c:pt>
                <c:pt idx="1">
                  <c:v>19991</c:v>
                </c:pt>
                <c:pt idx="2">
                  <c:v>23979</c:v>
                </c:pt>
                <c:pt idx="3">
                  <c:v>15683</c:v>
                </c:pt>
                <c:pt idx="4">
                  <c:v>14205</c:v>
                </c:pt>
                <c:pt idx="5">
                  <c:v>20706</c:v>
                </c:pt>
                <c:pt idx="6">
                  <c:v>12974</c:v>
                </c:pt>
                <c:pt idx="7">
                  <c:v>11539</c:v>
                </c:pt>
                <c:pt idx="8">
                  <c:v>12103</c:v>
                </c:pt>
                <c:pt idx="9">
                  <c:v>7502</c:v>
                </c:pt>
                <c:pt idx="10">
                  <c:v>10468</c:v>
                </c:pt>
                <c:pt idx="11">
                  <c:v>2157</c:v>
                </c:pt>
                <c:pt idx="12">
                  <c:v>6554</c:v>
                </c:pt>
                <c:pt idx="13">
                  <c:v>5729</c:v>
                </c:pt>
                <c:pt idx="14">
                  <c:v>6980</c:v>
                </c:pt>
                <c:pt idx="15">
                  <c:v>14382</c:v>
                </c:pt>
                <c:pt idx="16">
                  <c:v>16220</c:v>
                </c:pt>
                <c:pt idx="17">
                  <c:v>13222</c:v>
                </c:pt>
                <c:pt idx="18">
                  <c:v>18540</c:v>
                </c:pt>
                <c:pt idx="19">
                  <c:v>10771</c:v>
                </c:pt>
                <c:pt idx="20">
                  <c:v>28974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D7-4050-872F-7D3CC4AC9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401219856"/>
        <c:axId val="401221032"/>
      </c:barChart>
      <c:catAx>
        <c:axId val="4012198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01221032"/>
        <c:crosses val="autoZero"/>
        <c:auto val="1"/>
        <c:lblAlgn val="ctr"/>
        <c:lblOffset val="100"/>
        <c:noMultiLvlLbl val="0"/>
      </c:catAx>
      <c:valAx>
        <c:axId val="401221032"/>
        <c:scaling>
          <c:orientation val="minMax"/>
          <c:max val="70000"/>
        </c:scaling>
        <c:delete val="0"/>
        <c:axPos val="l"/>
        <c:majorGridlines>
          <c:spPr>
            <a:ln>
              <a:solidFill>
                <a:srgbClr val="BFF0EF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crossAx val="401219856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3194397935816538"/>
          <c:y val="0.30297787671458587"/>
          <c:w val="0.18085279016128414"/>
          <c:h val="0.13487431578492837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942780</xdr:colOff>
      <xdr:row>33</xdr:row>
      <xdr:rowOff>27991</xdr:rowOff>
    </xdr:from>
    <xdr:to>
      <xdr:col>9</xdr:col>
      <xdr:colOff>442710</xdr:colOff>
      <xdr:row>49</xdr:row>
      <xdr:rowOff>113717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0.00756</cdr:x>
      <cdr:y>0.11247</cdr:y>
    </cdr:from>
    <cdr:to>
      <cdr:x>0.17128</cdr:x>
      <cdr:y>0.17514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7149" y="379220"/>
          <a:ext cx="1238251" cy="2113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/>
            <a:t>Number of persons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18.%20PENSION%20AND%20SOCIAL%20PROTECTION_NSPA%20-%20%2025.08.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.16"/>
      <sheetName val="18.17"/>
      <sheetName val="18.18"/>
      <sheetName val="18.19"/>
      <sheetName val="18.20"/>
      <sheetName val="18.21"/>
      <sheetName val="18.22"/>
      <sheetName val="18.23"/>
      <sheetName val="18.24"/>
      <sheetName val="18.25"/>
    </sheetNames>
    <sheetDataSet>
      <sheetData sheetId="0"/>
      <sheetData sheetId="1"/>
      <sheetData sheetId="2"/>
      <sheetData sheetId="3">
        <row r="7">
          <cell r="A7" t="str">
            <v xml:space="preserve">Male' </v>
          </cell>
          <cell r="B7">
            <v>1164428500.4760997</v>
          </cell>
        </row>
        <row r="8">
          <cell r="A8" t="str">
            <v>Atolls</v>
          </cell>
          <cell r="B8">
            <v>725519558.47500014</v>
          </cell>
        </row>
        <row r="9">
          <cell r="A9" t="str">
            <v>Overseas</v>
          </cell>
          <cell r="B9">
            <v>124721731.0976</v>
          </cell>
        </row>
        <row r="11">
          <cell r="Q11">
            <v>2016</v>
          </cell>
          <cell r="R11">
            <v>2017</v>
          </cell>
          <cell r="S11">
            <v>2018</v>
          </cell>
          <cell r="T11">
            <v>2019</v>
          </cell>
          <cell r="U11">
            <v>2020</v>
          </cell>
        </row>
        <row r="12">
          <cell r="N12" t="str">
            <v>Republic</v>
          </cell>
          <cell r="Q12">
            <v>1675199187.0308001</v>
          </cell>
          <cell r="R12">
            <v>1797290685.4405</v>
          </cell>
          <cell r="S12">
            <v>2164672441.0613999</v>
          </cell>
          <cell r="T12">
            <v>2433716952.1484995</v>
          </cell>
          <cell r="U12">
            <v>2014669790.0487001</v>
          </cell>
        </row>
        <row r="13">
          <cell r="N13" t="str">
            <v xml:space="preserve">Male' </v>
          </cell>
          <cell r="Q13">
            <v>899761456.92000008</v>
          </cell>
          <cell r="R13">
            <v>1040187042.5204999</v>
          </cell>
          <cell r="S13">
            <v>1255240833.9584999</v>
          </cell>
          <cell r="T13">
            <v>1488868041.2019994</v>
          </cell>
          <cell r="U13">
            <v>1164428500.4760997</v>
          </cell>
        </row>
        <row r="14">
          <cell r="N14" t="str">
            <v>Atolls</v>
          </cell>
          <cell r="Q14">
            <v>552084045.86000001</v>
          </cell>
          <cell r="R14">
            <v>582040521.91999996</v>
          </cell>
          <cell r="S14">
            <v>642497891.10289991</v>
          </cell>
          <cell r="T14">
            <v>665276794.77769983</v>
          </cell>
          <cell r="U14">
            <v>725519558.47500014</v>
          </cell>
        </row>
        <row r="15">
          <cell r="N15" t="str">
            <v>Overseas</v>
          </cell>
          <cell r="Q15">
            <v>223353684.25080001</v>
          </cell>
          <cell r="R15">
            <v>175063121</v>
          </cell>
          <cell r="S15">
            <v>266933716</v>
          </cell>
          <cell r="T15">
            <v>279572116.1688</v>
          </cell>
          <cell r="U15">
            <v>124721731.0976</v>
          </cell>
        </row>
      </sheetData>
      <sheetData sheetId="4">
        <row r="38">
          <cell r="P38" t="str">
            <v>Hospitals</v>
          </cell>
          <cell r="Q38" t="str">
            <v>Pharmacies</v>
          </cell>
          <cell r="R38" t="str">
            <v>Opticals</v>
          </cell>
          <cell r="S38" t="str">
            <v>Clinics</v>
          </cell>
          <cell r="T38" t="str">
            <v>Airfare Tickets</v>
          </cell>
          <cell r="U38" t="str">
            <v>Emergency Evacuation - Sea</v>
          </cell>
        </row>
        <row r="39">
          <cell r="P39">
            <v>1083950632.6737001</v>
          </cell>
          <cell r="Q39">
            <v>752713889.11500001</v>
          </cell>
          <cell r="R39">
            <v>27752269.409999996</v>
          </cell>
          <cell r="S39">
            <v>75774147.599999994</v>
          </cell>
          <cell r="T39">
            <v>15723963.66</v>
          </cell>
          <cell r="U39">
            <v>20773359.949999999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HG64"/>
  <sheetViews>
    <sheetView tabSelected="1" topLeftCell="A4" zoomScale="98" zoomScaleNormal="98" workbookViewId="0">
      <selection activeCell="H13" sqref="H13"/>
    </sheetView>
  </sheetViews>
  <sheetFormatPr defaultColWidth="9.140625" defaultRowHeight="15" x14ac:dyDescent="0.25"/>
  <cols>
    <col min="1" max="1" width="26.28515625" style="24" customWidth="1"/>
    <col min="2" max="2" width="14.42578125" style="24" customWidth="1"/>
    <col min="3" max="4" width="14.140625" style="24" customWidth="1"/>
    <col min="5" max="5" width="13.42578125" style="24" customWidth="1"/>
    <col min="6" max="6" width="12.7109375" style="24" customWidth="1"/>
    <col min="7" max="7" width="13" style="24" customWidth="1"/>
    <col min="8" max="8" width="19.28515625" style="36" customWidth="1"/>
    <col min="9" max="9" width="18.140625" style="36" customWidth="1"/>
    <col min="10" max="10" width="25.28515625" style="24" customWidth="1"/>
    <col min="11" max="11" width="3.140625" style="24" customWidth="1"/>
    <col min="12" max="12" width="32.85546875" style="24" customWidth="1"/>
    <col min="13" max="13" width="35.28515625" style="24" customWidth="1"/>
    <col min="14" max="43" width="9.140625" style="24"/>
    <col min="44" max="48" width="9.140625" style="37"/>
    <col min="49" max="49" width="12.5703125" style="37" customWidth="1"/>
    <col min="50" max="54" width="9.140625" style="37"/>
    <col min="55" max="16384" width="9.140625" style="24"/>
  </cols>
  <sheetData>
    <row r="1" spans="1:54" s="2" customFormat="1" ht="21" x14ac:dyDescent="0.2">
      <c r="A1" s="97" t="s">
        <v>93</v>
      </c>
      <c r="B1" s="97"/>
      <c r="C1" s="97"/>
      <c r="D1" s="97"/>
      <c r="E1" s="97"/>
      <c r="F1" s="97"/>
      <c r="G1" s="97"/>
      <c r="H1" s="97"/>
      <c r="I1" s="97"/>
      <c r="J1" s="97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</row>
    <row r="2" spans="1:54" s="2" customFormat="1" x14ac:dyDescent="0.2">
      <c r="A2" s="98" t="s">
        <v>92</v>
      </c>
      <c r="B2" s="98"/>
      <c r="C2" s="98"/>
      <c r="D2" s="98"/>
      <c r="E2" s="98"/>
      <c r="F2" s="98"/>
      <c r="G2" s="98"/>
      <c r="H2" s="98"/>
      <c r="I2" s="98"/>
      <c r="J2" s="98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</row>
    <row r="3" spans="1:54" s="3" customFormat="1" x14ac:dyDescent="0.2">
      <c r="A3" s="82"/>
      <c r="B3" s="82"/>
      <c r="C3" s="82"/>
      <c r="D3" s="82"/>
      <c r="E3" s="82"/>
      <c r="F3" s="82"/>
      <c r="G3" s="82"/>
      <c r="H3" s="82"/>
      <c r="I3" s="82"/>
      <c r="J3" s="82"/>
    </row>
    <row r="4" spans="1:54" s="4" customFormat="1" ht="25.5" customHeight="1" x14ac:dyDescent="0.45">
      <c r="A4" s="99" t="s">
        <v>0</v>
      </c>
      <c r="B4" s="102" t="s">
        <v>1</v>
      </c>
      <c r="C4" s="104" t="s">
        <v>2</v>
      </c>
      <c r="D4" s="105"/>
      <c r="E4" s="108" t="s">
        <v>3</v>
      </c>
      <c r="F4" s="109"/>
      <c r="G4" s="112" t="s">
        <v>4</v>
      </c>
      <c r="H4" s="114" t="s">
        <v>5</v>
      </c>
      <c r="I4" s="116" t="s">
        <v>6</v>
      </c>
      <c r="J4" s="118" t="s">
        <v>7</v>
      </c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</row>
    <row r="5" spans="1:54" s="4" customFormat="1" ht="31.5" customHeight="1" x14ac:dyDescent="0.45">
      <c r="A5" s="100"/>
      <c r="B5" s="103"/>
      <c r="C5" s="106"/>
      <c r="D5" s="107"/>
      <c r="E5" s="110"/>
      <c r="F5" s="111"/>
      <c r="G5" s="113"/>
      <c r="H5" s="115"/>
      <c r="I5" s="117"/>
      <c r="J5" s="119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</row>
    <row r="6" spans="1:54" s="5" customFormat="1" ht="36" x14ac:dyDescent="0.25">
      <c r="A6" s="100"/>
      <c r="B6" s="54" t="s">
        <v>8</v>
      </c>
      <c r="C6" s="121" t="s">
        <v>9</v>
      </c>
      <c r="D6" s="122"/>
      <c r="E6" s="121" t="s">
        <v>71</v>
      </c>
      <c r="F6" s="122"/>
      <c r="G6" s="125" t="s">
        <v>10</v>
      </c>
      <c r="H6" s="123" t="s">
        <v>69</v>
      </c>
      <c r="I6" s="124" t="s">
        <v>70</v>
      </c>
      <c r="J6" s="119"/>
      <c r="L6" s="60"/>
      <c r="M6" s="1"/>
      <c r="N6" s="124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</row>
    <row r="7" spans="1:54" s="8" customFormat="1" ht="18" x14ac:dyDescent="0.25">
      <c r="A7" s="100"/>
      <c r="B7" s="55" t="s">
        <v>11</v>
      </c>
      <c r="C7" s="6" t="s">
        <v>12</v>
      </c>
      <c r="D7" s="7" t="s">
        <v>13</v>
      </c>
      <c r="E7" s="6" t="s">
        <v>12</v>
      </c>
      <c r="F7" s="7" t="s">
        <v>14</v>
      </c>
      <c r="G7" s="126"/>
      <c r="H7" s="123"/>
      <c r="I7" s="124"/>
      <c r="J7" s="119"/>
      <c r="L7" s="60"/>
      <c r="M7" s="1"/>
      <c r="N7" s="124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</row>
    <row r="8" spans="1:54" s="13" customFormat="1" ht="18.75" x14ac:dyDescent="0.25">
      <c r="A8" s="101"/>
      <c r="B8" s="56" t="s">
        <v>15</v>
      </c>
      <c r="C8" s="9" t="s">
        <v>16</v>
      </c>
      <c r="D8" s="10" t="s">
        <v>17</v>
      </c>
      <c r="E8" s="9" t="s">
        <v>18</v>
      </c>
      <c r="F8" s="10" t="s">
        <v>17</v>
      </c>
      <c r="G8" s="127"/>
      <c r="H8" s="11"/>
      <c r="I8" s="12"/>
      <c r="J8" s="120"/>
      <c r="L8" s="60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</row>
    <row r="9" spans="1:54" s="19" customFormat="1" ht="18.75" x14ac:dyDescent="0.25">
      <c r="A9" s="14" t="s">
        <v>19</v>
      </c>
      <c r="B9" s="15">
        <f>SUM(B10:B11)</f>
        <v>330378</v>
      </c>
      <c r="C9" s="16">
        <f>SUM(C10:C11)</f>
        <v>2905</v>
      </c>
      <c r="D9" s="53">
        <f t="shared" ref="D9:I9" si="0">SUM(D10:D11)</f>
        <v>4965</v>
      </c>
      <c r="E9" s="52">
        <f t="shared" si="0"/>
        <v>111</v>
      </c>
      <c r="F9" s="17">
        <f t="shared" si="0"/>
        <v>149</v>
      </c>
      <c r="G9" s="16">
        <f t="shared" si="0"/>
        <v>3584</v>
      </c>
      <c r="H9" s="72">
        <f>SUM(H10:H11)</f>
        <v>8948</v>
      </c>
      <c r="I9" s="57">
        <f t="shared" si="0"/>
        <v>535</v>
      </c>
      <c r="J9" s="18" t="s">
        <v>20</v>
      </c>
      <c r="L9" s="17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</row>
    <row r="10" spans="1:54" s="21" customFormat="1" ht="18.75" x14ac:dyDescent="0.25">
      <c r="A10" s="20" t="s">
        <v>21</v>
      </c>
      <c r="B10" s="22">
        <v>57699</v>
      </c>
      <c r="C10" s="61">
        <v>807</v>
      </c>
      <c r="D10" s="61">
        <v>1241</v>
      </c>
      <c r="E10" s="61">
        <v>17</v>
      </c>
      <c r="F10" s="62">
        <v>18</v>
      </c>
      <c r="G10" s="71">
        <v>953</v>
      </c>
      <c r="H10" s="72">
        <v>2752</v>
      </c>
      <c r="I10" s="135">
        <v>205</v>
      </c>
      <c r="J10" s="18" t="s">
        <v>22</v>
      </c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</row>
    <row r="11" spans="1:54" s="19" customFormat="1" ht="18.75" x14ac:dyDescent="0.25">
      <c r="A11" s="14" t="s">
        <v>23</v>
      </c>
      <c r="B11" s="22">
        <f>SUM(B12:B31)</f>
        <v>272679</v>
      </c>
      <c r="C11" s="16">
        <f t="shared" ref="C11:I11" si="1">SUM(C12:C31)</f>
        <v>2098</v>
      </c>
      <c r="D11" s="51">
        <f t="shared" si="1"/>
        <v>3724</v>
      </c>
      <c r="E11" s="58">
        <f t="shared" si="1"/>
        <v>94</v>
      </c>
      <c r="F11" s="22">
        <f t="shared" si="1"/>
        <v>131</v>
      </c>
      <c r="G11" s="47">
        <f t="shared" si="1"/>
        <v>2631</v>
      </c>
      <c r="H11" s="72">
        <f t="shared" si="1"/>
        <v>6196</v>
      </c>
      <c r="I11" s="135">
        <f t="shared" si="1"/>
        <v>330</v>
      </c>
      <c r="J11" s="18" t="s">
        <v>24</v>
      </c>
      <c r="M11" s="63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</row>
    <row r="12" spans="1:54" s="19" customFormat="1" ht="15.75" x14ac:dyDescent="0.25">
      <c r="A12" s="74" t="s">
        <v>25</v>
      </c>
      <c r="B12" s="59">
        <v>19991</v>
      </c>
      <c r="C12" s="64">
        <v>108</v>
      </c>
      <c r="D12" s="65">
        <v>192</v>
      </c>
      <c r="E12" s="64">
        <v>2</v>
      </c>
      <c r="F12" s="65">
        <v>2</v>
      </c>
      <c r="G12" s="77">
        <v>266</v>
      </c>
      <c r="H12" s="79">
        <v>459</v>
      </c>
      <c r="I12" s="136">
        <v>24</v>
      </c>
      <c r="J12" s="94" t="s">
        <v>26</v>
      </c>
      <c r="M12" s="63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</row>
    <row r="13" spans="1:54" s="19" customFormat="1" ht="15.75" x14ac:dyDescent="0.25">
      <c r="A13" s="74" t="s">
        <v>27</v>
      </c>
      <c r="B13" s="59">
        <v>23979</v>
      </c>
      <c r="C13" s="64">
        <v>210</v>
      </c>
      <c r="D13" s="65">
        <v>391</v>
      </c>
      <c r="E13" s="64">
        <v>4</v>
      </c>
      <c r="F13" s="65">
        <v>4</v>
      </c>
      <c r="G13" s="77">
        <v>164</v>
      </c>
      <c r="H13" s="79">
        <v>628</v>
      </c>
      <c r="I13" s="137">
        <v>48</v>
      </c>
      <c r="J13" s="94" t="s">
        <v>28</v>
      </c>
      <c r="M13" s="63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</row>
    <row r="14" spans="1:54" s="19" customFormat="1" ht="15.75" x14ac:dyDescent="0.25">
      <c r="A14" s="74" t="s">
        <v>29</v>
      </c>
      <c r="B14" s="59">
        <v>15683</v>
      </c>
      <c r="C14" s="64">
        <v>93</v>
      </c>
      <c r="D14" s="65">
        <v>154</v>
      </c>
      <c r="E14" s="64">
        <v>2</v>
      </c>
      <c r="F14" s="65">
        <v>2</v>
      </c>
      <c r="G14" s="77">
        <v>117</v>
      </c>
      <c r="H14" s="79">
        <v>405</v>
      </c>
      <c r="I14" s="137">
        <v>10</v>
      </c>
      <c r="J14" s="94" t="s">
        <v>30</v>
      </c>
      <c r="M14" s="63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</row>
    <row r="15" spans="1:54" s="19" customFormat="1" ht="15.75" x14ac:dyDescent="0.25">
      <c r="A15" s="74" t="s">
        <v>31</v>
      </c>
      <c r="B15" s="59">
        <v>14205</v>
      </c>
      <c r="C15" s="64">
        <v>129</v>
      </c>
      <c r="D15" s="65">
        <v>224</v>
      </c>
      <c r="E15" s="64">
        <v>5</v>
      </c>
      <c r="F15" s="65">
        <v>7</v>
      </c>
      <c r="G15" s="77">
        <v>139</v>
      </c>
      <c r="H15" s="79">
        <v>236</v>
      </c>
      <c r="I15" s="136">
        <v>7</v>
      </c>
      <c r="J15" s="94" t="s">
        <v>32</v>
      </c>
      <c r="M15" s="63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</row>
    <row r="16" spans="1:54" s="19" customFormat="1" ht="15.75" x14ac:dyDescent="0.25">
      <c r="A16" s="74" t="s">
        <v>33</v>
      </c>
      <c r="B16" s="59">
        <v>20706</v>
      </c>
      <c r="C16" s="64">
        <v>151</v>
      </c>
      <c r="D16" s="65">
        <v>266</v>
      </c>
      <c r="E16" s="64">
        <v>5</v>
      </c>
      <c r="F16" s="65">
        <v>7</v>
      </c>
      <c r="G16" s="77">
        <v>180</v>
      </c>
      <c r="H16" s="79">
        <v>401</v>
      </c>
      <c r="I16" s="137">
        <v>10</v>
      </c>
      <c r="J16" s="94" t="s">
        <v>34</v>
      </c>
      <c r="M16" s="63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</row>
    <row r="17" spans="1:215" s="19" customFormat="1" ht="15.75" x14ac:dyDescent="0.25">
      <c r="A17" s="74" t="s">
        <v>35</v>
      </c>
      <c r="B17" s="59">
        <v>12974</v>
      </c>
      <c r="C17" s="64">
        <v>65</v>
      </c>
      <c r="D17" s="65">
        <v>102</v>
      </c>
      <c r="E17" s="64">
        <v>3</v>
      </c>
      <c r="F17" s="65">
        <v>3</v>
      </c>
      <c r="G17" s="77">
        <v>120</v>
      </c>
      <c r="H17" s="79">
        <v>247</v>
      </c>
      <c r="I17" s="137">
        <v>12</v>
      </c>
      <c r="J17" s="94" t="s">
        <v>36</v>
      </c>
      <c r="M17" s="63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</row>
    <row r="18" spans="1:215" s="19" customFormat="1" ht="18.75" customHeight="1" x14ac:dyDescent="0.25">
      <c r="A18" s="74" t="s">
        <v>37</v>
      </c>
      <c r="B18" s="59">
        <v>11539</v>
      </c>
      <c r="C18" s="64">
        <v>114</v>
      </c>
      <c r="D18" s="65">
        <v>171</v>
      </c>
      <c r="E18" s="64">
        <v>7</v>
      </c>
      <c r="F18" s="65">
        <v>7</v>
      </c>
      <c r="G18" s="77">
        <v>134</v>
      </c>
      <c r="H18" s="79">
        <v>294</v>
      </c>
      <c r="I18" s="136">
        <v>16</v>
      </c>
      <c r="J18" s="94" t="s">
        <v>38</v>
      </c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</row>
    <row r="19" spans="1:215" s="19" customFormat="1" ht="18.75" customHeight="1" x14ac:dyDescent="0.25">
      <c r="A19" s="74" t="s">
        <v>39</v>
      </c>
      <c r="B19" s="59">
        <v>12103</v>
      </c>
      <c r="C19" s="64">
        <v>89</v>
      </c>
      <c r="D19" s="65">
        <v>157</v>
      </c>
      <c r="E19" s="64">
        <v>2</v>
      </c>
      <c r="F19" s="65">
        <v>2</v>
      </c>
      <c r="G19" s="77">
        <v>134</v>
      </c>
      <c r="H19" s="79">
        <v>283</v>
      </c>
      <c r="I19" s="137">
        <v>0</v>
      </c>
      <c r="J19" s="94" t="s">
        <v>40</v>
      </c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</row>
    <row r="20" spans="1:215" s="19" customFormat="1" ht="18.75" customHeight="1" x14ac:dyDescent="0.25">
      <c r="A20" s="74" t="s">
        <v>41</v>
      </c>
      <c r="B20" s="59">
        <v>7502</v>
      </c>
      <c r="C20" s="64">
        <v>53</v>
      </c>
      <c r="D20" s="65">
        <v>90</v>
      </c>
      <c r="E20" s="64">
        <v>0</v>
      </c>
      <c r="F20" s="65">
        <v>0</v>
      </c>
      <c r="G20" s="77">
        <v>102</v>
      </c>
      <c r="H20" s="79">
        <v>159</v>
      </c>
      <c r="I20" s="137">
        <v>6</v>
      </c>
      <c r="J20" s="94" t="s">
        <v>42</v>
      </c>
      <c r="AR20" s="28"/>
      <c r="AS20" s="28"/>
      <c r="AT20" s="28"/>
      <c r="AU20" s="28"/>
      <c r="AV20" s="28"/>
      <c r="AW20" s="28"/>
      <c r="AX20" s="37"/>
      <c r="AY20" s="25"/>
      <c r="AZ20" s="28"/>
      <c r="BA20" s="28"/>
      <c r="BB20" s="28"/>
    </row>
    <row r="21" spans="1:215" s="19" customFormat="1" ht="15.75" x14ac:dyDescent="0.25">
      <c r="A21" s="74" t="s">
        <v>43</v>
      </c>
      <c r="B21" s="59">
        <v>10468</v>
      </c>
      <c r="C21" s="64">
        <v>39</v>
      </c>
      <c r="D21" s="65">
        <v>72</v>
      </c>
      <c r="E21" s="64">
        <v>3</v>
      </c>
      <c r="F21" s="65">
        <v>3</v>
      </c>
      <c r="G21" s="77">
        <v>89</v>
      </c>
      <c r="H21" s="79">
        <v>261</v>
      </c>
      <c r="I21" s="136">
        <v>0</v>
      </c>
      <c r="J21" s="94" t="s">
        <v>44</v>
      </c>
      <c r="AR21" s="28"/>
      <c r="AS21" s="28"/>
      <c r="AT21" s="28"/>
      <c r="AU21" s="28"/>
      <c r="AV21" s="28"/>
      <c r="AW21" s="28"/>
      <c r="AX21" s="37"/>
      <c r="AY21" s="25"/>
      <c r="AZ21" s="28"/>
      <c r="BA21" s="28"/>
      <c r="BB21" s="28"/>
    </row>
    <row r="22" spans="1:215" s="19" customFormat="1" ht="18.75" customHeight="1" x14ac:dyDescent="0.25">
      <c r="A22" s="74" t="s">
        <v>45</v>
      </c>
      <c r="B22" s="59">
        <v>2157</v>
      </c>
      <c r="C22" s="64">
        <v>10</v>
      </c>
      <c r="D22" s="65">
        <v>18</v>
      </c>
      <c r="E22" s="64">
        <v>1</v>
      </c>
      <c r="F22" s="65">
        <v>2</v>
      </c>
      <c r="G22" s="77">
        <v>17</v>
      </c>
      <c r="H22" s="79">
        <v>33</v>
      </c>
      <c r="I22" s="138">
        <v>0</v>
      </c>
      <c r="J22" s="94" t="s">
        <v>46</v>
      </c>
      <c r="AR22" s="28"/>
      <c r="AS22" s="28"/>
      <c r="AT22" s="28"/>
      <c r="AU22" s="28"/>
      <c r="AV22" s="28"/>
      <c r="AW22" s="28"/>
      <c r="AX22" s="88"/>
      <c r="AY22" s="15"/>
      <c r="AZ22" s="28"/>
      <c r="BA22" s="28"/>
      <c r="BB22" s="28"/>
    </row>
    <row r="23" spans="1:215" s="19" customFormat="1" ht="13.15" customHeight="1" x14ac:dyDescent="0.25">
      <c r="A23" s="74" t="s">
        <v>47</v>
      </c>
      <c r="B23" s="59">
        <v>6554</v>
      </c>
      <c r="C23" s="64">
        <v>37</v>
      </c>
      <c r="D23" s="65">
        <v>63</v>
      </c>
      <c r="E23" s="64">
        <v>4</v>
      </c>
      <c r="F23" s="65">
        <v>4</v>
      </c>
      <c r="G23" s="77">
        <v>53</v>
      </c>
      <c r="H23" s="79">
        <v>112</v>
      </c>
      <c r="I23" s="137">
        <v>5</v>
      </c>
      <c r="J23" s="94" t="s">
        <v>48</v>
      </c>
      <c r="AR23" s="28"/>
      <c r="AS23" s="28"/>
      <c r="AT23" s="28"/>
      <c r="AU23" s="28"/>
      <c r="AV23" s="28"/>
      <c r="AW23" s="28"/>
      <c r="AX23" s="27"/>
      <c r="AY23" s="26"/>
      <c r="AZ23" s="28"/>
      <c r="BA23" s="28"/>
      <c r="BB23" s="28"/>
    </row>
    <row r="24" spans="1:215" s="19" customFormat="1" ht="18.75" customHeight="1" x14ac:dyDescent="0.25">
      <c r="A24" s="74" t="s">
        <v>49</v>
      </c>
      <c r="B24" s="59">
        <v>5729</v>
      </c>
      <c r="C24" s="64">
        <v>31</v>
      </c>
      <c r="D24" s="65">
        <v>54</v>
      </c>
      <c r="E24" s="64">
        <v>3</v>
      </c>
      <c r="F24" s="65">
        <v>6</v>
      </c>
      <c r="G24" s="77">
        <v>42</v>
      </c>
      <c r="H24" s="79">
        <v>122</v>
      </c>
      <c r="I24" s="136">
        <v>6</v>
      </c>
      <c r="J24" s="94" t="s">
        <v>50</v>
      </c>
      <c r="AR24" s="28"/>
      <c r="AS24" s="28"/>
      <c r="AT24" s="28"/>
      <c r="AU24" s="28"/>
      <c r="AV24" s="28"/>
      <c r="AW24" s="28"/>
      <c r="AX24" s="27"/>
      <c r="AY24" s="26"/>
      <c r="AZ24" s="28"/>
      <c r="BA24" s="28"/>
      <c r="BB24" s="28"/>
    </row>
    <row r="25" spans="1:215" s="19" customFormat="1" ht="18.75" customHeight="1" x14ac:dyDescent="0.25">
      <c r="A25" s="74" t="s">
        <v>51</v>
      </c>
      <c r="B25" s="59">
        <v>6980</v>
      </c>
      <c r="C25" s="64">
        <v>36</v>
      </c>
      <c r="D25" s="65">
        <v>55</v>
      </c>
      <c r="E25" s="64">
        <v>0</v>
      </c>
      <c r="F25" s="65">
        <v>0</v>
      </c>
      <c r="G25" s="77">
        <v>66</v>
      </c>
      <c r="H25" s="79">
        <v>132</v>
      </c>
      <c r="I25" s="138">
        <v>7</v>
      </c>
      <c r="J25" s="94" t="s">
        <v>52</v>
      </c>
      <c r="AR25" s="28"/>
      <c r="AS25" s="28"/>
      <c r="AT25" s="28"/>
      <c r="AU25" s="28"/>
      <c r="AV25" s="28"/>
      <c r="AW25" s="28"/>
      <c r="AX25" s="27"/>
      <c r="AY25" s="26"/>
      <c r="AZ25" s="28"/>
      <c r="BA25" s="28"/>
      <c r="BB25" s="28"/>
    </row>
    <row r="26" spans="1:215" s="19" customFormat="1" ht="18.75" customHeight="1" x14ac:dyDescent="0.25">
      <c r="A26" s="74" t="s">
        <v>53</v>
      </c>
      <c r="B26" s="59">
        <v>14382</v>
      </c>
      <c r="C26" s="64">
        <v>100</v>
      </c>
      <c r="D26" s="65">
        <v>196</v>
      </c>
      <c r="E26" s="64">
        <v>4</v>
      </c>
      <c r="F26" s="65">
        <v>4</v>
      </c>
      <c r="G26" s="77">
        <v>122</v>
      </c>
      <c r="H26" s="79">
        <v>242</v>
      </c>
      <c r="I26" s="137">
        <v>17</v>
      </c>
      <c r="J26" s="94" t="s">
        <v>54</v>
      </c>
      <c r="AR26" s="28"/>
      <c r="AS26" s="28"/>
      <c r="AT26" s="28"/>
      <c r="AU26" s="28"/>
      <c r="AV26" s="28"/>
      <c r="AW26" s="28"/>
      <c r="AX26" s="27"/>
      <c r="AY26" s="26"/>
      <c r="AZ26" s="28"/>
      <c r="BA26" s="28"/>
      <c r="BB26" s="28"/>
    </row>
    <row r="27" spans="1:215" s="28" customFormat="1" ht="18.75" customHeight="1" x14ac:dyDescent="0.25">
      <c r="A27" s="75" t="s">
        <v>55</v>
      </c>
      <c r="B27" s="59">
        <v>16220</v>
      </c>
      <c r="C27" s="64">
        <v>179</v>
      </c>
      <c r="D27" s="65">
        <v>302</v>
      </c>
      <c r="E27" s="64">
        <v>8</v>
      </c>
      <c r="F27" s="65">
        <v>13</v>
      </c>
      <c r="G27" s="77">
        <v>138</v>
      </c>
      <c r="H27" s="79">
        <v>360</v>
      </c>
      <c r="I27" s="136">
        <v>3</v>
      </c>
      <c r="J27" s="94" t="s">
        <v>56</v>
      </c>
      <c r="AX27" s="27"/>
      <c r="AY27" s="26"/>
    </row>
    <row r="28" spans="1:215" s="29" customFormat="1" ht="18.75" customHeight="1" x14ac:dyDescent="0.25">
      <c r="A28" s="74" t="s">
        <v>57</v>
      </c>
      <c r="B28" s="59">
        <v>13222</v>
      </c>
      <c r="C28" s="64">
        <v>90</v>
      </c>
      <c r="D28" s="65">
        <v>175</v>
      </c>
      <c r="E28" s="64">
        <v>6</v>
      </c>
      <c r="F28" s="65">
        <v>6</v>
      </c>
      <c r="G28" s="77">
        <v>176</v>
      </c>
      <c r="H28" s="79">
        <v>349</v>
      </c>
      <c r="I28" s="138">
        <v>100</v>
      </c>
      <c r="J28" s="94" t="s">
        <v>58</v>
      </c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28"/>
      <c r="AS28" s="28"/>
      <c r="AT28" s="28"/>
      <c r="AU28" s="28"/>
      <c r="AV28" s="28"/>
      <c r="AW28" s="28"/>
      <c r="AX28" s="27"/>
      <c r="AY28" s="26"/>
      <c r="AZ28" s="28"/>
      <c r="BA28" s="28"/>
      <c r="BB28" s="28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19"/>
      <c r="GF28" s="19"/>
      <c r="GG28" s="1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19"/>
      <c r="GW28" s="19"/>
      <c r="GX28" s="19"/>
      <c r="GY28" s="19"/>
      <c r="GZ28" s="19"/>
      <c r="HA28" s="19"/>
      <c r="HB28" s="19"/>
      <c r="HC28" s="19"/>
      <c r="HD28" s="19"/>
      <c r="HE28" s="19"/>
      <c r="HF28" s="19"/>
      <c r="HG28" s="19"/>
    </row>
    <row r="29" spans="1:215" s="30" customFormat="1" ht="18.75" customHeight="1" x14ac:dyDescent="0.25">
      <c r="A29" s="75" t="s">
        <v>59</v>
      </c>
      <c r="B29" s="59">
        <v>18540</v>
      </c>
      <c r="C29" s="64">
        <v>173</v>
      </c>
      <c r="D29" s="65">
        <v>325</v>
      </c>
      <c r="E29" s="64">
        <v>16</v>
      </c>
      <c r="F29" s="65">
        <v>29</v>
      </c>
      <c r="G29" s="77">
        <v>200</v>
      </c>
      <c r="H29" s="79">
        <v>458</v>
      </c>
      <c r="I29" s="137">
        <v>23</v>
      </c>
      <c r="J29" s="94" t="s">
        <v>60</v>
      </c>
      <c r="AX29" s="27"/>
      <c r="AY29" s="26"/>
    </row>
    <row r="30" spans="1:215" s="29" customFormat="1" ht="18.75" customHeight="1" x14ac:dyDescent="0.25">
      <c r="A30" s="75" t="s">
        <v>61</v>
      </c>
      <c r="B30" s="59">
        <v>10771</v>
      </c>
      <c r="C30" s="64">
        <v>144</v>
      </c>
      <c r="D30" s="65">
        <v>272</v>
      </c>
      <c r="E30" s="64">
        <v>13</v>
      </c>
      <c r="F30" s="65">
        <v>19</v>
      </c>
      <c r="G30" s="77">
        <v>98</v>
      </c>
      <c r="H30" s="79">
        <v>332</v>
      </c>
      <c r="I30" s="136">
        <v>29</v>
      </c>
      <c r="J30" s="94" t="s">
        <v>62</v>
      </c>
      <c r="AR30" s="30"/>
      <c r="AS30" s="30"/>
      <c r="AT30" s="30"/>
      <c r="AU30" s="30"/>
      <c r="AV30" s="30"/>
      <c r="AW30" s="30"/>
      <c r="AX30" s="27"/>
      <c r="AY30" s="26"/>
      <c r="AZ30" s="30"/>
      <c r="BA30" s="30"/>
      <c r="BB30" s="30"/>
    </row>
    <row r="31" spans="1:215" s="29" customFormat="1" ht="18.75" customHeight="1" x14ac:dyDescent="0.25">
      <c r="A31" s="76" t="s">
        <v>63</v>
      </c>
      <c r="B31" s="73">
        <v>28974</v>
      </c>
      <c r="C31" s="67">
        <v>247</v>
      </c>
      <c r="D31" s="67">
        <v>445</v>
      </c>
      <c r="E31" s="67">
        <v>6</v>
      </c>
      <c r="F31" s="68">
        <v>11</v>
      </c>
      <c r="G31" s="78">
        <v>274</v>
      </c>
      <c r="H31" s="80">
        <v>683</v>
      </c>
      <c r="I31" s="139">
        <v>7</v>
      </c>
      <c r="J31" s="95" t="s">
        <v>64</v>
      </c>
      <c r="AR31" s="30"/>
      <c r="AS31" s="30"/>
      <c r="AT31" s="30"/>
      <c r="AU31" s="30"/>
      <c r="AV31" s="30"/>
      <c r="AW31" s="30"/>
      <c r="AX31" s="27"/>
      <c r="AY31" s="26"/>
      <c r="AZ31" s="30"/>
      <c r="BA31" s="30"/>
      <c r="BB31" s="30"/>
    </row>
    <row r="32" spans="1:215" s="32" customFormat="1" ht="17.25" customHeight="1" x14ac:dyDescent="0.2">
      <c r="A32" s="31" t="s">
        <v>65</v>
      </c>
      <c r="H32" s="33"/>
      <c r="I32" s="33"/>
      <c r="AR32" s="89"/>
      <c r="AS32" s="89"/>
      <c r="AT32" s="89"/>
      <c r="AU32" s="89"/>
      <c r="AV32" s="89"/>
      <c r="AW32" s="89"/>
      <c r="AX32" s="27"/>
      <c r="AY32" s="26"/>
      <c r="AZ32" s="89"/>
      <c r="BA32" s="89"/>
      <c r="BB32" s="89"/>
    </row>
    <row r="33" spans="1:54" s="32" customFormat="1" ht="17.25" x14ac:dyDescent="0.2">
      <c r="A33" s="34" t="s">
        <v>66</v>
      </c>
      <c r="F33" s="32" t="s">
        <v>67</v>
      </c>
      <c r="H33" s="33"/>
      <c r="I33" s="33"/>
      <c r="J33" s="35" t="s">
        <v>68</v>
      </c>
      <c r="AR33" s="89"/>
      <c r="AS33" s="89"/>
      <c r="AT33" s="89"/>
      <c r="AU33" s="89"/>
      <c r="AV33" s="89"/>
      <c r="AW33" s="89"/>
      <c r="AX33" s="27"/>
      <c r="AY33" s="26"/>
      <c r="AZ33" s="89"/>
      <c r="BA33" s="89"/>
      <c r="BB33" s="89"/>
    </row>
    <row r="34" spans="1:54" x14ac:dyDescent="0.25">
      <c r="AX34" s="27"/>
      <c r="AY34" s="26"/>
    </row>
    <row r="35" spans="1:54" x14ac:dyDescent="0.25">
      <c r="A35" s="37"/>
      <c r="B35" s="37"/>
      <c r="C35" s="37"/>
      <c r="D35" s="37"/>
      <c r="E35" s="37"/>
      <c r="F35" s="37"/>
      <c r="G35" s="37"/>
      <c r="H35" s="38"/>
      <c r="I35" s="38"/>
      <c r="J35" s="37"/>
      <c r="AX35" s="27"/>
      <c r="AY35" s="26"/>
    </row>
    <row r="36" spans="1:54" ht="17.25" x14ac:dyDescent="0.25">
      <c r="A36" s="34"/>
      <c r="B36" s="37"/>
      <c r="C36" s="37"/>
      <c r="D36" s="37"/>
      <c r="E36" s="37"/>
      <c r="F36" s="37"/>
      <c r="G36" s="37"/>
      <c r="H36" s="38"/>
      <c r="I36" s="38"/>
      <c r="J36" s="39"/>
      <c r="AX36" s="27"/>
      <c r="AY36" s="26"/>
    </row>
    <row r="37" spans="1:54" s="40" customFormat="1" ht="21" x14ac:dyDescent="0.2">
      <c r="A37" s="129"/>
      <c r="B37" s="129"/>
      <c r="C37" s="129"/>
      <c r="D37" s="129"/>
      <c r="E37" s="129"/>
      <c r="F37" s="129"/>
      <c r="G37" s="129"/>
      <c r="H37" s="129"/>
      <c r="I37" s="129"/>
      <c r="J37" s="129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</row>
    <row r="38" spans="1:54" s="41" customFormat="1" x14ac:dyDescent="0.2">
      <c r="A38" s="98"/>
      <c r="B38" s="98"/>
      <c r="C38" s="98"/>
      <c r="D38" s="98"/>
      <c r="E38" s="98"/>
      <c r="F38" s="98"/>
      <c r="G38" s="98"/>
      <c r="H38" s="98"/>
      <c r="I38" s="98"/>
      <c r="J38" s="98"/>
    </row>
    <row r="39" spans="1:54" s="2" customFormat="1" x14ac:dyDescent="0.2">
      <c r="A39" s="82"/>
      <c r="B39" s="82"/>
      <c r="C39" s="82"/>
      <c r="D39" s="82"/>
      <c r="E39" s="82"/>
      <c r="F39" s="82"/>
      <c r="G39" s="82"/>
      <c r="H39" s="82"/>
      <c r="I39" s="82"/>
      <c r="J39" s="82"/>
      <c r="AR39" s="3"/>
      <c r="AS39" s="3"/>
      <c r="AT39" s="3"/>
      <c r="AU39" s="41"/>
      <c r="AV39" s="41"/>
      <c r="AW39" s="41"/>
      <c r="AX39" s="41"/>
      <c r="AY39" s="41"/>
      <c r="AZ39" s="41"/>
      <c r="BA39" s="41"/>
      <c r="BB39" s="3"/>
    </row>
    <row r="40" spans="1:54" s="4" customFormat="1" ht="18" x14ac:dyDescent="0.45">
      <c r="A40" s="100"/>
      <c r="B40" s="130"/>
      <c r="C40" s="130"/>
      <c r="D40" s="130"/>
      <c r="E40" s="131"/>
      <c r="F40" s="131"/>
      <c r="G40" s="132"/>
      <c r="H40" s="133"/>
      <c r="I40" s="83"/>
      <c r="J40" s="134"/>
      <c r="AR40" s="85"/>
      <c r="AS40" s="85"/>
      <c r="AT40" s="85"/>
      <c r="AU40" s="37"/>
      <c r="AV40" s="69"/>
      <c r="AW40" s="28"/>
      <c r="AX40" s="69"/>
      <c r="AY40" s="28"/>
      <c r="AZ40" s="69"/>
      <c r="BA40" s="28"/>
      <c r="BB40" s="85"/>
    </row>
    <row r="41" spans="1:54" s="4" customFormat="1" ht="18" x14ac:dyDescent="0.45">
      <c r="A41" s="100"/>
      <c r="B41" s="130"/>
      <c r="C41" s="130"/>
      <c r="D41" s="130"/>
      <c r="E41" s="131"/>
      <c r="F41" s="131"/>
      <c r="G41" s="132"/>
      <c r="H41" s="133"/>
      <c r="I41" s="83"/>
      <c r="J41" s="134"/>
      <c r="AR41" s="85"/>
      <c r="AS41" s="85"/>
      <c r="AT41" s="85"/>
      <c r="AU41" s="88"/>
      <c r="AV41" s="70"/>
      <c r="AW41" s="28"/>
      <c r="AX41" s="28"/>
      <c r="AY41" s="28"/>
      <c r="AZ41" s="85"/>
      <c r="BA41" s="90"/>
      <c r="BB41" s="85"/>
    </row>
    <row r="42" spans="1:54" s="5" customFormat="1" x14ac:dyDescent="0.25">
      <c r="A42" s="100"/>
      <c r="B42" s="81"/>
      <c r="C42" s="124"/>
      <c r="D42" s="124"/>
      <c r="E42" s="124"/>
      <c r="F42" s="124"/>
      <c r="G42" s="128"/>
      <c r="H42" s="124"/>
      <c r="I42" s="81"/>
      <c r="J42" s="134"/>
      <c r="AR42" s="86"/>
      <c r="AS42" s="86"/>
      <c r="AT42" s="86"/>
      <c r="AU42" s="27"/>
      <c r="AV42" s="66"/>
      <c r="AW42" s="15"/>
      <c r="AX42" s="28"/>
      <c r="AY42" s="28"/>
      <c r="AZ42" s="86"/>
      <c r="BA42" s="91"/>
      <c r="BB42" s="86"/>
    </row>
    <row r="43" spans="1:54" s="8" customFormat="1" x14ac:dyDescent="0.25">
      <c r="A43" s="100"/>
      <c r="B43" s="84"/>
      <c r="C43" s="84"/>
      <c r="D43" s="84"/>
      <c r="E43" s="84"/>
      <c r="F43" s="84"/>
      <c r="G43" s="128"/>
      <c r="H43" s="124"/>
      <c r="I43" s="81"/>
      <c r="J43" s="134"/>
      <c r="AV43" s="8">
        <v>2019</v>
      </c>
      <c r="AW43" s="8">
        <v>2020</v>
      </c>
      <c r="AX43" s="28"/>
      <c r="AY43" s="28"/>
      <c r="BA43" s="91"/>
    </row>
    <row r="44" spans="1:54" s="13" customFormat="1" ht="18.75" x14ac:dyDescent="0.25">
      <c r="A44" s="100"/>
      <c r="B44" s="42"/>
      <c r="C44" s="42"/>
      <c r="D44" s="42"/>
      <c r="E44" s="42"/>
      <c r="F44" s="42"/>
      <c r="G44" s="43"/>
      <c r="H44" s="44"/>
      <c r="I44" s="44"/>
      <c r="J44" s="134"/>
      <c r="AR44" s="87"/>
      <c r="AS44" s="87"/>
      <c r="AT44" s="87"/>
      <c r="AU44" s="88" t="s">
        <v>21</v>
      </c>
      <c r="AV44" s="66">
        <v>61192</v>
      </c>
      <c r="AW44" s="92">
        <v>57699</v>
      </c>
      <c r="AX44" s="28"/>
      <c r="AY44" s="28"/>
      <c r="AZ44" s="87"/>
      <c r="BA44" s="91"/>
      <c r="BB44" s="87"/>
    </row>
    <row r="45" spans="1:54" s="19" customFormat="1" ht="18.75" x14ac:dyDescent="0.25">
      <c r="A45" s="14"/>
      <c r="B45" s="15"/>
      <c r="C45" s="17"/>
      <c r="D45" s="17"/>
      <c r="E45" s="17"/>
      <c r="F45" s="17"/>
      <c r="G45" s="17"/>
      <c r="H45" s="45"/>
      <c r="I45" s="45"/>
      <c r="J45" s="18"/>
      <c r="AR45" s="28"/>
      <c r="AS45" s="28"/>
      <c r="AT45" s="28"/>
      <c r="AU45" s="27" t="s">
        <v>72</v>
      </c>
      <c r="AV45" s="66">
        <v>21255</v>
      </c>
      <c r="AW45" s="91">
        <v>19991</v>
      </c>
      <c r="AX45" s="28"/>
      <c r="AY45" s="28"/>
      <c r="AZ45" s="28"/>
      <c r="BA45" s="91"/>
      <c r="BB45" s="28"/>
    </row>
    <row r="46" spans="1:54" s="21" customFormat="1" ht="18.75" x14ac:dyDescent="0.25">
      <c r="A46" s="46"/>
      <c r="B46" s="15"/>
      <c r="C46" s="47"/>
      <c r="D46" s="47"/>
      <c r="E46" s="47"/>
      <c r="F46" s="47"/>
      <c r="G46" s="47"/>
      <c r="H46" s="45"/>
      <c r="I46" s="45"/>
      <c r="J46" s="18"/>
      <c r="AR46" s="43"/>
      <c r="AS46" s="43"/>
      <c r="AT46" s="43"/>
      <c r="AU46" s="27" t="s">
        <v>73</v>
      </c>
      <c r="AV46" s="66">
        <v>25100</v>
      </c>
      <c r="AW46" s="91">
        <v>23979</v>
      </c>
      <c r="AX46" s="28"/>
      <c r="AY46" s="28"/>
      <c r="AZ46" s="43"/>
      <c r="BA46" s="91"/>
      <c r="BB46" s="43"/>
    </row>
    <row r="47" spans="1:54" s="19" customFormat="1" ht="18.75" x14ac:dyDescent="0.25">
      <c r="A47" s="14"/>
      <c r="B47" s="17"/>
      <c r="C47" s="17"/>
      <c r="D47" s="17"/>
      <c r="E47" s="17"/>
      <c r="F47" s="17"/>
      <c r="G47" s="47"/>
      <c r="H47" s="45"/>
      <c r="I47" s="45"/>
      <c r="J47" s="18"/>
      <c r="AR47" s="28"/>
      <c r="AS47" s="28"/>
      <c r="AT47" s="28"/>
      <c r="AU47" s="27" t="s">
        <v>74</v>
      </c>
      <c r="AV47" s="66">
        <v>16879</v>
      </c>
      <c r="AW47" s="91">
        <v>15683</v>
      </c>
      <c r="AX47" s="28"/>
      <c r="AY47" s="28"/>
      <c r="AZ47" s="28"/>
      <c r="BA47" s="91"/>
      <c r="BB47" s="28"/>
    </row>
    <row r="48" spans="1:54" s="19" customFormat="1" ht="15.75" x14ac:dyDescent="0.25">
      <c r="A48" s="27"/>
      <c r="B48" s="26"/>
      <c r="C48" s="48"/>
      <c r="D48" s="48"/>
      <c r="E48" s="48"/>
      <c r="F48" s="48"/>
      <c r="G48" s="49"/>
      <c r="H48" s="50"/>
      <c r="I48" s="50"/>
      <c r="J48" s="23"/>
      <c r="AR48" s="28"/>
      <c r="AS48" s="28"/>
      <c r="AT48" s="28"/>
      <c r="AU48" s="27" t="s">
        <v>75</v>
      </c>
      <c r="AV48" s="66">
        <v>15363</v>
      </c>
      <c r="AW48" s="91">
        <v>14205</v>
      </c>
      <c r="AX48" s="28"/>
      <c r="AY48" s="28"/>
      <c r="AZ48" s="28"/>
      <c r="BA48" s="91"/>
      <c r="BB48" s="28"/>
    </row>
    <row r="49" spans="1:54" s="19" customFormat="1" ht="15.75" x14ac:dyDescent="0.25">
      <c r="A49" s="27"/>
      <c r="B49" s="26"/>
      <c r="C49" s="49"/>
      <c r="D49" s="49"/>
      <c r="E49" s="49"/>
      <c r="F49" s="49"/>
      <c r="G49" s="49"/>
      <c r="H49" s="50"/>
      <c r="I49" s="50"/>
      <c r="J49" s="23"/>
      <c r="AR49" s="28"/>
      <c r="AS49" s="28"/>
      <c r="AT49" s="28"/>
      <c r="AU49" s="27" t="s">
        <v>76</v>
      </c>
      <c r="AV49" s="66">
        <v>22095</v>
      </c>
      <c r="AW49" s="91">
        <v>20706</v>
      </c>
      <c r="AX49" s="28"/>
      <c r="AY49" s="28"/>
      <c r="AZ49" s="28"/>
      <c r="BA49" s="91"/>
      <c r="BB49" s="28"/>
    </row>
    <row r="50" spans="1:54" s="19" customFormat="1" ht="15.75" x14ac:dyDescent="0.25">
      <c r="A50" s="27"/>
      <c r="B50" s="26"/>
      <c r="C50" s="49"/>
      <c r="D50" s="49"/>
      <c r="E50" s="49"/>
      <c r="F50" s="49"/>
      <c r="G50" s="49"/>
      <c r="H50" s="50"/>
      <c r="I50" s="50"/>
      <c r="J50" s="23"/>
      <c r="AR50" s="28"/>
      <c r="AS50" s="28"/>
      <c r="AT50" s="28"/>
      <c r="AU50" s="27" t="s">
        <v>77</v>
      </c>
      <c r="AV50" s="66">
        <v>13749</v>
      </c>
      <c r="AW50" s="91">
        <v>12974</v>
      </c>
      <c r="AX50" s="28"/>
      <c r="AY50" s="28"/>
      <c r="AZ50" s="28"/>
      <c r="BA50" s="91"/>
      <c r="BB50" s="28"/>
    </row>
    <row r="51" spans="1:54" s="19" customFormat="1" ht="15.75" x14ac:dyDescent="0.25">
      <c r="A51" s="27"/>
      <c r="B51" s="26"/>
      <c r="C51" s="49"/>
      <c r="D51" s="49"/>
      <c r="E51" s="49"/>
      <c r="F51" s="49"/>
      <c r="G51" s="49"/>
      <c r="H51" s="50"/>
      <c r="I51" s="50"/>
      <c r="J51" s="23"/>
      <c r="AR51" s="28"/>
      <c r="AS51" s="28"/>
      <c r="AT51" s="28"/>
      <c r="AU51" s="27" t="s">
        <v>78</v>
      </c>
      <c r="AV51" s="66">
        <v>12292</v>
      </c>
      <c r="AW51" s="91">
        <v>11539</v>
      </c>
      <c r="AX51" s="28"/>
      <c r="AY51" s="28"/>
      <c r="AZ51" s="28"/>
      <c r="BA51" s="91"/>
      <c r="BB51" s="28"/>
    </row>
    <row r="52" spans="1:54" s="19" customFormat="1" ht="15.75" x14ac:dyDescent="0.25">
      <c r="A52" s="27"/>
      <c r="B52" s="26"/>
      <c r="C52" s="49"/>
      <c r="D52" s="49"/>
      <c r="E52" s="49"/>
      <c r="F52" s="49"/>
      <c r="G52" s="49"/>
      <c r="H52" s="50"/>
      <c r="I52" s="50"/>
      <c r="J52" s="23"/>
      <c r="AR52" s="28"/>
      <c r="AS52" s="28"/>
      <c r="AT52" s="28"/>
      <c r="AU52" s="27" t="s">
        <v>79</v>
      </c>
      <c r="AV52" s="66">
        <v>12789</v>
      </c>
      <c r="AW52" s="91">
        <v>12103</v>
      </c>
      <c r="AX52" s="28"/>
      <c r="AY52" s="28"/>
      <c r="AZ52" s="28"/>
      <c r="BA52" s="91"/>
      <c r="BB52" s="28"/>
    </row>
    <row r="53" spans="1:54" s="19" customFormat="1" ht="15.75" x14ac:dyDescent="0.25">
      <c r="A53" s="27"/>
      <c r="B53" s="26"/>
      <c r="C53" s="49"/>
      <c r="D53" s="49"/>
      <c r="E53" s="49"/>
      <c r="F53" s="49"/>
      <c r="G53" s="49"/>
      <c r="H53" s="50"/>
      <c r="I53" s="50"/>
      <c r="J53" s="23"/>
      <c r="AR53" s="28"/>
      <c r="AS53" s="28"/>
      <c r="AT53" s="28"/>
      <c r="AU53" s="27" t="s">
        <v>80</v>
      </c>
      <c r="AV53" s="66">
        <v>7881</v>
      </c>
      <c r="AW53" s="91">
        <v>7502</v>
      </c>
      <c r="AX53" s="28"/>
      <c r="AY53" s="28"/>
      <c r="AZ53" s="28"/>
      <c r="BA53" s="91"/>
      <c r="BB53" s="28"/>
    </row>
    <row r="54" spans="1:54" s="19" customFormat="1" ht="15.75" x14ac:dyDescent="0.25">
      <c r="A54" s="27"/>
      <c r="B54" s="26"/>
      <c r="C54" s="49"/>
      <c r="D54" s="49"/>
      <c r="E54" s="49"/>
      <c r="F54" s="49"/>
      <c r="G54" s="49"/>
      <c r="H54" s="50"/>
      <c r="I54" s="50"/>
      <c r="J54" s="23"/>
      <c r="AR54" s="28"/>
      <c r="AS54" s="28"/>
      <c r="AT54" s="28"/>
      <c r="AU54" s="27" t="s">
        <v>81</v>
      </c>
      <c r="AV54" s="66">
        <v>10975</v>
      </c>
      <c r="AW54" s="91">
        <v>10468</v>
      </c>
      <c r="AX54" s="28"/>
      <c r="AY54" s="28"/>
      <c r="AZ54" s="28"/>
      <c r="BA54" s="91"/>
      <c r="BB54" s="28"/>
    </row>
    <row r="55" spans="1:54" x14ac:dyDescent="0.25">
      <c r="AU55" s="27" t="s">
        <v>82</v>
      </c>
      <c r="AV55" s="66">
        <v>2337</v>
      </c>
      <c r="AW55" s="91">
        <v>2157</v>
      </c>
      <c r="AX55" s="28"/>
      <c r="AY55" s="28"/>
      <c r="BA55" s="91"/>
    </row>
    <row r="56" spans="1:54" x14ac:dyDescent="0.25">
      <c r="AU56" s="27" t="s">
        <v>83</v>
      </c>
      <c r="AV56" s="66">
        <v>6998</v>
      </c>
      <c r="AW56" s="91">
        <v>6554</v>
      </c>
      <c r="AX56" s="28"/>
      <c r="AY56" s="28"/>
      <c r="BA56" s="91"/>
    </row>
    <row r="57" spans="1:54" x14ac:dyDescent="0.25">
      <c r="AU57" s="27" t="s">
        <v>84</v>
      </c>
      <c r="AV57" s="66">
        <v>5981</v>
      </c>
      <c r="AW57" s="91">
        <v>5729</v>
      </c>
      <c r="AX57" s="28"/>
      <c r="AY57" s="28"/>
      <c r="BA57" s="91"/>
    </row>
    <row r="58" spans="1:54" x14ac:dyDescent="0.25">
      <c r="AU58" s="27" t="s">
        <v>85</v>
      </c>
      <c r="AV58" s="66">
        <v>7445</v>
      </c>
      <c r="AW58" s="91">
        <v>6980</v>
      </c>
      <c r="AX58" s="28"/>
      <c r="AY58" s="28"/>
      <c r="BA58" s="91"/>
    </row>
    <row r="59" spans="1:54" x14ac:dyDescent="0.25">
      <c r="AU59" s="27" t="s">
        <v>86</v>
      </c>
      <c r="AV59" s="37">
        <v>15185</v>
      </c>
      <c r="AW59" s="91">
        <v>14382</v>
      </c>
      <c r="BA59" s="91"/>
    </row>
    <row r="60" spans="1:54" x14ac:dyDescent="0.25">
      <c r="AU60" s="27" t="s">
        <v>87</v>
      </c>
      <c r="AV60" s="37">
        <v>17079</v>
      </c>
      <c r="AW60" s="91">
        <v>16220</v>
      </c>
      <c r="BA60" s="91"/>
    </row>
    <row r="61" spans="1:54" x14ac:dyDescent="0.25">
      <c r="AU61" s="27" t="s">
        <v>88</v>
      </c>
      <c r="AV61" s="37">
        <v>13784</v>
      </c>
      <c r="AW61" s="91">
        <v>13222</v>
      </c>
      <c r="BA61" s="91"/>
    </row>
    <row r="62" spans="1:54" x14ac:dyDescent="0.25">
      <c r="AU62" s="93" t="s">
        <v>89</v>
      </c>
      <c r="AV62" s="37">
        <v>19660</v>
      </c>
      <c r="AW62" s="91">
        <v>18540</v>
      </c>
    </row>
    <row r="63" spans="1:54" x14ac:dyDescent="0.25">
      <c r="AU63" s="93" t="s">
        <v>90</v>
      </c>
      <c r="AV63" s="37">
        <v>11506</v>
      </c>
      <c r="AW63" s="91">
        <v>10771</v>
      </c>
    </row>
    <row r="64" spans="1:54" x14ac:dyDescent="0.25">
      <c r="AU64" s="93" t="s">
        <v>91</v>
      </c>
      <c r="AV64" s="37">
        <v>30198</v>
      </c>
      <c r="AW64" s="91">
        <v>28974</v>
      </c>
    </row>
  </sheetData>
  <mergeCells count="29">
    <mergeCell ref="N6:N7"/>
    <mergeCell ref="G6:G8"/>
    <mergeCell ref="E42:F42"/>
    <mergeCell ref="G42:G43"/>
    <mergeCell ref="H42:H43"/>
    <mergeCell ref="A37:J37"/>
    <mergeCell ref="A38:J38"/>
    <mergeCell ref="A40:A44"/>
    <mergeCell ref="B40:B41"/>
    <mergeCell ref="C40:D41"/>
    <mergeCell ref="E40:F41"/>
    <mergeCell ref="G40:G41"/>
    <mergeCell ref="H40:H41"/>
    <mergeCell ref="J40:J44"/>
    <mergeCell ref="C42:D42"/>
    <mergeCell ref="A1:J1"/>
    <mergeCell ref="A2:J2"/>
    <mergeCell ref="A4:A8"/>
    <mergeCell ref="B4:B5"/>
    <mergeCell ref="C4:D5"/>
    <mergeCell ref="E4:F5"/>
    <mergeCell ref="G4:G5"/>
    <mergeCell ref="H4:H5"/>
    <mergeCell ref="I4:I5"/>
    <mergeCell ref="J4:J8"/>
    <mergeCell ref="C6:D6"/>
    <mergeCell ref="E6:F6"/>
    <mergeCell ref="H6:H7"/>
    <mergeCell ref="I6:I7"/>
  </mergeCells>
  <pageMargins left="0.7" right="0.7" top="0.75" bottom="0.75" header="0.3" footer="0.3"/>
  <pageSetup paperSize="9" scale="49" orientation="portrait" horizontalDpi="4294967295" verticalDpi="4294967295" r:id="rId1"/>
  <ignoredErrors>
    <ignoredError sqref="C11:G11 I11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18.18</vt:lpstr>
      <vt:lpstr>'18.18'!Print_Area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2021-09-23T05:44:34Z</cp:lastPrinted>
  <dcterms:created xsi:type="dcterms:W3CDTF">2019-02-21T04:10:17Z</dcterms:created>
  <dcterms:modified xsi:type="dcterms:W3CDTF">2021-09-23T05:44:50Z</dcterms:modified>
</cp:coreProperties>
</file>