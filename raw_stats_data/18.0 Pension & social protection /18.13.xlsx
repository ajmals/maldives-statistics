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13" sheetId="12" r:id="rId1"/>
  </sheets>
  <definedNames>
    <definedName name="_xlnm.Print_Area" localSheetId="0">'18.13'!$A$1:$J$72</definedName>
  </definedNames>
  <calcPr calcId="152511"/>
</workbook>
</file>

<file path=xl/calcChain.xml><?xml version="1.0" encoding="utf-8"?>
<calcChain xmlns="http://schemas.openxmlformats.org/spreadsheetml/2006/main">
  <c r="H32" i="12" l="1"/>
  <c r="F6" i="12"/>
  <c r="G6" i="12"/>
  <c r="G32" i="12" l="1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C6" i="12" l="1"/>
  <c r="D6" i="12"/>
  <c r="E6" i="12"/>
  <c r="B6" i="12"/>
  <c r="AF37" i="12" l="1"/>
  <c r="AE37" i="12"/>
  <c r="AD37" i="12"/>
  <c r="AC37" i="12"/>
  <c r="AB37" i="12"/>
  <c r="AG37" i="12" l="1"/>
  <c r="H17" i="12" l="1"/>
  <c r="H25" i="12"/>
  <c r="H29" i="12"/>
  <c r="H13" i="12"/>
  <c r="H9" i="12"/>
  <c r="H21" i="12"/>
  <c r="H7" i="12"/>
  <c r="H26" i="12"/>
  <c r="H14" i="12"/>
  <c r="H31" i="12"/>
  <c r="H19" i="12"/>
  <c r="H30" i="12"/>
  <c r="H8" i="12"/>
  <c r="H27" i="12"/>
  <c r="H23" i="12"/>
  <c r="H28" i="12"/>
  <c r="H16" i="12"/>
  <c r="H12" i="12"/>
  <c r="H24" i="12"/>
  <c r="H20" i="12"/>
  <c r="H10" i="12"/>
  <c r="H18" i="12"/>
  <c r="H15" i="12"/>
  <c r="H11" i="12"/>
  <c r="H22" i="12"/>
  <c r="H6" i="12" l="1"/>
</calcChain>
</file>

<file path=xl/sharedStrings.xml><?xml version="1.0" encoding="utf-8"?>
<sst xmlns="http://schemas.openxmlformats.org/spreadsheetml/2006/main" count="99" uniqueCount="66">
  <si>
    <t>ޖުމްލަ</t>
  </si>
  <si>
    <t>% share</t>
  </si>
  <si>
    <t>Total</t>
  </si>
  <si>
    <t>Sector</t>
  </si>
  <si>
    <t xml:space="preserve">Establishments by Employment size 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</si>
  <si>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</si>
  <si>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</si>
  <si>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</si>
  <si>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</si>
  <si>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</si>
  <si>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</si>
  <si>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</si>
  <si>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</si>
  <si>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</si>
  <si>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</si>
  <si>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</si>
  <si>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</si>
  <si>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</si>
  <si>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</si>
  <si>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</si>
  <si>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</si>
  <si>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</si>
  <si>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</si>
  <si>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</si>
  <si>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</si>
  <si>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</si>
  <si>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</si>
  <si>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</si>
  <si>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</si>
  <si>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</si>
  <si>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</si>
  <si>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</si>
  <si>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</si>
  <si>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</si>
  <si>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</si>
  <si>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</si>
  <si>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</si>
  <si>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</si>
  <si>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</si>
  <si>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</si>
  <si>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</si>
  <si>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</si>
  <si>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</si>
  <si>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</si>
  <si>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</si>
  <si>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</si>
  <si>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</si>
  <si>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</si>
  <si>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</si>
  <si>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</si>
  <si>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</si>
  <si>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</si>
  <si>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</si>
  <si>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</si>
  <si>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</si>
  <si>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</si>
  <si>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</si>
  <si>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</si>
  <si>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</si>
  <si>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</si>
  <si>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</si>
  <si>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establishments</t>
  </si>
  <si>
    <t>Passenger Ferries</t>
  </si>
  <si>
    <t>ފެރީގެ ޙިދުމަތް</t>
  </si>
  <si>
    <t>TABLE   18.13:   ESTABLISHMENTS REGISTERED IN THE RETIREMENT PENSION SCHEME, BY EMPLOYMENT SIZE, END 2020</t>
  </si>
  <si>
    <t>ތާވަލު  18.13 : އެކި ދާއިރާތަކުން ރިޓާޔަމަންޓް ޕެންޝަން ސްކީމްގައި ރެޖިސްޓްރީކޮށްފައިވާ ތަންތަނުގެ ޢަދަދު، ތަނުގެމުވައްޒަފުންގެ ގިންތިން ،2020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</si>
</sst>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5" fontId="8" fillId="0" borderId="16"/>
    <xf numFmtId="0" fontId="1" fillId="0" borderId="16"/>
    <xf numFmtId="0" fontId="1" fillId="0" borderId="16"/>
    <xf numFmtId="164" fontId="7" fillId="0" borderId="16" applyFont="0" applyFill="0" applyBorder="0" applyAlignment="0" applyProtection="0"/>
    <xf numFmtId="164" fontId="7" fillId="0" borderId="16" applyFont="0" applyFill="0" applyBorder="0" applyAlignment="0" applyProtection="0"/>
    <xf numFmtId="0" fontId="7" fillId="0" borderId="16"/>
    <xf numFmtId="0" fontId="9" fillId="0" borderId="16"/>
    <xf numFmtId="0" fontId="10" fillId="0" borderId="16" applyFill="0" applyProtection="0"/>
  </cellStyleXfs>
  <cellXfs count="4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164" fontId="0" fillId="2" borderId="2" xfId="0" applyNumberFormat="1" applyFont="1" applyFill="1" applyBorder="1"/>
    <xf numFmtId="3" fontId="0" fillId="2" borderId="2" xfId="0" applyNumberFormat="1" applyFont="1" applyFill="1" applyBorder="1"/>
    <xf numFmtId="0" fontId="5" fillId="2" borderId="2" xfId="0" applyFont="1" applyFill="1" applyBorder="1"/>
    <xf numFmtId="49" fontId="4" fillId="2" borderId="11" xfId="0" applyNumberFormat="1" applyFont="1" applyFill="1" applyBorder="1" applyAlignment="1">
      <alignment horizontal="right" vertical="center"/>
    </xf>
    <xf numFmtId="49" fontId="4" fillId="2" borderId="13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 wrapText="1"/>
    </xf>
    <xf numFmtId="49" fontId="0" fillId="2" borderId="2" xfId="0" applyNumberFormat="1" applyFont="1" applyFill="1" applyBorder="1"/>
    <xf numFmtId="3" fontId="0" fillId="4" borderId="16" xfId="0" applyNumberFormat="1" applyFont="1" applyFill="1" applyBorder="1" applyAlignment="1">
      <alignment horizontal="right" vertical="center"/>
    </xf>
    <xf numFmtId="3" fontId="0" fillId="4" borderId="17" xfId="0" applyNumberFormat="1" applyFont="1" applyFill="1" applyBorder="1" applyAlignment="1">
      <alignment horizontal="right" vertical="center"/>
    </xf>
    <xf numFmtId="0" fontId="0" fillId="5" borderId="16" xfId="0" applyFont="1" applyFill="1" applyBorder="1" applyAlignment="1">
      <alignment horizontal="left" vertical="center"/>
    </xf>
    <xf numFmtId="0" fontId="0" fillId="5" borderId="16" xfId="0" applyFont="1" applyFill="1" applyBorder="1" applyAlignment="1">
      <alignment horizontal="left" vertical="center" wrapText="1"/>
    </xf>
    <xf numFmtId="0" fontId="0" fillId="5" borderId="17" xfId="0" applyFont="1" applyFill="1" applyBorder="1" applyAlignment="1">
      <alignment horizontal="left" vertical="center"/>
    </xf>
    <xf numFmtId="0" fontId="6" fillId="5" borderId="16" xfId="0" applyFont="1" applyFill="1" applyBorder="1" applyAlignment="1"/>
    <xf numFmtId="0" fontId="6" fillId="5" borderId="16" xfId="0" applyFont="1" applyFill="1" applyBorder="1" applyAlignment="1">
      <alignment horizontal="right" vertical="center" wrapText="1"/>
    </xf>
    <xf numFmtId="0" fontId="6" fillId="5" borderId="17" xfId="0" applyFont="1" applyFill="1" applyBorder="1" applyAlignment="1"/>
    <xf numFmtId="3" fontId="0" fillId="5" borderId="16" xfId="0" applyNumberFormat="1" applyFont="1" applyFill="1" applyBorder="1" applyAlignment="1">
      <alignment horizontal="right" vertical="center"/>
    </xf>
    <xf numFmtId="3" fontId="0" fillId="5" borderId="17" xfId="0" applyNumberFormat="1" applyFont="1" applyFill="1" applyBorder="1" applyAlignment="1">
      <alignment horizontal="right" vertical="center"/>
    </xf>
    <xf numFmtId="3" fontId="0" fillId="4" borderId="16" xfId="0" applyNumberFormat="1" applyFont="1" applyFill="1" applyBorder="1" applyAlignment="1">
      <alignment horizontal="right" vertical="center" wrapText="1"/>
    </xf>
    <xf numFmtId="3" fontId="0" fillId="5" borderId="16" xfId="0" applyNumberFormat="1" applyFont="1" applyFill="1" applyBorder="1" applyAlignment="1">
      <alignment horizontal="right" vertical="center" wrapText="1"/>
    </xf>
    <xf numFmtId="3" fontId="4" fillId="2" borderId="14" xfId="0" applyNumberFormat="1" applyFont="1" applyFill="1" applyBorder="1" applyAlignment="1">
      <alignment horizontal="right" vertical="center"/>
    </xf>
    <xf numFmtId="166" fontId="0" fillId="5" borderId="15" xfId="0" applyNumberFormat="1" applyFont="1" applyFill="1" applyBorder="1" applyAlignment="1">
      <alignment horizontal="right" vertical="center"/>
    </xf>
    <xf numFmtId="166" fontId="0" fillId="5" borderId="1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3" borderId="16" xfId="0" applyFont="1" applyFill="1" applyBorder="1"/>
    <xf numFmtId="0" fontId="3" fillId="3" borderId="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3" fillId="3" borderId="10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3" borderId="9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3" fillId="3" borderId="12" xfId="0" applyFont="1" applyFill="1" applyBorder="1"/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0658299869640127E-2"/>
          <c:y val="0.20986978900364728"/>
          <c:w val="0.8946918719048268"/>
          <c:h val="0.674213450591403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CCCC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1081</c:v>
                </c:pt>
                <c:pt idx="1">
                  <c:v>573</c:v>
                </c:pt>
                <c:pt idx="2">
                  <c:v>163</c:v>
                </c:pt>
                <c:pt idx="3">
                  <c:v>136</c:v>
                </c:pt>
                <c:pt idx="4">
                  <c:v>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9F-463B-98AB-F6A16E878B6F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006608"/>
        <c:axId val="422010136"/>
      </c:barChart>
      <c:catAx>
        <c:axId val="42200660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sz="1100" b="0" i="0"/>
            </a:pPr>
            <a:endParaRPr lang="en-US"/>
          </a:p>
        </c:txPr>
        <c:crossAx val="422010136"/>
        <c:crosses val="autoZero"/>
        <c:auto val="1"/>
        <c:lblAlgn val="ctr"/>
        <c:lblOffset val="100"/>
        <c:noMultiLvlLbl val="1"/>
      </c:catAx>
      <c:valAx>
        <c:axId val="422010136"/>
        <c:scaling>
          <c:orientation val="minMax"/>
        </c:scaling>
        <c:delete val="0"/>
        <c:axPos val="l"/>
        <c:majorGridlines>
          <c:spPr>
            <a:ln>
              <a:solidFill>
                <a:srgbClr val="B2EDEC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/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42200660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7.7641755685889061E-2"/>
          <c:y val="0.16683763153459027"/>
          <c:w val="0.89597471098005765"/>
          <c:h val="0.3337968648414361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3CCCC"/>
            </a:solidFill>
          </c:spPr>
          <c:invertIfNegative val="1"/>
          <c:cat>
            <c:strRef>
              <c:f>'18.13'!$AM$28:$AM$53</c:f>
              <c:strCache>
                <c:ptCount val="26"/>
                <c:pt idx="0">
                  <c:v>Government agencies, public institutions</c:v>
                </c:pt>
                <c:pt idx="1">
                  <c:v>Hotels, Tourist resorts, travel agencies</c:v>
                </c:pt>
                <c:pt idx="2">
                  <c:v>Others</c:v>
                </c:pt>
                <c:pt idx="3">
                  <c:v>Shops, small and medium commercial retail</c:v>
                </c:pt>
                <c:pt idx="4">
                  <c:v>Wholesale retailers</c:v>
                </c:pt>
                <c:pt idx="5">
                  <c:v>Construction</c:v>
                </c:pt>
                <c:pt idx="6">
                  <c:v>Financial sector, Banks, Investment Funds, Insurance companies Investment</c:v>
                </c:pt>
                <c:pt idx="7">
                  <c:v>Schools and educational centers</c:v>
                </c:pt>
                <c:pt idx="8">
                  <c:v>Sea Transportation, shipping</c:v>
                </c:pt>
                <c:pt idx="9">
                  <c:v>Health Sector, hospitals, clinics</c:v>
                </c:pt>
                <c:pt idx="10">
                  <c:v>Restaurants</c:v>
                </c:pt>
                <c:pt idx="11">
                  <c:v>Electricity</c:v>
                </c:pt>
                <c:pt idx="12">
                  <c:v>Telecommunications</c:v>
                </c:pt>
                <c:pt idx="13">
                  <c:v>Air Transportation</c:v>
                </c:pt>
                <c:pt idx="14">
                  <c:v>Coffee, tea shops</c:v>
                </c:pt>
                <c:pt idx="15">
                  <c:v>Fishing Industry</c:v>
                </c:pt>
                <c:pt idx="16">
                  <c:v>Agriculture</c:v>
                </c:pt>
                <c:pt idx="17">
                  <c:v>Pharmacies</c:v>
                </c:pt>
                <c:pt idx="18">
                  <c:v>Garbage, and Recycling industry</c:v>
                </c:pt>
                <c:pt idx="19">
                  <c:v>Housing Development </c:v>
                </c:pt>
                <c:pt idx="20">
                  <c:v>Land Transportation, taxis, buses etc</c:v>
                </c:pt>
                <c:pt idx="21">
                  <c:v>Water processing</c:v>
                </c:pt>
                <c:pt idx="22">
                  <c:v>Clothing industry</c:v>
                </c:pt>
                <c:pt idx="23">
                  <c:v>Sales of Motor Vehicles</c:v>
                </c:pt>
                <c:pt idx="24">
                  <c:v>Mining Industry</c:v>
                </c:pt>
                <c:pt idx="25">
                  <c:v>Passenger Ferries</c:v>
                </c:pt>
              </c:strCache>
            </c:strRef>
          </c:cat>
          <c:val>
            <c:numRef>
              <c:f>'18.13'!$AN$28:$AN$53</c:f>
              <c:numCache>
                <c:formatCode>General</c:formatCode>
                <c:ptCount val="26"/>
                <c:pt idx="0">
                  <c:v>441</c:v>
                </c:pt>
                <c:pt idx="1">
                  <c:v>358</c:v>
                </c:pt>
                <c:pt idx="2">
                  <c:v>346</c:v>
                </c:pt>
                <c:pt idx="3">
                  <c:v>303</c:v>
                </c:pt>
                <c:pt idx="4">
                  <c:v>158</c:v>
                </c:pt>
                <c:pt idx="5">
                  <c:v>148</c:v>
                </c:pt>
                <c:pt idx="6">
                  <c:v>77</c:v>
                </c:pt>
                <c:pt idx="7">
                  <c:v>69</c:v>
                </c:pt>
                <c:pt idx="8">
                  <c:v>56</c:v>
                </c:pt>
                <c:pt idx="9">
                  <c:v>43</c:v>
                </c:pt>
                <c:pt idx="10">
                  <c:v>28</c:v>
                </c:pt>
                <c:pt idx="11">
                  <c:v>22</c:v>
                </c:pt>
                <c:pt idx="12">
                  <c:v>22</c:v>
                </c:pt>
                <c:pt idx="13">
                  <c:v>17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9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36-43A9-8FA1-0903EFAFCE1E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002688"/>
        <c:axId val="422003080"/>
      </c:barChart>
      <c:catAx>
        <c:axId val="42200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/>
            </a:pPr>
            <a:endParaRPr lang="en-US"/>
          </a:p>
        </c:txPr>
        <c:crossAx val="422003080"/>
        <c:crosses val="autoZero"/>
        <c:auto val="1"/>
        <c:lblAlgn val="ctr"/>
        <c:lblOffset val="100"/>
        <c:noMultiLvlLbl val="1"/>
      </c:catAx>
      <c:valAx>
        <c:axId val="422003080"/>
        <c:scaling>
          <c:orientation val="minMax"/>
          <c:max val="450"/>
        </c:scaling>
        <c:delete val="0"/>
        <c:axPos val="l"/>
        <c:majorGridlines>
          <c:spPr>
            <a:ln>
              <a:solidFill>
                <a:srgbClr val="B2EDEC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42200268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1381125</xdr:colOff>
      <xdr:row>33</xdr:row>
      <xdr:rowOff>76200</xdr:rowOff>
    </xdr:from>
    <xdr:ext cx="7153275" cy="2933700"/>
    <xdr:graphicFrame macro=""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1400175</xdr:colOff>
      <xdr:row>49</xdr:row>
      <xdr:rowOff>19050</xdr:rowOff>
    </xdr:from>
    <xdr:ext cx="6943725" cy="4152900"/>
    <xdr:graphicFrame macro=""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1364034</xdr:colOff>
      <xdr:row>54</xdr:row>
      <xdr:rowOff>48248</xdr:rowOff>
    </xdr:from>
    <xdr:ext cx="190500" cy="828675"/>
    <xdr:sp macro="" textlink="">
      <xdr:nvSpPr>
        <xdr:cNvPr id="23" name="Shape 23"/>
        <xdr:cNvSpPr txBox="1"/>
      </xdr:nvSpPr>
      <xdr:spPr>
        <a:xfrm rot="-5400000">
          <a:off x="1044946" y="13154871"/>
          <a:ext cx="8286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alibri"/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numbers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34</xdr:row>
      <xdr:rowOff>0</xdr:rowOff>
    </xdr:from>
    <xdr:ext cx="5829300" cy="495300"/>
    <xdr:sp macro="" textlink="">
      <xdr:nvSpPr>
        <xdr:cNvPr id="24" name="Shape 24"/>
        <xdr:cNvSpPr txBox="1"/>
      </xdr:nvSpPr>
      <xdr:spPr>
        <a:xfrm>
          <a:off x="2431350" y="3537113"/>
          <a:ext cx="5829300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18.15: Establishments registered in the retirement pension scheme, by employment size, 2020 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1695450</xdr:colOff>
      <xdr:row>50</xdr:row>
      <xdr:rowOff>66675</xdr:rowOff>
    </xdr:from>
    <xdr:ext cx="6353175" cy="390525"/>
    <xdr:sp macro="" textlink="">
      <xdr:nvSpPr>
        <xdr:cNvPr id="27" name="Shape 27"/>
        <xdr:cNvSpPr txBox="1"/>
      </xdr:nvSpPr>
      <xdr:spPr>
        <a:xfrm>
          <a:off x="1695450" y="12039600"/>
          <a:ext cx="635317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18.16: Number of registered establishments in the retirement pension scheme  by sector,</a:t>
          </a:r>
          <a:r>
            <a:rPr lang="en-US" sz="1100" b="1" i="0" baseline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</a:t>
          </a:r>
          <a:r>
            <a:rPr lang="dv-MV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2020</a:t>
          </a:r>
          <a:endParaRPr sz="1100">
            <a:latin typeface="Consolas"/>
            <a:ea typeface="Consolas"/>
            <a:cs typeface="Consolas"/>
            <a:sym typeface="Consola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72"/>
  <sheetViews>
    <sheetView tabSelected="1" zoomScaleNormal="100" zoomScaleSheetLayoutView="35" workbookViewId="0">
      <selection activeCell="I36" sqref="I36"/>
    </sheetView>
  </sheetViews>
  <sheetFormatPr defaultColWidth="14.42578125" defaultRowHeight="15" customHeight="1" x14ac:dyDescent="0.25"/>
  <cols>
    <col min="1" max="1" width="37.28515625" style="2" customWidth="1"/>
    <col min="2" max="2" width="8" style="2" customWidth="1"/>
    <col min="3" max="3" width="8.5703125" style="2" customWidth="1"/>
    <col min="4" max="4" width="10.140625" style="2" customWidth="1"/>
    <col min="5" max="5" width="9.7109375" style="2" customWidth="1"/>
    <col min="6" max="7" width="8.85546875" style="2" customWidth="1"/>
    <col min="8" max="8" width="10.140625" style="2" customWidth="1"/>
    <col min="9" max="9" width="41.7109375" style="2" customWidth="1"/>
    <col min="10" max="10" width="4.140625" style="2" customWidth="1"/>
    <col min="11" max="24" width="8" style="2" customWidth="1"/>
    <col min="25" max="25" width="40.28515625" style="2" customWidth="1"/>
    <col min="26" max="34" width="8" style="2" customWidth="1"/>
    <col min="35" max="16384" width="14.42578125" style="2"/>
  </cols>
  <sheetData>
    <row r="1" spans="1:34" ht="17.25" customHeight="1" x14ac:dyDescent="0.25">
      <c r="A1" s="31" t="s">
        <v>65</v>
      </c>
      <c r="B1" s="32"/>
      <c r="C1" s="32"/>
      <c r="D1" s="32"/>
      <c r="E1" s="32"/>
      <c r="F1" s="32"/>
      <c r="G1" s="32"/>
      <c r="H1" s="32"/>
      <c r="I1" s="3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1"/>
      <c r="AE1" s="1"/>
      <c r="AF1" s="1"/>
      <c r="AG1" s="1"/>
      <c r="AH1" s="1"/>
    </row>
    <row r="2" spans="1:34" ht="17.25" customHeight="1" x14ac:dyDescent="0.25">
      <c r="A2" s="35" t="s">
        <v>64</v>
      </c>
      <c r="B2" s="32"/>
      <c r="C2" s="32"/>
      <c r="D2" s="32"/>
      <c r="E2" s="32"/>
      <c r="F2" s="32"/>
      <c r="G2" s="32"/>
      <c r="H2" s="32"/>
      <c r="I2" s="3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3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3.5" customHeight="1" x14ac:dyDescent="0.25">
      <c r="A4" s="37" t="s">
        <v>3</v>
      </c>
      <c r="B4" s="38" t="s">
        <v>4</v>
      </c>
      <c r="C4" s="39"/>
      <c r="D4" s="39"/>
      <c r="E4" s="39"/>
      <c r="F4" s="39"/>
      <c r="G4" s="40"/>
      <c r="H4" s="42" t="s">
        <v>1</v>
      </c>
      <c r="I4" s="41" t="s">
        <v>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"/>
      <c r="AE4" s="1"/>
      <c r="AF4" s="1"/>
      <c r="AG4" s="1"/>
      <c r="AH4" s="1"/>
    </row>
    <row r="5" spans="1:34" ht="15" customHeight="1" x14ac:dyDescent="0.25">
      <c r="A5" s="33"/>
      <c r="B5" s="10" t="s">
        <v>6</v>
      </c>
      <c r="C5" s="10" t="s">
        <v>7</v>
      </c>
      <c r="D5" s="10" t="s">
        <v>8</v>
      </c>
      <c r="E5" s="10" t="s">
        <v>9</v>
      </c>
      <c r="F5" s="11" t="s">
        <v>10</v>
      </c>
      <c r="G5" s="10" t="s">
        <v>2</v>
      </c>
      <c r="H5" s="43"/>
      <c r="I5" s="3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"/>
      <c r="AE5" s="1"/>
      <c r="AF5" s="1"/>
      <c r="AG5" s="1"/>
      <c r="AH5" s="1"/>
    </row>
    <row r="6" spans="1:34" ht="21" customHeight="1" x14ac:dyDescent="0.55000000000000004">
      <c r="A6" s="12" t="s">
        <v>2</v>
      </c>
      <c r="B6" s="13">
        <f>SUM(B7:B32)</f>
        <v>1081</v>
      </c>
      <c r="C6" s="13">
        <f t="shared" ref="C6:E6" si="0">SUM(C7:C32)</f>
        <v>573</v>
      </c>
      <c r="D6" s="13">
        <f t="shared" si="0"/>
        <v>163</v>
      </c>
      <c r="E6" s="13">
        <f t="shared" si="0"/>
        <v>136</v>
      </c>
      <c r="F6" s="13">
        <f>SUM(F7:F32)</f>
        <v>59</v>
      </c>
      <c r="G6" s="13">
        <f>SUM(G7:G32)</f>
        <v>2012</v>
      </c>
      <c r="H6" s="28">
        <f>SUM(H7:H32)</f>
        <v>100.00000000000001</v>
      </c>
      <c r="I6" s="6" t="s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"/>
      <c r="AE6" s="1"/>
      <c r="AF6" s="1"/>
      <c r="AG6" s="1"/>
      <c r="AH6" s="1"/>
    </row>
    <row r="7" spans="1:34" ht="21" customHeight="1" x14ac:dyDescent="0.55000000000000004">
      <c r="A7" s="18" t="s">
        <v>11</v>
      </c>
      <c r="B7" s="16">
        <v>8</v>
      </c>
      <c r="C7" s="16">
        <v>2</v>
      </c>
      <c r="D7" s="16">
        <v>1</v>
      </c>
      <c r="E7" s="16">
        <v>0</v>
      </c>
      <c r="F7" s="16">
        <v>0</v>
      </c>
      <c r="G7" s="24">
        <f t="shared" ref="G7:G32" si="1">B7+C7+D7+E7+F7</f>
        <v>11</v>
      </c>
      <c r="H7" s="29">
        <f t="shared" ref="H7:H31" si="2">G7/$G$6*100</f>
        <v>0.54671968190854869</v>
      </c>
      <c r="I7" s="21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 x14ac:dyDescent="0.55000000000000004">
      <c r="A8" s="18" t="s">
        <v>13</v>
      </c>
      <c r="B8" s="16">
        <v>7</v>
      </c>
      <c r="C8" s="16">
        <v>3</v>
      </c>
      <c r="D8" s="16">
        <v>2</v>
      </c>
      <c r="E8" s="16">
        <v>1</v>
      </c>
      <c r="F8" s="16">
        <v>2</v>
      </c>
      <c r="G8" s="24">
        <f t="shared" si="1"/>
        <v>15</v>
      </c>
      <c r="H8" s="29">
        <f t="shared" si="2"/>
        <v>0.74552683896620275</v>
      </c>
      <c r="I8" s="21" t="s">
        <v>14</v>
      </c>
      <c r="J8" s="1"/>
      <c r="K8" s="1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55000000000000004">
      <c r="A9" s="18" t="s">
        <v>15</v>
      </c>
      <c r="B9" s="16">
        <v>2</v>
      </c>
      <c r="C9" s="16">
        <v>0</v>
      </c>
      <c r="D9" s="16">
        <v>0</v>
      </c>
      <c r="E9" s="16">
        <v>0</v>
      </c>
      <c r="F9" s="16">
        <v>0</v>
      </c>
      <c r="G9" s="24">
        <f t="shared" si="1"/>
        <v>2</v>
      </c>
      <c r="H9" s="29">
        <f t="shared" si="2"/>
        <v>9.940357852882703E-2</v>
      </c>
      <c r="I9" s="21" t="s">
        <v>16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55000000000000004">
      <c r="A10" s="18" t="s">
        <v>17</v>
      </c>
      <c r="B10" s="16">
        <v>15</v>
      </c>
      <c r="C10" s="16">
        <v>2</v>
      </c>
      <c r="D10" s="16">
        <v>0</v>
      </c>
      <c r="E10" s="16">
        <v>0</v>
      </c>
      <c r="F10" s="16">
        <v>0</v>
      </c>
      <c r="G10" s="24">
        <f t="shared" si="1"/>
        <v>17</v>
      </c>
      <c r="H10" s="29">
        <f t="shared" si="2"/>
        <v>0.84493041749502984</v>
      </c>
      <c r="I10" s="21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55000000000000004">
      <c r="A11" s="18" t="s">
        <v>19</v>
      </c>
      <c r="B11" s="16">
        <v>99</v>
      </c>
      <c r="C11" s="16">
        <v>30</v>
      </c>
      <c r="D11" s="16">
        <v>6</v>
      </c>
      <c r="E11" s="16">
        <v>2</v>
      </c>
      <c r="F11" s="16">
        <v>1</v>
      </c>
      <c r="G11" s="24">
        <f t="shared" si="1"/>
        <v>138</v>
      </c>
      <c r="H11" s="29">
        <f t="shared" si="2"/>
        <v>6.8588469184890659</v>
      </c>
      <c r="I11" s="21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55000000000000004">
      <c r="A12" s="18" t="s">
        <v>21</v>
      </c>
      <c r="B12" s="16">
        <v>15</v>
      </c>
      <c r="C12" s="16">
        <v>3</v>
      </c>
      <c r="D12" s="16">
        <v>0</v>
      </c>
      <c r="E12" s="16">
        <v>1</v>
      </c>
      <c r="F12" s="16">
        <v>0</v>
      </c>
      <c r="G12" s="24">
        <f t="shared" si="1"/>
        <v>19</v>
      </c>
      <c r="H12" s="29">
        <f t="shared" si="2"/>
        <v>0.94433399602385681</v>
      </c>
      <c r="I12" s="21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44.25" customHeight="1" x14ac:dyDescent="0.25">
      <c r="A13" s="19" t="s">
        <v>23</v>
      </c>
      <c r="B13" s="26">
        <v>25</v>
      </c>
      <c r="C13" s="26">
        <v>29</v>
      </c>
      <c r="D13" s="26">
        <v>6</v>
      </c>
      <c r="E13" s="26">
        <v>3</v>
      </c>
      <c r="F13" s="26">
        <v>4</v>
      </c>
      <c r="G13" s="27">
        <f t="shared" si="1"/>
        <v>67</v>
      </c>
      <c r="H13" s="29">
        <f t="shared" si="2"/>
        <v>3.3300198807157058</v>
      </c>
      <c r="I13" s="22" t="s">
        <v>24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"/>
      <c r="AE13" s="1"/>
      <c r="AF13" s="1"/>
      <c r="AG13" s="1"/>
      <c r="AH13" s="1"/>
    </row>
    <row r="14" spans="1:34" ht="21" customHeight="1" x14ac:dyDescent="0.55000000000000004">
      <c r="A14" s="18" t="s">
        <v>25</v>
      </c>
      <c r="B14" s="16">
        <v>7</v>
      </c>
      <c r="C14" s="16">
        <v>2</v>
      </c>
      <c r="D14" s="16">
        <v>1</v>
      </c>
      <c r="E14" s="16">
        <v>1</v>
      </c>
      <c r="F14" s="16">
        <v>1</v>
      </c>
      <c r="G14" s="24">
        <f t="shared" si="1"/>
        <v>12</v>
      </c>
      <c r="H14" s="29">
        <f t="shared" si="2"/>
        <v>0.59642147117296218</v>
      </c>
      <c r="I14" s="21" t="s">
        <v>26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55000000000000004">
      <c r="A15" s="18" t="s">
        <v>27</v>
      </c>
      <c r="B15" s="16">
        <v>2</v>
      </c>
      <c r="C15" s="16">
        <v>5</v>
      </c>
      <c r="D15" s="16">
        <v>1</v>
      </c>
      <c r="E15" s="16">
        <v>0</v>
      </c>
      <c r="F15" s="16">
        <v>0</v>
      </c>
      <c r="G15" s="24">
        <f t="shared" si="1"/>
        <v>8</v>
      </c>
      <c r="H15" s="29">
        <f t="shared" si="2"/>
        <v>0.39761431411530812</v>
      </c>
      <c r="I15" s="21" t="s">
        <v>28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55000000000000004">
      <c r="A16" s="18" t="s">
        <v>29</v>
      </c>
      <c r="B16" s="16">
        <v>35</v>
      </c>
      <c r="C16" s="16">
        <v>222</v>
      </c>
      <c r="D16" s="16">
        <v>60</v>
      </c>
      <c r="E16" s="16">
        <v>59</v>
      </c>
      <c r="F16" s="16">
        <v>33</v>
      </c>
      <c r="G16" s="24">
        <f t="shared" si="1"/>
        <v>409</v>
      </c>
      <c r="H16" s="29">
        <f t="shared" si="2"/>
        <v>20.328031809145127</v>
      </c>
      <c r="I16" s="21" t="s">
        <v>30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40" ht="21" customHeight="1" x14ac:dyDescent="0.55000000000000004">
      <c r="A17" s="18" t="s">
        <v>31</v>
      </c>
      <c r="B17" s="16">
        <v>18</v>
      </c>
      <c r="C17" s="16">
        <v>16</v>
      </c>
      <c r="D17" s="16">
        <v>0</v>
      </c>
      <c r="E17" s="16">
        <v>3</v>
      </c>
      <c r="F17" s="16">
        <v>1</v>
      </c>
      <c r="G17" s="24">
        <f t="shared" si="1"/>
        <v>38</v>
      </c>
      <c r="H17" s="29">
        <f t="shared" si="2"/>
        <v>1.8886679920477136</v>
      </c>
      <c r="I17" s="21" t="s">
        <v>32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40" ht="21" customHeight="1" x14ac:dyDescent="0.55000000000000004">
      <c r="A18" s="18" t="s">
        <v>33</v>
      </c>
      <c r="B18" s="16">
        <v>145</v>
      </c>
      <c r="C18" s="16">
        <v>59</v>
      </c>
      <c r="D18" s="16">
        <v>49</v>
      </c>
      <c r="E18" s="16">
        <v>52</v>
      </c>
      <c r="F18" s="16">
        <v>7</v>
      </c>
      <c r="G18" s="24">
        <f t="shared" si="1"/>
        <v>312</v>
      </c>
      <c r="H18" s="29">
        <f t="shared" si="2"/>
        <v>15.50695825049702</v>
      </c>
      <c r="I18" s="21" t="s">
        <v>34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40" ht="21" customHeight="1" x14ac:dyDescent="0.55000000000000004">
      <c r="A19" s="18" t="s">
        <v>35</v>
      </c>
      <c r="B19" s="16">
        <v>6</v>
      </c>
      <c r="C19" s="16">
        <v>2</v>
      </c>
      <c r="D19" s="16">
        <v>0</v>
      </c>
      <c r="E19" s="16">
        <v>0</v>
      </c>
      <c r="F19" s="16">
        <v>0</v>
      </c>
      <c r="G19" s="24">
        <f t="shared" si="1"/>
        <v>8</v>
      </c>
      <c r="H19" s="29">
        <f t="shared" si="2"/>
        <v>0.39761431411530812</v>
      </c>
      <c r="I19" s="21" t="s">
        <v>36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40" ht="21" customHeight="1" x14ac:dyDescent="0.55000000000000004">
      <c r="A20" s="18" t="s">
        <v>37</v>
      </c>
      <c r="B20" s="16">
        <v>2</v>
      </c>
      <c r="C20" s="16">
        <v>1</v>
      </c>
      <c r="D20" s="16">
        <v>0</v>
      </c>
      <c r="E20" s="16">
        <v>0</v>
      </c>
      <c r="F20" s="16">
        <v>1</v>
      </c>
      <c r="G20" s="24">
        <f t="shared" si="1"/>
        <v>4</v>
      </c>
      <c r="H20" s="29">
        <f t="shared" si="2"/>
        <v>0.19880715705765406</v>
      </c>
      <c r="I20" s="21" t="s">
        <v>38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40" ht="21" customHeight="1" x14ac:dyDescent="0.55000000000000004">
      <c r="A21" s="18" t="s">
        <v>39</v>
      </c>
      <c r="B21" s="16">
        <v>1</v>
      </c>
      <c r="C21" s="16">
        <v>0</v>
      </c>
      <c r="D21" s="16">
        <v>0</v>
      </c>
      <c r="E21" s="16">
        <v>0</v>
      </c>
      <c r="F21" s="16">
        <v>0</v>
      </c>
      <c r="G21" s="24">
        <f t="shared" si="1"/>
        <v>1</v>
      </c>
      <c r="H21" s="29">
        <f t="shared" si="2"/>
        <v>4.9701789264413515E-2</v>
      </c>
      <c r="I21" s="21" t="s">
        <v>40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40" ht="21" customHeight="1" x14ac:dyDescent="0.55000000000000004">
      <c r="A22" s="18" t="s">
        <v>62</v>
      </c>
      <c r="B22" s="16">
        <v>2</v>
      </c>
      <c r="C22" s="16">
        <v>0</v>
      </c>
      <c r="D22" s="16">
        <v>0</v>
      </c>
      <c r="E22" s="16">
        <v>0</v>
      </c>
      <c r="F22" s="16">
        <v>0</v>
      </c>
      <c r="G22" s="24">
        <f t="shared" si="1"/>
        <v>2</v>
      </c>
      <c r="H22" s="29">
        <f t="shared" si="2"/>
        <v>9.940357852882703E-2</v>
      </c>
      <c r="I22" s="21" t="s">
        <v>63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40" ht="21" customHeight="1" x14ac:dyDescent="0.55000000000000004">
      <c r="A23" s="18" t="s">
        <v>41</v>
      </c>
      <c r="B23" s="16">
        <v>5</v>
      </c>
      <c r="C23" s="16">
        <v>2</v>
      </c>
      <c r="D23" s="16">
        <v>0</v>
      </c>
      <c r="E23" s="16">
        <v>0</v>
      </c>
      <c r="F23" s="16">
        <v>0</v>
      </c>
      <c r="G23" s="24">
        <f t="shared" si="1"/>
        <v>7</v>
      </c>
      <c r="H23" s="29">
        <f t="shared" si="2"/>
        <v>0.34791252485089463</v>
      </c>
      <c r="I23" s="21" t="s">
        <v>42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40" ht="21" customHeight="1" x14ac:dyDescent="0.55000000000000004">
      <c r="A24" s="18" t="s">
        <v>43</v>
      </c>
      <c r="B24" s="16">
        <v>15</v>
      </c>
      <c r="C24" s="16">
        <v>6</v>
      </c>
      <c r="D24" s="16">
        <v>0</v>
      </c>
      <c r="E24" s="16">
        <v>0</v>
      </c>
      <c r="F24" s="16">
        <v>0</v>
      </c>
      <c r="G24" s="24">
        <f t="shared" si="1"/>
        <v>21</v>
      </c>
      <c r="H24" s="29">
        <f t="shared" si="2"/>
        <v>1.0437375745526838</v>
      </c>
      <c r="I24" s="21" t="s">
        <v>44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40" ht="21" customHeight="1" x14ac:dyDescent="0.55000000000000004">
      <c r="A25" s="18" t="s">
        <v>45</v>
      </c>
      <c r="B25" s="16">
        <v>0</v>
      </c>
      <c r="C25" s="16">
        <v>1</v>
      </c>
      <c r="D25" s="16">
        <v>1</v>
      </c>
      <c r="E25" s="16">
        <v>0</v>
      </c>
      <c r="F25" s="16">
        <v>0</v>
      </c>
      <c r="G25" s="24">
        <f t="shared" si="1"/>
        <v>2</v>
      </c>
      <c r="H25" s="29">
        <f t="shared" si="2"/>
        <v>9.940357852882703E-2</v>
      </c>
      <c r="I25" s="21" t="s">
        <v>46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40" ht="21" customHeight="1" x14ac:dyDescent="0.55000000000000004">
      <c r="A26" s="18" t="s">
        <v>47</v>
      </c>
      <c r="B26" s="16">
        <v>24</v>
      </c>
      <c r="C26" s="16">
        <v>20</v>
      </c>
      <c r="D26" s="16">
        <v>11</v>
      </c>
      <c r="E26" s="16">
        <v>5</v>
      </c>
      <c r="F26" s="16">
        <v>0</v>
      </c>
      <c r="G26" s="24">
        <f t="shared" si="1"/>
        <v>60</v>
      </c>
      <c r="H26" s="29">
        <f t="shared" si="2"/>
        <v>2.982107355864811</v>
      </c>
      <c r="I26" s="21" t="s">
        <v>48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40" ht="21" customHeight="1" x14ac:dyDescent="0.55000000000000004">
      <c r="A27" s="18" t="s">
        <v>49</v>
      </c>
      <c r="B27" s="16">
        <v>35</v>
      </c>
      <c r="C27" s="16">
        <v>11</v>
      </c>
      <c r="D27" s="16">
        <v>4</v>
      </c>
      <c r="E27" s="16">
        <v>1</v>
      </c>
      <c r="F27" s="16">
        <v>2</v>
      </c>
      <c r="G27" s="24">
        <f t="shared" si="1"/>
        <v>53</v>
      </c>
      <c r="H27" s="29">
        <f t="shared" si="2"/>
        <v>2.6341948310139163</v>
      </c>
      <c r="I27" s="21" t="s">
        <v>50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40" ht="21" customHeight="1" x14ac:dyDescent="0.55000000000000004">
      <c r="A28" s="18" t="s">
        <v>51</v>
      </c>
      <c r="B28" s="16">
        <v>196</v>
      </c>
      <c r="C28" s="16">
        <v>50</v>
      </c>
      <c r="D28" s="16">
        <v>8</v>
      </c>
      <c r="E28" s="16">
        <v>4</v>
      </c>
      <c r="F28" s="16">
        <v>0</v>
      </c>
      <c r="G28" s="24">
        <f t="shared" si="1"/>
        <v>258</v>
      </c>
      <c r="H28" s="29">
        <f t="shared" si="2"/>
        <v>12.823061630218687</v>
      </c>
      <c r="I28" s="21" t="s">
        <v>52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M28" s="2" t="s">
        <v>29</v>
      </c>
      <c r="AN28" s="2">
        <v>441</v>
      </c>
    </row>
    <row r="29" spans="1:40" ht="21" customHeight="1" x14ac:dyDescent="0.55000000000000004">
      <c r="A29" s="18" t="s">
        <v>53</v>
      </c>
      <c r="B29" s="16">
        <v>7</v>
      </c>
      <c r="C29" s="16">
        <v>7</v>
      </c>
      <c r="D29" s="16">
        <v>2</v>
      </c>
      <c r="E29" s="16">
        <v>1</v>
      </c>
      <c r="F29" s="16">
        <v>2</v>
      </c>
      <c r="G29" s="24">
        <f t="shared" si="1"/>
        <v>19</v>
      </c>
      <c r="H29" s="29">
        <f t="shared" si="2"/>
        <v>0.94433399602385681</v>
      </c>
      <c r="I29" s="21" t="s">
        <v>54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M29" s="2" t="s">
        <v>33</v>
      </c>
      <c r="AN29" s="2">
        <v>358</v>
      </c>
    </row>
    <row r="30" spans="1:40" ht="21" customHeight="1" x14ac:dyDescent="0.55000000000000004">
      <c r="A30" s="18" t="s">
        <v>55</v>
      </c>
      <c r="B30" s="16">
        <v>3</v>
      </c>
      <c r="C30" s="16">
        <v>1</v>
      </c>
      <c r="D30" s="16">
        <v>0</v>
      </c>
      <c r="E30" s="16">
        <v>0</v>
      </c>
      <c r="F30" s="16">
        <v>0</v>
      </c>
      <c r="G30" s="24">
        <f t="shared" si="1"/>
        <v>4</v>
      </c>
      <c r="H30" s="29">
        <f t="shared" si="2"/>
        <v>0.19880715705765406</v>
      </c>
      <c r="I30" s="21" t="s">
        <v>56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M30" s="2" t="s">
        <v>59</v>
      </c>
      <c r="AN30" s="2">
        <v>346</v>
      </c>
    </row>
    <row r="31" spans="1:40" ht="21" customHeight="1" x14ac:dyDescent="0.55000000000000004">
      <c r="A31" s="18" t="s">
        <v>57</v>
      </c>
      <c r="B31" s="16">
        <v>114</v>
      </c>
      <c r="C31" s="16">
        <v>28</v>
      </c>
      <c r="D31" s="16">
        <v>6</v>
      </c>
      <c r="E31" s="16">
        <v>1</v>
      </c>
      <c r="F31" s="16">
        <v>2</v>
      </c>
      <c r="G31" s="24">
        <f t="shared" si="1"/>
        <v>151</v>
      </c>
      <c r="H31" s="29">
        <f t="shared" si="2"/>
        <v>7.5049701789264418</v>
      </c>
      <c r="I31" s="21" t="s">
        <v>58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M31" s="2" t="s">
        <v>51</v>
      </c>
      <c r="AN31" s="2">
        <v>303</v>
      </c>
    </row>
    <row r="32" spans="1:40" ht="17.25" customHeight="1" x14ac:dyDescent="0.55000000000000004">
      <c r="A32" s="20" t="s">
        <v>59</v>
      </c>
      <c r="B32" s="17">
        <v>293</v>
      </c>
      <c r="C32" s="17">
        <v>71</v>
      </c>
      <c r="D32" s="17">
        <v>5</v>
      </c>
      <c r="E32" s="17">
        <v>2</v>
      </c>
      <c r="F32" s="17">
        <v>3</v>
      </c>
      <c r="G32" s="25">
        <f t="shared" si="1"/>
        <v>374</v>
      </c>
      <c r="H32" s="30">
        <f>G32/$G$6*100</f>
        <v>18.588469184890656</v>
      </c>
      <c r="I32" s="23" t="s">
        <v>60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L32" s="1"/>
      <c r="AM32" s="2" t="s">
        <v>57</v>
      </c>
      <c r="AN32" s="2">
        <v>158</v>
      </c>
    </row>
    <row r="33" spans="1:40" ht="12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>
        <v>515</v>
      </c>
      <c r="AC33" s="9">
        <v>455</v>
      </c>
      <c r="AD33" s="9">
        <v>127</v>
      </c>
      <c r="AE33" s="9">
        <v>112</v>
      </c>
      <c r="AF33" s="9">
        <v>41</v>
      </c>
      <c r="AG33" s="9">
        <v>1250</v>
      </c>
      <c r="AH33" s="9">
        <v>100</v>
      </c>
      <c r="AL33" s="1"/>
      <c r="AM33" s="2" t="s">
        <v>19</v>
      </c>
      <c r="AN33" s="2">
        <v>148</v>
      </c>
    </row>
    <row r="34" spans="1:40" ht="15.75" customHeight="1" x14ac:dyDescent="0.25">
      <c r="A34" s="1"/>
      <c r="B34" s="1"/>
      <c r="C34" s="1"/>
      <c r="D34" s="15"/>
      <c r="E34" s="15"/>
      <c r="F34" s="1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L34" s="1"/>
      <c r="AM34" s="2" t="s">
        <v>23</v>
      </c>
      <c r="AN34" s="2">
        <v>77</v>
      </c>
    </row>
    <row r="35" spans="1:4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L35" s="1"/>
      <c r="AM35" s="2" t="s">
        <v>47</v>
      </c>
      <c r="AN35" s="2">
        <v>69</v>
      </c>
    </row>
    <row r="36" spans="1:4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5" t="s">
        <v>6</v>
      </c>
      <c r="AC36" s="15" t="s">
        <v>7</v>
      </c>
      <c r="AD36" s="15" t="s">
        <v>8</v>
      </c>
      <c r="AE36" s="15" t="s">
        <v>9</v>
      </c>
      <c r="AF36" s="15" t="s">
        <v>10</v>
      </c>
      <c r="AG36" s="1" t="s">
        <v>2</v>
      </c>
      <c r="AH36" s="1"/>
      <c r="AL36" s="1"/>
      <c r="AM36" s="2" t="s">
        <v>49</v>
      </c>
      <c r="AN36" s="2">
        <v>56</v>
      </c>
    </row>
    <row r="37" spans="1:4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s">
        <v>61</v>
      </c>
      <c r="AB37" s="8">
        <f t="shared" ref="AB37:AF37" si="3">B6</f>
        <v>1081</v>
      </c>
      <c r="AC37" s="8">
        <f t="shared" si="3"/>
        <v>573</v>
      </c>
      <c r="AD37" s="8">
        <f t="shared" si="3"/>
        <v>163</v>
      </c>
      <c r="AE37" s="8">
        <f t="shared" si="3"/>
        <v>136</v>
      </c>
      <c r="AF37" s="8">
        <f t="shared" si="3"/>
        <v>59</v>
      </c>
      <c r="AG37" s="8">
        <f>SUM(AB37:AF37)</f>
        <v>2012</v>
      </c>
      <c r="AH37" s="1"/>
      <c r="AL37" s="1"/>
      <c r="AM37" s="2" t="s">
        <v>31</v>
      </c>
      <c r="AN37" s="2">
        <v>43</v>
      </c>
    </row>
    <row r="38" spans="1:4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L38" s="1"/>
      <c r="AM38" s="2" t="s">
        <v>43</v>
      </c>
      <c r="AN38" s="2">
        <v>28</v>
      </c>
    </row>
    <row r="39" spans="1:4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L39" s="1"/>
      <c r="AM39" s="2" t="s">
        <v>21</v>
      </c>
      <c r="AN39" s="2">
        <v>22</v>
      </c>
    </row>
    <row r="40" spans="1:4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L40" s="1"/>
      <c r="AM40" s="2" t="s">
        <v>53</v>
      </c>
      <c r="AN40" s="2">
        <v>22</v>
      </c>
    </row>
    <row r="41" spans="1:4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L41" s="1"/>
      <c r="AM41" s="2" t="s">
        <v>13</v>
      </c>
      <c r="AN41" s="2">
        <v>17</v>
      </c>
    </row>
    <row r="42" spans="1:4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L42" s="1"/>
      <c r="AM42" s="2" t="s">
        <v>17</v>
      </c>
      <c r="AN42" s="2">
        <v>14</v>
      </c>
    </row>
    <row r="43" spans="1:4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L43" s="1"/>
      <c r="AM43" s="2" t="s">
        <v>25</v>
      </c>
      <c r="AN43" s="2">
        <v>13</v>
      </c>
    </row>
    <row r="44" spans="1:4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L44" s="1"/>
      <c r="AM44" s="2" t="s">
        <v>11</v>
      </c>
      <c r="AN44" s="2">
        <v>12</v>
      </c>
    </row>
    <row r="45" spans="1:4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L45" s="1"/>
      <c r="AM45" s="2" t="s">
        <v>41</v>
      </c>
      <c r="AN45" s="2">
        <v>9</v>
      </c>
    </row>
    <row r="46" spans="1:4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L46" s="1"/>
      <c r="AM46" s="2" t="s">
        <v>27</v>
      </c>
      <c r="AN46" s="2">
        <v>7</v>
      </c>
    </row>
    <row r="47" spans="1:4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L47" s="1"/>
      <c r="AM47" s="2" t="s">
        <v>35</v>
      </c>
      <c r="AN47" s="2">
        <v>5</v>
      </c>
    </row>
    <row r="48" spans="1:4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L48" s="1"/>
      <c r="AM48" s="2" t="s">
        <v>37</v>
      </c>
      <c r="AN48" s="2">
        <v>5</v>
      </c>
    </row>
    <row r="49" spans="1:4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L49" s="1"/>
      <c r="AM49" s="2" t="s">
        <v>55</v>
      </c>
      <c r="AN49" s="2">
        <v>4</v>
      </c>
    </row>
    <row r="50" spans="1:4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L50" s="1"/>
      <c r="AM50" s="2" t="s">
        <v>15</v>
      </c>
      <c r="AN50" s="2">
        <v>3</v>
      </c>
    </row>
    <row r="51" spans="1:4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L51" s="1"/>
      <c r="AM51" s="2" t="s">
        <v>45</v>
      </c>
      <c r="AN51" s="2">
        <v>2</v>
      </c>
    </row>
    <row r="52" spans="1:4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L52" s="1"/>
      <c r="AM52" s="2" t="s">
        <v>39</v>
      </c>
      <c r="AN52" s="2">
        <v>1</v>
      </c>
    </row>
    <row r="53" spans="1:4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L53" s="1"/>
      <c r="AM53" s="2" t="s">
        <v>62</v>
      </c>
      <c r="AN53" s="2">
        <v>1</v>
      </c>
    </row>
    <row r="54" spans="1:4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L54" s="1"/>
    </row>
    <row r="55" spans="1:4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L55" s="1"/>
    </row>
    <row r="56" spans="1:4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L56" s="1"/>
    </row>
    <row r="57" spans="1:4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L57" s="1"/>
    </row>
    <row r="58" spans="1:4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L58" s="1"/>
    </row>
    <row r="59" spans="1:4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4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4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4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4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4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</sheetData>
  <sortState ref="AM28:AN53">
    <sortCondition descending="1" ref="AN28:AN53"/>
  </sortState>
  <mergeCells count="6">
    <mergeCell ref="A1:I1"/>
    <mergeCell ref="A2:I2"/>
    <mergeCell ref="A4:A5"/>
    <mergeCell ref="B4:G4"/>
    <mergeCell ref="I4:I5"/>
    <mergeCell ref="H4:H5"/>
  </mergeCells>
  <pageMargins left="0.7" right="0.7" top="0.75" bottom="0.75" header="0" footer="0"/>
  <pageSetup paperSize="9" scale="76" orientation="landscape" horizontalDpi="4294967295" verticalDpi="4294967295" r:id="rId1"/>
  <rowBreaks count="1" manualBreakCount="1">
    <brk id="32" max="9" man="1"/>
  </rowBreaks>
  <ignoredErrors>
    <ignoredError sqref="C5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2021-06-20T05:26:55Z</cp:lastPrinted>
  <dcterms:created xsi:type="dcterms:W3CDTF">2019-02-21T04:10:17Z</dcterms:created>
  <dcterms:modified xsi:type="dcterms:W3CDTF">2021-06-20T05:27:54Z</dcterms:modified>
</cp:coreProperties>
</file>