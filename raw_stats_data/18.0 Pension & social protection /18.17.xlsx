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7" sheetId="15" r:id="rId1"/>
  </sheets>
  <definedNames>
    <definedName name="_xlnm.Print_Area" localSheetId="0">'18.17'!$A$1:$R$39</definedName>
  </definedNames>
  <calcPr calcId="152511"/>
</workbook>
</file>

<file path=xl/calcChain.xml><?xml version="1.0" encoding="utf-8"?>
<calcChain xmlns="http://schemas.openxmlformats.org/spreadsheetml/2006/main">
  <c r="H19" i="15" l="1"/>
  <c r="P19" i="15" s="1"/>
  <c r="H18" i="15"/>
  <c r="P18" i="15" s="1"/>
  <c r="H17" i="15"/>
  <c r="P17" i="15" s="1"/>
  <c r="H16" i="15"/>
  <c r="P16" i="15" s="1"/>
  <c r="H15" i="15"/>
  <c r="P15" i="15" s="1"/>
  <c r="H14" i="15"/>
  <c r="P14" i="15" s="1"/>
  <c r="H13" i="15"/>
  <c r="P13" i="15" s="1"/>
  <c r="H12" i="15"/>
  <c r="P12" i="15" s="1"/>
  <c r="H11" i="15"/>
  <c r="P11" i="15" s="1"/>
  <c r="H10" i="15"/>
  <c r="P10" i="15" s="1"/>
  <c r="H9" i="15"/>
  <c r="P9" i="15" s="1"/>
  <c r="H8" i="15"/>
  <c r="P8" i="15" s="1"/>
  <c r="J7" i="15"/>
  <c r="I7" i="15"/>
  <c r="H7" i="15" l="1"/>
  <c r="P7" i="15" s="1"/>
  <c r="M9" i="15" l="1"/>
  <c r="M17" i="15"/>
  <c r="M11" i="15"/>
  <c r="M19" i="15"/>
  <c r="M7" i="15"/>
  <c r="M15" i="15"/>
  <c r="M16" i="15"/>
  <c r="M8" i="15"/>
  <c r="M10" i="15"/>
  <c r="M13" i="15"/>
  <c r="M14" i="15"/>
  <c r="M18" i="15"/>
  <c r="M12" i="15"/>
  <c r="E19" i="15" l="1"/>
  <c r="O19" i="15" s="1"/>
  <c r="B19" i="15"/>
  <c r="E18" i="15"/>
  <c r="O18" i="15" s="1"/>
  <c r="B18" i="15"/>
  <c r="E17" i="15"/>
  <c r="O17" i="15" s="1"/>
  <c r="B17" i="15"/>
  <c r="E16" i="15"/>
  <c r="O16" i="15" s="1"/>
  <c r="B16" i="15"/>
  <c r="E15" i="15"/>
  <c r="O15" i="15" s="1"/>
  <c r="B15" i="15"/>
  <c r="E14" i="15"/>
  <c r="O14" i="15" s="1"/>
  <c r="B14" i="15"/>
  <c r="E13" i="15"/>
  <c r="O13" i="15" s="1"/>
  <c r="B13" i="15"/>
  <c r="E12" i="15"/>
  <c r="O12" i="15" s="1"/>
  <c r="B12" i="15"/>
  <c r="E11" i="15"/>
  <c r="O11" i="15" s="1"/>
  <c r="B11" i="15"/>
  <c r="E10" i="15"/>
  <c r="O10" i="15" s="1"/>
  <c r="B10" i="15"/>
  <c r="E9" i="15"/>
  <c r="O9" i="15" s="1"/>
  <c r="B9" i="15"/>
  <c r="E8" i="15"/>
  <c r="B8" i="15"/>
  <c r="G7" i="15"/>
  <c r="F7" i="15"/>
  <c r="D7" i="15"/>
  <c r="C7" i="15"/>
  <c r="O8" i="15" l="1"/>
  <c r="E7" i="15"/>
  <c r="O7" i="15" s="1"/>
  <c r="B7" i="15"/>
  <c r="L8" i="15" l="1"/>
  <c r="L19" i="15"/>
  <c r="L9" i="15"/>
  <c r="L10" i="15"/>
  <c r="L11" i="15"/>
  <c r="L7" i="15"/>
  <c r="L18" i="15"/>
  <c r="L12" i="15"/>
  <c r="L14" i="15"/>
  <c r="L16" i="15"/>
  <c r="L17" i="15"/>
  <c r="L13" i="15"/>
  <c r="L15" i="15"/>
</calcChain>
</file>

<file path=xl/sharedStrings.xml><?xml version="1.0" encoding="utf-8"?>
<sst xmlns="http://schemas.openxmlformats.org/spreadsheetml/2006/main" count="66" uniqueCount="40">
  <si>
    <t>އިންސައްތަ</t>
  </si>
  <si>
    <t>އަންހެނުންގެ އިން ސައްތަ</t>
  </si>
  <si>
    <t>ޖުމްލަ</t>
  </si>
  <si>
    <t>ފިރިހެން</t>
  </si>
  <si>
    <t>އަންހެން</t>
  </si>
  <si>
    <t>% share of females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</si>
  <si>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</si>
  <si>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</si>
  <si>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</si>
  <si>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</si>
  <si>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</si>
  <si>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</si>
  <si>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</si>
  <si>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</si>
  <si>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</si>
  <si>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</si>
  <si>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</si>
  <si>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</si>
  <si>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</si>
  <si>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</si>
  <si>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</si>
  <si>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</si>
  <si>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</si>
  <si>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</si>
  <si>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</si>
  <si>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</si>
  <si>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</si>
  <si>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</si>
  <si>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</si>
  <si>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</si>
  <si>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</si>
  <si>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</si>
  <si>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</si>
  <si>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</si>
  <si>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</si>
  <si>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</si>
  <si>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</si>
  <si>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</si>
  <si>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REGISTERED IN THE RETIREMENT PENSION SCHEME, BY TYPE OF EMPLOYER, 2018 - 2020</t>
  </si>
  <si>
    <t>ތާވަލު  18.17 : ތަނުގެ ބާވަތުން، ރިޓާޔަމަންޓް ޕެންޝަން ސްކީމްގައި ރެޖިސްޓަރކޮށްފައިވާ މުވައްޒަފުންގެ ޢަދަދު ،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</si>
</sst>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i/>
      <sz val="9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5" fontId="10" fillId="0" borderId="12"/>
    <xf numFmtId="0" fontId="1" fillId="0" borderId="12"/>
    <xf numFmtId="0" fontId="1" fillId="0" borderId="12"/>
    <xf numFmtId="164" fontId="9" fillId="0" borderId="12" applyFont="0" applyFill="0" applyBorder="0" applyAlignment="0" applyProtection="0"/>
    <xf numFmtId="164" fontId="9" fillId="0" borderId="12" applyFont="0" applyFill="0" applyBorder="0" applyAlignment="0" applyProtection="0"/>
    <xf numFmtId="0" fontId="9" fillId="0" borderId="12"/>
    <xf numFmtId="0" fontId="11" fillId="0" borderId="12"/>
    <xf numFmtId="0" fontId="12" fillId="0" borderId="12" applyFill="0" applyProtection="0"/>
  </cellStyleXfs>
  <cellXfs count="58">
    <xf numFmtId="0" fontId="0" fillId="0" borderId="0" xfId="0" applyFont="1" applyAlignment="1"/>
    <xf numFmtId="0" fontId="0" fillId="2" borderId="0" xfId="0" applyFont="1" applyFill="1" applyAlignment="1"/>
    <xf numFmtId="3" fontId="0" fillId="3" borderId="12" xfId="0" applyNumberFormat="1" applyFont="1" applyFill="1" applyBorder="1" applyAlignment="1">
      <alignment vertical="center"/>
    </xf>
    <xf numFmtId="3" fontId="0" fillId="3" borderId="9" xfId="0" applyNumberFormat="1" applyFont="1" applyFill="1" applyBorder="1" applyAlignment="1">
      <alignment vertical="center"/>
    </xf>
    <xf numFmtId="3" fontId="0" fillId="3" borderId="14" xfId="0" applyNumberFormat="1" applyFont="1" applyFill="1" applyBorder="1" applyAlignment="1">
      <alignment vertical="center"/>
    </xf>
    <xf numFmtId="3" fontId="0" fillId="3" borderId="5" xfId="0" applyNumberFormat="1" applyFont="1" applyFill="1" applyBorder="1" applyAlignment="1">
      <alignment vertical="center"/>
    </xf>
    <xf numFmtId="0" fontId="0" fillId="4" borderId="12" xfId="0" applyFont="1" applyFill="1" applyBorder="1"/>
    <xf numFmtId="0" fontId="8" fillId="4" borderId="12" xfId="0" applyFont="1" applyFill="1" applyBorder="1" applyAlignment="1"/>
    <xf numFmtId="0" fontId="0" fillId="4" borderId="12" xfId="0" applyFont="1" applyFill="1" applyBorder="1" applyAlignment="1">
      <alignment horizontal="left" vertical="center"/>
    </xf>
    <xf numFmtId="0" fontId="0" fillId="4" borderId="14" xfId="0" applyFont="1" applyFill="1" applyBorder="1" applyAlignment="1">
      <alignment horizontal="left" vertical="center"/>
    </xf>
    <xf numFmtId="0" fontId="6" fillId="4" borderId="12" xfId="0" applyFont="1" applyFill="1" applyBorder="1" applyAlignment="1"/>
    <xf numFmtId="0" fontId="6" fillId="4" borderId="14" xfId="0" applyFont="1" applyFill="1" applyBorder="1" applyAlignment="1"/>
    <xf numFmtId="3" fontId="0" fillId="4" borderId="12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6" xfId="0" applyFont="1" applyFill="1" applyBorder="1"/>
    <xf numFmtId="3" fontId="4" fillId="4" borderId="1" xfId="0" applyNumberFormat="1" applyFont="1" applyFill="1" applyBorder="1" applyAlignment="1">
      <alignment horizontal="right" vertical="center"/>
    </xf>
    <xf numFmtId="3" fontId="4" fillId="4" borderId="12" xfId="0" applyNumberFormat="1" applyFont="1" applyFill="1" applyBorder="1" applyAlignment="1">
      <alignment horizontal="right" vertical="center"/>
    </xf>
    <xf numFmtId="3" fontId="0" fillId="4" borderId="9" xfId="0" applyNumberFormat="1" applyFont="1" applyFill="1" applyBorder="1" applyAlignment="1">
      <alignment horizontal="right" vertical="center"/>
    </xf>
    <xf numFmtId="3" fontId="0" fillId="4" borderId="14" xfId="0" applyNumberFormat="1" applyFont="1" applyFill="1" applyBorder="1" applyAlignment="1">
      <alignment horizontal="right" vertical="center"/>
    </xf>
    <xf numFmtId="3" fontId="0" fillId="4" borderId="5" xfId="0" applyNumberFormat="1" applyFont="1" applyFill="1" applyBorder="1" applyAlignment="1">
      <alignment horizontal="right" vertical="center"/>
    </xf>
    <xf numFmtId="0" fontId="4" fillId="4" borderId="15" xfId="0" applyFont="1" applyFill="1" applyBorder="1" applyAlignment="1">
      <alignment horizontal="right" vertical="center"/>
    </xf>
    <xf numFmtId="0" fontId="2" fillId="4" borderId="14" xfId="0" applyFont="1" applyFill="1" applyBorder="1" applyAlignment="1"/>
    <xf numFmtId="0" fontId="2" fillId="4" borderId="5" xfId="0" applyFont="1" applyFill="1" applyBorder="1" applyAlignment="1"/>
    <xf numFmtId="0" fontId="4" fillId="4" borderId="12" xfId="0" applyFont="1" applyFill="1" applyBorder="1" applyAlignment="1">
      <alignment horizontal="left" vertical="center"/>
    </xf>
    <xf numFmtId="3" fontId="4" fillId="4" borderId="12" xfId="0" applyNumberFormat="1" applyFont="1" applyFill="1" applyBorder="1" applyAlignment="1">
      <alignment vertical="center"/>
    </xf>
    <xf numFmtId="3" fontId="4" fillId="4" borderId="9" xfId="0" applyNumberFormat="1" applyFont="1" applyFill="1" applyBorder="1" applyAlignment="1">
      <alignment vertical="center"/>
    </xf>
    <xf numFmtId="0" fontId="2" fillId="4" borderId="12" xfId="0" applyFont="1" applyFill="1" applyBorder="1" applyAlignment="1"/>
    <xf numFmtId="0" fontId="4" fillId="4" borderId="12" xfId="0" applyFont="1" applyFill="1" applyBorder="1"/>
    <xf numFmtId="3" fontId="0" fillId="4" borderId="12" xfId="0" applyNumberFormat="1" applyFont="1" applyFill="1" applyBorder="1" applyAlignment="1">
      <alignment vertical="center"/>
    </xf>
    <xf numFmtId="3" fontId="0" fillId="4" borderId="9" xfId="0" applyNumberFormat="1" applyFont="1" applyFill="1" applyBorder="1" applyAlignment="1">
      <alignment vertical="center"/>
    </xf>
    <xf numFmtId="3" fontId="0" fillId="4" borderId="14" xfId="0" applyNumberFormat="1" applyFont="1" applyFill="1" applyBorder="1" applyAlignment="1">
      <alignment vertical="center"/>
    </xf>
    <xf numFmtId="3" fontId="0" fillId="4" borderId="5" xfId="0" applyNumberFormat="1" applyFont="1" applyFill="1" applyBorder="1" applyAlignment="1">
      <alignment vertical="center"/>
    </xf>
    <xf numFmtId="0" fontId="7" fillId="4" borderId="12" xfId="0" applyFont="1" applyFill="1" applyBorder="1"/>
    <xf numFmtId="3" fontId="0" fillId="4" borderId="12" xfId="0" applyNumberFormat="1" applyFont="1" applyFill="1" applyBorder="1"/>
    <xf numFmtId="1" fontId="0" fillId="4" borderId="12" xfId="0" applyNumberFormat="1" applyFont="1" applyFill="1" applyBorder="1"/>
    <xf numFmtId="3" fontId="4" fillId="4" borderId="2" xfId="0" applyNumberFormat="1" applyFont="1" applyFill="1" applyBorder="1" applyAlignment="1">
      <alignment horizontal="right" vertical="center"/>
    </xf>
    <xf numFmtId="3" fontId="9" fillId="4" borderId="12" xfId="0" applyNumberFormat="1" applyFont="1" applyFill="1" applyBorder="1" applyAlignment="1">
      <alignment horizontal="right" vertical="center"/>
    </xf>
    <xf numFmtId="3" fontId="9" fillId="4" borderId="16" xfId="0" applyNumberFormat="1" applyFont="1" applyFill="1" applyBorder="1" applyAlignment="1">
      <alignment horizontal="right" vertical="center"/>
    </xf>
    <xf numFmtId="0" fontId="3" fillId="2" borderId="12" xfId="0" applyFont="1" applyFill="1" applyBorder="1"/>
    <xf numFmtId="0" fontId="3" fillId="2" borderId="14" xfId="0" applyFont="1" applyFill="1" applyBorder="1"/>
    <xf numFmtId="0" fontId="5" fillId="4" borderId="4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1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lang="en-US"/>
              <a:t>Figure 18.19: Percentage share of female employees registered in the retirement pension scheme, by type of employer, end of  2020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952730089066732"/>
          <c:y val="0.17189400639988495"/>
          <c:w val="0.74516460852229538"/>
          <c:h val="0.7155235321612195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33CCCC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'18.17'!$AE$24:$AE$35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Judiciary</c:v>
                </c:pt>
                <c:pt idx="3">
                  <c:v>Government Offices</c:v>
                </c:pt>
                <c:pt idx="4">
                  <c:v>City councils</c:v>
                </c:pt>
                <c:pt idx="5">
                  <c:v>Others</c:v>
                </c:pt>
                <c:pt idx="6">
                  <c:v>Independent Agencies</c:v>
                </c:pt>
                <c:pt idx="7">
                  <c:v>Atoll councils</c:v>
                </c:pt>
                <c:pt idx="8">
                  <c:v>Island councils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'18.17'!$AF$24:$AF$35</c:f>
              <c:numCache>
                <c:formatCode>#,##0</c:formatCode>
                <c:ptCount val="12"/>
                <c:pt idx="0">
                  <c:v>77.207862143241783</c:v>
                </c:pt>
                <c:pt idx="1">
                  <c:v>69.152970922882432</c:v>
                </c:pt>
                <c:pt idx="2">
                  <c:v>55.078683834048633</c:v>
                </c:pt>
                <c:pt idx="3">
                  <c:v>54.598625530048253</c:v>
                </c:pt>
                <c:pt idx="4">
                  <c:v>52.631578947368418</c:v>
                </c:pt>
                <c:pt idx="5">
                  <c:v>51.605758582502773</c:v>
                </c:pt>
                <c:pt idx="6">
                  <c:v>51.185050136736557</c:v>
                </c:pt>
                <c:pt idx="7">
                  <c:v>38.314176245210732</c:v>
                </c:pt>
                <c:pt idx="8">
                  <c:v>33.789798014378633</c:v>
                </c:pt>
                <c:pt idx="9">
                  <c:v>24.339324812872345</c:v>
                </c:pt>
                <c:pt idx="10">
                  <c:v>20.029197080291972</c:v>
                </c:pt>
                <c:pt idx="11">
                  <c:v>10.988328780730072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F9-4D39-A7AC-21D6980042C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642920"/>
        <c:axId val="465643312"/>
      </c:barChart>
      <c:catAx>
        <c:axId val="4656429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643312"/>
        <c:crosses val="autoZero"/>
        <c:auto val="1"/>
        <c:lblAlgn val="ctr"/>
        <c:lblOffset val="100"/>
        <c:noMultiLvlLbl val="1"/>
      </c:catAx>
      <c:valAx>
        <c:axId val="465643312"/>
        <c:scaling>
          <c:orientation val="minMax"/>
        </c:scaling>
        <c:delete val="0"/>
        <c:axPos val="b"/>
        <c:majorGridlines>
          <c:spPr>
            <a:ln>
              <a:solidFill>
                <a:srgbClr val="B2EDEC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% share of  females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642920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EAFAFA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20</xdr:row>
      <xdr:rowOff>28575</xdr:rowOff>
    </xdr:from>
    <xdr:ext cx="8724900" cy="3648075"/>
    <xdr:graphicFrame macro="">
      <xdr:nvGraphicFramePr>
        <xdr:cNvPr id="3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1000"/>
  <sheetViews>
    <sheetView tabSelected="1" zoomScaleNormal="100" workbookViewId="0">
      <selection activeCell="R14" sqref="R14"/>
    </sheetView>
  </sheetViews>
  <sheetFormatPr defaultColWidth="14.42578125" defaultRowHeight="15" customHeight="1" x14ac:dyDescent="0.25"/>
  <cols>
    <col min="1" max="1" width="31.85546875" style="1" customWidth="1"/>
    <col min="2" max="10" width="7.7109375" style="1" customWidth="1"/>
    <col min="11" max="13" width="8.7109375" style="1" customWidth="1"/>
    <col min="14" max="16" width="9.140625" style="1" customWidth="1"/>
    <col min="17" max="17" width="30.5703125" style="1" customWidth="1"/>
    <col min="18" max="18" width="4.140625" style="1" customWidth="1"/>
    <col min="19" max="32" width="8" style="1" customWidth="1"/>
    <col min="33" max="16384" width="14.42578125" style="1"/>
  </cols>
  <sheetData>
    <row r="1" spans="1:32" ht="19.5" customHeight="1" x14ac:dyDescent="0.55000000000000004">
      <c r="A1" s="43" t="s">
        <v>39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4.25" customHeight="1" x14ac:dyDescent="0.25">
      <c r="A2" s="44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2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14.25" customHeight="1" x14ac:dyDescent="0.25">
      <c r="A4" s="49" t="s">
        <v>13</v>
      </c>
      <c r="B4" s="46">
        <v>2018</v>
      </c>
      <c r="C4" s="47"/>
      <c r="D4" s="48"/>
      <c r="E4" s="46">
        <v>2019</v>
      </c>
      <c r="F4" s="47"/>
      <c r="G4" s="48"/>
      <c r="H4" s="46">
        <v>2020</v>
      </c>
      <c r="I4" s="47"/>
      <c r="J4" s="48"/>
      <c r="K4" s="50" t="s">
        <v>14</v>
      </c>
      <c r="L4" s="51"/>
      <c r="M4" s="52"/>
      <c r="N4" s="56" t="s">
        <v>5</v>
      </c>
      <c r="O4" s="57"/>
      <c r="P4" s="57"/>
      <c r="Q4" s="45" t="s">
        <v>15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18" customHeight="1" x14ac:dyDescent="0.5">
      <c r="A5" s="39"/>
      <c r="B5" s="21" t="s">
        <v>6</v>
      </c>
      <c r="C5" s="21" t="s">
        <v>7</v>
      </c>
      <c r="D5" s="14" t="s">
        <v>8</v>
      </c>
      <c r="E5" s="21" t="s">
        <v>6</v>
      </c>
      <c r="F5" s="21" t="s">
        <v>7</v>
      </c>
      <c r="G5" s="14" t="s">
        <v>8</v>
      </c>
      <c r="H5" s="21" t="s">
        <v>6</v>
      </c>
      <c r="I5" s="21" t="s">
        <v>7</v>
      </c>
      <c r="J5" s="14" t="s">
        <v>8</v>
      </c>
      <c r="K5" s="53" t="s">
        <v>0</v>
      </c>
      <c r="L5" s="54"/>
      <c r="M5" s="55"/>
      <c r="N5" s="41" t="s">
        <v>1</v>
      </c>
      <c r="O5" s="42"/>
      <c r="P5" s="42"/>
      <c r="Q5" s="39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21" customHeight="1" x14ac:dyDescent="0.55000000000000004">
      <c r="A6" s="40"/>
      <c r="B6" s="22" t="s">
        <v>2</v>
      </c>
      <c r="C6" s="22" t="s">
        <v>3</v>
      </c>
      <c r="D6" s="23" t="s">
        <v>4</v>
      </c>
      <c r="E6" s="22" t="s">
        <v>2</v>
      </c>
      <c r="F6" s="22" t="s">
        <v>3</v>
      </c>
      <c r="G6" s="23" t="s">
        <v>4</v>
      </c>
      <c r="H6" s="22" t="s">
        <v>2</v>
      </c>
      <c r="I6" s="22" t="s">
        <v>3</v>
      </c>
      <c r="J6" s="23" t="s">
        <v>4</v>
      </c>
      <c r="K6" s="13">
        <v>2018</v>
      </c>
      <c r="L6" s="21">
        <v>2019</v>
      </c>
      <c r="M6" s="14">
        <v>2020</v>
      </c>
      <c r="N6" s="15">
        <v>2018</v>
      </c>
      <c r="O6" s="15">
        <v>2019</v>
      </c>
      <c r="P6" s="15">
        <v>2020</v>
      </c>
      <c r="Q6" s="40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21" customHeight="1" x14ac:dyDescent="0.55000000000000004">
      <c r="A7" s="24" t="s">
        <v>6</v>
      </c>
      <c r="B7" s="25">
        <f t="shared" ref="B7:G7" si="0">SUM(B8:B19)</f>
        <v>95475</v>
      </c>
      <c r="C7" s="25">
        <f t="shared" si="0"/>
        <v>63578</v>
      </c>
      <c r="D7" s="26">
        <f t="shared" si="0"/>
        <v>31897</v>
      </c>
      <c r="E7" s="25">
        <f t="shared" si="0"/>
        <v>100704</v>
      </c>
      <c r="F7" s="25">
        <f t="shared" si="0"/>
        <v>65968</v>
      </c>
      <c r="G7" s="26">
        <f t="shared" si="0"/>
        <v>34736</v>
      </c>
      <c r="H7" s="25">
        <f t="shared" ref="H7:J7" si="1">SUM(H8:H19)</f>
        <v>94894</v>
      </c>
      <c r="I7" s="25">
        <f t="shared" si="1"/>
        <v>61288</v>
      </c>
      <c r="J7" s="26">
        <f t="shared" si="1"/>
        <v>33606</v>
      </c>
      <c r="K7" s="16">
        <v>100</v>
      </c>
      <c r="L7" s="16">
        <f t="shared" ref="L7:L19" si="2">E7/$E$7*100</f>
        <v>100</v>
      </c>
      <c r="M7" s="36">
        <f>H7/$H$7*100</f>
        <v>100</v>
      </c>
      <c r="N7" s="17">
        <v>33.408745744959411</v>
      </c>
      <c r="O7" s="17">
        <f>G7/E7*100</f>
        <v>34.493168096599938</v>
      </c>
      <c r="P7" s="17">
        <f>J7/H7*100</f>
        <v>35.414251691360889</v>
      </c>
      <c r="Q7" s="27" t="s">
        <v>2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1" customHeight="1" x14ac:dyDescent="0.55000000000000004">
      <c r="A8" s="8" t="s">
        <v>16</v>
      </c>
      <c r="B8" s="29">
        <f t="shared" ref="B8:B19" si="3">SUM(C8:D8)</f>
        <v>14209</v>
      </c>
      <c r="C8" s="29">
        <v>7092</v>
      </c>
      <c r="D8" s="30">
        <v>7117</v>
      </c>
      <c r="E8" s="29">
        <f t="shared" ref="E8:E19" si="4">SUM(F8:G8)</f>
        <v>13973</v>
      </c>
      <c r="F8" s="2">
        <v>6489</v>
      </c>
      <c r="G8" s="3">
        <v>7484</v>
      </c>
      <c r="H8" s="29">
        <f t="shared" ref="H8:H19" si="5">SUM(I8:J8)</f>
        <v>13678</v>
      </c>
      <c r="I8" s="2">
        <v>6210</v>
      </c>
      <c r="J8" s="3">
        <v>7468</v>
      </c>
      <c r="K8" s="12">
        <v>14.88242995548573</v>
      </c>
      <c r="L8" s="12">
        <f t="shared" si="2"/>
        <v>13.875317762948841</v>
      </c>
      <c r="M8" s="18">
        <f t="shared" ref="M8:M19" si="6">H8/$H$7*100</f>
        <v>14.413977701435284</v>
      </c>
      <c r="N8" s="12">
        <v>50.087972411851645</v>
      </c>
      <c r="O8" s="12">
        <f t="shared" ref="O8:O19" si="7">G8/E8*100</f>
        <v>53.560437987547417</v>
      </c>
      <c r="P8" s="37">
        <f t="shared" ref="P8:P19" si="8">J8/H8*100</f>
        <v>54.598625530048253</v>
      </c>
      <c r="Q8" s="10" t="s">
        <v>17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21" customHeight="1" x14ac:dyDescent="0.55000000000000004">
      <c r="A9" s="8" t="s">
        <v>18</v>
      </c>
      <c r="B9" s="29">
        <f t="shared" si="3"/>
        <v>2235</v>
      </c>
      <c r="C9" s="29">
        <v>1128</v>
      </c>
      <c r="D9" s="30">
        <v>1107</v>
      </c>
      <c r="E9" s="29">
        <f t="shared" si="4"/>
        <v>2234</v>
      </c>
      <c r="F9" s="2">
        <v>1098</v>
      </c>
      <c r="G9" s="3">
        <v>1136</v>
      </c>
      <c r="H9" s="29">
        <f t="shared" si="5"/>
        <v>2194</v>
      </c>
      <c r="I9" s="2">
        <v>1071</v>
      </c>
      <c r="J9" s="3">
        <v>1123</v>
      </c>
      <c r="K9" s="12">
        <v>2.3409269442262373</v>
      </c>
      <c r="L9" s="12">
        <f t="shared" si="2"/>
        <v>2.2183825865904039</v>
      </c>
      <c r="M9" s="18">
        <f t="shared" si="6"/>
        <v>2.3120534491116405</v>
      </c>
      <c r="N9" s="12">
        <v>49.530201342281877</v>
      </c>
      <c r="O9" s="12">
        <f t="shared" si="7"/>
        <v>50.850492390331247</v>
      </c>
      <c r="P9" s="37">
        <f t="shared" si="8"/>
        <v>51.185050136736557</v>
      </c>
      <c r="Q9" s="10" t="s">
        <v>19</v>
      </c>
      <c r="R9" s="6"/>
      <c r="S9" s="6"/>
      <c r="T9" s="28"/>
      <c r="U9" s="28"/>
      <c r="V9" s="28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21" customHeight="1" x14ac:dyDescent="0.55000000000000004">
      <c r="A10" s="8" t="s">
        <v>20</v>
      </c>
      <c r="B10" s="29">
        <f t="shared" si="3"/>
        <v>1828</v>
      </c>
      <c r="C10" s="29">
        <v>1089</v>
      </c>
      <c r="D10" s="30">
        <v>739</v>
      </c>
      <c r="E10" s="29">
        <f t="shared" si="4"/>
        <v>1968</v>
      </c>
      <c r="F10" s="2">
        <v>1149</v>
      </c>
      <c r="G10" s="3">
        <v>819</v>
      </c>
      <c r="H10" s="29">
        <f t="shared" si="5"/>
        <v>699</v>
      </c>
      <c r="I10" s="2">
        <v>314</v>
      </c>
      <c r="J10" s="3">
        <v>385</v>
      </c>
      <c r="K10" s="12">
        <v>1.914637339617701</v>
      </c>
      <c r="L10" s="12">
        <f t="shared" si="2"/>
        <v>1.9542421353670163</v>
      </c>
      <c r="M10" s="18">
        <f t="shared" si="6"/>
        <v>0.73661137690475686</v>
      </c>
      <c r="N10" s="12">
        <v>40.426695842450769</v>
      </c>
      <c r="O10" s="12">
        <f t="shared" si="7"/>
        <v>41.615853658536587</v>
      </c>
      <c r="P10" s="37">
        <f t="shared" si="8"/>
        <v>55.078683834048633</v>
      </c>
      <c r="Q10" s="10" t="s">
        <v>21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21" customHeight="1" x14ac:dyDescent="0.55000000000000004">
      <c r="A11" s="8" t="s">
        <v>22</v>
      </c>
      <c r="B11" s="29">
        <f t="shared" si="3"/>
        <v>218</v>
      </c>
      <c r="C11" s="29">
        <v>94</v>
      </c>
      <c r="D11" s="30">
        <v>124</v>
      </c>
      <c r="E11" s="29">
        <f t="shared" si="4"/>
        <v>783</v>
      </c>
      <c r="F11" s="2">
        <v>351</v>
      </c>
      <c r="G11" s="3">
        <v>432</v>
      </c>
      <c r="H11" s="29">
        <f t="shared" si="5"/>
        <v>912</v>
      </c>
      <c r="I11" s="2">
        <v>432</v>
      </c>
      <c r="J11" s="3">
        <v>480</v>
      </c>
      <c r="K11" s="12">
        <v>0.22833202409007597</v>
      </c>
      <c r="L11" s="12">
        <f t="shared" si="2"/>
        <v>0.77752621544327927</v>
      </c>
      <c r="M11" s="18">
        <f t="shared" si="6"/>
        <v>0.96107235441650685</v>
      </c>
      <c r="N11" s="12">
        <v>56.88073394495413</v>
      </c>
      <c r="O11" s="12">
        <f t="shared" si="7"/>
        <v>55.172413793103445</v>
      </c>
      <c r="P11" s="37">
        <f t="shared" si="8"/>
        <v>52.631578947368418</v>
      </c>
      <c r="Q11" s="10" t="s">
        <v>23</v>
      </c>
      <c r="R11" s="6"/>
      <c r="S11" s="6"/>
      <c r="T11" s="28"/>
      <c r="U11" s="28"/>
      <c r="V11" s="28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1" customHeight="1" x14ac:dyDescent="0.55000000000000004">
      <c r="A12" s="8" t="s">
        <v>24</v>
      </c>
      <c r="B12" s="29">
        <f t="shared" si="3"/>
        <v>483</v>
      </c>
      <c r="C12" s="29">
        <v>310</v>
      </c>
      <c r="D12" s="30">
        <v>173</v>
      </c>
      <c r="E12" s="29">
        <f t="shared" si="4"/>
        <v>564</v>
      </c>
      <c r="F12" s="2">
        <v>352</v>
      </c>
      <c r="G12" s="3">
        <v>212</v>
      </c>
      <c r="H12" s="29">
        <f t="shared" si="5"/>
        <v>522</v>
      </c>
      <c r="I12" s="2">
        <v>322</v>
      </c>
      <c r="J12" s="3">
        <v>200</v>
      </c>
      <c r="K12" s="12">
        <v>0.50589159465828748</v>
      </c>
      <c r="L12" s="12">
        <f t="shared" si="2"/>
        <v>0.56005719733079118</v>
      </c>
      <c r="M12" s="18">
        <f t="shared" si="6"/>
        <v>0.55008746601471115</v>
      </c>
      <c r="N12" s="12">
        <v>35.817805383022773</v>
      </c>
      <c r="O12" s="12">
        <f t="shared" si="7"/>
        <v>37.588652482269502</v>
      </c>
      <c r="P12" s="37">
        <f t="shared" si="8"/>
        <v>38.314176245210732</v>
      </c>
      <c r="Q12" s="10" t="s">
        <v>25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21" customHeight="1" x14ac:dyDescent="0.55000000000000004">
      <c r="A13" s="8" t="s">
        <v>26</v>
      </c>
      <c r="B13" s="29">
        <f t="shared" si="3"/>
        <v>2103</v>
      </c>
      <c r="C13" s="29">
        <v>1451</v>
      </c>
      <c r="D13" s="30">
        <v>652</v>
      </c>
      <c r="E13" s="29">
        <f t="shared" si="4"/>
        <v>3170</v>
      </c>
      <c r="F13" s="2">
        <v>2126</v>
      </c>
      <c r="G13" s="3">
        <v>1044</v>
      </c>
      <c r="H13" s="29">
        <f t="shared" si="5"/>
        <v>2921</v>
      </c>
      <c r="I13" s="2">
        <v>1934</v>
      </c>
      <c r="J13" s="3">
        <v>987</v>
      </c>
      <c r="K13" s="12">
        <v>2.2026708562450903</v>
      </c>
      <c r="L13" s="12">
        <f t="shared" si="2"/>
        <v>3.1478392119478871</v>
      </c>
      <c r="M13" s="18">
        <f t="shared" si="6"/>
        <v>3.0781714333888339</v>
      </c>
      <c r="N13" s="12">
        <v>31.003328578221591</v>
      </c>
      <c r="O13" s="12">
        <f t="shared" si="7"/>
        <v>32.933753943217667</v>
      </c>
      <c r="P13" s="37">
        <f t="shared" si="8"/>
        <v>33.789798014378633</v>
      </c>
      <c r="Q13" s="10" t="s">
        <v>27</v>
      </c>
      <c r="R13" s="6"/>
      <c r="S13" s="6"/>
      <c r="T13" s="28"/>
      <c r="U13" s="28"/>
      <c r="V13" s="28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21" customHeight="1" x14ac:dyDescent="0.55000000000000004">
      <c r="A14" s="8" t="s">
        <v>28</v>
      </c>
      <c r="B14" s="29">
        <f t="shared" si="3"/>
        <v>6337</v>
      </c>
      <c r="C14" s="29">
        <v>1956</v>
      </c>
      <c r="D14" s="30">
        <v>4381</v>
      </c>
      <c r="E14" s="29">
        <f t="shared" si="4"/>
        <v>6688</v>
      </c>
      <c r="F14" s="2">
        <v>2055</v>
      </c>
      <c r="G14" s="3">
        <v>4633</v>
      </c>
      <c r="H14" s="29">
        <f t="shared" si="5"/>
        <v>7119</v>
      </c>
      <c r="I14" s="2">
        <v>2196</v>
      </c>
      <c r="J14" s="3">
        <v>4923</v>
      </c>
      <c r="K14" s="12">
        <v>6.6373396177009685</v>
      </c>
      <c r="L14" s="12">
        <f t="shared" si="2"/>
        <v>6.6412456307594532</v>
      </c>
      <c r="M14" s="18">
        <f t="shared" si="6"/>
        <v>7.5020549244420085</v>
      </c>
      <c r="N14" s="12">
        <v>69.133659460312444</v>
      </c>
      <c r="O14" s="12">
        <f t="shared" si="7"/>
        <v>69.273325358851679</v>
      </c>
      <c r="P14" s="37">
        <f t="shared" si="8"/>
        <v>69.152970922882432</v>
      </c>
      <c r="Q14" s="10" t="s">
        <v>29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ht="21" customHeight="1" x14ac:dyDescent="0.55000000000000004">
      <c r="A15" s="8" t="s">
        <v>30</v>
      </c>
      <c r="B15" s="29">
        <f t="shared" si="3"/>
        <v>7297</v>
      </c>
      <c r="C15" s="29">
        <v>1778</v>
      </c>
      <c r="D15" s="30">
        <v>5519</v>
      </c>
      <c r="E15" s="29">
        <f t="shared" si="4"/>
        <v>7669</v>
      </c>
      <c r="F15" s="2">
        <v>1769</v>
      </c>
      <c r="G15" s="3">
        <v>5900</v>
      </c>
      <c r="H15" s="29">
        <f t="shared" si="5"/>
        <v>7428</v>
      </c>
      <c r="I15" s="2">
        <v>1693</v>
      </c>
      <c r="J15" s="3">
        <v>5735</v>
      </c>
      <c r="K15" s="12">
        <v>7.6428384393820368</v>
      </c>
      <c r="L15" s="12">
        <f t="shared" si="2"/>
        <v>7.6153876707975856</v>
      </c>
      <c r="M15" s="18">
        <f t="shared" si="6"/>
        <v>7.8276814129449699</v>
      </c>
      <c r="N15" s="12">
        <v>75.633822118678907</v>
      </c>
      <c r="O15" s="12">
        <f t="shared" si="7"/>
        <v>76.933107315164946</v>
      </c>
      <c r="P15" s="37">
        <f t="shared" si="8"/>
        <v>77.207862143241783</v>
      </c>
      <c r="Q15" s="10" t="s">
        <v>31</v>
      </c>
      <c r="R15" s="6"/>
      <c r="S15" s="6"/>
      <c r="T15" s="28"/>
      <c r="U15" s="28"/>
      <c r="V15" s="28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ht="21" customHeight="1" x14ac:dyDescent="0.55000000000000004">
      <c r="A16" s="8" t="s">
        <v>32</v>
      </c>
      <c r="B16" s="29">
        <f t="shared" si="3"/>
        <v>7663</v>
      </c>
      <c r="C16" s="29">
        <v>6869</v>
      </c>
      <c r="D16" s="30">
        <v>794</v>
      </c>
      <c r="E16" s="29">
        <f t="shared" si="4"/>
        <v>7877</v>
      </c>
      <c r="F16" s="2">
        <v>7017</v>
      </c>
      <c r="G16" s="3">
        <v>860</v>
      </c>
      <c r="H16" s="29">
        <f t="shared" si="5"/>
        <v>8054</v>
      </c>
      <c r="I16" s="2">
        <v>7169</v>
      </c>
      <c r="J16" s="3">
        <v>885</v>
      </c>
      <c r="K16" s="12">
        <v>8.026184865147945</v>
      </c>
      <c r="L16" s="12">
        <f t="shared" si="2"/>
        <v>7.8219335875436915</v>
      </c>
      <c r="M16" s="18">
        <f t="shared" si="6"/>
        <v>8.4873648492001603</v>
      </c>
      <c r="N16" s="12">
        <v>10.361477228239593</v>
      </c>
      <c r="O16" s="12">
        <f t="shared" si="7"/>
        <v>10.917862130252635</v>
      </c>
      <c r="P16" s="37">
        <f t="shared" si="8"/>
        <v>10.988328780730072</v>
      </c>
      <c r="Q16" s="10" t="s">
        <v>33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ht="21" customHeight="1" x14ac:dyDescent="0.55000000000000004">
      <c r="A17" s="8" t="s">
        <v>34</v>
      </c>
      <c r="B17" s="29">
        <f t="shared" si="3"/>
        <v>12224</v>
      </c>
      <c r="C17" s="29">
        <v>9065</v>
      </c>
      <c r="D17" s="30">
        <v>3159</v>
      </c>
      <c r="E17" s="29">
        <f t="shared" si="4"/>
        <v>17968</v>
      </c>
      <c r="F17" s="2">
        <v>13527</v>
      </c>
      <c r="G17" s="3">
        <v>4441</v>
      </c>
      <c r="H17" s="29">
        <f t="shared" si="5"/>
        <v>19639</v>
      </c>
      <c r="I17" s="2">
        <v>14859</v>
      </c>
      <c r="J17" s="3">
        <v>4780</v>
      </c>
      <c r="K17" s="12">
        <v>12.803351662738937</v>
      </c>
      <c r="L17" s="12">
        <f t="shared" si="2"/>
        <v>17.842389577375279</v>
      </c>
      <c r="M17" s="18">
        <f t="shared" si="6"/>
        <v>20.695723649545808</v>
      </c>
      <c r="N17" s="12">
        <v>25.842604712041883</v>
      </c>
      <c r="O17" s="12">
        <f t="shared" si="7"/>
        <v>24.716162065894924</v>
      </c>
      <c r="P17" s="37">
        <f t="shared" si="8"/>
        <v>24.339324812872345</v>
      </c>
      <c r="Q17" s="10" t="s">
        <v>35</v>
      </c>
      <c r="R17" s="6"/>
      <c r="S17" s="6"/>
      <c r="T17" s="28"/>
      <c r="U17" s="28"/>
      <c r="V17" s="28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ht="21" customHeight="1" x14ac:dyDescent="0.55000000000000004">
      <c r="A18" s="8" t="s">
        <v>36</v>
      </c>
      <c r="B18" s="29">
        <f t="shared" si="3"/>
        <v>40611</v>
      </c>
      <c r="C18" s="29">
        <v>32650</v>
      </c>
      <c r="D18" s="30">
        <v>7961</v>
      </c>
      <c r="E18" s="29">
        <f t="shared" si="4"/>
        <v>37481</v>
      </c>
      <c r="F18" s="2">
        <v>29897</v>
      </c>
      <c r="G18" s="3">
        <v>7584</v>
      </c>
      <c r="H18" s="29">
        <f t="shared" si="5"/>
        <v>30825</v>
      </c>
      <c r="I18" s="2">
        <v>24651</v>
      </c>
      <c r="J18" s="3">
        <v>6174</v>
      </c>
      <c r="K18" s="12">
        <v>42.535742340926944</v>
      </c>
      <c r="L18" s="12">
        <f t="shared" si="2"/>
        <v>37.218978392119482</v>
      </c>
      <c r="M18" s="18">
        <f t="shared" si="6"/>
        <v>32.483613294834235</v>
      </c>
      <c r="N18" s="12">
        <v>19.603063209475266</v>
      </c>
      <c r="O18" s="12">
        <f t="shared" si="7"/>
        <v>20.234252021023984</v>
      </c>
      <c r="P18" s="37">
        <f t="shared" si="8"/>
        <v>20.029197080291972</v>
      </c>
      <c r="Q18" s="10" t="s">
        <v>37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ht="21" customHeight="1" x14ac:dyDescent="0.55000000000000004">
      <c r="A19" s="9" t="s">
        <v>11</v>
      </c>
      <c r="B19" s="31">
        <f t="shared" si="3"/>
        <v>267</v>
      </c>
      <c r="C19" s="31">
        <v>96</v>
      </c>
      <c r="D19" s="32">
        <v>171</v>
      </c>
      <c r="E19" s="31">
        <f t="shared" si="4"/>
        <v>329</v>
      </c>
      <c r="F19" s="4">
        <v>138</v>
      </c>
      <c r="G19" s="5">
        <v>191</v>
      </c>
      <c r="H19" s="31">
        <f t="shared" si="5"/>
        <v>903</v>
      </c>
      <c r="I19" s="4">
        <v>437</v>
      </c>
      <c r="J19" s="5">
        <v>466</v>
      </c>
      <c r="K19" s="19">
        <v>0.27965435978004716</v>
      </c>
      <c r="L19" s="19">
        <f t="shared" si="2"/>
        <v>0.32670003177629486</v>
      </c>
      <c r="M19" s="20">
        <f t="shared" si="6"/>
        <v>0.95158808776108073</v>
      </c>
      <c r="N19" s="19">
        <v>64.044943820224717</v>
      </c>
      <c r="O19" s="19">
        <f t="shared" si="7"/>
        <v>58.054711246200611</v>
      </c>
      <c r="P19" s="38">
        <f t="shared" si="8"/>
        <v>51.605758582502773</v>
      </c>
      <c r="Q19" s="11" t="s">
        <v>12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8.75" customHeight="1" x14ac:dyDescent="0.5">
      <c r="A20" s="33" t="s">
        <v>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 t="s">
        <v>10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18" customHeight="1" x14ac:dyDescent="0.25">
      <c r="A21" s="6"/>
      <c r="B21" s="34"/>
      <c r="C21" s="6"/>
      <c r="D21" s="6"/>
      <c r="E21" s="34"/>
      <c r="F21" s="6"/>
      <c r="G21" s="6"/>
      <c r="H21" s="3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ht="15.75" customHeight="1" x14ac:dyDescent="0.25">
      <c r="A22" s="6"/>
      <c r="B22" s="34"/>
      <c r="C22" s="6"/>
      <c r="D22" s="6"/>
      <c r="E22" s="34"/>
      <c r="F22" s="6"/>
      <c r="G22" s="6"/>
      <c r="H22" s="3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ht="15.75" customHeight="1" x14ac:dyDescent="0.25">
      <c r="A23" s="6"/>
      <c r="B23" s="34"/>
      <c r="C23" s="6"/>
      <c r="D23" s="6"/>
      <c r="E23" s="34"/>
      <c r="F23" s="6"/>
      <c r="G23" s="6"/>
      <c r="H23" s="3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15.75" customHeight="1" x14ac:dyDescent="0.25">
      <c r="A24" s="6"/>
      <c r="B24" s="34"/>
      <c r="C24" s="6"/>
      <c r="D24" s="6"/>
      <c r="E24" s="34"/>
      <c r="F24" s="6"/>
      <c r="G24" s="6"/>
      <c r="H24" s="3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8" t="s">
        <v>30</v>
      </c>
      <c r="AF24" s="37">
        <v>77.207862143241783</v>
      </c>
    </row>
    <row r="25" spans="1:32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8" t="s">
        <v>28</v>
      </c>
      <c r="AF25" s="37">
        <v>69.152970922882432</v>
      </c>
    </row>
    <row r="26" spans="1:32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8" t="s">
        <v>20</v>
      </c>
      <c r="AF26" s="37">
        <v>55.078683834048633</v>
      </c>
    </row>
    <row r="27" spans="1:32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8" t="s">
        <v>16</v>
      </c>
      <c r="AF27" s="37">
        <v>54.598625530048253</v>
      </c>
    </row>
    <row r="28" spans="1:32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8" t="s">
        <v>22</v>
      </c>
      <c r="AF28" s="37">
        <v>52.631578947368418</v>
      </c>
    </row>
    <row r="29" spans="1:32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8" t="s">
        <v>11</v>
      </c>
      <c r="AF29" s="37">
        <v>51.605758582502773</v>
      </c>
    </row>
    <row r="30" spans="1:32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8" t="s">
        <v>18</v>
      </c>
      <c r="AF30" s="37">
        <v>51.185050136736557</v>
      </c>
    </row>
    <row r="31" spans="1:32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8" t="s">
        <v>24</v>
      </c>
      <c r="AF31" s="37">
        <v>38.314176245210732</v>
      </c>
    </row>
    <row r="32" spans="1:32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8" t="s">
        <v>26</v>
      </c>
      <c r="AF32" s="37">
        <v>33.789798014378633</v>
      </c>
    </row>
    <row r="33" spans="1:32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35"/>
      <c r="U33" s="6"/>
      <c r="V33" s="6"/>
      <c r="W33" s="6"/>
      <c r="X33" s="6"/>
      <c r="Y33" s="6"/>
      <c r="Z33" s="6"/>
      <c r="AA33" s="6"/>
      <c r="AB33" s="6"/>
      <c r="AC33" s="6"/>
      <c r="AD33" s="6"/>
      <c r="AE33" s="8" t="s">
        <v>34</v>
      </c>
      <c r="AF33" s="37">
        <v>24.339324812872345</v>
      </c>
    </row>
    <row r="34" spans="1:32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8" t="s">
        <v>36</v>
      </c>
      <c r="AF34" s="37">
        <v>20.029197080291972</v>
      </c>
    </row>
    <row r="35" spans="1:32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9" t="s">
        <v>32</v>
      </c>
      <c r="AF35" s="38">
        <v>10.988328780730072</v>
      </c>
    </row>
    <row r="36" spans="1:32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1:32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1:32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1:32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1:32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1:32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1:32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1:32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1:32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1:32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1:32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1:32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1:32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1:32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1:32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1:32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1:32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1:32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1:32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1:32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1:32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1:32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1:32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1:32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1:32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1:32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1:32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1:32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1:32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1:32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1:32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1:32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1:32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1:32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1:32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spans="1:32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1:32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1:32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1:32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1:32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1:32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1:32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1:32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1:32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1:32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1:32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1:32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1:32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1:32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1:32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1:32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1:32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1:32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1:32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1:32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1:32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1:32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1:32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1:32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1:32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1:32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1:32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1:32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1:32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1:32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1:32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1:32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1:32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1:32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1:32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1:32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spans="1:32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spans="1:32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spans="1:32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spans="1:32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spans="1:32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spans="1:32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spans="1:32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spans="1:32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spans="1:32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spans="1:32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spans="1:32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spans="1:32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spans="1:32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spans="1:32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spans="1:32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spans="1:32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spans="1:32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spans="1:32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spans="1:32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spans="1:32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spans="1:32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spans="1:32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spans="1:32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spans="1:32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spans="1:32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spans="1:32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spans="1:32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spans="1:32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spans="1:32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spans="1:32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spans="1:32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spans="1:32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sortState ref="AE24:AF35">
    <sortCondition descending="1" ref="AF24:AF35"/>
  </sortState>
  <mergeCells count="11">
    <mergeCell ref="K5:M5"/>
    <mergeCell ref="A1:Q1"/>
    <mergeCell ref="A2:Q2"/>
    <mergeCell ref="Q4:Q6"/>
    <mergeCell ref="A4:A6"/>
    <mergeCell ref="B4:D4"/>
    <mergeCell ref="E4:G4"/>
    <mergeCell ref="H4:J4"/>
    <mergeCell ref="K4:M4"/>
    <mergeCell ref="N5:P5"/>
    <mergeCell ref="N4:P4"/>
  </mergeCells>
  <pageMargins left="0.7" right="0.7" top="0.75" bottom="0.75" header="0" footer="0"/>
  <pageSetup paperSize="9" scale="6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2021-06-20T05:42:40Z</cp:lastPrinted>
  <dcterms:created xsi:type="dcterms:W3CDTF">2019-02-21T04:10:17Z</dcterms:created>
  <dcterms:modified xsi:type="dcterms:W3CDTF">2021-06-20T05:43:08Z</dcterms:modified>
</cp:coreProperties>
</file>