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8. Pension and Social Protection\"/>
    </mc:Choice>
  </mc:AlternateContent>
  <bookViews>
    <workbookView xWindow="0" yWindow="0" windowWidth="28800" windowHeight="12435" tabRatio="842"/>
  </bookViews>
  <sheets>
    <sheet name="18.15" sheetId="14" r:id="rId1"/>
  </sheets>
  <definedNames>
    <definedName name="_xlnm.Print_Area" localSheetId="0">'18.15'!$A$1:$F$61</definedName>
  </definedNames>
  <calcPr calcId="152511"/>
</workbook>
</file>

<file path=xl/calcChain.xml><?xml version="1.0" encoding="utf-8"?>
<calcChain xmlns="http://schemas.openxmlformats.org/spreadsheetml/2006/main">
  <c r="Y36" i="14" l="1"/>
  <c r="B7" i="14" l="1"/>
  <c r="D7" i="14"/>
  <c r="E7" i="14" l="1"/>
  <c r="E33" i="14"/>
  <c r="E29" i="14" l="1"/>
  <c r="E13" i="14" l="1"/>
  <c r="E21" i="14"/>
  <c r="E30" i="14"/>
  <c r="E15" i="14"/>
  <c r="E23" i="14"/>
  <c r="E31" i="14"/>
  <c r="E14" i="14"/>
  <c r="E8" i="14"/>
  <c r="E16" i="14"/>
  <c r="E24" i="14"/>
  <c r="E32" i="14"/>
  <c r="E22" i="14"/>
  <c r="E9" i="14"/>
  <c r="E17" i="14"/>
  <c r="E25" i="14"/>
  <c r="E10" i="14"/>
  <c r="E18" i="14"/>
  <c r="E26" i="14"/>
  <c r="E11" i="14"/>
  <c r="E19" i="14"/>
  <c r="E27" i="14"/>
  <c r="E12" i="14"/>
  <c r="E20" i="14"/>
  <c r="E28" i="14"/>
</calcChain>
</file>

<file path=xl/sharedStrings.xml><?xml version="1.0" encoding="utf-8"?>
<sst xmlns="http://schemas.openxmlformats.org/spreadsheetml/2006/main" count="96" uniqueCount="69">
  <si>
    <t>އިންސައްތަ</t>
  </si>
  <si>
    <t>ޖުމްލަ</t>
  </si>
  <si>
    <t>% share</t>
  </si>
  <si>
    <t>Total</t>
  </si>
  <si>
    <t>Source: Maldives Pension Administration</t>
  </si>
  <si>
    <t>މަޢުލޫމާތު ދެއްވި ފަރާތް: މޯލްޑިވްސް ޕެންޝަން އެޑްމިނިސްޓްރޭޝަން</t>
  </si>
  <si>
    <t>މުވައްޒަފުންގެ އަދަދު</t>
  </si>
  <si>
    <t xml:space="preserve">މަސައްކަތްކުރާ ތަނުގެ ދާއިރާ 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</si>
  <si>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</si>
  <si>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</si>
  <si>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</si>
  <si>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</si>
  <si>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</si>
  <si>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</si>
  <si>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</si>
  <si>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</si>
  <si>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</si>
  <si>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</si>
  <si>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</si>
  <si>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</si>
  <si>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</si>
  <si>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</si>
  <si>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</si>
  <si>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</si>
  <si>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</si>
  <si>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</si>
  <si>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</si>
  <si>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</si>
  <si>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</si>
  <si>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</si>
  <si>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</si>
  <si>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</si>
  <si>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</si>
  <si>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</si>
  <si>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</si>
  <si>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</si>
  <si>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</si>
  <si>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</si>
  <si>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</si>
  <si>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</si>
  <si>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</si>
  <si>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</si>
  <si>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</si>
  <si>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</si>
  <si>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</si>
  <si>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</si>
  <si>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</si>
  <si>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</si>
  <si>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</si>
  <si>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</si>
  <si>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</si>
  <si>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</si>
  <si>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</si>
  <si>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</si>
  <si>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</si>
  <si>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Industry</t>
  </si>
  <si>
    <t>Establishments</t>
  </si>
  <si>
    <t>Employment</t>
  </si>
  <si>
    <t xml:space="preserve">މަސައްކަތްކުރާ ތަންތަނުގެ </t>
  </si>
  <si>
    <t xml:space="preserve">މުވައްޒަފުންގެ </t>
  </si>
  <si>
    <t>ޢަދަދު</t>
  </si>
  <si>
    <t xml:space="preserve">Financial sector, Banks, Investment Funds, Insurance </t>
  </si>
  <si>
    <t xml:space="preserve">ފައިސާގެ ޚިދުމަތް، ބެންކް، އިންވެސްޓްމަންޓް ފަންޑް، އިންޝުއަރެންސް </t>
  </si>
  <si>
    <t>Govt. agencies, public institutions</t>
  </si>
  <si>
    <t>Passenger Ferries</t>
  </si>
  <si>
    <t>ފެރީގެ ޙިދުމަތް</t>
  </si>
  <si>
    <t xml:space="preserve">Note: The Difference between values in this table  is due to  some member having multiple contracts with more than one employer </t>
  </si>
  <si>
    <t>TABLE   18.15: EMPLOYEES AND ESTABLISHMENTS REGISTERED IN THE RETIREMENT PENSION SCHEME, END OF 2020</t>
  </si>
  <si>
    <t xml:space="preserve">ތާވަލު  18.15 : އެކި ދާއިރާތަކުން ރިޓާޔަމަންޓް ޕެންޝަން ސްކީމްގައި ރެޖިސްޓްރީކޮށްފައިވާ ތަންތަނުގެ ޢަދަދާއި މުވައްޒަފުންގެ އަދަދު،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</si>
</sst>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0.0"/>
    <numFmt numFmtId="168" formatCode="#,##0.0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1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sz val="12"/>
      <color rgb="FF000000"/>
      <name val="Calibri"/>
    </font>
    <font>
      <sz val="11"/>
      <color theme="1"/>
      <name val="Arial"/>
      <family val="2"/>
    </font>
    <font>
      <sz val="11"/>
      <color rgb="FF249390"/>
      <name val="Calibri"/>
      <family val="2"/>
    </font>
    <font>
      <sz val="12"/>
      <color rgb="FF249390"/>
      <name val="Calibri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</borders>
  <cellStyleXfs count="9">
    <xf numFmtId="0" fontId="0" fillId="0" borderId="0"/>
    <xf numFmtId="165" fontId="11" fillId="0" borderId="11"/>
    <xf numFmtId="0" fontId="1" fillId="0" borderId="11"/>
    <xf numFmtId="0" fontId="1" fillId="0" borderId="11"/>
    <xf numFmtId="164" fontId="9" fillId="0" borderId="11" applyFont="0" applyFill="0" applyBorder="0" applyAlignment="0" applyProtection="0"/>
    <xf numFmtId="164" fontId="9" fillId="0" borderId="11" applyFont="0" applyFill="0" applyBorder="0" applyAlignment="0" applyProtection="0"/>
    <xf numFmtId="0" fontId="9" fillId="0" borderId="11"/>
    <xf numFmtId="0" fontId="15" fillId="0" borderId="11"/>
    <xf numFmtId="0" fontId="18" fillId="0" borderId="11" applyFill="0" applyProtection="0"/>
  </cellStyleXfs>
  <cellXfs count="58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vertical="center"/>
    </xf>
    <xf numFmtId="0" fontId="0" fillId="2" borderId="11" xfId="0" applyFont="1" applyFill="1" applyBorder="1"/>
    <xf numFmtId="0" fontId="4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0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66" fontId="0" fillId="2" borderId="2" xfId="0" applyNumberFormat="1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/>
    <xf numFmtId="0" fontId="4" fillId="2" borderId="10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vertical="center"/>
    </xf>
    <xf numFmtId="3" fontId="4" fillId="2" borderId="2" xfId="0" applyNumberFormat="1" applyFont="1" applyFill="1" applyBorder="1" applyAlignment="1">
      <alignment horizontal="right" vertical="center" wrapText="1"/>
    </xf>
    <xf numFmtId="168" fontId="0" fillId="2" borderId="2" xfId="0" applyNumberFormat="1" applyFont="1" applyFill="1" applyBorder="1" applyAlignment="1">
      <alignment horizontal="right" vertical="center" wrapText="1"/>
    </xf>
    <xf numFmtId="168" fontId="0" fillId="2" borderId="9" xfId="0" applyNumberFormat="1" applyFont="1" applyFill="1" applyBorder="1" applyAlignment="1">
      <alignment horizontal="right" vertical="center" wrapText="1"/>
    </xf>
    <xf numFmtId="166" fontId="0" fillId="3" borderId="0" xfId="0" applyNumberFormat="1" applyFont="1" applyFill="1" applyAlignment="1"/>
    <xf numFmtId="0" fontId="4" fillId="2" borderId="11" xfId="0" applyFont="1" applyFill="1" applyBorder="1" applyAlignment="1">
      <alignment horizontal="center" vertical="center"/>
    </xf>
    <xf numFmtId="3" fontId="0" fillId="4" borderId="11" xfId="0" applyNumberFormat="1" applyFont="1" applyFill="1" applyBorder="1" applyAlignment="1">
      <alignment horizontal="right" vertical="center"/>
    </xf>
    <xf numFmtId="3" fontId="0" fillId="4" borderId="12" xfId="0" applyNumberFormat="1" applyFont="1" applyFill="1" applyBorder="1" applyAlignment="1">
      <alignment horizontal="right" vertical="center"/>
    </xf>
    <xf numFmtId="0" fontId="0" fillId="5" borderId="11" xfId="0" applyFont="1" applyFill="1" applyBorder="1"/>
    <xf numFmtId="0" fontId="0" fillId="5" borderId="11" xfId="0" applyFont="1" applyFill="1" applyBorder="1" applyAlignment="1">
      <alignment horizontal="left" vertical="center"/>
    </xf>
    <xf numFmtId="0" fontId="0" fillId="5" borderId="12" xfId="0" applyFont="1" applyFill="1" applyBorder="1" applyAlignment="1">
      <alignment horizontal="left" vertical="center"/>
    </xf>
    <xf numFmtId="0" fontId="5" fillId="5" borderId="11" xfId="0" applyFont="1" applyFill="1" applyBorder="1" applyAlignment="1"/>
    <xf numFmtId="0" fontId="5" fillId="5" borderId="11" xfId="0" applyFont="1" applyFill="1" applyBorder="1" applyAlignment="1">
      <alignment horizontal="right" vertical="center" wrapText="1"/>
    </xf>
    <xf numFmtId="0" fontId="5" fillId="5" borderId="12" xfId="0" applyFont="1" applyFill="1" applyBorder="1" applyAlignment="1"/>
    <xf numFmtId="0" fontId="7" fillId="5" borderId="11" xfId="0" applyFont="1" applyFill="1" applyBorder="1" applyAlignment="1">
      <alignment horizontal="left" vertical="center"/>
    </xf>
    <xf numFmtId="0" fontId="7" fillId="5" borderId="11" xfId="0" applyFont="1" applyFill="1" applyBorder="1"/>
    <xf numFmtId="0" fontId="6" fillId="5" borderId="11" xfId="0" applyFont="1" applyFill="1" applyBorder="1" applyAlignment="1">
      <alignment horizontal="left" vertical="center"/>
    </xf>
    <xf numFmtId="0" fontId="13" fillId="5" borderId="11" xfId="0" applyFont="1" applyFill="1" applyBorder="1" applyAlignment="1">
      <alignment vertical="center"/>
    </xf>
    <xf numFmtId="166" fontId="0" fillId="2" borderId="0" xfId="0" applyNumberFormat="1" applyFont="1" applyFill="1" applyBorder="1"/>
    <xf numFmtId="0" fontId="2" fillId="2" borderId="11" xfId="0" applyFont="1" applyFill="1" applyBorder="1" applyAlignment="1">
      <alignment vertical="center"/>
    </xf>
    <xf numFmtId="0" fontId="0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horizontal="left" vertical="center"/>
    </xf>
    <xf numFmtId="0" fontId="14" fillId="5" borderId="11" xfId="0" applyFont="1" applyFill="1" applyBorder="1" applyAlignment="1">
      <alignment horizontal="left" vertical="center" wrapText="1"/>
    </xf>
    <xf numFmtId="166" fontId="0" fillId="3" borderId="0" xfId="0" applyNumberFormat="1" applyFont="1" applyFill="1" applyBorder="1" applyAlignment="1"/>
    <xf numFmtId="0" fontId="16" fillId="5" borderId="11" xfId="0" applyFont="1" applyFill="1" applyBorder="1" applyAlignment="1">
      <alignment horizontal="left" vertical="center"/>
    </xf>
    <xf numFmtId="166" fontId="16" fillId="3" borderId="0" xfId="0" applyNumberFormat="1" applyFont="1" applyFill="1" applyAlignment="1"/>
    <xf numFmtId="0" fontId="17" fillId="5" borderId="11" xfId="0" applyFont="1" applyFill="1" applyBorder="1" applyAlignment="1">
      <alignment horizontal="left" vertical="center" wrapText="1"/>
    </xf>
    <xf numFmtId="166" fontId="16" fillId="3" borderId="0" xfId="0" applyNumberFormat="1" applyFont="1" applyFill="1" applyBorder="1" applyAlignment="1"/>
    <xf numFmtId="166" fontId="16" fillId="3" borderId="2" xfId="0" applyNumberFormat="1" applyFont="1" applyFill="1" applyBorder="1" applyAlignment="1"/>
    <xf numFmtId="0" fontId="16" fillId="5" borderId="1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3" borderId="4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3" fillId="3" borderId="6" xfId="0" applyFont="1" applyFill="1" applyBorder="1"/>
    <xf numFmtId="0" fontId="3" fillId="3" borderId="8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 wrapText="1"/>
    </xf>
    <xf numFmtId="3" fontId="12" fillId="2" borderId="2" xfId="0" applyNumberFormat="1" applyFont="1" applyFill="1" applyBorder="1" applyAlignment="1">
      <alignment horizontal="right" vertical="center" wrapText="1"/>
    </xf>
  </cellXfs>
  <cellStyles count="9">
    <cellStyle name="Comma 23" xfId="5"/>
    <cellStyle name="Comma 3" xfId="4"/>
    <cellStyle name="Normal" xfId="0" builtinId="0"/>
    <cellStyle name="Normal 12" xfId="3"/>
    <cellStyle name="Normal 2" xfId="1"/>
    <cellStyle name="Normal 3" xfId="7"/>
    <cellStyle name="Normal 3 2" xfId="2"/>
    <cellStyle name="Normal 4" xfId="8"/>
    <cellStyle name="Normal 8" xfId="6"/>
  </cellStyles>
  <dxfs count="0"/>
  <tableStyles count="0" defaultTableStyle="TableStyleMedium2" defaultPivotStyle="PivotStyleLight16"/>
  <colors>
    <mruColors>
      <color rgb="FFFF9900"/>
      <color rgb="FFFFBC79"/>
      <color rgb="FF33CCCC"/>
      <color rgb="FFB2EDEC"/>
      <color rgb="FFEAFAFA"/>
      <color rgb="FF249390"/>
      <color rgb="FF196563"/>
      <color rgb="FFFFDAA3"/>
      <color rgb="FFBFF0EF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1237507182105831E-2"/>
          <c:y val="0.15187238419521884"/>
          <c:w val="0.91501900391947411"/>
          <c:h val="0.3747397659208682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33CCCC"/>
            </a:solidFill>
          </c:spPr>
          <c:invertIfNegative val="1"/>
          <c:cat>
            <c:strRef>
              <c:f>'18.15'!$X$24:$X$36</c:f>
              <c:strCache>
                <c:ptCount val="13"/>
                <c:pt idx="0">
                  <c:v>Govt. agencies, public institutions</c:v>
                </c:pt>
                <c:pt idx="1">
                  <c:v>Hotels, Tourist resorts, travel agencies</c:v>
                </c:pt>
                <c:pt idx="2">
                  <c:v>Financial sector, Banks, Investment Funds, Insurance </c:v>
                </c:pt>
                <c:pt idx="3">
                  <c:v>Air Transportation</c:v>
                </c:pt>
                <c:pt idx="4">
                  <c:v>Sea Transportation, shipping</c:v>
                </c:pt>
                <c:pt idx="5">
                  <c:v>Wholesale retailers</c:v>
                </c:pt>
                <c:pt idx="6">
                  <c:v>Shops, small and medium commercial retail</c:v>
                </c:pt>
                <c:pt idx="7">
                  <c:v>Construction</c:v>
                </c:pt>
                <c:pt idx="8">
                  <c:v>Schools and educational centers</c:v>
                </c:pt>
                <c:pt idx="9">
                  <c:v>Telecommunications</c:v>
                </c:pt>
                <c:pt idx="10">
                  <c:v>Fishing Industry</c:v>
                </c:pt>
                <c:pt idx="11">
                  <c:v>Health Sector, hospitals, clinics</c:v>
                </c:pt>
                <c:pt idx="12">
                  <c:v>Others</c:v>
                </c:pt>
              </c:strCache>
            </c:strRef>
          </c:cat>
          <c:val>
            <c:numRef>
              <c:f>'18.15'!$Y$24:$Y$36</c:f>
              <c:numCache>
                <c:formatCode>0.0</c:formatCode>
                <c:ptCount val="13"/>
                <c:pt idx="0">
                  <c:v>43.39357892311881</c:v>
                </c:pt>
                <c:pt idx="1">
                  <c:v>16.902971789985131</c:v>
                </c:pt>
                <c:pt idx="2">
                  <c:v>5.1676474899997906</c:v>
                </c:pt>
                <c:pt idx="3">
                  <c:v>4.8535047854405331</c:v>
                </c:pt>
                <c:pt idx="4">
                  <c:v>3.8461538461538463</c:v>
                </c:pt>
                <c:pt idx="5">
                  <c:v>3.6901296362227485</c:v>
                </c:pt>
                <c:pt idx="6">
                  <c:v>2.9162914406584433</c:v>
                </c:pt>
                <c:pt idx="7">
                  <c:v>2.6597415652683827</c:v>
                </c:pt>
                <c:pt idx="8">
                  <c:v>1.9874761775115708</c:v>
                </c:pt>
                <c:pt idx="9">
                  <c:v>1.6000335085551529</c:v>
                </c:pt>
                <c:pt idx="10">
                  <c:v>1.3015979392238581</c:v>
                </c:pt>
                <c:pt idx="11">
                  <c:v>1.2942679427841421</c:v>
                </c:pt>
                <c:pt idx="12">
                  <c:v>10.386604955077594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1E-4F27-8A37-028B08B39FEE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397640"/>
        <c:axId val="340399992"/>
      </c:barChart>
      <c:catAx>
        <c:axId val="34039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200" b="0" i="0"/>
            </a:pPr>
            <a:endParaRPr lang="en-US"/>
          </a:p>
        </c:txPr>
        <c:crossAx val="340399992"/>
        <c:crosses val="autoZero"/>
        <c:auto val="1"/>
        <c:lblAlgn val="ctr"/>
        <c:lblOffset val="100"/>
        <c:noMultiLvlLbl val="1"/>
      </c:catAx>
      <c:valAx>
        <c:axId val="34039999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.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340397640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34</xdr:row>
      <xdr:rowOff>200024</xdr:rowOff>
    </xdr:from>
    <xdr:ext cx="9267825" cy="4086225"/>
    <xdr:graphicFrame macro=""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1914526</xdr:colOff>
      <xdr:row>35</xdr:row>
      <xdr:rowOff>180975</xdr:rowOff>
    </xdr:from>
    <xdr:ext cx="6705600" cy="390525"/>
    <xdr:sp macro="" textlink="">
      <xdr:nvSpPr>
        <xdr:cNvPr id="29" name="Shape 29"/>
        <xdr:cNvSpPr txBox="1"/>
      </xdr:nvSpPr>
      <xdr:spPr>
        <a:xfrm>
          <a:off x="1914526" y="9153525"/>
          <a:ext cx="6705600" cy="3905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18.18: Percentage distribution of employees registered  in the retirement pension scheme by sector, </a:t>
          </a:r>
          <a:r>
            <a:rPr lang="dv-MV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2020</a:t>
          </a: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104775</xdr:colOff>
      <xdr:row>38</xdr:row>
      <xdr:rowOff>133350</xdr:rowOff>
    </xdr:from>
    <xdr:ext cx="209550" cy="942975"/>
    <xdr:sp macro="" textlink="">
      <xdr:nvSpPr>
        <xdr:cNvPr id="30" name="Shape 30"/>
        <xdr:cNvSpPr txBox="1"/>
      </xdr:nvSpPr>
      <xdr:spPr>
        <a:xfrm rot="-5400000">
          <a:off x="4879275" y="3679988"/>
          <a:ext cx="933450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Percentage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G61"/>
  <sheetViews>
    <sheetView tabSelected="1" zoomScaleNormal="100" zoomScaleSheetLayoutView="98" workbookViewId="0">
      <selection activeCell="F13" sqref="F13"/>
    </sheetView>
  </sheetViews>
  <sheetFormatPr defaultColWidth="14.42578125" defaultRowHeight="15" customHeight="1" x14ac:dyDescent="0.25"/>
  <cols>
    <col min="1" max="1" width="50.140625" style="2" customWidth="1"/>
    <col min="2" max="2" width="16" style="2" customWidth="1"/>
    <col min="3" max="3" width="1.85546875" style="2" customWidth="1"/>
    <col min="4" max="5" width="16" style="2" customWidth="1"/>
    <col min="6" max="6" width="52.85546875" style="2" customWidth="1"/>
    <col min="7" max="23" width="8" style="2" customWidth="1"/>
    <col min="24" max="24" width="36.28515625" style="2" customWidth="1"/>
    <col min="25" max="25" width="12.85546875" style="2" customWidth="1"/>
    <col min="26" max="26" width="23.42578125" style="2" customWidth="1"/>
    <col min="27" max="33" width="8" style="2" customWidth="1"/>
    <col min="34" max="16384" width="14.42578125" style="2"/>
  </cols>
  <sheetData>
    <row r="1" spans="1:33" ht="21" customHeight="1" x14ac:dyDescent="0.25">
      <c r="A1" s="48" t="s">
        <v>68</v>
      </c>
      <c r="B1" s="49"/>
      <c r="C1" s="49"/>
      <c r="D1" s="49"/>
      <c r="E1" s="49"/>
      <c r="F1" s="50"/>
      <c r="G1" s="8"/>
      <c r="H1" s="8"/>
      <c r="I1" s="8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9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51" t="s">
        <v>67</v>
      </c>
      <c r="B2" s="49"/>
      <c r="C2" s="49"/>
      <c r="D2" s="49"/>
      <c r="E2" s="49"/>
      <c r="F2" s="50"/>
      <c r="G2" s="1"/>
      <c r="H2" s="1"/>
      <c r="I2" s="1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9"/>
      <c r="Y2" s="1"/>
      <c r="Z2" s="1"/>
      <c r="AA2" s="1"/>
      <c r="AB2" s="1"/>
      <c r="AC2" s="1"/>
      <c r="AD2" s="1"/>
      <c r="AE2" s="1"/>
      <c r="AF2" s="1"/>
      <c r="AG2" s="1"/>
    </row>
    <row r="3" spans="1:33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9"/>
      <c r="Y3" s="1"/>
      <c r="Z3" s="1"/>
      <c r="AA3" s="1"/>
      <c r="AB3" s="1"/>
      <c r="AC3" s="1"/>
      <c r="AD3" s="1"/>
      <c r="AE3" s="1"/>
      <c r="AF3" s="1"/>
      <c r="AG3" s="1"/>
    </row>
    <row r="4" spans="1:33" ht="15.75" customHeight="1" x14ac:dyDescent="0.25">
      <c r="A4" s="54" t="s">
        <v>55</v>
      </c>
      <c r="B4" s="14" t="s">
        <v>56</v>
      </c>
      <c r="C4" s="14"/>
      <c r="D4" s="14" t="s">
        <v>57</v>
      </c>
      <c r="E4" s="14" t="s">
        <v>2</v>
      </c>
      <c r="F4" s="55" t="s">
        <v>7</v>
      </c>
      <c r="G4" s="1"/>
      <c r="H4" s="1"/>
      <c r="I4" s="1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2"/>
      <c r="Y4" s="11"/>
      <c r="Z4" s="3"/>
      <c r="AA4" s="3"/>
      <c r="AB4" s="3"/>
      <c r="AC4" s="3"/>
      <c r="AD4" s="3"/>
      <c r="AE4" s="3"/>
      <c r="AF4" s="3"/>
      <c r="AG4" s="3"/>
    </row>
    <row r="5" spans="1:33" ht="17.25" customHeight="1" x14ac:dyDescent="0.25">
      <c r="A5" s="52"/>
      <c r="B5" s="15" t="s">
        <v>58</v>
      </c>
      <c r="C5" s="15"/>
      <c r="D5" s="56" t="s">
        <v>6</v>
      </c>
      <c r="E5" s="16" t="s">
        <v>59</v>
      </c>
      <c r="F5" s="52"/>
      <c r="G5" s="3"/>
      <c r="H5" s="3"/>
      <c r="I5" s="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9"/>
      <c r="Y5" s="11"/>
      <c r="Z5" s="3"/>
      <c r="AA5" s="3"/>
      <c r="AB5" s="3"/>
      <c r="AC5" s="3"/>
      <c r="AD5" s="3"/>
      <c r="AE5" s="3"/>
      <c r="AF5" s="3"/>
      <c r="AG5" s="3"/>
    </row>
    <row r="6" spans="1:33" ht="17.25" customHeight="1" x14ac:dyDescent="0.25">
      <c r="A6" s="53"/>
      <c r="B6" s="17" t="s">
        <v>60</v>
      </c>
      <c r="C6" s="17"/>
      <c r="D6" s="53"/>
      <c r="E6" s="18" t="s">
        <v>0</v>
      </c>
      <c r="F6" s="53"/>
      <c r="G6" s="3"/>
      <c r="H6" s="3"/>
      <c r="I6" s="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9"/>
      <c r="Y6" s="11"/>
      <c r="Z6" s="3"/>
      <c r="AA6" s="3"/>
      <c r="AB6" s="3"/>
      <c r="AC6" s="3"/>
      <c r="AD6" s="3"/>
      <c r="AE6" s="3"/>
      <c r="AF6" s="3"/>
      <c r="AG6" s="3"/>
    </row>
    <row r="7" spans="1:33" ht="21" customHeight="1" x14ac:dyDescent="0.25">
      <c r="A7" s="7" t="s">
        <v>3</v>
      </c>
      <c r="B7" s="19">
        <f>SUM(B8:B33)</f>
        <v>2012</v>
      </c>
      <c r="C7" s="19"/>
      <c r="D7" s="57">
        <f>SUM(D8:D33)</f>
        <v>95498</v>
      </c>
      <c r="E7" s="19">
        <f>D7/D7*100</f>
        <v>100</v>
      </c>
      <c r="F7" s="4" t="s">
        <v>1</v>
      </c>
      <c r="G7" s="3"/>
      <c r="H7" s="3"/>
      <c r="I7" s="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9"/>
      <c r="Y7" s="11"/>
      <c r="Z7" s="5"/>
      <c r="AA7" s="5"/>
      <c r="AB7" s="5"/>
      <c r="AC7" s="5"/>
      <c r="AD7" s="5"/>
      <c r="AE7" s="5"/>
      <c r="AF7" s="5"/>
      <c r="AG7" s="5"/>
    </row>
    <row r="8" spans="1:33" ht="21" customHeight="1" x14ac:dyDescent="0.55000000000000004">
      <c r="A8" s="27" t="s">
        <v>8</v>
      </c>
      <c r="B8" s="24">
        <v>11</v>
      </c>
      <c r="C8" s="24"/>
      <c r="D8" s="24">
        <v>127</v>
      </c>
      <c r="E8" s="20">
        <f t="shared" ref="E8:E33" si="0">D8/$D$7*100</f>
        <v>0.13298707826341913</v>
      </c>
      <c r="F8" s="29" t="s">
        <v>9</v>
      </c>
      <c r="G8" s="5"/>
      <c r="H8" s="5"/>
      <c r="I8" s="5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Z8" s="5"/>
      <c r="AA8" s="5"/>
      <c r="AB8" s="5"/>
      <c r="AC8" s="5"/>
      <c r="AD8" s="5"/>
      <c r="AE8" s="5"/>
      <c r="AF8" s="5"/>
      <c r="AG8" s="5"/>
    </row>
    <row r="9" spans="1:33" ht="25.5" customHeight="1" x14ac:dyDescent="0.55000000000000004">
      <c r="A9" s="27" t="s">
        <v>10</v>
      </c>
      <c r="B9" s="24">
        <v>15</v>
      </c>
      <c r="C9" s="24"/>
      <c r="D9" s="24">
        <v>4635</v>
      </c>
      <c r="E9" s="20">
        <f t="shared" si="0"/>
        <v>4.8535047854405331</v>
      </c>
      <c r="F9" s="29" t="s">
        <v>11</v>
      </c>
      <c r="G9" s="5"/>
      <c r="H9" s="5"/>
      <c r="I9" s="5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Z9" s="5"/>
      <c r="AA9" s="5"/>
      <c r="AB9" s="5"/>
      <c r="AC9" s="5"/>
      <c r="AD9" s="5"/>
      <c r="AE9" s="5"/>
      <c r="AF9" s="5"/>
      <c r="AG9" s="5"/>
    </row>
    <row r="10" spans="1:33" ht="27.75" customHeight="1" x14ac:dyDescent="0.55000000000000004">
      <c r="A10" s="27" t="s">
        <v>12</v>
      </c>
      <c r="B10" s="24">
        <v>2</v>
      </c>
      <c r="C10" s="24"/>
      <c r="D10" s="24">
        <v>10</v>
      </c>
      <c r="E10" s="20">
        <f t="shared" si="0"/>
        <v>1.0471423485308592E-2</v>
      </c>
      <c r="F10" s="29" t="s">
        <v>13</v>
      </c>
      <c r="G10" s="5"/>
      <c r="H10" s="5"/>
      <c r="I10" s="5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Z10" s="5"/>
      <c r="AA10" s="5"/>
      <c r="AB10" s="5"/>
      <c r="AC10" s="5"/>
      <c r="AD10" s="5"/>
      <c r="AE10" s="5"/>
      <c r="AF10" s="5"/>
      <c r="AG10" s="5"/>
    </row>
    <row r="11" spans="1:33" ht="18.75" customHeight="1" x14ac:dyDescent="0.55000000000000004">
      <c r="A11" s="27" t="s">
        <v>14</v>
      </c>
      <c r="B11" s="24">
        <v>17</v>
      </c>
      <c r="C11" s="24"/>
      <c r="D11" s="24">
        <v>61</v>
      </c>
      <c r="E11" s="20">
        <f t="shared" si="0"/>
        <v>6.3875683260382413E-2</v>
      </c>
      <c r="F11" s="29" t="s">
        <v>15</v>
      </c>
      <c r="G11" s="5"/>
      <c r="H11" s="5"/>
      <c r="I11" s="5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Z11" s="5"/>
      <c r="AA11" s="5"/>
      <c r="AB11" s="5"/>
      <c r="AC11" s="5"/>
      <c r="AD11" s="5"/>
      <c r="AE11" s="5"/>
      <c r="AF11" s="5"/>
      <c r="AG11" s="5"/>
    </row>
    <row r="12" spans="1:33" ht="21" customHeight="1" x14ac:dyDescent="0.55000000000000004">
      <c r="A12" s="27" t="s">
        <v>16</v>
      </c>
      <c r="B12" s="24">
        <v>138</v>
      </c>
      <c r="C12" s="24"/>
      <c r="D12" s="24">
        <v>2540</v>
      </c>
      <c r="E12" s="20">
        <f t="shared" si="0"/>
        <v>2.6597415652683827</v>
      </c>
      <c r="F12" s="29" t="s">
        <v>17</v>
      </c>
      <c r="G12" s="5"/>
      <c r="H12" s="5"/>
      <c r="I12" s="5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Z12" s="5"/>
      <c r="AA12" s="5"/>
      <c r="AB12" s="5"/>
      <c r="AC12" s="5"/>
      <c r="AD12" s="5"/>
      <c r="AE12" s="5"/>
      <c r="AF12" s="5"/>
      <c r="AG12" s="5"/>
    </row>
    <row r="13" spans="1:33" ht="21" customHeight="1" x14ac:dyDescent="0.55000000000000004">
      <c r="A13" s="27" t="s">
        <v>18</v>
      </c>
      <c r="B13" s="24">
        <v>19</v>
      </c>
      <c r="C13" s="24"/>
      <c r="D13" s="24">
        <v>254</v>
      </c>
      <c r="E13" s="20">
        <f t="shared" si="0"/>
        <v>0.26597415652683826</v>
      </c>
      <c r="F13" s="29" t="s">
        <v>19</v>
      </c>
      <c r="G13" s="5"/>
      <c r="H13" s="5"/>
      <c r="I13" s="5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Z13" s="5"/>
      <c r="AA13" s="5"/>
      <c r="AB13" s="5"/>
      <c r="AC13" s="5"/>
      <c r="AD13" s="5"/>
      <c r="AE13" s="5"/>
      <c r="AF13" s="5"/>
      <c r="AG13" s="5"/>
    </row>
    <row r="14" spans="1:33" ht="25.5" customHeight="1" x14ac:dyDescent="0.25">
      <c r="A14" s="40" t="s">
        <v>61</v>
      </c>
      <c r="B14" s="24">
        <v>67</v>
      </c>
      <c r="C14" s="24"/>
      <c r="D14" s="24">
        <v>4935</v>
      </c>
      <c r="E14" s="20">
        <f t="shared" si="0"/>
        <v>5.1676474899997906</v>
      </c>
      <c r="F14" s="30" t="s">
        <v>62</v>
      </c>
      <c r="G14" s="5"/>
      <c r="H14" s="5"/>
      <c r="I14" s="5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Z14" s="5"/>
      <c r="AA14" s="5"/>
      <c r="AB14" s="5"/>
      <c r="AC14" s="5"/>
      <c r="AD14" s="5"/>
      <c r="AE14" s="5"/>
      <c r="AF14" s="5"/>
      <c r="AG14" s="5"/>
    </row>
    <row r="15" spans="1:33" ht="21" customHeight="1" x14ac:dyDescent="0.55000000000000004">
      <c r="A15" s="27" t="s">
        <v>20</v>
      </c>
      <c r="B15" s="24">
        <v>12</v>
      </c>
      <c r="C15" s="24"/>
      <c r="D15" s="24">
        <v>1243</v>
      </c>
      <c r="E15" s="20">
        <f t="shared" si="0"/>
        <v>1.3015979392238581</v>
      </c>
      <c r="F15" s="29" t="s">
        <v>21</v>
      </c>
      <c r="G15" s="5"/>
      <c r="H15" s="5"/>
      <c r="I15" s="5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Z15" s="5"/>
      <c r="AA15" s="5"/>
      <c r="AB15" s="5"/>
      <c r="AC15" s="5"/>
      <c r="AD15" s="5"/>
      <c r="AE15" s="5"/>
      <c r="AF15" s="5"/>
      <c r="AG15" s="5"/>
    </row>
    <row r="16" spans="1:33" ht="21" customHeight="1" x14ac:dyDescent="0.55000000000000004">
      <c r="A16" s="27" t="s">
        <v>22</v>
      </c>
      <c r="B16" s="24">
        <v>8</v>
      </c>
      <c r="C16" s="24"/>
      <c r="D16" s="24">
        <v>171</v>
      </c>
      <c r="E16" s="20">
        <f t="shared" si="0"/>
        <v>0.17906134159877693</v>
      </c>
      <c r="F16" s="29" t="s">
        <v>23</v>
      </c>
      <c r="G16" s="5"/>
      <c r="H16" s="5"/>
      <c r="I16" s="5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Z16" s="5"/>
      <c r="AA16" s="5"/>
      <c r="AB16" s="5"/>
      <c r="AC16" s="5"/>
      <c r="AD16" s="5"/>
      <c r="AE16" s="5"/>
      <c r="AF16" s="5"/>
      <c r="AG16" s="5"/>
    </row>
    <row r="17" spans="1:33" ht="21" customHeight="1" x14ac:dyDescent="0.55000000000000004">
      <c r="A17" s="27" t="s">
        <v>63</v>
      </c>
      <c r="B17" s="24">
        <v>409</v>
      </c>
      <c r="C17" s="24"/>
      <c r="D17" s="24">
        <v>41440</v>
      </c>
      <c r="E17" s="20">
        <f t="shared" si="0"/>
        <v>43.39357892311881</v>
      </c>
      <c r="F17" s="29" t="s">
        <v>24</v>
      </c>
      <c r="G17" s="5"/>
      <c r="H17" s="5"/>
      <c r="I17" s="5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Z17" s="5"/>
      <c r="AA17" s="5"/>
      <c r="AB17" s="5"/>
      <c r="AC17" s="5"/>
      <c r="AD17" s="5"/>
      <c r="AE17" s="5"/>
      <c r="AF17" s="5"/>
      <c r="AG17" s="5"/>
    </row>
    <row r="18" spans="1:33" ht="21" customHeight="1" x14ac:dyDescent="0.55000000000000004">
      <c r="A18" s="27" t="s">
        <v>25</v>
      </c>
      <c r="B18" s="24">
        <v>38</v>
      </c>
      <c r="C18" s="24"/>
      <c r="D18" s="24">
        <v>1236</v>
      </c>
      <c r="E18" s="20">
        <f t="shared" si="0"/>
        <v>1.2942679427841421</v>
      </c>
      <c r="F18" s="29" t="s">
        <v>26</v>
      </c>
      <c r="G18" s="5"/>
      <c r="H18" s="5"/>
      <c r="I18" s="5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Z18" s="5"/>
      <c r="AA18" s="5"/>
      <c r="AB18" s="5"/>
      <c r="AC18" s="5"/>
      <c r="AD18" s="5"/>
      <c r="AE18" s="5"/>
      <c r="AF18" s="5"/>
      <c r="AG18" s="5"/>
    </row>
    <row r="19" spans="1:33" ht="21" customHeight="1" x14ac:dyDescent="0.55000000000000004">
      <c r="A19" s="27" t="s">
        <v>27</v>
      </c>
      <c r="B19" s="24">
        <v>312</v>
      </c>
      <c r="C19" s="24"/>
      <c r="D19" s="24">
        <v>16142</v>
      </c>
      <c r="E19" s="20">
        <f t="shared" si="0"/>
        <v>16.902971789985131</v>
      </c>
      <c r="F19" s="29" t="s">
        <v>28</v>
      </c>
      <c r="G19" s="5"/>
      <c r="H19" s="5"/>
      <c r="I19" s="5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Z19" s="5"/>
      <c r="AA19" s="5"/>
      <c r="AB19" s="5"/>
      <c r="AC19" s="5"/>
      <c r="AD19" s="5"/>
      <c r="AE19" s="5"/>
      <c r="AF19" s="5"/>
      <c r="AG19" s="5"/>
    </row>
    <row r="20" spans="1:33" ht="21" customHeight="1" x14ac:dyDescent="0.55000000000000004">
      <c r="A20" s="27" t="s">
        <v>29</v>
      </c>
      <c r="B20" s="24">
        <v>8</v>
      </c>
      <c r="C20" s="24"/>
      <c r="D20" s="24">
        <v>71</v>
      </c>
      <c r="E20" s="20">
        <f t="shared" si="0"/>
        <v>7.4347106745691005E-2</v>
      </c>
      <c r="F20" s="29" t="s">
        <v>30</v>
      </c>
      <c r="G20" s="5"/>
      <c r="H20" s="5"/>
      <c r="I20" s="5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Z20" s="5"/>
      <c r="AA20" s="5"/>
      <c r="AB20" s="5"/>
      <c r="AC20" s="5"/>
      <c r="AD20" s="5"/>
      <c r="AE20" s="5"/>
      <c r="AF20" s="5"/>
      <c r="AG20" s="5"/>
    </row>
    <row r="21" spans="1:33" ht="21" customHeight="1" x14ac:dyDescent="0.55000000000000004">
      <c r="A21" s="27" t="s">
        <v>31</v>
      </c>
      <c r="B21" s="24">
        <v>4</v>
      </c>
      <c r="C21" s="24"/>
      <c r="D21" s="24">
        <v>597</v>
      </c>
      <c r="E21" s="20">
        <f t="shared" si="0"/>
        <v>0.62514398207292299</v>
      </c>
      <c r="F21" s="29" t="s">
        <v>32</v>
      </c>
      <c r="G21" s="5"/>
      <c r="H21" s="5"/>
      <c r="I21" s="5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Z21" s="5"/>
      <c r="AA21" s="5"/>
      <c r="AB21" s="5"/>
      <c r="AC21" s="5"/>
      <c r="AD21" s="5"/>
      <c r="AE21" s="5"/>
      <c r="AF21" s="5"/>
      <c r="AG21" s="5"/>
    </row>
    <row r="22" spans="1:33" ht="21" customHeight="1" x14ac:dyDescent="0.55000000000000004">
      <c r="A22" s="27" t="s">
        <v>33</v>
      </c>
      <c r="B22" s="24">
        <v>1</v>
      </c>
      <c r="C22" s="24"/>
      <c r="D22" s="24">
        <v>6</v>
      </c>
      <c r="E22" s="20">
        <f t="shared" si="0"/>
        <v>6.282854091185155E-3</v>
      </c>
      <c r="F22" s="29" t="s">
        <v>34</v>
      </c>
      <c r="G22" s="5"/>
      <c r="H22" s="5"/>
      <c r="I22" s="5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Z22" s="5"/>
      <c r="AA22" s="5"/>
      <c r="AB22" s="5"/>
      <c r="AC22" s="5"/>
      <c r="AD22" s="5"/>
      <c r="AE22" s="5"/>
      <c r="AF22" s="5"/>
      <c r="AG22" s="5"/>
    </row>
    <row r="23" spans="1:33" ht="21" customHeight="1" x14ac:dyDescent="0.55000000000000004">
      <c r="A23" s="27" t="s">
        <v>53</v>
      </c>
      <c r="B23" s="24">
        <v>374</v>
      </c>
      <c r="C23" s="24"/>
      <c r="D23" s="24">
        <v>8292</v>
      </c>
      <c r="E23" s="20">
        <f t="shared" si="0"/>
        <v>8.6829043540178859</v>
      </c>
      <c r="F23" s="29" t="s">
        <v>54</v>
      </c>
      <c r="G23" s="5"/>
      <c r="H23" s="5"/>
      <c r="I23" s="5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Z23" s="5"/>
      <c r="AA23" s="5"/>
      <c r="AB23" s="5"/>
      <c r="AC23" s="5"/>
      <c r="AD23" s="5"/>
      <c r="AE23" s="5"/>
      <c r="AF23" s="5"/>
      <c r="AG23" s="5"/>
    </row>
    <row r="24" spans="1:33" ht="21" customHeight="1" x14ac:dyDescent="0.25">
      <c r="A24" s="27" t="s">
        <v>64</v>
      </c>
      <c r="B24" s="24">
        <v>2</v>
      </c>
      <c r="C24" s="24"/>
      <c r="D24" s="24">
        <v>2</v>
      </c>
      <c r="E24" s="20">
        <f t="shared" si="0"/>
        <v>2.0942846970617188E-3</v>
      </c>
      <c r="F24" s="35" t="s">
        <v>65</v>
      </c>
      <c r="G24" s="5"/>
      <c r="H24" s="5"/>
      <c r="I24" s="5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27" t="s">
        <v>63</v>
      </c>
      <c r="Y24" s="22">
        <v>43.39357892311881</v>
      </c>
      <c r="Z24" s="5"/>
      <c r="AA24" s="5"/>
      <c r="AB24" s="5"/>
      <c r="AC24" s="5"/>
      <c r="AD24" s="5"/>
      <c r="AE24" s="5"/>
      <c r="AF24" s="5"/>
      <c r="AG24" s="5"/>
    </row>
    <row r="25" spans="1:33" ht="21" customHeight="1" x14ac:dyDescent="0.55000000000000004">
      <c r="A25" s="27" t="s">
        <v>35</v>
      </c>
      <c r="B25" s="24">
        <v>7</v>
      </c>
      <c r="C25" s="24"/>
      <c r="D25" s="24">
        <v>56</v>
      </c>
      <c r="E25" s="20">
        <f t="shared" si="0"/>
        <v>5.8639971517728116E-2</v>
      </c>
      <c r="F25" s="29" t="s">
        <v>36</v>
      </c>
      <c r="G25" s="5"/>
      <c r="H25" s="5"/>
      <c r="I25" s="5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27" t="s">
        <v>27</v>
      </c>
      <c r="Y25" s="22">
        <v>16.902971789985131</v>
      </c>
      <c r="Z25" s="5"/>
      <c r="AA25" s="5"/>
      <c r="AB25" s="5"/>
      <c r="AC25" s="5"/>
      <c r="AD25" s="5"/>
      <c r="AE25" s="5"/>
      <c r="AF25" s="5"/>
      <c r="AG25" s="5"/>
    </row>
    <row r="26" spans="1:33" ht="21" customHeight="1" x14ac:dyDescent="0.55000000000000004">
      <c r="A26" s="27" t="s">
        <v>37</v>
      </c>
      <c r="B26" s="24">
        <v>21</v>
      </c>
      <c r="C26" s="24"/>
      <c r="D26" s="24">
        <v>160</v>
      </c>
      <c r="E26" s="20">
        <f t="shared" si="0"/>
        <v>0.16754277576493748</v>
      </c>
      <c r="F26" s="29" t="s">
        <v>38</v>
      </c>
      <c r="G26" s="5"/>
      <c r="H26" s="5"/>
      <c r="I26" s="5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27" t="s">
        <v>61</v>
      </c>
      <c r="Y26" s="36">
        <v>5.1676474899997906</v>
      </c>
      <c r="Z26" s="5"/>
      <c r="AA26" s="5"/>
      <c r="AB26" s="5"/>
      <c r="AC26" s="5"/>
      <c r="AD26" s="5"/>
      <c r="AE26" s="5"/>
      <c r="AF26" s="5"/>
      <c r="AG26" s="5"/>
    </row>
    <row r="27" spans="1:33" ht="21" customHeight="1" x14ac:dyDescent="0.55000000000000004">
      <c r="A27" s="27" t="s">
        <v>39</v>
      </c>
      <c r="B27" s="24">
        <v>2</v>
      </c>
      <c r="C27" s="24"/>
      <c r="D27" s="24">
        <v>80</v>
      </c>
      <c r="E27" s="20">
        <f t="shared" si="0"/>
        <v>8.377138788246874E-2</v>
      </c>
      <c r="F27" s="29" t="s">
        <v>40</v>
      </c>
      <c r="G27" s="5"/>
      <c r="H27" s="5"/>
      <c r="I27" s="5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27" t="s">
        <v>10</v>
      </c>
      <c r="Y27" s="22">
        <v>4.8535047854405331</v>
      </c>
      <c r="Z27" s="5"/>
      <c r="AA27" s="5"/>
      <c r="AB27" s="5"/>
      <c r="AC27" s="5"/>
      <c r="AD27" s="5"/>
      <c r="AE27" s="5"/>
      <c r="AF27" s="5"/>
      <c r="AG27" s="5"/>
    </row>
    <row r="28" spans="1:33" ht="21" customHeight="1" x14ac:dyDescent="0.55000000000000004">
      <c r="A28" s="27" t="s">
        <v>41</v>
      </c>
      <c r="B28" s="24">
        <v>60</v>
      </c>
      <c r="C28" s="24"/>
      <c r="D28" s="24">
        <v>1898</v>
      </c>
      <c r="E28" s="20">
        <f t="shared" si="0"/>
        <v>1.9874761775115708</v>
      </c>
      <c r="F28" s="29" t="s">
        <v>42</v>
      </c>
      <c r="G28" s="5"/>
      <c r="H28" s="5"/>
      <c r="I28" s="5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27" t="s">
        <v>43</v>
      </c>
      <c r="Y28" s="22">
        <v>3.8461538461538463</v>
      </c>
      <c r="Z28" s="5"/>
      <c r="AA28" s="5"/>
      <c r="AB28" s="5"/>
      <c r="AC28" s="5"/>
      <c r="AD28" s="5"/>
      <c r="AE28" s="5"/>
      <c r="AF28" s="5"/>
      <c r="AG28" s="5"/>
    </row>
    <row r="29" spans="1:33" ht="21" customHeight="1" x14ac:dyDescent="0.55000000000000004">
      <c r="A29" s="27" t="s">
        <v>43</v>
      </c>
      <c r="B29" s="24">
        <v>53</v>
      </c>
      <c r="C29" s="24"/>
      <c r="D29" s="24">
        <v>3673</v>
      </c>
      <c r="E29" s="20">
        <f t="shared" si="0"/>
        <v>3.8461538461538463</v>
      </c>
      <c r="F29" s="29" t="s">
        <v>44</v>
      </c>
      <c r="G29" s="5"/>
      <c r="H29" s="5"/>
      <c r="I29" s="5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27" t="s">
        <v>51</v>
      </c>
      <c r="Y29" s="41">
        <v>3.6901296362227485</v>
      </c>
      <c r="Z29" s="5"/>
      <c r="AA29" s="5"/>
      <c r="AB29" s="5"/>
      <c r="AC29" s="5"/>
      <c r="AD29" s="5"/>
      <c r="AE29" s="5"/>
      <c r="AF29" s="5"/>
      <c r="AG29" s="5"/>
    </row>
    <row r="30" spans="1:33" ht="21" customHeight="1" x14ac:dyDescent="0.55000000000000004">
      <c r="A30" s="27" t="s">
        <v>45</v>
      </c>
      <c r="B30" s="24">
        <v>258</v>
      </c>
      <c r="C30" s="24"/>
      <c r="D30" s="24">
        <v>2785</v>
      </c>
      <c r="E30" s="20">
        <f t="shared" si="0"/>
        <v>2.9162914406584433</v>
      </c>
      <c r="F30" s="29" t="s">
        <v>46</v>
      </c>
      <c r="G30" s="5"/>
      <c r="H30" s="5"/>
      <c r="I30" s="5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27" t="s">
        <v>45</v>
      </c>
      <c r="Y30" s="36">
        <v>2.9162914406584433</v>
      </c>
      <c r="Z30" s="5"/>
      <c r="AA30" s="5"/>
      <c r="AB30" s="5"/>
      <c r="AC30" s="5"/>
      <c r="AD30" s="5"/>
      <c r="AE30" s="5"/>
      <c r="AF30" s="5"/>
      <c r="AG30" s="5"/>
    </row>
    <row r="31" spans="1:33" ht="21" customHeight="1" x14ac:dyDescent="0.55000000000000004">
      <c r="A31" s="27" t="s">
        <v>47</v>
      </c>
      <c r="B31" s="24">
        <v>19</v>
      </c>
      <c r="C31" s="24"/>
      <c r="D31" s="24">
        <v>1528</v>
      </c>
      <c r="E31" s="20">
        <f t="shared" si="0"/>
        <v>1.6000335085551529</v>
      </c>
      <c r="F31" s="29" t="s">
        <v>48</v>
      </c>
      <c r="G31" s="5"/>
      <c r="H31" s="5"/>
      <c r="I31" s="5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27" t="s">
        <v>16</v>
      </c>
      <c r="Y31" s="22">
        <v>2.6597415652683827</v>
      </c>
      <c r="Z31" s="5"/>
      <c r="AA31" s="5"/>
      <c r="AB31" s="5"/>
      <c r="AC31" s="5"/>
      <c r="AD31" s="5"/>
      <c r="AE31" s="5"/>
      <c r="AF31" s="5"/>
      <c r="AG31" s="5"/>
    </row>
    <row r="32" spans="1:33" ht="21" customHeight="1" x14ac:dyDescent="0.55000000000000004">
      <c r="A32" s="27" t="s">
        <v>49</v>
      </c>
      <c r="B32" s="24">
        <v>4</v>
      </c>
      <c r="C32" s="24"/>
      <c r="D32" s="24">
        <v>32</v>
      </c>
      <c r="E32" s="20">
        <f t="shared" si="0"/>
        <v>3.35085551529875E-2</v>
      </c>
      <c r="F32" s="29" t="s">
        <v>50</v>
      </c>
      <c r="G32" s="5"/>
      <c r="H32" s="5"/>
      <c r="I32" s="5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27" t="s">
        <v>41</v>
      </c>
      <c r="Y32" s="22">
        <v>1.9874761775115708</v>
      </c>
      <c r="Z32" s="5"/>
      <c r="AA32" s="5"/>
      <c r="AB32" s="5"/>
      <c r="AC32" s="5"/>
      <c r="AD32" s="5"/>
      <c r="AE32" s="5"/>
      <c r="AF32" s="5"/>
      <c r="AG32" s="5"/>
    </row>
    <row r="33" spans="1:33" ht="21" customHeight="1" x14ac:dyDescent="0.55000000000000004">
      <c r="A33" s="28" t="s">
        <v>51</v>
      </c>
      <c r="B33" s="25">
        <v>151</v>
      </c>
      <c r="C33" s="25"/>
      <c r="D33" s="25">
        <v>3524</v>
      </c>
      <c r="E33" s="21">
        <f t="shared" si="0"/>
        <v>3.6901296362227485</v>
      </c>
      <c r="F33" s="31" t="s">
        <v>52</v>
      </c>
      <c r="G33" s="10"/>
      <c r="H33" s="10"/>
      <c r="I33" s="10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27" t="s">
        <v>47</v>
      </c>
      <c r="Y33" s="41">
        <v>1.6000335085551529</v>
      </c>
      <c r="Z33" s="10"/>
      <c r="AA33" s="10"/>
      <c r="AB33" s="10"/>
      <c r="AC33" s="10"/>
      <c r="AD33" s="10"/>
      <c r="AE33" s="10"/>
      <c r="AF33" s="10"/>
      <c r="AG33" s="10"/>
    </row>
    <row r="34" spans="1:33" ht="18.75" customHeight="1" x14ac:dyDescent="0.5">
      <c r="A34" s="32" t="s">
        <v>66</v>
      </c>
      <c r="B34" s="34"/>
      <c r="C34" s="34"/>
      <c r="D34" s="34"/>
      <c r="E34" s="1"/>
      <c r="F34" s="13" t="s">
        <v>5</v>
      </c>
      <c r="G34" s="1"/>
      <c r="H34" s="1"/>
      <c r="I34" s="1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27" t="s">
        <v>20</v>
      </c>
      <c r="Y34" s="22">
        <v>1.3015979392238581</v>
      </c>
      <c r="Z34" s="1"/>
      <c r="AA34" s="1"/>
      <c r="AB34" s="1"/>
      <c r="AC34" s="1"/>
      <c r="AD34" s="1"/>
      <c r="AE34" s="1"/>
      <c r="AF34" s="1"/>
      <c r="AG34" s="1"/>
    </row>
    <row r="35" spans="1:33" ht="15.75" customHeight="1" x14ac:dyDescent="0.25">
      <c r="A35" s="33" t="s">
        <v>4</v>
      </c>
      <c r="B35" s="26"/>
      <c r="C35" s="26"/>
      <c r="D35" s="26"/>
      <c r="E35" s="1"/>
      <c r="F35" s="1"/>
      <c r="G35" s="1"/>
      <c r="H35" s="1"/>
      <c r="I35" s="1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27" t="s">
        <v>25</v>
      </c>
      <c r="Y35" s="36">
        <v>1.2942679427841421</v>
      </c>
      <c r="Z35" s="1"/>
      <c r="AA35" s="1"/>
      <c r="AB35" s="1"/>
      <c r="AC35" s="1"/>
      <c r="AD35" s="1"/>
      <c r="AE35" s="1"/>
      <c r="AF35" s="1"/>
      <c r="AG35" s="1"/>
    </row>
    <row r="36" spans="1:33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27" t="s">
        <v>53</v>
      </c>
      <c r="Y36" s="22">
        <f>SUM(Y37:Y50)</f>
        <v>10.386604955077594</v>
      </c>
      <c r="Z36" s="1"/>
      <c r="AA36" s="1"/>
      <c r="AB36" s="1"/>
      <c r="AC36" s="1"/>
      <c r="AD36" s="1"/>
      <c r="AE36" s="1"/>
      <c r="AF36" s="1"/>
      <c r="AG36" s="1"/>
    </row>
    <row r="37" spans="1:33" ht="36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42" t="s">
        <v>53</v>
      </c>
      <c r="Y37" s="43">
        <v>8.6829043540178859</v>
      </c>
      <c r="Z37" s="1"/>
      <c r="AA37" s="1"/>
      <c r="AB37" s="1"/>
      <c r="AC37" s="1"/>
      <c r="AD37" s="1"/>
      <c r="AE37" s="1"/>
      <c r="AF37" s="1"/>
      <c r="AG37" s="1"/>
    </row>
    <row r="38" spans="1:33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42" t="s">
        <v>31</v>
      </c>
      <c r="Y38" s="43">
        <v>0.62514398207292299</v>
      </c>
      <c r="Z38" s="1"/>
      <c r="AA38" s="1"/>
      <c r="AB38" s="1"/>
      <c r="AC38" s="1"/>
      <c r="AD38" s="1"/>
      <c r="AE38" s="1"/>
      <c r="AF38" s="1"/>
      <c r="AG38" s="1"/>
    </row>
    <row r="39" spans="1:33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42" t="s">
        <v>18</v>
      </c>
      <c r="Y39" s="43">
        <v>0.26597415652683826</v>
      </c>
      <c r="Z39" s="1"/>
      <c r="AA39" s="1"/>
      <c r="AB39" s="1"/>
      <c r="AC39" s="1"/>
      <c r="AD39" s="1"/>
      <c r="AE39" s="1"/>
      <c r="AF39" s="1"/>
      <c r="AG39" s="1"/>
    </row>
    <row r="40" spans="1:33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42" t="s">
        <v>22</v>
      </c>
      <c r="Y40" s="43">
        <v>0.17906134159877693</v>
      </c>
      <c r="Z40" s="1"/>
      <c r="AA40" s="1"/>
      <c r="AB40" s="1"/>
      <c r="AC40" s="1"/>
      <c r="AD40" s="1"/>
      <c r="AE40" s="1"/>
      <c r="AF40" s="1"/>
      <c r="AG40" s="1"/>
    </row>
    <row r="41" spans="1:33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42" t="s">
        <v>37</v>
      </c>
      <c r="Y41" s="43">
        <v>0.16754277576493748</v>
      </c>
      <c r="Z41" s="1"/>
      <c r="AA41" s="1"/>
      <c r="AB41" s="1"/>
      <c r="AC41" s="1"/>
      <c r="AD41" s="1"/>
      <c r="AE41" s="1"/>
      <c r="AF41" s="1"/>
      <c r="AG41" s="1"/>
    </row>
    <row r="42" spans="1:33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42" t="s">
        <v>8</v>
      </c>
      <c r="Y42" s="43">
        <v>0.13298707826341913</v>
      </c>
      <c r="Z42" s="1"/>
      <c r="AA42" s="1"/>
      <c r="AB42" s="1"/>
      <c r="AC42" s="1"/>
      <c r="AD42" s="1"/>
      <c r="AE42" s="1"/>
      <c r="AF42" s="1"/>
      <c r="AG42" s="1"/>
    </row>
    <row r="43" spans="1:33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42" t="s">
        <v>39</v>
      </c>
      <c r="Y43" s="43">
        <v>8.377138788246874E-2</v>
      </c>
      <c r="Z43" s="1"/>
      <c r="AA43" s="1"/>
      <c r="AB43" s="1"/>
      <c r="AC43" s="1"/>
      <c r="AD43" s="1"/>
      <c r="AE43" s="1"/>
      <c r="AF43" s="1"/>
      <c r="AG43" s="1"/>
    </row>
    <row r="44" spans="1:33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42" t="s">
        <v>29</v>
      </c>
      <c r="Y44" s="43">
        <v>7.4347106745691005E-2</v>
      </c>
      <c r="Z44" s="1"/>
      <c r="AA44" s="1"/>
      <c r="AB44" s="1"/>
      <c r="AC44" s="1"/>
      <c r="AD44" s="1"/>
      <c r="AE44" s="1"/>
      <c r="AF44" s="1"/>
      <c r="AG44" s="1"/>
    </row>
    <row r="45" spans="1:33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44" t="s">
        <v>14</v>
      </c>
      <c r="Y45" s="43">
        <v>6.3875683260382413E-2</v>
      </c>
      <c r="Z45" s="1"/>
      <c r="AA45" s="1"/>
      <c r="AB45" s="1"/>
      <c r="AC45" s="1"/>
      <c r="AD45" s="1"/>
      <c r="AE45" s="1"/>
      <c r="AF45" s="1"/>
      <c r="AG45" s="1"/>
    </row>
    <row r="46" spans="1:33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42" t="s">
        <v>35</v>
      </c>
      <c r="Y46" s="43">
        <v>5.8639971517728116E-2</v>
      </c>
      <c r="Z46" s="1"/>
      <c r="AA46" s="1"/>
      <c r="AB46" s="1"/>
      <c r="AC46" s="1"/>
      <c r="AD46" s="1"/>
      <c r="AE46" s="1"/>
      <c r="AF46" s="1"/>
      <c r="AG46" s="1"/>
    </row>
    <row r="47" spans="1:33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42" t="s">
        <v>49</v>
      </c>
      <c r="Y47" s="45">
        <v>3.35085551529875E-2</v>
      </c>
      <c r="Z47" s="1"/>
      <c r="AA47" s="1"/>
      <c r="AB47" s="1"/>
      <c r="AC47" s="1"/>
      <c r="AD47" s="1"/>
      <c r="AE47" s="1"/>
      <c r="AF47" s="1"/>
      <c r="AG47" s="1"/>
    </row>
    <row r="48" spans="1:33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42" t="s">
        <v>12</v>
      </c>
      <c r="Y48" s="46">
        <v>1.0471423485308592E-2</v>
      </c>
      <c r="Z48" s="1"/>
      <c r="AA48" s="1"/>
      <c r="AB48" s="1"/>
      <c r="AC48" s="1"/>
      <c r="AD48" s="1"/>
      <c r="AE48" s="1"/>
      <c r="AF48" s="1"/>
      <c r="AG48" s="1"/>
    </row>
    <row r="49" spans="1:33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42" t="s">
        <v>33</v>
      </c>
      <c r="Y49" s="46">
        <v>6.282854091185155E-3</v>
      </c>
      <c r="Z49" s="1"/>
      <c r="AA49" s="1"/>
      <c r="AB49" s="1"/>
      <c r="AC49" s="1"/>
      <c r="AD49" s="1"/>
      <c r="AE49" s="1"/>
      <c r="AF49" s="1"/>
      <c r="AG49" s="1"/>
    </row>
    <row r="50" spans="1:33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47" t="s">
        <v>64</v>
      </c>
      <c r="Y50" s="46">
        <v>2.0942846970617188E-3</v>
      </c>
      <c r="Z50" s="1"/>
      <c r="AA50" s="1"/>
      <c r="AB50" s="1"/>
      <c r="AC50" s="1"/>
      <c r="AD50" s="1"/>
      <c r="AE50" s="1"/>
      <c r="AF50" s="1"/>
      <c r="AG50" s="1"/>
    </row>
    <row r="51" spans="1:33" ht="19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1"/>
      <c r="Y61" s="1"/>
      <c r="Z61" s="1"/>
      <c r="AA61" s="1"/>
      <c r="AB61" s="1"/>
      <c r="AC61" s="1"/>
      <c r="AD61" s="1"/>
      <c r="AE61" s="1"/>
      <c r="AF61" s="1"/>
      <c r="AG61" s="1"/>
    </row>
  </sheetData>
  <sortState ref="X24:Y49">
    <sortCondition descending="1" ref="Y24:Y49"/>
  </sortState>
  <mergeCells count="5">
    <mergeCell ref="A1:F1"/>
    <mergeCell ref="A2:F2"/>
    <mergeCell ref="A4:A6"/>
    <mergeCell ref="F4:F6"/>
    <mergeCell ref="D5:D6"/>
  </mergeCells>
  <pageMargins left="0.7" right="0.7" top="0.75" bottom="0.75" header="0" footer="0"/>
  <pageSetup paperSize="9" scale="73" orientation="landscape" horizontalDpi="4294967295" verticalDpi="4294967295" r:id="rId1"/>
  <rowBreaks count="2" manualBreakCount="2">
    <brk id="34" max="5" man="1"/>
    <brk id="55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18.15</vt:lpstr>
      <vt:lpstr>'18.15'!Print_Area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2021-06-20T05:50:27Z</cp:lastPrinted>
  <dcterms:created xsi:type="dcterms:W3CDTF">2019-02-21T04:10:17Z</dcterms:created>
  <dcterms:modified xsi:type="dcterms:W3CDTF">2021-06-20T05:51:00Z</dcterms:modified>
</cp:coreProperties>
</file>