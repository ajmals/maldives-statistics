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8. Pension and Social Protection\"/>
    </mc:Choice>
  </mc:AlternateContent>
  <bookViews>
    <workbookView xWindow="0" yWindow="0" windowWidth="28800" windowHeight="12435" tabRatio="842"/>
  </bookViews>
  <sheets>
    <sheet name="18.8" sheetId="8" r:id="rId1"/>
  </sheets>
  <definedNames>
    <definedName name="_xlnm.Print_Area" localSheetId="0">'18.8'!$A$1:$I$27</definedName>
  </definedNames>
  <calcPr calcId="152511"/>
</workbook>
</file>

<file path=xl/calcChain.xml><?xml version="1.0" encoding="utf-8"?>
<calcChain xmlns="http://schemas.openxmlformats.org/spreadsheetml/2006/main">
  <c r="C7" i="8" l="1"/>
  <c r="B10" i="8" l="1"/>
  <c r="B9" i="8"/>
  <c r="B8" i="8"/>
  <c r="G7" i="8"/>
  <c r="F7" i="8"/>
  <c r="E7" i="8"/>
  <c r="D7" i="8"/>
  <c r="B7" i="8" l="1"/>
</calcChain>
</file>

<file path=xl/sharedStrings.xml><?xml version="1.0" encoding="utf-8"?>
<sst xmlns="http://schemas.openxmlformats.org/spreadsheetml/2006/main" count="23" uniqueCount="23">
  <si>
    <t>Type of pension</t>
  </si>
  <si>
    <t>ޕެންޝަންގެ ބާވަތް</t>
  </si>
  <si>
    <t>އަސާސީ ޕެންޝަން</t>
  </si>
  <si>
    <t>ރިޓަޔަރމަންޓް ޕެންޝަން</t>
  </si>
  <si>
    <t>އެހެނިހެން ޕެންޝަން</t>
  </si>
  <si>
    <t>ޖުމްލަ</t>
  </si>
  <si>
    <t>Basic Pension</t>
  </si>
  <si>
    <t>Retirement Pension</t>
  </si>
  <si>
    <t>Other Pension</t>
  </si>
  <si>
    <t>Source: Maldives Pension Administration</t>
  </si>
  <si>
    <t>މަޢުލޫމާތު ދެއްވި ފަރާތް: މޯލްޑިވްސް ޕެންޝަން އެޑްމިނިސްޓްރޭޝަން</t>
  </si>
  <si>
    <t>65-69</t>
  </si>
  <si>
    <t>70-74</t>
  </si>
  <si>
    <t>&lt; 55</t>
  </si>
  <si>
    <t>55-64</t>
  </si>
  <si>
    <t>75 +</t>
  </si>
  <si>
    <t>All ages</t>
  </si>
  <si>
    <t xml:space="preserve">Total </t>
  </si>
  <si>
    <t>Senior Citizen Allowance was introduced in February 2014 and discontinued in March 2019.</t>
  </si>
  <si>
    <t xml:space="preserve">ސީނިއަރ ސިޓިޒަން އެލަވަންސް ސްކީމް ތަޢާރަފުކުރެވިފައިވާ ފެބްރުއަރީ 2014 ގައެވެ. އަދި މާރޗް 2019 ގައި ވަނީ ހުއްޓާލާފައެވެ. </t>
  </si>
  <si>
    <t>Age groups, ( as of end year)</t>
  </si>
  <si>
    <t>TABLE 18.8: NUMBER OF BEFEFICIARIES BY AGE GROUP FOR  DIFFERENT  PENSION SCHEMES, 2020</t>
  </si>
  <si>
    <t>ތާވަލު 18.8:  އެކި ޕެންޝަން ސްކީމްތަކުން ޕެންޝަން ލިބޭ މީހުންގެ އަދަދު އަދި އުމުރުފުރާ،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</si>
</sst>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1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sz val="8"/>
      <color rgb="FF000000"/>
      <name val="Faruma"/>
    </font>
    <font>
      <b/>
      <sz val="12"/>
      <color rgb="FF000000"/>
      <name val="Faruma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10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165" fontId="14" fillId="0" borderId="13"/>
    <xf numFmtId="0" fontId="1" fillId="0" borderId="13"/>
    <xf numFmtId="0" fontId="1" fillId="0" borderId="13"/>
    <xf numFmtId="164" fontId="12" fillId="0" borderId="13" applyFont="0" applyFill="0" applyBorder="0" applyAlignment="0" applyProtection="0"/>
    <xf numFmtId="164" fontId="12" fillId="0" borderId="13" applyFont="0" applyFill="0" applyBorder="0" applyAlignment="0" applyProtection="0"/>
    <xf numFmtId="0" fontId="12" fillId="0" borderId="13"/>
    <xf numFmtId="0" fontId="16" fillId="0" borderId="13"/>
    <xf numFmtId="0" fontId="17" fillId="0" borderId="13" applyFill="0" applyProtection="0"/>
  </cellStyleXfs>
  <cellXfs count="44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2" fillId="2" borderId="2" xfId="0" applyFont="1" applyFill="1" applyBorder="1" applyAlignment="1">
      <alignment horizontal="right" vertical="center"/>
    </xf>
    <xf numFmtId="0" fontId="0" fillId="2" borderId="2" xfId="0" applyFont="1" applyFill="1" applyBorder="1" applyAlignment="1">
      <alignment vertical="center"/>
    </xf>
    <xf numFmtId="0" fontId="5" fillId="2" borderId="11" xfId="0" applyFont="1" applyFill="1" applyBorder="1" applyAlignment="1">
      <alignment horizontal="right" vertical="center"/>
    </xf>
    <xf numFmtId="0" fontId="7" fillId="2" borderId="2" xfId="0" applyFont="1" applyFill="1" applyBorder="1" applyAlignment="1"/>
    <xf numFmtId="0" fontId="7" fillId="2" borderId="2" xfId="0" applyFont="1" applyFill="1" applyBorder="1"/>
    <xf numFmtId="0" fontId="5" fillId="2" borderId="2" xfId="0" applyFont="1" applyFill="1" applyBorder="1" applyAlignment="1">
      <alignment horizontal="left" vertical="center"/>
    </xf>
    <xf numFmtId="3" fontId="5" fillId="2" borderId="2" xfId="0" applyNumberFormat="1" applyFont="1" applyFill="1" applyBorder="1" applyAlignment="1">
      <alignment horizontal="right" vertical="center"/>
    </xf>
    <xf numFmtId="0" fontId="6" fillId="2" borderId="2" xfId="0" applyFont="1" applyFill="1" applyBorder="1"/>
    <xf numFmtId="0" fontId="8" fillId="2" borderId="2" xfId="0" applyFont="1" applyFill="1" applyBorder="1"/>
    <xf numFmtId="0" fontId="9" fillId="2" borderId="2" xfId="0" applyFont="1" applyFill="1" applyBorder="1" applyAlignment="1"/>
    <xf numFmtId="0" fontId="0" fillId="2" borderId="2" xfId="0" applyFont="1" applyFill="1" applyBorder="1" applyAlignment="1">
      <alignment horizontal="right" vertical="center"/>
    </xf>
    <xf numFmtId="165" fontId="5" fillId="2" borderId="2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3" fontId="5" fillId="2" borderId="6" xfId="0" applyNumberFormat="1" applyFont="1" applyFill="1" applyBorder="1" applyAlignment="1">
      <alignment horizontal="right" vertical="center"/>
    </xf>
    <xf numFmtId="165" fontId="5" fillId="2" borderId="11" xfId="0" applyNumberFormat="1" applyFont="1" applyFill="1" applyBorder="1" applyAlignment="1">
      <alignment horizontal="right" vertical="center"/>
    </xf>
    <xf numFmtId="37" fontId="5" fillId="2" borderId="2" xfId="0" applyNumberFormat="1" applyFont="1" applyFill="1" applyBorder="1" applyAlignment="1">
      <alignment horizontal="right" vertical="center"/>
    </xf>
    <xf numFmtId="37" fontId="0" fillId="2" borderId="2" xfId="0" applyNumberFormat="1" applyFont="1" applyFill="1" applyBorder="1" applyAlignment="1">
      <alignment horizontal="right" vertical="center"/>
    </xf>
    <xf numFmtId="165" fontId="15" fillId="3" borderId="13" xfId="4" applyNumberFormat="1" applyFont="1" applyFill="1" applyAlignment="1">
      <alignment horizontal="right" vertical="center"/>
    </xf>
    <xf numFmtId="3" fontId="0" fillId="4" borderId="13" xfId="0" applyNumberFormat="1" applyFont="1" applyFill="1" applyBorder="1" applyAlignment="1">
      <alignment horizontal="right" vertical="center"/>
    </xf>
    <xf numFmtId="0" fontId="0" fillId="5" borderId="13" xfId="0" applyFont="1" applyFill="1" applyBorder="1" applyAlignment="1">
      <alignment vertical="center"/>
    </xf>
    <xf numFmtId="3" fontId="5" fillId="2" borderId="14" xfId="0" applyNumberFormat="1" applyFont="1" applyFill="1" applyBorder="1" applyAlignment="1">
      <alignment horizontal="right" vertical="center"/>
    </xf>
    <xf numFmtId="3" fontId="0" fillId="4" borderId="13" xfId="0" applyNumberFormat="1" applyFont="1" applyFill="1" applyBorder="1" applyAlignment="1">
      <alignment horizontal="right"/>
    </xf>
    <xf numFmtId="0" fontId="0" fillId="2" borderId="14" xfId="0" applyFont="1" applyFill="1" applyBorder="1" applyAlignment="1">
      <alignment vertical="center"/>
    </xf>
    <xf numFmtId="0" fontId="7" fillId="2" borderId="14" xfId="0" applyFont="1" applyFill="1" applyBorder="1" applyAlignment="1"/>
    <xf numFmtId="3" fontId="0" fillId="4" borderId="14" xfId="0" applyNumberFormat="1" applyFont="1" applyFill="1" applyBorder="1" applyAlignment="1">
      <alignment horizontal="right"/>
    </xf>
    <xf numFmtId="0" fontId="3" fillId="3" borderId="3" xfId="0" applyFont="1" applyFill="1" applyBorder="1"/>
    <xf numFmtId="0" fontId="3" fillId="3" borderId="13" xfId="0" applyFont="1" applyFill="1" applyBorder="1"/>
    <xf numFmtId="0" fontId="3" fillId="3" borderId="4" xfId="0" applyFont="1" applyFill="1" applyBorder="1"/>
    <xf numFmtId="0" fontId="5" fillId="2" borderId="7" xfId="0" applyFont="1" applyFill="1" applyBorder="1" applyAlignment="1">
      <alignment horizontal="center" vertical="center"/>
    </xf>
    <xf numFmtId="0" fontId="3" fillId="3" borderId="8" xfId="0" applyFont="1" applyFill="1" applyBorder="1"/>
    <xf numFmtId="0" fontId="2" fillId="2" borderId="5" xfId="0" applyFont="1" applyFill="1" applyBorder="1" applyAlignment="1">
      <alignment horizontal="right" vertical="center"/>
    </xf>
    <xf numFmtId="0" fontId="3" fillId="3" borderId="10" xfId="0" applyFont="1" applyFill="1" applyBorder="1"/>
    <xf numFmtId="0" fontId="3" fillId="3" borderId="9" xfId="0" applyFont="1" applyFill="1" applyBorder="1"/>
    <xf numFmtId="0" fontId="5" fillId="2" borderId="5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right" vertical="center"/>
    </xf>
    <xf numFmtId="0" fontId="5" fillId="2" borderId="12" xfId="0" applyFont="1" applyFill="1" applyBorder="1" applyAlignment="1">
      <alignment horizontal="left" vertical="center"/>
    </xf>
    <xf numFmtId="0" fontId="8" fillId="5" borderId="13" xfId="0" applyFont="1" applyFill="1" applyBorder="1" applyAlignment="1">
      <alignment horizontal="left" vertical="center" wrapText="1"/>
    </xf>
    <xf numFmtId="0" fontId="10" fillId="5" borderId="13" xfId="0" applyFont="1" applyFill="1" applyBorder="1" applyAlignment="1">
      <alignment horizontal="right" vertical="center" wrapText="1"/>
    </xf>
  </cellXfs>
  <cellStyles count="9">
    <cellStyle name="Comma 23" xfId="5"/>
    <cellStyle name="Comma 3" xfId="4"/>
    <cellStyle name="Normal" xfId="0" builtinId="0"/>
    <cellStyle name="Normal 12" xfId="3"/>
    <cellStyle name="Normal 2" xfId="1"/>
    <cellStyle name="Normal 3" xfId="7"/>
    <cellStyle name="Normal 3 2" xfId="2"/>
    <cellStyle name="Normal 4" xfId="8"/>
    <cellStyle name="Normal 8" xfId="6"/>
  </cellStyles>
  <dxfs count="0"/>
  <tableStyles count="0" defaultTableStyle="TableStyleMedium2" defaultPivotStyle="PivotStyleLight16"/>
  <colors>
    <mruColors>
      <color rgb="FFFF9900"/>
      <color rgb="FFFFBC79"/>
      <color rgb="FF33CCCC"/>
      <color rgb="FFB2EDEC"/>
      <color rgb="FFEAFAFA"/>
      <color rgb="FF249390"/>
      <color rgb="FF196563"/>
      <color rgb="FFFFDAA3"/>
      <color rgb="FFBFF0EF"/>
      <color rgb="FFE5C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31680337002975723"/>
          <c:y val="0.2220432947448967"/>
          <c:w val="0.37568663948110687"/>
          <c:h val="0.7572617842832342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DDF-4BA0-8E02-310526BF9768}"/>
              </c:ext>
            </c:extLst>
          </c:dPt>
          <c:dPt>
            <c:idx val="1"/>
            <c:bubble3D val="0"/>
            <c:spPr>
              <a:solidFill>
                <a:srgbClr val="B2EDEC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8BB-438C-8CB1-604EE65F613E}"/>
              </c:ext>
            </c:extLst>
          </c:dPt>
          <c:dPt>
            <c:idx val="2"/>
            <c:bubble3D val="0"/>
            <c:spPr>
              <a:solidFill>
                <a:srgbClr val="24939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8BB-438C-8CB1-604EE65F613E}"/>
              </c:ext>
            </c:extLst>
          </c:dPt>
          <c:dPt>
            <c:idx val="3"/>
            <c:bubble3D val="0"/>
            <c:spPr>
              <a:solidFill>
                <a:srgbClr val="33CCCC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67F8-4B6F-9154-B6CEE8E4B27F}"/>
              </c:ext>
            </c:extLst>
          </c:dPt>
          <c:dPt>
            <c:idx val="4"/>
            <c:bubble3D val="0"/>
            <c:spPr>
              <a:solidFill>
                <a:srgbClr val="196563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8BB-438C-8CB1-604EE65F613E}"/>
              </c:ext>
            </c:extLst>
          </c:dPt>
          <c:dLbls>
            <c:dLbl>
              <c:idx val="1"/>
              <c:layout>
                <c:manualLayout>
                  <c:x val="1.4515292897874546E-2"/>
                  <c:y val="-4.1797283176593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E8BB-438C-8CB1-604EE65F613E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'18.8'!$C$6:$G$6</c:f>
              <c:strCache>
                <c:ptCount val="5"/>
                <c:pt idx="0">
                  <c:v>&lt; 55</c:v>
                </c:pt>
                <c:pt idx="1">
                  <c:v>55-64</c:v>
                </c:pt>
                <c:pt idx="2">
                  <c:v>65-69</c:v>
                </c:pt>
                <c:pt idx="3">
                  <c:v>70-74</c:v>
                </c:pt>
                <c:pt idx="4">
                  <c:v>75 +</c:v>
                </c:pt>
              </c:strCache>
            </c:strRef>
          </c:cat>
          <c:val>
            <c:numRef>
              <c:f>'18.8'!$C$7:$G$7</c:f>
              <c:numCache>
                <c:formatCode>#,##0</c:formatCode>
                <c:ptCount val="5"/>
                <c:pt idx="0">
                  <c:v>1503</c:v>
                </c:pt>
                <c:pt idx="1">
                  <c:v>2088</c:v>
                </c:pt>
                <c:pt idx="2">
                  <c:v>7532</c:v>
                </c:pt>
                <c:pt idx="3">
                  <c:v>5646</c:v>
                </c:pt>
                <c:pt idx="4">
                  <c:v>10031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DDF-4BA0-8E02-310526BF9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330200</xdr:colOff>
      <xdr:row>12</xdr:row>
      <xdr:rowOff>139700</xdr:rowOff>
    </xdr:from>
    <xdr:ext cx="6124575" cy="3038475"/>
    <xdr:graphicFrame macro=""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904875</xdr:colOff>
      <xdr:row>13</xdr:row>
      <xdr:rowOff>161925</xdr:rowOff>
    </xdr:from>
    <xdr:ext cx="4933950" cy="447675"/>
    <xdr:sp macro="" textlink="">
      <xdr:nvSpPr>
        <xdr:cNvPr id="15" name="Shape 15"/>
        <xdr:cNvSpPr txBox="1"/>
      </xdr:nvSpPr>
      <xdr:spPr>
        <a:xfrm>
          <a:off x="904875" y="3962400"/>
          <a:ext cx="4933950" cy="447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75"/>
            <a:buFont typeface="Consolas"/>
            <a:buNone/>
          </a:pPr>
          <a:r>
            <a:rPr lang="en-US" sz="110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Figure 18.10: Percentage of beneficiaries under different pension schemes by age-groups, end 2020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24"/>
  <sheetViews>
    <sheetView tabSelected="1" zoomScaleNormal="100" zoomScaleSheetLayoutView="136" workbookViewId="0">
      <selection activeCell="O16" sqref="O16"/>
    </sheetView>
  </sheetViews>
  <sheetFormatPr defaultColWidth="14.42578125" defaultRowHeight="15" customHeight="1" x14ac:dyDescent="0.25"/>
  <cols>
    <col min="1" max="1" width="24.7109375" style="2" customWidth="1"/>
    <col min="2" max="7" width="9.42578125" style="2" customWidth="1"/>
    <col min="8" max="8" width="25.5703125" style="2" customWidth="1"/>
    <col min="9" max="9" width="3" style="2" customWidth="1"/>
    <col min="10" max="29" width="8" style="2" customWidth="1"/>
    <col min="30" max="16384" width="14.42578125" style="2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1.75" customHeight="1" x14ac:dyDescent="0.55000000000000004">
      <c r="A2" s="39" t="s">
        <v>22</v>
      </c>
      <c r="B2" s="28"/>
      <c r="C2" s="28"/>
      <c r="D2" s="28"/>
      <c r="E2" s="28"/>
      <c r="F2" s="28"/>
      <c r="G2" s="28"/>
      <c r="H2" s="3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9.5" customHeight="1" x14ac:dyDescent="0.25">
      <c r="A3" s="38" t="s">
        <v>21</v>
      </c>
      <c r="B3" s="28"/>
      <c r="C3" s="28"/>
      <c r="D3" s="28"/>
      <c r="E3" s="28"/>
      <c r="F3" s="28"/>
      <c r="G3" s="28"/>
      <c r="H3" s="30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4" customHeight="1" x14ac:dyDescent="0.25">
      <c r="A5" s="36" t="s">
        <v>0</v>
      </c>
      <c r="B5" s="31" t="s">
        <v>20</v>
      </c>
      <c r="C5" s="32"/>
      <c r="D5" s="32"/>
      <c r="E5" s="32"/>
      <c r="F5" s="32"/>
      <c r="G5" s="35"/>
      <c r="H5" s="33" t="s">
        <v>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21" customHeight="1" x14ac:dyDescent="0.25">
      <c r="A6" s="34"/>
      <c r="B6" s="5" t="s">
        <v>16</v>
      </c>
      <c r="C6" s="17" t="s">
        <v>13</v>
      </c>
      <c r="D6" s="17" t="s">
        <v>14</v>
      </c>
      <c r="E6" s="17" t="s">
        <v>11</v>
      </c>
      <c r="F6" s="17" t="s">
        <v>12</v>
      </c>
      <c r="G6" s="17" t="s">
        <v>15</v>
      </c>
      <c r="H6" s="3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21" customHeight="1" x14ac:dyDescent="0.25">
      <c r="A7" s="8" t="s">
        <v>17</v>
      </c>
      <c r="B7" s="9">
        <f t="shared" ref="B7:B10" si="0">SUM(C7:G7)</f>
        <v>26800</v>
      </c>
      <c r="C7" s="16">
        <f>SUM(C8:C10)</f>
        <v>1503</v>
      </c>
      <c r="D7" s="16">
        <f>SUM(D8:D10)</f>
        <v>2088</v>
      </c>
      <c r="E7" s="16">
        <f>SUM(E8:E10)</f>
        <v>7532</v>
      </c>
      <c r="F7" s="16">
        <f>SUM(F8:F10)</f>
        <v>5646</v>
      </c>
      <c r="G7" s="16">
        <f>SUM(G8:G10)</f>
        <v>10031</v>
      </c>
      <c r="H7" s="3" t="s">
        <v>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24" customHeight="1" x14ac:dyDescent="0.55000000000000004">
      <c r="A8" s="4" t="s">
        <v>6</v>
      </c>
      <c r="B8" s="9">
        <f t="shared" si="0"/>
        <v>18341</v>
      </c>
      <c r="C8" s="20">
        <v>0</v>
      </c>
      <c r="D8" s="20">
        <v>0</v>
      </c>
      <c r="E8" s="21">
        <v>5533</v>
      </c>
      <c r="F8" s="21">
        <v>4454</v>
      </c>
      <c r="G8" s="21">
        <v>8354</v>
      </c>
      <c r="H8" s="6" t="s">
        <v>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24" customHeight="1" x14ac:dyDescent="0.55000000000000004">
      <c r="A9" s="4" t="s">
        <v>7</v>
      </c>
      <c r="B9" s="9">
        <f t="shared" si="0"/>
        <v>1328</v>
      </c>
      <c r="C9" s="24">
        <v>8</v>
      </c>
      <c r="D9" s="24">
        <v>5</v>
      </c>
      <c r="E9" s="21">
        <v>951</v>
      </c>
      <c r="F9" s="21">
        <v>286</v>
      </c>
      <c r="G9" s="21">
        <v>78</v>
      </c>
      <c r="H9" s="6" t="s">
        <v>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24" customHeight="1" x14ac:dyDescent="0.55000000000000004">
      <c r="A10" s="25" t="s">
        <v>8</v>
      </c>
      <c r="B10" s="23">
        <f t="shared" si="0"/>
        <v>7131</v>
      </c>
      <c r="C10" s="27">
        <v>1495</v>
      </c>
      <c r="D10" s="27">
        <v>2083</v>
      </c>
      <c r="E10" s="27">
        <v>1048</v>
      </c>
      <c r="F10" s="27">
        <v>906</v>
      </c>
      <c r="G10" s="27">
        <v>1599</v>
      </c>
      <c r="H10" s="26" t="s">
        <v>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33" customHeight="1" x14ac:dyDescent="0.25">
      <c r="A11" s="42" t="s">
        <v>18</v>
      </c>
      <c r="B11" s="42"/>
      <c r="C11" s="42"/>
      <c r="D11" s="42"/>
      <c r="E11" s="43" t="s">
        <v>19</v>
      </c>
      <c r="F11" s="43"/>
      <c r="G11" s="43"/>
      <c r="H11" s="43"/>
      <c r="I11" s="22"/>
      <c r="J11" s="22"/>
      <c r="K11" s="22"/>
      <c r="L11" s="22"/>
      <c r="M11" s="22"/>
      <c r="N11" s="22"/>
      <c r="O11" s="22"/>
      <c r="P11" s="22"/>
      <c r="Q11" s="22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spans="1:29" ht="18" x14ac:dyDescent="0.45">
      <c r="A12" s="11" t="s">
        <v>9</v>
      </c>
      <c r="B12" s="10"/>
      <c r="C12" s="10"/>
      <c r="D12" s="10"/>
      <c r="E12" s="10"/>
      <c r="F12" s="10"/>
      <c r="G12" s="10"/>
      <c r="H12" s="12" t="s">
        <v>10</v>
      </c>
      <c r="I12" s="10"/>
      <c r="J12" s="10"/>
      <c r="K12" s="10"/>
      <c r="L12" s="10"/>
      <c r="M12" s="10"/>
      <c r="N12" s="10"/>
      <c r="O12" s="10"/>
      <c r="P12" s="10"/>
      <c r="Q12" s="10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21.75" customHeight="1" x14ac:dyDescent="0.55000000000000004">
      <c r="A15" s="39"/>
      <c r="B15" s="28"/>
      <c r="C15" s="28"/>
      <c r="D15" s="28"/>
      <c r="E15" s="28"/>
      <c r="F15" s="28"/>
      <c r="G15" s="28"/>
      <c r="H15" s="30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9.5" customHeight="1" x14ac:dyDescent="0.25">
      <c r="A16" s="38"/>
      <c r="B16" s="28"/>
      <c r="C16" s="28"/>
      <c r="D16" s="28"/>
      <c r="E16" s="28"/>
      <c r="F16" s="28"/>
      <c r="G16" s="28"/>
      <c r="H16" s="3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24" customHeight="1" x14ac:dyDescent="0.25">
      <c r="A18" s="41"/>
      <c r="B18" s="37"/>
      <c r="C18" s="28"/>
      <c r="D18" s="28"/>
      <c r="E18" s="28"/>
      <c r="F18" s="28"/>
      <c r="G18" s="30"/>
      <c r="H18" s="4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21" customHeight="1" x14ac:dyDescent="0.25">
      <c r="A19" s="29"/>
      <c r="B19" s="15"/>
      <c r="C19" s="14"/>
      <c r="D19" s="14"/>
      <c r="E19" s="14"/>
      <c r="F19" s="14"/>
      <c r="G19" s="14"/>
      <c r="H19" s="2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21" customHeight="1" x14ac:dyDescent="0.25">
      <c r="A20" s="8"/>
      <c r="B20" s="18"/>
      <c r="C20" s="18"/>
      <c r="D20" s="18"/>
      <c r="E20" s="18"/>
      <c r="F20" s="18"/>
      <c r="G20" s="18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24" customHeight="1" x14ac:dyDescent="0.55000000000000004">
      <c r="A21" s="4"/>
      <c r="B21" s="18"/>
      <c r="C21" s="13"/>
      <c r="D21" s="13"/>
      <c r="E21" s="19"/>
      <c r="F21" s="19"/>
      <c r="G21" s="19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24" customHeight="1" x14ac:dyDescent="0.55000000000000004">
      <c r="A22" s="4"/>
      <c r="B22" s="18"/>
      <c r="C22" s="13"/>
      <c r="D22" s="13"/>
      <c r="E22" s="19"/>
      <c r="F22" s="19"/>
      <c r="G22" s="13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24" customHeight="1" x14ac:dyDescent="0.55000000000000004">
      <c r="A23" s="4"/>
      <c r="B23" s="18"/>
      <c r="C23" s="19"/>
      <c r="D23" s="19"/>
      <c r="E23" s="19"/>
      <c r="F23" s="19"/>
      <c r="G23" s="19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24" customHeight="1" x14ac:dyDescent="0.55000000000000004">
      <c r="A24" s="4"/>
      <c r="B24" s="18"/>
      <c r="C24" s="13"/>
      <c r="D24" s="13"/>
      <c r="E24" s="19"/>
      <c r="F24" s="19"/>
      <c r="G24" s="19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</sheetData>
  <mergeCells count="12">
    <mergeCell ref="B18:G18"/>
    <mergeCell ref="A16:H16"/>
    <mergeCell ref="A2:H2"/>
    <mergeCell ref="A3:H3"/>
    <mergeCell ref="A5:A6"/>
    <mergeCell ref="B5:G5"/>
    <mergeCell ref="H5:H6"/>
    <mergeCell ref="A15:H15"/>
    <mergeCell ref="H18:H19"/>
    <mergeCell ref="A18:A19"/>
    <mergeCell ref="A11:D11"/>
    <mergeCell ref="E11:H11"/>
  </mergeCells>
  <pageMargins left="0.7" right="0.7" top="0.75" bottom="0.75" header="0" footer="0"/>
  <pageSetup paperSize="9" scale="9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18.8</vt:lpstr>
      <vt:lpstr>'18.8'!Print_Area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2021-06-20T04:44:07Z</cp:lastPrinted>
  <dcterms:created xsi:type="dcterms:W3CDTF">2019-02-21T04:10:17Z</dcterms:created>
  <dcterms:modified xsi:type="dcterms:W3CDTF">2021-06-20T04:44:27Z</dcterms:modified>
</cp:coreProperties>
</file>