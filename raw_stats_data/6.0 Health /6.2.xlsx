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-105" yWindow="-105" windowWidth="19425" windowHeight="10425" tabRatio="799"/>
  </bookViews>
  <sheets>
    <sheet name="6.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'6.2'!$A$1:$M$55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J6" i="2" l="1"/>
  <c r="I6" i="2"/>
  <c r="D7" i="2"/>
  <c r="D8" i="2"/>
  <c r="C9" i="2"/>
  <c r="D9" i="2"/>
  <c r="C10" i="2"/>
  <c r="D10" i="2"/>
  <c r="C11" i="2"/>
  <c r="F6" i="2"/>
  <c r="G6" i="2"/>
  <c r="M11" i="2"/>
  <c r="D11" i="2" s="1"/>
  <c r="H11" i="2"/>
  <c r="E11" i="2"/>
  <c r="K10" i="2"/>
  <c r="H10" i="2"/>
  <c r="E10" i="2"/>
  <c r="K9" i="2"/>
  <c r="H9" i="2"/>
  <c r="E9" i="2"/>
  <c r="B9" i="2" s="1"/>
  <c r="L8" i="2"/>
  <c r="C8" i="2" s="1"/>
  <c r="H8" i="2"/>
  <c r="E8" i="2"/>
  <c r="L7" i="2"/>
  <c r="K7" i="2" s="1"/>
  <c r="H7" i="2"/>
  <c r="E7" i="2"/>
  <c r="E6" i="2" l="1"/>
  <c r="B10" i="2"/>
  <c r="L6" i="2"/>
  <c r="C6" i="2" s="1"/>
  <c r="M6" i="2"/>
  <c r="D6" i="2" s="1"/>
  <c r="K11" i="2"/>
  <c r="B11" i="2" s="1"/>
  <c r="C7" i="2"/>
  <c r="H6" i="2"/>
  <c r="K8" i="2"/>
  <c r="B8" i="2" s="1"/>
  <c r="K6" i="2" l="1"/>
  <c r="B6" i="2" s="1"/>
</calcChain>
</file>

<file path=xl/sharedStrings.xml><?xml version="1.0" encoding="utf-8"?>
<sst xmlns="http://schemas.openxmlformats.org/spreadsheetml/2006/main" count="33" uniqueCount="23">
  <si>
    <t>Categories of Health Personnel</t>
  </si>
  <si>
    <t>Total</t>
  </si>
  <si>
    <t>Nurses</t>
  </si>
  <si>
    <t>Community Health Personnel</t>
  </si>
  <si>
    <t>Note:</t>
  </si>
  <si>
    <t>Source: Ministry of Health</t>
  </si>
  <si>
    <t>Expatriates</t>
  </si>
  <si>
    <t>Locals</t>
  </si>
  <si>
    <t>Data taken from the HR reports collected from health facilities via DHIS2</t>
  </si>
  <si>
    <t xml:space="preserve">Atoll data includes hospitals and Health Centers </t>
  </si>
  <si>
    <t>Pvt. Sector data includes ADK,IMDC,TreeTop hospital only ,IMDC is the only private hospital in periphery</t>
  </si>
  <si>
    <t>Medical professionals</t>
  </si>
  <si>
    <t>Allied Health Professionals</t>
  </si>
  <si>
    <t>Non-medical staff</t>
  </si>
  <si>
    <t xml:space="preserve">Data as of : 01 January to 31 December 2020   </t>
  </si>
  <si>
    <t>19th Oct 2021</t>
  </si>
  <si>
    <t>TOTAL</t>
  </si>
  <si>
    <t>PUBLIC SECTOR MALE'</t>
  </si>
  <si>
    <t>PUBLIC SECTOR ATOLLS</t>
  </si>
  <si>
    <t>PRIVATE SECTOR</t>
  </si>
  <si>
    <t>Table 6.2: HEALTH PERSONNEL BY LOCALS AND EXPATRIATES, 2020</t>
  </si>
  <si>
    <t xml:space="preserve">2020, udwdwA egcnIsEdib iaWncnihevid Wrukctwkcawswm iawgWriaWd IHcaiB : 6.2 clwvWt   </t>
  </si>
  <si>
    <t>1_/:  Non-Medical staff are refered as Administrative staff working at the Health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</si>
</sst>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i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i/>
      <sz val="9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165" fontId="16" fillId="0" borderId="0"/>
    <xf numFmtId="165" fontId="16" fillId="0" borderId="0"/>
    <xf numFmtId="165" fontId="16" fillId="0" borderId="0"/>
    <xf numFmtId="40" fontId="17" fillId="0" borderId="0" applyFont="0" applyFill="0" applyBorder="0" applyAlignment="0" applyProtection="0"/>
    <xf numFmtId="165" fontId="16" fillId="0" borderId="0"/>
    <xf numFmtId="0" fontId="1" fillId="0" borderId="0"/>
    <xf numFmtId="0" fontId="15" fillId="0" borderId="0"/>
  </cellStyleXfs>
  <cellXfs count="47">
    <xf numFmtId="0" fontId="0" fillId="0" borderId="0" xfId="0"/>
    <xf numFmtId="3" fontId="4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ont="1" applyFill="1" applyBorder="1"/>
    <xf numFmtId="0" fontId="10" fillId="2" borderId="0" xfId="0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 vertical="center" wrapText="1"/>
    </xf>
    <xf numFmtId="3" fontId="0" fillId="2" borderId="0" xfId="0" applyNumberForma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horizontal="right" vertical="center" wrapText="1"/>
    </xf>
    <xf numFmtId="0" fontId="13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right" vertical="center" wrapText="1"/>
    </xf>
    <xf numFmtId="3" fontId="0" fillId="2" borderId="8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0" fillId="2" borderId="4" xfId="0" applyNumberFormat="1" applyFont="1" applyFill="1" applyBorder="1" applyAlignment="1">
      <alignment horizontal="right" vertical="center"/>
    </xf>
    <xf numFmtId="3" fontId="0" fillId="2" borderId="5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14" fillId="2" borderId="0" xfId="0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 indent="1"/>
    </xf>
    <xf numFmtId="0" fontId="15" fillId="2" borderId="4" xfId="0" applyFont="1" applyFill="1" applyBorder="1" applyAlignment="1">
      <alignment horizontal="left" vertical="center" indent="1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9">
    <cellStyle name="1" xfId="8"/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96095078446874"/>
          <c:y val="0.16015327356900413"/>
          <c:w val="0.57482897454899173"/>
          <c:h val="0.77433998995589837"/>
        </c:manualLayout>
      </c:layout>
      <c:doughnutChart>
        <c:varyColors val="1"/>
        <c:ser>
          <c:idx val="0"/>
          <c:order val="0"/>
          <c:spPr>
            <a:solidFill>
              <a:srgbClr val="249390"/>
            </a:solidFill>
          </c:spPr>
          <c:explosion val="2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2074-4050-B7FF-51DA3462971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'6.2'!$C$5:$D$5</c:f>
              <c:strCache>
                <c:ptCount val="2"/>
                <c:pt idx="0">
                  <c:v>Expatriates</c:v>
                </c:pt>
                <c:pt idx="1">
                  <c:v>Locals</c:v>
                </c:pt>
              </c:strCache>
            </c:strRef>
          </c:cat>
          <c:val>
            <c:numRef>
              <c:f>'6.2'!$C$6:$D$6</c:f>
              <c:numCache>
                <c:formatCode>#,##0</c:formatCode>
                <c:ptCount val="2"/>
                <c:pt idx="0">
                  <c:v>2743</c:v>
                </c:pt>
                <c:pt idx="1">
                  <c:v>7408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4-4050-B7FF-51DA346297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effectLst/>
              </a:rPr>
              <a:t>Figure 6.5: Number of </a:t>
            </a:r>
            <a:r>
              <a:rPr lang="en-US" sz="1200" b="1" baseline="0">
                <a:solidFill>
                  <a:schemeClr val="tx1"/>
                </a:solidFill>
                <a:effectLst/>
              </a:rPr>
              <a:t> health personnel by type, 2020</a:t>
            </a:r>
            <a:endParaRPr lang="en-US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37292843779300294"/>
          <c:y val="3.4032175305522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77936017645814"/>
          <c:y val="0.12282409784916216"/>
          <c:w val="0.77656957094138146"/>
          <c:h val="0.796890128317293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'6.2'!$A$7:$A$11</c:f>
              <c:strCache>
                <c:ptCount val="5"/>
                <c:pt idx="0">
                  <c:v>Medical professionals</c:v>
                </c:pt>
                <c:pt idx="1">
                  <c:v>Nurses</c:v>
                </c:pt>
                <c:pt idx="2">
                  <c:v>Allied Health Professionals</c:v>
                </c:pt>
                <c:pt idx="3">
                  <c:v>Community Health Personnel</c:v>
                </c:pt>
                <c:pt idx="4">
                  <c:v>Non-medical staff</c:v>
                </c:pt>
              </c:strCache>
            </c:strRef>
          </c:cat>
          <c:val>
            <c:numRef>
              <c:f>'6.2'!$B$7:$B$11</c:f>
              <c:numCache>
                <c:formatCode>#,##0</c:formatCode>
                <c:ptCount val="5"/>
                <c:pt idx="0">
                  <c:v>1086</c:v>
                </c:pt>
                <c:pt idx="1">
                  <c:v>2987</c:v>
                </c:pt>
                <c:pt idx="2">
                  <c:v>828</c:v>
                </c:pt>
                <c:pt idx="3">
                  <c:v>485</c:v>
                </c:pt>
                <c:pt idx="4">
                  <c:v>4765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0-4BF8-AEA1-B6D64958F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68845544"/>
        <c:axId val="368877368"/>
      </c:barChart>
      <c:dateAx>
        <c:axId val="36884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77368"/>
        <c:crosses val="autoZero"/>
        <c:auto val="0"/>
        <c:lblOffset val="100"/>
        <c:baseTimeUnit val="days"/>
      </c:dateAx>
      <c:valAx>
        <c:axId val="368877368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rgbClr val="C4F2F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45544"/>
        <c:crosses val="autoZero"/>
        <c:crossBetween val="between"/>
      </c:valAx>
      <c:spPr>
        <a:solidFill>
          <a:srgbClr val="DAF7F6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276548888914969E-2"/>
          <c:y val="0.15347704865039599"/>
          <c:w val="0.93871141107361578"/>
          <c:h val="0.70386026715895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'6.2'!$C$5</c:f>
              <c:strCache>
                <c:ptCount val="1"/>
                <c:pt idx="0">
                  <c:v>Expatriates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'6.2'!$A$7:$A$11</c:f>
              <c:strCache>
                <c:ptCount val="5"/>
                <c:pt idx="0">
                  <c:v>Medical professionals</c:v>
                </c:pt>
                <c:pt idx="1">
                  <c:v>Nurses</c:v>
                </c:pt>
                <c:pt idx="2">
                  <c:v>Allied Health Professionals</c:v>
                </c:pt>
                <c:pt idx="3">
                  <c:v>Community Health Personnel</c:v>
                </c:pt>
                <c:pt idx="4">
                  <c:v>Non-medical staff</c:v>
                </c:pt>
              </c:strCache>
            </c:strRef>
          </c:cat>
          <c:val>
            <c:numRef>
              <c:f>'6.2'!$C$7:$C$11</c:f>
              <c:numCache>
                <c:formatCode>#,##0</c:formatCode>
                <c:ptCount val="5"/>
                <c:pt idx="0">
                  <c:v>689</c:v>
                </c:pt>
                <c:pt idx="1">
                  <c:v>1223</c:v>
                </c:pt>
                <c:pt idx="2">
                  <c:v>441</c:v>
                </c:pt>
                <c:pt idx="3">
                  <c:v>0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9-4154-8CAE-78DD475351EF}"/>
            </c:ext>
          </c:extLst>
        </c:ser>
        <c:ser>
          <c:idx val="1"/>
          <c:order val="1"/>
          <c:tx>
            <c:strRef>
              <c:f>'6.2'!$D$5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'6.2'!$A$7:$A$11</c:f>
              <c:strCache>
                <c:ptCount val="5"/>
                <c:pt idx="0">
                  <c:v>Medical professionals</c:v>
                </c:pt>
                <c:pt idx="1">
                  <c:v>Nurses</c:v>
                </c:pt>
                <c:pt idx="2">
                  <c:v>Allied Health Professionals</c:v>
                </c:pt>
                <c:pt idx="3">
                  <c:v>Community Health Personnel</c:v>
                </c:pt>
                <c:pt idx="4">
                  <c:v>Non-medical staff</c:v>
                </c:pt>
              </c:strCache>
            </c:strRef>
          </c:cat>
          <c:val>
            <c:numRef>
              <c:f>'6.2'!$D$7:$D$11</c:f>
              <c:numCache>
                <c:formatCode>#,##0</c:formatCode>
                <c:ptCount val="5"/>
                <c:pt idx="0">
                  <c:v>397</c:v>
                </c:pt>
                <c:pt idx="1">
                  <c:v>1764</c:v>
                </c:pt>
                <c:pt idx="2">
                  <c:v>387</c:v>
                </c:pt>
                <c:pt idx="3">
                  <c:v>485</c:v>
                </c:pt>
                <c:pt idx="4">
                  <c:v>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9-4154-8CAE-78DD47535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193704"/>
        <c:axId val="369194088"/>
      </c:barChart>
      <c:catAx>
        <c:axId val="36919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4088"/>
        <c:crosses val="autoZero"/>
        <c:auto val="1"/>
        <c:lblAlgn val="ctr"/>
        <c:lblOffset val="100"/>
        <c:noMultiLvlLbl val="0"/>
      </c:catAx>
      <c:valAx>
        <c:axId val="369194088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370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905709944965988"/>
          <c:y val="0.19505036511775342"/>
          <c:w val="0.19034247061581783"/>
          <c:h val="8.2494171318769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62812</xdr:colOff>
      <xdr:row>20</xdr:row>
      <xdr:rowOff>88556</xdr:rowOff>
    </xdr:from>
    <xdr:to>
      <xdr:col>5</xdr:col>
      <xdr:colOff>175299</xdr:colOff>
      <xdr:row>34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1654678</xdr:colOff>
      <xdr:row>36</xdr:row>
      <xdr:rowOff>139040</xdr:rowOff>
    </xdr:from>
    <xdr:to>
      <xdr:col>10</xdr:col>
      <xdr:colOff>130143</xdr:colOff>
      <xdr:row>54</xdr:row>
      <xdr:rowOff>95307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328377</xdr:colOff>
      <xdr:row>20</xdr:row>
      <xdr:rowOff>77486</xdr:rowOff>
    </xdr:from>
    <xdr:to>
      <xdr:col>12</xdr:col>
      <xdr:colOff>452137</xdr:colOff>
      <xdr:row>34</xdr:row>
      <xdr:rowOff>132578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832990</xdr:colOff>
      <xdr:row>20</xdr:row>
      <xdr:rowOff>133350</xdr:rowOff>
    </xdr:from>
    <xdr:to>
      <xdr:col>12</xdr:col>
      <xdr:colOff>550416</xdr:colOff>
      <xdr:row>22</xdr:row>
      <xdr:rowOff>135956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843140" y="4733925"/>
          <a:ext cx="5413376" cy="412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6.4: Number of</a:t>
          </a:r>
          <a:r>
            <a:rPr lang="en-US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</a:t>
          </a:r>
          <a:r>
            <a:rPr lang="en-MY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2020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0.03055</cdr:y>
    </cdr:from>
    <cdr:to>
      <cdr:x>1</cdr:x>
      <cdr:y>0.18557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79367"/>
          <a:ext cx="4341716" cy="4027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</a:t>
          </a:r>
          <a:r>
            <a:rPr lang="en-MY" sz="1000" b="1">
              <a:effectLst/>
              <a:latin typeface="Consolas" pitchFamily="49" charset="0"/>
              <a:ea typeface="+mn-ea"/>
              <a:cs typeface="Consolas" pitchFamily="49" charset="0"/>
            </a:rPr>
            <a:t>2020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0"/>
  <sheetViews>
    <sheetView tabSelected="1" zoomScale="74" zoomScaleNormal="74" zoomScaleSheetLayoutView="100" workbookViewId="0">
      <selection activeCell="B8" sqref="B8"/>
    </sheetView>
  </sheetViews>
  <sheetFormatPr defaultRowHeight="15" x14ac:dyDescent="0.25"/>
  <cols>
    <col min="1" max="1" width="26.42578125" style="3" customWidth="1"/>
    <col min="2" max="2" width="12.5703125" style="19" customWidth="1"/>
    <col min="3" max="3" width="13.140625" style="19" customWidth="1"/>
    <col min="4" max="4" width="10.42578125" style="19" customWidth="1"/>
    <col min="5" max="5" width="12.5703125" style="19" customWidth="1"/>
    <col min="6" max="6" width="13.140625" style="19" customWidth="1"/>
    <col min="7" max="7" width="10.42578125" style="19" customWidth="1"/>
    <col min="8" max="8" width="12.5703125" style="19" customWidth="1"/>
    <col min="9" max="9" width="13.140625" style="19" customWidth="1"/>
    <col min="10" max="10" width="10.42578125" style="19" customWidth="1"/>
    <col min="11" max="11" width="12.5703125" style="19" customWidth="1"/>
    <col min="12" max="12" width="13.140625" style="19" customWidth="1"/>
    <col min="13" max="13" width="9.140625" style="19" customWidth="1"/>
    <col min="14" max="217" width="9.140625" style="3"/>
    <col min="218" max="218" width="31" style="3" customWidth="1"/>
    <col min="219" max="224" width="9.140625" style="3"/>
    <col min="225" max="225" width="3.5703125" style="3" customWidth="1"/>
    <col min="226" max="227" width="9.140625" style="3"/>
    <col min="228" max="228" width="0" style="3" hidden="1" customWidth="1"/>
    <col min="229" max="473" width="9.140625" style="3"/>
    <col min="474" max="474" width="31" style="3" customWidth="1"/>
    <col min="475" max="480" width="9.140625" style="3"/>
    <col min="481" max="481" width="3.5703125" style="3" customWidth="1"/>
    <col min="482" max="483" width="9.140625" style="3"/>
    <col min="484" max="484" width="0" style="3" hidden="1" customWidth="1"/>
    <col min="485" max="729" width="9.140625" style="3"/>
    <col min="730" max="730" width="31" style="3" customWidth="1"/>
    <col min="731" max="736" width="9.140625" style="3"/>
    <col min="737" max="737" width="3.5703125" style="3" customWidth="1"/>
    <col min="738" max="739" width="9.140625" style="3"/>
    <col min="740" max="740" width="0" style="3" hidden="1" customWidth="1"/>
    <col min="741" max="985" width="9.140625" style="3"/>
    <col min="986" max="986" width="31" style="3" customWidth="1"/>
    <col min="987" max="992" width="9.140625" style="3"/>
    <col min="993" max="993" width="3.5703125" style="3" customWidth="1"/>
    <col min="994" max="995" width="9.140625" style="3"/>
    <col min="996" max="996" width="0" style="3" hidden="1" customWidth="1"/>
    <col min="997" max="1241" width="9.140625" style="3"/>
    <col min="1242" max="1242" width="31" style="3" customWidth="1"/>
    <col min="1243" max="1248" width="9.140625" style="3"/>
    <col min="1249" max="1249" width="3.5703125" style="3" customWidth="1"/>
    <col min="1250" max="1251" width="9.140625" style="3"/>
    <col min="1252" max="1252" width="0" style="3" hidden="1" customWidth="1"/>
    <col min="1253" max="1497" width="9.140625" style="3"/>
    <col min="1498" max="1498" width="31" style="3" customWidth="1"/>
    <col min="1499" max="1504" width="9.140625" style="3"/>
    <col min="1505" max="1505" width="3.5703125" style="3" customWidth="1"/>
    <col min="1506" max="1507" width="9.140625" style="3"/>
    <col min="1508" max="1508" width="0" style="3" hidden="1" customWidth="1"/>
    <col min="1509" max="1753" width="9.140625" style="3"/>
    <col min="1754" max="1754" width="31" style="3" customWidth="1"/>
    <col min="1755" max="1760" width="9.140625" style="3"/>
    <col min="1761" max="1761" width="3.5703125" style="3" customWidth="1"/>
    <col min="1762" max="1763" width="9.140625" style="3"/>
    <col min="1764" max="1764" width="0" style="3" hidden="1" customWidth="1"/>
    <col min="1765" max="2009" width="9.140625" style="3"/>
    <col min="2010" max="2010" width="31" style="3" customWidth="1"/>
    <col min="2011" max="2016" width="9.140625" style="3"/>
    <col min="2017" max="2017" width="3.5703125" style="3" customWidth="1"/>
    <col min="2018" max="2019" width="9.140625" style="3"/>
    <col min="2020" max="2020" width="0" style="3" hidden="1" customWidth="1"/>
    <col min="2021" max="2265" width="9.140625" style="3"/>
    <col min="2266" max="2266" width="31" style="3" customWidth="1"/>
    <col min="2267" max="2272" width="9.140625" style="3"/>
    <col min="2273" max="2273" width="3.5703125" style="3" customWidth="1"/>
    <col min="2274" max="2275" width="9.140625" style="3"/>
    <col min="2276" max="2276" width="0" style="3" hidden="1" customWidth="1"/>
    <col min="2277" max="2521" width="9.140625" style="3"/>
    <col min="2522" max="2522" width="31" style="3" customWidth="1"/>
    <col min="2523" max="2528" width="9.140625" style="3"/>
    <col min="2529" max="2529" width="3.5703125" style="3" customWidth="1"/>
    <col min="2530" max="2531" width="9.140625" style="3"/>
    <col min="2532" max="2532" width="0" style="3" hidden="1" customWidth="1"/>
    <col min="2533" max="2777" width="9.140625" style="3"/>
    <col min="2778" max="2778" width="31" style="3" customWidth="1"/>
    <col min="2779" max="2784" width="9.140625" style="3"/>
    <col min="2785" max="2785" width="3.5703125" style="3" customWidth="1"/>
    <col min="2786" max="2787" width="9.140625" style="3"/>
    <col min="2788" max="2788" width="0" style="3" hidden="1" customWidth="1"/>
    <col min="2789" max="3033" width="9.140625" style="3"/>
    <col min="3034" max="3034" width="31" style="3" customWidth="1"/>
    <col min="3035" max="3040" width="9.140625" style="3"/>
    <col min="3041" max="3041" width="3.5703125" style="3" customWidth="1"/>
    <col min="3042" max="3043" width="9.140625" style="3"/>
    <col min="3044" max="3044" width="0" style="3" hidden="1" customWidth="1"/>
    <col min="3045" max="3289" width="9.140625" style="3"/>
    <col min="3290" max="3290" width="31" style="3" customWidth="1"/>
    <col min="3291" max="3296" width="9.140625" style="3"/>
    <col min="3297" max="3297" width="3.5703125" style="3" customWidth="1"/>
    <col min="3298" max="3299" width="9.140625" style="3"/>
    <col min="3300" max="3300" width="0" style="3" hidden="1" customWidth="1"/>
    <col min="3301" max="3545" width="9.140625" style="3"/>
    <col min="3546" max="3546" width="31" style="3" customWidth="1"/>
    <col min="3547" max="3552" width="9.140625" style="3"/>
    <col min="3553" max="3553" width="3.5703125" style="3" customWidth="1"/>
    <col min="3554" max="3555" width="9.140625" style="3"/>
    <col min="3556" max="3556" width="0" style="3" hidden="1" customWidth="1"/>
    <col min="3557" max="3801" width="9.140625" style="3"/>
    <col min="3802" max="3802" width="31" style="3" customWidth="1"/>
    <col min="3803" max="3808" width="9.140625" style="3"/>
    <col min="3809" max="3809" width="3.5703125" style="3" customWidth="1"/>
    <col min="3810" max="3811" width="9.140625" style="3"/>
    <col min="3812" max="3812" width="0" style="3" hidden="1" customWidth="1"/>
    <col min="3813" max="4057" width="9.140625" style="3"/>
    <col min="4058" max="4058" width="31" style="3" customWidth="1"/>
    <col min="4059" max="4064" width="9.140625" style="3"/>
    <col min="4065" max="4065" width="3.5703125" style="3" customWidth="1"/>
    <col min="4066" max="4067" width="9.140625" style="3"/>
    <col min="4068" max="4068" width="0" style="3" hidden="1" customWidth="1"/>
    <col min="4069" max="4313" width="9.140625" style="3"/>
    <col min="4314" max="4314" width="31" style="3" customWidth="1"/>
    <col min="4315" max="4320" width="9.140625" style="3"/>
    <col min="4321" max="4321" width="3.5703125" style="3" customWidth="1"/>
    <col min="4322" max="4323" width="9.140625" style="3"/>
    <col min="4324" max="4324" width="0" style="3" hidden="1" customWidth="1"/>
    <col min="4325" max="4569" width="9.140625" style="3"/>
    <col min="4570" max="4570" width="31" style="3" customWidth="1"/>
    <col min="4571" max="4576" width="9.140625" style="3"/>
    <col min="4577" max="4577" width="3.5703125" style="3" customWidth="1"/>
    <col min="4578" max="4579" width="9.140625" style="3"/>
    <col min="4580" max="4580" width="0" style="3" hidden="1" customWidth="1"/>
    <col min="4581" max="4825" width="9.140625" style="3"/>
    <col min="4826" max="4826" width="31" style="3" customWidth="1"/>
    <col min="4827" max="4832" width="9.140625" style="3"/>
    <col min="4833" max="4833" width="3.5703125" style="3" customWidth="1"/>
    <col min="4834" max="4835" width="9.140625" style="3"/>
    <col min="4836" max="4836" width="0" style="3" hidden="1" customWidth="1"/>
    <col min="4837" max="5081" width="9.140625" style="3"/>
    <col min="5082" max="5082" width="31" style="3" customWidth="1"/>
    <col min="5083" max="5088" width="9.140625" style="3"/>
    <col min="5089" max="5089" width="3.5703125" style="3" customWidth="1"/>
    <col min="5090" max="5091" width="9.140625" style="3"/>
    <col min="5092" max="5092" width="0" style="3" hidden="1" customWidth="1"/>
    <col min="5093" max="5337" width="9.140625" style="3"/>
    <col min="5338" max="5338" width="31" style="3" customWidth="1"/>
    <col min="5339" max="5344" width="9.140625" style="3"/>
    <col min="5345" max="5345" width="3.5703125" style="3" customWidth="1"/>
    <col min="5346" max="5347" width="9.140625" style="3"/>
    <col min="5348" max="5348" width="0" style="3" hidden="1" customWidth="1"/>
    <col min="5349" max="5593" width="9.140625" style="3"/>
    <col min="5594" max="5594" width="31" style="3" customWidth="1"/>
    <col min="5595" max="5600" width="9.140625" style="3"/>
    <col min="5601" max="5601" width="3.5703125" style="3" customWidth="1"/>
    <col min="5602" max="5603" width="9.140625" style="3"/>
    <col min="5604" max="5604" width="0" style="3" hidden="1" customWidth="1"/>
    <col min="5605" max="5849" width="9.140625" style="3"/>
    <col min="5850" max="5850" width="31" style="3" customWidth="1"/>
    <col min="5851" max="5856" width="9.140625" style="3"/>
    <col min="5857" max="5857" width="3.5703125" style="3" customWidth="1"/>
    <col min="5858" max="5859" width="9.140625" style="3"/>
    <col min="5860" max="5860" width="0" style="3" hidden="1" customWidth="1"/>
    <col min="5861" max="6105" width="9.140625" style="3"/>
    <col min="6106" max="6106" width="31" style="3" customWidth="1"/>
    <col min="6107" max="6112" width="9.140625" style="3"/>
    <col min="6113" max="6113" width="3.5703125" style="3" customWidth="1"/>
    <col min="6114" max="6115" width="9.140625" style="3"/>
    <col min="6116" max="6116" width="0" style="3" hidden="1" customWidth="1"/>
    <col min="6117" max="6361" width="9.140625" style="3"/>
    <col min="6362" max="6362" width="31" style="3" customWidth="1"/>
    <col min="6363" max="6368" width="9.140625" style="3"/>
    <col min="6369" max="6369" width="3.5703125" style="3" customWidth="1"/>
    <col min="6370" max="6371" width="9.140625" style="3"/>
    <col min="6372" max="6372" width="0" style="3" hidden="1" customWidth="1"/>
    <col min="6373" max="6617" width="9.140625" style="3"/>
    <col min="6618" max="6618" width="31" style="3" customWidth="1"/>
    <col min="6619" max="6624" width="9.140625" style="3"/>
    <col min="6625" max="6625" width="3.5703125" style="3" customWidth="1"/>
    <col min="6626" max="6627" width="9.140625" style="3"/>
    <col min="6628" max="6628" width="0" style="3" hidden="1" customWidth="1"/>
    <col min="6629" max="6873" width="9.140625" style="3"/>
    <col min="6874" max="6874" width="31" style="3" customWidth="1"/>
    <col min="6875" max="6880" width="9.140625" style="3"/>
    <col min="6881" max="6881" width="3.5703125" style="3" customWidth="1"/>
    <col min="6882" max="6883" width="9.140625" style="3"/>
    <col min="6884" max="6884" width="0" style="3" hidden="1" customWidth="1"/>
    <col min="6885" max="7129" width="9.140625" style="3"/>
    <col min="7130" max="7130" width="31" style="3" customWidth="1"/>
    <col min="7131" max="7136" width="9.140625" style="3"/>
    <col min="7137" max="7137" width="3.5703125" style="3" customWidth="1"/>
    <col min="7138" max="7139" width="9.140625" style="3"/>
    <col min="7140" max="7140" width="0" style="3" hidden="1" customWidth="1"/>
    <col min="7141" max="7385" width="9.140625" style="3"/>
    <col min="7386" max="7386" width="31" style="3" customWidth="1"/>
    <col min="7387" max="7392" width="9.140625" style="3"/>
    <col min="7393" max="7393" width="3.5703125" style="3" customWidth="1"/>
    <col min="7394" max="7395" width="9.140625" style="3"/>
    <col min="7396" max="7396" width="0" style="3" hidden="1" customWidth="1"/>
    <col min="7397" max="7641" width="9.140625" style="3"/>
    <col min="7642" max="7642" width="31" style="3" customWidth="1"/>
    <col min="7643" max="7648" width="9.140625" style="3"/>
    <col min="7649" max="7649" width="3.5703125" style="3" customWidth="1"/>
    <col min="7650" max="7651" width="9.140625" style="3"/>
    <col min="7652" max="7652" width="0" style="3" hidden="1" customWidth="1"/>
    <col min="7653" max="7897" width="9.140625" style="3"/>
    <col min="7898" max="7898" width="31" style="3" customWidth="1"/>
    <col min="7899" max="7904" width="9.140625" style="3"/>
    <col min="7905" max="7905" width="3.5703125" style="3" customWidth="1"/>
    <col min="7906" max="7907" width="9.140625" style="3"/>
    <col min="7908" max="7908" width="0" style="3" hidden="1" customWidth="1"/>
    <col min="7909" max="8153" width="9.140625" style="3"/>
    <col min="8154" max="8154" width="31" style="3" customWidth="1"/>
    <col min="8155" max="8160" width="9.140625" style="3"/>
    <col min="8161" max="8161" width="3.5703125" style="3" customWidth="1"/>
    <col min="8162" max="8163" width="9.140625" style="3"/>
    <col min="8164" max="8164" width="0" style="3" hidden="1" customWidth="1"/>
    <col min="8165" max="8409" width="9.140625" style="3"/>
    <col min="8410" max="8410" width="31" style="3" customWidth="1"/>
    <col min="8411" max="8416" width="9.140625" style="3"/>
    <col min="8417" max="8417" width="3.5703125" style="3" customWidth="1"/>
    <col min="8418" max="8419" width="9.140625" style="3"/>
    <col min="8420" max="8420" width="0" style="3" hidden="1" customWidth="1"/>
    <col min="8421" max="8665" width="9.140625" style="3"/>
    <col min="8666" max="8666" width="31" style="3" customWidth="1"/>
    <col min="8667" max="8672" width="9.140625" style="3"/>
    <col min="8673" max="8673" width="3.5703125" style="3" customWidth="1"/>
    <col min="8674" max="8675" width="9.140625" style="3"/>
    <col min="8676" max="8676" width="0" style="3" hidden="1" customWidth="1"/>
    <col min="8677" max="8921" width="9.140625" style="3"/>
    <col min="8922" max="8922" width="31" style="3" customWidth="1"/>
    <col min="8923" max="8928" width="9.140625" style="3"/>
    <col min="8929" max="8929" width="3.5703125" style="3" customWidth="1"/>
    <col min="8930" max="8931" width="9.140625" style="3"/>
    <col min="8932" max="8932" width="0" style="3" hidden="1" customWidth="1"/>
    <col min="8933" max="9177" width="9.140625" style="3"/>
    <col min="9178" max="9178" width="31" style="3" customWidth="1"/>
    <col min="9179" max="9184" width="9.140625" style="3"/>
    <col min="9185" max="9185" width="3.5703125" style="3" customWidth="1"/>
    <col min="9186" max="9187" width="9.140625" style="3"/>
    <col min="9188" max="9188" width="0" style="3" hidden="1" customWidth="1"/>
    <col min="9189" max="9433" width="9.140625" style="3"/>
    <col min="9434" max="9434" width="31" style="3" customWidth="1"/>
    <col min="9435" max="9440" width="9.140625" style="3"/>
    <col min="9441" max="9441" width="3.5703125" style="3" customWidth="1"/>
    <col min="9442" max="9443" width="9.140625" style="3"/>
    <col min="9444" max="9444" width="0" style="3" hidden="1" customWidth="1"/>
    <col min="9445" max="9689" width="9.140625" style="3"/>
    <col min="9690" max="9690" width="31" style="3" customWidth="1"/>
    <col min="9691" max="9696" width="9.140625" style="3"/>
    <col min="9697" max="9697" width="3.5703125" style="3" customWidth="1"/>
    <col min="9698" max="9699" width="9.140625" style="3"/>
    <col min="9700" max="9700" width="0" style="3" hidden="1" customWidth="1"/>
    <col min="9701" max="9945" width="9.140625" style="3"/>
    <col min="9946" max="9946" width="31" style="3" customWidth="1"/>
    <col min="9947" max="9952" width="9.140625" style="3"/>
    <col min="9953" max="9953" width="3.5703125" style="3" customWidth="1"/>
    <col min="9954" max="9955" width="9.140625" style="3"/>
    <col min="9956" max="9956" width="0" style="3" hidden="1" customWidth="1"/>
    <col min="9957" max="10201" width="9.140625" style="3"/>
    <col min="10202" max="10202" width="31" style="3" customWidth="1"/>
    <col min="10203" max="10208" width="9.140625" style="3"/>
    <col min="10209" max="10209" width="3.5703125" style="3" customWidth="1"/>
    <col min="10210" max="10211" width="9.140625" style="3"/>
    <col min="10212" max="10212" width="0" style="3" hidden="1" customWidth="1"/>
    <col min="10213" max="10457" width="9.140625" style="3"/>
    <col min="10458" max="10458" width="31" style="3" customWidth="1"/>
    <col min="10459" max="10464" width="9.140625" style="3"/>
    <col min="10465" max="10465" width="3.5703125" style="3" customWidth="1"/>
    <col min="10466" max="10467" width="9.140625" style="3"/>
    <col min="10468" max="10468" width="0" style="3" hidden="1" customWidth="1"/>
    <col min="10469" max="10713" width="9.140625" style="3"/>
    <col min="10714" max="10714" width="31" style="3" customWidth="1"/>
    <col min="10715" max="10720" width="9.140625" style="3"/>
    <col min="10721" max="10721" width="3.5703125" style="3" customWidth="1"/>
    <col min="10722" max="10723" width="9.140625" style="3"/>
    <col min="10724" max="10724" width="0" style="3" hidden="1" customWidth="1"/>
    <col min="10725" max="10969" width="9.140625" style="3"/>
    <col min="10970" max="10970" width="31" style="3" customWidth="1"/>
    <col min="10971" max="10976" width="9.140625" style="3"/>
    <col min="10977" max="10977" width="3.5703125" style="3" customWidth="1"/>
    <col min="10978" max="10979" width="9.140625" style="3"/>
    <col min="10980" max="10980" width="0" style="3" hidden="1" customWidth="1"/>
    <col min="10981" max="11225" width="9.140625" style="3"/>
    <col min="11226" max="11226" width="31" style="3" customWidth="1"/>
    <col min="11227" max="11232" width="9.140625" style="3"/>
    <col min="11233" max="11233" width="3.5703125" style="3" customWidth="1"/>
    <col min="11234" max="11235" width="9.140625" style="3"/>
    <col min="11236" max="11236" width="0" style="3" hidden="1" customWidth="1"/>
    <col min="11237" max="11481" width="9.140625" style="3"/>
    <col min="11482" max="11482" width="31" style="3" customWidth="1"/>
    <col min="11483" max="11488" width="9.140625" style="3"/>
    <col min="11489" max="11489" width="3.5703125" style="3" customWidth="1"/>
    <col min="11490" max="11491" width="9.140625" style="3"/>
    <col min="11492" max="11492" width="0" style="3" hidden="1" customWidth="1"/>
    <col min="11493" max="11737" width="9.140625" style="3"/>
    <col min="11738" max="11738" width="31" style="3" customWidth="1"/>
    <col min="11739" max="11744" width="9.140625" style="3"/>
    <col min="11745" max="11745" width="3.5703125" style="3" customWidth="1"/>
    <col min="11746" max="11747" width="9.140625" style="3"/>
    <col min="11748" max="11748" width="0" style="3" hidden="1" customWidth="1"/>
    <col min="11749" max="11993" width="9.140625" style="3"/>
    <col min="11994" max="11994" width="31" style="3" customWidth="1"/>
    <col min="11995" max="12000" width="9.140625" style="3"/>
    <col min="12001" max="12001" width="3.5703125" style="3" customWidth="1"/>
    <col min="12002" max="12003" width="9.140625" style="3"/>
    <col min="12004" max="12004" width="0" style="3" hidden="1" customWidth="1"/>
    <col min="12005" max="12249" width="9.140625" style="3"/>
    <col min="12250" max="12250" width="31" style="3" customWidth="1"/>
    <col min="12251" max="12256" width="9.140625" style="3"/>
    <col min="12257" max="12257" width="3.5703125" style="3" customWidth="1"/>
    <col min="12258" max="12259" width="9.140625" style="3"/>
    <col min="12260" max="12260" width="0" style="3" hidden="1" customWidth="1"/>
    <col min="12261" max="12505" width="9.140625" style="3"/>
    <col min="12506" max="12506" width="31" style="3" customWidth="1"/>
    <col min="12507" max="12512" width="9.140625" style="3"/>
    <col min="12513" max="12513" width="3.5703125" style="3" customWidth="1"/>
    <col min="12514" max="12515" width="9.140625" style="3"/>
    <col min="12516" max="12516" width="0" style="3" hidden="1" customWidth="1"/>
    <col min="12517" max="12761" width="9.140625" style="3"/>
    <col min="12762" max="12762" width="31" style="3" customWidth="1"/>
    <col min="12763" max="12768" width="9.140625" style="3"/>
    <col min="12769" max="12769" width="3.5703125" style="3" customWidth="1"/>
    <col min="12770" max="12771" width="9.140625" style="3"/>
    <col min="12772" max="12772" width="0" style="3" hidden="1" customWidth="1"/>
    <col min="12773" max="13017" width="9.140625" style="3"/>
    <col min="13018" max="13018" width="31" style="3" customWidth="1"/>
    <col min="13019" max="13024" width="9.140625" style="3"/>
    <col min="13025" max="13025" width="3.5703125" style="3" customWidth="1"/>
    <col min="13026" max="13027" width="9.140625" style="3"/>
    <col min="13028" max="13028" width="0" style="3" hidden="1" customWidth="1"/>
    <col min="13029" max="13273" width="9.140625" style="3"/>
    <col min="13274" max="13274" width="31" style="3" customWidth="1"/>
    <col min="13275" max="13280" width="9.140625" style="3"/>
    <col min="13281" max="13281" width="3.5703125" style="3" customWidth="1"/>
    <col min="13282" max="13283" width="9.140625" style="3"/>
    <col min="13284" max="13284" width="0" style="3" hidden="1" customWidth="1"/>
    <col min="13285" max="13529" width="9.140625" style="3"/>
    <col min="13530" max="13530" width="31" style="3" customWidth="1"/>
    <col min="13531" max="13536" width="9.140625" style="3"/>
    <col min="13537" max="13537" width="3.5703125" style="3" customWidth="1"/>
    <col min="13538" max="13539" width="9.140625" style="3"/>
    <col min="13540" max="13540" width="0" style="3" hidden="1" customWidth="1"/>
    <col min="13541" max="13785" width="9.140625" style="3"/>
    <col min="13786" max="13786" width="31" style="3" customWidth="1"/>
    <col min="13787" max="13792" width="9.140625" style="3"/>
    <col min="13793" max="13793" width="3.5703125" style="3" customWidth="1"/>
    <col min="13794" max="13795" width="9.140625" style="3"/>
    <col min="13796" max="13796" width="0" style="3" hidden="1" customWidth="1"/>
    <col min="13797" max="14041" width="9.140625" style="3"/>
    <col min="14042" max="14042" width="31" style="3" customWidth="1"/>
    <col min="14043" max="14048" width="9.140625" style="3"/>
    <col min="14049" max="14049" width="3.5703125" style="3" customWidth="1"/>
    <col min="14050" max="14051" width="9.140625" style="3"/>
    <col min="14052" max="14052" width="0" style="3" hidden="1" customWidth="1"/>
    <col min="14053" max="14297" width="9.140625" style="3"/>
    <col min="14298" max="14298" width="31" style="3" customWidth="1"/>
    <col min="14299" max="14304" width="9.140625" style="3"/>
    <col min="14305" max="14305" width="3.5703125" style="3" customWidth="1"/>
    <col min="14306" max="14307" width="9.140625" style="3"/>
    <col min="14308" max="14308" width="0" style="3" hidden="1" customWidth="1"/>
    <col min="14309" max="14553" width="9.140625" style="3"/>
    <col min="14554" max="14554" width="31" style="3" customWidth="1"/>
    <col min="14555" max="14560" width="9.140625" style="3"/>
    <col min="14561" max="14561" width="3.5703125" style="3" customWidth="1"/>
    <col min="14562" max="14563" width="9.140625" style="3"/>
    <col min="14564" max="14564" width="0" style="3" hidden="1" customWidth="1"/>
    <col min="14565" max="14809" width="9.140625" style="3"/>
    <col min="14810" max="14810" width="31" style="3" customWidth="1"/>
    <col min="14811" max="14816" width="9.140625" style="3"/>
    <col min="14817" max="14817" width="3.5703125" style="3" customWidth="1"/>
    <col min="14818" max="14819" width="9.140625" style="3"/>
    <col min="14820" max="14820" width="0" style="3" hidden="1" customWidth="1"/>
    <col min="14821" max="15065" width="9.140625" style="3"/>
    <col min="15066" max="15066" width="31" style="3" customWidth="1"/>
    <col min="15067" max="15072" width="9.140625" style="3"/>
    <col min="15073" max="15073" width="3.5703125" style="3" customWidth="1"/>
    <col min="15074" max="15075" width="9.140625" style="3"/>
    <col min="15076" max="15076" width="0" style="3" hidden="1" customWidth="1"/>
    <col min="15077" max="15321" width="9.140625" style="3"/>
    <col min="15322" max="15322" width="31" style="3" customWidth="1"/>
    <col min="15323" max="15328" width="9.140625" style="3"/>
    <col min="15329" max="15329" width="3.5703125" style="3" customWidth="1"/>
    <col min="15330" max="15331" width="9.140625" style="3"/>
    <col min="15332" max="15332" width="0" style="3" hidden="1" customWidth="1"/>
    <col min="15333" max="15577" width="9.140625" style="3"/>
    <col min="15578" max="15578" width="31" style="3" customWidth="1"/>
    <col min="15579" max="15584" width="9.140625" style="3"/>
    <col min="15585" max="15585" width="3.5703125" style="3" customWidth="1"/>
    <col min="15586" max="15587" width="9.140625" style="3"/>
    <col min="15588" max="15588" width="0" style="3" hidden="1" customWidth="1"/>
    <col min="15589" max="15833" width="9.140625" style="3"/>
    <col min="15834" max="15834" width="31" style="3" customWidth="1"/>
    <col min="15835" max="15840" width="9.140625" style="3"/>
    <col min="15841" max="15841" width="3.5703125" style="3" customWidth="1"/>
    <col min="15842" max="15843" width="9.140625" style="3"/>
    <col min="15844" max="15844" width="0" style="3" hidden="1" customWidth="1"/>
    <col min="15845" max="16089" width="9.140625" style="3"/>
    <col min="16090" max="16090" width="31" style="3" customWidth="1"/>
    <col min="16091" max="16096" width="9.140625" style="3"/>
    <col min="16097" max="16097" width="3.5703125" style="3" customWidth="1"/>
    <col min="16098" max="16099" width="9.140625" style="3"/>
    <col min="16100" max="16100" width="0" style="3" hidden="1" customWidth="1"/>
    <col min="16101" max="16356" width="9.140625" style="3"/>
    <col min="16357" max="16384" width="9.140625" style="3" customWidth="1"/>
  </cols>
  <sheetData>
    <row r="1" spans="1:13" ht="18" x14ac:dyDescent="0.25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5.75" x14ac:dyDescent="0.25">
      <c r="A2" s="41" t="s">
        <v>20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25">
      <c r="A3" s="6"/>
      <c r="B3" s="22"/>
      <c r="C3" s="22"/>
      <c r="D3" s="23"/>
      <c r="E3" s="23"/>
      <c r="F3" s="23"/>
      <c r="G3" s="23"/>
      <c r="H3" s="23"/>
      <c r="I3" s="23"/>
      <c r="J3" s="23"/>
      <c r="K3" s="23"/>
      <c r="L3" s="23"/>
    </row>
    <row r="4" spans="1:13" ht="26.25" customHeight="1" x14ac:dyDescent="0.25">
      <c r="A4" s="45" t="s">
        <v>0</v>
      </c>
      <c r="B4" s="43" t="s">
        <v>16</v>
      </c>
      <c r="C4" s="43"/>
      <c r="D4" s="44"/>
      <c r="E4" s="42" t="s">
        <v>17</v>
      </c>
      <c r="F4" s="43"/>
      <c r="G4" s="44"/>
      <c r="H4" s="43" t="s">
        <v>18</v>
      </c>
      <c r="I4" s="43"/>
      <c r="J4" s="43"/>
      <c r="K4" s="42" t="s">
        <v>19</v>
      </c>
      <c r="L4" s="43"/>
      <c r="M4" s="43"/>
    </row>
    <row r="5" spans="1:13" ht="20.25" customHeight="1" x14ac:dyDescent="0.25">
      <c r="A5" s="46"/>
      <c r="B5" s="16" t="s">
        <v>1</v>
      </c>
      <c r="C5" s="16" t="s">
        <v>6</v>
      </c>
      <c r="D5" s="17" t="s">
        <v>7</v>
      </c>
      <c r="E5" s="18" t="s">
        <v>1</v>
      </c>
      <c r="F5" s="16" t="s">
        <v>6</v>
      </c>
      <c r="G5" s="17" t="s">
        <v>7</v>
      </c>
      <c r="H5" s="16" t="s">
        <v>1</v>
      </c>
      <c r="I5" s="16" t="s">
        <v>6</v>
      </c>
      <c r="J5" s="16" t="s">
        <v>7</v>
      </c>
      <c r="K5" s="18" t="s">
        <v>1</v>
      </c>
      <c r="L5" s="16" t="s">
        <v>6</v>
      </c>
      <c r="M5" s="16" t="s">
        <v>7</v>
      </c>
    </row>
    <row r="6" spans="1:13" ht="23.25" customHeight="1" x14ac:dyDescent="0.25">
      <c r="A6" s="7" t="s">
        <v>1</v>
      </c>
      <c r="B6" s="8">
        <f>E6+H6+K6</f>
        <v>10151</v>
      </c>
      <c r="C6" s="8">
        <f t="shared" ref="C6:D11" si="0">F6+I6+L6</f>
        <v>2743</v>
      </c>
      <c r="D6" s="13">
        <f t="shared" si="0"/>
        <v>7408</v>
      </c>
      <c r="E6" s="12">
        <f t="shared" ref="E6:E11" si="1">SUM(F6:G6)</f>
        <v>2747</v>
      </c>
      <c r="F6" s="8">
        <f t="shared" ref="F6:G6" si="2">SUM(F7:F11)</f>
        <v>588</v>
      </c>
      <c r="G6" s="13">
        <f t="shared" si="2"/>
        <v>2159</v>
      </c>
      <c r="H6" s="8">
        <f t="shared" ref="H6:H11" si="3">SUM(I6:J6)</f>
        <v>6159</v>
      </c>
      <c r="I6" s="8">
        <f t="shared" ref="I6" si="4">SUM(I7:I11)</f>
        <v>1503</v>
      </c>
      <c r="J6" s="8">
        <f t="shared" ref="J6" si="5">SUM(J7:J11)</f>
        <v>4656</v>
      </c>
      <c r="K6" s="12">
        <f t="shared" ref="K6:K11" si="6">SUM(L6:M6)</f>
        <v>1245</v>
      </c>
      <c r="L6" s="8">
        <f t="shared" ref="L6" si="7">SUM(L7:L11)</f>
        <v>652</v>
      </c>
      <c r="M6" s="8">
        <f t="shared" ref="M6" si="8">SUM(M7:M11)</f>
        <v>593</v>
      </c>
    </row>
    <row r="7" spans="1:13" ht="21" customHeight="1" x14ac:dyDescent="0.25">
      <c r="A7" s="37" t="s">
        <v>11</v>
      </c>
      <c r="B7" s="8">
        <f>E7+H7+K7</f>
        <v>1086</v>
      </c>
      <c r="C7" s="8">
        <f t="shared" si="0"/>
        <v>689</v>
      </c>
      <c r="D7" s="13">
        <f t="shared" si="0"/>
        <v>397</v>
      </c>
      <c r="E7" s="14">
        <f t="shared" si="1"/>
        <v>396</v>
      </c>
      <c r="F7" s="11">
        <v>102</v>
      </c>
      <c r="G7" s="27">
        <v>294</v>
      </c>
      <c r="H7" s="1">
        <f t="shared" si="3"/>
        <v>560</v>
      </c>
      <c r="I7" s="11">
        <v>524</v>
      </c>
      <c r="J7" s="11">
        <v>36</v>
      </c>
      <c r="K7" s="14">
        <f t="shared" si="6"/>
        <v>130</v>
      </c>
      <c r="L7" s="11">
        <f>59+4</f>
        <v>63</v>
      </c>
      <c r="M7" s="11">
        <v>67</v>
      </c>
    </row>
    <row r="8" spans="1:13" ht="21" customHeight="1" x14ac:dyDescent="0.25">
      <c r="A8" s="37" t="s">
        <v>2</v>
      </c>
      <c r="B8" s="8">
        <f t="shared" ref="B7:B11" si="9">E8+H8+K8</f>
        <v>2987</v>
      </c>
      <c r="C8" s="8">
        <f t="shared" si="0"/>
        <v>1223</v>
      </c>
      <c r="D8" s="13">
        <f t="shared" si="0"/>
        <v>1764</v>
      </c>
      <c r="E8" s="14">
        <f t="shared" si="1"/>
        <v>970</v>
      </c>
      <c r="F8" s="11">
        <v>305</v>
      </c>
      <c r="G8" s="27">
        <v>665</v>
      </c>
      <c r="H8" s="1">
        <f t="shared" si="3"/>
        <v>1708</v>
      </c>
      <c r="I8" s="11">
        <v>681</v>
      </c>
      <c r="J8" s="11">
        <v>1027</v>
      </c>
      <c r="K8" s="14">
        <f t="shared" si="6"/>
        <v>309</v>
      </c>
      <c r="L8" s="11">
        <f>228+9</f>
        <v>237</v>
      </c>
      <c r="M8" s="11">
        <v>72</v>
      </c>
    </row>
    <row r="9" spans="1:13" ht="21" customHeight="1" x14ac:dyDescent="0.25">
      <c r="A9" s="37" t="s">
        <v>12</v>
      </c>
      <c r="B9" s="8">
        <f t="shared" si="9"/>
        <v>828</v>
      </c>
      <c r="C9" s="8">
        <f t="shared" si="0"/>
        <v>441</v>
      </c>
      <c r="D9" s="13">
        <f t="shared" si="0"/>
        <v>387</v>
      </c>
      <c r="E9" s="14">
        <f t="shared" si="1"/>
        <v>297</v>
      </c>
      <c r="F9" s="11">
        <v>74</v>
      </c>
      <c r="G9" s="27">
        <v>223</v>
      </c>
      <c r="H9" s="1">
        <f t="shared" si="3"/>
        <v>356</v>
      </c>
      <c r="I9" s="11">
        <v>254</v>
      </c>
      <c r="J9" s="11">
        <v>102</v>
      </c>
      <c r="K9" s="14">
        <f t="shared" si="6"/>
        <v>175</v>
      </c>
      <c r="L9" s="11">
        <v>113</v>
      </c>
      <c r="M9" s="11">
        <v>62</v>
      </c>
    </row>
    <row r="10" spans="1:13" ht="21" customHeight="1" x14ac:dyDescent="0.25">
      <c r="A10" s="37" t="s">
        <v>3</v>
      </c>
      <c r="B10" s="8">
        <f t="shared" si="9"/>
        <v>485</v>
      </c>
      <c r="C10" s="8">
        <f t="shared" si="0"/>
        <v>0</v>
      </c>
      <c r="D10" s="13">
        <f t="shared" si="0"/>
        <v>485</v>
      </c>
      <c r="E10" s="14">
        <f t="shared" si="1"/>
        <v>8</v>
      </c>
      <c r="F10" s="11">
        <v>0</v>
      </c>
      <c r="G10" s="27">
        <v>8</v>
      </c>
      <c r="H10" s="1">
        <f t="shared" si="3"/>
        <v>477</v>
      </c>
      <c r="I10" s="11">
        <v>0</v>
      </c>
      <c r="J10" s="11">
        <v>477</v>
      </c>
      <c r="K10" s="14">
        <f t="shared" si="6"/>
        <v>0</v>
      </c>
      <c r="L10" s="11">
        <v>0</v>
      </c>
      <c r="M10" s="11">
        <v>0</v>
      </c>
    </row>
    <row r="11" spans="1:13" ht="25.5" customHeight="1" x14ac:dyDescent="0.25">
      <c r="A11" s="38" t="s">
        <v>13</v>
      </c>
      <c r="B11" s="9">
        <f t="shared" si="9"/>
        <v>4765</v>
      </c>
      <c r="C11" s="9">
        <f t="shared" si="0"/>
        <v>390</v>
      </c>
      <c r="D11" s="15">
        <f t="shared" si="0"/>
        <v>4375</v>
      </c>
      <c r="E11" s="28">
        <f t="shared" si="1"/>
        <v>1076</v>
      </c>
      <c r="F11" s="29">
        <v>107</v>
      </c>
      <c r="G11" s="30">
        <v>969</v>
      </c>
      <c r="H11" s="31">
        <f t="shared" si="3"/>
        <v>3058</v>
      </c>
      <c r="I11" s="29">
        <v>44</v>
      </c>
      <c r="J11" s="29">
        <v>3014</v>
      </c>
      <c r="K11" s="28">
        <f t="shared" si="6"/>
        <v>631</v>
      </c>
      <c r="L11" s="29">
        <v>239</v>
      </c>
      <c r="M11" s="29">
        <f>387+5</f>
        <v>392</v>
      </c>
    </row>
    <row r="12" spans="1:13" x14ac:dyDescent="0.25">
      <c r="A12" s="2" t="s">
        <v>4</v>
      </c>
    </row>
    <row r="13" spans="1:13" s="4" customFormat="1" ht="14.45" customHeight="1" x14ac:dyDescent="0.25">
      <c r="A13" s="33" t="s">
        <v>14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s="4" customFormat="1" ht="14.45" customHeight="1" x14ac:dyDescent="0.25">
      <c r="A14" s="34" t="s">
        <v>8</v>
      </c>
      <c r="B14" s="21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s="4" customFormat="1" ht="14.45" customHeight="1" x14ac:dyDescent="0.25">
      <c r="A15" s="34" t="s">
        <v>9</v>
      </c>
      <c r="B15" s="20"/>
      <c r="C15" s="20"/>
      <c r="D15" s="24"/>
      <c r="E15" s="24"/>
      <c r="F15" s="20"/>
      <c r="G15" s="11"/>
      <c r="H15" s="20"/>
      <c r="I15" s="20"/>
      <c r="J15" s="20"/>
      <c r="K15" s="20"/>
      <c r="L15" s="20"/>
      <c r="M15" s="20"/>
    </row>
    <row r="16" spans="1:13" s="4" customFormat="1" ht="14.45" customHeight="1" x14ac:dyDescent="0.25">
      <c r="A16" s="34" t="s">
        <v>10</v>
      </c>
      <c r="B16" s="20"/>
      <c r="C16" s="20"/>
      <c r="D16" s="24"/>
      <c r="E16" s="24"/>
      <c r="F16" s="20"/>
      <c r="G16" s="20"/>
      <c r="H16" s="20"/>
      <c r="I16" s="20"/>
      <c r="J16" s="20"/>
      <c r="K16" s="20"/>
      <c r="L16" s="20"/>
      <c r="M16" s="25"/>
    </row>
    <row r="17" spans="1:13" s="4" customFormat="1" ht="14.45" customHeight="1" x14ac:dyDescent="0.25">
      <c r="A17" s="32" t="s">
        <v>22</v>
      </c>
      <c r="B17" s="20"/>
      <c r="C17" s="20"/>
      <c r="D17" s="24"/>
      <c r="E17" s="24"/>
      <c r="F17" s="20"/>
      <c r="G17" s="20"/>
      <c r="H17" s="20"/>
      <c r="I17" s="20"/>
      <c r="J17" s="20"/>
      <c r="K17" s="20"/>
      <c r="L17" s="20"/>
      <c r="M17" s="20"/>
    </row>
    <row r="18" spans="1:13" s="4" customFormat="1" ht="14.45" customHeight="1" x14ac:dyDescent="0.25">
      <c r="A18" s="34" t="s">
        <v>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s="4" customFormat="1" ht="17.100000000000001" customHeight="1" x14ac:dyDescent="0.25">
      <c r="A19" s="34" t="s">
        <v>15</v>
      </c>
      <c r="B19" s="35"/>
      <c r="C19" s="35"/>
      <c r="D19" s="25"/>
      <c r="E19" s="25"/>
      <c r="F19" s="25"/>
      <c r="G19" s="25"/>
      <c r="H19" s="25"/>
      <c r="I19" s="25"/>
      <c r="J19" s="25"/>
      <c r="K19" s="25"/>
      <c r="M19" s="36"/>
    </row>
    <row r="20" spans="1:13" ht="17.25" x14ac:dyDescent="0.25">
      <c r="B20" s="26"/>
      <c r="C20" s="26"/>
      <c r="D20" s="25"/>
      <c r="E20" s="25"/>
      <c r="F20" s="25"/>
      <c r="G20" s="25"/>
      <c r="H20" s="25"/>
      <c r="I20" s="25"/>
      <c r="J20" s="25"/>
      <c r="K20" s="25"/>
      <c r="L20" s="25"/>
      <c r="M20" s="5"/>
    </row>
    <row r="21" spans="1:13" ht="17.25" x14ac:dyDescent="0.25">
      <c r="M21" s="5"/>
    </row>
    <row r="22" spans="1:13" x14ac:dyDescent="0.25">
      <c r="K22" s="10"/>
      <c r="L22" s="10"/>
    </row>
    <row r="37" spans="24:25" ht="20.25" customHeight="1" x14ac:dyDescent="0.25"/>
    <row r="38" spans="24:25" ht="7.5" customHeight="1" x14ac:dyDescent="0.25"/>
    <row r="39" spans="24:25" ht="17.25" customHeight="1" x14ac:dyDescent="0.25"/>
    <row r="47" spans="24:25" x14ac:dyDescent="0.25">
      <c r="X47" s="4"/>
      <c r="Y47" s="4"/>
    </row>
    <row r="48" spans="24:25" x14ac:dyDescent="0.25">
      <c r="X48" s="4"/>
      <c r="Y48" s="4"/>
    </row>
    <row r="49" spans="24:25" x14ac:dyDescent="0.25">
      <c r="X49" s="4"/>
      <c r="Y49" s="4"/>
    </row>
    <row r="50" spans="24:25" x14ac:dyDescent="0.25">
      <c r="X50" s="4"/>
      <c r="Y50" s="4"/>
    </row>
  </sheetData>
  <sortState ref="X47:Y51">
    <sortCondition descending="1" ref="Y47:Y51"/>
  </sortState>
  <mergeCells count="7">
    <mergeCell ref="A1:M1"/>
    <mergeCell ref="A2:M2"/>
    <mergeCell ref="E4:G4"/>
    <mergeCell ref="H4:J4"/>
    <mergeCell ref="K4:M4"/>
    <mergeCell ref="A4:A5"/>
    <mergeCell ref="B4:D4"/>
  </mergeCells>
  <pageMargins left="0.7" right="0.7" top="0.75" bottom="0.75" header="0.3" footer="0.3"/>
  <pageSetup paperSize="9" scale="51" orientation="portrait" verticalDpi="0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2022-02-15T03:20:56Z</cp:lastPrinted>
  <dcterms:created xsi:type="dcterms:W3CDTF">2019-08-06T05:35:20Z</dcterms:created>
  <dcterms:modified xsi:type="dcterms:W3CDTF">2022-02-15T03:21:11Z</dcterms:modified>
</cp:coreProperties>
</file>