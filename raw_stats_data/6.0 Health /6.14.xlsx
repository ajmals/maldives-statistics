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April 2021\YEARBOOK 2021_ Work from Home\CHECKING\FINAL TABLES\web\6. Health\"/>
    </mc:Choice>
  </mc:AlternateContent>
  <bookViews>
    <workbookView xWindow="0" yWindow="0" windowWidth="28800" windowHeight="11730" tabRatio="870"/>
  </bookViews>
  <sheets>
    <sheet name="6.14" sheetId="14" r:id="rId1"/>
  </sheets>
  <externalReferences>
    <externalReference r:id="rId2"/>
    <externalReference r:id="rId3"/>
    <externalReference r:id="rId4"/>
    <externalReference r:id="rId5"/>
    <externalReference r:id="rId6"/>
  </externalReferences>
  <definedNames>
    <definedName name="_xlnm.Print_Area" localSheetId="0">'6.14'!$A$1:$H$84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5" i="14" l="1"/>
  <c r="B24" i="14" l="1"/>
  <c r="B23" i="14"/>
  <c r="B22" i="14"/>
  <c r="B21" i="14"/>
  <c r="B20" i="14"/>
  <c r="B19" i="14"/>
  <c r="B18" i="14"/>
  <c r="B17" i="14"/>
  <c r="B16" i="14"/>
  <c r="B15" i="14"/>
  <c r="B14" i="14"/>
  <c r="B13" i="14"/>
  <c r="B12" i="14"/>
  <c r="B11" i="14"/>
  <c r="B10" i="14"/>
  <c r="B9" i="14"/>
  <c r="B8" i="14"/>
  <c r="B7" i="14"/>
  <c r="B6" i="14"/>
</calcChain>
</file>

<file path=xl/sharedStrings.xml><?xml version="1.0" encoding="utf-8"?>
<sst xmlns="http://schemas.openxmlformats.org/spreadsheetml/2006/main" count="15" uniqueCount="15">
  <si>
    <t>Total</t>
  </si>
  <si>
    <t>Year</t>
  </si>
  <si>
    <r>
      <t xml:space="preserve">Age Group   </t>
    </r>
    <r>
      <rPr>
        <b/>
        <sz val="9"/>
        <rFont val="Faruma"/>
        <family val="3"/>
      </rPr>
      <t xml:space="preserve"> ޢުމުރުފުރާ</t>
    </r>
    <r>
      <rPr>
        <b/>
        <sz val="9"/>
        <rFont val="Arial"/>
        <family val="2"/>
      </rPr>
      <t xml:space="preserve">  </t>
    </r>
  </si>
  <si>
    <t>Under 16</t>
  </si>
  <si>
    <t>16 - 24</t>
  </si>
  <si>
    <t>25 - 39</t>
  </si>
  <si>
    <t>Note:  This table includes use of  Narcotic drugs only.</t>
  </si>
  <si>
    <t xml:space="preserve">Before 2017, the figures were the number of arrests made for each age category. From 2017 onwards, the figures will be the unique number of persons under each age category. Due to this reason, the figures will be much lesser than the previous years. </t>
  </si>
  <si>
    <t>Source: Maldives Police Service</t>
  </si>
  <si>
    <t xml:space="preserve">ނޯޓު: މިތާވަލުގައި ހިމެނެނީ ހަމައެކަނި މަސްތުވާތަކެތި (ހިކި ތަކެތި) ބޭނުންކުރި މީހުންގެ ޢަދަދެވެ. </t>
  </si>
  <si>
    <t>މަޢުލޫމާތު ދެއްވި ފަރާތް: މޯލްޑިވްސް ޕޮލިސް ސަރވިސް</t>
  </si>
  <si>
    <t>40+</t>
  </si>
  <si>
    <t>Table 6.14 : DRUG ABUSE CASES REPORTED, BY AGE GROUP, 2001 - 2020</t>
  </si>
  <si>
    <t>ތާވަލު 6.14: މަސްތުވާތަކެތި ބޭނުންކުރާމީހުންގެ އަދަދު އަދި އުމުރުފުރާ، 2001 - 2020</t>
  </si>
  <si>
    <t>Age not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</si>
</sst>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General_)"/>
  </numFmts>
  <fonts count="24" x14ac:knownFonts="1">
    <font>
      <sz val="11"/>
      <color theme="1"/>
      <name val="Calibri"/>
      <family val="2"/>
      <scheme val="minor"/>
    </font>
    <font>
      <sz val="11"/>
      <color theme="1"/>
      <name val="Calibri"/>
      <family val="2"/>
      <scheme val="minor"/>
    </font>
    <font>
      <b/>
      <sz val="10"/>
      <name val="Arial"/>
      <family val="2"/>
    </font>
    <font>
      <b/>
      <sz val="9"/>
      <name val="Arial"/>
      <family val="2"/>
    </font>
    <font>
      <b/>
      <sz val="10"/>
      <name val="Calibri"/>
      <family val="2"/>
      <scheme val="minor"/>
    </font>
    <font>
      <sz val="9"/>
      <name val="Calibri"/>
      <family val="2"/>
      <scheme val="minor"/>
    </font>
    <font>
      <sz val="10"/>
      <name val="Calibri"/>
      <family val="2"/>
      <scheme val="minor"/>
    </font>
    <font>
      <i/>
      <sz val="9"/>
      <name val="Calibri"/>
      <family val="2"/>
      <scheme val="minor"/>
    </font>
    <font>
      <sz val="10"/>
      <color theme="1"/>
      <name val="Calibri"/>
      <family val="2"/>
      <scheme val="minor"/>
    </font>
    <font>
      <b/>
      <sz val="9"/>
      <name val="A_Randhoo"/>
    </font>
    <font>
      <i/>
      <sz val="9"/>
      <name val="Arial"/>
      <family val="2"/>
    </font>
    <font>
      <sz val="10"/>
      <name val="A_Randhoo"/>
    </font>
    <font>
      <sz val="10"/>
      <name val="Arial"/>
      <family val="2"/>
    </font>
    <font>
      <sz val="10"/>
      <name val="Courier"/>
      <family val="3"/>
    </font>
    <font>
      <sz val="9"/>
      <color theme="1"/>
      <name val="Calibri"/>
      <family val="2"/>
      <scheme val="minor"/>
    </font>
    <font>
      <sz val="10"/>
      <name val="MS Sans Serif"/>
      <family val="2"/>
    </font>
    <font>
      <b/>
      <sz val="11"/>
      <name val="Faruma"/>
      <family val="3"/>
    </font>
    <font>
      <b/>
      <sz val="9"/>
      <name val="Faruma"/>
      <family val="3"/>
    </font>
    <font>
      <b/>
      <sz val="9"/>
      <name val="Calibri"/>
      <family val="2"/>
      <scheme val="minor"/>
    </font>
    <font>
      <i/>
      <sz val="9"/>
      <name val="Courier"/>
      <family val="3"/>
    </font>
    <font>
      <sz val="9"/>
      <name val="Courier"/>
      <family val="3"/>
    </font>
    <font>
      <sz val="9"/>
      <color theme="1"/>
      <name val="Faruma"/>
      <family val="3"/>
    </font>
    <font>
      <sz val="9"/>
      <name val="Faruma"/>
      <family val="3"/>
    </font>
    <font>
      <b/>
      <sz val="10"/>
      <color rgb="FFC00000"/>
      <name val="Courier"/>
      <family val="3"/>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hair">
        <color indexed="64"/>
      </bottom>
      <diagonal/>
    </border>
  </borders>
  <cellStyleXfs count="11">
    <xf numFmtId="0" fontId="0" fillId="0" borderId="0"/>
    <xf numFmtId="43" fontId="1" fillId="0" borderId="0" applyFont="0" applyFill="0" applyBorder="0" applyAlignment="0" applyProtection="0"/>
    <xf numFmtId="0" fontId="1" fillId="0" borderId="0"/>
    <xf numFmtId="165" fontId="13" fillId="0" borderId="0"/>
    <xf numFmtId="165" fontId="13" fillId="0" borderId="0"/>
    <xf numFmtId="165" fontId="13" fillId="0" borderId="0"/>
    <xf numFmtId="40" fontId="15" fillId="0" borderId="0" applyFont="0" applyFill="0" applyBorder="0" applyAlignment="0" applyProtection="0"/>
    <xf numFmtId="165" fontId="13" fillId="0" borderId="0"/>
    <xf numFmtId="165" fontId="13" fillId="0" borderId="0"/>
    <xf numFmtId="0" fontId="1" fillId="0" borderId="0"/>
    <xf numFmtId="0" fontId="12" fillId="0" borderId="0"/>
  </cellStyleXfs>
  <cellXfs count="43">
    <xf numFmtId="0" fontId="0" fillId="0" borderId="0" xfId="0"/>
    <xf numFmtId="164" fontId="0" fillId="2" borderId="0" xfId="1" applyNumberFormat="1" applyFont="1" applyFill="1" applyBorder="1" applyAlignment="1">
      <alignment horizontal="right" vertical="center"/>
    </xf>
    <xf numFmtId="165" fontId="13" fillId="2" borderId="0" xfId="7" applyFill="1"/>
    <xf numFmtId="165" fontId="9" fillId="2" borderId="1" xfId="7" applyFont="1" applyFill="1" applyBorder="1" applyAlignment="1">
      <alignment horizontal="left" vertical="center"/>
    </xf>
    <xf numFmtId="165" fontId="11" fillId="2" borderId="0" xfId="7" applyFont="1" applyFill="1"/>
    <xf numFmtId="165" fontId="3" fillId="2" borderId="2" xfId="7" applyFont="1" applyFill="1" applyBorder="1" applyAlignment="1">
      <alignment horizontal="left" vertical="center"/>
    </xf>
    <xf numFmtId="165" fontId="3" fillId="2" borderId="2" xfId="7" applyFont="1" applyFill="1" applyBorder="1" applyAlignment="1">
      <alignment horizontal="right" vertical="center"/>
    </xf>
    <xf numFmtId="165" fontId="4" fillId="2" borderId="0" xfId="7" applyFont="1" applyFill="1" applyAlignment="1">
      <alignment horizontal="left" vertical="center"/>
    </xf>
    <xf numFmtId="38" fontId="4" fillId="2" borderId="0" xfId="1" applyNumberFormat="1" applyFont="1" applyFill="1" applyAlignment="1">
      <alignment horizontal="right" vertical="center"/>
    </xf>
    <xf numFmtId="164" fontId="6" fillId="2" borderId="0" xfId="1" applyNumberFormat="1" applyFont="1" applyFill="1" applyAlignment="1">
      <alignment horizontal="right" vertical="center"/>
    </xf>
    <xf numFmtId="165" fontId="6" fillId="2" borderId="0" xfId="7" applyFont="1" applyFill="1"/>
    <xf numFmtId="165" fontId="4" fillId="2" borderId="0" xfId="7" applyFont="1" applyFill="1" applyBorder="1" applyAlignment="1">
      <alignment horizontal="left" vertical="center"/>
    </xf>
    <xf numFmtId="164" fontId="6" fillId="2" borderId="0" xfId="1" applyNumberFormat="1" applyFont="1" applyFill="1" applyBorder="1" applyAlignment="1">
      <alignment horizontal="right" vertical="center"/>
    </xf>
    <xf numFmtId="165" fontId="6" fillId="2" borderId="0" xfId="7" applyFont="1" applyFill="1" applyBorder="1"/>
    <xf numFmtId="164" fontId="8" fillId="2" borderId="0" xfId="1" applyNumberFormat="1" applyFont="1" applyFill="1" applyAlignment="1">
      <alignment horizontal="right" vertical="center"/>
    </xf>
    <xf numFmtId="164" fontId="8" fillId="2" borderId="0" xfId="1" applyNumberFormat="1" applyFont="1" applyFill="1" applyBorder="1" applyAlignment="1">
      <alignment horizontal="right" vertical="center"/>
    </xf>
    <xf numFmtId="165" fontId="4" fillId="2" borderId="2" xfId="7" applyFont="1" applyFill="1" applyBorder="1" applyAlignment="1">
      <alignment horizontal="left" vertical="center"/>
    </xf>
    <xf numFmtId="165" fontId="7" fillId="2" borderId="0" xfId="7" applyFont="1" applyFill="1" applyBorder="1" applyAlignment="1">
      <alignment horizontal="left" vertical="center"/>
    </xf>
    <xf numFmtId="38" fontId="18" fillId="2" borderId="0" xfId="1" applyNumberFormat="1" applyFont="1" applyFill="1" applyBorder="1" applyAlignment="1">
      <alignment horizontal="right" vertical="center"/>
    </xf>
    <xf numFmtId="165" fontId="14" fillId="2" borderId="0" xfId="0" applyNumberFormat="1" applyFont="1" applyFill="1" applyBorder="1" applyAlignment="1">
      <alignment horizontal="right"/>
    </xf>
    <xf numFmtId="165" fontId="5" fillId="2" borderId="0" xfId="7" applyFont="1" applyFill="1" applyBorder="1"/>
    <xf numFmtId="165" fontId="7" fillId="2" borderId="0" xfId="7" applyFont="1" applyFill="1" applyAlignment="1">
      <alignment vertical="center"/>
    </xf>
    <xf numFmtId="165" fontId="10" fillId="2" borderId="0" xfId="7" applyFont="1" applyFill="1" applyAlignment="1">
      <alignment vertical="center"/>
    </xf>
    <xf numFmtId="165" fontId="19" fillId="2" borderId="0" xfId="7" applyFont="1" applyFill="1" applyAlignment="1">
      <alignment vertical="center"/>
    </xf>
    <xf numFmtId="165" fontId="20" fillId="2" borderId="0" xfId="7" applyFont="1" applyFill="1" applyAlignment="1">
      <alignment vertical="center"/>
    </xf>
    <xf numFmtId="165" fontId="20" fillId="2" borderId="0" xfId="7" applyFont="1" applyFill="1"/>
    <xf numFmtId="165" fontId="12" fillId="2" borderId="0" xfId="7" applyFont="1" applyFill="1"/>
    <xf numFmtId="165" fontId="21" fillId="2" borderId="0" xfId="0" applyNumberFormat="1" applyFont="1" applyFill="1" applyBorder="1" applyAlignment="1">
      <alignment horizontal="right"/>
    </xf>
    <xf numFmtId="3" fontId="22" fillId="2" borderId="0" xfId="7" applyNumberFormat="1" applyFont="1" applyFill="1" applyAlignment="1">
      <alignment horizontal="right" vertical="center"/>
    </xf>
    <xf numFmtId="165" fontId="13" fillId="2" borderId="0" xfId="7" applyFont="1" applyFill="1"/>
    <xf numFmtId="165" fontId="13" fillId="2" borderId="0" xfId="7" applyFill="1" applyAlignment="1"/>
    <xf numFmtId="38" fontId="4" fillId="2" borderId="2" xfId="1" applyNumberFormat="1" applyFont="1" applyFill="1" applyBorder="1" applyAlignment="1">
      <alignment horizontal="right" vertical="center"/>
    </xf>
    <xf numFmtId="165" fontId="2" fillId="2" borderId="0" xfId="7" applyFont="1" applyFill="1" applyAlignment="1">
      <alignment horizontal="center" vertical="center"/>
    </xf>
    <xf numFmtId="165" fontId="3" fillId="2" borderId="2" xfId="7" applyFont="1" applyFill="1" applyBorder="1" applyAlignment="1">
      <alignment horizontal="right" vertical="center" wrapText="1"/>
    </xf>
    <xf numFmtId="164" fontId="6" fillId="2" borderId="2" xfId="1" applyNumberFormat="1" applyFont="1" applyFill="1" applyBorder="1" applyAlignment="1">
      <alignment horizontal="right" vertical="center"/>
    </xf>
    <xf numFmtId="1" fontId="6" fillId="2" borderId="2" xfId="1" applyNumberFormat="1" applyFont="1" applyFill="1" applyBorder="1" applyAlignment="1">
      <alignment horizontal="left" vertical="center" indent="7"/>
    </xf>
    <xf numFmtId="165" fontId="23" fillId="2" borderId="0" xfId="7" applyFont="1" applyFill="1" applyAlignment="1">
      <alignment horizontal="left" vertical="center" wrapText="1"/>
    </xf>
    <xf numFmtId="165" fontId="7" fillId="2" borderId="0" xfId="7" applyFont="1" applyFill="1" applyBorder="1" applyAlignment="1">
      <alignment horizontal="left" vertical="center" wrapText="1"/>
    </xf>
    <xf numFmtId="165" fontId="3" fillId="2" borderId="1" xfId="7" applyFont="1" applyFill="1" applyBorder="1" applyAlignment="1">
      <alignment horizontal="center" vertical="center"/>
    </xf>
    <xf numFmtId="165" fontId="3" fillId="2" borderId="2" xfId="7" applyFont="1" applyFill="1" applyBorder="1" applyAlignment="1">
      <alignment horizontal="center" vertical="center"/>
    </xf>
    <xf numFmtId="165" fontId="3" fillId="2" borderId="3" xfId="7" applyFont="1" applyFill="1" applyBorder="1" applyAlignment="1">
      <alignment horizontal="center" vertical="center"/>
    </xf>
    <xf numFmtId="165" fontId="16" fillId="2" borderId="0" xfId="7" applyFont="1" applyFill="1" applyAlignment="1">
      <alignment horizontal="center" vertical="center"/>
    </xf>
    <xf numFmtId="165" fontId="2" fillId="2" borderId="0" xfId="7" applyFont="1" applyFill="1" applyAlignment="1">
      <alignment horizontal="center" vertical="center"/>
    </xf>
  </cellXfs>
  <cellStyles count="11">
    <cellStyle name="1" xfId="10"/>
    <cellStyle name="Comma" xfId="1" builtinId="3"/>
    <cellStyle name="Comma 3" xfId="6"/>
    <cellStyle name="Normal" xfId="0" builtinId="0"/>
    <cellStyle name="Normal 14" xfId="3"/>
    <cellStyle name="Normal 15" xfId="5"/>
    <cellStyle name="Normal 17" xfId="9"/>
    <cellStyle name="Normal 2" xfId="2"/>
    <cellStyle name="Normal 3" xfId="4"/>
    <cellStyle name="Normal 9" xfId="8"/>
    <cellStyle name="Normal_6 Health" xfId="7"/>
  </cellStyles>
  <dxfs count="0"/>
  <tableStyles count="0" defaultTableStyle="TableStyleMedium2" defaultPivotStyle="PivotStyleLight16"/>
  <colors>
    <mruColors>
      <color rgb="FF33CCCC"/>
      <color rgb="FFDAF7F6"/>
      <color rgb="FFC4F2F1"/>
      <color rgb="FF249390"/>
      <color rgb="FFFF9900"/>
      <color rgb="FF196563"/>
      <color rgb="FFEAFAFA"/>
      <color rgb="FF996633"/>
      <color rgb="FFECD9C6"/>
      <color rgb="FFE1C2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c:ext xmlns:c16="http://schemas.microsoft.com/office/drawing/2014/chart" uri="{C3380CC4-5D6E-409C-BE32-E72D297353CC}">
                <c16:uniqueId val="{00000001-535C-48DB-9334-EB873EE7C715}"/>
              </c:ext>
            </c:extLst>
          </c:dPt>
          <c:dPt>
            <c:idx val="1"/>
            <c:bubble3D val="0"/>
            <c:spPr>
              <a:solidFill>
                <a:srgbClr val="FAC090"/>
              </a:solidFill>
            </c:spPr>
            <c:extLst>
              <c:ext xmlns:c16="http://schemas.microsoft.com/office/drawing/2014/chart" uri="{C3380CC4-5D6E-409C-BE32-E72D297353CC}">
                <c16:uniqueId val="{00000003-535C-48DB-9334-EB873EE7C715}"/>
              </c:ext>
            </c:extLst>
          </c:dPt>
          <c:dPt>
            <c:idx val="2"/>
            <c:bubble3D val="0"/>
            <c:spPr>
              <a:solidFill>
                <a:srgbClr val="953735"/>
              </a:solidFill>
            </c:spPr>
            <c:extLst>
              <c:ext xmlns:c16="http://schemas.microsoft.com/office/drawing/2014/chart" uri="{C3380CC4-5D6E-409C-BE32-E72D297353CC}">
                <c16:uniqueId val="{00000005-535C-48DB-9334-EB873EE7C715}"/>
              </c:ext>
            </c:extLst>
          </c:dPt>
          <c:dPt>
            <c:idx val="3"/>
            <c:bubble3D val="0"/>
            <c:spPr>
              <a:solidFill>
                <a:schemeClr val="accent6">
                  <a:lumMod val="75000"/>
                </a:schemeClr>
              </a:solidFill>
            </c:spPr>
            <c:extLst>
              <c:ext xmlns:c16="http://schemas.microsoft.com/office/drawing/2014/chart" uri="{C3380CC4-5D6E-409C-BE32-E72D297353CC}">
                <c16:uniqueId val="{00000007-535C-48DB-9334-EB873EE7C715}"/>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35C-48DB-9334-EB873EE7C715}"/>
                </c:ext>
              </c:extLst>
            </c:dLbl>
            <c:dLbl>
              <c:idx val="2"/>
              <c:layout>
                <c:manualLayout>
                  <c:x val="9.6283385505787234E-3"/>
                  <c:y val="3.04677154171438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5C-48DB-9334-EB873EE7C715}"/>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35C-48DB-9334-EB873EE7C715}"/>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8-535C-48DB-9334-EB873EE7C715}"/>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chemeClr val="accent1">
                  <a:lumMod val="50000"/>
                </a:schemeClr>
              </a:solidFill>
            </c:spPr>
            <c:extLst>
              <c:ext xmlns:c16="http://schemas.microsoft.com/office/drawing/2014/chart" uri="{C3380CC4-5D6E-409C-BE32-E72D297353CC}">
                <c16:uniqueId val="{00000001-FD61-408A-A287-E8C07E5E0CC2}"/>
              </c:ext>
            </c:extLst>
          </c:dPt>
          <c:dPt>
            <c:idx val="1"/>
            <c:bubble3D val="0"/>
            <c:spPr>
              <a:solidFill>
                <a:schemeClr val="accent1">
                  <a:lumMod val="60000"/>
                  <a:lumOff val="40000"/>
                </a:schemeClr>
              </a:solidFill>
            </c:spPr>
            <c:extLst>
              <c:ext xmlns:c16="http://schemas.microsoft.com/office/drawing/2014/chart" uri="{C3380CC4-5D6E-409C-BE32-E72D297353CC}">
                <c16:uniqueId val="{00000003-FD61-408A-A287-E8C07E5E0CC2}"/>
              </c:ext>
            </c:extLst>
          </c:dPt>
          <c:dPt>
            <c:idx val="2"/>
            <c:bubble3D val="0"/>
            <c:spPr>
              <a:solidFill>
                <a:schemeClr val="accent1">
                  <a:lumMod val="75000"/>
                </a:schemeClr>
              </a:solidFill>
            </c:spPr>
            <c:extLst>
              <c:ext xmlns:c16="http://schemas.microsoft.com/office/drawing/2014/chart" uri="{C3380CC4-5D6E-409C-BE32-E72D297353CC}">
                <c16:uniqueId val="{00000005-FD61-408A-A287-E8C07E5E0CC2}"/>
              </c:ext>
            </c:extLst>
          </c:dPt>
          <c:dPt>
            <c:idx val="3"/>
            <c:bubble3D val="0"/>
            <c:spPr>
              <a:solidFill>
                <a:schemeClr val="bg1">
                  <a:lumMod val="75000"/>
                </a:schemeClr>
              </a:solidFill>
            </c:spPr>
            <c:extLst>
              <c:ext xmlns:c16="http://schemas.microsoft.com/office/drawing/2014/chart" uri="{C3380CC4-5D6E-409C-BE32-E72D297353CC}">
                <c16:uniqueId val="{00000007-FD61-408A-A287-E8C07E5E0CC2}"/>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FD61-408A-A287-E8C07E5E0CC2}"/>
                </c:ext>
              </c:extLst>
            </c:dLbl>
            <c:dLbl>
              <c:idx val="2"/>
              <c:layout>
                <c:manualLayout>
                  <c:x val="-4.8007989402000049E-3"/>
                  <c:y val="-4.971457273611625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FD61-408A-A287-E8C07E5E0CC2}"/>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FD61-408A-A287-E8C07E5E0CC2}"/>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'[1]6.12'!$C$4:$F$4</c:f>
              <c:strCache>
                <c:ptCount val="4"/>
                <c:pt idx="0">
                  <c:v>Under 16</c:v>
                </c:pt>
                <c:pt idx="1">
                  <c:v>16 - 24</c:v>
                </c:pt>
                <c:pt idx="2">
                  <c:v>25 - 39</c:v>
                </c:pt>
                <c:pt idx="3">
                  <c:v>40 +</c:v>
                </c:pt>
              </c:strCache>
            </c:strRef>
          </c:cat>
          <c:val>
            <c:numRef>
              <c:f>'[1]6.12'!$C$21:$F$21</c:f>
              <c:numCache>
                <c:formatCode>General</c:formatCode>
                <c:ptCount val="4"/>
                <c:pt idx="0">
                  <c:v>4</c:v>
                </c:pt>
                <c:pt idx="1">
                  <c:v>229</c:v>
                </c:pt>
                <c:pt idx="2">
                  <c:v>308</c:v>
                </c:pt>
                <c:pt idx="3">
                  <c:v>86</c:v>
                </c:pt>
              </c:numCache>
            </c:numRef>
          </c:val>
          <c:extLst>
            <c:ext xmlns:c16="http://schemas.microsoft.com/office/drawing/2014/chart" uri="{C3380CC4-5D6E-409C-BE32-E72D297353CC}">
              <c16:uniqueId val="{00000008-FD61-408A-A287-E8C07E5E0CC2}"/>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c:ext xmlns:c16="http://schemas.microsoft.com/office/drawing/2014/chart" uri="{C3380CC4-5D6E-409C-BE32-E72D297353CC}">
                <c16:uniqueId val="{00000001-095F-4373-A7C5-BFABE0267C7E}"/>
              </c:ext>
            </c:extLst>
          </c:dPt>
          <c:dPt>
            <c:idx val="1"/>
            <c:bubble3D val="0"/>
            <c:spPr>
              <a:solidFill>
                <a:srgbClr val="FAC090"/>
              </a:solidFill>
            </c:spPr>
            <c:extLst>
              <c:ext xmlns:c16="http://schemas.microsoft.com/office/drawing/2014/chart" uri="{C3380CC4-5D6E-409C-BE32-E72D297353CC}">
                <c16:uniqueId val="{00000003-095F-4373-A7C5-BFABE0267C7E}"/>
              </c:ext>
            </c:extLst>
          </c:dPt>
          <c:dPt>
            <c:idx val="2"/>
            <c:bubble3D val="0"/>
            <c:spPr>
              <a:solidFill>
                <a:srgbClr val="953735"/>
              </a:solidFill>
            </c:spPr>
            <c:extLst>
              <c:ext xmlns:c16="http://schemas.microsoft.com/office/drawing/2014/chart" uri="{C3380CC4-5D6E-409C-BE32-E72D297353CC}">
                <c16:uniqueId val="{00000005-095F-4373-A7C5-BFABE0267C7E}"/>
              </c:ext>
            </c:extLst>
          </c:dPt>
          <c:dPt>
            <c:idx val="3"/>
            <c:bubble3D val="0"/>
            <c:spPr>
              <a:solidFill>
                <a:schemeClr val="accent6">
                  <a:lumMod val="75000"/>
                </a:schemeClr>
              </a:solidFill>
            </c:spPr>
            <c:extLst>
              <c:ext xmlns:c16="http://schemas.microsoft.com/office/drawing/2014/chart" uri="{C3380CC4-5D6E-409C-BE32-E72D297353CC}">
                <c16:uniqueId val="{00000007-095F-4373-A7C5-BFABE0267C7E}"/>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095F-4373-A7C5-BFABE0267C7E}"/>
                </c:ext>
              </c:extLst>
            </c:dLbl>
            <c:dLbl>
              <c:idx val="2"/>
              <c:layout>
                <c:manualLayout>
                  <c:x val="9.6283385505787234E-3"/>
                  <c:y val="3.046771541714380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095F-4373-A7C5-BFABE0267C7E}"/>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095F-4373-A7C5-BFABE0267C7E}"/>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'[2]6.12'!$C$4:$F$4</c:f>
              <c:strCache>
                <c:ptCount val="4"/>
                <c:pt idx="0">
                  <c:v>Under 16</c:v>
                </c:pt>
                <c:pt idx="1">
                  <c:v>16 - 24</c:v>
                </c:pt>
                <c:pt idx="2">
                  <c:v>25 - 39</c:v>
                </c:pt>
                <c:pt idx="3">
                  <c:v>40+</c:v>
                </c:pt>
              </c:strCache>
            </c:strRef>
          </c:cat>
          <c:val>
            <c:numRef>
              <c:f>'[2]6.12'!$C$21:$F$21</c:f>
              <c:numCache>
                <c:formatCode>General</c:formatCode>
                <c:ptCount val="4"/>
                <c:pt idx="0">
                  <c:v>4</c:v>
                </c:pt>
                <c:pt idx="1">
                  <c:v>229</c:v>
                </c:pt>
                <c:pt idx="2">
                  <c:v>308</c:v>
                </c:pt>
                <c:pt idx="3">
                  <c:v>86</c:v>
                </c:pt>
              </c:numCache>
            </c:numRef>
          </c:val>
          <c:extLst>
            <c:ext xmlns:c16="http://schemas.microsoft.com/office/drawing/2014/chart" uri="{C3380CC4-5D6E-409C-BE32-E72D297353CC}">
              <c16:uniqueId val="{00000008-095F-4373-A7C5-BFABE0267C7E}"/>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2453965709043522E-2"/>
          <c:y val="0.19017805206781585"/>
          <c:w val="0.88022179989919369"/>
          <c:h val="0.69801561638651211"/>
        </c:manualLayout>
      </c:layout>
      <c:barChart>
        <c:barDir val="col"/>
        <c:grouping val="clustered"/>
        <c:varyColors val="0"/>
        <c:ser>
          <c:idx val="2"/>
          <c:order val="1"/>
          <c:tx>
            <c:strRef>
              <c:f>'[3]6.14'!$C$4</c:f>
              <c:strCache>
                <c:ptCount val="1"/>
                <c:pt idx="0">
                  <c:v>Under 16</c:v>
                </c:pt>
              </c:strCache>
            </c:strRef>
          </c:tx>
          <c:spPr>
            <a:solidFill>
              <a:schemeClr val="accent4">
                <a:lumMod val="20000"/>
                <a:lumOff val="80000"/>
              </a:schemeClr>
            </a:solidFill>
          </c:spPr>
          <c:invertIfNegative val="0"/>
          <c:cat>
            <c:numRef>
              <c:f>'[3]6.14'!$A$17:$A$24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'[3]6.14'!$C$17:$C$22</c:f>
              <c:numCache>
                <c:formatCode>General</c:formatCode>
                <c:ptCount val="6"/>
                <c:pt idx="0">
                  <c:v>11</c:v>
                </c:pt>
                <c:pt idx="1">
                  <c:v>18</c:v>
                </c:pt>
                <c:pt idx="2">
                  <c:v>11</c:v>
                </c:pt>
                <c:pt idx="3">
                  <c:v>19</c:v>
                </c:pt>
                <c:pt idx="4">
                  <c:v>4</c:v>
                </c:pt>
                <c:pt idx="5">
                  <c:v>10</c:v>
                </c:pt>
              </c:numCache>
            </c:numRef>
          </c:val>
          <c:extLst>
            <c:ext xmlns:c16="http://schemas.microsoft.com/office/drawing/2014/chart" uri="{C3380CC4-5D6E-409C-BE32-E72D297353CC}">
              <c16:uniqueId val="{00000000-6DE4-4527-9E75-4407E580E4EB}"/>
            </c:ext>
          </c:extLst>
        </c:ser>
        <c:ser>
          <c:idx val="3"/>
          <c:order val="2"/>
          <c:tx>
            <c:strRef>
              <c:f>'[3]6.14'!$D$4</c:f>
              <c:strCache>
                <c:ptCount val="1"/>
                <c:pt idx="0">
                  <c:v>16 - 24</c:v>
                </c:pt>
              </c:strCache>
            </c:strRef>
          </c:tx>
          <c:spPr>
            <a:solidFill>
              <a:srgbClr val="33CCCC"/>
            </a:solidFill>
          </c:spPr>
          <c:invertIfNegative val="0"/>
          <c:cat>
            <c:numRef>
              <c:f>'[3]6.14'!$A$17:$A$24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'[3]6.14'!$D$17:$D$24</c:f>
              <c:numCache>
                <c:formatCode>General</c:formatCode>
                <c:ptCount val="8"/>
                <c:pt idx="0">
                  <c:v>629</c:v>
                </c:pt>
                <c:pt idx="1">
                  <c:v>777</c:v>
                </c:pt>
                <c:pt idx="2">
                  <c:v>514</c:v>
                </c:pt>
                <c:pt idx="3">
                  <c:v>535</c:v>
                </c:pt>
                <c:pt idx="4">
                  <c:v>229</c:v>
                </c:pt>
                <c:pt idx="5">
                  <c:v>277</c:v>
                </c:pt>
                <c:pt idx="6">
                  <c:v>352</c:v>
                </c:pt>
                <c:pt idx="7">
                  <c:v>265</c:v>
                </c:pt>
              </c:numCache>
            </c:numRef>
          </c:val>
          <c:extLst>
            <c:ext xmlns:c16="http://schemas.microsoft.com/office/drawing/2014/chart" uri="{C3380CC4-5D6E-409C-BE32-E72D297353CC}">
              <c16:uniqueId val="{00000001-6DE4-4527-9E75-4407E580E4EB}"/>
            </c:ext>
          </c:extLst>
        </c:ser>
        <c:ser>
          <c:idx val="4"/>
          <c:order val="3"/>
          <c:tx>
            <c:strRef>
              <c:f>'[3]6.14'!$E$4</c:f>
              <c:strCache>
                <c:ptCount val="1"/>
                <c:pt idx="0">
                  <c:v>25 - 39</c:v>
                </c:pt>
              </c:strCache>
            </c:strRef>
          </c:tx>
          <c:spPr>
            <a:solidFill>
              <a:srgbClr val="249390"/>
            </a:solidFill>
          </c:spPr>
          <c:invertIfNegative val="0"/>
          <c:cat>
            <c:numRef>
              <c:f>'[3]6.14'!$A$17:$A$24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'[3]6.14'!$E$17:$E$24</c:f>
              <c:numCache>
                <c:formatCode>General</c:formatCode>
                <c:ptCount val="8"/>
                <c:pt idx="0">
                  <c:v>1021</c:v>
                </c:pt>
                <c:pt idx="1">
                  <c:v>1277</c:v>
                </c:pt>
                <c:pt idx="2">
                  <c:v>719</c:v>
                </c:pt>
                <c:pt idx="3">
                  <c:v>777</c:v>
                </c:pt>
                <c:pt idx="4">
                  <c:v>308</c:v>
                </c:pt>
                <c:pt idx="5">
                  <c:v>443</c:v>
                </c:pt>
                <c:pt idx="6">
                  <c:v>634</c:v>
                </c:pt>
                <c:pt idx="7">
                  <c:v>590</c:v>
                </c:pt>
              </c:numCache>
            </c:numRef>
          </c:val>
          <c:extLst>
            <c:ext xmlns:c16="http://schemas.microsoft.com/office/drawing/2014/chart" uri="{C3380CC4-5D6E-409C-BE32-E72D297353CC}">
              <c16:uniqueId val="{00000002-6DE4-4527-9E75-4407E580E4EB}"/>
            </c:ext>
          </c:extLst>
        </c:ser>
        <c:ser>
          <c:idx val="0"/>
          <c:order val="4"/>
          <c:tx>
            <c:strRef>
              <c:f>'[3]6.14'!$F$4</c:f>
              <c:strCache>
                <c:ptCount val="1"/>
                <c:pt idx="0">
                  <c:v>40+</c:v>
                </c:pt>
              </c:strCache>
            </c:strRef>
          </c:tx>
          <c:spPr>
            <a:solidFill>
              <a:srgbClr val="FFC000"/>
            </a:solidFill>
          </c:spPr>
          <c:invertIfNegative val="0"/>
          <c:cat>
            <c:numRef>
              <c:f>'[3]6.14'!$A$17:$A$24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'[3]6.14'!$F$17:$F$24</c:f>
              <c:numCache>
                <c:formatCode>General</c:formatCode>
                <c:ptCount val="8"/>
                <c:pt idx="0">
                  <c:v>175</c:v>
                </c:pt>
                <c:pt idx="1">
                  <c:v>239</c:v>
                </c:pt>
                <c:pt idx="2">
                  <c:v>142</c:v>
                </c:pt>
                <c:pt idx="3">
                  <c:v>215</c:v>
                </c:pt>
                <c:pt idx="4">
                  <c:v>86</c:v>
                </c:pt>
                <c:pt idx="5">
                  <c:v>69</c:v>
                </c:pt>
                <c:pt idx="6">
                  <c:v>178</c:v>
                </c:pt>
                <c:pt idx="7">
                  <c:v>114</c:v>
                </c:pt>
              </c:numCache>
            </c:numRef>
          </c:val>
          <c:extLst>
            <c:ext xmlns:c16="http://schemas.microsoft.com/office/drawing/2014/chart" uri="{C3380CC4-5D6E-409C-BE32-E72D297353CC}">
              <c16:uniqueId val="{00000003-6DE4-4527-9E75-4407E580E4EB}"/>
            </c:ext>
          </c:extLst>
        </c:ser>
        <c:dLbls>
          <c:showLegendKey val="0"/>
          <c:showVal val="0"/>
          <c:showCatName val="0"/>
          <c:showSerName val="0"/>
          <c:showPercent val="0"/>
          <c:showBubbleSize val="0"/>
        </c:dLbls>
        <c:gapWidth val="154"/>
        <c:axId val="128474496"/>
        <c:axId val="129369216"/>
        <c:extLst>
          <c:ext xmlns:c15="http://schemas.microsoft.com/office/drawing/2012/chart" uri="{02D57815-91ED-43cb-92C2-25804820EDAC}">
            <c15:filteredBarSeries>
              <c15:ser>
                <c:idx val="1"/>
                <c:order val="0"/>
                <c:tx>
                  <c:strRef>
                    <c:extLst>
                      <c:ext uri="{02D57815-91ED-43cb-92C2-25804820EDAC}">
                        <c15:formulaRef>
                          <c15:sqref>'[3]6.14'!$A$4</c15:sqref>
                        </c15:formulaRef>
                      </c:ext>
                    </c:extLst>
                    <c:strCache>
                      <c:ptCount val="1"/>
                      <c:pt idx="0">
                        <c:v>Year</c:v>
                      </c:pt>
                    </c:strCache>
                  </c:strRef>
                </c:tx>
                <c:invertIfNegative val="0"/>
                <c:cat>
                  <c:numRef>
                    <c:extLst>
                      <c:ext uri="{02D57815-91ED-43cb-92C2-25804820EDAC}">
                        <c15:formulaRef>
                          <c15:sqref>'[3]6.14'!$A$17:$A$24</c15:sqref>
                        </c15:formulaRef>
                      </c:ext>
                    </c:extLst>
                    <c:numCache>
                      <c:formatCode>General</c:formatCode>
                      <c:ptCount val="8"/>
                      <c:pt idx="0">
                        <c:v>2013</c:v>
                      </c:pt>
                      <c:pt idx="1">
                        <c:v>2014</c:v>
                      </c:pt>
                      <c:pt idx="2">
                        <c:v>2015</c:v>
                      </c:pt>
                      <c:pt idx="3">
                        <c:v>2016</c:v>
                      </c:pt>
                      <c:pt idx="4">
                        <c:v>2017</c:v>
                      </c:pt>
                      <c:pt idx="5">
                        <c:v>2018</c:v>
                      </c:pt>
                      <c:pt idx="6">
                        <c:v>2019</c:v>
                      </c:pt>
                      <c:pt idx="7">
                        <c:v>2020</c:v>
                      </c:pt>
                    </c:numCache>
                  </c:numRef>
                </c:cat>
                <c:val>
                  <c:numRef>
                    <c:extLst>
                      <c:ext uri="{02D57815-91ED-43cb-92C2-25804820EDAC}">
                        <c15:formulaRef>
                          <c15:sqref>'[3]6.14'!$A$17:$A$22</c15:sqref>
                        </c15:formulaRef>
                      </c:ext>
                    </c:extLst>
                    <c:numCache>
                      <c:formatCode>General</c:formatCode>
                      <c:ptCount val="6"/>
                      <c:pt idx="0">
                        <c:v>2013</c:v>
                      </c:pt>
                      <c:pt idx="1">
                        <c:v>2014</c:v>
                      </c:pt>
                      <c:pt idx="2">
                        <c:v>2015</c:v>
                      </c:pt>
                      <c:pt idx="3">
                        <c:v>2016</c:v>
                      </c:pt>
                      <c:pt idx="4">
                        <c:v>2017</c:v>
                      </c:pt>
                      <c:pt idx="5">
                        <c:v>2018</c:v>
                      </c:pt>
                    </c:numCache>
                  </c:numRef>
                </c:val>
                <c:extLst>
                  <c:ext xmlns:c16="http://schemas.microsoft.com/office/drawing/2014/chart" uri="{C3380CC4-5D6E-409C-BE32-E72D297353CC}">
                    <c16:uniqueId val="{00000004-6DE4-4527-9E75-4407E580E4EB}"/>
                  </c:ext>
                </c:extLst>
              </c15:ser>
            </c15:filteredBarSeries>
          </c:ext>
        </c:extLst>
      </c:barChart>
      <c:catAx>
        <c:axId val="128474496"/>
        <c:scaling>
          <c:orientation val="minMax"/>
        </c:scaling>
        <c:delete val="0"/>
        <c:axPos val="b"/>
        <c:numFmt formatCode="General" sourceLinked="1"/>
        <c:majorTickMark val="out"/>
        <c:minorTickMark val="none"/>
        <c:tickLblPos val="nextTo"/>
        <c:txPr>
          <a:bodyPr rot="0" vert="horz"/>
          <a:lstStyle/>
          <a:p>
            <a:pPr>
              <a:defRPr/>
            </a:pPr>
            <a:endParaRPr lang="en-US"/>
          </a:p>
        </c:txPr>
        <c:crossAx val="129369216"/>
        <c:crosses val="autoZero"/>
        <c:auto val="1"/>
        <c:lblAlgn val="ctr"/>
        <c:lblOffset val="100"/>
        <c:tickLblSkip val="1"/>
        <c:tickMarkSkip val="1"/>
        <c:noMultiLvlLbl val="0"/>
      </c:catAx>
      <c:valAx>
        <c:axId val="129369216"/>
        <c:scaling>
          <c:orientation val="minMax"/>
        </c:scaling>
        <c:delete val="0"/>
        <c:axPos val="l"/>
        <c:majorGridlines>
          <c:spPr>
            <a:ln>
              <a:solidFill>
                <a:srgbClr val="C4F2F1"/>
              </a:solidFill>
            </a:ln>
          </c:spPr>
        </c:majorGridlines>
        <c:title>
          <c:tx>
            <c:rich>
              <a:bodyPr rot="0" vert="horz"/>
              <a:lstStyle/>
              <a:p>
                <a:pPr>
                  <a:defRPr sz="700"/>
                </a:pPr>
                <a:r>
                  <a:rPr lang="en-US" sz="700"/>
                  <a:t>Number of cases</a:t>
                </a:r>
              </a:p>
            </c:rich>
          </c:tx>
          <c:layout>
            <c:manualLayout>
              <c:xMode val="edge"/>
              <c:yMode val="edge"/>
              <c:x val="8.7450455885818602E-3"/>
              <c:y val="0.12612746379688597"/>
            </c:manualLayout>
          </c:layout>
          <c:overlay val="0"/>
        </c:title>
        <c:numFmt formatCode="#,##0" sourceLinked="0"/>
        <c:majorTickMark val="out"/>
        <c:minorTickMark val="none"/>
        <c:tickLblPos val="nextTo"/>
        <c:txPr>
          <a:bodyPr rot="0" vert="horz"/>
          <a:lstStyle/>
          <a:p>
            <a:pPr>
              <a:defRPr/>
            </a:pPr>
            <a:endParaRPr lang="en-US"/>
          </a:p>
        </c:txPr>
        <c:crossAx val="128474496"/>
        <c:crosses val="autoZero"/>
        <c:crossBetween val="between"/>
      </c:valAx>
      <c:spPr>
        <a:solidFill>
          <a:srgbClr val="EAFAFA"/>
        </a:solidFill>
        <a:ln>
          <a:solidFill>
            <a:schemeClr val="tx1">
              <a:lumMod val="50000"/>
              <a:lumOff val="50000"/>
            </a:schemeClr>
          </a:solidFill>
        </a:ln>
      </c:spPr>
    </c:plotArea>
    <c:legend>
      <c:legendPos val="r"/>
      <c:layout>
        <c:manualLayout>
          <c:xMode val="edge"/>
          <c:yMode val="edge"/>
          <c:x val="0.38032047180153555"/>
          <c:y val="0.27223771015109599"/>
          <c:w val="0.50811847647356623"/>
          <c:h val="0.13662907001489677"/>
        </c:manualLayout>
      </c:layout>
      <c:overlay val="0"/>
    </c:legend>
    <c:plotVisOnly val="1"/>
    <c:dispBlanksAs val="gap"/>
    <c:showDLblsOverMax val="0"/>
  </c:chart>
  <c:printSettings>
    <c:headerFooter alignWithMargins="0"/>
    <c:pageMargins b="1" l="0.75000000000000455" r="0.75000000000000455" t="1" header="0.5" footer="0.5"/>
    <c:pageSetup orientation="landscape" horizontalDpi="300"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729183373811E-2"/>
          <c:y val="0.16232745333293672"/>
          <c:w val="0.88063565595500015"/>
          <c:h val="0.6565556285921974"/>
        </c:manualLayout>
      </c:layout>
      <c:lineChart>
        <c:grouping val="standard"/>
        <c:varyColors val="0"/>
        <c:ser>
          <c:idx val="1"/>
          <c:order val="0"/>
          <c:spPr>
            <a:ln>
              <a:solidFill>
                <a:srgbClr val="249390"/>
              </a:solidFill>
            </a:ln>
          </c:spPr>
          <c:marker>
            <c:spPr>
              <a:solidFill>
                <a:srgbClr val="33CCCC"/>
              </a:solidFill>
              <a:ln>
                <a:solidFill>
                  <a:srgbClr val="196563"/>
                </a:solidFill>
              </a:ln>
            </c:spPr>
          </c:marker>
          <c:cat>
            <c:numRef>
              <c:f>'[3]6.14'!$A$9:$A$24</c:f>
              <c:numCache>
                <c:formatCode>General</c:formatCode>
                <c:ptCount val="1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numCache>
            </c:numRef>
          </c:cat>
          <c:val>
            <c:numRef>
              <c:f>'[3]6.14'!$B$9:$B$24</c:f>
              <c:numCache>
                <c:formatCode>General</c:formatCode>
                <c:ptCount val="16"/>
                <c:pt idx="0">
                  <c:v>615</c:v>
                </c:pt>
                <c:pt idx="1">
                  <c:v>783</c:v>
                </c:pt>
                <c:pt idx="2">
                  <c:v>1187</c:v>
                </c:pt>
                <c:pt idx="3">
                  <c:v>1804</c:v>
                </c:pt>
                <c:pt idx="4">
                  <c:v>918</c:v>
                </c:pt>
                <c:pt idx="5">
                  <c:v>622</c:v>
                </c:pt>
                <c:pt idx="6">
                  <c:v>534</c:v>
                </c:pt>
                <c:pt idx="7">
                  <c:v>1005</c:v>
                </c:pt>
                <c:pt idx="8">
                  <c:v>1836</c:v>
                </c:pt>
                <c:pt idx="9">
                  <c:v>2311</c:v>
                </c:pt>
                <c:pt idx="10">
                  <c:v>1386</c:v>
                </c:pt>
                <c:pt idx="11">
                  <c:v>1546</c:v>
                </c:pt>
                <c:pt idx="12">
                  <c:v>627</c:v>
                </c:pt>
                <c:pt idx="13">
                  <c:v>799</c:v>
                </c:pt>
                <c:pt idx="14">
                  <c:v>1172</c:v>
                </c:pt>
                <c:pt idx="15">
                  <c:v>978</c:v>
                </c:pt>
              </c:numCache>
            </c:numRef>
          </c:val>
          <c:smooth val="0"/>
          <c:extLst>
            <c:ext xmlns:c16="http://schemas.microsoft.com/office/drawing/2014/chart" uri="{C3380CC4-5D6E-409C-BE32-E72D297353CC}">
              <c16:uniqueId val="{00000000-F60C-48E3-BAE9-49DB089A6140}"/>
            </c:ext>
          </c:extLst>
        </c:ser>
        <c:dLbls>
          <c:showLegendKey val="0"/>
          <c:showVal val="0"/>
          <c:showCatName val="0"/>
          <c:showSerName val="0"/>
          <c:showPercent val="0"/>
          <c:showBubbleSize val="0"/>
        </c:dLbls>
        <c:marker val="1"/>
        <c:smooth val="0"/>
        <c:axId val="138880512"/>
        <c:axId val="138882432"/>
      </c:lineChart>
      <c:catAx>
        <c:axId val="138880512"/>
        <c:scaling>
          <c:orientation val="minMax"/>
        </c:scaling>
        <c:delete val="0"/>
        <c:axPos val="b"/>
        <c:numFmt formatCode="General" sourceLinked="1"/>
        <c:majorTickMark val="none"/>
        <c:minorTickMark val="none"/>
        <c:tickLblPos val="nextTo"/>
        <c:txPr>
          <a:bodyPr/>
          <a:lstStyle/>
          <a:p>
            <a:pPr>
              <a:defRPr sz="800"/>
            </a:pPr>
            <a:endParaRPr lang="en-US"/>
          </a:p>
        </c:txPr>
        <c:crossAx val="138882432"/>
        <c:crosses val="autoZero"/>
        <c:auto val="1"/>
        <c:lblAlgn val="ctr"/>
        <c:lblOffset val="100"/>
        <c:noMultiLvlLbl val="0"/>
      </c:catAx>
      <c:valAx>
        <c:axId val="138882432"/>
        <c:scaling>
          <c:orientation val="minMax"/>
        </c:scaling>
        <c:delete val="0"/>
        <c:axPos val="l"/>
        <c:majorGridlines>
          <c:spPr>
            <a:ln>
              <a:solidFill>
                <a:srgbClr val="C4F2F1"/>
              </a:solidFill>
            </a:ln>
          </c:spPr>
        </c:majorGridlines>
        <c:numFmt formatCode="#,##0" sourceLinked="0"/>
        <c:majorTickMark val="none"/>
        <c:minorTickMark val="none"/>
        <c:tickLblPos val="nextTo"/>
        <c:txPr>
          <a:bodyPr/>
          <a:lstStyle/>
          <a:p>
            <a:pPr>
              <a:defRPr sz="800"/>
            </a:pPr>
            <a:endParaRPr lang="en-US"/>
          </a:p>
        </c:txPr>
        <c:crossAx val="138880512"/>
        <c:crosses val="autoZero"/>
        <c:crossBetween val="between"/>
      </c:valAx>
      <c:spPr>
        <a:solidFill>
          <a:srgbClr val="EAFAFA"/>
        </a:solidFill>
        <a:ln>
          <a:solidFill>
            <a:schemeClr val="bg1">
              <a:lumMod val="75000"/>
            </a:schemeClr>
          </a:solidFill>
        </a:ln>
      </c:spPr>
    </c:plotArea>
    <c:plotVisOnly val="1"/>
    <c:dispBlanksAs val="gap"/>
    <c:showDLblsOverMax val="0"/>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40401171190273"/>
          <c:y val="0.20831875432133887"/>
          <c:w val="0.47536044953494044"/>
          <c:h val="0.72051843236635094"/>
        </c:manualLayout>
      </c:layout>
      <c:doughnutChart>
        <c:varyColors val="1"/>
        <c:ser>
          <c:idx val="0"/>
          <c:order val="0"/>
          <c:explosion val="9"/>
          <c:dPt>
            <c:idx val="1"/>
            <c:bubble3D val="0"/>
            <c:spPr>
              <a:solidFill>
                <a:srgbClr val="249390"/>
              </a:solidFill>
            </c:spPr>
            <c:extLst>
              <c:ext xmlns:c16="http://schemas.microsoft.com/office/drawing/2014/chart" uri="{C3380CC4-5D6E-409C-BE32-E72D297353CC}">
                <c16:uniqueId val="{00000003-5BF3-44AD-8C10-00D0AD7DFC99}"/>
              </c:ext>
            </c:extLst>
          </c:dPt>
          <c:dPt>
            <c:idx val="2"/>
            <c:bubble3D val="0"/>
            <c:spPr>
              <a:solidFill>
                <a:srgbClr val="33CCCC"/>
              </a:solidFill>
            </c:spPr>
            <c:extLst>
              <c:ext xmlns:c16="http://schemas.microsoft.com/office/drawing/2014/chart" uri="{C3380CC4-5D6E-409C-BE32-E72D297353CC}">
                <c16:uniqueId val="{00000000-5BF3-44AD-8C10-00D0AD7DFC99}"/>
              </c:ext>
            </c:extLst>
          </c:dPt>
          <c:dPt>
            <c:idx val="3"/>
            <c:bubble3D val="0"/>
            <c:spPr>
              <a:solidFill>
                <a:srgbClr val="C4F2F1"/>
              </a:solidFill>
            </c:spPr>
            <c:extLst>
              <c:ext xmlns:c16="http://schemas.microsoft.com/office/drawing/2014/chart" uri="{C3380CC4-5D6E-409C-BE32-E72D297353CC}">
                <c16:uniqueId val="{00000005-5BF3-44AD-8C10-00D0AD7DFC99}"/>
              </c:ext>
            </c:extLst>
          </c:dPt>
          <c:dPt>
            <c:idx val="4"/>
            <c:bubble3D val="0"/>
            <c:spPr>
              <a:solidFill>
                <a:srgbClr val="FFC000"/>
              </a:solidFill>
            </c:spPr>
            <c:extLst>
              <c:ext xmlns:c16="http://schemas.microsoft.com/office/drawing/2014/chart" uri="{C3380CC4-5D6E-409C-BE32-E72D297353CC}">
                <c16:uniqueId val="{00000006-5BF3-44AD-8C10-00D0AD7DFC99}"/>
              </c:ext>
            </c:extLst>
          </c:dPt>
          <c:dLbls>
            <c:dLbl>
              <c:idx val="0"/>
              <c:delete val="1"/>
              <c:extLst>
                <c:ext xmlns:c15="http://schemas.microsoft.com/office/drawing/2012/chart" uri="{CE6537A1-D6FC-4f65-9D91-7224C49458BB}"/>
                <c:ext xmlns:c16="http://schemas.microsoft.com/office/drawing/2014/chart" uri="{C3380CC4-5D6E-409C-BE32-E72D297353CC}">
                  <c16:uniqueId val="{00000007-5BF3-44AD-8C10-00D0AD7DFC99}"/>
                </c:ext>
              </c:extLst>
            </c:dLbl>
            <c:dLbl>
              <c:idx val="4"/>
              <c:layout>
                <c:manualLayout>
                  <c:x val="-1.3222220409902714E-2"/>
                  <c:y val="-0.15200739529942067"/>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5BF3-44AD-8C10-00D0AD7DFC99}"/>
                </c:ext>
              </c:extLst>
            </c:dLbl>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'6.14'!$C$5:$G$5</c:f>
              <c:strCache>
                <c:ptCount val="5"/>
                <c:pt idx="0">
                  <c:v>Under 16</c:v>
                </c:pt>
                <c:pt idx="1">
                  <c:v>16 - 24</c:v>
                </c:pt>
                <c:pt idx="2">
                  <c:v>25 - 39</c:v>
                </c:pt>
                <c:pt idx="3">
                  <c:v>40+</c:v>
                </c:pt>
                <c:pt idx="4">
                  <c:v>Age not stated</c:v>
                </c:pt>
              </c:strCache>
            </c:strRef>
          </c:cat>
          <c:val>
            <c:numRef>
              <c:f>'6.14'!$C$25:$G$25</c:f>
              <c:numCache>
                <c:formatCode>_(* #,##0_);_(* \(#,##0\);_(* "-"??_);_(@_)</c:formatCode>
                <c:ptCount val="5"/>
                <c:pt idx="0">
                  <c:v>1</c:v>
                </c:pt>
                <c:pt idx="1">
                  <c:v>265</c:v>
                </c:pt>
                <c:pt idx="2">
                  <c:v>590</c:v>
                </c:pt>
                <c:pt idx="3">
                  <c:v>114</c:v>
                </c:pt>
                <c:pt idx="4" formatCode="0">
                  <c:v>8</c:v>
                </c:pt>
              </c:numCache>
            </c:numRef>
          </c:val>
          <c:extLst>
            <c:ext xmlns:c16="http://schemas.microsoft.com/office/drawing/2014/chart" uri="{C3380CC4-5D6E-409C-BE32-E72D297353CC}">
              <c16:uniqueId val="{00000000-564C-474B-8092-8BAACDAAF785}"/>
            </c:ext>
          </c:extLst>
        </c:ser>
        <c:dLbls>
          <c:showLegendKey val="0"/>
          <c:showVal val="0"/>
          <c:showCatName val="1"/>
          <c:showSerName val="0"/>
          <c:showPercent val="1"/>
          <c:showBubbleSize val="0"/>
          <c:showLeaderLines val="0"/>
        </c:dLbls>
        <c:firstSliceAng val="0"/>
        <c:holeSize val="50"/>
      </c:doughnutChart>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107157</xdr:colOff>
      <xdr:row>67</xdr:row>
      <xdr:rowOff>103754</xdr:rowOff>
    </xdr:from>
    <xdr:to>
      <xdr:col>6</xdr:col>
      <xdr:colOff>0</xdr:colOff>
      <xdr:row>83</xdr:row>
      <xdr:rowOff>41671</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464345</xdr:colOff>
      <xdr:row>68</xdr:row>
      <xdr:rowOff>17862</xdr:rowOff>
    </xdr:from>
    <xdr:to>
      <xdr:col>5</xdr:col>
      <xdr:colOff>990600</xdr:colOff>
      <xdr:row>69</xdr:row>
      <xdr:rowOff>19051</xdr:rowOff>
    </xdr:to>
    <xdr:sp macro="" textlink="">
      <xdr:nvSpPr>
        <xdr:cNvPr id="54" name="TextBox 53"/>
        <xdr:cNvSpPr txBox="1"/>
      </xdr:nvSpPr>
      <xdr:spPr>
        <a:xfrm>
          <a:off x="464345" y="130671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51</xdr:row>
      <xdr:rowOff>72862</xdr:rowOff>
    </xdr:from>
    <xdr:to>
      <xdr:col>5</xdr:col>
      <xdr:colOff>586220</xdr:colOff>
      <xdr:row>51</xdr:row>
      <xdr:rowOff>76200</xdr:rowOff>
    </xdr:to>
    <xdr:sp macro="" textlink="">
      <xdr:nvSpPr>
        <xdr:cNvPr id="55" name="Line 4"/>
        <xdr:cNvSpPr>
          <a:spLocks noChangeShapeType="1"/>
        </xdr:cNvSpPr>
      </xdr:nvSpPr>
      <xdr:spPr bwMode="auto">
        <a:xfrm>
          <a:off x="1074592" y="103693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32</xdr:row>
      <xdr:rowOff>109104</xdr:rowOff>
    </xdr:from>
    <xdr:to>
      <xdr:col>5</xdr:col>
      <xdr:colOff>506556</xdr:colOff>
      <xdr:row>32</xdr:row>
      <xdr:rowOff>109104</xdr:rowOff>
    </xdr:to>
    <xdr:sp macro="" textlink="">
      <xdr:nvSpPr>
        <xdr:cNvPr id="56" name="Line 4"/>
        <xdr:cNvSpPr>
          <a:spLocks noChangeShapeType="1"/>
        </xdr:cNvSpPr>
      </xdr:nvSpPr>
      <xdr:spPr bwMode="auto">
        <a:xfrm>
          <a:off x="882360" y="73290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69</xdr:row>
      <xdr:rowOff>47625</xdr:rowOff>
    </xdr:from>
    <xdr:to>
      <xdr:col>5</xdr:col>
      <xdr:colOff>688398</xdr:colOff>
      <xdr:row>69</xdr:row>
      <xdr:rowOff>47625</xdr:rowOff>
    </xdr:to>
    <xdr:sp macro="" textlink="">
      <xdr:nvSpPr>
        <xdr:cNvPr id="57" name="Line 4"/>
        <xdr:cNvSpPr>
          <a:spLocks noChangeShapeType="1"/>
        </xdr:cNvSpPr>
      </xdr:nvSpPr>
      <xdr:spPr bwMode="auto">
        <a:xfrm>
          <a:off x="519545" y="132588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51</xdr:row>
      <xdr:rowOff>51954</xdr:rowOff>
    </xdr:from>
    <xdr:to>
      <xdr:col>1</xdr:col>
      <xdr:colOff>251114</xdr:colOff>
      <xdr:row>52</xdr:row>
      <xdr:rowOff>43295</xdr:rowOff>
    </xdr:to>
    <xdr:sp macro="" textlink="">
      <xdr:nvSpPr>
        <xdr:cNvPr id="58" name="TextBox 57"/>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67</xdr:row>
      <xdr:rowOff>103754</xdr:rowOff>
    </xdr:from>
    <xdr:to>
      <xdr:col>6</xdr:col>
      <xdr:colOff>0</xdr:colOff>
      <xdr:row>83</xdr:row>
      <xdr:rowOff>41671</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464345</xdr:colOff>
      <xdr:row>68</xdr:row>
      <xdr:rowOff>17862</xdr:rowOff>
    </xdr:from>
    <xdr:to>
      <xdr:col>5</xdr:col>
      <xdr:colOff>990600</xdr:colOff>
      <xdr:row>69</xdr:row>
      <xdr:rowOff>19051</xdr:rowOff>
    </xdr:to>
    <xdr:sp macro="" textlink="">
      <xdr:nvSpPr>
        <xdr:cNvPr id="60" name="TextBox 59"/>
        <xdr:cNvSpPr txBox="1"/>
      </xdr:nvSpPr>
      <xdr:spPr>
        <a:xfrm>
          <a:off x="464345" y="130671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2017</a:t>
          </a:r>
        </a:p>
      </xdr:txBody>
    </xdr:sp>
    <xdr:clientData/>
  </xdr:twoCellAnchor>
  <xdr:twoCellAnchor>
    <xdr:from>
      <xdr:col>1</xdr:col>
      <xdr:colOff>369742</xdr:colOff>
      <xdr:row>51</xdr:row>
      <xdr:rowOff>72862</xdr:rowOff>
    </xdr:from>
    <xdr:to>
      <xdr:col>5</xdr:col>
      <xdr:colOff>586220</xdr:colOff>
      <xdr:row>51</xdr:row>
      <xdr:rowOff>76200</xdr:rowOff>
    </xdr:to>
    <xdr:sp macro="" textlink="">
      <xdr:nvSpPr>
        <xdr:cNvPr id="61" name="Line 4"/>
        <xdr:cNvSpPr>
          <a:spLocks noChangeShapeType="1"/>
        </xdr:cNvSpPr>
      </xdr:nvSpPr>
      <xdr:spPr bwMode="auto">
        <a:xfrm>
          <a:off x="1074592" y="103693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32</xdr:row>
      <xdr:rowOff>109104</xdr:rowOff>
    </xdr:from>
    <xdr:to>
      <xdr:col>5</xdr:col>
      <xdr:colOff>506556</xdr:colOff>
      <xdr:row>32</xdr:row>
      <xdr:rowOff>109104</xdr:rowOff>
    </xdr:to>
    <xdr:sp macro="" textlink="">
      <xdr:nvSpPr>
        <xdr:cNvPr id="62" name="Line 4"/>
        <xdr:cNvSpPr>
          <a:spLocks noChangeShapeType="1"/>
        </xdr:cNvSpPr>
      </xdr:nvSpPr>
      <xdr:spPr bwMode="auto">
        <a:xfrm>
          <a:off x="882360" y="73290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69</xdr:row>
      <xdr:rowOff>47625</xdr:rowOff>
    </xdr:from>
    <xdr:to>
      <xdr:col>5</xdr:col>
      <xdr:colOff>688398</xdr:colOff>
      <xdr:row>69</xdr:row>
      <xdr:rowOff>47625</xdr:rowOff>
    </xdr:to>
    <xdr:sp macro="" textlink="">
      <xdr:nvSpPr>
        <xdr:cNvPr id="63" name="Line 4"/>
        <xdr:cNvSpPr>
          <a:spLocks noChangeShapeType="1"/>
        </xdr:cNvSpPr>
      </xdr:nvSpPr>
      <xdr:spPr bwMode="auto">
        <a:xfrm>
          <a:off x="519545" y="13258800"/>
          <a:ext cx="4540828"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51</xdr:row>
      <xdr:rowOff>51954</xdr:rowOff>
    </xdr:from>
    <xdr:to>
      <xdr:col>1</xdr:col>
      <xdr:colOff>251114</xdr:colOff>
      <xdr:row>52</xdr:row>
      <xdr:rowOff>43295</xdr:rowOff>
    </xdr:to>
    <xdr:sp macro="" textlink="">
      <xdr:nvSpPr>
        <xdr:cNvPr id="64" name="TextBox 63"/>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67</xdr:row>
      <xdr:rowOff>103754</xdr:rowOff>
    </xdr:from>
    <xdr:to>
      <xdr:col>6</xdr:col>
      <xdr:colOff>0</xdr:colOff>
      <xdr:row>83</xdr:row>
      <xdr:rowOff>41671</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464345</xdr:colOff>
      <xdr:row>68</xdr:row>
      <xdr:rowOff>17862</xdr:rowOff>
    </xdr:from>
    <xdr:to>
      <xdr:col>5</xdr:col>
      <xdr:colOff>990600</xdr:colOff>
      <xdr:row>69</xdr:row>
      <xdr:rowOff>19051</xdr:rowOff>
    </xdr:to>
    <xdr:sp macro="" textlink="">
      <xdr:nvSpPr>
        <xdr:cNvPr id="66" name="TextBox 65"/>
        <xdr:cNvSpPr txBox="1"/>
      </xdr:nvSpPr>
      <xdr:spPr>
        <a:xfrm>
          <a:off x="464345" y="130671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51</xdr:row>
      <xdr:rowOff>72862</xdr:rowOff>
    </xdr:from>
    <xdr:to>
      <xdr:col>5</xdr:col>
      <xdr:colOff>586220</xdr:colOff>
      <xdr:row>51</xdr:row>
      <xdr:rowOff>76200</xdr:rowOff>
    </xdr:to>
    <xdr:sp macro="" textlink="">
      <xdr:nvSpPr>
        <xdr:cNvPr id="67" name="Line 4"/>
        <xdr:cNvSpPr>
          <a:spLocks noChangeShapeType="1"/>
        </xdr:cNvSpPr>
      </xdr:nvSpPr>
      <xdr:spPr bwMode="auto">
        <a:xfrm>
          <a:off x="1074592" y="103693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69</xdr:row>
      <xdr:rowOff>47625</xdr:rowOff>
    </xdr:from>
    <xdr:to>
      <xdr:col>5</xdr:col>
      <xdr:colOff>688398</xdr:colOff>
      <xdr:row>69</xdr:row>
      <xdr:rowOff>47625</xdr:rowOff>
    </xdr:to>
    <xdr:sp macro="" textlink="">
      <xdr:nvSpPr>
        <xdr:cNvPr id="68" name="Line 4"/>
        <xdr:cNvSpPr>
          <a:spLocks noChangeShapeType="1"/>
        </xdr:cNvSpPr>
      </xdr:nvSpPr>
      <xdr:spPr bwMode="auto">
        <a:xfrm>
          <a:off x="519545" y="132588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51</xdr:row>
      <xdr:rowOff>51954</xdr:rowOff>
    </xdr:from>
    <xdr:to>
      <xdr:col>1</xdr:col>
      <xdr:colOff>251114</xdr:colOff>
      <xdr:row>52</xdr:row>
      <xdr:rowOff>43295</xdr:rowOff>
    </xdr:to>
    <xdr:sp macro="" textlink="">
      <xdr:nvSpPr>
        <xdr:cNvPr id="69" name="TextBox 68"/>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142433</xdr:colOff>
      <xdr:row>30</xdr:row>
      <xdr:rowOff>148297</xdr:rowOff>
    </xdr:from>
    <xdr:to>
      <xdr:col>6</xdr:col>
      <xdr:colOff>834774</xdr:colOff>
      <xdr:row>48</xdr:row>
      <xdr:rowOff>53047</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113620</xdr:colOff>
      <xdr:row>49</xdr:row>
      <xdr:rowOff>154441</xdr:rowOff>
    </xdr:from>
    <xdr:to>
      <xdr:col>6</xdr:col>
      <xdr:colOff>770562</xdr:colOff>
      <xdr:row>66</xdr:row>
      <xdr:rowOff>144916</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107157</xdr:colOff>
      <xdr:row>67</xdr:row>
      <xdr:rowOff>103754</xdr:rowOff>
    </xdr:from>
    <xdr:to>
      <xdr:col>6</xdr:col>
      <xdr:colOff>759860</xdr:colOff>
      <xdr:row>83</xdr:row>
      <xdr:rowOff>41671</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464345</xdr:colOff>
      <xdr:row>68</xdr:row>
      <xdr:rowOff>17862</xdr:rowOff>
    </xdr:from>
    <xdr:to>
      <xdr:col>6</xdr:col>
      <xdr:colOff>279933</xdr:colOff>
      <xdr:row>69</xdr:row>
      <xdr:rowOff>19051</xdr:rowOff>
    </xdr:to>
    <xdr:sp macro="" textlink="">
      <xdr:nvSpPr>
        <xdr:cNvPr id="73" name="TextBox 72"/>
        <xdr:cNvSpPr txBox="1"/>
      </xdr:nvSpPr>
      <xdr:spPr>
        <a:xfrm>
          <a:off x="464345" y="12185868"/>
          <a:ext cx="4927096" cy="164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6.15: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2020</a:t>
          </a:r>
        </a:p>
      </xdr:txBody>
    </xdr:sp>
    <xdr:clientData/>
  </xdr:twoCellAnchor>
  <xdr:twoCellAnchor>
    <xdr:from>
      <xdr:col>0</xdr:col>
      <xdr:colOff>138546</xdr:colOff>
      <xdr:row>51</xdr:row>
      <xdr:rowOff>51954</xdr:rowOff>
    </xdr:from>
    <xdr:to>
      <xdr:col>1</xdr:col>
      <xdr:colOff>251114</xdr:colOff>
      <xdr:row>52</xdr:row>
      <xdr:rowOff>43295</xdr:rowOff>
    </xdr:to>
    <xdr:sp macro="" textlink="">
      <xdr:nvSpPr>
        <xdr:cNvPr id="74" name="TextBox 73"/>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0.10541</cdr:x>
      <cdr:y>0.02999</cdr:y>
    </cdr:from>
    <cdr:to>
      <cdr:x>0.93731</cdr:x>
      <cdr:y>0.14211</cdr:y>
    </cdr:to>
    <cdr:sp macro="" textlink="">
      <cdr:nvSpPr>
        <cdr:cNvPr id="3" name="TextBox 2"/>
        <cdr:cNvSpPr txBox="1"/>
      </cdr:nvSpPr>
      <cdr:spPr>
        <a:xfrm xmlns:a="http://schemas.openxmlformats.org/drawingml/2006/main">
          <a:off x="649606" y="84554"/>
          <a:ext cx="5126731" cy="31611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ctr"/>
          <a:r>
            <a:rPr lang="en-US" sz="900" b="1">
              <a:latin typeface="Consolas" pitchFamily="49" charset="0"/>
              <a:cs typeface="Consolas" pitchFamily="49" charset="0"/>
            </a:rPr>
            <a:t>Figure 6.13: Drug abuse cases reported</a:t>
          </a:r>
          <a:r>
            <a:rPr lang="en-US" sz="1000" b="1">
              <a:latin typeface="Consolas" pitchFamily="49" charset="0"/>
              <a:cs typeface="Consolas" pitchFamily="49" charset="0"/>
            </a:rPr>
            <a:t> </a:t>
          </a:r>
          <a:r>
            <a:rPr lang="en-US" sz="900" b="1">
              <a:latin typeface="Consolas" pitchFamily="49" charset="0"/>
              <a:cs typeface="Consolas" pitchFamily="49" charset="0"/>
            </a:rPr>
            <a:t>by age group,</a:t>
          </a:r>
          <a:r>
            <a:rPr lang="en-US" sz="900" b="1" baseline="0">
              <a:latin typeface="Consolas" pitchFamily="49" charset="0"/>
              <a:cs typeface="Consolas" pitchFamily="49" charset="0"/>
            </a:rPr>
            <a:t> 2010 - 2020</a:t>
          </a:r>
          <a:endParaRPr lang="en-US" sz="900" b="1">
            <a:latin typeface="Consolas" pitchFamily="49" charset="0"/>
            <a:cs typeface="Consolas" pitchFamily="49"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0.14494</cdr:x>
      <cdr:y>0.02431</cdr:y>
    </cdr:from>
    <cdr:to>
      <cdr:x>0.9482</cdr:x>
      <cdr:y>0.09421</cdr:y>
    </cdr:to>
    <cdr:sp macro="" textlink="">
      <cdr:nvSpPr>
        <cdr:cNvPr id="2" name="TextBox 1"/>
        <cdr:cNvSpPr txBox="1"/>
      </cdr:nvSpPr>
      <cdr:spPr>
        <a:xfrm xmlns:a="http://schemas.openxmlformats.org/drawingml/2006/main">
          <a:off x="762928" y="66675"/>
          <a:ext cx="4228172" cy="19176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a:latin typeface="Consolas" pitchFamily="49" charset="0"/>
              <a:cs typeface="Consolas" pitchFamily="49" charset="0"/>
            </a:rPr>
            <a:t>Figure 6.14:</a:t>
          </a:r>
          <a:r>
            <a:rPr lang="en-US" sz="1050" b="1" baseline="0">
              <a:latin typeface="Consolas" pitchFamily="49" charset="0"/>
              <a:cs typeface="Consolas" pitchFamily="49" charset="0"/>
            </a:rPr>
            <a:t> Number of </a:t>
          </a:r>
          <a:r>
            <a:rPr lang="en-US" sz="1050" b="1">
              <a:latin typeface="Consolas" pitchFamily="49" charset="0"/>
              <a:cs typeface="Consolas" pitchFamily="49" charset="0"/>
            </a:rPr>
            <a:t>drug abuse cases, 2001 - 2020</a:t>
          </a:r>
        </a:p>
      </cdr:txBody>
    </cdr:sp>
  </cdr:relSizeAnchor>
  <cdr:relSizeAnchor xmlns:cdr="http://schemas.openxmlformats.org/drawingml/2006/chartDrawing">
    <cdr:from>
      <cdr:x>0.0107</cdr:x>
      <cdr:y>0.89056</cdr:y>
    </cdr:from>
    <cdr:to>
      <cdr:x>0.97455</cdr:x>
      <cdr:y>0.99754</cdr:y>
    </cdr:to>
    <cdr:sp macro="" textlink="">
      <cdr:nvSpPr>
        <cdr:cNvPr id="3" name="TextBox 2"/>
        <cdr:cNvSpPr txBox="1"/>
      </cdr:nvSpPr>
      <cdr:spPr>
        <a:xfrm xmlns:a="http://schemas.openxmlformats.org/drawingml/2006/main">
          <a:off x="56402" y="2421910"/>
          <a:ext cx="5079184" cy="290951"/>
        </a:xfrm>
        <a:prstGeom xmlns:a="http://schemas.openxmlformats.org/drawingml/2006/main" prst="rect">
          <a:avLst/>
        </a:prstGeom>
        <a:solidFill xmlns:a="http://schemas.openxmlformats.org/drawingml/2006/main">
          <a:schemeClr val="bg1">
            <a:lumMod val="95000"/>
          </a:schemeClr>
        </a:solidFill>
      </cdr:spPr>
      <cdr:txBody>
        <a:bodyPr xmlns:a="http://schemas.openxmlformats.org/drawingml/2006/main" vertOverflow="clip" wrap="square" rtlCol="0"/>
        <a:lstStyle xmlns:a="http://schemas.openxmlformats.org/drawingml/2006/main"/>
        <a:p xmlns:a="http://schemas.openxmlformats.org/drawingml/2006/main">
          <a:r>
            <a:rPr lang="en-US" sz="600" b="1" i="1"/>
            <a:t>Note:</a:t>
          </a:r>
          <a:r>
            <a:rPr lang="en-US" sz="600" i="1"/>
            <a:t> Before 2017, the figures were the number of arrests made for each age category. From 2017 onwards, the figures will be the unique number of persons under each age category. Due to this reason, the figures will be much lesser than the previous years. </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FINAL\web\New%20folder\6.HEALTH\6.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RECEIVED/Health%20-%20Police%20new%20to%20mai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ril%202021/YEARBOOK%202021_%20Work%20from%20Home/RECEIVED/6.%20HEALTH_%20MP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NBS%20data%2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TB%20data%20to%20NBS%20-%202017%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2"/>
    </sheetNames>
    <sheetDataSet>
      <sheetData sheetId="0">
        <row r="4">
          <cell r="C4" t="str">
            <v>Under 16</v>
          </cell>
          <cell r="D4" t="str">
            <v>16 - 24</v>
          </cell>
          <cell r="E4" t="str">
            <v>25 - 39</v>
          </cell>
          <cell r="F4" t="str">
            <v>40 +</v>
          </cell>
        </row>
        <row r="21">
          <cell r="C21">
            <v>4</v>
          </cell>
          <cell r="D21">
            <v>229</v>
          </cell>
          <cell r="E21">
            <v>308</v>
          </cell>
          <cell r="F21">
            <v>86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2"/>
    </sheetNames>
    <sheetDataSet>
      <sheetData sheetId="0">
        <row r="4">
          <cell r="C4" t="str">
            <v>Under 16</v>
          </cell>
          <cell r="D4" t="str">
            <v>16 - 24</v>
          </cell>
          <cell r="E4" t="str">
            <v>25 - 39</v>
          </cell>
          <cell r="F4" t="str">
            <v>40+</v>
          </cell>
        </row>
        <row r="21">
          <cell r="C21">
            <v>4</v>
          </cell>
          <cell r="D21">
            <v>229</v>
          </cell>
          <cell r="E21">
            <v>308</v>
          </cell>
          <cell r="F21">
            <v>86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4"/>
    </sheetNames>
    <sheetDataSet>
      <sheetData sheetId="0">
        <row r="4">
          <cell r="A4" t="str">
            <v>Year</v>
          </cell>
          <cell r="C4" t="str">
            <v>Under 16</v>
          </cell>
          <cell r="D4" t="str">
            <v>16 - 24</v>
          </cell>
          <cell r="E4" t="str">
            <v>25 - 39</v>
          </cell>
          <cell r="F4" t="str">
            <v>40+</v>
          </cell>
        </row>
        <row r="9">
          <cell r="A9">
            <v>2005</v>
          </cell>
          <cell r="B9">
            <v>615</v>
          </cell>
        </row>
        <row r="10">
          <cell r="A10">
            <v>2006</v>
          </cell>
          <cell r="B10">
            <v>783</v>
          </cell>
        </row>
        <row r="11">
          <cell r="A11">
            <v>2007</v>
          </cell>
          <cell r="B11">
            <v>1187</v>
          </cell>
        </row>
        <row r="12">
          <cell r="A12">
            <v>2008</v>
          </cell>
          <cell r="B12">
            <v>1804</v>
          </cell>
        </row>
        <row r="13">
          <cell r="A13">
            <v>2009</v>
          </cell>
          <cell r="B13">
            <v>918</v>
          </cell>
        </row>
        <row r="14">
          <cell r="A14">
            <v>2010</v>
          </cell>
          <cell r="B14">
            <v>622</v>
          </cell>
        </row>
        <row r="15">
          <cell r="A15">
            <v>2011</v>
          </cell>
          <cell r="B15">
            <v>534</v>
          </cell>
        </row>
        <row r="16">
          <cell r="A16">
            <v>2012</v>
          </cell>
          <cell r="B16">
            <v>1005</v>
          </cell>
        </row>
        <row r="17">
          <cell r="A17">
            <v>2013</v>
          </cell>
          <cell r="B17">
            <v>1836</v>
          </cell>
          <cell r="C17">
            <v>11</v>
          </cell>
          <cell r="D17">
            <v>629</v>
          </cell>
          <cell r="E17">
            <v>1021</v>
          </cell>
          <cell r="F17">
            <v>175</v>
          </cell>
        </row>
        <row r="18">
          <cell r="A18">
            <v>2014</v>
          </cell>
          <cell r="B18">
            <v>2311</v>
          </cell>
          <cell r="C18">
            <v>18</v>
          </cell>
          <cell r="D18">
            <v>777</v>
          </cell>
          <cell r="E18">
            <v>1277</v>
          </cell>
          <cell r="F18">
            <v>239</v>
          </cell>
        </row>
        <row r="19">
          <cell r="A19">
            <v>2015</v>
          </cell>
          <cell r="B19">
            <v>1386</v>
          </cell>
          <cell r="C19">
            <v>11</v>
          </cell>
          <cell r="D19">
            <v>514</v>
          </cell>
          <cell r="E19">
            <v>719</v>
          </cell>
          <cell r="F19">
            <v>142</v>
          </cell>
        </row>
        <row r="20">
          <cell r="A20">
            <v>2016</v>
          </cell>
          <cell r="B20">
            <v>1546</v>
          </cell>
          <cell r="C20">
            <v>19</v>
          </cell>
          <cell r="D20">
            <v>535</v>
          </cell>
          <cell r="E20">
            <v>777</v>
          </cell>
          <cell r="F20">
            <v>215</v>
          </cell>
        </row>
        <row r="21">
          <cell r="A21">
            <v>2017</v>
          </cell>
          <cell r="B21">
            <v>627</v>
          </cell>
          <cell r="C21">
            <v>4</v>
          </cell>
          <cell r="D21">
            <v>229</v>
          </cell>
          <cell r="E21">
            <v>308</v>
          </cell>
          <cell r="F21">
            <v>86</v>
          </cell>
        </row>
        <row r="22">
          <cell r="A22">
            <v>2018</v>
          </cell>
          <cell r="B22">
            <v>799</v>
          </cell>
          <cell r="C22">
            <v>10</v>
          </cell>
          <cell r="D22">
            <v>277</v>
          </cell>
          <cell r="E22">
            <v>443</v>
          </cell>
          <cell r="F22">
            <v>69</v>
          </cell>
        </row>
        <row r="23">
          <cell r="A23">
            <v>2019</v>
          </cell>
          <cell r="B23">
            <v>1172</v>
          </cell>
          <cell r="D23">
            <v>352</v>
          </cell>
          <cell r="E23">
            <v>634</v>
          </cell>
          <cell r="F23">
            <v>178</v>
          </cell>
        </row>
        <row r="24">
          <cell r="A24">
            <v>2020</v>
          </cell>
          <cell r="B24">
            <v>978</v>
          </cell>
          <cell r="D24">
            <v>265</v>
          </cell>
          <cell r="E24">
            <v>590</v>
          </cell>
          <cell r="F24">
            <v>114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7"/>
      <sheetName val="6.10"/>
      <sheetName val="6.11"/>
      <sheetName val="6.14"/>
      <sheetName val="6.15"/>
      <sheetName val="6.16"/>
      <sheetName val="6.17"/>
      <sheetName val="6.18"/>
      <sheetName val="6.20"/>
      <sheetName val="6.21"/>
    </sheetNames>
    <sheetDataSet>
      <sheetData sheetId="0">
        <row r="27">
          <cell r="AA27">
            <v>2009</v>
          </cell>
          <cell r="AB27">
            <v>99</v>
          </cell>
        </row>
        <row r="28">
          <cell r="AA28">
            <v>2010</v>
          </cell>
          <cell r="AB28">
            <v>100</v>
          </cell>
        </row>
        <row r="29">
          <cell r="AA29">
            <v>2011</v>
          </cell>
          <cell r="AB29">
            <v>88</v>
          </cell>
        </row>
        <row r="30">
          <cell r="AA30">
            <v>2012</v>
          </cell>
          <cell r="AB30">
            <v>110</v>
          </cell>
        </row>
        <row r="31">
          <cell r="AA31">
            <v>2013</v>
          </cell>
          <cell r="AB31">
            <v>110</v>
          </cell>
        </row>
        <row r="32">
          <cell r="AA32">
            <v>2014</v>
          </cell>
          <cell r="AB32">
            <v>131</v>
          </cell>
        </row>
        <row r="33">
          <cell r="AA33">
            <v>2015</v>
          </cell>
          <cell r="AB33">
            <v>153</v>
          </cell>
        </row>
      </sheetData>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7"/>
      <sheetName val="6.10"/>
      <sheetName val="6.11"/>
      <sheetName val="6.14"/>
      <sheetName val="6.15"/>
      <sheetName val="6.16"/>
      <sheetName val="6.17"/>
      <sheetName val="6.18"/>
      <sheetName val="6.20"/>
      <sheetName val="6.21"/>
    </sheetNames>
    <sheetDataSet>
      <sheetData sheetId="0">
        <row r="27">
          <cell r="AA27">
            <v>2009</v>
          </cell>
          <cell r="AB27">
            <v>99</v>
          </cell>
        </row>
        <row r="28">
          <cell r="AA28">
            <v>2010</v>
          </cell>
          <cell r="AB28">
            <v>100</v>
          </cell>
        </row>
        <row r="29">
          <cell r="AA29">
            <v>2011</v>
          </cell>
          <cell r="AB29">
            <v>88</v>
          </cell>
        </row>
        <row r="30">
          <cell r="AA30">
            <v>2012</v>
          </cell>
          <cell r="AB30">
            <v>110</v>
          </cell>
        </row>
        <row r="31">
          <cell r="AA31">
            <v>2013</v>
          </cell>
          <cell r="AB31">
            <v>110</v>
          </cell>
        </row>
        <row r="32">
          <cell r="AA32">
            <v>2014</v>
          </cell>
          <cell r="AB32">
            <v>131</v>
          </cell>
        </row>
        <row r="33">
          <cell r="AA33">
            <v>2015</v>
          </cell>
          <cell r="AB33">
            <v>153</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T74"/>
  <sheetViews>
    <sheetView tabSelected="1" zoomScaleNormal="100" workbookViewId="0">
      <selection activeCell="G14" sqref="G14"/>
    </sheetView>
  </sheetViews>
  <sheetFormatPr defaultColWidth="9.140625" defaultRowHeight="12.75" x14ac:dyDescent="0.2"/>
  <cols>
    <col min="1" max="1" width="10.5703125" style="26" customWidth="1"/>
    <col min="2" max="2" width="9.5703125" style="26" customWidth="1"/>
    <col min="3" max="7" width="14.140625" style="2" customWidth="1"/>
    <col min="8" max="8" width="2.28515625" style="2" customWidth="1"/>
    <col min="9" max="12" width="9.140625" style="2"/>
    <col min="13" max="13" width="9.140625" style="2" customWidth="1"/>
    <col min="14" max="27" width="4" style="2" customWidth="1"/>
    <col min="28" max="16384" width="9.140625" style="2"/>
  </cols>
  <sheetData>
    <row r="1" spans="1:17" ht="21" x14ac:dyDescent="0.15">
      <c r="A1" s="41" t="s">
        <v>13</v>
      </c>
      <c r="B1" s="41"/>
      <c r="C1" s="41"/>
      <c r="D1" s="41"/>
      <c r="E1" s="41"/>
      <c r="F1" s="41"/>
      <c r="G1" s="41"/>
    </row>
    <row r="2" spans="1:17" x14ac:dyDescent="0.15">
      <c r="A2" s="42" t="s">
        <v>12</v>
      </c>
      <c r="B2" s="42"/>
      <c r="C2" s="42"/>
      <c r="D2" s="42"/>
      <c r="E2" s="42"/>
      <c r="F2" s="42"/>
      <c r="G2" s="42"/>
    </row>
    <row r="3" spans="1:17" x14ac:dyDescent="0.15">
      <c r="A3" s="32"/>
      <c r="B3" s="32"/>
      <c r="C3" s="32"/>
      <c r="D3" s="32"/>
      <c r="E3" s="32"/>
      <c r="F3" s="32"/>
    </row>
    <row r="4" spans="1:17" s="4" customFormat="1" ht="17.25" x14ac:dyDescent="0.4">
      <c r="A4" s="3"/>
      <c r="B4" s="38" t="s">
        <v>0</v>
      </c>
      <c r="C4" s="40" t="s">
        <v>2</v>
      </c>
      <c r="D4" s="40"/>
      <c r="E4" s="40"/>
      <c r="F4" s="40"/>
      <c r="G4" s="40"/>
    </row>
    <row r="5" spans="1:17" ht="32.25" customHeight="1" x14ac:dyDescent="0.15">
      <c r="A5" s="5" t="s">
        <v>1</v>
      </c>
      <c r="B5" s="39"/>
      <c r="C5" s="6" t="s">
        <v>3</v>
      </c>
      <c r="D5" s="6" t="s">
        <v>4</v>
      </c>
      <c r="E5" s="6" t="s">
        <v>5</v>
      </c>
      <c r="F5" s="6" t="s">
        <v>11</v>
      </c>
      <c r="G5" s="33" t="s">
        <v>14</v>
      </c>
      <c r="I5" s="36"/>
      <c r="J5" s="36"/>
      <c r="K5" s="36"/>
      <c r="L5" s="36"/>
      <c r="M5" s="36"/>
      <c r="N5" s="36"/>
      <c r="O5" s="36"/>
      <c r="P5" s="36"/>
      <c r="Q5" s="36"/>
    </row>
    <row r="6" spans="1:17" s="10" customFormat="1" ht="18.75" customHeight="1" x14ac:dyDescent="0.2">
      <c r="A6" s="7">
        <v>2001</v>
      </c>
      <c r="B6" s="8">
        <f>SUM(C6:F6)</f>
        <v>216</v>
      </c>
      <c r="C6" s="9">
        <v>2</v>
      </c>
      <c r="D6" s="9">
        <v>123</v>
      </c>
      <c r="E6" s="9">
        <v>87</v>
      </c>
      <c r="F6" s="9">
        <v>4</v>
      </c>
      <c r="G6" s="1">
        <v>0</v>
      </c>
      <c r="I6" s="36"/>
      <c r="J6" s="36"/>
      <c r="K6" s="36"/>
      <c r="L6" s="36"/>
      <c r="M6" s="36"/>
      <c r="N6" s="36"/>
      <c r="O6" s="36"/>
      <c r="P6" s="36"/>
      <c r="Q6" s="36"/>
    </row>
    <row r="7" spans="1:17" s="10" customFormat="1" ht="18.75" customHeight="1" x14ac:dyDescent="0.2">
      <c r="A7" s="7">
        <v>2002</v>
      </c>
      <c r="B7" s="8">
        <f t="shared" ref="B7:B23" si="0">SUM(C7:F7)</f>
        <v>300</v>
      </c>
      <c r="C7" s="9">
        <v>6</v>
      </c>
      <c r="D7" s="9">
        <v>168</v>
      </c>
      <c r="E7" s="9">
        <v>119</v>
      </c>
      <c r="F7" s="9">
        <v>7</v>
      </c>
      <c r="G7" s="1">
        <v>0</v>
      </c>
      <c r="I7" s="36"/>
      <c r="J7" s="36"/>
      <c r="K7" s="36"/>
      <c r="L7" s="36"/>
      <c r="M7" s="36"/>
      <c r="N7" s="36"/>
      <c r="O7" s="36"/>
      <c r="P7" s="36"/>
      <c r="Q7" s="36"/>
    </row>
    <row r="8" spans="1:17" s="10" customFormat="1" ht="18.75" customHeight="1" x14ac:dyDescent="0.2">
      <c r="A8" s="11">
        <v>2003</v>
      </c>
      <c r="B8" s="8">
        <f t="shared" si="0"/>
        <v>340</v>
      </c>
      <c r="C8" s="12">
        <v>2</v>
      </c>
      <c r="D8" s="12">
        <v>180</v>
      </c>
      <c r="E8" s="12">
        <v>139</v>
      </c>
      <c r="F8" s="12">
        <v>19</v>
      </c>
      <c r="G8" s="1">
        <v>0</v>
      </c>
      <c r="I8" s="36"/>
      <c r="J8" s="36"/>
      <c r="K8" s="36"/>
      <c r="L8" s="36"/>
      <c r="M8" s="36"/>
      <c r="N8" s="36"/>
      <c r="O8" s="36"/>
      <c r="P8" s="36"/>
      <c r="Q8" s="36"/>
    </row>
    <row r="9" spans="1:17" s="10" customFormat="1" ht="15" x14ac:dyDescent="0.2">
      <c r="A9" s="11">
        <v>2004</v>
      </c>
      <c r="B9" s="8">
        <f t="shared" si="0"/>
        <v>697</v>
      </c>
      <c r="C9" s="12">
        <v>3</v>
      </c>
      <c r="D9" s="12">
        <v>347</v>
      </c>
      <c r="E9" s="12">
        <v>322</v>
      </c>
      <c r="F9" s="12">
        <v>25</v>
      </c>
      <c r="G9" s="1">
        <v>0</v>
      </c>
      <c r="I9" s="36"/>
      <c r="J9" s="36"/>
      <c r="K9" s="36"/>
      <c r="L9" s="36"/>
      <c r="M9" s="36"/>
      <c r="N9" s="36"/>
      <c r="O9" s="36"/>
      <c r="P9" s="36"/>
      <c r="Q9" s="36"/>
    </row>
    <row r="10" spans="1:17" s="13" customFormat="1" ht="15" x14ac:dyDescent="0.2">
      <c r="A10" s="11">
        <v>2005</v>
      </c>
      <c r="B10" s="8">
        <f t="shared" si="0"/>
        <v>615</v>
      </c>
      <c r="C10" s="12">
        <v>1</v>
      </c>
      <c r="D10" s="12">
        <v>325</v>
      </c>
      <c r="E10" s="12">
        <v>260</v>
      </c>
      <c r="F10" s="12">
        <v>29</v>
      </c>
      <c r="G10" s="1">
        <v>0</v>
      </c>
    </row>
    <row r="11" spans="1:17" s="13" customFormat="1" ht="15" x14ac:dyDescent="0.2">
      <c r="A11" s="11">
        <v>2006</v>
      </c>
      <c r="B11" s="8">
        <f t="shared" si="0"/>
        <v>783</v>
      </c>
      <c r="C11" s="12">
        <v>7</v>
      </c>
      <c r="D11" s="12">
        <v>363</v>
      </c>
      <c r="E11" s="12">
        <v>361</v>
      </c>
      <c r="F11" s="12">
        <v>52</v>
      </c>
      <c r="G11" s="1">
        <v>0</v>
      </c>
    </row>
    <row r="12" spans="1:17" s="13" customFormat="1" ht="15" x14ac:dyDescent="0.2">
      <c r="A12" s="11">
        <v>2007</v>
      </c>
      <c r="B12" s="8">
        <f t="shared" si="0"/>
        <v>1187</v>
      </c>
      <c r="C12" s="12">
        <v>23</v>
      </c>
      <c r="D12" s="12">
        <v>601</v>
      </c>
      <c r="E12" s="12">
        <v>509</v>
      </c>
      <c r="F12" s="12">
        <v>54</v>
      </c>
      <c r="G12" s="1">
        <v>0</v>
      </c>
    </row>
    <row r="13" spans="1:17" s="13" customFormat="1" ht="15" x14ac:dyDescent="0.2">
      <c r="A13" s="11">
        <v>2008</v>
      </c>
      <c r="B13" s="8">
        <f t="shared" si="0"/>
        <v>1804</v>
      </c>
      <c r="C13" s="14">
        <v>15</v>
      </c>
      <c r="D13" s="14">
        <v>936</v>
      </c>
      <c r="E13" s="14">
        <v>776</v>
      </c>
      <c r="F13" s="14">
        <v>77</v>
      </c>
      <c r="G13" s="1">
        <v>0</v>
      </c>
    </row>
    <row r="14" spans="1:17" s="13" customFormat="1" ht="15" x14ac:dyDescent="0.2">
      <c r="A14" s="11">
        <v>2009</v>
      </c>
      <c r="B14" s="8">
        <f t="shared" si="0"/>
        <v>918</v>
      </c>
      <c r="C14" s="14">
        <v>5</v>
      </c>
      <c r="D14" s="14">
        <v>410</v>
      </c>
      <c r="E14" s="14">
        <v>441</v>
      </c>
      <c r="F14" s="14">
        <v>62</v>
      </c>
      <c r="G14" s="1">
        <v>0</v>
      </c>
    </row>
    <row r="15" spans="1:17" s="13" customFormat="1" ht="15" x14ac:dyDescent="0.2">
      <c r="A15" s="11">
        <v>2010</v>
      </c>
      <c r="B15" s="8">
        <f t="shared" si="0"/>
        <v>622</v>
      </c>
      <c r="C15" s="14">
        <v>3</v>
      </c>
      <c r="D15" s="14">
        <v>284</v>
      </c>
      <c r="E15" s="14">
        <v>275</v>
      </c>
      <c r="F15" s="14">
        <v>60</v>
      </c>
      <c r="G15" s="1">
        <v>0</v>
      </c>
    </row>
    <row r="16" spans="1:17" s="13" customFormat="1" ht="15" x14ac:dyDescent="0.2">
      <c r="A16" s="11">
        <v>2011</v>
      </c>
      <c r="B16" s="8">
        <f t="shared" si="0"/>
        <v>534</v>
      </c>
      <c r="C16" s="14">
        <v>5</v>
      </c>
      <c r="D16" s="14">
        <v>196</v>
      </c>
      <c r="E16" s="14">
        <v>265</v>
      </c>
      <c r="F16" s="14">
        <v>68</v>
      </c>
      <c r="G16" s="1">
        <v>0</v>
      </c>
    </row>
    <row r="17" spans="1:20" s="13" customFormat="1" ht="15" x14ac:dyDescent="0.2">
      <c r="A17" s="11">
        <v>2012</v>
      </c>
      <c r="B17" s="8">
        <f t="shared" si="0"/>
        <v>1005</v>
      </c>
      <c r="C17" s="15">
        <v>8</v>
      </c>
      <c r="D17" s="15">
        <v>398</v>
      </c>
      <c r="E17" s="15">
        <v>493</v>
      </c>
      <c r="F17" s="15">
        <v>106</v>
      </c>
      <c r="G17" s="1">
        <v>0</v>
      </c>
    </row>
    <row r="18" spans="1:20" s="13" customFormat="1" ht="15" x14ac:dyDescent="0.2">
      <c r="A18" s="11">
        <v>2013</v>
      </c>
      <c r="B18" s="8">
        <f t="shared" si="0"/>
        <v>1836</v>
      </c>
      <c r="C18" s="12">
        <v>11</v>
      </c>
      <c r="D18" s="12">
        <v>629</v>
      </c>
      <c r="E18" s="12">
        <v>1021</v>
      </c>
      <c r="F18" s="12">
        <v>175</v>
      </c>
      <c r="G18" s="1">
        <v>0</v>
      </c>
    </row>
    <row r="19" spans="1:20" s="13" customFormat="1" ht="15" x14ac:dyDescent="0.2">
      <c r="A19" s="11">
        <v>2014</v>
      </c>
      <c r="B19" s="8">
        <f t="shared" si="0"/>
        <v>2311</v>
      </c>
      <c r="C19" s="12">
        <v>18</v>
      </c>
      <c r="D19" s="12">
        <v>777</v>
      </c>
      <c r="E19" s="12">
        <v>1277</v>
      </c>
      <c r="F19" s="12">
        <v>239</v>
      </c>
      <c r="G19" s="1">
        <v>0</v>
      </c>
    </row>
    <row r="20" spans="1:20" s="13" customFormat="1" ht="15" x14ac:dyDescent="0.2">
      <c r="A20" s="11">
        <v>2015</v>
      </c>
      <c r="B20" s="8">
        <f t="shared" si="0"/>
        <v>1386</v>
      </c>
      <c r="C20" s="12">
        <v>11</v>
      </c>
      <c r="D20" s="12">
        <v>514</v>
      </c>
      <c r="E20" s="12">
        <v>719</v>
      </c>
      <c r="F20" s="12">
        <v>142</v>
      </c>
      <c r="G20" s="1">
        <v>0</v>
      </c>
    </row>
    <row r="21" spans="1:20" s="13" customFormat="1" ht="15" x14ac:dyDescent="0.2">
      <c r="A21" s="11">
        <v>2016</v>
      </c>
      <c r="B21" s="8">
        <f t="shared" si="0"/>
        <v>1546</v>
      </c>
      <c r="C21" s="12">
        <v>19</v>
      </c>
      <c r="D21" s="12">
        <v>535</v>
      </c>
      <c r="E21" s="12">
        <v>777</v>
      </c>
      <c r="F21" s="12">
        <v>215</v>
      </c>
      <c r="G21" s="1">
        <v>0</v>
      </c>
    </row>
    <row r="22" spans="1:20" s="13" customFormat="1" ht="15" x14ac:dyDescent="0.2">
      <c r="A22" s="11">
        <v>2017</v>
      </c>
      <c r="B22" s="8">
        <f t="shared" si="0"/>
        <v>627</v>
      </c>
      <c r="C22" s="12">
        <v>4</v>
      </c>
      <c r="D22" s="12">
        <v>229</v>
      </c>
      <c r="E22" s="12">
        <v>308</v>
      </c>
      <c r="F22" s="12">
        <v>86</v>
      </c>
      <c r="G22" s="1">
        <v>0</v>
      </c>
    </row>
    <row r="23" spans="1:20" s="13" customFormat="1" ht="15" x14ac:dyDescent="0.2">
      <c r="A23" s="11">
        <v>2018</v>
      </c>
      <c r="B23" s="8">
        <f t="shared" si="0"/>
        <v>799</v>
      </c>
      <c r="C23" s="12">
        <v>10</v>
      </c>
      <c r="D23" s="12">
        <v>277</v>
      </c>
      <c r="E23" s="12">
        <v>443</v>
      </c>
      <c r="F23" s="12">
        <v>69</v>
      </c>
      <c r="G23" s="1">
        <v>0</v>
      </c>
    </row>
    <row r="24" spans="1:20" s="13" customFormat="1" ht="15" x14ac:dyDescent="0.2">
      <c r="A24" s="11">
        <v>2019</v>
      </c>
      <c r="B24" s="8">
        <f>SUM(C24:F24)</f>
        <v>1172</v>
      </c>
      <c r="C24" s="12">
        <v>8</v>
      </c>
      <c r="D24" s="12">
        <v>352</v>
      </c>
      <c r="E24" s="12">
        <v>634</v>
      </c>
      <c r="F24" s="12">
        <v>178</v>
      </c>
      <c r="G24" s="1">
        <v>0</v>
      </c>
    </row>
    <row r="25" spans="1:20" s="13" customFormat="1" x14ac:dyDescent="0.2">
      <c r="A25" s="16">
        <v>2020</v>
      </c>
      <c r="B25" s="31">
        <f>SUM(C25:G25)</f>
        <v>978</v>
      </c>
      <c r="C25" s="34">
        <v>1</v>
      </c>
      <c r="D25" s="34">
        <v>265</v>
      </c>
      <c r="E25" s="34">
        <v>590</v>
      </c>
      <c r="F25" s="34">
        <v>114</v>
      </c>
      <c r="G25" s="35">
        <v>8</v>
      </c>
    </row>
    <row r="26" spans="1:20" s="20" customFormat="1" x14ac:dyDescent="0.2">
      <c r="A26" s="17" t="s">
        <v>6</v>
      </c>
      <c r="B26" s="18"/>
      <c r="C26" s="19"/>
      <c r="D26" s="19"/>
      <c r="E26" s="19"/>
      <c r="G26" s="13"/>
      <c r="H26" s="13"/>
      <c r="I26" s="13"/>
      <c r="J26" s="13"/>
      <c r="K26" s="13"/>
      <c r="L26" s="13"/>
      <c r="M26" s="13"/>
      <c r="N26" s="13"/>
      <c r="O26" s="13"/>
      <c r="P26" s="13"/>
      <c r="Q26" s="13"/>
      <c r="R26" s="13"/>
      <c r="S26" s="13"/>
      <c r="T26" s="13"/>
    </row>
    <row r="27" spans="1:20" s="20" customFormat="1" x14ac:dyDescent="0.2">
      <c r="A27" s="37" t="s">
        <v>7</v>
      </c>
      <c r="B27" s="37"/>
      <c r="C27" s="37"/>
      <c r="D27" s="37"/>
      <c r="E27" s="37"/>
      <c r="F27" s="37"/>
      <c r="G27" s="13"/>
      <c r="H27" s="13"/>
      <c r="I27" s="13"/>
      <c r="J27" s="13"/>
      <c r="K27" s="13"/>
      <c r="L27" s="13"/>
      <c r="M27" s="13"/>
      <c r="N27" s="13"/>
    </row>
    <row r="28" spans="1:20" s="25" customFormat="1" x14ac:dyDescent="0.2">
      <c r="A28" s="21" t="s">
        <v>8</v>
      </c>
      <c r="B28" s="22"/>
      <c r="C28" s="23"/>
      <c r="D28" s="24"/>
      <c r="E28" s="24"/>
      <c r="G28" s="13"/>
      <c r="H28" s="13"/>
      <c r="I28" s="13"/>
      <c r="J28" s="13"/>
      <c r="K28" s="13"/>
      <c r="L28" s="13"/>
      <c r="M28" s="13"/>
      <c r="N28" s="13"/>
    </row>
    <row r="29" spans="1:20" ht="17.25" x14ac:dyDescent="0.45">
      <c r="F29" s="27" t="s">
        <v>9</v>
      </c>
      <c r="G29" s="13"/>
      <c r="H29" s="13"/>
      <c r="I29" s="13"/>
      <c r="J29" s="13"/>
      <c r="K29" s="13"/>
      <c r="L29" s="13"/>
      <c r="M29" s="13"/>
      <c r="N29" s="13"/>
    </row>
    <row r="30" spans="1:20" ht="17.25" x14ac:dyDescent="0.2">
      <c r="F30" s="28" t="s">
        <v>10</v>
      </c>
    </row>
    <row r="32" spans="1:20" x14ac:dyDescent="0.2">
      <c r="B32" s="29"/>
      <c r="C32" s="29"/>
      <c r="D32" s="26"/>
      <c r="E32" s="26"/>
      <c r="F32" s="26"/>
    </row>
    <row r="33" spans="2:13" x14ac:dyDescent="0.2">
      <c r="B33" s="29"/>
      <c r="C33" s="29"/>
      <c r="D33" s="26"/>
      <c r="E33" s="26"/>
      <c r="F33" s="26"/>
    </row>
    <row r="34" spans="2:13" x14ac:dyDescent="0.2">
      <c r="C34" s="26"/>
      <c r="D34" s="26"/>
      <c r="E34" s="26"/>
      <c r="F34" s="26"/>
    </row>
    <row r="35" spans="2:13" x14ac:dyDescent="0.2">
      <c r="C35" s="26"/>
      <c r="D35" s="26"/>
      <c r="E35" s="26"/>
      <c r="F35" s="26"/>
    </row>
    <row r="42" spans="2:13" x14ac:dyDescent="0.2">
      <c r="G42" s="30"/>
      <c r="H42" s="30"/>
      <c r="I42" s="30"/>
      <c r="J42" s="30"/>
      <c r="K42" s="30"/>
      <c r="L42" s="30"/>
      <c r="M42" s="30"/>
    </row>
    <row r="43" spans="2:13" x14ac:dyDescent="0.2">
      <c r="G43" s="30"/>
      <c r="H43" s="30"/>
      <c r="I43" s="30"/>
      <c r="J43" s="30"/>
      <c r="K43" s="30"/>
      <c r="L43" s="30"/>
      <c r="M43" s="30"/>
    </row>
    <row r="44" spans="2:13" x14ac:dyDescent="0.2">
      <c r="G44" s="30"/>
      <c r="H44" s="30"/>
      <c r="I44" s="30"/>
      <c r="J44" s="30"/>
      <c r="K44" s="30"/>
      <c r="L44" s="30"/>
      <c r="M44" s="30"/>
    </row>
    <row r="45" spans="2:13" x14ac:dyDescent="0.2">
      <c r="G45" s="30"/>
      <c r="H45" s="30"/>
      <c r="I45" s="30"/>
      <c r="J45" s="30"/>
      <c r="K45" s="30"/>
      <c r="L45" s="30"/>
      <c r="M45" s="30"/>
    </row>
    <row r="46" spans="2:13" x14ac:dyDescent="0.2">
      <c r="G46" s="30"/>
      <c r="H46" s="30"/>
      <c r="I46" s="30"/>
      <c r="J46" s="30"/>
      <c r="K46" s="30"/>
      <c r="L46" s="30"/>
      <c r="M46" s="30"/>
    </row>
    <row r="47" spans="2:13" x14ac:dyDescent="0.2">
      <c r="G47" s="30"/>
      <c r="H47" s="30"/>
      <c r="I47" s="30"/>
      <c r="J47" s="30"/>
      <c r="K47" s="30"/>
      <c r="L47" s="30"/>
      <c r="M47" s="30"/>
    </row>
    <row r="48" spans="2:13" x14ac:dyDescent="0.2">
      <c r="G48" s="30"/>
      <c r="H48" s="30"/>
      <c r="I48" s="30"/>
      <c r="J48" s="30"/>
      <c r="K48" s="30"/>
      <c r="L48" s="30"/>
      <c r="M48" s="30"/>
    </row>
    <row r="49" spans="7:13" x14ac:dyDescent="0.2">
      <c r="G49" s="30"/>
      <c r="H49" s="30"/>
      <c r="I49" s="30"/>
      <c r="J49" s="30"/>
      <c r="K49" s="30"/>
      <c r="L49" s="30"/>
      <c r="M49" s="30"/>
    </row>
    <row r="50" spans="7:13" x14ac:dyDescent="0.2">
      <c r="G50" s="30"/>
      <c r="H50" s="30"/>
      <c r="I50" s="30"/>
      <c r="J50" s="30"/>
      <c r="K50" s="30"/>
      <c r="L50" s="30"/>
      <c r="M50" s="30"/>
    </row>
    <row r="51" spans="7:13" x14ac:dyDescent="0.2">
      <c r="G51" s="30"/>
      <c r="H51" s="30"/>
      <c r="I51" s="30"/>
      <c r="J51" s="30"/>
      <c r="K51" s="30"/>
      <c r="L51" s="30"/>
      <c r="M51" s="30"/>
    </row>
    <row r="52" spans="7:13" x14ac:dyDescent="0.2">
      <c r="G52" s="30"/>
      <c r="H52" s="30"/>
      <c r="I52" s="30"/>
      <c r="J52" s="30"/>
      <c r="K52" s="30"/>
      <c r="L52" s="30"/>
      <c r="M52" s="30"/>
    </row>
    <row r="53" spans="7:13" x14ac:dyDescent="0.2">
      <c r="G53" s="30"/>
      <c r="H53" s="30"/>
      <c r="I53" s="30"/>
      <c r="J53" s="30"/>
      <c r="K53" s="30"/>
      <c r="L53" s="30"/>
      <c r="M53" s="30"/>
    </row>
    <row r="54" spans="7:13" x14ac:dyDescent="0.2">
      <c r="G54" s="30"/>
      <c r="H54" s="30"/>
      <c r="I54" s="30"/>
      <c r="J54" s="30"/>
      <c r="K54" s="30"/>
      <c r="L54" s="30"/>
      <c r="M54" s="30"/>
    </row>
    <row r="55" spans="7:13" x14ac:dyDescent="0.2">
      <c r="G55" s="30"/>
      <c r="H55" s="30"/>
      <c r="I55" s="30"/>
      <c r="J55" s="30"/>
      <c r="K55" s="30"/>
      <c r="L55" s="30"/>
      <c r="M55" s="30"/>
    </row>
    <row r="56" spans="7:13" x14ac:dyDescent="0.2">
      <c r="G56" s="30"/>
      <c r="H56" s="30"/>
      <c r="I56" s="30"/>
      <c r="J56" s="30"/>
      <c r="K56" s="30"/>
      <c r="L56" s="30"/>
      <c r="M56" s="30"/>
    </row>
    <row r="57" spans="7:13" x14ac:dyDescent="0.2">
      <c r="G57" s="30"/>
      <c r="H57" s="30"/>
      <c r="I57" s="30"/>
      <c r="J57" s="30"/>
      <c r="K57" s="30"/>
      <c r="L57" s="30"/>
      <c r="M57" s="30"/>
    </row>
    <row r="58" spans="7:13" x14ac:dyDescent="0.2">
      <c r="G58" s="30"/>
      <c r="H58" s="30"/>
      <c r="I58" s="30"/>
      <c r="J58" s="30"/>
      <c r="K58" s="30"/>
      <c r="L58" s="30"/>
      <c r="M58" s="30"/>
    </row>
    <row r="59" spans="7:13" x14ac:dyDescent="0.2">
      <c r="G59" s="30"/>
      <c r="H59" s="30"/>
      <c r="I59" s="30"/>
      <c r="J59" s="30"/>
      <c r="K59" s="30"/>
      <c r="L59" s="30"/>
      <c r="M59" s="30"/>
    </row>
    <row r="60" spans="7:13" x14ac:dyDescent="0.2">
      <c r="G60" s="30"/>
      <c r="H60" s="30"/>
      <c r="I60" s="30"/>
      <c r="J60" s="30"/>
      <c r="K60" s="30"/>
      <c r="L60" s="30"/>
      <c r="M60" s="30"/>
    </row>
    <row r="61" spans="7:13" x14ac:dyDescent="0.2">
      <c r="G61" s="30"/>
      <c r="H61" s="30"/>
      <c r="I61" s="30"/>
      <c r="J61" s="30"/>
      <c r="K61" s="30"/>
      <c r="L61" s="30"/>
      <c r="M61" s="30"/>
    </row>
    <row r="62" spans="7:13" x14ac:dyDescent="0.2">
      <c r="G62" s="30"/>
      <c r="H62" s="30"/>
      <c r="I62" s="30"/>
      <c r="J62" s="30"/>
      <c r="K62" s="30"/>
      <c r="L62" s="30"/>
      <c r="M62" s="30"/>
    </row>
    <row r="63" spans="7:13" x14ac:dyDescent="0.2">
      <c r="G63" s="30"/>
      <c r="H63" s="30"/>
      <c r="I63" s="30"/>
      <c r="J63" s="30"/>
      <c r="K63" s="30"/>
      <c r="L63" s="30"/>
      <c r="M63" s="30"/>
    </row>
    <row r="64" spans="7:13" x14ac:dyDescent="0.2">
      <c r="G64" s="30"/>
      <c r="H64" s="30"/>
      <c r="I64" s="30"/>
      <c r="J64" s="30"/>
      <c r="K64" s="30"/>
      <c r="L64" s="30"/>
      <c r="M64" s="30"/>
    </row>
    <row r="65" spans="7:13" x14ac:dyDescent="0.2">
      <c r="G65" s="30"/>
      <c r="H65" s="30"/>
      <c r="I65" s="30"/>
      <c r="J65" s="30"/>
      <c r="K65" s="30"/>
      <c r="L65" s="30"/>
      <c r="M65" s="30"/>
    </row>
    <row r="66" spans="7:13" x14ac:dyDescent="0.2">
      <c r="G66" s="30"/>
      <c r="H66" s="30"/>
      <c r="I66" s="30"/>
      <c r="J66" s="30"/>
      <c r="K66" s="30"/>
      <c r="L66" s="30"/>
      <c r="M66" s="30"/>
    </row>
    <row r="67" spans="7:13" x14ac:dyDescent="0.2">
      <c r="G67" s="30"/>
      <c r="H67" s="30"/>
      <c r="I67" s="30"/>
      <c r="J67" s="30"/>
      <c r="K67" s="30"/>
      <c r="L67" s="30"/>
      <c r="M67" s="30"/>
    </row>
    <row r="68" spans="7:13" x14ac:dyDescent="0.2">
      <c r="G68" s="30"/>
      <c r="H68" s="30"/>
      <c r="I68" s="30"/>
      <c r="J68" s="30"/>
      <c r="K68" s="30"/>
      <c r="L68" s="30"/>
      <c r="M68" s="30"/>
    </row>
    <row r="69" spans="7:13" x14ac:dyDescent="0.2">
      <c r="G69" s="30"/>
      <c r="H69" s="30"/>
      <c r="I69" s="30"/>
      <c r="J69" s="30"/>
      <c r="K69" s="30"/>
      <c r="L69" s="30"/>
      <c r="M69" s="30"/>
    </row>
    <row r="70" spans="7:13" x14ac:dyDescent="0.2">
      <c r="G70" s="30"/>
      <c r="H70" s="30"/>
      <c r="I70" s="30"/>
      <c r="J70" s="30"/>
      <c r="K70" s="30"/>
      <c r="L70" s="30"/>
      <c r="M70" s="30"/>
    </row>
    <row r="71" spans="7:13" x14ac:dyDescent="0.2">
      <c r="G71" s="30"/>
      <c r="H71" s="30"/>
      <c r="I71" s="30"/>
      <c r="J71" s="30"/>
      <c r="K71" s="30"/>
      <c r="L71" s="30"/>
      <c r="M71" s="30"/>
    </row>
    <row r="72" spans="7:13" x14ac:dyDescent="0.2">
      <c r="G72" s="30"/>
      <c r="H72" s="30"/>
      <c r="I72" s="30"/>
      <c r="J72" s="30"/>
      <c r="K72" s="30"/>
      <c r="L72" s="30"/>
      <c r="M72" s="30"/>
    </row>
    <row r="73" spans="7:13" x14ac:dyDescent="0.2">
      <c r="G73" s="30"/>
      <c r="H73" s="30"/>
      <c r="I73" s="30"/>
      <c r="J73" s="30"/>
      <c r="K73" s="30"/>
      <c r="L73" s="30"/>
      <c r="M73" s="30"/>
    </row>
    <row r="74" spans="7:13" x14ac:dyDescent="0.2">
      <c r="G74" s="30"/>
      <c r="H74" s="30"/>
      <c r="I74" s="30"/>
      <c r="J74" s="30"/>
      <c r="K74" s="30"/>
      <c r="L74" s="30"/>
      <c r="M74" s="30"/>
    </row>
  </sheetData>
  <mergeCells count="6">
    <mergeCell ref="I5:Q9"/>
    <mergeCell ref="A27:F27"/>
    <mergeCell ref="B4:B5"/>
    <mergeCell ref="C4:G4"/>
    <mergeCell ref="A1:G1"/>
    <mergeCell ref="A2:G2"/>
  </mergeCells>
  <pageMargins left="0.7" right="0.7" top="0.75" bottom="0.75" header="0.3" footer="0.3"/>
  <pageSetup scale="90" orientation="portrait" r:id="rId1"/>
  <rowBreaks count="1" manualBreakCount="1">
    <brk id="49" max="7" man="1"/>
  </rowBreaks>
  <colBreaks count="1" manualBreakCount="1">
    <brk id="8" max="1048575" man="1"/>
  </colBreaks>
  <ignoredErrors>
    <ignoredError sqref="B6:B24"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6.14</vt:lpstr>
      <vt:lpstr>'6.14'!Print_Area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2021-10-04T03:07:31Z</cp:lastPrinted>
  <dcterms:created xsi:type="dcterms:W3CDTF">2019-08-06T05:35:20Z</dcterms:created>
  <dcterms:modified xsi:type="dcterms:W3CDTF">2021-10-04T03:07:47Z</dcterms:modified>
</cp:coreProperties>
</file>