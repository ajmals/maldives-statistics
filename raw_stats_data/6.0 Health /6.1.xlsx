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-105" yWindow="-105" windowWidth="19425" windowHeight="10425" tabRatio="799"/>
  </bookViews>
  <sheets>
    <sheet name="6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'6.1'!$1:$34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C8" i="1"/>
  <c r="D8" i="1"/>
  <c r="B9" i="1"/>
  <c r="C9" i="1"/>
  <c r="D9" i="1"/>
  <c r="B10" i="1"/>
  <c r="C10" i="1"/>
  <c r="D10" i="1"/>
  <c r="B11" i="1"/>
  <c r="C11" i="1"/>
  <c r="D11" i="1"/>
  <c r="C7" i="1"/>
  <c r="D7" i="1"/>
  <c r="B7" i="1"/>
  <c r="C6" i="1"/>
  <c r="D6" i="1"/>
  <c r="B6" i="1"/>
  <c r="AA8" i="1" l="1"/>
  <c r="AB8" i="1"/>
  <c r="AA9" i="1"/>
  <c r="AB9" i="1"/>
  <c r="AA10" i="1"/>
  <c r="AB10" i="1"/>
  <c r="AA11" i="1"/>
  <c r="AB11" i="1"/>
  <c r="AB7" i="1"/>
  <c r="AA7" i="1"/>
  <c r="Y8" i="1"/>
  <c r="Z8" i="1"/>
  <c r="Y9" i="1"/>
  <c r="Z9" i="1"/>
  <c r="Y10" i="1"/>
  <c r="Z10" i="1"/>
  <c r="Y11" i="1"/>
  <c r="Z11" i="1"/>
  <c r="Z7" i="1"/>
  <c r="Y7" i="1"/>
  <c r="F11" i="1"/>
  <c r="F10" i="1"/>
  <c r="F9" i="1"/>
  <c r="F8" i="1"/>
  <c r="F7" i="1"/>
  <c r="J7" i="1"/>
  <c r="J8" i="1"/>
  <c r="J9" i="1"/>
  <c r="J10" i="1"/>
  <c r="J11" i="1"/>
  <c r="L6" i="1"/>
  <c r="K6" i="1"/>
  <c r="H6" i="1"/>
  <c r="F6" i="1" s="1"/>
  <c r="G6" i="1"/>
  <c r="J6" i="1" l="1"/>
  <c r="AC9" i="1" l="1"/>
  <c r="AC11" i="1"/>
  <c r="AC10" i="1"/>
  <c r="AC8" i="1"/>
  <c r="AC7" i="1"/>
</calcChain>
</file>

<file path=xl/sharedStrings.xml><?xml version="1.0" encoding="utf-8"?>
<sst xmlns="http://schemas.openxmlformats.org/spreadsheetml/2006/main" count="43" uniqueCount="28">
  <si>
    <t>Categories of Health Personnel</t>
  </si>
  <si>
    <t xml:space="preserve"> ejcaWr</t>
  </si>
  <si>
    <t>elWm</t>
  </si>
  <si>
    <t>cawtuLotwa</t>
  </si>
  <si>
    <t>Republic</t>
  </si>
  <si>
    <t>Male'</t>
  </si>
  <si>
    <t xml:space="preserve">Atolls </t>
  </si>
  <si>
    <t>Both sexes</t>
  </si>
  <si>
    <t>Male</t>
  </si>
  <si>
    <t>Female</t>
  </si>
  <si>
    <t>Atoll</t>
  </si>
  <si>
    <t>Total</t>
  </si>
  <si>
    <t>Nurses</t>
  </si>
  <si>
    <t>Community Health Personnel</t>
  </si>
  <si>
    <t>Note:</t>
  </si>
  <si>
    <t>Source: Ministry of Health</t>
  </si>
  <si>
    <t>Data taken from the HR reports collected from health facilities via DHIS2</t>
  </si>
  <si>
    <t xml:space="preserve">Atoll data includes hospitals and Health Centers </t>
  </si>
  <si>
    <t>Pvt. Sector data includes ADK,IMDC,TreeTop hospital only ,IMDC is the only private hospital in periphery</t>
  </si>
  <si>
    <t>Medical professionals</t>
  </si>
  <si>
    <t>Allied Health Professionals</t>
  </si>
  <si>
    <t>Non-medical staff</t>
  </si>
  <si>
    <t>Table 6.1 :  DISTRIBUTION OF MEDICAL STAFF IN MALE' AND ATOLLS - 2020</t>
  </si>
  <si>
    <t>ތާވަލު 6.1: ޞިއްޙީ ދާއިރާގައި މަސައްކަތްކުރާ މީހުންގެ އަދަދު، 2020</t>
  </si>
  <si>
    <t xml:space="preserve">Data as of : 01 January to 31 December 2020   </t>
  </si>
  <si>
    <t>19th Oct 2021</t>
  </si>
  <si>
    <r>
      <t>Non-medical staff</t>
    </r>
    <r>
      <rPr>
        <vertAlign val="superscript"/>
        <sz val="11"/>
        <color theme="1"/>
        <rFont val="Calibri"/>
        <family val="2"/>
        <scheme val="minor"/>
      </rPr>
      <t>1_/</t>
    </r>
  </si>
  <si>
    <t>1_/:  Non-Medical staff are refered as Administrative staff working at the Health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</si>
</sst>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Calibri Light"/>
      <family val="1"/>
      <scheme val="maj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name val="A_Faseyha"/>
    </font>
    <font>
      <i/>
      <sz val="10"/>
      <name val="Arial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17" fillId="0" borderId="0"/>
    <xf numFmtId="165" fontId="17" fillId="0" borderId="0"/>
    <xf numFmtId="165" fontId="17" fillId="0" borderId="0"/>
    <xf numFmtId="40" fontId="18" fillId="0" borderId="0" applyFont="0" applyFill="0" applyBorder="0" applyAlignment="0" applyProtection="0"/>
    <xf numFmtId="165" fontId="17" fillId="0" borderId="0"/>
    <xf numFmtId="0" fontId="1" fillId="0" borderId="0"/>
    <xf numFmtId="0" fontId="16" fillId="0" borderId="0"/>
  </cellStyleXfs>
  <cellXfs count="81">
    <xf numFmtId="0" fontId="0" fillId="0" borderId="0" xfId="0"/>
    <xf numFmtId="0" fontId="3" fillId="2" borderId="0" xfId="0" applyNumberFormat="1" applyFont="1" applyFill="1" applyBorder="1" applyAlignment="1">
      <alignment vertical="center" wrapText="1"/>
    </xf>
    <xf numFmtId="0" fontId="0" fillId="2" borderId="0" xfId="0" applyNumberFormat="1" applyFill="1" applyBorder="1" applyAlignment="1">
      <alignment vertical="center"/>
    </xf>
    <xf numFmtId="0" fontId="0" fillId="2" borderId="3" xfId="0" applyNumberFormat="1" applyFill="1" applyBorder="1" applyAlignment="1">
      <alignment vertical="center"/>
    </xf>
    <xf numFmtId="0" fontId="4" fillId="2" borderId="0" xfId="0" applyNumberFormat="1" applyFont="1" applyFill="1" applyBorder="1" applyAlignment="1" applyProtection="1">
      <alignment vertical="center"/>
    </xf>
    <xf numFmtId="0" fontId="6" fillId="2" borderId="6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7" fillId="2" borderId="7" xfId="0" applyNumberFormat="1" applyFont="1" applyFill="1" applyBorder="1" applyAlignment="1" applyProtection="1">
      <alignment horizontal="center" vertical="center"/>
    </xf>
    <xf numFmtId="0" fontId="7" fillId="2" borderId="7" xfId="0" applyNumberFormat="1" applyFont="1" applyFill="1" applyBorder="1" applyAlignment="1" applyProtection="1">
      <alignment vertical="center"/>
    </xf>
    <xf numFmtId="0" fontId="7" fillId="2" borderId="0" xfId="0" applyNumberFormat="1" applyFont="1" applyFill="1" applyBorder="1" applyAlignment="1" applyProtection="1">
      <alignment vertical="center"/>
    </xf>
    <xf numFmtId="0" fontId="8" fillId="2" borderId="8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Border="1" applyAlignment="1">
      <alignment horizontal="right" vertical="center"/>
    </xf>
    <xf numFmtId="0" fontId="0" fillId="2" borderId="2" xfId="0" applyNumberFormat="1" applyFill="1" applyBorder="1" applyAlignment="1">
      <alignment vertical="center"/>
    </xf>
    <xf numFmtId="3" fontId="8" fillId="2" borderId="0" xfId="0" applyNumberFormat="1" applyFont="1" applyFill="1" applyBorder="1" applyAlignment="1" applyProtection="1">
      <alignment horizontal="right" vertical="center"/>
    </xf>
    <xf numFmtId="3" fontId="0" fillId="2" borderId="0" xfId="0" applyNumberFormat="1" applyFill="1" applyBorder="1" applyAlignment="1">
      <alignment vertical="center"/>
    </xf>
    <xf numFmtId="3" fontId="9" fillId="2" borderId="0" xfId="0" applyNumberFormat="1" applyFont="1" applyFill="1" applyBorder="1" applyAlignment="1" applyProtection="1">
      <alignment horizontal="right" vertical="center"/>
    </xf>
    <xf numFmtId="0" fontId="2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9" xfId="0" applyNumberFormat="1" applyFill="1" applyBorder="1" applyAlignment="1">
      <alignment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11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right" vertical="top"/>
    </xf>
    <xf numFmtId="164" fontId="0" fillId="2" borderId="0" xfId="0" applyNumberFormat="1" applyFont="1" applyFill="1" applyBorder="1"/>
    <xf numFmtId="14" fontId="10" fillId="2" borderId="0" xfId="0" applyNumberFormat="1" applyFont="1" applyFill="1" applyBorder="1" applyAlignment="1">
      <alignment horizontal="left" vertical="center"/>
    </xf>
    <xf numFmtId="0" fontId="0" fillId="2" borderId="0" xfId="0" applyFill="1"/>
    <xf numFmtId="164" fontId="0" fillId="2" borderId="0" xfId="0" applyNumberFormat="1" applyFill="1" applyBorder="1"/>
    <xf numFmtId="0" fontId="12" fillId="2" borderId="0" xfId="0" applyNumberFormat="1" applyFont="1" applyFill="1" applyBorder="1"/>
    <xf numFmtId="0" fontId="8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vertical="center" wrapText="1"/>
    </xf>
    <xf numFmtId="0" fontId="0" fillId="2" borderId="2" xfId="0" applyNumberFormat="1" applyFill="1" applyBorder="1" applyAlignment="1">
      <alignment horizontal="right" vertical="center"/>
    </xf>
    <xf numFmtId="0" fontId="15" fillId="2" borderId="3" xfId="0" applyNumberFormat="1" applyFont="1" applyFill="1" applyBorder="1" applyAlignment="1">
      <alignment vertical="center" wrapText="1"/>
    </xf>
    <xf numFmtId="0" fontId="12" fillId="2" borderId="3" xfId="0" applyNumberFormat="1" applyFont="1" applyFill="1" applyBorder="1"/>
    <xf numFmtId="0" fontId="13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NumberFormat="1" applyFill="1" applyBorder="1" applyAlignment="1">
      <alignment vertical="center" wrapText="1"/>
    </xf>
    <xf numFmtId="0" fontId="0" fillId="2" borderId="3" xfId="0" applyNumberFormat="1" applyFill="1" applyBorder="1" applyAlignment="1">
      <alignment horizontal="right" vertical="center"/>
    </xf>
    <xf numFmtId="0" fontId="0" fillId="2" borderId="10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vertical="center" wrapText="1"/>
    </xf>
    <xf numFmtId="0" fontId="0" fillId="2" borderId="0" xfId="0" applyNumberFormat="1" applyFill="1" applyBorder="1" applyAlignment="1">
      <alignment horizontal="right" vertical="center"/>
    </xf>
    <xf numFmtId="0" fontId="0" fillId="2" borderId="8" xfId="0" applyFill="1" applyBorder="1" applyAlignment="1">
      <alignment horizontal="left" vertical="center" indent="1"/>
    </xf>
    <xf numFmtId="0" fontId="8" fillId="2" borderId="13" xfId="0" applyNumberFormat="1" applyFont="1" applyFill="1" applyBorder="1" applyAlignment="1">
      <alignment horizontal="center" vertical="center"/>
    </xf>
    <xf numFmtId="0" fontId="8" fillId="2" borderId="12" xfId="0" applyNumberFormat="1" applyFont="1" applyFill="1" applyBorder="1" applyAlignment="1">
      <alignment horizontal="center" vertical="center"/>
    </xf>
    <xf numFmtId="3" fontId="8" fillId="2" borderId="14" xfId="0" applyNumberFormat="1" applyFont="1" applyFill="1" applyBorder="1" applyAlignment="1" applyProtection="1">
      <alignment horizontal="right" vertical="center"/>
    </xf>
    <xf numFmtId="3" fontId="8" fillId="2" borderId="15" xfId="0" applyNumberFormat="1" applyFont="1" applyFill="1" applyBorder="1" applyAlignment="1" applyProtection="1">
      <alignment horizontal="right" vertical="center"/>
    </xf>
    <xf numFmtId="3" fontId="9" fillId="2" borderId="14" xfId="0" applyNumberFormat="1" applyFont="1" applyFill="1" applyBorder="1" applyAlignment="1" applyProtection="1">
      <alignment horizontal="right" vertical="center"/>
    </xf>
    <xf numFmtId="3" fontId="9" fillId="2" borderId="15" xfId="0" applyNumberFormat="1" applyFont="1" applyFill="1" applyBorder="1" applyAlignment="1" applyProtection="1">
      <alignment horizontal="right" vertical="center"/>
    </xf>
    <xf numFmtId="0" fontId="0" fillId="2" borderId="2" xfId="0" applyNumberFormat="1" applyFont="1" applyFill="1" applyBorder="1" applyAlignment="1">
      <alignment vertical="center"/>
    </xf>
    <xf numFmtId="0" fontId="0" fillId="2" borderId="5" xfId="0" applyNumberFormat="1" applyFont="1" applyFill="1" applyBorder="1" applyAlignment="1">
      <alignment vertical="center"/>
    </xf>
    <xf numFmtId="0" fontId="19" fillId="2" borderId="6" xfId="0" applyNumberFormat="1" applyFont="1" applyFill="1" applyBorder="1" applyAlignment="1">
      <alignment horizontal="center" vertical="center"/>
    </xf>
    <xf numFmtId="0" fontId="19" fillId="2" borderId="11" xfId="0" applyNumberFormat="1" applyFont="1" applyFill="1" applyBorder="1" applyAlignment="1">
      <alignment horizontal="center" vertical="center"/>
    </xf>
    <xf numFmtId="0" fontId="7" fillId="2" borderId="17" xfId="0" applyNumberFormat="1" applyFont="1" applyFill="1" applyBorder="1" applyAlignment="1" applyProtection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3" fontId="9" fillId="2" borderId="8" xfId="0" applyNumberFormat="1" applyFont="1" applyFill="1" applyBorder="1" applyAlignment="1" applyProtection="1">
      <alignment horizontal="right" vertical="center"/>
    </xf>
    <xf numFmtId="3" fontId="9" fillId="2" borderId="13" xfId="0" applyNumberFormat="1" applyFont="1" applyFill="1" applyBorder="1" applyAlignment="1" applyProtection="1">
      <alignment horizontal="right" vertical="center"/>
    </xf>
    <xf numFmtId="3" fontId="9" fillId="2" borderId="12" xfId="0" applyNumberFormat="1" applyFont="1" applyFill="1" applyBorder="1" applyAlignment="1" applyProtection="1">
      <alignment horizontal="right" vertical="center"/>
    </xf>
    <xf numFmtId="3" fontId="8" fillId="2" borderId="6" xfId="0" applyNumberFormat="1" applyFont="1" applyFill="1" applyBorder="1" applyAlignment="1" applyProtection="1">
      <alignment horizontal="right" vertical="center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16" fillId="2" borderId="0" xfId="0" applyFont="1" applyFill="1" applyBorder="1" applyAlignment="1">
      <alignment horizontal="left" vertical="center" inden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center" vertical="center"/>
    </xf>
    <xf numFmtId="0" fontId="19" fillId="2" borderId="6" xfId="0" applyNumberFormat="1" applyFont="1" applyFill="1" applyBorder="1" applyAlignment="1">
      <alignment horizontal="center" vertical="center"/>
    </xf>
    <xf numFmtId="0" fontId="19" fillId="2" borderId="16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 applyProtection="1">
      <alignment horizontal="center" vertical="center"/>
    </xf>
    <xf numFmtId="0" fontId="7" fillId="2" borderId="18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 wrapText="1"/>
    </xf>
    <xf numFmtId="0" fontId="5" fillId="2" borderId="8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center" wrapText="1"/>
    </xf>
  </cellXfs>
  <cellStyles count="9">
    <cellStyle name="1" xfId="8"/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22442178829742"/>
          <c:y val="0.19370801774459528"/>
          <c:w val="0.40764279493134026"/>
          <c:h val="0.73568582301431795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1-B8B0-45B8-9536-B8DAD5D7B064}"/>
              </c:ext>
            </c:extLst>
          </c:dPt>
          <c:dPt>
            <c:idx val="1"/>
            <c:bubble3D val="0"/>
            <c:spPr>
              <a:solidFill>
                <a:srgbClr val="C4F2F1"/>
              </a:solidFill>
            </c:spPr>
            <c:extLst>
              <c:ext xmlns:c16="http://schemas.microsoft.com/office/drawing/2014/chart" uri="{C3380CC4-5D6E-409C-BE32-E72D297353CC}">
                <c16:uniqueId val="{00000003-B8B0-45B8-9536-B8DAD5D7B064}"/>
              </c:ext>
            </c:extLst>
          </c:dPt>
          <c:dPt>
            <c:idx val="4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9-B8B0-45B8-9536-B8DAD5D7B064}"/>
              </c:ext>
            </c:extLst>
          </c:dPt>
          <c:dLbls>
            <c:dLbl>
              <c:idx val="2"/>
              <c:layout>
                <c:manualLayout>
                  <c:x val="-0.16105297364131368"/>
                  <c:y val="4.8442897775313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8B0-45B8-9536-B8DAD5D7B064}"/>
                </c:ext>
              </c:extLst>
            </c:dLbl>
            <c:dLbl>
              <c:idx val="3"/>
              <c:layout>
                <c:manualLayout>
                  <c:x val="-0.19013198277099533"/>
                  <c:y val="-7.67012548109137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8B0-45B8-9536-B8DAD5D7B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'6.1'!$A$7:$A$11</c:f>
              <c:strCache>
                <c:ptCount val="5"/>
                <c:pt idx="0">
                  <c:v>Medical professionals</c:v>
                </c:pt>
                <c:pt idx="1">
                  <c:v>Nurses</c:v>
                </c:pt>
                <c:pt idx="2">
                  <c:v>Allied Health Professionals</c:v>
                </c:pt>
                <c:pt idx="3">
                  <c:v>Community Health Personnel</c:v>
                </c:pt>
                <c:pt idx="4">
                  <c:v>Non-medical staff1_/</c:v>
                </c:pt>
              </c:strCache>
            </c:strRef>
          </c:cat>
          <c:val>
            <c:numRef>
              <c:f>'6.1'!$B$7:$B$11</c:f>
              <c:numCache>
                <c:formatCode>#,##0</c:formatCode>
                <c:ptCount val="5"/>
                <c:pt idx="0">
                  <c:v>1086</c:v>
                </c:pt>
                <c:pt idx="1">
                  <c:v>2987</c:v>
                </c:pt>
                <c:pt idx="2">
                  <c:v>828</c:v>
                </c:pt>
                <c:pt idx="3">
                  <c:v>485</c:v>
                </c:pt>
                <c:pt idx="4">
                  <c:v>4765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B0-45B8-9536-B8DAD5D7B06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66"/>
        <c:holeSize val="1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07973157176148E-2"/>
          <c:y val="0.15759385413901913"/>
          <c:w val="0.88167203124041305"/>
          <c:h val="0.649436807687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'6.1'!$X$7</c:f>
              <c:strCache>
                <c:ptCount val="1"/>
                <c:pt idx="0">
                  <c:v>Medical professionals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multiLvlStrRef>
              <c:f>'6.1'!$Y$5:$AB$6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'6.1'!$Y$7:$AB$7</c:f>
              <c:numCache>
                <c:formatCode>#,##0</c:formatCode>
                <c:ptCount val="4"/>
                <c:pt idx="0">
                  <c:v>250</c:v>
                </c:pt>
                <c:pt idx="1">
                  <c:v>271</c:v>
                </c:pt>
                <c:pt idx="2">
                  <c:v>461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A-4704-B6BC-11B253F9AF20}"/>
            </c:ext>
          </c:extLst>
        </c:ser>
        <c:ser>
          <c:idx val="1"/>
          <c:order val="1"/>
          <c:tx>
            <c:strRef>
              <c:f>'6.1'!$X$8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'6.1'!$Y$5:$AB$6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'6.1'!$Y$8:$AB$8</c:f>
              <c:numCache>
                <c:formatCode>#,##0</c:formatCode>
                <c:ptCount val="4"/>
                <c:pt idx="0">
                  <c:v>149</c:v>
                </c:pt>
                <c:pt idx="1">
                  <c:v>1118</c:v>
                </c:pt>
                <c:pt idx="2">
                  <c:v>184</c:v>
                </c:pt>
                <c:pt idx="3">
                  <c:v>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A-4704-B6BC-11B253F9AF20}"/>
            </c:ext>
          </c:extLst>
        </c:ser>
        <c:ser>
          <c:idx val="2"/>
          <c:order val="2"/>
          <c:tx>
            <c:strRef>
              <c:f>'6.1'!$X$9</c:f>
              <c:strCache>
                <c:ptCount val="1"/>
                <c:pt idx="0">
                  <c:v>Allied Health Professionals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'6.1'!$Y$5:$AB$6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'6.1'!$Y$9:$AB$9</c:f>
              <c:numCache>
                <c:formatCode>#,##0</c:formatCode>
                <c:ptCount val="4"/>
                <c:pt idx="0">
                  <c:v>184</c:v>
                </c:pt>
                <c:pt idx="1">
                  <c:v>281</c:v>
                </c:pt>
                <c:pt idx="2">
                  <c:v>206</c:v>
                </c:pt>
                <c:pt idx="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A-4704-B6BC-11B253F9AF20}"/>
            </c:ext>
          </c:extLst>
        </c:ser>
        <c:ser>
          <c:idx val="3"/>
          <c:order val="3"/>
          <c:tx>
            <c:strRef>
              <c:f>'6.1'!$X$10</c:f>
              <c:strCache>
                <c:ptCount val="1"/>
                <c:pt idx="0">
                  <c:v>Community Health Personnel</c:v>
                </c:pt>
              </c:strCache>
            </c:strRef>
          </c:tx>
          <c:spPr>
            <a:solidFill>
              <a:srgbClr val="C4F2F1"/>
            </a:solidFill>
          </c:spPr>
          <c:invertIfNegative val="0"/>
          <c:cat>
            <c:multiLvlStrRef>
              <c:f>'6.1'!$Y$5:$AB$6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'6.1'!$Y$10:$AB$10</c:f>
              <c:numCache>
                <c:formatCode>#,##0</c:formatCode>
                <c:ptCount val="4"/>
                <c:pt idx="0">
                  <c:v>1</c:v>
                </c:pt>
                <c:pt idx="1">
                  <c:v>7</c:v>
                </c:pt>
                <c:pt idx="2">
                  <c:v>141</c:v>
                </c:pt>
                <c:pt idx="3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A-4704-B6BC-11B253F9AF20}"/>
            </c:ext>
          </c:extLst>
        </c:ser>
        <c:ser>
          <c:idx val="4"/>
          <c:order val="4"/>
          <c:tx>
            <c:strRef>
              <c:f>'6.1'!$X$11</c:f>
              <c:strCache>
                <c:ptCount val="1"/>
                <c:pt idx="0">
                  <c:v>Non-medical staff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multiLvlStrRef>
              <c:f>'6.1'!$Y$5:$AB$6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'6.1'!$Y$11:$AB$11</c:f>
              <c:numCache>
                <c:formatCode>#,##0</c:formatCode>
                <c:ptCount val="4"/>
                <c:pt idx="0">
                  <c:v>758</c:v>
                </c:pt>
                <c:pt idx="1">
                  <c:v>943</c:v>
                </c:pt>
                <c:pt idx="2">
                  <c:v>1408</c:v>
                </c:pt>
                <c:pt idx="3">
                  <c:v>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9A-4704-B6BC-11B253F9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83760"/>
        <c:axId val="133624280"/>
      </c:barChart>
      <c:catAx>
        <c:axId val="133583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3624280"/>
        <c:crosses val="autoZero"/>
        <c:auto val="1"/>
        <c:lblAlgn val="ctr"/>
        <c:lblOffset val="100"/>
        <c:noMultiLvlLbl val="0"/>
      </c:catAx>
      <c:valAx>
        <c:axId val="1336242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13358376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8055078777172192E-2"/>
          <c:y val="0.17469486617980501"/>
          <c:w val="0.55830213362508818"/>
          <c:h val="0.23244408450808871"/>
        </c:manualLayout>
      </c:layout>
      <c:overlay val="0"/>
      <c:spPr>
        <a:noFill/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62077</xdr:colOff>
      <xdr:row>19</xdr:row>
      <xdr:rowOff>130941</xdr:rowOff>
    </xdr:from>
    <xdr:to>
      <xdr:col>5</xdr:col>
      <xdr:colOff>503464</xdr:colOff>
      <xdr:row>32</xdr:row>
      <xdr:rowOff>92842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585107</xdr:colOff>
      <xdr:row>19</xdr:row>
      <xdr:rowOff>143202</xdr:rowOff>
    </xdr:from>
    <xdr:to>
      <xdr:col>13</xdr:col>
      <xdr:colOff>1170214</xdr:colOff>
      <xdr:row>32</xdr:row>
      <xdr:rowOff>54740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94343</xdr:colOff>
      <xdr:row>19</xdr:row>
      <xdr:rowOff>166006</xdr:rowOff>
    </xdr:from>
    <xdr:to>
      <xdr:col>13</xdr:col>
      <xdr:colOff>1188980</xdr:colOff>
      <xdr:row>21</xdr:row>
      <xdr:rowOff>241299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77543" y="4471306"/>
          <a:ext cx="4815737" cy="583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719520</xdr:colOff>
      <xdr:row>19</xdr:row>
      <xdr:rowOff>234901</xdr:rowOff>
    </xdr:from>
    <xdr:to>
      <xdr:col>5</xdr:col>
      <xdr:colOff>268124</xdr:colOff>
      <xdr:row>20</xdr:row>
      <xdr:rowOff>244428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19520" y="4226330"/>
          <a:ext cx="4356461" cy="254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6.1: Percentage of Health Personnel,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B44"/>
  <sheetViews>
    <sheetView tabSelected="1" zoomScale="87" zoomScaleNormal="87" workbookViewId="0">
      <selection activeCell="P22" sqref="P22"/>
    </sheetView>
  </sheetViews>
  <sheetFormatPr defaultRowHeight="19.5" customHeight="1" x14ac:dyDescent="0.25"/>
  <cols>
    <col min="1" max="1" width="35.7109375" style="42" customWidth="1"/>
    <col min="2" max="4" width="10.42578125" style="43" customWidth="1"/>
    <col min="5" max="5" width="1.5703125" style="43" customWidth="1"/>
    <col min="6" max="8" width="10.42578125" style="43" customWidth="1"/>
    <col min="9" max="9" width="1.5703125" style="43" customWidth="1"/>
    <col min="10" max="12" width="10.42578125" style="43" customWidth="1"/>
    <col min="13" max="13" width="1.85546875" style="3" customWidth="1"/>
    <col min="14" max="15" width="17.85546875" style="2" customWidth="1"/>
    <col min="16" max="18" width="28.85546875" style="2" customWidth="1"/>
    <col min="19" max="19" width="29.5703125" style="2" customWidth="1"/>
    <col min="20" max="20" width="7.140625" style="2" customWidth="1"/>
    <col min="21" max="22" width="9.140625" style="2" customWidth="1"/>
    <col min="23" max="23" width="66" style="2" customWidth="1"/>
    <col min="24" max="106" width="9.140625" style="2"/>
    <col min="107" max="266" width="9.140625" style="3"/>
    <col min="267" max="267" width="40.85546875" style="3" customWidth="1"/>
    <col min="268" max="270" width="11.140625" style="3" customWidth="1"/>
    <col min="271" max="271" width="4.140625" style="3" customWidth="1"/>
    <col min="272" max="274" width="11.140625" style="3" customWidth="1"/>
    <col min="275" max="275" width="3.28515625" style="3" customWidth="1"/>
    <col min="276" max="278" width="11.140625" style="3" customWidth="1"/>
    <col min="279" max="279" width="3.140625" style="3" bestFit="1" customWidth="1"/>
    <col min="280" max="280" width="6.5703125" style="3" bestFit="1" customWidth="1"/>
    <col min="281" max="281" width="20.85546875" style="3" customWidth="1"/>
    <col min="282" max="282" width="7.5703125" style="3" customWidth="1"/>
    <col min="283" max="522" width="9.140625" style="3"/>
    <col min="523" max="523" width="40.85546875" style="3" customWidth="1"/>
    <col min="524" max="526" width="11.140625" style="3" customWidth="1"/>
    <col min="527" max="527" width="4.140625" style="3" customWidth="1"/>
    <col min="528" max="530" width="11.140625" style="3" customWidth="1"/>
    <col min="531" max="531" width="3.28515625" style="3" customWidth="1"/>
    <col min="532" max="534" width="11.140625" style="3" customWidth="1"/>
    <col min="535" max="535" width="3.140625" style="3" bestFit="1" customWidth="1"/>
    <col min="536" max="536" width="6.5703125" style="3" bestFit="1" customWidth="1"/>
    <col min="537" max="537" width="20.85546875" style="3" customWidth="1"/>
    <col min="538" max="538" width="7.5703125" style="3" customWidth="1"/>
    <col min="539" max="778" width="9.140625" style="3"/>
    <col min="779" max="779" width="40.85546875" style="3" customWidth="1"/>
    <col min="780" max="782" width="11.140625" style="3" customWidth="1"/>
    <col min="783" max="783" width="4.140625" style="3" customWidth="1"/>
    <col min="784" max="786" width="11.140625" style="3" customWidth="1"/>
    <col min="787" max="787" width="3.28515625" style="3" customWidth="1"/>
    <col min="788" max="790" width="11.140625" style="3" customWidth="1"/>
    <col min="791" max="791" width="3.140625" style="3" bestFit="1" customWidth="1"/>
    <col min="792" max="792" width="6.5703125" style="3" bestFit="1" customWidth="1"/>
    <col min="793" max="793" width="20.85546875" style="3" customWidth="1"/>
    <col min="794" max="794" width="7.5703125" style="3" customWidth="1"/>
    <col min="795" max="1034" width="9.140625" style="3"/>
    <col min="1035" max="1035" width="40.85546875" style="3" customWidth="1"/>
    <col min="1036" max="1038" width="11.140625" style="3" customWidth="1"/>
    <col min="1039" max="1039" width="4.140625" style="3" customWidth="1"/>
    <col min="1040" max="1042" width="11.140625" style="3" customWidth="1"/>
    <col min="1043" max="1043" width="3.28515625" style="3" customWidth="1"/>
    <col min="1044" max="1046" width="11.140625" style="3" customWidth="1"/>
    <col min="1047" max="1047" width="3.140625" style="3" bestFit="1" customWidth="1"/>
    <col min="1048" max="1048" width="6.5703125" style="3" bestFit="1" customWidth="1"/>
    <col min="1049" max="1049" width="20.85546875" style="3" customWidth="1"/>
    <col min="1050" max="1050" width="7.5703125" style="3" customWidth="1"/>
    <col min="1051" max="1290" width="9.140625" style="3"/>
    <col min="1291" max="1291" width="40.85546875" style="3" customWidth="1"/>
    <col min="1292" max="1294" width="11.140625" style="3" customWidth="1"/>
    <col min="1295" max="1295" width="4.140625" style="3" customWidth="1"/>
    <col min="1296" max="1298" width="11.140625" style="3" customWidth="1"/>
    <col min="1299" max="1299" width="3.28515625" style="3" customWidth="1"/>
    <col min="1300" max="1302" width="11.140625" style="3" customWidth="1"/>
    <col min="1303" max="1303" width="3.140625" style="3" bestFit="1" customWidth="1"/>
    <col min="1304" max="1304" width="6.5703125" style="3" bestFit="1" customWidth="1"/>
    <col min="1305" max="1305" width="20.85546875" style="3" customWidth="1"/>
    <col min="1306" max="1306" width="7.5703125" style="3" customWidth="1"/>
    <col min="1307" max="1546" width="9.140625" style="3"/>
    <col min="1547" max="1547" width="40.85546875" style="3" customWidth="1"/>
    <col min="1548" max="1550" width="11.140625" style="3" customWidth="1"/>
    <col min="1551" max="1551" width="4.140625" style="3" customWidth="1"/>
    <col min="1552" max="1554" width="11.140625" style="3" customWidth="1"/>
    <col min="1555" max="1555" width="3.28515625" style="3" customWidth="1"/>
    <col min="1556" max="1558" width="11.140625" style="3" customWidth="1"/>
    <col min="1559" max="1559" width="3.140625" style="3" bestFit="1" customWidth="1"/>
    <col min="1560" max="1560" width="6.5703125" style="3" bestFit="1" customWidth="1"/>
    <col min="1561" max="1561" width="20.85546875" style="3" customWidth="1"/>
    <col min="1562" max="1562" width="7.5703125" style="3" customWidth="1"/>
    <col min="1563" max="1802" width="9.140625" style="3"/>
    <col min="1803" max="1803" width="40.85546875" style="3" customWidth="1"/>
    <col min="1804" max="1806" width="11.140625" style="3" customWidth="1"/>
    <col min="1807" max="1807" width="4.140625" style="3" customWidth="1"/>
    <col min="1808" max="1810" width="11.140625" style="3" customWidth="1"/>
    <col min="1811" max="1811" width="3.28515625" style="3" customWidth="1"/>
    <col min="1812" max="1814" width="11.140625" style="3" customWidth="1"/>
    <col min="1815" max="1815" width="3.140625" style="3" bestFit="1" customWidth="1"/>
    <col min="1816" max="1816" width="6.5703125" style="3" bestFit="1" customWidth="1"/>
    <col min="1817" max="1817" width="20.85546875" style="3" customWidth="1"/>
    <col min="1818" max="1818" width="7.5703125" style="3" customWidth="1"/>
    <col min="1819" max="2058" width="9.140625" style="3"/>
    <col min="2059" max="2059" width="40.85546875" style="3" customWidth="1"/>
    <col min="2060" max="2062" width="11.140625" style="3" customWidth="1"/>
    <col min="2063" max="2063" width="4.140625" style="3" customWidth="1"/>
    <col min="2064" max="2066" width="11.140625" style="3" customWidth="1"/>
    <col min="2067" max="2067" width="3.28515625" style="3" customWidth="1"/>
    <col min="2068" max="2070" width="11.140625" style="3" customWidth="1"/>
    <col min="2071" max="2071" width="3.140625" style="3" bestFit="1" customWidth="1"/>
    <col min="2072" max="2072" width="6.5703125" style="3" bestFit="1" customWidth="1"/>
    <col min="2073" max="2073" width="20.85546875" style="3" customWidth="1"/>
    <col min="2074" max="2074" width="7.5703125" style="3" customWidth="1"/>
    <col min="2075" max="2314" width="9.140625" style="3"/>
    <col min="2315" max="2315" width="40.85546875" style="3" customWidth="1"/>
    <col min="2316" max="2318" width="11.140625" style="3" customWidth="1"/>
    <col min="2319" max="2319" width="4.140625" style="3" customWidth="1"/>
    <col min="2320" max="2322" width="11.140625" style="3" customWidth="1"/>
    <col min="2323" max="2323" width="3.28515625" style="3" customWidth="1"/>
    <col min="2324" max="2326" width="11.140625" style="3" customWidth="1"/>
    <col min="2327" max="2327" width="3.140625" style="3" bestFit="1" customWidth="1"/>
    <col min="2328" max="2328" width="6.5703125" style="3" bestFit="1" customWidth="1"/>
    <col min="2329" max="2329" width="20.85546875" style="3" customWidth="1"/>
    <col min="2330" max="2330" width="7.5703125" style="3" customWidth="1"/>
    <col min="2331" max="2570" width="9.140625" style="3"/>
    <col min="2571" max="2571" width="40.85546875" style="3" customWidth="1"/>
    <col min="2572" max="2574" width="11.140625" style="3" customWidth="1"/>
    <col min="2575" max="2575" width="4.140625" style="3" customWidth="1"/>
    <col min="2576" max="2578" width="11.140625" style="3" customWidth="1"/>
    <col min="2579" max="2579" width="3.28515625" style="3" customWidth="1"/>
    <col min="2580" max="2582" width="11.140625" style="3" customWidth="1"/>
    <col min="2583" max="2583" width="3.140625" style="3" bestFit="1" customWidth="1"/>
    <col min="2584" max="2584" width="6.5703125" style="3" bestFit="1" customWidth="1"/>
    <col min="2585" max="2585" width="20.85546875" style="3" customWidth="1"/>
    <col min="2586" max="2586" width="7.5703125" style="3" customWidth="1"/>
    <col min="2587" max="2826" width="9.140625" style="3"/>
    <col min="2827" max="2827" width="40.85546875" style="3" customWidth="1"/>
    <col min="2828" max="2830" width="11.140625" style="3" customWidth="1"/>
    <col min="2831" max="2831" width="4.140625" style="3" customWidth="1"/>
    <col min="2832" max="2834" width="11.140625" style="3" customWidth="1"/>
    <col min="2835" max="2835" width="3.28515625" style="3" customWidth="1"/>
    <col min="2836" max="2838" width="11.140625" style="3" customWidth="1"/>
    <col min="2839" max="2839" width="3.140625" style="3" bestFit="1" customWidth="1"/>
    <col min="2840" max="2840" width="6.5703125" style="3" bestFit="1" customWidth="1"/>
    <col min="2841" max="2841" width="20.85546875" style="3" customWidth="1"/>
    <col min="2842" max="2842" width="7.5703125" style="3" customWidth="1"/>
    <col min="2843" max="3082" width="9.140625" style="3"/>
    <col min="3083" max="3083" width="40.85546875" style="3" customWidth="1"/>
    <col min="3084" max="3086" width="11.140625" style="3" customWidth="1"/>
    <col min="3087" max="3087" width="4.140625" style="3" customWidth="1"/>
    <col min="3088" max="3090" width="11.140625" style="3" customWidth="1"/>
    <col min="3091" max="3091" width="3.28515625" style="3" customWidth="1"/>
    <col min="3092" max="3094" width="11.140625" style="3" customWidth="1"/>
    <col min="3095" max="3095" width="3.140625" style="3" bestFit="1" customWidth="1"/>
    <col min="3096" max="3096" width="6.5703125" style="3" bestFit="1" customWidth="1"/>
    <col min="3097" max="3097" width="20.85546875" style="3" customWidth="1"/>
    <col min="3098" max="3098" width="7.5703125" style="3" customWidth="1"/>
    <col min="3099" max="3338" width="9.140625" style="3"/>
    <col min="3339" max="3339" width="40.85546875" style="3" customWidth="1"/>
    <col min="3340" max="3342" width="11.140625" style="3" customWidth="1"/>
    <col min="3343" max="3343" width="4.140625" style="3" customWidth="1"/>
    <col min="3344" max="3346" width="11.140625" style="3" customWidth="1"/>
    <col min="3347" max="3347" width="3.28515625" style="3" customWidth="1"/>
    <col min="3348" max="3350" width="11.140625" style="3" customWidth="1"/>
    <col min="3351" max="3351" width="3.140625" style="3" bestFit="1" customWidth="1"/>
    <col min="3352" max="3352" width="6.5703125" style="3" bestFit="1" customWidth="1"/>
    <col min="3353" max="3353" width="20.85546875" style="3" customWidth="1"/>
    <col min="3354" max="3354" width="7.5703125" style="3" customWidth="1"/>
    <col min="3355" max="3594" width="9.140625" style="3"/>
    <col min="3595" max="3595" width="40.85546875" style="3" customWidth="1"/>
    <col min="3596" max="3598" width="11.140625" style="3" customWidth="1"/>
    <col min="3599" max="3599" width="4.140625" style="3" customWidth="1"/>
    <col min="3600" max="3602" width="11.140625" style="3" customWidth="1"/>
    <col min="3603" max="3603" width="3.28515625" style="3" customWidth="1"/>
    <col min="3604" max="3606" width="11.140625" style="3" customWidth="1"/>
    <col min="3607" max="3607" width="3.140625" style="3" bestFit="1" customWidth="1"/>
    <col min="3608" max="3608" width="6.5703125" style="3" bestFit="1" customWidth="1"/>
    <col min="3609" max="3609" width="20.85546875" style="3" customWidth="1"/>
    <col min="3610" max="3610" width="7.5703125" style="3" customWidth="1"/>
    <col min="3611" max="3850" width="9.140625" style="3"/>
    <col min="3851" max="3851" width="40.85546875" style="3" customWidth="1"/>
    <col min="3852" max="3854" width="11.140625" style="3" customWidth="1"/>
    <col min="3855" max="3855" width="4.140625" style="3" customWidth="1"/>
    <col min="3856" max="3858" width="11.140625" style="3" customWidth="1"/>
    <col min="3859" max="3859" width="3.28515625" style="3" customWidth="1"/>
    <col min="3860" max="3862" width="11.140625" style="3" customWidth="1"/>
    <col min="3863" max="3863" width="3.140625" style="3" bestFit="1" customWidth="1"/>
    <col min="3864" max="3864" width="6.5703125" style="3" bestFit="1" customWidth="1"/>
    <col min="3865" max="3865" width="20.85546875" style="3" customWidth="1"/>
    <col min="3866" max="3866" width="7.5703125" style="3" customWidth="1"/>
    <col min="3867" max="4106" width="9.140625" style="3"/>
    <col min="4107" max="4107" width="40.85546875" style="3" customWidth="1"/>
    <col min="4108" max="4110" width="11.140625" style="3" customWidth="1"/>
    <col min="4111" max="4111" width="4.140625" style="3" customWidth="1"/>
    <col min="4112" max="4114" width="11.140625" style="3" customWidth="1"/>
    <col min="4115" max="4115" width="3.28515625" style="3" customWidth="1"/>
    <col min="4116" max="4118" width="11.140625" style="3" customWidth="1"/>
    <col min="4119" max="4119" width="3.140625" style="3" bestFit="1" customWidth="1"/>
    <col min="4120" max="4120" width="6.5703125" style="3" bestFit="1" customWidth="1"/>
    <col min="4121" max="4121" width="20.85546875" style="3" customWidth="1"/>
    <col min="4122" max="4122" width="7.5703125" style="3" customWidth="1"/>
    <col min="4123" max="4362" width="9.140625" style="3"/>
    <col min="4363" max="4363" width="40.85546875" style="3" customWidth="1"/>
    <col min="4364" max="4366" width="11.140625" style="3" customWidth="1"/>
    <col min="4367" max="4367" width="4.140625" style="3" customWidth="1"/>
    <col min="4368" max="4370" width="11.140625" style="3" customWidth="1"/>
    <col min="4371" max="4371" width="3.28515625" style="3" customWidth="1"/>
    <col min="4372" max="4374" width="11.140625" style="3" customWidth="1"/>
    <col min="4375" max="4375" width="3.140625" style="3" bestFit="1" customWidth="1"/>
    <col min="4376" max="4376" width="6.5703125" style="3" bestFit="1" customWidth="1"/>
    <col min="4377" max="4377" width="20.85546875" style="3" customWidth="1"/>
    <col min="4378" max="4378" width="7.5703125" style="3" customWidth="1"/>
    <col min="4379" max="4618" width="9.140625" style="3"/>
    <col min="4619" max="4619" width="40.85546875" style="3" customWidth="1"/>
    <col min="4620" max="4622" width="11.140625" style="3" customWidth="1"/>
    <col min="4623" max="4623" width="4.140625" style="3" customWidth="1"/>
    <col min="4624" max="4626" width="11.140625" style="3" customWidth="1"/>
    <col min="4627" max="4627" width="3.28515625" style="3" customWidth="1"/>
    <col min="4628" max="4630" width="11.140625" style="3" customWidth="1"/>
    <col min="4631" max="4631" width="3.140625" style="3" bestFit="1" customWidth="1"/>
    <col min="4632" max="4632" width="6.5703125" style="3" bestFit="1" customWidth="1"/>
    <col min="4633" max="4633" width="20.85546875" style="3" customWidth="1"/>
    <col min="4634" max="4634" width="7.5703125" style="3" customWidth="1"/>
    <col min="4635" max="4874" width="9.140625" style="3"/>
    <col min="4875" max="4875" width="40.85546875" style="3" customWidth="1"/>
    <col min="4876" max="4878" width="11.140625" style="3" customWidth="1"/>
    <col min="4879" max="4879" width="4.140625" style="3" customWidth="1"/>
    <col min="4880" max="4882" width="11.140625" style="3" customWidth="1"/>
    <col min="4883" max="4883" width="3.28515625" style="3" customWidth="1"/>
    <col min="4884" max="4886" width="11.140625" style="3" customWidth="1"/>
    <col min="4887" max="4887" width="3.140625" style="3" bestFit="1" customWidth="1"/>
    <col min="4888" max="4888" width="6.5703125" style="3" bestFit="1" customWidth="1"/>
    <col min="4889" max="4889" width="20.85546875" style="3" customWidth="1"/>
    <col min="4890" max="4890" width="7.5703125" style="3" customWidth="1"/>
    <col min="4891" max="5130" width="9.140625" style="3"/>
    <col min="5131" max="5131" width="40.85546875" style="3" customWidth="1"/>
    <col min="5132" max="5134" width="11.140625" style="3" customWidth="1"/>
    <col min="5135" max="5135" width="4.140625" style="3" customWidth="1"/>
    <col min="5136" max="5138" width="11.140625" style="3" customWidth="1"/>
    <col min="5139" max="5139" width="3.28515625" style="3" customWidth="1"/>
    <col min="5140" max="5142" width="11.140625" style="3" customWidth="1"/>
    <col min="5143" max="5143" width="3.140625" style="3" bestFit="1" customWidth="1"/>
    <col min="5144" max="5144" width="6.5703125" style="3" bestFit="1" customWidth="1"/>
    <col min="5145" max="5145" width="20.85546875" style="3" customWidth="1"/>
    <col min="5146" max="5146" width="7.5703125" style="3" customWidth="1"/>
    <col min="5147" max="5386" width="9.140625" style="3"/>
    <col min="5387" max="5387" width="40.85546875" style="3" customWidth="1"/>
    <col min="5388" max="5390" width="11.140625" style="3" customWidth="1"/>
    <col min="5391" max="5391" width="4.140625" style="3" customWidth="1"/>
    <col min="5392" max="5394" width="11.140625" style="3" customWidth="1"/>
    <col min="5395" max="5395" width="3.28515625" style="3" customWidth="1"/>
    <col min="5396" max="5398" width="11.140625" style="3" customWidth="1"/>
    <col min="5399" max="5399" width="3.140625" style="3" bestFit="1" customWidth="1"/>
    <col min="5400" max="5400" width="6.5703125" style="3" bestFit="1" customWidth="1"/>
    <col min="5401" max="5401" width="20.85546875" style="3" customWidth="1"/>
    <col min="5402" max="5402" width="7.5703125" style="3" customWidth="1"/>
    <col min="5403" max="5642" width="9.140625" style="3"/>
    <col min="5643" max="5643" width="40.85546875" style="3" customWidth="1"/>
    <col min="5644" max="5646" width="11.140625" style="3" customWidth="1"/>
    <col min="5647" max="5647" width="4.140625" style="3" customWidth="1"/>
    <col min="5648" max="5650" width="11.140625" style="3" customWidth="1"/>
    <col min="5651" max="5651" width="3.28515625" style="3" customWidth="1"/>
    <col min="5652" max="5654" width="11.140625" style="3" customWidth="1"/>
    <col min="5655" max="5655" width="3.140625" style="3" bestFit="1" customWidth="1"/>
    <col min="5656" max="5656" width="6.5703125" style="3" bestFit="1" customWidth="1"/>
    <col min="5657" max="5657" width="20.85546875" style="3" customWidth="1"/>
    <col min="5658" max="5658" width="7.5703125" style="3" customWidth="1"/>
    <col min="5659" max="5898" width="9.140625" style="3"/>
    <col min="5899" max="5899" width="40.85546875" style="3" customWidth="1"/>
    <col min="5900" max="5902" width="11.140625" style="3" customWidth="1"/>
    <col min="5903" max="5903" width="4.140625" style="3" customWidth="1"/>
    <col min="5904" max="5906" width="11.140625" style="3" customWidth="1"/>
    <col min="5907" max="5907" width="3.28515625" style="3" customWidth="1"/>
    <col min="5908" max="5910" width="11.140625" style="3" customWidth="1"/>
    <col min="5911" max="5911" width="3.140625" style="3" bestFit="1" customWidth="1"/>
    <col min="5912" max="5912" width="6.5703125" style="3" bestFit="1" customWidth="1"/>
    <col min="5913" max="5913" width="20.85546875" style="3" customWidth="1"/>
    <col min="5914" max="5914" width="7.5703125" style="3" customWidth="1"/>
    <col min="5915" max="6154" width="9.140625" style="3"/>
    <col min="6155" max="6155" width="40.85546875" style="3" customWidth="1"/>
    <col min="6156" max="6158" width="11.140625" style="3" customWidth="1"/>
    <col min="6159" max="6159" width="4.140625" style="3" customWidth="1"/>
    <col min="6160" max="6162" width="11.140625" style="3" customWidth="1"/>
    <col min="6163" max="6163" width="3.28515625" style="3" customWidth="1"/>
    <col min="6164" max="6166" width="11.140625" style="3" customWidth="1"/>
    <col min="6167" max="6167" width="3.140625" style="3" bestFit="1" customWidth="1"/>
    <col min="6168" max="6168" width="6.5703125" style="3" bestFit="1" customWidth="1"/>
    <col min="6169" max="6169" width="20.85546875" style="3" customWidth="1"/>
    <col min="6170" max="6170" width="7.5703125" style="3" customWidth="1"/>
    <col min="6171" max="6410" width="9.140625" style="3"/>
    <col min="6411" max="6411" width="40.85546875" style="3" customWidth="1"/>
    <col min="6412" max="6414" width="11.140625" style="3" customWidth="1"/>
    <col min="6415" max="6415" width="4.140625" style="3" customWidth="1"/>
    <col min="6416" max="6418" width="11.140625" style="3" customWidth="1"/>
    <col min="6419" max="6419" width="3.28515625" style="3" customWidth="1"/>
    <col min="6420" max="6422" width="11.140625" style="3" customWidth="1"/>
    <col min="6423" max="6423" width="3.140625" style="3" bestFit="1" customWidth="1"/>
    <col min="6424" max="6424" width="6.5703125" style="3" bestFit="1" customWidth="1"/>
    <col min="6425" max="6425" width="20.85546875" style="3" customWidth="1"/>
    <col min="6426" max="6426" width="7.5703125" style="3" customWidth="1"/>
    <col min="6427" max="6666" width="9.140625" style="3"/>
    <col min="6667" max="6667" width="40.85546875" style="3" customWidth="1"/>
    <col min="6668" max="6670" width="11.140625" style="3" customWidth="1"/>
    <col min="6671" max="6671" width="4.140625" style="3" customWidth="1"/>
    <col min="6672" max="6674" width="11.140625" style="3" customWidth="1"/>
    <col min="6675" max="6675" width="3.28515625" style="3" customWidth="1"/>
    <col min="6676" max="6678" width="11.140625" style="3" customWidth="1"/>
    <col min="6679" max="6679" width="3.140625" style="3" bestFit="1" customWidth="1"/>
    <col min="6680" max="6680" width="6.5703125" style="3" bestFit="1" customWidth="1"/>
    <col min="6681" max="6681" width="20.85546875" style="3" customWidth="1"/>
    <col min="6682" max="6682" width="7.5703125" style="3" customWidth="1"/>
    <col min="6683" max="6922" width="9.140625" style="3"/>
    <col min="6923" max="6923" width="40.85546875" style="3" customWidth="1"/>
    <col min="6924" max="6926" width="11.140625" style="3" customWidth="1"/>
    <col min="6927" max="6927" width="4.140625" style="3" customWidth="1"/>
    <col min="6928" max="6930" width="11.140625" style="3" customWidth="1"/>
    <col min="6931" max="6931" width="3.28515625" style="3" customWidth="1"/>
    <col min="6932" max="6934" width="11.140625" style="3" customWidth="1"/>
    <col min="6935" max="6935" width="3.140625" style="3" bestFit="1" customWidth="1"/>
    <col min="6936" max="6936" width="6.5703125" style="3" bestFit="1" customWidth="1"/>
    <col min="6937" max="6937" width="20.85546875" style="3" customWidth="1"/>
    <col min="6938" max="6938" width="7.5703125" style="3" customWidth="1"/>
    <col min="6939" max="7178" width="9.140625" style="3"/>
    <col min="7179" max="7179" width="40.85546875" style="3" customWidth="1"/>
    <col min="7180" max="7182" width="11.140625" style="3" customWidth="1"/>
    <col min="7183" max="7183" width="4.140625" style="3" customWidth="1"/>
    <col min="7184" max="7186" width="11.140625" style="3" customWidth="1"/>
    <col min="7187" max="7187" width="3.28515625" style="3" customWidth="1"/>
    <col min="7188" max="7190" width="11.140625" style="3" customWidth="1"/>
    <col min="7191" max="7191" width="3.140625" style="3" bestFit="1" customWidth="1"/>
    <col min="7192" max="7192" width="6.5703125" style="3" bestFit="1" customWidth="1"/>
    <col min="7193" max="7193" width="20.85546875" style="3" customWidth="1"/>
    <col min="7194" max="7194" width="7.5703125" style="3" customWidth="1"/>
    <col min="7195" max="7434" width="9.140625" style="3"/>
    <col min="7435" max="7435" width="40.85546875" style="3" customWidth="1"/>
    <col min="7436" max="7438" width="11.140625" style="3" customWidth="1"/>
    <col min="7439" max="7439" width="4.140625" style="3" customWidth="1"/>
    <col min="7440" max="7442" width="11.140625" style="3" customWidth="1"/>
    <col min="7443" max="7443" width="3.28515625" style="3" customWidth="1"/>
    <col min="7444" max="7446" width="11.140625" style="3" customWidth="1"/>
    <col min="7447" max="7447" width="3.140625" style="3" bestFit="1" customWidth="1"/>
    <col min="7448" max="7448" width="6.5703125" style="3" bestFit="1" customWidth="1"/>
    <col min="7449" max="7449" width="20.85546875" style="3" customWidth="1"/>
    <col min="7450" max="7450" width="7.5703125" style="3" customWidth="1"/>
    <col min="7451" max="7690" width="9.140625" style="3"/>
    <col min="7691" max="7691" width="40.85546875" style="3" customWidth="1"/>
    <col min="7692" max="7694" width="11.140625" style="3" customWidth="1"/>
    <col min="7695" max="7695" width="4.140625" style="3" customWidth="1"/>
    <col min="7696" max="7698" width="11.140625" style="3" customWidth="1"/>
    <col min="7699" max="7699" width="3.28515625" style="3" customWidth="1"/>
    <col min="7700" max="7702" width="11.140625" style="3" customWidth="1"/>
    <col min="7703" max="7703" width="3.140625" style="3" bestFit="1" customWidth="1"/>
    <col min="7704" max="7704" width="6.5703125" style="3" bestFit="1" customWidth="1"/>
    <col min="7705" max="7705" width="20.85546875" style="3" customWidth="1"/>
    <col min="7706" max="7706" width="7.5703125" style="3" customWidth="1"/>
    <col min="7707" max="7946" width="9.140625" style="3"/>
    <col min="7947" max="7947" width="40.85546875" style="3" customWidth="1"/>
    <col min="7948" max="7950" width="11.140625" style="3" customWidth="1"/>
    <col min="7951" max="7951" width="4.140625" style="3" customWidth="1"/>
    <col min="7952" max="7954" width="11.140625" style="3" customWidth="1"/>
    <col min="7955" max="7955" width="3.28515625" style="3" customWidth="1"/>
    <col min="7956" max="7958" width="11.140625" style="3" customWidth="1"/>
    <col min="7959" max="7959" width="3.140625" style="3" bestFit="1" customWidth="1"/>
    <col min="7960" max="7960" width="6.5703125" style="3" bestFit="1" customWidth="1"/>
    <col min="7961" max="7961" width="20.85546875" style="3" customWidth="1"/>
    <col min="7962" max="7962" width="7.5703125" style="3" customWidth="1"/>
    <col min="7963" max="8202" width="9.140625" style="3"/>
    <col min="8203" max="8203" width="40.85546875" style="3" customWidth="1"/>
    <col min="8204" max="8206" width="11.140625" style="3" customWidth="1"/>
    <col min="8207" max="8207" width="4.140625" style="3" customWidth="1"/>
    <col min="8208" max="8210" width="11.140625" style="3" customWidth="1"/>
    <col min="8211" max="8211" width="3.28515625" style="3" customWidth="1"/>
    <col min="8212" max="8214" width="11.140625" style="3" customWidth="1"/>
    <col min="8215" max="8215" width="3.140625" style="3" bestFit="1" customWidth="1"/>
    <col min="8216" max="8216" width="6.5703125" style="3" bestFit="1" customWidth="1"/>
    <col min="8217" max="8217" width="20.85546875" style="3" customWidth="1"/>
    <col min="8218" max="8218" width="7.5703125" style="3" customWidth="1"/>
    <col min="8219" max="8458" width="9.140625" style="3"/>
    <col min="8459" max="8459" width="40.85546875" style="3" customWidth="1"/>
    <col min="8460" max="8462" width="11.140625" style="3" customWidth="1"/>
    <col min="8463" max="8463" width="4.140625" style="3" customWidth="1"/>
    <col min="8464" max="8466" width="11.140625" style="3" customWidth="1"/>
    <col min="8467" max="8467" width="3.28515625" style="3" customWidth="1"/>
    <col min="8468" max="8470" width="11.140625" style="3" customWidth="1"/>
    <col min="8471" max="8471" width="3.140625" style="3" bestFit="1" customWidth="1"/>
    <col min="8472" max="8472" width="6.5703125" style="3" bestFit="1" customWidth="1"/>
    <col min="8473" max="8473" width="20.85546875" style="3" customWidth="1"/>
    <col min="8474" max="8474" width="7.5703125" style="3" customWidth="1"/>
    <col min="8475" max="8714" width="9.140625" style="3"/>
    <col min="8715" max="8715" width="40.85546875" style="3" customWidth="1"/>
    <col min="8716" max="8718" width="11.140625" style="3" customWidth="1"/>
    <col min="8719" max="8719" width="4.140625" style="3" customWidth="1"/>
    <col min="8720" max="8722" width="11.140625" style="3" customWidth="1"/>
    <col min="8723" max="8723" width="3.28515625" style="3" customWidth="1"/>
    <col min="8724" max="8726" width="11.140625" style="3" customWidth="1"/>
    <col min="8727" max="8727" width="3.140625" style="3" bestFit="1" customWidth="1"/>
    <col min="8728" max="8728" width="6.5703125" style="3" bestFit="1" customWidth="1"/>
    <col min="8729" max="8729" width="20.85546875" style="3" customWidth="1"/>
    <col min="8730" max="8730" width="7.5703125" style="3" customWidth="1"/>
    <col min="8731" max="8970" width="9.140625" style="3"/>
    <col min="8971" max="8971" width="40.85546875" style="3" customWidth="1"/>
    <col min="8972" max="8974" width="11.140625" style="3" customWidth="1"/>
    <col min="8975" max="8975" width="4.140625" style="3" customWidth="1"/>
    <col min="8976" max="8978" width="11.140625" style="3" customWidth="1"/>
    <col min="8979" max="8979" width="3.28515625" style="3" customWidth="1"/>
    <col min="8980" max="8982" width="11.140625" style="3" customWidth="1"/>
    <col min="8983" max="8983" width="3.140625" style="3" bestFit="1" customWidth="1"/>
    <col min="8984" max="8984" width="6.5703125" style="3" bestFit="1" customWidth="1"/>
    <col min="8985" max="8985" width="20.85546875" style="3" customWidth="1"/>
    <col min="8986" max="8986" width="7.5703125" style="3" customWidth="1"/>
    <col min="8987" max="9226" width="9.140625" style="3"/>
    <col min="9227" max="9227" width="40.85546875" style="3" customWidth="1"/>
    <col min="9228" max="9230" width="11.140625" style="3" customWidth="1"/>
    <col min="9231" max="9231" width="4.140625" style="3" customWidth="1"/>
    <col min="9232" max="9234" width="11.140625" style="3" customWidth="1"/>
    <col min="9235" max="9235" width="3.28515625" style="3" customWidth="1"/>
    <col min="9236" max="9238" width="11.140625" style="3" customWidth="1"/>
    <col min="9239" max="9239" width="3.140625" style="3" bestFit="1" customWidth="1"/>
    <col min="9240" max="9240" width="6.5703125" style="3" bestFit="1" customWidth="1"/>
    <col min="9241" max="9241" width="20.85546875" style="3" customWidth="1"/>
    <col min="9242" max="9242" width="7.5703125" style="3" customWidth="1"/>
    <col min="9243" max="9482" width="9.140625" style="3"/>
    <col min="9483" max="9483" width="40.85546875" style="3" customWidth="1"/>
    <col min="9484" max="9486" width="11.140625" style="3" customWidth="1"/>
    <col min="9487" max="9487" width="4.140625" style="3" customWidth="1"/>
    <col min="9488" max="9490" width="11.140625" style="3" customWidth="1"/>
    <col min="9491" max="9491" width="3.28515625" style="3" customWidth="1"/>
    <col min="9492" max="9494" width="11.140625" style="3" customWidth="1"/>
    <col min="9495" max="9495" width="3.140625" style="3" bestFit="1" customWidth="1"/>
    <col min="9496" max="9496" width="6.5703125" style="3" bestFit="1" customWidth="1"/>
    <col min="9497" max="9497" width="20.85546875" style="3" customWidth="1"/>
    <col min="9498" max="9498" width="7.5703125" style="3" customWidth="1"/>
    <col min="9499" max="9738" width="9.140625" style="3"/>
    <col min="9739" max="9739" width="40.85546875" style="3" customWidth="1"/>
    <col min="9740" max="9742" width="11.140625" style="3" customWidth="1"/>
    <col min="9743" max="9743" width="4.140625" style="3" customWidth="1"/>
    <col min="9744" max="9746" width="11.140625" style="3" customWidth="1"/>
    <col min="9747" max="9747" width="3.28515625" style="3" customWidth="1"/>
    <col min="9748" max="9750" width="11.140625" style="3" customWidth="1"/>
    <col min="9751" max="9751" width="3.140625" style="3" bestFit="1" customWidth="1"/>
    <col min="9752" max="9752" width="6.5703125" style="3" bestFit="1" customWidth="1"/>
    <col min="9753" max="9753" width="20.85546875" style="3" customWidth="1"/>
    <col min="9754" max="9754" width="7.5703125" style="3" customWidth="1"/>
    <col min="9755" max="9994" width="9.140625" style="3"/>
    <col min="9995" max="9995" width="40.85546875" style="3" customWidth="1"/>
    <col min="9996" max="9998" width="11.140625" style="3" customWidth="1"/>
    <col min="9999" max="9999" width="4.140625" style="3" customWidth="1"/>
    <col min="10000" max="10002" width="11.140625" style="3" customWidth="1"/>
    <col min="10003" max="10003" width="3.28515625" style="3" customWidth="1"/>
    <col min="10004" max="10006" width="11.140625" style="3" customWidth="1"/>
    <col min="10007" max="10007" width="3.140625" style="3" bestFit="1" customWidth="1"/>
    <col min="10008" max="10008" width="6.5703125" style="3" bestFit="1" customWidth="1"/>
    <col min="10009" max="10009" width="20.85546875" style="3" customWidth="1"/>
    <col min="10010" max="10010" width="7.5703125" style="3" customWidth="1"/>
    <col min="10011" max="10250" width="9.140625" style="3"/>
    <col min="10251" max="10251" width="40.85546875" style="3" customWidth="1"/>
    <col min="10252" max="10254" width="11.140625" style="3" customWidth="1"/>
    <col min="10255" max="10255" width="4.140625" style="3" customWidth="1"/>
    <col min="10256" max="10258" width="11.140625" style="3" customWidth="1"/>
    <col min="10259" max="10259" width="3.28515625" style="3" customWidth="1"/>
    <col min="10260" max="10262" width="11.140625" style="3" customWidth="1"/>
    <col min="10263" max="10263" width="3.140625" style="3" bestFit="1" customWidth="1"/>
    <col min="10264" max="10264" width="6.5703125" style="3" bestFit="1" customWidth="1"/>
    <col min="10265" max="10265" width="20.85546875" style="3" customWidth="1"/>
    <col min="10266" max="10266" width="7.5703125" style="3" customWidth="1"/>
    <col min="10267" max="10506" width="9.140625" style="3"/>
    <col min="10507" max="10507" width="40.85546875" style="3" customWidth="1"/>
    <col min="10508" max="10510" width="11.140625" style="3" customWidth="1"/>
    <col min="10511" max="10511" width="4.140625" style="3" customWidth="1"/>
    <col min="10512" max="10514" width="11.140625" style="3" customWidth="1"/>
    <col min="10515" max="10515" width="3.28515625" style="3" customWidth="1"/>
    <col min="10516" max="10518" width="11.140625" style="3" customWidth="1"/>
    <col min="10519" max="10519" width="3.140625" style="3" bestFit="1" customWidth="1"/>
    <col min="10520" max="10520" width="6.5703125" style="3" bestFit="1" customWidth="1"/>
    <col min="10521" max="10521" width="20.85546875" style="3" customWidth="1"/>
    <col min="10522" max="10522" width="7.5703125" style="3" customWidth="1"/>
    <col min="10523" max="10762" width="9.140625" style="3"/>
    <col min="10763" max="10763" width="40.85546875" style="3" customWidth="1"/>
    <col min="10764" max="10766" width="11.140625" style="3" customWidth="1"/>
    <col min="10767" max="10767" width="4.140625" style="3" customWidth="1"/>
    <col min="10768" max="10770" width="11.140625" style="3" customWidth="1"/>
    <col min="10771" max="10771" width="3.28515625" style="3" customWidth="1"/>
    <col min="10772" max="10774" width="11.140625" style="3" customWidth="1"/>
    <col min="10775" max="10775" width="3.140625" style="3" bestFit="1" customWidth="1"/>
    <col min="10776" max="10776" width="6.5703125" style="3" bestFit="1" customWidth="1"/>
    <col min="10777" max="10777" width="20.85546875" style="3" customWidth="1"/>
    <col min="10778" max="10778" width="7.5703125" style="3" customWidth="1"/>
    <col min="10779" max="11018" width="9.140625" style="3"/>
    <col min="11019" max="11019" width="40.85546875" style="3" customWidth="1"/>
    <col min="11020" max="11022" width="11.140625" style="3" customWidth="1"/>
    <col min="11023" max="11023" width="4.140625" style="3" customWidth="1"/>
    <col min="11024" max="11026" width="11.140625" style="3" customWidth="1"/>
    <col min="11027" max="11027" width="3.28515625" style="3" customWidth="1"/>
    <col min="11028" max="11030" width="11.140625" style="3" customWidth="1"/>
    <col min="11031" max="11031" width="3.140625" style="3" bestFit="1" customWidth="1"/>
    <col min="11032" max="11032" width="6.5703125" style="3" bestFit="1" customWidth="1"/>
    <col min="11033" max="11033" width="20.85546875" style="3" customWidth="1"/>
    <col min="11034" max="11034" width="7.5703125" style="3" customWidth="1"/>
    <col min="11035" max="11274" width="9.140625" style="3"/>
    <col min="11275" max="11275" width="40.85546875" style="3" customWidth="1"/>
    <col min="11276" max="11278" width="11.140625" style="3" customWidth="1"/>
    <col min="11279" max="11279" width="4.140625" style="3" customWidth="1"/>
    <col min="11280" max="11282" width="11.140625" style="3" customWidth="1"/>
    <col min="11283" max="11283" width="3.28515625" style="3" customWidth="1"/>
    <col min="11284" max="11286" width="11.140625" style="3" customWidth="1"/>
    <col min="11287" max="11287" width="3.140625" style="3" bestFit="1" customWidth="1"/>
    <col min="11288" max="11288" width="6.5703125" style="3" bestFit="1" customWidth="1"/>
    <col min="11289" max="11289" width="20.85546875" style="3" customWidth="1"/>
    <col min="11290" max="11290" width="7.5703125" style="3" customWidth="1"/>
    <col min="11291" max="11530" width="9.140625" style="3"/>
    <col min="11531" max="11531" width="40.85546875" style="3" customWidth="1"/>
    <col min="11532" max="11534" width="11.140625" style="3" customWidth="1"/>
    <col min="11535" max="11535" width="4.140625" style="3" customWidth="1"/>
    <col min="11536" max="11538" width="11.140625" style="3" customWidth="1"/>
    <col min="11539" max="11539" width="3.28515625" style="3" customWidth="1"/>
    <col min="11540" max="11542" width="11.140625" style="3" customWidth="1"/>
    <col min="11543" max="11543" width="3.140625" style="3" bestFit="1" customWidth="1"/>
    <col min="11544" max="11544" width="6.5703125" style="3" bestFit="1" customWidth="1"/>
    <col min="11545" max="11545" width="20.85546875" style="3" customWidth="1"/>
    <col min="11546" max="11546" width="7.5703125" style="3" customWidth="1"/>
    <col min="11547" max="11786" width="9.140625" style="3"/>
    <col min="11787" max="11787" width="40.85546875" style="3" customWidth="1"/>
    <col min="11788" max="11790" width="11.140625" style="3" customWidth="1"/>
    <col min="11791" max="11791" width="4.140625" style="3" customWidth="1"/>
    <col min="11792" max="11794" width="11.140625" style="3" customWidth="1"/>
    <col min="11795" max="11795" width="3.28515625" style="3" customWidth="1"/>
    <col min="11796" max="11798" width="11.140625" style="3" customWidth="1"/>
    <col min="11799" max="11799" width="3.140625" style="3" bestFit="1" customWidth="1"/>
    <col min="11800" max="11800" width="6.5703125" style="3" bestFit="1" customWidth="1"/>
    <col min="11801" max="11801" width="20.85546875" style="3" customWidth="1"/>
    <col min="11802" max="11802" width="7.5703125" style="3" customWidth="1"/>
    <col min="11803" max="12042" width="9.140625" style="3"/>
    <col min="12043" max="12043" width="40.85546875" style="3" customWidth="1"/>
    <col min="12044" max="12046" width="11.140625" style="3" customWidth="1"/>
    <col min="12047" max="12047" width="4.140625" style="3" customWidth="1"/>
    <col min="12048" max="12050" width="11.140625" style="3" customWidth="1"/>
    <col min="12051" max="12051" width="3.28515625" style="3" customWidth="1"/>
    <col min="12052" max="12054" width="11.140625" style="3" customWidth="1"/>
    <col min="12055" max="12055" width="3.140625" style="3" bestFit="1" customWidth="1"/>
    <col min="12056" max="12056" width="6.5703125" style="3" bestFit="1" customWidth="1"/>
    <col min="12057" max="12057" width="20.85546875" style="3" customWidth="1"/>
    <col min="12058" max="12058" width="7.5703125" style="3" customWidth="1"/>
    <col min="12059" max="12298" width="9.140625" style="3"/>
    <col min="12299" max="12299" width="40.85546875" style="3" customWidth="1"/>
    <col min="12300" max="12302" width="11.140625" style="3" customWidth="1"/>
    <col min="12303" max="12303" width="4.140625" style="3" customWidth="1"/>
    <col min="12304" max="12306" width="11.140625" style="3" customWidth="1"/>
    <col min="12307" max="12307" width="3.28515625" style="3" customWidth="1"/>
    <col min="12308" max="12310" width="11.140625" style="3" customWidth="1"/>
    <col min="12311" max="12311" width="3.140625" style="3" bestFit="1" customWidth="1"/>
    <col min="12312" max="12312" width="6.5703125" style="3" bestFit="1" customWidth="1"/>
    <col min="12313" max="12313" width="20.85546875" style="3" customWidth="1"/>
    <col min="12314" max="12314" width="7.5703125" style="3" customWidth="1"/>
    <col min="12315" max="12554" width="9.140625" style="3"/>
    <col min="12555" max="12555" width="40.85546875" style="3" customWidth="1"/>
    <col min="12556" max="12558" width="11.140625" style="3" customWidth="1"/>
    <col min="12559" max="12559" width="4.140625" style="3" customWidth="1"/>
    <col min="12560" max="12562" width="11.140625" style="3" customWidth="1"/>
    <col min="12563" max="12563" width="3.28515625" style="3" customWidth="1"/>
    <col min="12564" max="12566" width="11.140625" style="3" customWidth="1"/>
    <col min="12567" max="12567" width="3.140625" style="3" bestFit="1" customWidth="1"/>
    <col min="12568" max="12568" width="6.5703125" style="3" bestFit="1" customWidth="1"/>
    <col min="12569" max="12569" width="20.85546875" style="3" customWidth="1"/>
    <col min="12570" max="12570" width="7.5703125" style="3" customWidth="1"/>
    <col min="12571" max="12810" width="9.140625" style="3"/>
    <col min="12811" max="12811" width="40.85546875" style="3" customWidth="1"/>
    <col min="12812" max="12814" width="11.140625" style="3" customWidth="1"/>
    <col min="12815" max="12815" width="4.140625" style="3" customWidth="1"/>
    <col min="12816" max="12818" width="11.140625" style="3" customWidth="1"/>
    <col min="12819" max="12819" width="3.28515625" style="3" customWidth="1"/>
    <col min="12820" max="12822" width="11.140625" style="3" customWidth="1"/>
    <col min="12823" max="12823" width="3.140625" style="3" bestFit="1" customWidth="1"/>
    <col min="12824" max="12824" width="6.5703125" style="3" bestFit="1" customWidth="1"/>
    <col min="12825" max="12825" width="20.85546875" style="3" customWidth="1"/>
    <col min="12826" max="12826" width="7.5703125" style="3" customWidth="1"/>
    <col min="12827" max="13066" width="9.140625" style="3"/>
    <col min="13067" max="13067" width="40.85546875" style="3" customWidth="1"/>
    <col min="13068" max="13070" width="11.140625" style="3" customWidth="1"/>
    <col min="13071" max="13071" width="4.140625" style="3" customWidth="1"/>
    <col min="13072" max="13074" width="11.140625" style="3" customWidth="1"/>
    <col min="13075" max="13075" width="3.28515625" style="3" customWidth="1"/>
    <col min="13076" max="13078" width="11.140625" style="3" customWidth="1"/>
    <col min="13079" max="13079" width="3.140625" style="3" bestFit="1" customWidth="1"/>
    <col min="13080" max="13080" width="6.5703125" style="3" bestFit="1" customWidth="1"/>
    <col min="13081" max="13081" width="20.85546875" style="3" customWidth="1"/>
    <col min="13082" max="13082" width="7.5703125" style="3" customWidth="1"/>
    <col min="13083" max="13322" width="9.140625" style="3"/>
    <col min="13323" max="13323" width="40.85546875" style="3" customWidth="1"/>
    <col min="13324" max="13326" width="11.140625" style="3" customWidth="1"/>
    <col min="13327" max="13327" width="4.140625" style="3" customWidth="1"/>
    <col min="13328" max="13330" width="11.140625" style="3" customWidth="1"/>
    <col min="13331" max="13331" width="3.28515625" style="3" customWidth="1"/>
    <col min="13332" max="13334" width="11.140625" style="3" customWidth="1"/>
    <col min="13335" max="13335" width="3.140625" style="3" bestFit="1" customWidth="1"/>
    <col min="13336" max="13336" width="6.5703125" style="3" bestFit="1" customWidth="1"/>
    <col min="13337" max="13337" width="20.85546875" style="3" customWidth="1"/>
    <col min="13338" max="13338" width="7.5703125" style="3" customWidth="1"/>
    <col min="13339" max="13578" width="9.140625" style="3"/>
    <col min="13579" max="13579" width="40.85546875" style="3" customWidth="1"/>
    <col min="13580" max="13582" width="11.140625" style="3" customWidth="1"/>
    <col min="13583" max="13583" width="4.140625" style="3" customWidth="1"/>
    <col min="13584" max="13586" width="11.140625" style="3" customWidth="1"/>
    <col min="13587" max="13587" width="3.28515625" style="3" customWidth="1"/>
    <col min="13588" max="13590" width="11.140625" style="3" customWidth="1"/>
    <col min="13591" max="13591" width="3.140625" style="3" bestFit="1" customWidth="1"/>
    <col min="13592" max="13592" width="6.5703125" style="3" bestFit="1" customWidth="1"/>
    <col min="13593" max="13593" width="20.85546875" style="3" customWidth="1"/>
    <col min="13594" max="13594" width="7.5703125" style="3" customWidth="1"/>
    <col min="13595" max="13834" width="9.140625" style="3"/>
    <col min="13835" max="13835" width="40.85546875" style="3" customWidth="1"/>
    <col min="13836" max="13838" width="11.140625" style="3" customWidth="1"/>
    <col min="13839" max="13839" width="4.140625" style="3" customWidth="1"/>
    <col min="13840" max="13842" width="11.140625" style="3" customWidth="1"/>
    <col min="13843" max="13843" width="3.28515625" style="3" customWidth="1"/>
    <col min="13844" max="13846" width="11.140625" style="3" customWidth="1"/>
    <col min="13847" max="13847" width="3.140625" style="3" bestFit="1" customWidth="1"/>
    <col min="13848" max="13848" width="6.5703125" style="3" bestFit="1" customWidth="1"/>
    <col min="13849" max="13849" width="20.85546875" style="3" customWidth="1"/>
    <col min="13850" max="13850" width="7.5703125" style="3" customWidth="1"/>
    <col min="13851" max="14090" width="9.140625" style="3"/>
    <col min="14091" max="14091" width="40.85546875" style="3" customWidth="1"/>
    <col min="14092" max="14094" width="11.140625" style="3" customWidth="1"/>
    <col min="14095" max="14095" width="4.140625" style="3" customWidth="1"/>
    <col min="14096" max="14098" width="11.140625" style="3" customWidth="1"/>
    <col min="14099" max="14099" width="3.28515625" style="3" customWidth="1"/>
    <col min="14100" max="14102" width="11.140625" style="3" customWidth="1"/>
    <col min="14103" max="14103" width="3.140625" style="3" bestFit="1" customWidth="1"/>
    <col min="14104" max="14104" width="6.5703125" style="3" bestFit="1" customWidth="1"/>
    <col min="14105" max="14105" width="20.85546875" style="3" customWidth="1"/>
    <col min="14106" max="14106" width="7.5703125" style="3" customWidth="1"/>
    <col min="14107" max="14346" width="9.140625" style="3"/>
    <col min="14347" max="14347" width="40.85546875" style="3" customWidth="1"/>
    <col min="14348" max="14350" width="11.140625" style="3" customWidth="1"/>
    <col min="14351" max="14351" width="4.140625" style="3" customWidth="1"/>
    <col min="14352" max="14354" width="11.140625" style="3" customWidth="1"/>
    <col min="14355" max="14355" width="3.28515625" style="3" customWidth="1"/>
    <col min="14356" max="14358" width="11.140625" style="3" customWidth="1"/>
    <col min="14359" max="14359" width="3.140625" style="3" bestFit="1" customWidth="1"/>
    <col min="14360" max="14360" width="6.5703125" style="3" bestFit="1" customWidth="1"/>
    <col min="14361" max="14361" width="20.85546875" style="3" customWidth="1"/>
    <col min="14362" max="14362" width="7.5703125" style="3" customWidth="1"/>
    <col min="14363" max="14602" width="9.140625" style="3"/>
    <col min="14603" max="14603" width="40.85546875" style="3" customWidth="1"/>
    <col min="14604" max="14606" width="11.140625" style="3" customWidth="1"/>
    <col min="14607" max="14607" width="4.140625" style="3" customWidth="1"/>
    <col min="14608" max="14610" width="11.140625" style="3" customWidth="1"/>
    <col min="14611" max="14611" width="3.28515625" style="3" customWidth="1"/>
    <col min="14612" max="14614" width="11.140625" style="3" customWidth="1"/>
    <col min="14615" max="14615" width="3.140625" style="3" bestFit="1" customWidth="1"/>
    <col min="14616" max="14616" width="6.5703125" style="3" bestFit="1" customWidth="1"/>
    <col min="14617" max="14617" width="20.85546875" style="3" customWidth="1"/>
    <col min="14618" max="14618" width="7.5703125" style="3" customWidth="1"/>
    <col min="14619" max="14858" width="9.140625" style="3"/>
    <col min="14859" max="14859" width="40.85546875" style="3" customWidth="1"/>
    <col min="14860" max="14862" width="11.140625" style="3" customWidth="1"/>
    <col min="14863" max="14863" width="4.140625" style="3" customWidth="1"/>
    <col min="14864" max="14866" width="11.140625" style="3" customWidth="1"/>
    <col min="14867" max="14867" width="3.28515625" style="3" customWidth="1"/>
    <col min="14868" max="14870" width="11.140625" style="3" customWidth="1"/>
    <col min="14871" max="14871" width="3.140625" style="3" bestFit="1" customWidth="1"/>
    <col min="14872" max="14872" width="6.5703125" style="3" bestFit="1" customWidth="1"/>
    <col min="14873" max="14873" width="20.85546875" style="3" customWidth="1"/>
    <col min="14874" max="14874" width="7.5703125" style="3" customWidth="1"/>
    <col min="14875" max="15114" width="9.140625" style="3"/>
    <col min="15115" max="15115" width="40.85546875" style="3" customWidth="1"/>
    <col min="15116" max="15118" width="11.140625" style="3" customWidth="1"/>
    <col min="15119" max="15119" width="4.140625" style="3" customWidth="1"/>
    <col min="15120" max="15122" width="11.140625" style="3" customWidth="1"/>
    <col min="15123" max="15123" width="3.28515625" style="3" customWidth="1"/>
    <col min="15124" max="15126" width="11.140625" style="3" customWidth="1"/>
    <col min="15127" max="15127" width="3.140625" style="3" bestFit="1" customWidth="1"/>
    <col min="15128" max="15128" width="6.5703125" style="3" bestFit="1" customWidth="1"/>
    <col min="15129" max="15129" width="20.85546875" style="3" customWidth="1"/>
    <col min="15130" max="15130" width="7.5703125" style="3" customWidth="1"/>
    <col min="15131" max="15370" width="9.140625" style="3"/>
    <col min="15371" max="15371" width="40.85546875" style="3" customWidth="1"/>
    <col min="15372" max="15374" width="11.140625" style="3" customWidth="1"/>
    <col min="15375" max="15375" width="4.140625" style="3" customWidth="1"/>
    <col min="15376" max="15378" width="11.140625" style="3" customWidth="1"/>
    <col min="15379" max="15379" width="3.28515625" style="3" customWidth="1"/>
    <col min="15380" max="15382" width="11.140625" style="3" customWidth="1"/>
    <col min="15383" max="15383" width="3.140625" style="3" bestFit="1" customWidth="1"/>
    <col min="15384" max="15384" width="6.5703125" style="3" bestFit="1" customWidth="1"/>
    <col min="15385" max="15385" width="20.85546875" style="3" customWidth="1"/>
    <col min="15386" max="15386" width="7.5703125" style="3" customWidth="1"/>
    <col min="15387" max="15626" width="9.140625" style="3"/>
    <col min="15627" max="15627" width="40.85546875" style="3" customWidth="1"/>
    <col min="15628" max="15630" width="11.140625" style="3" customWidth="1"/>
    <col min="15631" max="15631" width="4.140625" style="3" customWidth="1"/>
    <col min="15632" max="15634" width="11.140625" style="3" customWidth="1"/>
    <col min="15635" max="15635" width="3.28515625" style="3" customWidth="1"/>
    <col min="15636" max="15638" width="11.140625" style="3" customWidth="1"/>
    <col min="15639" max="15639" width="3.140625" style="3" bestFit="1" customWidth="1"/>
    <col min="15640" max="15640" width="6.5703125" style="3" bestFit="1" customWidth="1"/>
    <col min="15641" max="15641" width="20.85546875" style="3" customWidth="1"/>
    <col min="15642" max="15642" width="7.5703125" style="3" customWidth="1"/>
    <col min="15643" max="15882" width="9.140625" style="3"/>
    <col min="15883" max="15883" width="40.85546875" style="3" customWidth="1"/>
    <col min="15884" max="15886" width="11.140625" style="3" customWidth="1"/>
    <col min="15887" max="15887" width="4.140625" style="3" customWidth="1"/>
    <col min="15888" max="15890" width="11.140625" style="3" customWidth="1"/>
    <col min="15891" max="15891" width="3.28515625" style="3" customWidth="1"/>
    <col min="15892" max="15894" width="11.140625" style="3" customWidth="1"/>
    <col min="15895" max="15895" width="3.140625" style="3" bestFit="1" customWidth="1"/>
    <col min="15896" max="15896" width="6.5703125" style="3" bestFit="1" customWidth="1"/>
    <col min="15897" max="15897" width="20.85546875" style="3" customWidth="1"/>
    <col min="15898" max="15898" width="7.5703125" style="3" customWidth="1"/>
    <col min="15899" max="16138" width="9.140625" style="3"/>
    <col min="16139" max="16139" width="40.85546875" style="3" customWidth="1"/>
    <col min="16140" max="16142" width="11.140625" style="3" customWidth="1"/>
    <col min="16143" max="16143" width="4.140625" style="3" customWidth="1"/>
    <col min="16144" max="16146" width="11.140625" style="3" customWidth="1"/>
    <col min="16147" max="16147" width="3.28515625" style="3" customWidth="1"/>
    <col min="16148" max="16150" width="11.140625" style="3" customWidth="1"/>
    <col min="16151" max="16151" width="3.140625" style="3" bestFit="1" customWidth="1"/>
    <col min="16152" max="16152" width="6.5703125" style="3" bestFit="1" customWidth="1"/>
    <col min="16153" max="16153" width="20.85546875" style="3" customWidth="1"/>
    <col min="16154" max="16154" width="7.5703125" style="3" customWidth="1"/>
    <col min="16155" max="16384" width="9.140625" style="3"/>
  </cols>
  <sheetData>
    <row r="1" spans="1:106" ht="19.5" customHeight="1" x14ac:dyDescent="0.25">
      <c r="A1" s="70" t="s">
        <v>23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"/>
      <c r="O1" s="1"/>
      <c r="P1" s="1"/>
      <c r="Q1" s="1"/>
      <c r="R1" s="1"/>
      <c r="S1" s="1"/>
      <c r="T1" s="1"/>
      <c r="U1" s="1"/>
      <c r="X1" s="1"/>
    </row>
    <row r="2" spans="1:106" ht="19.5" customHeight="1" x14ac:dyDescent="0.25">
      <c r="A2" s="68" t="s">
        <v>22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4"/>
      <c r="O2" s="4"/>
      <c r="P2" s="4"/>
      <c r="Q2" s="4"/>
      <c r="R2" s="4"/>
      <c r="S2" s="4"/>
      <c r="T2" s="4"/>
      <c r="U2" s="4"/>
      <c r="X2" s="4"/>
    </row>
    <row r="3" spans="1:106" ht="15.75" customHeight="1" x14ac:dyDescent="0.25">
      <c r="A3" s="77" t="s">
        <v>0</v>
      </c>
      <c r="B3" s="73" t="s">
        <v>1</v>
      </c>
      <c r="C3" s="73"/>
      <c r="D3" s="73"/>
      <c r="E3" s="56"/>
      <c r="F3" s="74" t="s">
        <v>2</v>
      </c>
      <c r="G3" s="73"/>
      <c r="H3" s="73"/>
      <c r="I3" s="57"/>
      <c r="J3" s="73" t="s">
        <v>3</v>
      </c>
      <c r="K3" s="73"/>
      <c r="L3" s="73"/>
      <c r="M3" s="5"/>
      <c r="N3" s="6"/>
      <c r="O3" s="6"/>
      <c r="P3" s="6"/>
      <c r="Q3" s="6"/>
      <c r="R3" s="6"/>
      <c r="S3" s="6"/>
      <c r="T3" s="6"/>
    </row>
    <row r="4" spans="1:106" ht="15.75" customHeight="1" x14ac:dyDescent="0.25">
      <c r="A4" s="78"/>
      <c r="B4" s="75" t="s">
        <v>4</v>
      </c>
      <c r="C4" s="75"/>
      <c r="D4" s="75"/>
      <c r="E4" s="7"/>
      <c r="F4" s="76" t="s">
        <v>5</v>
      </c>
      <c r="G4" s="75"/>
      <c r="H4" s="75"/>
      <c r="I4" s="58"/>
      <c r="J4" s="75" t="s">
        <v>6</v>
      </c>
      <c r="K4" s="75"/>
      <c r="L4" s="75"/>
      <c r="M4" s="8"/>
      <c r="N4" s="9"/>
      <c r="O4" s="9"/>
      <c r="P4" s="4"/>
      <c r="Q4" s="4"/>
      <c r="R4" s="4"/>
      <c r="S4" s="4"/>
      <c r="T4" s="4"/>
      <c r="U4" s="4"/>
    </row>
    <row r="5" spans="1:106" ht="19.5" customHeight="1" x14ac:dyDescent="0.25">
      <c r="A5" s="79"/>
      <c r="B5" s="10" t="s">
        <v>7</v>
      </c>
      <c r="C5" s="10" t="s">
        <v>8</v>
      </c>
      <c r="D5" s="10" t="s">
        <v>9</v>
      </c>
      <c r="E5" s="10"/>
      <c r="F5" s="48" t="s">
        <v>7</v>
      </c>
      <c r="G5" s="10" t="s">
        <v>8</v>
      </c>
      <c r="H5" s="10" t="s">
        <v>9</v>
      </c>
      <c r="I5" s="49"/>
      <c r="J5" s="10" t="s">
        <v>7</v>
      </c>
      <c r="K5" s="10" t="s">
        <v>8</v>
      </c>
      <c r="L5" s="10" t="s">
        <v>9</v>
      </c>
      <c r="M5" s="10"/>
      <c r="P5" s="6"/>
      <c r="Q5" s="6"/>
      <c r="R5" s="6"/>
      <c r="S5" s="6"/>
      <c r="T5" s="6"/>
      <c r="Y5" s="72" t="s">
        <v>5</v>
      </c>
      <c r="Z5" s="72"/>
      <c r="AA5" s="72" t="s">
        <v>10</v>
      </c>
      <c r="AB5" s="72"/>
    </row>
    <row r="6" spans="1:106" ht="18" customHeight="1" x14ac:dyDescent="0.25">
      <c r="A6" s="80" t="s">
        <v>11</v>
      </c>
      <c r="B6" s="11">
        <f>F6+J6</f>
        <v>10151</v>
      </c>
      <c r="C6" s="11">
        <f t="shared" ref="C6:D7" si="0">G6+K6</f>
        <v>3742</v>
      </c>
      <c r="D6" s="11">
        <f t="shared" si="0"/>
        <v>6409</v>
      </c>
      <c r="E6" s="11"/>
      <c r="F6" s="50">
        <f>SUM(G6:H6)</f>
        <v>3962</v>
      </c>
      <c r="G6" s="13">
        <f>SUM(G7:G11)</f>
        <v>1342</v>
      </c>
      <c r="H6" s="64">
        <f>SUM(H7:H11)</f>
        <v>2620</v>
      </c>
      <c r="I6" s="51"/>
      <c r="J6" s="13">
        <f>SUM(K6:L6)</f>
        <v>6189</v>
      </c>
      <c r="K6" s="13">
        <f>SUM(K7:K11)</f>
        <v>2400</v>
      </c>
      <c r="L6" s="13">
        <f>SUM(L7:L11)</f>
        <v>3789</v>
      </c>
      <c r="M6" s="12"/>
      <c r="P6" s="4"/>
      <c r="Q6" s="4"/>
      <c r="R6" s="4"/>
      <c r="S6" s="4"/>
      <c r="T6" s="4"/>
      <c r="U6" s="4"/>
      <c r="Y6" s="2" t="s">
        <v>8</v>
      </c>
      <c r="Z6" s="2" t="s">
        <v>9</v>
      </c>
      <c r="AA6" s="2" t="s">
        <v>8</v>
      </c>
      <c r="AB6" s="2" t="s">
        <v>9</v>
      </c>
    </row>
    <row r="7" spans="1:106" ht="18" customHeight="1" x14ac:dyDescent="0.25">
      <c r="A7" s="67" t="s">
        <v>19</v>
      </c>
      <c r="B7" s="15">
        <f>F7+J7</f>
        <v>1086</v>
      </c>
      <c r="C7" s="15">
        <f t="shared" si="0"/>
        <v>711</v>
      </c>
      <c r="D7" s="15">
        <f t="shared" si="0"/>
        <v>375</v>
      </c>
      <c r="E7" s="15"/>
      <c r="F7" s="52">
        <f t="shared" ref="F7:F11" si="1">SUM(G7:H7)</f>
        <v>521</v>
      </c>
      <c r="G7" s="15">
        <v>250</v>
      </c>
      <c r="H7" s="15">
        <v>271</v>
      </c>
      <c r="I7" s="53"/>
      <c r="J7" s="15">
        <f t="shared" ref="J7:J11" si="2">SUM(K7:L7)</f>
        <v>565</v>
      </c>
      <c r="K7" s="15">
        <v>461</v>
      </c>
      <c r="L7" s="15">
        <v>104</v>
      </c>
      <c r="M7" s="54"/>
      <c r="P7" s="6"/>
      <c r="Q7" s="6"/>
      <c r="R7" s="6"/>
      <c r="S7" s="6"/>
      <c r="T7" s="6"/>
      <c r="W7" s="14"/>
      <c r="X7" s="59" t="s">
        <v>19</v>
      </c>
      <c r="Y7" s="14">
        <f>G7</f>
        <v>250</v>
      </c>
      <c r="Z7" s="14">
        <f>H7</f>
        <v>271</v>
      </c>
      <c r="AA7" s="14">
        <f>K7</f>
        <v>461</v>
      </c>
      <c r="AB7" s="14">
        <f>L7</f>
        <v>104</v>
      </c>
      <c r="AC7" s="14">
        <f>SUM(Y7:AB7)</f>
        <v>1086</v>
      </c>
    </row>
    <row r="8" spans="1:106" ht="18" customHeight="1" x14ac:dyDescent="0.25">
      <c r="A8" s="67" t="s">
        <v>12</v>
      </c>
      <c r="B8" s="15">
        <f t="shared" ref="B8:B11" si="3">F8+J8</f>
        <v>2987</v>
      </c>
      <c r="C8" s="15">
        <f t="shared" ref="C8:C11" si="4">G8+K8</f>
        <v>333</v>
      </c>
      <c r="D8" s="15">
        <f t="shared" ref="D8:D11" si="5">H8+L8</f>
        <v>2654</v>
      </c>
      <c r="E8" s="15"/>
      <c r="F8" s="52">
        <f t="shared" si="1"/>
        <v>1267</v>
      </c>
      <c r="G8" s="15">
        <v>149</v>
      </c>
      <c r="H8" s="15">
        <v>1118</v>
      </c>
      <c r="I8" s="53"/>
      <c r="J8" s="15">
        <f t="shared" si="2"/>
        <v>1720</v>
      </c>
      <c r="K8" s="15">
        <v>184</v>
      </c>
      <c r="L8" s="15">
        <v>1536</v>
      </c>
      <c r="M8" s="54"/>
      <c r="P8" s="4"/>
      <c r="Q8" s="4"/>
      <c r="R8" s="4"/>
      <c r="S8" s="4"/>
      <c r="T8" s="4"/>
      <c r="U8" s="4"/>
      <c r="X8" s="59" t="s">
        <v>12</v>
      </c>
      <c r="Y8" s="14">
        <f t="shared" ref="Y8:Y11" si="6">G8</f>
        <v>149</v>
      </c>
      <c r="Z8" s="14">
        <f t="shared" ref="Z8:Z11" si="7">H8</f>
        <v>1118</v>
      </c>
      <c r="AA8" s="14">
        <f t="shared" ref="AA8:AA11" si="8">K8</f>
        <v>184</v>
      </c>
      <c r="AB8" s="14">
        <f t="shared" ref="AB8:AB11" si="9">L8</f>
        <v>1536</v>
      </c>
      <c r="AC8" s="14">
        <f t="shared" ref="AC8:AC11" si="10">SUM(Y8:AB8)</f>
        <v>2987</v>
      </c>
    </row>
    <row r="9" spans="1:106" ht="18" customHeight="1" x14ac:dyDescent="0.25">
      <c r="A9" s="67" t="s">
        <v>20</v>
      </c>
      <c r="B9" s="15">
        <f t="shared" si="3"/>
        <v>828</v>
      </c>
      <c r="C9" s="15">
        <f t="shared" si="4"/>
        <v>390</v>
      </c>
      <c r="D9" s="15">
        <f t="shared" si="5"/>
        <v>438</v>
      </c>
      <c r="E9" s="15"/>
      <c r="F9" s="52">
        <f t="shared" si="1"/>
        <v>465</v>
      </c>
      <c r="G9" s="15">
        <v>184</v>
      </c>
      <c r="H9" s="15">
        <v>281</v>
      </c>
      <c r="I9" s="53"/>
      <c r="J9" s="15">
        <f t="shared" si="2"/>
        <v>363</v>
      </c>
      <c r="K9" s="15">
        <v>206</v>
      </c>
      <c r="L9" s="15">
        <v>157</v>
      </c>
      <c r="M9" s="54"/>
      <c r="P9" s="6"/>
      <c r="Q9" s="6"/>
      <c r="R9" s="6"/>
      <c r="S9" s="6"/>
      <c r="T9" s="6"/>
      <c r="X9" s="59" t="s">
        <v>20</v>
      </c>
      <c r="Y9" s="14">
        <f t="shared" si="6"/>
        <v>184</v>
      </c>
      <c r="Z9" s="14">
        <f t="shared" si="7"/>
        <v>281</v>
      </c>
      <c r="AA9" s="14">
        <f t="shared" si="8"/>
        <v>206</v>
      </c>
      <c r="AB9" s="14">
        <f t="shared" si="9"/>
        <v>157</v>
      </c>
      <c r="AC9" s="14">
        <f t="shared" si="10"/>
        <v>828</v>
      </c>
    </row>
    <row r="10" spans="1:106" s="18" customFormat="1" ht="18" customHeight="1" x14ac:dyDescent="0.25">
      <c r="A10" s="67" t="s">
        <v>13</v>
      </c>
      <c r="B10" s="15">
        <f t="shared" si="3"/>
        <v>485</v>
      </c>
      <c r="C10" s="15">
        <f t="shared" si="4"/>
        <v>142</v>
      </c>
      <c r="D10" s="15">
        <f t="shared" si="5"/>
        <v>343</v>
      </c>
      <c r="E10" s="15"/>
      <c r="F10" s="52">
        <f t="shared" si="1"/>
        <v>8</v>
      </c>
      <c r="G10" s="15">
        <v>1</v>
      </c>
      <c r="H10" s="15">
        <v>7</v>
      </c>
      <c r="I10" s="53"/>
      <c r="J10" s="15">
        <f t="shared" si="2"/>
        <v>477</v>
      </c>
      <c r="K10" s="15">
        <v>141</v>
      </c>
      <c r="L10" s="15">
        <v>336</v>
      </c>
      <c r="M10" s="54"/>
      <c r="N10" s="16"/>
      <c r="O10" s="16"/>
      <c r="P10" s="4"/>
      <c r="Q10" s="4"/>
      <c r="R10" s="4"/>
      <c r="S10" s="4"/>
      <c r="T10" s="4"/>
      <c r="U10" s="4"/>
      <c r="V10" s="2"/>
      <c r="W10" s="16"/>
      <c r="X10" s="59" t="s">
        <v>13</v>
      </c>
      <c r="Y10" s="14">
        <f t="shared" si="6"/>
        <v>1</v>
      </c>
      <c r="Z10" s="14">
        <f t="shared" si="7"/>
        <v>7</v>
      </c>
      <c r="AA10" s="14">
        <f t="shared" si="8"/>
        <v>141</v>
      </c>
      <c r="AB10" s="14">
        <f t="shared" si="9"/>
        <v>336</v>
      </c>
      <c r="AC10" s="17">
        <f t="shared" si="10"/>
        <v>485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</row>
    <row r="11" spans="1:106" s="18" customFormat="1" ht="18" customHeight="1" x14ac:dyDescent="0.25">
      <c r="A11" s="47" t="s">
        <v>26</v>
      </c>
      <c r="B11" s="61">
        <f t="shared" si="3"/>
        <v>4765</v>
      </c>
      <c r="C11" s="61">
        <f t="shared" si="4"/>
        <v>2166</v>
      </c>
      <c r="D11" s="61">
        <f t="shared" si="5"/>
        <v>2599</v>
      </c>
      <c r="E11" s="61"/>
      <c r="F11" s="62">
        <f t="shared" si="1"/>
        <v>1701</v>
      </c>
      <c r="G11" s="61">
        <v>758</v>
      </c>
      <c r="H11" s="61">
        <v>943</v>
      </c>
      <c r="I11" s="63"/>
      <c r="J11" s="61">
        <f t="shared" si="2"/>
        <v>3064</v>
      </c>
      <c r="K11" s="61">
        <v>1408</v>
      </c>
      <c r="L11" s="61">
        <v>1656</v>
      </c>
      <c r="M11" s="55"/>
      <c r="N11" s="16"/>
      <c r="O11" s="16"/>
      <c r="P11" s="6"/>
      <c r="Q11" s="6"/>
      <c r="R11" s="6"/>
      <c r="S11" s="6"/>
      <c r="T11" s="6"/>
      <c r="U11" s="2"/>
      <c r="V11" s="2"/>
      <c r="W11" s="16"/>
      <c r="X11" s="60" t="s">
        <v>21</v>
      </c>
      <c r="Y11" s="14">
        <f t="shared" si="6"/>
        <v>758</v>
      </c>
      <c r="Z11" s="14">
        <f t="shared" si="7"/>
        <v>943</v>
      </c>
      <c r="AA11" s="14">
        <f t="shared" si="8"/>
        <v>1408</v>
      </c>
      <c r="AB11" s="14">
        <f t="shared" si="9"/>
        <v>1656</v>
      </c>
      <c r="AC11" s="17">
        <f t="shared" si="10"/>
        <v>4765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</row>
    <row r="12" spans="1:106" ht="19.5" customHeight="1" x14ac:dyDescent="0.25">
      <c r="A12" s="19" t="s">
        <v>14</v>
      </c>
      <c r="B12" s="20"/>
      <c r="C12" s="20"/>
      <c r="D12" s="21"/>
      <c r="E12" s="20"/>
      <c r="F12" s="20"/>
      <c r="G12" s="20"/>
      <c r="H12" s="20"/>
      <c r="I12" s="20"/>
      <c r="J12" s="20"/>
      <c r="K12" s="20"/>
      <c r="L12" s="20"/>
      <c r="M12" s="22"/>
      <c r="P12" s="4"/>
      <c r="Q12" s="4"/>
      <c r="R12" s="4"/>
      <c r="S12" s="4"/>
      <c r="T12" s="4"/>
      <c r="U12" s="4"/>
    </row>
    <row r="13" spans="1:106" ht="16.5" customHeight="1" x14ac:dyDescent="0.25">
      <c r="A13" s="65" t="s">
        <v>24</v>
      </c>
      <c r="B13" s="23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12"/>
      <c r="P13" s="6"/>
      <c r="Q13" s="6"/>
      <c r="R13" s="6"/>
      <c r="S13" s="6"/>
      <c r="T13" s="6"/>
    </row>
    <row r="14" spans="1:106" ht="16.5" customHeight="1" x14ac:dyDescent="0.25">
      <c r="A14" s="66" t="s">
        <v>16</v>
      </c>
      <c r="B14" s="25"/>
      <c r="C14" s="25"/>
      <c r="D14" s="26"/>
      <c r="E14" s="23"/>
      <c r="F14" s="23"/>
      <c r="G14" s="23"/>
      <c r="H14" s="23"/>
      <c r="I14" s="23"/>
      <c r="J14" s="23"/>
      <c r="K14" s="23"/>
      <c r="L14" s="23"/>
      <c r="M14" s="12"/>
      <c r="P14" s="4"/>
      <c r="Q14" s="4"/>
      <c r="R14" s="4"/>
      <c r="S14" s="4"/>
      <c r="T14" s="4"/>
      <c r="U14" s="4"/>
    </row>
    <row r="15" spans="1:106" ht="16.5" customHeight="1" x14ac:dyDescent="0.25">
      <c r="A15" s="66" t="s">
        <v>17</v>
      </c>
      <c r="B15" s="23"/>
      <c r="C15" s="23"/>
      <c r="D15" s="24"/>
      <c r="E15" s="27"/>
      <c r="F15" s="27"/>
      <c r="G15" s="23"/>
      <c r="H15" s="23"/>
      <c r="I15" s="23"/>
      <c r="J15" s="23"/>
      <c r="K15" s="23"/>
      <c r="L15" s="23"/>
      <c r="M15" s="12"/>
      <c r="P15" s="6"/>
      <c r="Q15" s="6"/>
      <c r="R15" s="6"/>
      <c r="S15" s="6"/>
      <c r="T15" s="6"/>
    </row>
    <row r="16" spans="1:106" ht="16.5" customHeight="1" x14ac:dyDescent="0.25">
      <c r="A16" s="66" t="s">
        <v>18</v>
      </c>
      <c r="B16" s="23"/>
      <c r="C16" s="23"/>
      <c r="D16" s="24"/>
      <c r="E16" s="27"/>
      <c r="F16" s="27"/>
      <c r="G16" s="23"/>
      <c r="H16" s="23"/>
      <c r="I16" s="23"/>
      <c r="J16" s="23"/>
      <c r="K16" s="23"/>
      <c r="L16" s="23"/>
      <c r="M16" s="12"/>
      <c r="P16" s="4"/>
      <c r="Q16" s="4"/>
      <c r="R16" s="4"/>
      <c r="S16" s="4"/>
      <c r="T16" s="4"/>
      <c r="U16" s="4"/>
    </row>
    <row r="17" spans="1:21" ht="16.5" customHeight="1" x14ac:dyDescent="0.25">
      <c r="A17" s="66" t="s">
        <v>27</v>
      </c>
      <c r="B17" s="23"/>
      <c r="C17" s="23"/>
      <c r="D17" s="24"/>
      <c r="E17" s="27"/>
      <c r="F17" s="27"/>
      <c r="G17" s="23"/>
      <c r="H17" s="23"/>
      <c r="I17" s="23"/>
      <c r="J17" s="23"/>
      <c r="K17" s="23"/>
      <c r="L17" s="23"/>
      <c r="M17" s="12"/>
      <c r="P17" s="4"/>
      <c r="Q17" s="4"/>
      <c r="R17" s="4"/>
      <c r="S17" s="4"/>
      <c r="T17" s="4"/>
      <c r="U17" s="4"/>
    </row>
    <row r="18" spans="1:21" ht="16.5" customHeight="1" x14ac:dyDescent="0.25">
      <c r="A18" s="66" t="s">
        <v>15</v>
      </c>
      <c r="B18" s="23"/>
      <c r="C18" s="23"/>
      <c r="D18" s="24"/>
      <c r="E18" s="27"/>
      <c r="F18" s="27"/>
      <c r="G18" s="23"/>
      <c r="H18" s="23"/>
      <c r="I18" s="23"/>
      <c r="J18" s="23"/>
      <c r="K18" s="23"/>
      <c r="L18" s="23"/>
      <c r="M18" s="12"/>
      <c r="P18" s="6"/>
      <c r="Q18" s="6"/>
      <c r="R18" s="6"/>
      <c r="S18" s="6"/>
      <c r="T18" s="6"/>
    </row>
    <row r="19" spans="1:21" ht="16.5" customHeight="1" x14ac:dyDescent="0.25">
      <c r="A19" s="66" t="s">
        <v>25</v>
      </c>
      <c r="B19" s="20"/>
      <c r="C19" s="20"/>
      <c r="D19" s="21"/>
      <c r="E19" s="20"/>
      <c r="F19" s="20"/>
      <c r="G19" s="20"/>
      <c r="H19" s="20"/>
      <c r="I19" s="20"/>
      <c r="J19" s="20"/>
      <c r="K19" s="20"/>
      <c r="L19" s="20"/>
      <c r="M19" s="12"/>
    </row>
    <row r="20" spans="1:21" ht="19.5" customHeight="1" x14ac:dyDescent="0.25">
      <c r="A20" s="28"/>
      <c r="B20" s="29"/>
      <c r="C20" s="20"/>
      <c r="D20" s="21"/>
      <c r="E20" s="30"/>
      <c r="F20" s="30"/>
      <c r="G20" s="3"/>
      <c r="H20" s="20"/>
      <c r="I20" s="20"/>
      <c r="J20" s="20"/>
      <c r="K20" s="29"/>
      <c r="L20" s="29"/>
      <c r="M20" s="12"/>
    </row>
    <row r="21" spans="1:21" ht="19.5" customHeight="1" x14ac:dyDescent="0.2">
      <c r="A21" s="3"/>
      <c r="B21" s="31"/>
      <c r="C21" s="31"/>
      <c r="D21" s="31"/>
      <c r="E21" s="31"/>
      <c r="F21" s="31"/>
      <c r="G21" s="31"/>
      <c r="H21" s="31"/>
      <c r="I21" s="31"/>
      <c r="J21" s="32"/>
      <c r="K21" s="33"/>
      <c r="L21" s="34"/>
      <c r="M21" s="12"/>
    </row>
    <row r="22" spans="1:21" ht="19.5" customHeight="1" x14ac:dyDescent="0.25">
      <c r="A22" s="20"/>
      <c r="B22" s="31"/>
      <c r="C22" s="31"/>
      <c r="D22" s="31"/>
      <c r="E22" s="31"/>
      <c r="F22" s="31"/>
      <c r="G22" s="31"/>
      <c r="H22" s="31"/>
      <c r="I22" s="31"/>
      <c r="J22" s="31"/>
      <c r="K22" s="33"/>
      <c r="L22" s="34"/>
      <c r="M22" s="12"/>
    </row>
    <row r="23" spans="1:21" ht="19.5" customHeight="1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12"/>
    </row>
    <row r="24" spans="1:21" ht="19.5" customHeight="1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12"/>
    </row>
    <row r="25" spans="1:21" ht="19.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9"/>
      <c r="L25" s="34"/>
      <c r="M25" s="40"/>
      <c r="N25" s="41"/>
      <c r="O25" s="41"/>
    </row>
    <row r="29" spans="1:21" ht="19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21" ht="19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1" ht="19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21" ht="19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06" s="44" customFormat="1" ht="19.5" customHeight="1" x14ac:dyDescent="0.25"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</row>
    <row r="34" spans="1:106" s="2" customFormat="1" ht="19.5" customHeight="1" x14ac:dyDescent="0.25"/>
    <row r="35" spans="1:106" s="2" customFormat="1" ht="19.5" customHeight="1" x14ac:dyDescent="0.25"/>
    <row r="36" spans="1:106" s="2" customFormat="1" ht="19.5" customHeight="1" x14ac:dyDescent="0.25"/>
    <row r="37" spans="1:106" s="2" customFormat="1" ht="19.5" customHeight="1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spans="1:106" s="2" customFormat="1" ht="19.5" customHeight="1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spans="1:106" s="2" customFormat="1" ht="19.5" customHeight="1" x14ac:dyDescent="0.2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spans="1:106" s="2" customFormat="1" ht="19.5" customHeight="1" x14ac:dyDescent="0.25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</row>
    <row r="41" spans="1:106" s="2" customFormat="1" ht="19.5" customHeight="1" x14ac:dyDescent="0.25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1:106" s="2" customFormat="1" ht="19.5" customHeight="1" x14ac:dyDescent="0.25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spans="1:106" s="2" customFormat="1" ht="19.5" customHeight="1" x14ac:dyDescent="0.25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spans="1:106" s="2" customFormat="1" ht="19.5" customHeight="1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</sheetData>
  <mergeCells count="11">
    <mergeCell ref="A2:M2"/>
    <mergeCell ref="A1:M1"/>
    <mergeCell ref="AA5:AB5"/>
    <mergeCell ref="A3:A5"/>
    <mergeCell ref="B3:D3"/>
    <mergeCell ref="F3:H3"/>
    <mergeCell ref="J3:L3"/>
    <mergeCell ref="B4:D4"/>
    <mergeCell ref="F4:H4"/>
    <mergeCell ref="J4:L4"/>
    <mergeCell ref="Y5:Z5"/>
  </mergeCells>
  <pageMargins left="0.7" right="0.7" top="0.75" bottom="0.75" header="0.3" footer="0.3"/>
  <pageSetup scale="59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2022-02-15T03:17:58Z</cp:lastPrinted>
  <dcterms:created xsi:type="dcterms:W3CDTF">2019-08-06T05:35:20Z</dcterms:created>
  <dcterms:modified xsi:type="dcterms:W3CDTF">2022-02-15T03:19:21Z</dcterms:modified>
</cp:coreProperties>
</file>