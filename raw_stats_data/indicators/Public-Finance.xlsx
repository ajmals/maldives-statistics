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Finance" sheetId="11" r:id="rId1"/>
  </sheets>
  <externalReferences>
    <externalReference r:id="rId2"/>
    <externalReference r:id="rId3"/>
  </externalReferences>
  <definedNames>
    <definedName name="_xlnm.Print_Area" localSheetId="0">Finance!$A$1:$M$55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4" i="11" l="1"/>
  <c r="AA45" i="11"/>
  <c r="AK43" i="11" l="1"/>
  <c r="AL43" i="11"/>
  <c r="L30" i="11"/>
  <c r="M30" i="11"/>
  <c r="L31" i="11"/>
  <c r="M31" i="11"/>
  <c r="L21" i="11"/>
  <c r="M21" i="11"/>
  <c r="K21" i="11"/>
  <c r="AK44" i="11" l="1"/>
  <c r="AL44" i="11"/>
  <c r="M26" i="11"/>
  <c r="M27" i="11"/>
  <c r="M28" i="11"/>
  <c r="M29" i="11"/>
  <c r="M25" i="11"/>
  <c r="L28" i="11"/>
  <c r="L27" i="11"/>
  <c r="AL42" i="11" l="1"/>
  <c r="AL45" i="11"/>
  <c r="AB45" i="11" l="1"/>
  <c r="AC45" i="11"/>
  <c r="AD45" i="11"/>
  <c r="AE45" i="11"/>
  <c r="AF45" i="11"/>
  <c r="AG45" i="11"/>
  <c r="AH45" i="11"/>
  <c r="AI45" i="11"/>
  <c r="AJ45" i="11"/>
  <c r="AK45" i="11"/>
  <c r="AB44" i="11"/>
  <c r="AC44" i="11"/>
  <c r="AD44" i="11"/>
  <c r="AE44" i="11"/>
  <c r="AF44" i="11"/>
  <c r="AG44" i="11"/>
  <c r="AH44" i="11"/>
  <c r="AI44" i="11"/>
  <c r="AJ44" i="11"/>
  <c r="AK42" i="11"/>
  <c r="I31" i="11" l="1"/>
  <c r="J31" i="11"/>
  <c r="K31" i="11"/>
  <c r="I30" i="11"/>
  <c r="J30" i="11"/>
  <c r="K30" i="11"/>
  <c r="I29" i="11"/>
  <c r="J29" i="11"/>
  <c r="K29" i="11"/>
  <c r="L29" i="11"/>
  <c r="I28" i="11"/>
  <c r="J28" i="11"/>
  <c r="K28" i="11"/>
  <c r="I27" i="11"/>
  <c r="J27" i="11"/>
  <c r="K27" i="11"/>
  <c r="I26" i="11"/>
  <c r="J26" i="11"/>
  <c r="K26" i="11"/>
  <c r="L26" i="11"/>
  <c r="I25" i="11"/>
  <c r="J25" i="11"/>
  <c r="K25" i="11"/>
  <c r="L25" i="11"/>
  <c r="AB43" i="11" l="1"/>
  <c r="AC43" i="11"/>
  <c r="AD43" i="11"/>
  <c r="AE43" i="11"/>
  <c r="AF43" i="11"/>
  <c r="AG43" i="11"/>
  <c r="AH43" i="11"/>
  <c r="AI43" i="11"/>
  <c r="AJ43" i="11"/>
  <c r="AJ42" i="11"/>
  <c r="D32" i="11"/>
  <c r="D31" i="11" s="1"/>
  <c r="C32" i="11"/>
  <c r="C25" i="11" s="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D29" i="11" l="1"/>
  <c r="D26" i="11"/>
  <c r="C30" i="11"/>
  <c r="C31" i="11"/>
  <c r="C29" i="11"/>
  <c r="D30" i="11"/>
  <c r="D25" i="11"/>
  <c r="C26" i="11"/>
</calcChain>
</file>

<file path=xl/sharedStrings.xml><?xml version="1.0" encoding="utf-8"?>
<sst xmlns="http://schemas.openxmlformats.org/spreadsheetml/2006/main" count="40" uniqueCount="36">
  <si>
    <t xml:space="preserve">PUBLIC FINANCE </t>
  </si>
  <si>
    <t>(In million rufiyaa)</t>
  </si>
  <si>
    <t>actual</t>
  </si>
  <si>
    <t>revised</t>
  </si>
  <si>
    <t>Revenue and Grants</t>
  </si>
  <si>
    <t xml:space="preserve">Revenue </t>
  </si>
  <si>
    <t>Tax Revenue</t>
  </si>
  <si>
    <t>Expenditure and Net Lending</t>
  </si>
  <si>
    <t>Total Expenditure</t>
  </si>
  <si>
    <t>Current Expenditure</t>
  </si>
  <si>
    <t xml:space="preserve">Capital Expenditure </t>
  </si>
  <si>
    <t>Net Lending</t>
  </si>
  <si>
    <t>Financing</t>
  </si>
  <si>
    <t>Foreign financing</t>
  </si>
  <si>
    <t xml:space="preserve">Domestic financing </t>
  </si>
  <si>
    <t xml:space="preserve">Total Debt </t>
  </si>
  <si>
    <t>Foreign Debt</t>
  </si>
  <si>
    <t xml:space="preserve">Domestic Debt </t>
  </si>
  <si>
    <t>Revenue as percent of GDP</t>
  </si>
  <si>
    <t>Total Expenditure as pecent of GDP</t>
  </si>
  <si>
    <t>Overall Balance as pecent of GDP</t>
  </si>
  <si>
    <t>Primary Balance as pecent of GDP</t>
  </si>
  <si>
    <t>Total Debt as pecent of GDP</t>
  </si>
  <si>
    <t>Foreign debt as pecent of GDP</t>
  </si>
  <si>
    <t>Domestic debt as pecent of GDP</t>
  </si>
  <si>
    <r>
      <rPr>
        <vertAlign val="superscript"/>
        <sz val="11"/>
        <rFont val="Calibri"/>
        <family val="2"/>
      </rPr>
      <t>1_/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Includes capital revenue</t>
    </r>
  </si>
  <si>
    <r>
      <rPr>
        <vertAlign val="superscript"/>
        <sz val="11"/>
        <rFont val="Calibri"/>
        <family val="2"/>
      </rPr>
      <t>4_/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Primary Balance is excluding Loan repayment</t>
    </r>
  </si>
  <si>
    <r>
      <rPr>
        <vertAlign val="superscript"/>
        <sz val="11"/>
        <rFont val="Calibri"/>
        <family val="2"/>
      </rPr>
      <t>2_/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>Excludes grants for direct expenditure by donors</t>
    </r>
  </si>
  <si>
    <r>
      <rPr>
        <vertAlign val="superscript"/>
        <sz val="11"/>
        <rFont val="Calibri"/>
        <family val="2"/>
      </rPr>
      <t>3_/</t>
    </r>
    <r>
      <rPr>
        <i/>
        <vertAlign val="superscript"/>
        <sz val="11"/>
        <rFont val="Calibri"/>
        <family val="2"/>
      </rPr>
      <t xml:space="preserve">    </t>
    </r>
    <r>
      <rPr>
        <i/>
        <sz val="11"/>
        <rFont val="Calibri"/>
        <family val="2"/>
      </rPr>
      <t xml:space="preserve">Overall Balance including Grants </t>
    </r>
  </si>
  <si>
    <r>
      <rPr>
        <vertAlign val="superscript"/>
        <sz val="11"/>
        <rFont val="Calibri"/>
        <family val="2"/>
      </rPr>
      <t>5_/</t>
    </r>
    <r>
      <rPr>
        <i/>
        <vertAlign val="superscript"/>
        <sz val="11"/>
        <rFont val="Calibri"/>
        <family val="2"/>
      </rPr>
      <t xml:space="preserve"> </t>
    </r>
    <r>
      <rPr>
        <i/>
        <sz val="11"/>
        <rFont val="Calibri"/>
        <family val="2"/>
      </rPr>
      <t xml:space="preserve"> revised </t>
    </r>
    <r>
      <rPr>
        <sz val="11"/>
        <color theme="1"/>
        <rFont val="Calibri"/>
        <family val="2"/>
        <scheme val="minor"/>
      </rPr>
      <t/>
    </r>
  </si>
  <si>
    <r>
      <t>2019</t>
    </r>
    <r>
      <rPr>
        <b/>
        <vertAlign val="superscript"/>
        <sz val="12"/>
        <rFont val="Calibri"/>
        <family val="2"/>
      </rPr>
      <t>5_/</t>
    </r>
  </si>
  <si>
    <r>
      <t xml:space="preserve">Non-tax Revenue </t>
    </r>
    <r>
      <rPr>
        <vertAlign val="superscript"/>
        <sz val="12"/>
        <rFont val="Calibri"/>
        <family val="2"/>
        <scheme val="minor"/>
      </rPr>
      <t>1_/</t>
    </r>
  </si>
  <si>
    <r>
      <t xml:space="preserve"> Grants </t>
    </r>
    <r>
      <rPr>
        <b/>
        <vertAlign val="superscript"/>
        <sz val="12"/>
        <rFont val="Calibri"/>
        <family val="2"/>
        <scheme val="minor"/>
      </rPr>
      <t>2_/</t>
    </r>
  </si>
  <si>
    <r>
      <t xml:space="preserve">Overall Balance </t>
    </r>
    <r>
      <rPr>
        <b/>
        <vertAlign val="superscript"/>
        <sz val="12"/>
        <rFont val="Calibri"/>
        <family val="2"/>
        <scheme val="minor"/>
      </rPr>
      <t>3_/</t>
    </r>
  </si>
  <si>
    <r>
      <t xml:space="preserve">Primary Balance </t>
    </r>
    <r>
      <rPr>
        <vertAlign val="superscript"/>
        <sz val="12"/>
        <rFont val="Calibri"/>
        <family val="2"/>
        <scheme val="minor"/>
      </rPr>
      <t>4_/</t>
    </r>
  </si>
  <si>
    <t>GDP (at 2014 current prices in millions MVR ) 5_/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</si>
</sst>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7" formatCode="_(* #,##0.0_);_(* \(#,##0.0\);_(* &quot;-&quot;??_);_(@_)"/>
    <numFmt numFmtId="168" formatCode="#,##0.0"/>
    <numFmt numFmtId="169" formatCode="General_)"/>
    <numFmt numFmtId="171" formatCode="0.00_)"/>
    <numFmt numFmtId="173" formatCode="_(* #,##0.0_);_(* \(#,##0.0\);_(* &quot;-&quot;_);_(@_)"/>
    <numFmt numFmtId="174" formatCode="_-* #,##0.0_-;\-* #,##0.0_-;_-* &quot;-&quot;??_-;_-@_-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vertAlign val="superscript"/>
      <sz val="11"/>
      <name val="Calibri"/>
      <family val="2"/>
    </font>
    <font>
      <i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12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andara"/>
      <family val="2"/>
    </font>
    <font>
      <sz val="10"/>
      <color theme="1"/>
      <name val="Arial"/>
      <family val="2"/>
    </font>
    <font>
      <sz val="12"/>
      <name val="Candara"/>
      <family val="2"/>
    </font>
    <font>
      <b/>
      <sz val="14"/>
      <name val="Candar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i/>
      <vertAlign val="superscript"/>
      <sz val="11"/>
      <name val="Calibri"/>
      <family val="2"/>
    </font>
    <font>
      <b/>
      <vertAlign val="superscript"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i/>
      <sz val="12"/>
      <name val="Calibri"/>
      <family val="2"/>
    </font>
    <font>
      <i/>
      <sz val="12"/>
      <color theme="1"/>
      <name val="Calibri"/>
      <family val="2"/>
      <scheme val="minor"/>
    </font>
    <font>
      <b/>
      <sz val="22"/>
      <color theme="0"/>
      <name val="Candara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AFAFA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  <fill>
      <patternFill patternType="solid">
        <fgColor rgb="FFE0F9F8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4" fillId="0" borderId="0"/>
    <xf numFmtId="43" fontId="14" fillId="0" borderId="0" applyFont="0" applyFill="0" applyBorder="0" applyAlignment="0" applyProtection="0"/>
    <xf numFmtId="0" fontId="14" fillId="0" borderId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7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21" borderId="0" applyNumberFormat="0" applyBorder="0" applyAlignment="0" applyProtection="0"/>
    <xf numFmtId="0" fontId="19" fillId="5" borderId="0" applyNumberFormat="0" applyBorder="0" applyAlignment="0" applyProtection="0"/>
    <xf numFmtId="0" fontId="20" fillId="22" borderId="1" applyNumberFormat="0" applyAlignment="0" applyProtection="0"/>
    <xf numFmtId="0" fontId="21" fillId="23" borderId="2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9" borderId="1" applyNumberFormat="0" applyAlignment="0" applyProtection="0"/>
    <xf numFmtId="0" fontId="28" fillId="0" borderId="6" applyNumberFormat="0" applyFill="0" applyAlignment="0" applyProtection="0"/>
    <xf numFmtId="0" fontId="29" fillId="24" borderId="0" applyNumberFormat="0" applyBorder="0" applyAlignment="0" applyProtection="0"/>
    <xf numFmtId="171" fontId="16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69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7" fillId="25" borderId="7" applyNumberFormat="0" applyFont="0" applyAlignment="0" applyProtection="0"/>
    <xf numFmtId="0" fontId="30" fillId="22" borderId="8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32" fillId="0" borderId="0" applyNumberFormat="0" applyFill="0" applyBorder="0" applyAlignment="0" applyProtection="0"/>
    <xf numFmtId="169" fontId="4" fillId="0" borderId="0"/>
    <xf numFmtId="169" fontId="4" fillId="0" borderId="0"/>
    <xf numFmtId="0" fontId="1" fillId="0" borderId="0"/>
    <xf numFmtId="0" fontId="4" fillId="0" borderId="0"/>
    <xf numFmtId="0" fontId="2" fillId="0" borderId="0"/>
    <xf numFmtId="165" fontId="4" fillId="0" borderId="0" applyFont="0" applyFill="0" applyBorder="0" applyAlignment="0" applyProtection="0"/>
    <xf numFmtId="0" fontId="2" fillId="0" borderId="0"/>
    <xf numFmtId="169" fontId="4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</cellStyleXfs>
  <cellXfs count="108">
    <xf numFmtId="0" fontId="0" fillId="0" borderId="0" xfId="0"/>
    <xf numFmtId="0" fontId="0" fillId="2" borderId="0" xfId="0" applyFill="1" applyBorder="1"/>
    <xf numFmtId="0" fontId="5" fillId="2" borderId="0" xfId="0" applyFont="1" applyFill="1"/>
    <xf numFmtId="0" fontId="2" fillId="2" borderId="0" xfId="0" applyFont="1" applyFill="1" applyBorder="1"/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69" applyFont="1" applyFill="1"/>
    <xf numFmtId="0" fontId="36" fillId="2" borderId="0" xfId="4" applyFont="1" applyFill="1"/>
    <xf numFmtId="0" fontId="33" fillId="2" borderId="0" xfId="69" applyFont="1" applyFill="1"/>
    <xf numFmtId="0" fontId="40" fillId="3" borderId="0" xfId="69" applyFont="1" applyFill="1" applyBorder="1" applyAlignment="1">
      <alignment horizontal="right" vertical="center"/>
    </xf>
    <xf numFmtId="0" fontId="7" fillId="2" borderId="0" xfId="69" applyFont="1" applyFill="1" applyAlignment="1">
      <alignment horizontal="right" vertical="center"/>
    </xf>
    <xf numFmtId="0" fontId="2" fillId="2" borderId="0" xfId="69" applyFont="1" applyFill="1" applyAlignment="1">
      <alignment vertical="center"/>
    </xf>
    <xf numFmtId="0" fontId="3" fillId="2" borderId="0" xfId="69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73" fontId="7" fillId="2" borderId="0" xfId="69" applyNumberFormat="1" applyFont="1" applyFill="1" applyAlignment="1">
      <alignment vertical="center"/>
    </xf>
    <xf numFmtId="173" fontId="5" fillId="2" borderId="0" xfId="1" applyNumberFormat="1" applyFont="1" applyFill="1" applyAlignment="1">
      <alignment vertical="center"/>
    </xf>
    <xf numFmtId="173" fontId="6" fillId="2" borderId="0" xfId="0" applyNumberFormat="1" applyFont="1" applyFill="1" applyBorder="1" applyAlignment="1">
      <alignment vertical="center"/>
    </xf>
    <xf numFmtId="173" fontId="5" fillId="2" borderId="0" xfId="0" applyNumberFormat="1" applyFont="1" applyFill="1" applyBorder="1" applyAlignment="1">
      <alignment vertical="center"/>
    </xf>
    <xf numFmtId="168" fontId="11" fillId="2" borderId="0" xfId="69" applyNumberFormat="1" applyFont="1" applyFill="1" applyAlignment="1">
      <alignment vertical="center"/>
    </xf>
    <xf numFmtId="167" fontId="11" fillId="2" borderId="0" xfId="1" applyNumberFormat="1" applyFont="1" applyFill="1" applyAlignment="1">
      <alignment vertical="center"/>
    </xf>
    <xf numFmtId="167" fontId="11" fillId="2" borderId="0" xfId="1" applyNumberFormat="1" applyFont="1" applyFill="1" applyAlignment="1">
      <alignment horizontal="right" vertical="center"/>
    </xf>
    <xf numFmtId="173" fontId="7" fillId="2" borderId="0" xfId="69" applyNumberFormat="1" applyFont="1" applyFill="1" applyAlignment="1">
      <alignment horizontal="right" vertical="center"/>
    </xf>
    <xf numFmtId="173" fontId="7" fillId="2" borderId="0" xfId="1" applyNumberFormat="1" applyFont="1" applyFill="1" applyAlignment="1">
      <alignment horizontal="right" vertical="center"/>
    </xf>
    <xf numFmtId="173" fontId="5" fillId="2" borderId="0" xfId="69" applyNumberFormat="1" applyFont="1" applyFill="1" applyBorder="1" applyAlignment="1">
      <alignment horizontal="right" vertical="center"/>
    </xf>
    <xf numFmtId="168" fontId="11" fillId="2" borderId="0" xfId="71" applyNumberFormat="1" applyFont="1" applyFill="1" applyAlignment="1" applyProtection="1">
      <alignment horizontal="right" vertical="center"/>
      <protection locked="0"/>
    </xf>
    <xf numFmtId="164" fontId="2" fillId="2" borderId="0" xfId="69" applyNumberFormat="1" applyFont="1" applyFill="1" applyAlignment="1">
      <alignment vertical="center"/>
    </xf>
    <xf numFmtId="49" fontId="2" fillId="2" borderId="0" xfId="69" applyNumberFormat="1" applyFont="1" applyFill="1" applyAlignment="1">
      <alignment vertical="center"/>
    </xf>
    <xf numFmtId="173" fontId="6" fillId="2" borderId="0" xfId="69" applyNumberFormat="1" applyFont="1" applyFill="1" applyBorder="1" applyAlignment="1">
      <alignment vertical="center"/>
    </xf>
    <xf numFmtId="173" fontId="5" fillId="2" borderId="0" xfId="69" applyNumberFormat="1" applyFont="1" applyFill="1" applyAlignment="1">
      <alignment vertical="center"/>
    </xf>
    <xf numFmtId="165" fontId="11" fillId="2" borderId="0" xfId="69" applyNumberFormat="1" applyFont="1" applyFill="1" applyAlignment="1">
      <alignment vertical="center"/>
    </xf>
    <xf numFmtId="0" fontId="2" fillId="2" borderId="0" xfId="69" applyFont="1" applyFill="1" applyBorder="1" applyAlignment="1">
      <alignment vertical="center"/>
    </xf>
    <xf numFmtId="165" fontId="11" fillId="2" borderId="0" xfId="69" applyNumberFormat="1" applyFont="1" applyFill="1" applyBorder="1" applyAlignment="1">
      <alignment vertical="center"/>
    </xf>
    <xf numFmtId="173" fontId="5" fillId="2" borderId="0" xfId="0" applyNumberFormat="1" applyFont="1" applyFill="1" applyAlignment="1">
      <alignment vertical="center"/>
    </xf>
    <xf numFmtId="173" fontId="6" fillId="3" borderId="0" xfId="69" applyNumberFormat="1" applyFont="1" applyFill="1" applyBorder="1" applyAlignment="1">
      <alignment vertical="center"/>
    </xf>
    <xf numFmtId="164" fontId="2" fillId="2" borderId="0" xfId="69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173" fontId="42" fillId="2" borderId="0" xfId="69" applyNumberFormat="1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0" xfId="69" applyFont="1" applyFill="1" applyBorder="1" applyAlignment="1">
      <alignment vertical="center"/>
    </xf>
    <xf numFmtId="173" fontId="41" fillId="2" borderId="0" xfId="69" applyNumberFormat="1" applyFont="1" applyFill="1" applyBorder="1" applyAlignment="1">
      <alignment vertical="center"/>
    </xf>
    <xf numFmtId="0" fontId="34" fillId="2" borderId="0" xfId="0" applyFont="1" applyFill="1" applyBorder="1" applyAlignment="1">
      <alignment vertical="center"/>
    </xf>
    <xf numFmtId="174" fontId="34" fillId="2" borderId="0" xfId="1" applyNumberFormat="1" applyFont="1" applyFill="1" applyBorder="1" applyAlignment="1">
      <alignment vertical="center"/>
    </xf>
    <xf numFmtId="173" fontId="42" fillId="2" borderId="0" xfId="72" applyNumberFormat="1" applyFont="1" applyFill="1" applyBorder="1" applyAlignment="1">
      <alignment horizontal="right" vertical="center"/>
    </xf>
    <xf numFmtId="0" fontId="9" fillId="2" borderId="0" xfId="69" applyFont="1" applyFill="1" applyAlignment="1">
      <alignment vertical="center"/>
    </xf>
    <xf numFmtId="0" fontId="6" fillId="2" borderId="0" xfId="69" applyFont="1" applyFill="1" applyAlignment="1">
      <alignment vertical="center"/>
    </xf>
    <xf numFmtId="174" fontId="0" fillId="2" borderId="0" xfId="1" applyNumberFormat="1" applyFont="1" applyFill="1" applyBorder="1" applyAlignment="1">
      <alignment vertical="center"/>
    </xf>
    <xf numFmtId="0" fontId="43" fillId="2" borderId="0" xfId="69" applyFont="1" applyFill="1" applyAlignment="1">
      <alignment vertical="center"/>
    </xf>
    <xf numFmtId="168" fontId="10" fillId="2" borderId="0" xfId="69" applyNumberFormat="1" applyFont="1" applyFill="1" applyBorder="1"/>
    <xf numFmtId="0" fontId="2" fillId="2" borderId="0" xfId="69" applyFill="1" applyBorder="1"/>
    <xf numFmtId="0" fontId="2" fillId="2" borderId="0" xfId="4" applyFont="1" applyFill="1" applyBorder="1" applyAlignment="1">
      <alignment horizontal="left"/>
    </xf>
    <xf numFmtId="0" fontId="10" fillId="2" borderId="0" xfId="4" applyNumberFormat="1" applyFont="1" applyFill="1" applyBorder="1" applyAlignment="1" applyProtection="1">
      <alignment horizontal="right"/>
    </xf>
    <xf numFmtId="0" fontId="2" fillId="2" borderId="0" xfId="4" applyFont="1" applyFill="1"/>
    <xf numFmtId="0" fontId="2" fillId="2" borderId="0" xfId="4" applyFont="1" applyFill="1" applyBorder="1"/>
    <xf numFmtId="173" fontId="0" fillId="2" borderId="0" xfId="0" applyNumberFormat="1" applyFill="1"/>
    <xf numFmtId="0" fontId="40" fillId="29" borderId="0" xfId="69" applyFont="1" applyFill="1" applyBorder="1" applyAlignment="1">
      <alignment horizontal="right" vertical="center"/>
    </xf>
    <xf numFmtId="0" fontId="45" fillId="2" borderId="0" xfId="0" applyFont="1" applyFill="1"/>
    <xf numFmtId="0" fontId="48" fillId="2" borderId="0" xfId="0" applyFont="1" applyFill="1"/>
    <xf numFmtId="0" fontId="45" fillId="0" borderId="0" xfId="0" applyFont="1"/>
    <xf numFmtId="0" fontId="45" fillId="2" borderId="0" xfId="0" applyFont="1" applyFill="1" applyBorder="1"/>
    <xf numFmtId="0" fontId="39" fillId="2" borderId="0" xfId="69" applyFont="1" applyFill="1"/>
    <xf numFmtId="0" fontId="50" fillId="2" borderId="0" xfId="0" applyFont="1" applyFill="1" applyAlignment="1">
      <alignment horizontal="right" vertical="center"/>
    </xf>
    <xf numFmtId="0" fontId="48" fillId="2" borderId="0" xfId="0" applyFont="1" applyFill="1" applyBorder="1" applyAlignment="1">
      <alignment vertical="center"/>
    </xf>
    <xf numFmtId="0" fontId="40" fillId="2" borderId="0" xfId="0" applyFont="1" applyFill="1" applyBorder="1" applyAlignment="1">
      <alignment horizontal="right" vertical="center"/>
    </xf>
    <xf numFmtId="173" fontId="40" fillId="29" borderId="0" xfId="69" applyNumberFormat="1" applyFont="1" applyFill="1" applyBorder="1" applyAlignment="1">
      <alignment vertical="center"/>
    </xf>
    <xf numFmtId="173" fontId="40" fillId="2" borderId="0" xfId="69" applyNumberFormat="1" applyFont="1" applyFill="1" applyBorder="1" applyAlignment="1">
      <alignment vertical="center"/>
    </xf>
    <xf numFmtId="173" fontId="48" fillId="29" borderId="0" xfId="1" applyNumberFormat="1" applyFont="1" applyFill="1" applyBorder="1" applyAlignment="1">
      <alignment vertical="center"/>
    </xf>
    <xf numFmtId="173" fontId="48" fillId="2" borderId="0" xfId="0" applyNumberFormat="1" applyFont="1" applyFill="1" applyBorder="1" applyAlignment="1">
      <alignment vertical="center"/>
    </xf>
    <xf numFmtId="173" fontId="40" fillId="2" borderId="0" xfId="69" applyNumberFormat="1" applyFont="1" applyFill="1" applyBorder="1" applyAlignment="1">
      <alignment horizontal="right" vertical="center"/>
    </xf>
    <xf numFmtId="173" fontId="40" fillId="29" borderId="0" xfId="1" applyNumberFormat="1" applyFont="1" applyFill="1" applyBorder="1" applyAlignment="1">
      <alignment horizontal="right" vertical="center"/>
    </xf>
    <xf numFmtId="173" fontId="48" fillId="2" borderId="0" xfId="1" applyNumberFormat="1" applyFont="1" applyFill="1" applyBorder="1" applyAlignment="1">
      <alignment vertical="center"/>
    </xf>
    <xf numFmtId="173" fontId="48" fillId="2" borderId="0" xfId="69" applyNumberFormat="1" applyFont="1" applyFill="1" applyBorder="1" applyAlignment="1">
      <alignment vertical="center"/>
    </xf>
    <xf numFmtId="173" fontId="48" fillId="26" borderId="0" xfId="69" applyNumberFormat="1" applyFont="1" applyFill="1" applyBorder="1" applyAlignment="1">
      <alignment horizontal="right" vertical="center"/>
    </xf>
    <xf numFmtId="173" fontId="48" fillId="29" borderId="0" xfId="69" applyNumberFormat="1" applyFont="1" applyFill="1" applyBorder="1" applyAlignment="1">
      <alignment horizontal="right" vertical="center"/>
    </xf>
    <xf numFmtId="173" fontId="48" fillId="26" borderId="0" xfId="1" applyNumberFormat="1" applyFont="1" applyFill="1" applyBorder="1" applyAlignment="1">
      <alignment vertical="center"/>
    </xf>
    <xf numFmtId="173" fontId="49" fillId="29" borderId="0" xfId="69" applyNumberFormat="1" applyFont="1" applyFill="1" applyBorder="1" applyAlignment="1">
      <alignment vertical="center"/>
    </xf>
    <xf numFmtId="173" fontId="49" fillId="2" borderId="0" xfId="69" applyNumberFormat="1" applyFont="1" applyFill="1" applyBorder="1" applyAlignment="1">
      <alignment vertical="center"/>
    </xf>
    <xf numFmtId="173" fontId="49" fillId="26" borderId="0" xfId="69" applyNumberFormat="1" applyFont="1" applyFill="1" applyBorder="1" applyAlignment="1">
      <alignment vertical="center"/>
    </xf>
    <xf numFmtId="173" fontId="48" fillId="2" borderId="0" xfId="72" applyNumberFormat="1" applyFont="1" applyFill="1" applyBorder="1" applyAlignment="1">
      <alignment horizontal="right" vertical="center"/>
    </xf>
    <xf numFmtId="173" fontId="48" fillId="29" borderId="0" xfId="72" applyNumberFormat="1" applyFont="1" applyFill="1" applyBorder="1" applyAlignment="1">
      <alignment horizontal="right" vertical="center"/>
    </xf>
    <xf numFmtId="0" fontId="48" fillId="2" borderId="0" xfId="0" applyFont="1" applyFill="1" applyAlignment="1">
      <alignment vertical="center"/>
    </xf>
    <xf numFmtId="0" fontId="39" fillId="2" borderId="0" xfId="69" applyFont="1" applyFill="1" applyAlignment="1">
      <alignment vertical="center"/>
    </xf>
    <xf numFmtId="3" fontId="45" fillId="28" borderId="0" xfId="1" applyNumberFormat="1" applyFont="1" applyFill="1" applyBorder="1" applyAlignment="1">
      <alignment horizontal="right" vertical="center"/>
    </xf>
    <xf numFmtId="173" fontId="48" fillId="3" borderId="0" xfId="69" applyNumberFormat="1" applyFont="1" applyFill="1" applyBorder="1" applyAlignment="1">
      <alignment vertical="center"/>
    </xf>
    <xf numFmtId="173" fontId="45" fillId="2" borderId="0" xfId="0" applyNumberFormat="1" applyFont="1" applyFill="1"/>
    <xf numFmtId="0" fontId="39" fillId="2" borderId="0" xfId="4" applyFont="1" applyFill="1" applyBorder="1"/>
    <xf numFmtId="0" fontId="35" fillId="29" borderId="0" xfId="69" applyFont="1" applyFill="1" applyBorder="1" applyAlignment="1">
      <alignment vertical="center"/>
    </xf>
    <xf numFmtId="0" fontId="37" fillId="2" borderId="0" xfId="69" applyFont="1" applyFill="1" applyBorder="1" applyAlignment="1">
      <alignment vertical="center"/>
    </xf>
    <xf numFmtId="0" fontId="38" fillId="29" borderId="0" xfId="69" applyFont="1" applyFill="1" applyBorder="1" applyAlignment="1">
      <alignment vertical="center"/>
    </xf>
    <xf numFmtId="0" fontId="37" fillId="29" borderId="0" xfId="69" applyFont="1" applyFill="1" applyBorder="1" applyAlignment="1">
      <alignment vertical="center"/>
    </xf>
    <xf numFmtId="0" fontId="38" fillId="2" borderId="0" xfId="69" applyFont="1" applyFill="1" applyBorder="1" applyAlignment="1">
      <alignment vertical="center"/>
    </xf>
    <xf numFmtId="0" fontId="38" fillId="26" borderId="0" xfId="69" applyFont="1" applyFill="1" applyBorder="1" applyAlignment="1">
      <alignment vertical="center"/>
    </xf>
    <xf numFmtId="0" fontId="37" fillId="26" borderId="0" xfId="69" applyFont="1" applyFill="1" applyBorder="1" applyAlignment="1">
      <alignment vertical="center"/>
    </xf>
    <xf numFmtId="0" fontId="46" fillId="29" borderId="0" xfId="69" applyFont="1" applyFill="1" applyBorder="1" applyAlignment="1">
      <alignment vertical="center"/>
    </xf>
    <xf numFmtId="0" fontId="46" fillId="2" borderId="0" xfId="69" applyFont="1" applyFill="1" applyBorder="1" applyAlignment="1">
      <alignment vertical="center"/>
    </xf>
    <xf numFmtId="0" fontId="45" fillId="2" borderId="0" xfId="69" applyFont="1" applyFill="1" applyBorder="1" applyAlignment="1">
      <alignment vertical="center"/>
    </xf>
    <xf numFmtId="0" fontId="46" fillId="26" borderId="0" xfId="69" applyFont="1" applyFill="1" applyBorder="1" applyAlignment="1">
      <alignment vertical="center"/>
    </xf>
    <xf numFmtId="0" fontId="45" fillId="29" borderId="0" xfId="69" applyFont="1" applyFill="1" applyBorder="1" applyAlignment="1">
      <alignment vertical="center"/>
    </xf>
    <xf numFmtId="0" fontId="51" fillId="29" borderId="0" xfId="4" applyFont="1" applyFill="1" applyBorder="1" applyAlignment="1" applyProtection="1">
      <alignment horizontal="left" vertical="center" indent="1"/>
    </xf>
    <xf numFmtId="0" fontId="37" fillId="2" borderId="0" xfId="69" applyFont="1" applyFill="1" applyBorder="1" applyAlignment="1">
      <alignment horizontal="left" vertical="center"/>
    </xf>
    <xf numFmtId="0" fontId="37" fillId="29" borderId="0" xfId="69" applyFont="1" applyFill="1" applyBorder="1" applyAlignment="1">
      <alignment horizontal="left" vertical="center"/>
    </xf>
    <xf numFmtId="0" fontId="45" fillId="2" borderId="0" xfId="69" applyFont="1" applyFill="1" applyBorder="1" applyAlignment="1">
      <alignment horizontal="left" vertical="center"/>
    </xf>
    <xf numFmtId="0" fontId="45" fillId="29" borderId="0" xfId="69" applyFont="1" applyFill="1" applyBorder="1" applyAlignment="1">
      <alignment horizontal="left" vertical="center"/>
    </xf>
    <xf numFmtId="0" fontId="51" fillId="2" borderId="0" xfId="4" applyFont="1" applyFill="1" applyBorder="1" applyAlignment="1" applyProtection="1">
      <alignment horizontal="left" vertical="center"/>
    </xf>
    <xf numFmtId="0" fontId="52" fillId="27" borderId="0" xfId="4" applyFont="1" applyFill="1" applyAlignment="1">
      <alignment horizontal="left" vertical="center"/>
    </xf>
    <xf numFmtId="0" fontId="38" fillId="2" borderId="0" xfId="69" applyFont="1" applyFill="1" applyBorder="1" applyAlignment="1">
      <alignment horizontal="left" vertical="center"/>
    </xf>
    <xf numFmtId="0" fontId="38" fillId="29" borderId="0" xfId="69" applyFont="1" applyFill="1" applyBorder="1" applyAlignment="1">
      <alignment horizontal="left" vertical="center"/>
    </xf>
  </cellXfs>
  <cellStyles count="82">
    <cellStyle name="1" xfId="2"/>
    <cellStyle name="1 3" xfId="4"/>
    <cellStyle name="1_Indicators2007 2" xfId="73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6"/>
    <cellStyle name="Comma 3" xfId="6"/>
    <cellStyle name="Comma 3 2" xfId="38"/>
    <cellStyle name="Comma 3 3" xfId="77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4"/>
    <cellStyle name="Normal 2 2 4" xfId="75"/>
    <cellStyle name="Normal 2 2 5" xfId="80"/>
    <cellStyle name="Normal 2 3" xfId="81"/>
    <cellStyle name="Normal 3" xfId="53"/>
    <cellStyle name="Normal 3 2" xfId="79"/>
    <cellStyle name="Normal 3 3" xfId="78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13 Public Finance_done" xfId="71"/>
    <cellStyle name="Normal_Indicators" xfId="69"/>
    <cellStyle name="Normal_XII-1 (Commerce)" xfId="72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anose="020E0502030303020204" pitchFamily="34" charset="0"/>
                <a:ea typeface="Calibri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Government Finance, 2010 - 2020</a:t>
            </a:r>
          </a:p>
        </c:rich>
      </c:tx>
      <c:layout>
        <c:manualLayout>
          <c:xMode val="edge"/>
          <c:yMode val="edge"/>
          <c:x val="0.30563890040060776"/>
          <c:y val="4.9978560159869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03425847806579E-2"/>
          <c:y val="0.14597174996541862"/>
          <c:w val="0.8875350205339313"/>
          <c:h val="0.72969116628640807"/>
        </c:manualLayout>
      </c:layout>
      <c:lineChart>
        <c:grouping val="standard"/>
        <c:varyColors val="0"/>
        <c:ser>
          <c:idx val="2"/>
          <c:order val="2"/>
          <c:tx>
            <c:strRef>
              <c:f>Finance!$AA$44</c:f>
              <c:strCache>
                <c:ptCount val="1"/>
                <c:pt idx="0">
                  <c:v>Revenue and Grants</c:v>
                </c:pt>
              </c:strCache>
            </c:strRef>
          </c:tx>
          <c:spPr>
            <a:ln>
              <a:solidFill>
                <a:srgbClr val="249390"/>
              </a:solidFill>
            </a:ln>
          </c:spPr>
          <c:marker>
            <c:spPr>
              <a:solidFill>
                <a:srgbClr val="33CCCC"/>
              </a:solidFill>
              <a:ln w="6350">
                <a:solidFill>
                  <a:srgbClr val="196563"/>
                </a:solidFill>
              </a:ln>
            </c:spPr>
          </c:marker>
          <c:cat>
            <c:numRef>
              <c:f>Finance!$AB$41:$AL$41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Finance!$AB$44:$AL$44</c:f>
              <c:numCache>
                <c:formatCode>_(* #,##0.0_);_(* \(#,##0.0\);_(* "-"_);_(@_)</c:formatCode>
                <c:ptCount val="11"/>
                <c:pt idx="0">
                  <c:v>6546.9287702799966</c:v>
                </c:pt>
                <c:pt idx="1">
                  <c:v>9904.5614829999995</c:v>
                </c:pt>
                <c:pt idx="2">
                  <c:v>10138.11294952</c:v>
                </c:pt>
                <c:pt idx="3">
                  <c:v>11900.748051729999</c:v>
                </c:pt>
                <c:pt idx="4">
                  <c:v>15164.227912</c:v>
                </c:pt>
                <c:pt idx="5">
                  <c:v>17306.201467370003</c:v>
                </c:pt>
                <c:pt idx="6">
                  <c:v>18578.118781009995</c:v>
                </c:pt>
                <c:pt idx="7">
                  <c:v>20258.636295000004</c:v>
                </c:pt>
                <c:pt idx="8">
                  <c:v>22222.967435000002</c:v>
                </c:pt>
                <c:pt idx="9">
                  <c:v>23231.857586999999</c:v>
                </c:pt>
                <c:pt idx="10">
                  <c:v>14692.808497000002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99-4967-B362-F7BA2A06948A}"/>
            </c:ext>
          </c:extLst>
        </c:ser>
        <c:ser>
          <c:idx val="3"/>
          <c:order val="3"/>
          <c:tx>
            <c:strRef>
              <c:f>Finance!$AA$45</c:f>
              <c:strCache>
                <c:ptCount val="1"/>
                <c:pt idx="0">
                  <c:v>Expenditure and Net Lending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pPr>
              <a:solidFill>
                <a:srgbClr val="C8F4F2"/>
              </a:solidFill>
              <a:ln>
                <a:solidFill>
                  <a:srgbClr val="249390"/>
                </a:solidFill>
              </a:ln>
            </c:spPr>
          </c:marker>
          <c:cat>
            <c:numRef>
              <c:f>Finance!$AB$41:$AL$41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Finance!$AB$45:$AL$45</c:f>
              <c:numCache>
                <c:formatCode>_(* #,##0.0_);_(* \(#,##0.0\);_(* "-"_);_(@_)</c:formatCode>
                <c:ptCount val="11"/>
                <c:pt idx="0">
                  <c:v>10815.062102899999</c:v>
                </c:pt>
                <c:pt idx="1">
                  <c:v>12264.726665999999</c:v>
                </c:pt>
                <c:pt idx="2">
                  <c:v>13110.002924999999</c:v>
                </c:pt>
                <c:pt idx="3">
                  <c:v>13530.771002489999</c:v>
                </c:pt>
                <c:pt idx="4">
                  <c:v>16417.211596000001</c:v>
                </c:pt>
                <c:pt idx="5">
                  <c:v>21336.878134909999</c:v>
                </c:pt>
                <c:pt idx="6">
                  <c:v>25262.973192969996</c:v>
                </c:pt>
                <c:pt idx="7">
                  <c:v>22420.18677</c:v>
                </c:pt>
                <c:pt idx="8">
                  <c:v>26418.667526999998</c:v>
                </c:pt>
                <c:pt idx="9">
                  <c:v>28919.533213000002</c:v>
                </c:pt>
                <c:pt idx="10">
                  <c:v>30566.561805000001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99-4967-B362-F7BA2A06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568272"/>
        <c:axId val="790561608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Finance!$AA$42</c15:sqref>
                        </c15:formulaRef>
                      </c:ext>
                    </c:extLst>
                    <c:strCache>
                      <c:ptCount val="1"/>
                      <c:pt idx="0">
                        <c:v>Foreign Debt</c:v>
                      </c:pt>
                    </c:strCache>
                  </c:strRef>
                </c:tx>
                <c:marker>
                  <c:symbol val="square"/>
                  <c:size val="7"/>
                  <c:spPr>
                    <a:solidFill>
                      <a:srgbClr val="33CCCC"/>
                    </a:solidFill>
                    <a:ln w="6350">
                      <a:solidFill>
                        <a:srgbClr val="196563"/>
                      </a:solidFill>
                    </a:ln>
                  </c:spPr>
                </c:marker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Finance!$AB$41:$AL$41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Finance!$AB$42:$AL$42</c15:sqref>
                        </c15:formulaRef>
                      </c:ext>
                    </c:extLst>
                    <c:numCache>
                      <c:formatCode>_(* #,##0.0_);_(* \(#,##0.0\);_(* "-"_);_(@_)</c:formatCode>
                      <c:ptCount val="11"/>
                      <c:pt idx="0">
                        <c:v>7859.3</c:v>
                      </c:pt>
                      <c:pt idx="1">
                        <c:v>10349.700000000001</c:v>
                      </c:pt>
                      <c:pt idx="2">
                        <c:v>11081.6</c:v>
                      </c:pt>
                      <c:pt idx="3">
                        <c:v>11517.8</c:v>
                      </c:pt>
                      <c:pt idx="4">
                        <c:v>10749.2</c:v>
                      </c:pt>
                      <c:pt idx="5">
                        <c:v>10204.200000000001</c:v>
                      </c:pt>
                      <c:pt idx="6">
                        <c:v>11725.9</c:v>
                      </c:pt>
                      <c:pt idx="7">
                        <c:v>17408.400000000001</c:v>
                      </c:pt>
                      <c:pt idx="8">
                        <c:v>81586.056129809847</c:v>
                      </c:pt>
                      <c:pt idx="9">
                        <c:v>86258.604658655982</c:v>
                      </c:pt>
                      <c:pt idx="10">
                        <c:v>57568.66772968907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3766-465D-BA0C-79D2338F12F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Finance!$AA$43</c15:sqref>
                        </c15:formulaRef>
                      </c:ext>
                    </c:extLst>
                    <c:strCache>
                      <c:ptCount val="1"/>
                      <c:pt idx="0">
                        <c:v>Domestic Debt </c:v>
                      </c:pt>
                    </c:strCache>
                  </c:strRef>
                </c:tx>
                <c:marker>
                  <c:symbol val="diamond"/>
                  <c:size val="8"/>
                  <c:spPr>
                    <a:solidFill>
                      <a:srgbClr val="C8F4F2"/>
                    </a:solidFill>
                    <a:ln>
                      <a:solidFill>
                        <a:srgbClr val="249390"/>
                      </a:solidFill>
                    </a:ln>
                  </c:spPr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Finance!$AB$41:$AL$41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Finance!$AB$43:$AL$43</c15:sqref>
                        </c15:formulaRef>
                      </c:ext>
                    </c:extLst>
                    <c:numCache>
                      <c:formatCode>_(* #,##0.0_);_(* \(#,##0.0\);_(* "-"_);_(@_)</c:formatCode>
                      <c:ptCount val="11"/>
                      <c:pt idx="0">
                        <c:v>9157.6958460000005</c:v>
                      </c:pt>
                      <c:pt idx="1">
                        <c:v>12782.9</c:v>
                      </c:pt>
                      <c:pt idx="2">
                        <c:v>14452.2</c:v>
                      </c:pt>
                      <c:pt idx="3">
                        <c:v>16907.599999999999</c:v>
                      </c:pt>
                      <c:pt idx="4">
                        <c:v>20644.3</c:v>
                      </c:pt>
                      <c:pt idx="5">
                        <c:v>23109.3</c:v>
                      </c:pt>
                      <c:pt idx="6">
                        <c:v>26476</c:v>
                      </c:pt>
                      <c:pt idx="7">
                        <c:v>26570.220323479869</c:v>
                      </c:pt>
                      <c:pt idx="8">
                        <c:v>27664.038056830916</c:v>
                      </c:pt>
                      <c:pt idx="9">
                        <c:v>32226.988934999998</c:v>
                      </c:pt>
                      <c:pt idx="10">
                        <c:v>40408.53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1-3766-465D-BA0C-79D2338F12F7}"/>
                  </c:ext>
                </c:extLst>
              </c15:ser>
            </c15:filteredLineSeries>
          </c:ext>
        </c:extLst>
      </c:lineChart>
      <c:catAx>
        <c:axId val="79056827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61608"/>
        <c:crosses val="autoZero"/>
        <c:auto val="1"/>
        <c:lblAlgn val="ctr"/>
        <c:lblOffset val="100"/>
        <c:noMultiLvlLbl val="0"/>
      </c:catAx>
      <c:valAx>
        <c:axId val="790561608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0461060367454068E-2"/>
              <c:y val="8.5596107055961074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6827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086574962419789"/>
          <c:y val="0.16312187224021196"/>
          <c:w val="0.63694325014205833"/>
          <c:h val="8.3436200503162708E-2"/>
        </c:manualLayout>
      </c:layout>
      <c:overlay val="0"/>
      <c:spPr>
        <a:noFill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anose="020E0502030303020204" pitchFamily="34" charset="0"/>
                <a:ea typeface="Calibri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Government Revenue,</a:t>
            </a:r>
            <a:r>
              <a:rPr lang="en-US" sz="1200" baseline="0">
                <a:latin typeface="Candara" panose="020E0502030303020204" pitchFamily="34" charset="0"/>
                <a:cs typeface="Consolas" pitchFamily="49" charset="0"/>
              </a:rPr>
              <a:t> </a:t>
            </a: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2010</a:t>
            </a:r>
            <a:r>
              <a:rPr lang="en-US" sz="1200" baseline="0">
                <a:latin typeface="Candara" panose="020E0502030303020204" pitchFamily="34" charset="0"/>
                <a:cs typeface="Consolas" pitchFamily="49" charset="0"/>
              </a:rPr>
              <a:t> - </a:t>
            </a:r>
            <a:r>
              <a:rPr lang="en-US" sz="1200">
                <a:latin typeface="Candara" panose="020E0502030303020204" pitchFamily="34" charset="0"/>
                <a:cs typeface="Consolas" pitchFamily="49" charset="0"/>
              </a:rPr>
              <a:t>2020</a:t>
            </a:r>
          </a:p>
        </c:rich>
      </c:tx>
      <c:layout>
        <c:manualLayout>
          <c:xMode val="edge"/>
          <c:yMode val="edge"/>
          <c:x val="0.3254824816458623"/>
          <c:y val="3.17770709720642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06781696666615"/>
          <c:y val="0.16164642983884608"/>
          <c:w val="0.87789092957606407"/>
          <c:h val="0.66818445639159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Finance!$B$7</c:f>
              <c:strCache>
                <c:ptCount val="1"/>
                <c:pt idx="0">
                  <c:v>Tax Revenue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Finance!$AB$41:$AL$41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Finance!$C$7:$M$7</c:f>
              <c:numCache>
                <c:formatCode>_(* #,##0.0_);_(* \(#,##0.0\);_(* "-"_);_(@_)</c:formatCode>
                <c:ptCount val="11"/>
                <c:pt idx="0">
                  <c:v>2931.0472653899988</c:v>
                </c:pt>
                <c:pt idx="1">
                  <c:v>4892.9547389999998</c:v>
                </c:pt>
                <c:pt idx="2">
                  <c:v>6880.0618489999988</c:v>
                </c:pt>
                <c:pt idx="3">
                  <c:v>8872.8437029999986</c:v>
                </c:pt>
                <c:pt idx="4">
                  <c:v>10837.855577</c:v>
                </c:pt>
                <c:pt idx="5">
                  <c:v>12270.646260000001</c:v>
                </c:pt>
                <c:pt idx="6">
                  <c:v>13293.027889009998</c:v>
                </c:pt>
                <c:pt idx="7">
                  <c:v>14742.425677000001</c:v>
                </c:pt>
                <c:pt idx="8">
                  <c:v>15833.907292</c:v>
                </c:pt>
                <c:pt idx="9">
                  <c:v>16530.522525</c:v>
                </c:pt>
                <c:pt idx="10">
                  <c:v>10138.170036000001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F5F-4492-A561-C64F88A714CA}"/>
            </c:ext>
          </c:extLst>
        </c:ser>
        <c:ser>
          <c:idx val="1"/>
          <c:order val="1"/>
          <c:tx>
            <c:v>Non-tax Revenue</c:v>
          </c:tx>
          <c:spPr>
            <a:solidFill>
              <a:srgbClr val="33CCCC"/>
            </a:solidFill>
          </c:spPr>
          <c:invertIfNegative val="0"/>
          <c:cat>
            <c:numRef>
              <c:f>Finance!$AB$41:$AL$41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Finance!$C$8:$M$8</c:f>
              <c:numCache>
                <c:formatCode>_(* #,##0.0_);_(* \(#,##0.0\);_(* "-"_);_(@_)</c:formatCode>
                <c:ptCount val="11"/>
                <c:pt idx="0">
                  <c:v>3411.9841732599989</c:v>
                </c:pt>
                <c:pt idx="1">
                  <c:v>3744.7069500000007</c:v>
                </c:pt>
                <c:pt idx="2">
                  <c:v>2843.3084127999996</c:v>
                </c:pt>
                <c:pt idx="3">
                  <c:v>2642.1310951999999</c:v>
                </c:pt>
                <c:pt idx="4">
                  <c:v>4036.9878939999999</c:v>
                </c:pt>
                <c:pt idx="5">
                  <c:v>4278.3316969999996</c:v>
                </c:pt>
                <c:pt idx="6">
                  <c:v>4162.6040857599965</c:v>
                </c:pt>
                <c:pt idx="7">
                  <c:v>4594.863249</c:v>
                </c:pt>
                <c:pt idx="8">
                  <c:v>5203.0978600000008</c:v>
                </c:pt>
                <c:pt idx="9">
                  <c:v>5491.0517299999992</c:v>
                </c:pt>
                <c:pt idx="10">
                  <c:v>2415.8278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F5F-4492-A561-C64F88A7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565528"/>
        <c:axId val="636120248"/>
      </c:barChart>
      <c:catAx>
        <c:axId val="79056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120248"/>
        <c:crosses val="autoZero"/>
        <c:auto val="1"/>
        <c:lblAlgn val="ctr"/>
        <c:lblOffset val="100"/>
        <c:noMultiLvlLbl val="0"/>
      </c:catAx>
      <c:valAx>
        <c:axId val="636120248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6702907781466842E-2"/>
              <c:y val="8.244752299237510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6552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4374635347555594E-2"/>
          <c:y val="0.24235828862642514"/>
          <c:w val="0.463083448842385"/>
          <c:h val="8.2443966989588738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31368</xdr:colOff>
      <xdr:row>37</xdr:row>
      <xdr:rowOff>16791</xdr:rowOff>
    </xdr:from>
    <xdr:to>
      <xdr:col>11</xdr:col>
      <xdr:colOff>716783</xdr:colOff>
      <xdr:row>52</xdr:row>
      <xdr:rowOff>200594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336633</xdr:colOff>
      <xdr:row>37</xdr:row>
      <xdr:rowOff>32644</xdr:rowOff>
    </xdr:from>
    <xdr:to>
      <xdr:col>4</xdr:col>
      <xdr:colOff>718868</xdr:colOff>
      <xdr:row>52</xdr:row>
      <xdr:rowOff>184469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16.%20NATIONAL%20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>
        <row r="10">
          <cell r="C10">
            <v>13467.149516446438</v>
          </cell>
          <cell r="J10">
            <v>33128.653547666749</v>
          </cell>
          <cell r="K10">
            <v>40511.084367119765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L71"/>
  <sheetViews>
    <sheetView tabSelected="1" zoomScale="89" zoomScaleNormal="89" workbookViewId="0">
      <selection activeCell="Q22" sqref="Q22"/>
    </sheetView>
  </sheetViews>
  <sheetFormatPr defaultColWidth="9.140625" defaultRowHeight="15.75" x14ac:dyDescent="0.25"/>
  <cols>
    <col min="1" max="1" width="10.140625" style="5" customWidth="1"/>
    <col min="2" max="2" width="36.5703125" style="5" customWidth="1"/>
    <col min="3" max="13" width="15.140625" style="57" customWidth="1"/>
    <col min="14" max="19" width="13.42578125" style="5" customWidth="1"/>
    <col min="20" max="20" width="10" style="5" customWidth="1"/>
    <col min="21" max="24" width="9.140625" style="5"/>
    <col min="25" max="25" width="19.7109375" style="5" bestFit="1" customWidth="1"/>
    <col min="26" max="26" width="22.7109375" style="5" bestFit="1" customWidth="1"/>
    <col min="27" max="27" width="9.28515625" style="5" bestFit="1" customWidth="1"/>
    <col min="28" max="36" width="10.42578125" style="5" bestFit="1" customWidth="1"/>
    <col min="37" max="16384" width="9.140625" style="5"/>
  </cols>
  <sheetData>
    <row r="1" spans="1:36" s="7" customFormat="1" ht="30" customHeight="1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2"/>
      <c r="O1" s="2"/>
      <c r="P1" s="2"/>
      <c r="Q1" s="2"/>
      <c r="R1" s="2"/>
      <c r="S1" s="2"/>
      <c r="T1" s="5"/>
    </row>
    <row r="2" spans="1:36" s="7" customFormat="1" ht="15" customHeight="1" x14ac:dyDescent="0.3">
      <c r="A2" s="8"/>
      <c r="B2" s="9"/>
      <c r="C2" s="58"/>
      <c r="D2" s="58"/>
      <c r="E2" s="58"/>
      <c r="F2" s="61"/>
      <c r="G2" s="61"/>
      <c r="H2" s="62"/>
      <c r="I2" s="62"/>
      <c r="J2" s="61"/>
      <c r="K2" s="58"/>
      <c r="L2" s="58"/>
      <c r="M2" s="58"/>
      <c r="N2" s="2"/>
      <c r="O2" s="2"/>
      <c r="P2" s="2"/>
      <c r="Q2" s="2"/>
      <c r="R2" s="2"/>
      <c r="S2" s="2"/>
      <c r="T2" s="5"/>
    </row>
    <row r="3" spans="1:36" s="12" customFormat="1" ht="17.25" customHeight="1" x14ac:dyDescent="0.25">
      <c r="A3" s="87"/>
      <c r="B3" s="87"/>
      <c r="C3" s="56">
        <v>2010</v>
      </c>
      <c r="D3" s="56">
        <v>2011</v>
      </c>
      <c r="E3" s="56">
        <v>2012</v>
      </c>
      <c r="F3" s="56">
        <v>2013</v>
      </c>
      <c r="G3" s="56">
        <v>2014</v>
      </c>
      <c r="H3" s="56">
        <v>2015</v>
      </c>
      <c r="I3" s="56">
        <v>2016</v>
      </c>
      <c r="J3" s="56">
        <v>2017</v>
      </c>
      <c r="K3" s="56">
        <v>2018</v>
      </c>
      <c r="L3" s="56" t="s">
        <v>30</v>
      </c>
      <c r="M3" s="56">
        <v>2020</v>
      </c>
      <c r="O3" s="11"/>
      <c r="P3" s="11"/>
      <c r="Q3" s="11"/>
      <c r="R3" s="11"/>
      <c r="S3" s="11"/>
      <c r="T3" s="4"/>
    </row>
    <row r="4" spans="1:36" s="12" customFormat="1" ht="17.25" customHeight="1" x14ac:dyDescent="0.25">
      <c r="A4" s="88" t="s">
        <v>1</v>
      </c>
      <c r="B4" s="88"/>
      <c r="C4" s="63"/>
      <c r="D4" s="63"/>
      <c r="E4" s="63"/>
      <c r="F4" s="63"/>
      <c r="G4" s="63"/>
      <c r="H4" s="63"/>
      <c r="I4" s="64" t="s">
        <v>2</v>
      </c>
      <c r="J4" s="64" t="s">
        <v>2</v>
      </c>
      <c r="K4" s="64" t="s">
        <v>2</v>
      </c>
      <c r="L4" s="64" t="s">
        <v>3</v>
      </c>
      <c r="M4" s="64"/>
      <c r="O4" s="14"/>
      <c r="P4" s="14"/>
      <c r="Q4" s="14"/>
      <c r="R4" s="14"/>
      <c r="S4" s="14"/>
      <c r="T4" s="4"/>
    </row>
    <row r="5" spans="1:36" s="12" customFormat="1" ht="17.25" customHeight="1" x14ac:dyDescent="0.25">
      <c r="A5" s="89" t="s">
        <v>4</v>
      </c>
      <c r="B5" s="90"/>
      <c r="C5" s="65">
        <v>6546.9287702799966</v>
      </c>
      <c r="D5" s="65">
        <v>9904.5614829999995</v>
      </c>
      <c r="E5" s="65">
        <v>10138.11294952</v>
      </c>
      <c r="F5" s="65">
        <v>11900.748051729999</v>
      </c>
      <c r="G5" s="65">
        <v>15164.227912</v>
      </c>
      <c r="H5" s="65">
        <v>17306.201467370003</v>
      </c>
      <c r="I5" s="65">
        <v>18578.118781009995</v>
      </c>
      <c r="J5" s="65">
        <v>20258.636295000004</v>
      </c>
      <c r="K5" s="65">
        <v>22222.967435000002</v>
      </c>
      <c r="L5" s="65">
        <v>23231.857586999999</v>
      </c>
      <c r="M5" s="65">
        <v>14692.808497000002</v>
      </c>
      <c r="O5" s="15"/>
      <c r="R5" s="15"/>
      <c r="S5" s="15"/>
      <c r="T5" s="4"/>
    </row>
    <row r="6" spans="1:36" s="12" customFormat="1" ht="17.25" customHeight="1" x14ac:dyDescent="0.25">
      <c r="A6" s="106" t="s">
        <v>5</v>
      </c>
      <c r="B6" s="106"/>
      <c r="C6" s="66">
        <v>6392.3855347199969</v>
      </c>
      <c r="D6" s="66">
        <v>9172.1262260000003</v>
      </c>
      <c r="E6" s="66">
        <v>9771.4430765199995</v>
      </c>
      <c r="F6" s="66">
        <v>11783.092824199999</v>
      </c>
      <c r="G6" s="66">
        <v>14998.954087</v>
      </c>
      <c r="H6" s="66">
        <v>16669.260271000003</v>
      </c>
      <c r="I6" s="66">
        <v>18324.993013089996</v>
      </c>
      <c r="J6" s="66">
        <v>19914.872814000002</v>
      </c>
      <c r="K6" s="66">
        <v>21403.159912000003</v>
      </c>
      <c r="L6" s="66">
        <v>22076.971195999999</v>
      </c>
      <c r="M6" s="66">
        <v>12568.539111000002</v>
      </c>
      <c r="O6" s="15"/>
      <c r="P6" s="15"/>
      <c r="Q6" s="15"/>
      <c r="R6" s="15"/>
      <c r="S6" s="15"/>
      <c r="T6" s="4"/>
    </row>
    <row r="7" spans="1:36" s="12" customFormat="1" ht="17.25" customHeight="1" x14ac:dyDescent="0.25">
      <c r="A7" s="90"/>
      <c r="B7" s="90" t="s">
        <v>6</v>
      </c>
      <c r="C7" s="67">
        <v>2931.0472653899988</v>
      </c>
      <c r="D7" s="67">
        <v>4892.9547389999998</v>
      </c>
      <c r="E7" s="67">
        <v>6880.0618489999988</v>
      </c>
      <c r="F7" s="67">
        <v>8872.8437029999986</v>
      </c>
      <c r="G7" s="67">
        <v>10837.855577</v>
      </c>
      <c r="H7" s="67">
        <v>12270.646260000001</v>
      </c>
      <c r="I7" s="67">
        <v>13293.027889009998</v>
      </c>
      <c r="J7" s="67">
        <v>14742.425677000001</v>
      </c>
      <c r="K7" s="67">
        <v>15833.907292</v>
      </c>
      <c r="L7" s="67">
        <v>16530.522525</v>
      </c>
      <c r="M7" s="67">
        <v>10138.170036000001</v>
      </c>
      <c r="O7" s="16"/>
      <c r="P7" s="16"/>
      <c r="Q7" s="16"/>
      <c r="R7" s="16"/>
      <c r="S7" s="16"/>
      <c r="T7" s="4"/>
    </row>
    <row r="8" spans="1:36" s="12" customFormat="1" ht="17.25" customHeight="1" x14ac:dyDescent="0.25">
      <c r="A8" s="88"/>
      <c r="B8" s="88" t="s">
        <v>31</v>
      </c>
      <c r="C8" s="68">
        <v>3411.9841732599989</v>
      </c>
      <c r="D8" s="68">
        <v>3744.7069500000007</v>
      </c>
      <c r="E8" s="68">
        <v>2843.3084127999996</v>
      </c>
      <c r="F8" s="68">
        <v>2642.1310951999999</v>
      </c>
      <c r="G8" s="68">
        <v>4036.9878939999999</v>
      </c>
      <c r="H8" s="68">
        <v>4278.3316969999996</v>
      </c>
      <c r="I8" s="68">
        <v>4162.6040857599965</v>
      </c>
      <c r="J8" s="68">
        <v>4594.863249</v>
      </c>
      <c r="K8" s="68">
        <v>5203.0978600000008</v>
      </c>
      <c r="L8" s="68">
        <v>5491.0517299999992</v>
      </c>
      <c r="M8" s="68">
        <v>2415.8278</v>
      </c>
      <c r="O8" s="18"/>
      <c r="P8" s="18"/>
      <c r="Q8" s="18"/>
      <c r="R8" s="18"/>
      <c r="S8" s="18"/>
      <c r="T8" s="4"/>
    </row>
    <row r="9" spans="1:36" s="12" customFormat="1" ht="17.25" customHeight="1" x14ac:dyDescent="0.25">
      <c r="A9" s="107" t="s">
        <v>32</v>
      </c>
      <c r="B9" s="107"/>
      <c r="C9" s="65">
        <v>154.54323556</v>
      </c>
      <c r="D9" s="65">
        <v>732.43525699999998</v>
      </c>
      <c r="E9" s="65">
        <v>366.669873</v>
      </c>
      <c r="F9" s="65">
        <v>117.65522752999999</v>
      </c>
      <c r="G9" s="65">
        <v>165.27382499999999</v>
      </c>
      <c r="H9" s="65">
        <v>636.94119636999983</v>
      </c>
      <c r="I9" s="65">
        <v>253.12576791999993</v>
      </c>
      <c r="J9" s="65">
        <v>343.76348099999996</v>
      </c>
      <c r="K9" s="65">
        <v>819.80752300000006</v>
      </c>
      <c r="L9" s="65">
        <v>1154.886391</v>
      </c>
      <c r="M9" s="65">
        <v>2124.2693859999999</v>
      </c>
      <c r="O9" s="15"/>
      <c r="P9" s="15"/>
      <c r="Q9" s="15"/>
      <c r="R9" s="15"/>
      <c r="S9" s="15"/>
      <c r="U9" s="19"/>
      <c r="V9" s="19"/>
      <c r="W9" s="19"/>
      <c r="X9" s="19"/>
      <c r="Y9" s="19"/>
      <c r="Z9" s="19"/>
      <c r="AA9" s="19"/>
      <c r="AB9" s="19"/>
      <c r="AC9" s="19"/>
      <c r="AD9" s="20"/>
      <c r="AE9" s="21"/>
      <c r="AF9" s="21"/>
      <c r="AG9" s="21"/>
      <c r="AH9" s="21"/>
    </row>
    <row r="10" spans="1:36" s="12" customFormat="1" ht="17.25" customHeight="1" x14ac:dyDescent="0.25">
      <c r="A10" s="91" t="s">
        <v>7</v>
      </c>
      <c r="B10" s="88"/>
      <c r="C10" s="69">
        <v>10815.062102899999</v>
      </c>
      <c r="D10" s="69">
        <v>12264.726665999999</v>
      </c>
      <c r="E10" s="69">
        <v>13110.002924999999</v>
      </c>
      <c r="F10" s="69">
        <v>13530.771002489999</v>
      </c>
      <c r="G10" s="69">
        <v>16417.211596000001</v>
      </c>
      <c r="H10" s="69">
        <v>21336.878134909999</v>
      </c>
      <c r="I10" s="69">
        <v>25262.973192969996</v>
      </c>
      <c r="J10" s="69">
        <v>22420.18677</v>
      </c>
      <c r="K10" s="69">
        <v>26418.667526999998</v>
      </c>
      <c r="L10" s="69">
        <v>28919.533213000002</v>
      </c>
      <c r="M10" s="69">
        <v>30566.561805000001</v>
      </c>
      <c r="O10" s="22"/>
      <c r="P10" s="22"/>
      <c r="Q10" s="22"/>
      <c r="R10" s="22"/>
      <c r="S10" s="22"/>
      <c r="T10" s="6"/>
      <c r="U10" s="19"/>
      <c r="V10" s="19"/>
      <c r="W10" s="19"/>
      <c r="X10" s="19"/>
      <c r="Y10" s="19"/>
      <c r="Z10" s="19"/>
      <c r="AA10" s="19"/>
      <c r="AB10" s="19"/>
      <c r="AC10" s="19"/>
      <c r="AD10" s="20"/>
      <c r="AE10" s="21"/>
      <c r="AF10" s="20"/>
      <c r="AG10" s="20"/>
      <c r="AH10" s="20"/>
    </row>
    <row r="11" spans="1:36" s="12" customFormat="1" ht="17.25" customHeight="1" x14ac:dyDescent="0.25">
      <c r="A11" s="90"/>
      <c r="B11" s="89" t="s">
        <v>8</v>
      </c>
      <c r="C11" s="70">
        <v>10996.362102899999</v>
      </c>
      <c r="D11" s="70">
        <v>12663.726665999999</v>
      </c>
      <c r="E11" s="70">
        <v>13200.234560999999</v>
      </c>
      <c r="F11" s="70">
        <v>13666.256009489998</v>
      </c>
      <c r="G11" s="70">
        <v>16539.373646</v>
      </c>
      <c r="H11" s="70">
        <v>21440.896380909999</v>
      </c>
      <c r="I11" s="70">
        <v>25306.509388119997</v>
      </c>
      <c r="J11" s="70">
        <v>22497.557322000001</v>
      </c>
      <c r="K11" s="70">
        <v>26522.292830999999</v>
      </c>
      <c r="L11" s="70">
        <v>28994.730041000003</v>
      </c>
      <c r="M11" s="70">
        <v>30627.655278000002</v>
      </c>
      <c r="O11" s="23"/>
      <c r="P11" s="23"/>
      <c r="Q11" s="23"/>
      <c r="R11" s="23"/>
      <c r="S11" s="23"/>
      <c r="T11" s="4"/>
    </row>
    <row r="12" spans="1:36" s="12" customFormat="1" ht="17.25" customHeight="1" x14ac:dyDescent="0.25">
      <c r="A12" s="88"/>
      <c r="B12" s="88" t="s">
        <v>9</v>
      </c>
      <c r="C12" s="71">
        <v>8428.0733739999996</v>
      </c>
      <c r="D12" s="71">
        <v>9075.7434510000003</v>
      </c>
      <c r="E12" s="71">
        <v>10316.485255</v>
      </c>
      <c r="F12" s="71">
        <v>11573.214585849999</v>
      </c>
      <c r="G12" s="71">
        <v>13959.968519999999</v>
      </c>
      <c r="H12" s="71">
        <v>16733.74419112</v>
      </c>
      <c r="I12" s="71">
        <v>16141.004692499997</v>
      </c>
      <c r="J12" s="71">
        <v>14955.176706</v>
      </c>
      <c r="K12" s="71">
        <v>18268.036271999998</v>
      </c>
      <c r="L12" s="71">
        <v>21371.957551</v>
      </c>
      <c r="M12" s="71">
        <v>20876.937707000001</v>
      </c>
      <c r="O12" s="16"/>
      <c r="P12" s="16"/>
      <c r="Q12" s="16"/>
      <c r="R12" s="16"/>
      <c r="S12" s="16"/>
      <c r="T12" s="4"/>
      <c r="U12" s="25"/>
    </row>
    <row r="13" spans="1:36" s="12" customFormat="1" ht="17.25" customHeight="1" x14ac:dyDescent="0.25">
      <c r="A13" s="90"/>
      <c r="B13" s="90" t="s">
        <v>10</v>
      </c>
      <c r="C13" s="67">
        <v>2568.2887288999996</v>
      </c>
      <c r="D13" s="67">
        <v>3587.9832149999993</v>
      </c>
      <c r="E13" s="67">
        <v>2883.7493059999997</v>
      </c>
      <c r="F13" s="67">
        <v>2093.0414236399993</v>
      </c>
      <c r="G13" s="67">
        <v>2579.4051260000006</v>
      </c>
      <c r="H13" s="67">
        <v>4707.1521897899993</v>
      </c>
      <c r="I13" s="67">
        <v>9165.5046956200003</v>
      </c>
      <c r="J13" s="67">
        <v>7542.3806160000004</v>
      </c>
      <c r="K13" s="67">
        <v>8254.2565589999995</v>
      </c>
      <c r="L13" s="67">
        <v>7622.7724900000012</v>
      </c>
      <c r="M13" s="67">
        <v>9750.717571000001</v>
      </c>
      <c r="O13" s="26"/>
      <c r="P13" s="26"/>
      <c r="Q13" s="26"/>
      <c r="R13" s="16"/>
      <c r="S13" s="16"/>
      <c r="T13" s="4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 s="12" customFormat="1" ht="17.25" customHeight="1" x14ac:dyDescent="0.25">
      <c r="A14" s="106" t="s">
        <v>11</v>
      </c>
      <c r="B14" s="106"/>
      <c r="C14" s="72">
        <v>-181.3</v>
      </c>
      <c r="D14" s="72">
        <v>-399</v>
      </c>
      <c r="E14" s="72">
        <v>-90.231635999999995</v>
      </c>
      <c r="F14" s="72">
        <v>-135.485007</v>
      </c>
      <c r="G14" s="72">
        <v>-122.16204999999999</v>
      </c>
      <c r="H14" s="72">
        <v>-104.018246</v>
      </c>
      <c r="I14" s="72">
        <v>-43.536195150000012</v>
      </c>
      <c r="J14" s="72">
        <v>-77.370552000000004</v>
      </c>
      <c r="K14" s="72">
        <v>-103.625304</v>
      </c>
      <c r="L14" s="72">
        <v>-75.196827999999996</v>
      </c>
      <c r="M14" s="72">
        <v>-61.093473000000003</v>
      </c>
      <c r="O14" s="29"/>
      <c r="P14" s="29"/>
      <c r="Q14" s="29"/>
      <c r="R14" s="29"/>
      <c r="S14" s="29"/>
      <c r="T14" s="4"/>
      <c r="U14" s="30"/>
      <c r="V14" s="4"/>
      <c r="W14" s="30"/>
      <c r="X14" s="4"/>
      <c r="Y14" s="30"/>
      <c r="Z14" s="4"/>
      <c r="AA14" s="30"/>
      <c r="AB14" s="30"/>
      <c r="AC14" s="30"/>
      <c r="AD14" s="30"/>
    </row>
    <row r="15" spans="1:36" s="31" customFormat="1" ht="17.25" customHeight="1" x14ac:dyDescent="0.25">
      <c r="A15" s="92" t="s">
        <v>33</v>
      </c>
      <c r="B15" s="93"/>
      <c r="C15" s="73">
        <v>-4268.1333326200029</v>
      </c>
      <c r="D15" s="73">
        <v>-2360.1651829999992</v>
      </c>
      <c r="E15" s="73">
        <v>-2971.8899754799986</v>
      </c>
      <c r="F15" s="73">
        <v>-1765.507957759999</v>
      </c>
      <c r="G15" s="73">
        <v>-1375.1457339999997</v>
      </c>
      <c r="H15" s="73">
        <v>-4134.6949135399955</v>
      </c>
      <c r="I15" s="73">
        <v>-6728.3906071100027</v>
      </c>
      <c r="J15" s="73">
        <v>-2238.9210269999967</v>
      </c>
      <c r="K15" s="73">
        <v>-4299.3253959999965</v>
      </c>
      <c r="L15" s="73">
        <v>-5762.8724540000039</v>
      </c>
      <c r="M15" s="73">
        <v>-15934.846781</v>
      </c>
      <c r="O15" s="24"/>
      <c r="P15" s="24"/>
      <c r="Q15" s="24"/>
      <c r="R15" s="24"/>
      <c r="S15" s="2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6" s="31" customFormat="1" ht="17.25" customHeight="1" x14ac:dyDescent="0.25">
      <c r="A16" s="88" t="s">
        <v>34</v>
      </c>
      <c r="B16" s="88"/>
      <c r="C16" s="68">
        <v>-3592.3513126200028</v>
      </c>
      <c r="D16" s="68">
        <v>-1634.3804499999992</v>
      </c>
      <c r="E16" s="68">
        <v>-1864.8087464799987</v>
      </c>
      <c r="F16" s="68">
        <v>-808.78176075999909</v>
      </c>
      <c r="G16" s="68">
        <v>-396.79836499999976</v>
      </c>
      <c r="H16" s="68">
        <v>-2787.0450525399956</v>
      </c>
      <c r="I16" s="68">
        <v>-5546.1014912900027</v>
      </c>
      <c r="J16" s="68">
        <v>-1141.9743679999967</v>
      </c>
      <c r="K16" s="68">
        <v>-2859.0684689999966</v>
      </c>
      <c r="L16" s="68">
        <v>-4222.0593300000037</v>
      </c>
      <c r="M16" s="68">
        <v>-14226.793734999999</v>
      </c>
      <c r="O16" s="33"/>
      <c r="P16" s="33"/>
      <c r="Q16" s="33"/>
      <c r="R16" s="33"/>
      <c r="S16" s="33"/>
      <c r="T16" s="4"/>
    </row>
    <row r="17" spans="1:30" s="31" customFormat="1" ht="17.25" customHeight="1" x14ac:dyDescent="0.25">
      <c r="A17" s="89" t="s">
        <v>12</v>
      </c>
      <c r="B17" s="90"/>
      <c r="C17" s="74">
        <v>4268.1000000000004</v>
      </c>
      <c r="D17" s="74">
        <v>2360.1515939999999</v>
      </c>
      <c r="E17" s="74">
        <v>2971.889975</v>
      </c>
      <c r="F17" s="74">
        <v>1765.5079579999997</v>
      </c>
      <c r="G17" s="74">
        <v>1375.1457340000004</v>
      </c>
      <c r="H17" s="74">
        <v>4134.694913360001</v>
      </c>
      <c r="I17" s="74">
        <v>6728.4460148500111</v>
      </c>
      <c r="J17" s="74">
        <v>2238.8918629999998</v>
      </c>
      <c r="K17" s="74">
        <v>4299.8753960000004</v>
      </c>
      <c r="L17" s="74">
        <v>5762.9349990000001</v>
      </c>
      <c r="M17" s="74">
        <v>15934.752017000003</v>
      </c>
      <c r="O17" s="24"/>
      <c r="P17" s="24"/>
      <c r="Q17" s="24"/>
      <c r="R17" s="24"/>
      <c r="S17" s="2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s="31" customFormat="1" ht="17.25" customHeight="1" x14ac:dyDescent="0.25">
      <c r="A18" s="88"/>
      <c r="B18" s="88" t="s">
        <v>13</v>
      </c>
      <c r="C18" s="68">
        <v>1228.3</v>
      </c>
      <c r="D18" s="68">
        <v>968.02961600000003</v>
      </c>
      <c r="E18" s="68">
        <v>772.15054499999997</v>
      </c>
      <c r="F18" s="68">
        <v>472.55445400000008</v>
      </c>
      <c r="G18" s="68">
        <v>-370.60431500000004</v>
      </c>
      <c r="H18" s="68">
        <v>-297.77568000000008</v>
      </c>
      <c r="I18" s="68">
        <v>1931.9270714199997</v>
      </c>
      <c r="J18" s="68">
        <v>3041.7776670000003</v>
      </c>
      <c r="K18" s="68">
        <v>5712.7696960000003</v>
      </c>
      <c r="L18" s="68">
        <v>936.13370100000009</v>
      </c>
      <c r="M18" s="68">
        <v>6455.6305090000005</v>
      </c>
      <c r="O18" s="33"/>
      <c r="P18" s="33"/>
      <c r="Q18" s="33"/>
      <c r="R18" s="33"/>
      <c r="S18" s="33"/>
      <c r="T18" s="4"/>
    </row>
    <row r="19" spans="1:30" s="31" customFormat="1" ht="17.25" customHeight="1" x14ac:dyDescent="0.25">
      <c r="A19" s="93"/>
      <c r="B19" s="93" t="s">
        <v>14</v>
      </c>
      <c r="C19" s="75">
        <v>3039.8</v>
      </c>
      <c r="D19" s="75">
        <v>1392.1219780000001</v>
      </c>
      <c r="E19" s="75">
        <v>2199.7394300000001</v>
      </c>
      <c r="F19" s="75">
        <v>1292.9535039999996</v>
      </c>
      <c r="G19" s="75">
        <v>1745.7500490000004</v>
      </c>
      <c r="H19" s="75">
        <v>4432.4705933600007</v>
      </c>
      <c r="I19" s="75">
        <v>4796.5189434300109</v>
      </c>
      <c r="J19" s="75">
        <v>-802.88580400000023</v>
      </c>
      <c r="K19" s="75">
        <v>-1412.8942999999999</v>
      </c>
      <c r="L19" s="75">
        <v>4826.8012980000003</v>
      </c>
      <c r="M19" s="75">
        <v>9479.121508000002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30" s="12" customFormat="1" ht="17.25" customHeight="1" x14ac:dyDescent="0.25">
      <c r="A20" s="100"/>
      <c r="B20" s="88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O20" s="16"/>
      <c r="P20" s="16"/>
      <c r="Q20" s="16"/>
      <c r="R20" s="16"/>
      <c r="S20" s="16"/>
      <c r="T20" s="4"/>
      <c r="X20" s="36"/>
      <c r="Y20" s="37"/>
      <c r="Z20" s="37"/>
    </row>
    <row r="21" spans="1:30" s="31" customFormat="1" ht="17.25" customHeight="1" x14ac:dyDescent="0.25">
      <c r="A21" s="89" t="s">
        <v>15</v>
      </c>
      <c r="B21" s="90"/>
      <c r="C21" s="74">
        <v>17016.995846000002</v>
      </c>
      <c r="D21" s="74">
        <v>23132.6</v>
      </c>
      <c r="E21" s="74">
        <v>25533.800000000003</v>
      </c>
      <c r="F21" s="74">
        <v>28425.399999999998</v>
      </c>
      <c r="G21" s="74">
        <v>31393.5</v>
      </c>
      <c r="H21" s="74">
        <v>33313.5</v>
      </c>
      <c r="I21" s="74">
        <v>38201.9</v>
      </c>
      <c r="J21" s="74">
        <v>43245.620323479874</v>
      </c>
      <c r="K21" s="74">
        <f>SUM(K22:K23)</f>
        <v>47971.538056830919</v>
      </c>
      <c r="L21" s="74">
        <f t="shared" ref="L21:M21" si="0">SUM(L22:L23)</f>
        <v>54257.188934999998</v>
      </c>
      <c r="M21" s="74">
        <f t="shared" si="0"/>
        <v>70368.676467244703</v>
      </c>
      <c r="Q21" s="24"/>
      <c r="R21" s="24"/>
      <c r="S21" s="2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 s="31" customFormat="1" ht="17.25" customHeight="1" x14ac:dyDescent="0.25">
      <c r="A22" s="100" t="s">
        <v>16</v>
      </c>
      <c r="B22" s="88"/>
      <c r="C22" s="68">
        <v>7859.3</v>
      </c>
      <c r="D22" s="68">
        <v>10349.700000000001</v>
      </c>
      <c r="E22" s="68">
        <v>11081.6</v>
      </c>
      <c r="F22" s="68">
        <v>11517.8</v>
      </c>
      <c r="G22" s="68">
        <v>10749.2</v>
      </c>
      <c r="H22" s="68">
        <v>10204.200000000001</v>
      </c>
      <c r="I22" s="68">
        <v>11725.9</v>
      </c>
      <c r="J22" s="68">
        <v>16675.400000000001</v>
      </c>
      <c r="K22" s="68">
        <v>20307.5</v>
      </c>
      <c r="L22" s="68">
        <v>22030.2</v>
      </c>
      <c r="M22" s="68">
        <v>29960.146467244704</v>
      </c>
      <c r="Q22" s="33"/>
      <c r="R22" s="33"/>
      <c r="S22" s="33"/>
      <c r="T22" s="4"/>
    </row>
    <row r="23" spans="1:30" s="31" customFormat="1" ht="17.25" customHeight="1" x14ac:dyDescent="0.25">
      <c r="A23" s="101" t="s">
        <v>17</v>
      </c>
      <c r="B23" s="90"/>
      <c r="C23" s="67">
        <v>9157.6958460000005</v>
      </c>
      <c r="D23" s="67">
        <v>12782.9</v>
      </c>
      <c r="E23" s="67">
        <v>14452.2</v>
      </c>
      <c r="F23" s="67">
        <v>16907.599999999999</v>
      </c>
      <c r="G23" s="67">
        <v>20644.3</v>
      </c>
      <c r="H23" s="67">
        <v>23109.3</v>
      </c>
      <c r="I23" s="67">
        <v>26476</v>
      </c>
      <c r="J23" s="67">
        <v>26570.220323479869</v>
      </c>
      <c r="K23" s="67">
        <v>27664.038056830916</v>
      </c>
      <c r="L23" s="67">
        <v>32226.988934999998</v>
      </c>
      <c r="M23" s="67">
        <v>40408.53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30" s="12" customFormat="1" ht="17.25" customHeight="1" x14ac:dyDescent="0.25">
      <c r="A24" s="100"/>
      <c r="B24" s="88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O24" s="16"/>
      <c r="P24" s="16"/>
      <c r="Q24" s="16"/>
      <c r="R24" s="16"/>
      <c r="S24" s="16"/>
      <c r="T24" s="4"/>
      <c r="X24" s="36"/>
      <c r="Y24" s="37"/>
      <c r="Z24" s="37"/>
    </row>
    <row r="25" spans="1:30" s="40" customFormat="1" ht="17.25" customHeight="1" x14ac:dyDescent="0.25">
      <c r="A25" s="94" t="s">
        <v>18</v>
      </c>
      <c r="B25" s="94"/>
      <c r="C25" s="76">
        <f t="shared" ref="C25:H25" si="1">C6/C32*100</f>
        <v>19.295639424410631</v>
      </c>
      <c r="D25" s="76">
        <f>D6/D32*100</f>
        <v>22.641028669784074</v>
      </c>
      <c r="E25" s="76">
        <f t="shared" si="1"/>
        <v>22.034834902622354</v>
      </c>
      <c r="F25" s="76">
        <f t="shared" si="1"/>
        <v>23.271360141918787</v>
      </c>
      <c r="G25" s="76">
        <f t="shared" si="1"/>
        <v>26.375614960852239</v>
      </c>
      <c r="H25" s="76">
        <f t="shared" si="1"/>
        <v>26.397693510371745</v>
      </c>
      <c r="I25" s="76">
        <f>I6/I32*100</f>
        <v>27.228685963873918</v>
      </c>
      <c r="J25" s="76">
        <f>J6/J32*100</f>
        <v>27.223774580116576</v>
      </c>
      <c r="K25" s="76">
        <f>K6/K32*100</f>
        <v>26.233845496767106</v>
      </c>
      <c r="L25" s="76">
        <f>L6/L32*100</f>
        <v>25.59393498580619</v>
      </c>
      <c r="M25" s="76">
        <f>M6/M32*100</f>
        <v>21.832256341270529</v>
      </c>
      <c r="N25" s="38"/>
      <c r="O25" s="38"/>
      <c r="P25" s="38"/>
      <c r="Q25" s="38"/>
      <c r="R25" s="38"/>
      <c r="S25" s="38"/>
      <c r="T25" s="39"/>
    </row>
    <row r="26" spans="1:30" s="40" customFormat="1" ht="17.25" customHeight="1" x14ac:dyDescent="0.25">
      <c r="A26" s="95" t="s">
        <v>19</v>
      </c>
      <c r="B26" s="96"/>
      <c r="C26" s="77">
        <f t="shared" ref="C26:H26" si="2">C11/C32*100</f>
        <v>33.192903801773951</v>
      </c>
      <c r="D26" s="77">
        <f t="shared" si="2"/>
        <v>31.259905440295565</v>
      </c>
      <c r="E26" s="77">
        <f t="shared" si="2"/>
        <v>29.766840675401372</v>
      </c>
      <c r="F26" s="77">
        <f t="shared" si="2"/>
        <v>26.990567768025382</v>
      </c>
      <c r="G26" s="77">
        <f t="shared" si="2"/>
        <v>29.084438051494573</v>
      </c>
      <c r="H26" s="77">
        <f t="shared" si="2"/>
        <v>33.954128860509222</v>
      </c>
      <c r="I26" s="77">
        <f>I11/I32*100</f>
        <v>37.602360692783435</v>
      </c>
      <c r="J26" s="77">
        <f>J11/J32*100</f>
        <v>30.754322905181624</v>
      </c>
      <c r="K26" s="77">
        <f>K11/K32*100</f>
        <v>32.508364896080941</v>
      </c>
      <c r="L26" s="77">
        <f>L11/L32*100</f>
        <v>33.61372486343646</v>
      </c>
      <c r="M26" s="77">
        <f>M11/M32*100</f>
        <v>53.201952530516593</v>
      </c>
      <c r="N26" s="38"/>
      <c r="O26" s="38"/>
      <c r="P26" s="38"/>
      <c r="Q26" s="38"/>
      <c r="R26" s="38"/>
      <c r="S26" s="38"/>
      <c r="T26" s="39"/>
      <c r="X26" s="42"/>
      <c r="Y26" s="43"/>
      <c r="Z26" s="43"/>
    </row>
    <row r="27" spans="1:30" s="40" customFormat="1" ht="17.25" customHeight="1" x14ac:dyDescent="0.25">
      <c r="A27" s="94" t="s">
        <v>20</v>
      </c>
      <c r="B27" s="94"/>
      <c r="C27" s="76">
        <v>33.370863618085757</v>
      </c>
      <c r="D27" s="76">
        <v>31.259905440295565</v>
      </c>
      <c r="E27" s="76">
        <f t="shared" ref="E27:H27" si="3">E15/E32*100</f>
        <v>-6.7016820796731311</v>
      </c>
      <c r="F27" s="76">
        <f t="shared" si="3"/>
        <v>-3.4868410298928421</v>
      </c>
      <c r="G27" s="76">
        <f t="shared" si="3"/>
        <v>-2.4181895740636334</v>
      </c>
      <c r="H27" s="76">
        <f t="shared" si="3"/>
        <v>-6.5477656063962826</v>
      </c>
      <c r="I27" s="76">
        <f>I15/I32*100</f>
        <v>-9.9975609678218813</v>
      </c>
      <c r="J27" s="76">
        <f>J15/J32*100</f>
        <v>-3.0606211704692536</v>
      </c>
      <c r="K27" s="76">
        <f>K15/K32*100</f>
        <v>-5.2696816097586963</v>
      </c>
      <c r="L27" s="76">
        <f>L15/L32*100</f>
        <v>-6.6809247341815245</v>
      </c>
      <c r="M27" s="76">
        <f>M15/M32*100</f>
        <v>-27.679721295308262</v>
      </c>
      <c r="N27" s="38"/>
      <c r="O27" s="38"/>
      <c r="P27" s="38"/>
      <c r="Q27" s="38"/>
      <c r="R27" s="38"/>
      <c r="S27" s="38"/>
      <c r="T27" s="39"/>
    </row>
    <row r="28" spans="1:30" s="40" customFormat="1" ht="17.25" customHeight="1" x14ac:dyDescent="0.25">
      <c r="A28" s="95" t="s">
        <v>21</v>
      </c>
      <c r="B28" s="96"/>
      <c r="C28" s="77">
        <v>33.370863618085757</v>
      </c>
      <c r="D28" s="77">
        <v>31.259905440295565</v>
      </c>
      <c r="E28" s="77">
        <f t="shared" ref="E28:H28" si="4">E16/E32*100</f>
        <v>-4.2051877631453154</v>
      </c>
      <c r="F28" s="77">
        <f t="shared" si="4"/>
        <v>-1.5973269422274117</v>
      </c>
      <c r="G28" s="77">
        <f t="shared" si="4"/>
        <v>-0.69776871318025391</v>
      </c>
      <c r="H28" s="77">
        <f t="shared" si="4"/>
        <v>-4.4136068368038694</v>
      </c>
      <c r="I28" s="77">
        <f>I16/I32*100</f>
        <v>-8.2408247425925847</v>
      </c>
      <c r="J28" s="77">
        <f>J16/J32*100</f>
        <v>-1.5610871864995179</v>
      </c>
      <c r="K28" s="77">
        <f>K16/K32*100</f>
        <v>-3.5043592062484223</v>
      </c>
      <c r="L28" s="77">
        <f>L16/L32*100</f>
        <v>-4.8946529412429154</v>
      </c>
      <c r="M28" s="77">
        <f>M16/M32*100</f>
        <v>-24.7127374942933</v>
      </c>
      <c r="N28" s="38"/>
      <c r="O28" s="38"/>
      <c r="P28" s="38"/>
      <c r="Q28" s="38"/>
      <c r="R28" s="38"/>
      <c r="S28" s="38"/>
      <c r="T28" s="39"/>
      <c r="X28" s="42"/>
      <c r="Y28" s="43"/>
      <c r="Z28" s="43"/>
    </row>
    <row r="29" spans="1:30" s="40" customFormat="1" ht="17.25" customHeight="1" x14ac:dyDescent="0.25">
      <c r="A29" s="97" t="s">
        <v>22</v>
      </c>
      <c r="B29" s="97"/>
      <c r="C29" s="78">
        <f t="shared" ref="C29:H29" si="5">C21/C32*100</f>
        <v>51.36639743452087</v>
      </c>
      <c r="D29" s="78">
        <f t="shared" si="5"/>
        <v>57.101902754237898</v>
      </c>
      <c r="E29" s="78">
        <f t="shared" si="5"/>
        <v>57.579322013197952</v>
      </c>
      <c r="F29" s="78">
        <f t="shared" si="5"/>
        <v>56.139566279196309</v>
      </c>
      <c r="G29" s="78">
        <f t="shared" si="5"/>
        <v>55.205373886115474</v>
      </c>
      <c r="H29" s="78">
        <f t="shared" si="5"/>
        <v>52.755764110761781</v>
      </c>
      <c r="I29" s="78">
        <f>I21/I32*100</f>
        <v>56.763325234573529</v>
      </c>
      <c r="J29" s="78">
        <f>J21/J32*100</f>
        <v>59.117074472907746</v>
      </c>
      <c r="K29" s="78">
        <f>K21/K32*100</f>
        <v>58.798697145630399</v>
      </c>
      <c r="L29" s="78">
        <f>L21/L32*100</f>
        <v>62.900610495274613</v>
      </c>
      <c r="M29" s="78">
        <f>M21/M32*100</f>
        <v>122.23433204613569</v>
      </c>
      <c r="N29" s="38"/>
      <c r="O29" s="38"/>
      <c r="P29" s="38"/>
      <c r="Q29" s="38"/>
      <c r="R29" s="38"/>
      <c r="S29" s="38"/>
      <c r="T29" s="39"/>
    </row>
    <row r="30" spans="1:30" s="40" customFormat="1" ht="17.25" customHeight="1" x14ac:dyDescent="0.25">
      <c r="A30" s="102" t="s">
        <v>23</v>
      </c>
      <c r="B30" s="96"/>
      <c r="C30" s="77">
        <f t="shared" ref="C30:G30" si="6">C22/C32*100</f>
        <v>23.723572069392272</v>
      </c>
      <c r="D30" s="77">
        <f t="shared" si="6"/>
        <v>25.547822680353093</v>
      </c>
      <c r="E30" s="77">
        <f t="shared" si="6"/>
        <v>24.989269706093665</v>
      </c>
      <c r="F30" s="77">
        <f t="shared" si="6"/>
        <v>22.747412401954843</v>
      </c>
      <c r="G30" s="77">
        <f t="shared" si="6"/>
        <v>18.90243537600562</v>
      </c>
      <c r="H30" s="77">
        <f t="shared" ref="H30:K30" si="7">H22/H32*100</f>
        <v>16.159525962118522</v>
      </c>
      <c r="I30" s="77">
        <f t="shared" si="7"/>
        <v>17.423245319423529</v>
      </c>
      <c r="J30" s="77">
        <f t="shared" si="7"/>
        <v>22.795391910017145</v>
      </c>
      <c r="K30" s="77">
        <f t="shared" si="7"/>
        <v>24.890895532061467</v>
      </c>
      <c r="L30" s="77">
        <f t="shared" ref="L30:M30" si="8">L22/L32*100</f>
        <v>25.539712921601598</v>
      </c>
      <c r="M30" s="77">
        <f t="shared" si="8"/>
        <v>52.042452342168389</v>
      </c>
      <c r="N30" s="38"/>
      <c r="O30" s="38"/>
      <c r="P30" s="38"/>
      <c r="Q30" s="38"/>
      <c r="R30" s="38"/>
      <c r="S30" s="38"/>
      <c r="T30" s="41"/>
      <c r="X30" s="42"/>
      <c r="Y30" s="43"/>
      <c r="Z30" s="43"/>
    </row>
    <row r="31" spans="1:30" s="40" customFormat="1" ht="17.25" customHeight="1" x14ac:dyDescent="0.25">
      <c r="A31" s="103" t="s">
        <v>24</v>
      </c>
      <c r="B31" s="98"/>
      <c r="C31" s="76">
        <f t="shared" ref="C31:G31" si="9">C23/C32*100</f>
        <v>27.642825365128605</v>
      </c>
      <c r="D31" s="76">
        <f t="shared" si="9"/>
        <v>31.554080073884805</v>
      </c>
      <c r="E31" s="76">
        <f t="shared" si="9"/>
        <v>32.590052307104287</v>
      </c>
      <c r="F31" s="76">
        <f t="shared" si="9"/>
        <v>33.392153877241462</v>
      </c>
      <c r="G31" s="76">
        <f t="shared" si="9"/>
        <v>36.302938510109847</v>
      </c>
      <c r="H31" s="76">
        <f t="shared" ref="H31:K31" si="10">H23/H32*100</f>
        <v>36.596238148643259</v>
      </c>
      <c r="I31" s="76">
        <f t="shared" si="10"/>
        <v>39.340079915149992</v>
      </c>
      <c r="J31" s="76">
        <f t="shared" si="10"/>
        <v>36.321682562890608</v>
      </c>
      <c r="K31" s="76">
        <f t="shared" si="10"/>
        <v>33.907801613568928</v>
      </c>
      <c r="L31" s="76">
        <f t="shared" ref="L31" si="11">L23/L32*100</f>
        <v>37.360897573673014</v>
      </c>
      <c r="M31" s="76">
        <f t="shared" ref="M31" si="12">M23/M32*100</f>
        <v>70.191879703967302</v>
      </c>
      <c r="N31" s="38"/>
      <c r="O31" s="38"/>
      <c r="P31" s="38"/>
      <c r="Q31" s="38"/>
      <c r="R31" s="38"/>
      <c r="S31" s="38"/>
      <c r="T31" s="41"/>
      <c r="X31" s="42"/>
      <c r="Y31" s="43"/>
      <c r="Z31" s="43"/>
    </row>
    <row r="32" spans="1:30" s="40" customFormat="1" ht="17.25" customHeight="1" x14ac:dyDescent="0.25">
      <c r="A32" s="104" t="s">
        <v>35</v>
      </c>
      <c r="B32" s="96"/>
      <c r="C32" s="79">
        <f>'[2]16.4'!J10</f>
        <v>33128.653547666749</v>
      </c>
      <c r="D32" s="79">
        <f>'[2]16.4'!K10</f>
        <v>40511.084367119765</v>
      </c>
      <c r="E32" s="79">
        <v>44345.433581429308</v>
      </c>
      <c r="F32" s="79">
        <v>50633.451385486791</v>
      </c>
      <c r="G32" s="79">
        <v>56866.746459796515</v>
      </c>
      <c r="H32" s="79">
        <v>63146.654325881129</v>
      </c>
      <c r="I32" s="79">
        <v>67300.320835911683</v>
      </c>
      <c r="J32" s="79">
        <v>73152.504093040887</v>
      </c>
      <c r="K32" s="79">
        <v>81586.056129809847</v>
      </c>
      <c r="L32" s="79">
        <v>86258.604658655982</v>
      </c>
      <c r="M32" s="79">
        <v>57568.66772968907</v>
      </c>
      <c r="N32" s="44"/>
      <c r="O32" s="44"/>
      <c r="P32" s="44"/>
      <c r="Q32" s="44"/>
      <c r="R32" s="44"/>
      <c r="S32" s="44"/>
      <c r="T32" s="39"/>
      <c r="X32" s="42"/>
      <c r="Y32" s="43"/>
      <c r="Z32" s="43"/>
    </row>
    <row r="33" spans="1:38" s="40" customFormat="1" ht="14.25" customHeight="1" x14ac:dyDescent="0.25">
      <c r="A33" s="99"/>
      <c r="B33" s="98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44"/>
      <c r="O33" s="44"/>
      <c r="P33" s="44"/>
      <c r="Q33" s="44"/>
      <c r="R33" s="44"/>
      <c r="S33" s="44"/>
      <c r="T33" s="39"/>
      <c r="X33" s="42"/>
      <c r="Y33" s="43"/>
      <c r="Z33" s="43"/>
    </row>
    <row r="34" spans="1:38" s="12" customFormat="1" ht="16.5" customHeight="1" x14ac:dyDescent="0.25">
      <c r="A34" s="45" t="s">
        <v>25</v>
      </c>
      <c r="B34" s="46"/>
      <c r="C34" s="81"/>
      <c r="D34" s="45" t="s">
        <v>26</v>
      </c>
      <c r="E34" s="81"/>
      <c r="F34" s="81"/>
      <c r="G34" s="82"/>
      <c r="H34" s="82"/>
      <c r="I34" s="82"/>
      <c r="J34" s="82"/>
      <c r="K34" s="82"/>
      <c r="L34" s="82"/>
      <c r="M34" s="82"/>
      <c r="N34" s="14"/>
      <c r="O34" s="14"/>
      <c r="P34" s="14"/>
      <c r="Q34" s="14"/>
      <c r="R34" s="14"/>
      <c r="S34" s="14"/>
      <c r="T34" s="4"/>
      <c r="X34" s="36"/>
      <c r="Y34" s="47"/>
      <c r="Z34" s="47"/>
    </row>
    <row r="35" spans="1:38" s="12" customFormat="1" ht="16.5" customHeight="1" x14ac:dyDescent="0.25">
      <c r="A35" s="45" t="s">
        <v>27</v>
      </c>
      <c r="B35" s="46"/>
      <c r="C35" s="79"/>
      <c r="D35" s="48" t="s">
        <v>29</v>
      </c>
      <c r="E35" s="79"/>
      <c r="F35" s="79"/>
      <c r="G35" s="79"/>
      <c r="H35" s="81"/>
      <c r="I35" s="81"/>
      <c r="J35" s="81"/>
      <c r="K35" s="81"/>
      <c r="L35" s="82"/>
      <c r="M35" s="82"/>
      <c r="N35" s="14"/>
      <c r="O35" s="14"/>
      <c r="P35" s="14"/>
      <c r="Q35" s="14"/>
      <c r="R35" s="14"/>
      <c r="S35" s="14"/>
      <c r="T35" s="4"/>
      <c r="X35" s="36"/>
      <c r="Y35" s="47"/>
      <c r="Z35" s="36"/>
    </row>
    <row r="36" spans="1:38" s="12" customFormat="1" ht="16.5" customHeight="1" x14ac:dyDescent="0.25">
      <c r="A36" s="45" t="s">
        <v>28</v>
      </c>
      <c r="B36" s="46"/>
      <c r="C36" s="81"/>
      <c r="D36" s="81"/>
      <c r="E36" s="81"/>
      <c r="F36" s="81"/>
      <c r="G36" s="81"/>
      <c r="H36" s="77"/>
      <c r="I36" s="77"/>
      <c r="J36" s="72"/>
      <c r="K36" s="81"/>
      <c r="L36" s="82"/>
      <c r="M36" s="82"/>
      <c r="N36" s="14"/>
      <c r="O36" s="14"/>
      <c r="P36" s="14"/>
      <c r="Q36" s="14"/>
      <c r="R36" s="14"/>
      <c r="S36" s="14"/>
      <c r="T36" s="4"/>
      <c r="X36" s="36"/>
      <c r="Y36" s="47"/>
      <c r="Z36" s="36"/>
    </row>
    <row r="37" spans="1:38" s="12" customFormat="1" ht="16.5" customHeight="1" x14ac:dyDescent="0.25">
      <c r="B37" s="46"/>
      <c r="C37" s="81"/>
      <c r="D37" s="81"/>
      <c r="E37" s="81"/>
      <c r="F37" s="81"/>
      <c r="G37" s="81"/>
      <c r="H37" s="81"/>
      <c r="I37" s="81"/>
      <c r="J37" s="81"/>
      <c r="K37" s="81"/>
      <c r="L37" s="59"/>
      <c r="M37" s="81"/>
      <c r="N37" s="14"/>
      <c r="O37" s="14"/>
      <c r="P37" s="14"/>
      <c r="Q37" s="14"/>
      <c r="R37" s="14"/>
      <c r="S37" s="14"/>
      <c r="T37" s="4"/>
      <c r="X37" s="36"/>
      <c r="Y37" s="47"/>
      <c r="Z37" s="36"/>
    </row>
    <row r="38" spans="1:38" x14ac:dyDescent="0.25">
      <c r="X38" s="3"/>
      <c r="Y38" s="49"/>
      <c r="Z38" s="1"/>
    </row>
    <row r="39" spans="1:38" x14ac:dyDescent="0.25">
      <c r="X39" s="3"/>
      <c r="Y39" s="50"/>
      <c r="Z39" s="50"/>
      <c r="AA39" s="83">
        <v>33128.653547666749</v>
      </c>
      <c r="AB39" s="83">
        <v>40511.084367119765</v>
      </c>
      <c r="AC39" s="83">
        <v>44345.433581429315</v>
      </c>
      <c r="AD39" s="83">
        <v>50633.451385486791</v>
      </c>
      <c r="AE39" s="83">
        <v>56866.746459796508</v>
      </c>
      <c r="AF39" s="83">
        <v>63146.654325881129</v>
      </c>
      <c r="AG39" s="83">
        <v>67300.320835911683</v>
      </c>
      <c r="AH39" s="83">
        <v>73152.504093040887</v>
      </c>
      <c r="AI39" s="83">
        <v>81586.056129809847</v>
      </c>
      <c r="AJ39" s="83">
        <v>86258.604658655982</v>
      </c>
      <c r="AK39" s="83">
        <v>57568.66772968907</v>
      </c>
    </row>
    <row r="40" spans="1:38" x14ac:dyDescent="0.25">
      <c r="X40" s="3"/>
      <c r="Y40" s="1"/>
      <c r="Z40" s="1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</row>
    <row r="41" spans="1:38" x14ac:dyDescent="0.25">
      <c r="AA41" s="10"/>
      <c r="AB41" s="10">
        <v>2010</v>
      </c>
      <c r="AC41" s="10">
        <v>2011</v>
      </c>
      <c r="AD41" s="10">
        <v>2012</v>
      </c>
      <c r="AE41" s="10">
        <v>2013</v>
      </c>
      <c r="AF41" s="10">
        <v>2014</v>
      </c>
      <c r="AG41" s="10">
        <v>2015</v>
      </c>
      <c r="AH41" s="10">
        <v>2016</v>
      </c>
      <c r="AI41" s="10">
        <v>2017</v>
      </c>
      <c r="AJ41" s="10">
        <v>2018</v>
      </c>
      <c r="AK41" s="10">
        <v>2019</v>
      </c>
      <c r="AL41" s="10">
        <v>2020</v>
      </c>
    </row>
    <row r="42" spans="1:38" x14ac:dyDescent="0.25">
      <c r="AA42" s="28" t="s">
        <v>16</v>
      </c>
      <c r="AB42" s="68">
        <v>7859.3</v>
      </c>
      <c r="AC42" s="68">
        <v>10349.700000000001</v>
      </c>
      <c r="AD42" s="68">
        <v>11081.6</v>
      </c>
      <c r="AE42" s="68">
        <v>11517.8</v>
      </c>
      <c r="AF42" s="68">
        <v>10749.2</v>
      </c>
      <c r="AG42" s="68">
        <v>10204.200000000001</v>
      </c>
      <c r="AH42" s="68">
        <v>11725.9</v>
      </c>
      <c r="AI42" s="68">
        <v>17408.400000000001</v>
      </c>
      <c r="AJ42" s="68">
        <f>K32</f>
        <v>81586.056129809847</v>
      </c>
      <c r="AK42" s="68">
        <f>L32</f>
        <v>86258.604658655982</v>
      </c>
      <c r="AL42" s="17">
        <f>M32</f>
        <v>57568.66772968907</v>
      </c>
    </row>
    <row r="43" spans="1:38" x14ac:dyDescent="0.25">
      <c r="AA43" s="28" t="s">
        <v>17</v>
      </c>
      <c r="AB43" s="84">
        <f t="shared" ref="AB43:AL43" si="13">C23</f>
        <v>9157.6958460000005</v>
      </c>
      <c r="AC43" s="84">
        <f t="shared" si="13"/>
        <v>12782.9</v>
      </c>
      <c r="AD43" s="84">
        <f t="shared" si="13"/>
        <v>14452.2</v>
      </c>
      <c r="AE43" s="84">
        <f t="shared" si="13"/>
        <v>16907.599999999999</v>
      </c>
      <c r="AF43" s="84">
        <f t="shared" si="13"/>
        <v>20644.3</v>
      </c>
      <c r="AG43" s="84">
        <f t="shared" si="13"/>
        <v>23109.3</v>
      </c>
      <c r="AH43" s="84">
        <f t="shared" si="13"/>
        <v>26476</v>
      </c>
      <c r="AI43" s="84">
        <f t="shared" si="13"/>
        <v>26570.220323479869</v>
      </c>
      <c r="AJ43" s="84">
        <f t="shared" si="13"/>
        <v>27664.038056830916</v>
      </c>
      <c r="AK43" s="84">
        <f t="shared" si="13"/>
        <v>32226.988934999998</v>
      </c>
      <c r="AL43" s="34">
        <f t="shared" si="13"/>
        <v>40408.53</v>
      </c>
    </row>
    <row r="44" spans="1:38" x14ac:dyDescent="0.25">
      <c r="AA44" s="5" t="str">
        <f>A5</f>
        <v>Revenue and Grants</v>
      </c>
      <c r="AB44" s="85">
        <f t="shared" ref="AB44:AL44" si="14">C5</f>
        <v>6546.9287702799966</v>
      </c>
      <c r="AC44" s="85">
        <f t="shared" si="14"/>
        <v>9904.5614829999995</v>
      </c>
      <c r="AD44" s="85">
        <f t="shared" si="14"/>
        <v>10138.11294952</v>
      </c>
      <c r="AE44" s="85">
        <f t="shared" si="14"/>
        <v>11900.748051729999</v>
      </c>
      <c r="AF44" s="85">
        <f t="shared" si="14"/>
        <v>15164.227912</v>
      </c>
      <c r="AG44" s="85">
        <f t="shared" si="14"/>
        <v>17306.201467370003</v>
      </c>
      <c r="AH44" s="85">
        <f t="shared" si="14"/>
        <v>18578.118781009995</v>
      </c>
      <c r="AI44" s="85">
        <f t="shared" si="14"/>
        <v>20258.636295000004</v>
      </c>
      <c r="AJ44" s="85">
        <f t="shared" si="14"/>
        <v>22222.967435000002</v>
      </c>
      <c r="AK44" s="85">
        <f t="shared" si="14"/>
        <v>23231.857586999999</v>
      </c>
      <c r="AL44" s="55">
        <f t="shared" si="14"/>
        <v>14692.808497000002</v>
      </c>
    </row>
    <row r="45" spans="1:38" x14ac:dyDescent="0.25">
      <c r="AA45" s="5" t="str">
        <f>A10</f>
        <v>Expenditure and Net Lending</v>
      </c>
      <c r="AB45" s="85">
        <f t="shared" ref="AB45:AL45" si="15">C10</f>
        <v>10815.062102899999</v>
      </c>
      <c r="AC45" s="85">
        <f t="shared" si="15"/>
        <v>12264.726665999999</v>
      </c>
      <c r="AD45" s="85">
        <f t="shared" si="15"/>
        <v>13110.002924999999</v>
      </c>
      <c r="AE45" s="85">
        <f t="shared" si="15"/>
        <v>13530.771002489999</v>
      </c>
      <c r="AF45" s="85">
        <f t="shared" si="15"/>
        <v>16417.211596000001</v>
      </c>
      <c r="AG45" s="85">
        <f t="shared" si="15"/>
        <v>21336.878134909999</v>
      </c>
      <c r="AH45" s="85">
        <f t="shared" si="15"/>
        <v>25262.973192969996</v>
      </c>
      <c r="AI45" s="85">
        <f t="shared" si="15"/>
        <v>22420.18677</v>
      </c>
      <c r="AJ45" s="85">
        <f t="shared" si="15"/>
        <v>26418.667526999998</v>
      </c>
      <c r="AK45" s="85">
        <f t="shared" si="15"/>
        <v>28919.533213000002</v>
      </c>
      <c r="AL45" s="55">
        <f t="shared" si="15"/>
        <v>30566.561805000001</v>
      </c>
    </row>
    <row r="46" spans="1:38" x14ac:dyDescent="0.25"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</row>
    <row r="47" spans="1:38" x14ac:dyDescent="0.25">
      <c r="AA47" s="60"/>
      <c r="AB47" s="77"/>
      <c r="AC47" s="77"/>
      <c r="AD47" s="77"/>
      <c r="AE47" s="77"/>
      <c r="AF47" s="77"/>
      <c r="AG47" s="77"/>
      <c r="AH47" s="77"/>
      <c r="AI47" s="77"/>
      <c r="AJ47" s="77"/>
      <c r="AK47" s="60"/>
    </row>
    <row r="54" spans="1:30" ht="5.25" customHeight="1" x14ac:dyDescent="0.25"/>
    <row r="55" spans="1:30" ht="37.9" customHeight="1" x14ac:dyDescent="0.25"/>
    <row r="60" spans="1:30" x14ac:dyDescent="0.25">
      <c r="B60" s="13"/>
    </row>
    <row r="61" spans="1:30" x14ac:dyDescent="0.25">
      <c r="A61" s="1"/>
      <c r="B61" s="1"/>
    </row>
    <row r="62" spans="1:30" x14ac:dyDescent="0.25">
      <c r="A62" s="1"/>
      <c r="B62" s="1"/>
    </row>
    <row r="63" spans="1:30" s="53" customFormat="1" x14ac:dyDescent="0.25">
      <c r="A63" s="51"/>
      <c r="B63" s="52"/>
      <c r="C63" s="86"/>
      <c r="D63" s="77"/>
      <c r="E63" s="77"/>
      <c r="F63" s="77"/>
      <c r="G63" s="77"/>
      <c r="H63" s="77"/>
      <c r="I63" s="77"/>
      <c r="J63" s="77"/>
      <c r="K63" s="77"/>
      <c r="L63" s="77"/>
      <c r="M63" s="86"/>
      <c r="W63" s="5"/>
      <c r="X63" s="5"/>
      <c r="Y63" s="5"/>
      <c r="Z63" s="5"/>
      <c r="AA63" s="5"/>
      <c r="AB63" s="5"/>
      <c r="AC63" s="5"/>
      <c r="AD63" s="5"/>
    </row>
    <row r="64" spans="1:30" s="53" customFormat="1" x14ac:dyDescent="0.25">
      <c r="A64" s="51"/>
      <c r="B64" s="52"/>
      <c r="C64" s="86"/>
      <c r="D64" s="77"/>
      <c r="E64" s="77"/>
      <c r="F64" s="77"/>
      <c r="G64" s="77"/>
      <c r="H64" s="77"/>
      <c r="I64" s="77"/>
      <c r="J64" s="77"/>
      <c r="K64" s="77"/>
      <c r="L64" s="77"/>
      <c r="M64" s="86"/>
      <c r="W64" s="5"/>
      <c r="X64" s="5"/>
      <c r="Y64" s="5"/>
      <c r="Z64" s="5"/>
      <c r="AA64" s="5"/>
      <c r="AB64" s="5"/>
      <c r="AC64" s="5"/>
      <c r="AD64" s="5"/>
    </row>
    <row r="65" spans="1:30" s="53" customFormat="1" x14ac:dyDescent="0.25">
      <c r="A65" s="51"/>
      <c r="B65" s="54"/>
      <c r="C65" s="86"/>
      <c r="D65" s="77"/>
      <c r="E65" s="77"/>
      <c r="F65" s="77"/>
      <c r="G65" s="77"/>
      <c r="H65" s="77"/>
      <c r="I65" s="77"/>
      <c r="J65" s="77"/>
      <c r="K65" s="77"/>
      <c r="L65" s="77"/>
      <c r="M65" s="86"/>
      <c r="W65" s="5"/>
      <c r="X65" s="5"/>
      <c r="Y65" s="5"/>
      <c r="Z65" s="5"/>
      <c r="AA65" s="5"/>
      <c r="AB65" s="5"/>
      <c r="AC65" s="5"/>
      <c r="AD65" s="5"/>
    </row>
    <row r="66" spans="1:30" s="53" customFormat="1" x14ac:dyDescent="0.25">
      <c r="A66" s="51"/>
      <c r="B66" s="54"/>
      <c r="C66" s="86"/>
      <c r="D66" s="77"/>
      <c r="E66" s="77"/>
      <c r="F66" s="77"/>
      <c r="G66" s="77"/>
      <c r="H66" s="77"/>
      <c r="I66" s="77"/>
      <c r="J66" s="77"/>
      <c r="K66" s="77"/>
      <c r="L66" s="77"/>
      <c r="M66" s="86"/>
      <c r="W66" s="5"/>
      <c r="X66" s="5"/>
      <c r="Y66" s="5"/>
      <c r="Z66" s="5"/>
      <c r="AA66" s="5"/>
      <c r="AB66" s="5"/>
      <c r="AC66" s="5"/>
      <c r="AD66" s="5"/>
    </row>
    <row r="67" spans="1:30" s="53" customFormat="1" x14ac:dyDescent="0.2">
      <c r="A67" s="51"/>
      <c r="B67" s="54"/>
      <c r="C67" s="86"/>
      <c r="D67" s="77"/>
      <c r="E67" s="77"/>
      <c r="F67" s="77"/>
      <c r="G67" s="77"/>
      <c r="H67" s="77"/>
      <c r="I67" s="77"/>
      <c r="J67" s="77"/>
      <c r="K67" s="77"/>
      <c r="L67" s="77"/>
      <c r="M67" s="86"/>
    </row>
    <row r="68" spans="1:30" x14ac:dyDescent="0.25">
      <c r="A68" s="1"/>
      <c r="B68" s="1"/>
      <c r="C68" s="60"/>
      <c r="D68" s="77"/>
      <c r="E68" s="77"/>
      <c r="F68" s="77"/>
      <c r="G68" s="77"/>
      <c r="H68" s="77"/>
      <c r="I68" s="77"/>
      <c r="J68" s="77"/>
      <c r="K68" s="77"/>
      <c r="L68" s="77"/>
      <c r="M68" s="60"/>
    </row>
    <row r="69" spans="1:30" x14ac:dyDescent="0.25">
      <c r="A69" s="1"/>
      <c r="B69" s="1"/>
      <c r="C69" s="60"/>
      <c r="D69" s="79"/>
      <c r="E69" s="79"/>
      <c r="F69" s="79"/>
      <c r="G69" s="79"/>
      <c r="H69" s="79"/>
      <c r="I69" s="79"/>
      <c r="J69" s="79"/>
      <c r="K69" s="79"/>
      <c r="L69" s="79"/>
      <c r="M69" s="60"/>
    </row>
    <row r="70" spans="1:30" x14ac:dyDescent="0.25">
      <c r="A70" s="1"/>
      <c r="B70" s="1"/>
    </row>
    <row r="71" spans="1:30" x14ac:dyDescent="0.25">
      <c r="A71" s="1"/>
      <c r="B71" s="1"/>
    </row>
  </sheetData>
  <mergeCells count="4">
    <mergeCell ref="A6:B6"/>
    <mergeCell ref="A9:B9"/>
    <mergeCell ref="A14:B14"/>
    <mergeCell ref="A1:M1"/>
  </mergeCells>
  <pageMargins left="0.7" right="0.7" top="0.75" bottom="0.75" header="0.3" footer="0.3"/>
  <pageSetup paperSize="9" scale="5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Finance</vt:lpstr>
      <vt:lpstr>Finance!Print_Area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2021-12-14T00:06:51Z</dcterms:modified>
</cp:coreProperties>
</file>