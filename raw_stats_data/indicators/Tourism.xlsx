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Tourism" sheetId="8" r:id="rId1"/>
  </sheets>
  <externalReferences>
    <externalReference r:id="rId2"/>
    <externalReference r:id="rId3"/>
  </externalReferences>
  <definedNames>
    <definedName name="_xlnm.Print_Area" localSheetId="0">Tourism!$A$1:$P$46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8" l="1"/>
  <c r="P14" i="8"/>
  <c r="O17" i="8" l="1"/>
  <c r="O14" i="8"/>
  <c r="N17" i="8" l="1"/>
  <c r="M14" i="8"/>
  <c r="N14" i="8"/>
  <c r="M17" i="8"/>
  <c r="L17" i="8"/>
  <c r="K17" i="8"/>
  <c r="J17" i="8"/>
  <c r="I17" i="8"/>
  <c r="H17" i="8"/>
  <c r="G17" i="8"/>
  <c r="L14" i="8"/>
  <c r="K14" i="8"/>
  <c r="J14" i="8"/>
  <c r="I14" i="8"/>
  <c r="H14" i="8"/>
  <c r="G14" i="8"/>
  <c r="L6" i="8"/>
  <c r="K6" i="8"/>
  <c r="J6" i="8"/>
  <c r="I6" i="8"/>
  <c r="H6" i="8"/>
  <c r="G6" i="8"/>
</calcChain>
</file>

<file path=xl/sharedStrings.xml><?xml version="1.0" encoding="utf-8"?>
<sst xmlns="http://schemas.openxmlformats.org/spreadsheetml/2006/main" count="32" uniqueCount="27">
  <si>
    <t>na</t>
  </si>
  <si>
    <t>-</t>
  </si>
  <si>
    <t xml:space="preserve">TOURISM </t>
  </si>
  <si>
    <t>No. of Tourist Resorts (Including Marinas)</t>
  </si>
  <si>
    <t>Tourist Arrivals</t>
  </si>
  <si>
    <t>Tourist Arrivals ('000)</t>
  </si>
  <si>
    <t>Growth in Tourist Arrivals (%)</t>
  </si>
  <si>
    <t>Beds in operation (annual average)</t>
  </si>
  <si>
    <t>Total Registered Bed Capacity (end year)</t>
  </si>
  <si>
    <t>Resorts (including marinas)</t>
  </si>
  <si>
    <t>Hotels</t>
  </si>
  <si>
    <t>Guest Houses</t>
  </si>
  <si>
    <t>Safari Vessels</t>
  </si>
  <si>
    <t>Increase in Bed Capacity  of Resorts % (over previous yr)</t>
  </si>
  <si>
    <t>Total Tourist Bed-nights  ('000)</t>
  </si>
  <si>
    <t>Increase in Tourist Bed-nights</t>
  </si>
  <si>
    <t>Average Duration of Stay (days)</t>
  </si>
  <si>
    <t xml:space="preserve">Tourism Tax (In Million MVR) 2_/ </t>
  </si>
  <si>
    <t xml:space="preserve">Tourism Revenue (In Million MVR) </t>
  </si>
  <si>
    <t>Tourism Receipts (In million US$)</t>
  </si>
  <si>
    <r>
      <rPr>
        <vertAlign val="superscript"/>
        <sz val="10"/>
        <rFont val="Candara"/>
        <family val="2"/>
      </rPr>
      <t>1_/</t>
    </r>
    <r>
      <rPr>
        <i/>
        <vertAlign val="superscript"/>
        <sz val="9"/>
        <rFont val="Candara"/>
        <family val="2"/>
      </rPr>
      <t xml:space="preserve">  </t>
    </r>
    <r>
      <rPr>
        <i/>
        <sz val="9"/>
        <rFont val="Candara"/>
        <family val="2"/>
      </rPr>
      <t xml:space="preserve">From 2010 onwards Includes resorts/hotels/guest houses &amp; safari vessels and prior that only resorts and Hotels </t>
    </r>
  </si>
  <si>
    <r>
      <rPr>
        <sz val="9"/>
        <rFont val="Candara"/>
        <family val="2"/>
      </rPr>
      <t xml:space="preserve">2_/  </t>
    </r>
    <r>
      <rPr>
        <i/>
        <sz val="9"/>
        <rFont val="Candara"/>
        <family val="2"/>
      </rPr>
      <t xml:space="preserve">Tourist tax terminated from end of Nov 2014 with an ammendment to Maldives Tourism Act. </t>
    </r>
  </si>
  <si>
    <r>
      <rPr>
        <sz val="9"/>
        <rFont val="Candara"/>
        <family val="2"/>
      </rPr>
      <t xml:space="preserve">3_/  </t>
    </r>
    <r>
      <rPr>
        <i/>
        <sz val="9"/>
        <rFont val="Candara"/>
        <family val="2"/>
      </rPr>
      <t>2016 data are revised estimates and other years are actuals</t>
    </r>
  </si>
  <si>
    <t>Tourism Contribution to GDP (%) at constant price</t>
  </si>
  <si>
    <t>GST on Tourism</t>
  </si>
  <si>
    <r>
      <t xml:space="preserve">Bed Capacity Utilization Rate (%) </t>
    </r>
    <r>
      <rPr>
        <vertAlign val="superscript"/>
        <sz val="11"/>
        <rFont val="Calibri"/>
        <family val="2"/>
      </rPr>
      <t>1_/</t>
    </r>
  </si>
  <si>
    <r>
      <t xml:space="preserve">Tourism Expenditure (In Million MVR) </t>
    </r>
    <r>
      <rPr>
        <i/>
        <sz val="11"/>
        <rFont val="Calibri"/>
        <family val="2"/>
      </rPr>
      <t>(Revised Estimates)</t>
    </r>
    <r>
      <rPr>
        <i/>
        <vertAlign val="superscript"/>
        <sz val="11"/>
        <rFont val="Calibri"/>
        <family val="2"/>
      </rPr>
      <t>3_/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</si>
</sst>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General_)"/>
    <numFmt numFmtId="171" formatCode="0.0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vertAlign val="superscript"/>
      <sz val="1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9"/>
      <name val="Calibri"/>
      <family val="2"/>
    </font>
    <font>
      <sz val="9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9"/>
      <name val="Calibri"/>
      <family val="2"/>
    </font>
    <font>
      <sz val="9"/>
      <name val="Candara"/>
      <family val="2"/>
    </font>
    <font>
      <b/>
      <sz val="9"/>
      <name val="Candara"/>
      <family val="2"/>
    </font>
    <font>
      <sz val="9"/>
      <color rgb="FFFF0000"/>
      <name val="Calibri"/>
      <family val="2"/>
    </font>
    <font>
      <b/>
      <sz val="10"/>
      <color rgb="FFFF0000"/>
      <name val="Calibri"/>
      <family val="2"/>
    </font>
    <font>
      <sz val="9"/>
      <color indexed="10"/>
      <name val="Calibri"/>
      <family val="2"/>
    </font>
    <font>
      <sz val="10"/>
      <color indexed="10"/>
      <name val="Arial"/>
      <family val="2"/>
    </font>
    <font>
      <sz val="9"/>
      <color indexed="8"/>
      <name val="Calibri"/>
      <family val="2"/>
    </font>
    <font>
      <sz val="10"/>
      <color rgb="FFFFFF00"/>
      <name val="Arial"/>
      <family val="2"/>
    </font>
    <font>
      <i/>
      <sz val="9"/>
      <name val="Candara"/>
      <family val="2"/>
    </font>
    <font>
      <vertAlign val="superscript"/>
      <sz val="10"/>
      <name val="Candara"/>
      <family val="2"/>
    </font>
    <font>
      <i/>
      <vertAlign val="superscript"/>
      <sz val="9"/>
      <name val="Candara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i/>
      <vertAlign val="superscript"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indexed="8"/>
      <name val="Calibri"/>
      <family val="2"/>
      <scheme val="minor"/>
    </font>
    <font>
      <sz val="12"/>
      <color indexed="10"/>
      <name val="Arial"/>
      <family val="2"/>
    </font>
    <font>
      <b/>
      <sz val="22"/>
      <color theme="0"/>
      <name val="Candara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E7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C8F4F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3" fillId="0" borderId="0"/>
    <xf numFmtId="43" fontId="14" fillId="0" borderId="0" applyFont="0" applyFill="0" applyBorder="0" applyAlignment="0" applyProtection="0"/>
    <xf numFmtId="0" fontId="14" fillId="0" borderId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7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21" borderId="0" applyNumberFormat="0" applyBorder="0" applyAlignment="0" applyProtection="0"/>
    <xf numFmtId="0" fontId="19" fillId="5" borderId="0" applyNumberFormat="0" applyBorder="0" applyAlignment="0" applyProtection="0"/>
    <xf numFmtId="0" fontId="20" fillId="22" borderId="1" applyNumberFormat="0" applyAlignment="0" applyProtection="0"/>
    <xf numFmtId="0" fontId="21" fillId="23" borderId="2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3" applyNumberFormat="0" applyFill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27" fillId="9" borderId="1" applyNumberFormat="0" applyAlignment="0" applyProtection="0"/>
    <xf numFmtId="0" fontId="28" fillId="0" borderId="6" applyNumberFormat="0" applyFill="0" applyAlignment="0" applyProtection="0"/>
    <xf numFmtId="0" fontId="29" fillId="24" borderId="0" applyNumberFormat="0" applyBorder="0" applyAlignment="0" applyProtection="0"/>
    <xf numFmtId="171" fontId="16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7" fillId="25" borderId="7" applyNumberFormat="0" applyFont="0" applyAlignment="0" applyProtection="0"/>
    <xf numFmtId="0" fontId="30" fillId="22" borderId="8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32" fillId="0" borderId="0" applyNumberFormat="0" applyFill="0" applyBorder="0" applyAlignment="0" applyProtection="0"/>
    <xf numFmtId="169" fontId="3" fillId="0" borderId="0"/>
    <xf numFmtId="169" fontId="3" fillId="0" borderId="0"/>
    <xf numFmtId="0" fontId="1" fillId="0" borderId="0"/>
    <xf numFmtId="0" fontId="3" fillId="0" borderId="0"/>
    <xf numFmtId="169" fontId="3" fillId="0" borderId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</cellStyleXfs>
  <cellXfs count="87">
    <xf numFmtId="0" fontId="0" fillId="0" borderId="0" xfId="0"/>
    <xf numFmtId="0" fontId="0" fillId="2" borderId="0" xfId="0" applyFill="1" applyBorder="1"/>
    <xf numFmtId="166" fontId="4" fillId="2" borderId="0" xfId="1" applyNumberFormat="1" applyFont="1" applyFill="1" applyAlignment="1">
      <alignment horizontal="right" vertical="center"/>
    </xf>
    <xf numFmtId="165" fontId="11" fillId="2" borderId="0" xfId="2" applyNumberFormat="1" applyFont="1" applyFill="1"/>
    <xf numFmtId="0" fontId="0" fillId="0" borderId="0" xfId="0" applyFill="1"/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2" fillId="2" borderId="0" xfId="2" applyFont="1" applyFill="1"/>
    <xf numFmtId="3" fontId="0" fillId="2" borderId="0" xfId="0" applyNumberFormat="1" applyFill="1"/>
    <xf numFmtId="0" fontId="2" fillId="0" borderId="0" xfId="2" applyFont="1" applyFill="1"/>
    <xf numFmtId="0" fontId="12" fillId="2" borderId="0" xfId="2" applyFont="1" applyFill="1"/>
    <xf numFmtId="0" fontId="0" fillId="2" borderId="0" xfId="2" applyFont="1" applyFill="1"/>
    <xf numFmtId="0" fontId="0" fillId="0" borderId="0" xfId="2" applyFont="1" applyFill="1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35" fillId="2" borderId="0" xfId="2" applyFont="1" applyFill="1" applyAlignment="1">
      <alignment vertical="center"/>
    </xf>
    <xf numFmtId="1" fontId="33" fillId="2" borderId="0" xfId="2" applyNumberFormat="1" applyFont="1" applyFill="1"/>
    <xf numFmtId="0" fontId="0" fillId="27" borderId="0" xfId="0" applyFill="1"/>
    <xf numFmtId="1" fontId="6" fillId="2" borderId="0" xfId="2" applyNumberFormat="1" applyFont="1" applyFill="1" applyAlignment="1">
      <alignment horizontal="right" vertical="center"/>
    </xf>
    <xf numFmtId="0" fontId="36" fillId="26" borderId="0" xfId="2" applyFont="1" applyFill="1" applyAlignment="1">
      <alignment vertical="center"/>
    </xf>
    <xf numFmtId="165" fontId="36" fillId="2" borderId="0" xfId="2" applyNumberFormat="1" applyFont="1" applyFill="1"/>
    <xf numFmtId="0" fontId="10" fillId="0" borderId="0" xfId="2" applyFont="1" applyFill="1"/>
    <xf numFmtId="1" fontId="37" fillId="2" borderId="0" xfId="2" applyNumberFormat="1" applyFont="1" applyFill="1" applyAlignment="1">
      <alignment horizontal="right" vertical="center"/>
    </xf>
    <xf numFmtId="0" fontId="10" fillId="2" borderId="0" xfId="2" applyFont="1" applyFill="1"/>
    <xf numFmtId="166" fontId="11" fillId="2" borderId="0" xfId="1" applyNumberFormat="1" applyFont="1" applyFill="1"/>
    <xf numFmtId="164" fontId="0" fillId="2" borderId="0" xfId="2" applyNumberFormat="1" applyFont="1" applyFill="1"/>
    <xf numFmtId="0" fontId="39" fillId="2" borderId="0" xfId="2" applyFont="1" applyFill="1"/>
    <xf numFmtId="0" fontId="39" fillId="27" borderId="0" xfId="2" applyFont="1" applyFill="1"/>
    <xf numFmtId="0" fontId="0" fillId="27" borderId="0" xfId="2" applyFont="1" applyFill="1"/>
    <xf numFmtId="0" fontId="40" fillId="2" borderId="0" xfId="2" applyFont="1" applyFill="1" applyAlignment="1">
      <alignment vertical="center"/>
    </xf>
    <xf numFmtId="0" fontId="41" fillId="2" borderId="0" xfId="2" applyFont="1" applyFill="1"/>
    <xf numFmtId="0" fontId="42" fillId="2" borderId="0" xfId="2" applyFont="1" applyFill="1" applyAlignment="1">
      <alignment vertical="center"/>
    </xf>
    <xf numFmtId="0" fontId="0" fillId="2" borderId="0" xfId="2" applyFont="1" applyFill="1" applyAlignment="1">
      <alignment vertical="center"/>
    </xf>
    <xf numFmtId="0" fontId="12" fillId="2" borderId="0" xfId="2" applyNumberFormat="1" applyFont="1" applyFill="1"/>
    <xf numFmtId="0" fontId="11" fillId="3" borderId="0" xfId="2" applyFont="1" applyFill="1" applyAlignment="1">
      <alignment vertical="center"/>
    </xf>
    <xf numFmtId="3" fontId="45" fillId="2" borderId="0" xfId="2" applyNumberFormat="1" applyFont="1" applyFill="1" applyAlignment="1">
      <alignment horizontal="right" vertical="center"/>
    </xf>
    <xf numFmtId="1" fontId="36" fillId="2" borderId="0" xfId="2" applyNumberFormat="1" applyFont="1" applyFill="1"/>
    <xf numFmtId="0" fontId="35" fillId="29" borderId="0" xfId="2" applyFont="1" applyFill="1" applyAlignment="1">
      <alignment vertical="center"/>
    </xf>
    <xf numFmtId="0" fontId="33" fillId="29" borderId="0" xfId="2" applyFont="1" applyFill="1" applyAlignment="1">
      <alignment vertical="center"/>
    </xf>
    <xf numFmtId="3" fontId="33" fillId="29" borderId="0" xfId="2" applyNumberFormat="1" applyFont="1" applyFill="1" applyAlignment="1">
      <alignment horizontal="right" vertical="center"/>
    </xf>
    <xf numFmtId="3" fontId="33" fillId="29" borderId="0" xfId="2" applyNumberFormat="1" applyFont="1" applyFill="1" applyAlignment="1">
      <alignment vertical="center"/>
    </xf>
    <xf numFmtId="0" fontId="11" fillId="29" borderId="0" xfId="2" applyFont="1" applyFill="1" applyAlignment="1">
      <alignment vertical="center"/>
    </xf>
    <xf numFmtId="0" fontId="38" fillId="29" borderId="0" xfId="2" applyFont="1" applyFill="1" applyAlignment="1">
      <alignment vertical="center"/>
    </xf>
    <xf numFmtId="0" fontId="36" fillId="29" borderId="0" xfId="2" applyFont="1" applyFill="1" applyAlignment="1">
      <alignment vertical="center"/>
    </xf>
    <xf numFmtId="3" fontId="45" fillId="29" borderId="0" xfId="2" applyNumberFormat="1" applyFont="1" applyFill="1" applyAlignment="1">
      <alignment horizontal="right" vertical="center"/>
    </xf>
    <xf numFmtId="168" fontId="45" fillId="29" borderId="0" xfId="2" applyNumberFormat="1" applyFont="1" applyFill="1" applyAlignment="1">
      <alignment horizontal="right" vertical="center"/>
    </xf>
    <xf numFmtId="0" fontId="5" fillId="2" borderId="0" xfId="2" applyFont="1" applyFill="1" applyAlignment="1">
      <alignment horizontal="left" vertical="center" indent="1"/>
    </xf>
    <xf numFmtId="0" fontId="9" fillId="26" borderId="0" xfId="2" applyFont="1" applyFill="1" applyAlignment="1">
      <alignment horizontal="left" vertical="center" indent="1"/>
    </xf>
    <xf numFmtId="0" fontId="5" fillId="29" borderId="0" xfId="2" applyFont="1" applyFill="1" applyAlignment="1">
      <alignment horizontal="left" vertical="center" indent="1"/>
    </xf>
    <xf numFmtId="0" fontId="5" fillId="2" borderId="0" xfId="2" applyFont="1" applyFill="1" applyAlignment="1">
      <alignment horizontal="left" indent="1"/>
    </xf>
    <xf numFmtId="0" fontId="5" fillId="3" borderId="0" xfId="2" applyFont="1" applyFill="1" applyAlignment="1">
      <alignment horizontal="left" vertical="center" indent="1"/>
    </xf>
    <xf numFmtId="0" fontId="49" fillId="29" borderId="0" xfId="2" applyFont="1" applyFill="1" applyAlignment="1">
      <alignment horizontal="left" vertical="center" indent="1"/>
    </xf>
    <xf numFmtId="3" fontId="51" fillId="29" borderId="0" xfId="2" applyNumberFormat="1" applyFont="1" applyFill="1" applyAlignment="1">
      <alignment horizontal="right" vertical="center"/>
    </xf>
    <xf numFmtId="0" fontId="51" fillId="2" borderId="0" xfId="0" applyFont="1" applyFill="1"/>
    <xf numFmtId="0" fontId="51" fillId="0" borderId="0" xfId="0" applyFont="1" applyFill="1"/>
    <xf numFmtId="1" fontId="48" fillId="29" borderId="0" xfId="2" applyNumberFormat="1" applyFont="1" applyFill="1" applyAlignment="1">
      <alignment horizontal="right" vertical="center"/>
    </xf>
    <xf numFmtId="0" fontId="46" fillId="2" borderId="0" xfId="0" applyFont="1" applyFill="1"/>
    <xf numFmtId="0" fontId="51" fillId="2" borderId="0" xfId="0" applyFont="1" applyFill="1" applyBorder="1"/>
    <xf numFmtId="1" fontId="45" fillId="2" borderId="0" xfId="2" applyNumberFormat="1" applyFont="1" applyFill="1" applyAlignment="1">
      <alignment horizontal="right" vertical="center"/>
    </xf>
    <xf numFmtId="165" fontId="45" fillId="2" borderId="0" xfId="2" applyNumberFormat="1" applyFont="1" applyFill="1" applyAlignment="1">
      <alignment horizontal="right" vertical="center"/>
    </xf>
    <xf numFmtId="165" fontId="45" fillId="29" borderId="0" xfId="2" applyNumberFormat="1" applyFont="1" applyFill="1" applyAlignment="1">
      <alignment horizontal="right" vertical="center"/>
    </xf>
    <xf numFmtId="3" fontId="51" fillId="2" borderId="0" xfId="0" applyNumberFormat="1" applyFont="1" applyFill="1"/>
    <xf numFmtId="164" fontId="51" fillId="2" borderId="0" xfId="0" applyNumberFormat="1" applyFont="1" applyFill="1"/>
    <xf numFmtId="0" fontId="53" fillId="2" borderId="0" xfId="2" applyFont="1" applyFill="1"/>
    <xf numFmtId="0" fontId="51" fillId="2" borderId="0" xfId="2" applyFont="1" applyFill="1"/>
    <xf numFmtId="166" fontId="47" fillId="26" borderId="0" xfId="1" applyNumberFormat="1" applyFont="1" applyFill="1" applyAlignment="1">
      <alignment horizontal="right" vertical="center"/>
    </xf>
    <xf numFmtId="165" fontId="54" fillId="2" borderId="0" xfId="2" applyNumberFormat="1" applyFont="1" applyFill="1"/>
    <xf numFmtId="165" fontId="55" fillId="2" borderId="0" xfId="2" applyNumberFormat="1" applyFont="1" applyFill="1" applyAlignment="1">
      <alignment horizontal="right" vertical="center"/>
    </xf>
    <xf numFmtId="0" fontId="45" fillId="2" borderId="0" xfId="2" applyFont="1" applyFill="1" applyAlignment="1">
      <alignment horizontal="right" vertical="center"/>
    </xf>
    <xf numFmtId="165" fontId="45" fillId="3" borderId="0" xfId="2" applyNumberFormat="1" applyFont="1" applyFill="1" applyAlignment="1">
      <alignment horizontal="right" vertical="center"/>
    </xf>
    <xf numFmtId="166" fontId="51" fillId="29" borderId="0" xfId="1" applyNumberFormat="1" applyFont="1" applyFill="1" applyAlignment="1">
      <alignment horizontal="right" vertical="center"/>
    </xf>
    <xf numFmtId="168" fontId="51" fillId="29" borderId="0" xfId="2" applyNumberFormat="1" applyFont="1" applyFill="1" applyAlignment="1">
      <alignment horizontal="right" vertical="center"/>
    </xf>
    <xf numFmtId="1" fontId="51" fillId="2" borderId="0" xfId="2" applyNumberFormat="1" applyFont="1" applyFill="1" applyAlignment="1">
      <alignment vertical="center"/>
    </xf>
    <xf numFmtId="167" fontId="52" fillId="2" borderId="0" xfId="1" applyNumberFormat="1" applyFont="1" applyFill="1" applyBorder="1" applyAlignment="1">
      <alignment horizontal="right" vertical="center"/>
    </xf>
    <xf numFmtId="0" fontId="51" fillId="2" borderId="0" xfId="2" applyFont="1" applyFill="1" applyAlignment="1">
      <alignment vertical="center"/>
    </xf>
    <xf numFmtId="166" fontId="52" fillId="2" borderId="0" xfId="6" applyNumberFormat="1" applyFont="1" applyFill="1" applyBorder="1" applyAlignment="1">
      <alignment horizontal="right" vertical="center"/>
    </xf>
    <xf numFmtId="165" fontId="52" fillId="2" borderId="0" xfId="6" applyNumberFormat="1" applyFont="1" applyFill="1" applyBorder="1" applyAlignment="1">
      <alignment horizontal="right" vertical="center"/>
    </xf>
    <xf numFmtId="165" fontId="51" fillId="2" borderId="0" xfId="2" applyNumberFormat="1" applyFont="1" applyFill="1" applyAlignment="1">
      <alignment vertical="center"/>
    </xf>
    <xf numFmtId="0" fontId="56" fillId="2" borderId="0" xfId="2" applyFont="1" applyFill="1"/>
    <xf numFmtId="168" fontId="45" fillId="2" borderId="0" xfId="4" applyNumberFormat="1" applyFont="1" applyFill="1" applyAlignment="1">
      <alignment horizontal="right" vertical="center"/>
    </xf>
    <xf numFmtId="166" fontId="51" fillId="2" borderId="0" xfId="1" applyNumberFormat="1" applyFont="1" applyFill="1" applyBorder="1" applyAlignment="1">
      <alignment horizontal="right" vertical="center"/>
    </xf>
    <xf numFmtId="165" fontId="53" fillId="2" borderId="0" xfId="69" applyNumberFormat="1" applyFont="1" applyFill="1" applyBorder="1" applyAlignment="1">
      <alignment vertical="center"/>
    </xf>
    <xf numFmtId="1" fontId="51" fillId="2" borderId="0" xfId="0" applyNumberFormat="1" applyFont="1" applyFill="1"/>
    <xf numFmtId="3" fontId="52" fillId="2" borderId="0" xfId="0" applyNumberFormat="1" applyFont="1" applyFill="1" applyBorder="1" applyAlignment="1" applyProtection="1">
      <alignment horizontal="right" vertical="center"/>
    </xf>
    <xf numFmtId="3" fontId="51" fillId="2" borderId="0" xfId="0" applyNumberFormat="1" applyFont="1" applyFill="1" applyAlignment="1">
      <alignment vertical="center"/>
    </xf>
    <xf numFmtId="0" fontId="57" fillId="28" borderId="0" xfId="2" applyFont="1" applyFill="1" applyAlignment="1">
      <alignment horizontal="left" vertical="center"/>
    </xf>
  </cellXfs>
  <cellStyles count="80">
    <cellStyle name="1" xfId="2"/>
    <cellStyle name="1 3" xfId="4"/>
    <cellStyle name="1_Indicators2007 2" xfId="71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4"/>
    <cellStyle name="Comma 3" xfId="6"/>
    <cellStyle name="Comma 3 2" xfId="38"/>
    <cellStyle name="Comma 3 3" xfId="75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2"/>
    <cellStyle name="Normal 2 2 4" xfId="73"/>
    <cellStyle name="Normal 2 2 5" xfId="78"/>
    <cellStyle name="Normal 2 3" xfId="79"/>
    <cellStyle name="Normal 3" xfId="53"/>
    <cellStyle name="Normal 3 2" xfId="77"/>
    <cellStyle name="Normal 3 3" xfId="76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XII-3 (Commerce)" xfId="69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Growth in tourist arrivals, 2010 - 2020</a:t>
            </a:r>
          </a:p>
        </c:rich>
      </c:tx>
      <c:layout>
        <c:manualLayout>
          <c:xMode val="edge"/>
          <c:yMode val="edge"/>
          <c:x val="0.31782867940134735"/>
          <c:y val="3.76339421390782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038177162440793E-2"/>
          <c:y val="0.17601392437866653"/>
          <c:w val="0.90483157393886904"/>
          <c:h val="0.70626398210290831"/>
        </c:manualLayout>
      </c:layout>
      <c:lineChart>
        <c:grouping val="standard"/>
        <c:varyColors val="0"/>
        <c:ser>
          <c:idx val="0"/>
          <c:order val="0"/>
          <c:tx>
            <c:strRef>
              <c:f>Tourism!$A$7</c:f>
              <c:strCache>
                <c:ptCount val="1"/>
                <c:pt idx="0">
                  <c:v>Growth in Tourist Arrivals (%)</c:v>
                </c:pt>
              </c:strCache>
            </c:strRef>
          </c:tx>
          <c:spPr>
            <a:ln w="22225">
              <a:solidFill>
                <a:srgbClr val="249390"/>
              </a:solidFill>
            </a:ln>
          </c:spPr>
          <c:marker>
            <c:symbol val="circle"/>
            <c:size val="7"/>
            <c:spPr>
              <a:solidFill>
                <a:srgbClr val="33CCCC"/>
              </a:solidFill>
              <a:ln>
                <a:solidFill>
                  <a:srgbClr val="C8F4F2"/>
                </a:solidFill>
              </a:ln>
            </c:spPr>
          </c:marker>
          <c:cat>
            <c:numRef>
              <c:f>Tourism!$F$3:$P$3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Tourism!$F$7:$P$7</c:f>
              <c:numCache>
                <c:formatCode>0.0</c:formatCode>
                <c:ptCount val="11"/>
                <c:pt idx="0">
                  <c:v>20.746296420533902</c:v>
                </c:pt>
                <c:pt idx="1">
                  <c:v>17.600000000000001</c:v>
                </c:pt>
                <c:pt idx="2">
                  <c:v>2.9</c:v>
                </c:pt>
                <c:pt idx="3">
                  <c:v>17.450170924558336</c:v>
                </c:pt>
                <c:pt idx="4">
                  <c:v>7.1</c:v>
                </c:pt>
                <c:pt idx="5">
                  <c:v>2.4393766231179304</c:v>
                </c:pt>
                <c:pt idx="6">
                  <c:v>4.2039363239802698</c:v>
                </c:pt>
                <c:pt idx="7">
                  <c:v>8.0401357555777579</c:v>
                </c:pt>
                <c:pt idx="8">
                  <c:v>6.8174981396748002</c:v>
                </c:pt>
                <c:pt idx="9">
                  <c:v>14.728614797537382</c:v>
                </c:pt>
                <c:pt idx="10">
                  <c:v>-67.379280010946118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05-4D08-A1C1-E9943970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72752"/>
        <c:axId val="568274712"/>
      </c:lineChart>
      <c:catAx>
        <c:axId val="568272752"/>
        <c:scaling>
          <c:orientation val="minMax"/>
        </c:scaling>
        <c:delete val="0"/>
        <c:axPos val="b"/>
        <c:numFmt formatCode="0" sourceLinked="1"/>
        <c:majorTickMark val="none"/>
        <c:minorTickMark val="out"/>
        <c:tickLblPos val="low"/>
        <c:spPr>
          <a:ln w="22225">
            <a:solidFill>
              <a:srgbClr val="DDDDDD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4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8274712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percent</a:t>
                </a:r>
              </a:p>
            </c:rich>
          </c:tx>
          <c:layout>
            <c:manualLayout>
              <c:xMode val="edge"/>
              <c:yMode val="edge"/>
              <c:x val="4.5902062956699689E-3"/>
              <c:y val="7.350050203456111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8272752"/>
        <c:crosses val="autoZero"/>
        <c:crossBetween val="between"/>
      </c:valAx>
      <c:spPr>
        <a:solidFill>
          <a:srgbClr val="E0F9F8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ndara" pitchFamily="34" charset="0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Tourism Contribution to GDP (%), 2010 - 2020</a:t>
            </a:r>
          </a:p>
        </c:rich>
      </c:tx>
      <c:layout>
        <c:manualLayout>
          <c:xMode val="edge"/>
          <c:yMode val="edge"/>
          <c:x val="0.26265001291387657"/>
          <c:y val="6.560760042526123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096575150307365E-2"/>
          <c:y val="0.21178025556582744"/>
          <c:w val="0.91633179543068788"/>
          <c:h val="0.66431421207893071"/>
        </c:manualLayout>
      </c:layout>
      <c:lineChart>
        <c:grouping val="standard"/>
        <c:varyColors val="0"/>
        <c:ser>
          <c:idx val="0"/>
          <c:order val="0"/>
          <c:tx>
            <c:strRef>
              <c:f>Tourism!$A$25</c:f>
              <c:strCache>
                <c:ptCount val="1"/>
                <c:pt idx="0">
                  <c:v>Tourism Contribution to GDP (%) at constant price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diamond"/>
            <c:size val="7"/>
            <c:spPr>
              <a:solidFill>
                <a:srgbClr val="FFBD5D">
                  <a:alpha val="97000"/>
                </a:srgbClr>
              </a:solidFill>
              <a:ln w="9525">
                <a:solidFill>
                  <a:srgbClr val="FFC000"/>
                </a:solidFill>
                <a:prstDash val="solid"/>
              </a:ln>
            </c:spPr>
          </c:marker>
          <c:cat>
            <c:numRef>
              <c:f>Tourism!$F$3:$P$3</c:f>
              <c:numCache>
                <c:formatCode>0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Tourism!$F$25:$P$25</c:f>
              <c:numCache>
                <c:formatCode>#,##0.0</c:formatCode>
                <c:ptCount val="11"/>
                <c:pt idx="0">
                  <c:v>26.33077834477502</c:v>
                </c:pt>
                <c:pt idx="1">
                  <c:v>26.409129691426088</c:v>
                </c:pt>
                <c:pt idx="2">
                  <c:v>25.709637855505868</c:v>
                </c:pt>
                <c:pt idx="3">
                  <c:v>26.380833552063532</c:v>
                </c:pt>
                <c:pt idx="4">
                  <c:v>25.222220343669495</c:v>
                </c:pt>
                <c:pt idx="5">
                  <c:v>23.577265793825415</c:v>
                </c:pt>
                <c:pt idx="6">
                  <c:v>23.776007716906278</c:v>
                </c:pt>
                <c:pt idx="7">
                  <c:v>24.470478687910209</c:v>
                </c:pt>
                <c:pt idx="8">
                  <c:v>24.820645423933822</c:v>
                </c:pt>
                <c:pt idx="9">
                  <c:v>26.267896009992388</c:v>
                </c:pt>
                <c:pt idx="10">
                  <c:v>14.820529248455566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FC6-44EE-963E-F2CECEBFE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73928"/>
        <c:axId val="568273144"/>
      </c:lineChart>
      <c:catAx>
        <c:axId val="56827392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out"/>
        <c:tickLblPos val="low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8273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682731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6.7389994427932039E-3"/>
              <c:y val="8.8259224474682485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8273928"/>
        <c:crosses val="autoZero"/>
        <c:crossBetween val="between"/>
        <c:majorUnit val="10"/>
      </c:valAx>
      <c:spPr>
        <a:solidFill>
          <a:srgbClr val="E0F9F8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110998219659452E-2"/>
          <c:y val="0.76984199416798349"/>
          <c:w val="0.68128556258596773"/>
          <c:h val="9.0909303003791186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293060</xdr:colOff>
      <xdr:row>29</xdr:row>
      <xdr:rowOff>61248</xdr:rowOff>
    </xdr:from>
    <xdr:to>
      <xdr:col>8</xdr:col>
      <xdr:colOff>664535</xdr:colOff>
      <xdr:row>44</xdr:row>
      <xdr:rowOff>128697</xdr:rowOff>
    </xdr:to>
    <xdr:graphicFrame macro="">
      <xdr:nvGraphicFramePr>
        <xdr:cNvPr id="2" name="Chart 9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99680</xdr:colOff>
      <xdr:row>29</xdr:row>
      <xdr:rowOff>67171</xdr:rowOff>
    </xdr:from>
    <xdr:to>
      <xdr:col>15</xdr:col>
      <xdr:colOff>774534</xdr:colOff>
      <xdr:row>44</xdr:row>
      <xdr:rowOff>113298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N3">
            <v>2006</v>
          </cell>
        </row>
      </sheetData>
      <sheetData sheetId="11"/>
      <sheetData sheetId="12">
        <row r="85">
          <cell r="Q85">
            <v>0</v>
          </cell>
        </row>
        <row r="86">
          <cell r="D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Z86">
            <v>0</v>
          </cell>
        </row>
        <row r="87">
          <cell r="D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Z87">
            <v>0</v>
          </cell>
        </row>
        <row r="88">
          <cell r="D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</sheetData>
      <sheetData sheetId="13">
        <row r="4">
          <cell r="K4">
            <v>2003</v>
          </cell>
        </row>
      </sheetData>
      <sheetData sheetId="14"/>
      <sheetData sheetId="15">
        <row r="4">
          <cell r="A4" t="str">
            <v>Money given by the Government to the Political Parties (MVR)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1490"/>
  <sheetViews>
    <sheetView tabSelected="1" zoomScale="95" zoomScaleNormal="95" zoomScaleSheetLayoutView="86" workbookViewId="0">
      <selection activeCell="S28" sqref="S28"/>
    </sheetView>
  </sheetViews>
  <sheetFormatPr defaultColWidth="9.140625" defaultRowHeight="15.75" x14ac:dyDescent="0.25"/>
  <cols>
    <col min="1" max="1" width="14" style="13" customWidth="1"/>
    <col min="2" max="3" width="8.85546875" style="13" customWidth="1"/>
    <col min="4" max="4" width="16.42578125" style="13" customWidth="1"/>
    <col min="5" max="5" width="4.5703125" style="13" customWidth="1"/>
    <col min="6" max="11" width="15.140625" style="55" customWidth="1"/>
    <col min="12" max="16" width="15.140625" style="54" customWidth="1"/>
    <col min="17" max="26" width="13.140625" style="14" customWidth="1"/>
    <col min="27" max="49" width="9.140625" style="14"/>
    <col min="50" max="16384" width="9.140625" style="4"/>
  </cols>
  <sheetData>
    <row r="1" spans="1:49" s="12" customFormat="1" ht="30" customHeight="1" x14ac:dyDescent="0.25">
      <c r="A1" s="86" t="s">
        <v>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s="12" customFormat="1" ht="15" customHeight="1" x14ac:dyDescent="0.25">
      <c r="A2" s="16"/>
      <c r="B2" s="6"/>
      <c r="C2" s="6"/>
      <c r="D2" s="6"/>
      <c r="E2" s="6"/>
      <c r="F2" s="64"/>
      <c r="G2" s="64"/>
      <c r="H2" s="64"/>
      <c r="I2" s="64"/>
      <c r="J2" s="64"/>
      <c r="K2" s="64"/>
      <c r="L2" s="64"/>
      <c r="M2" s="64"/>
      <c r="N2" s="64"/>
      <c r="O2" s="64"/>
      <c r="P2" s="6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s="18" customFormat="1" ht="15.75" customHeight="1" x14ac:dyDescent="0.25">
      <c r="A3" s="38"/>
      <c r="B3" s="39"/>
      <c r="C3" s="40"/>
      <c r="D3" s="41"/>
      <c r="E3" s="41"/>
      <c r="F3" s="56">
        <v>2010</v>
      </c>
      <c r="G3" s="56">
        <v>2011</v>
      </c>
      <c r="H3" s="56">
        <v>2012</v>
      </c>
      <c r="I3" s="56">
        <v>2013</v>
      </c>
      <c r="J3" s="56">
        <v>2014</v>
      </c>
      <c r="K3" s="56">
        <v>2015</v>
      </c>
      <c r="L3" s="56">
        <v>2016</v>
      </c>
      <c r="M3" s="56">
        <v>2017</v>
      </c>
      <c r="N3" s="56">
        <v>2018</v>
      </c>
      <c r="O3" s="56">
        <v>2019</v>
      </c>
      <c r="P3" s="56">
        <v>2020</v>
      </c>
      <c r="Q3" s="8"/>
      <c r="R3" s="17"/>
      <c r="S3" s="17"/>
      <c r="T3" s="17"/>
      <c r="U3" s="17"/>
      <c r="V3" s="17"/>
      <c r="W3" s="17"/>
      <c r="X3" s="17"/>
      <c r="Y3" s="17"/>
      <c r="Z3" s="17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1:49" s="12" customFormat="1" ht="15.75" customHeight="1" x14ac:dyDescent="0.25">
      <c r="A4" s="47" t="s">
        <v>3</v>
      </c>
      <c r="B4" s="5"/>
      <c r="C4" s="5"/>
      <c r="D4" s="5"/>
      <c r="E4" s="5"/>
      <c r="F4" s="36">
        <v>97</v>
      </c>
      <c r="G4" s="36">
        <v>101</v>
      </c>
      <c r="H4" s="36">
        <v>105</v>
      </c>
      <c r="I4" s="36">
        <v>110</v>
      </c>
      <c r="J4" s="36">
        <v>111</v>
      </c>
      <c r="K4" s="36">
        <v>115</v>
      </c>
      <c r="L4" s="36">
        <v>126</v>
      </c>
      <c r="M4" s="36">
        <v>135</v>
      </c>
      <c r="N4" s="36">
        <v>145</v>
      </c>
      <c r="O4" s="36">
        <v>164</v>
      </c>
      <c r="P4" s="36">
        <v>159</v>
      </c>
      <c r="Q4" s="19"/>
      <c r="R4" s="19"/>
      <c r="S4" s="19"/>
      <c r="T4" s="19"/>
      <c r="U4" s="19"/>
      <c r="V4" s="19"/>
      <c r="W4" s="19"/>
      <c r="X4" s="3"/>
      <c r="Y4" s="3"/>
      <c r="Z4" s="3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s="22" customFormat="1" ht="17.25" hidden="1" customHeight="1" x14ac:dyDescent="0.25">
      <c r="A5" s="48" t="s">
        <v>4</v>
      </c>
      <c r="B5" s="20"/>
      <c r="C5" s="20"/>
      <c r="D5" s="20"/>
      <c r="E5" s="20"/>
      <c r="F5" s="66">
        <v>791917</v>
      </c>
      <c r="G5" s="66">
        <v>931333</v>
      </c>
      <c r="H5" s="66">
        <v>958025</v>
      </c>
      <c r="I5" s="66">
        <v>1125202</v>
      </c>
      <c r="J5" s="66">
        <v>1204857</v>
      </c>
      <c r="K5" s="66">
        <v>1234248</v>
      </c>
      <c r="L5" s="66">
        <v>1286135</v>
      </c>
      <c r="M5" s="67"/>
      <c r="N5" s="67"/>
      <c r="O5" s="67"/>
      <c r="P5" s="67"/>
      <c r="Q5" s="19"/>
      <c r="R5" s="23"/>
      <c r="S5" s="23"/>
      <c r="T5" s="23"/>
      <c r="U5" s="23"/>
      <c r="V5" s="23"/>
      <c r="W5" s="23"/>
      <c r="X5" s="21"/>
      <c r="Y5" s="21"/>
      <c r="Z5" s="21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</row>
    <row r="6" spans="1:49" s="18" customFormat="1" ht="17.25" customHeight="1" x14ac:dyDescent="0.25">
      <c r="A6" s="49" t="s">
        <v>5</v>
      </c>
      <c r="B6" s="42"/>
      <c r="C6" s="42"/>
      <c r="D6" s="42"/>
      <c r="E6" s="42"/>
      <c r="F6" s="45">
        <v>791.91700000000003</v>
      </c>
      <c r="G6" s="45">
        <f t="shared" ref="G6:L6" si="0">G5/1000</f>
        <v>931.33299999999997</v>
      </c>
      <c r="H6" s="45">
        <f t="shared" si="0"/>
        <v>958.02499999999998</v>
      </c>
      <c r="I6" s="45">
        <f t="shared" si="0"/>
        <v>1125.202</v>
      </c>
      <c r="J6" s="45">
        <f t="shared" si="0"/>
        <v>1204.857</v>
      </c>
      <c r="K6" s="45">
        <f t="shared" si="0"/>
        <v>1234.248</v>
      </c>
      <c r="L6" s="45">
        <f t="shared" si="0"/>
        <v>1286.135</v>
      </c>
      <c r="M6" s="45">
        <v>1389.5419999999999</v>
      </c>
      <c r="N6" s="45">
        <v>1484.2739999999999</v>
      </c>
      <c r="O6" s="45">
        <v>1702.8869999999999</v>
      </c>
      <c r="P6" s="45">
        <v>555.49400000000003</v>
      </c>
      <c r="Q6" s="19"/>
      <c r="R6" s="2"/>
      <c r="S6" s="2"/>
      <c r="T6" s="2"/>
      <c r="U6" s="2"/>
      <c r="V6" s="2"/>
      <c r="W6" s="2"/>
      <c r="X6" s="25"/>
      <c r="Y6" s="25"/>
      <c r="Z6" s="25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s="12" customFormat="1" ht="15.75" customHeight="1" x14ac:dyDescent="0.25">
      <c r="A7" s="47" t="s">
        <v>6</v>
      </c>
      <c r="B7" s="5"/>
      <c r="C7" s="5"/>
      <c r="D7" s="5"/>
      <c r="E7" s="5"/>
      <c r="F7" s="68">
        <v>20.746296420533902</v>
      </c>
      <c r="G7" s="68">
        <v>17.600000000000001</v>
      </c>
      <c r="H7" s="68">
        <v>2.9</v>
      </c>
      <c r="I7" s="68">
        <v>17.450170924558336</v>
      </c>
      <c r="J7" s="68">
        <v>7.1</v>
      </c>
      <c r="K7" s="68">
        <v>2.4393766231179304</v>
      </c>
      <c r="L7" s="68">
        <v>4.2039363239802698</v>
      </c>
      <c r="M7" s="68">
        <v>8.0401357555777579</v>
      </c>
      <c r="N7" s="68">
        <v>6.8174981396748002</v>
      </c>
      <c r="O7" s="68">
        <v>14.728614797537382</v>
      </c>
      <c r="P7" s="68">
        <v>-67.379280010946118</v>
      </c>
      <c r="Q7" s="19"/>
      <c r="R7" s="11"/>
      <c r="S7" s="11"/>
      <c r="T7" s="2"/>
      <c r="U7" s="2"/>
      <c r="V7" s="2"/>
      <c r="W7" s="2"/>
      <c r="X7" s="26"/>
      <c r="Y7" s="26"/>
      <c r="Z7" s="26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28" customFormat="1" ht="15.75" customHeight="1" x14ac:dyDescent="0.2">
      <c r="A8" s="49" t="s">
        <v>7</v>
      </c>
      <c r="B8" s="43"/>
      <c r="C8" s="43"/>
      <c r="D8" s="43"/>
      <c r="E8" s="43"/>
      <c r="F8" s="45">
        <v>21701</v>
      </c>
      <c r="G8" s="45">
        <v>24493</v>
      </c>
      <c r="H8" s="45">
        <v>25062</v>
      </c>
      <c r="I8" s="45">
        <v>26101</v>
      </c>
      <c r="J8" s="45">
        <v>29515.25</v>
      </c>
      <c r="K8" s="45">
        <v>31423.916666666668</v>
      </c>
      <c r="L8" s="45">
        <v>33802.25</v>
      </c>
      <c r="M8" s="45">
        <v>38592.333333333336</v>
      </c>
      <c r="N8" s="45">
        <v>41886.666666666672</v>
      </c>
      <c r="O8" s="45">
        <v>47268.5</v>
      </c>
      <c r="P8" s="45">
        <v>27744.666666666668</v>
      </c>
      <c r="Q8" s="19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spans="1:49" s="9" customFormat="1" ht="15.75" customHeight="1" x14ac:dyDescent="0.2">
      <c r="A9" s="47" t="s">
        <v>8</v>
      </c>
      <c r="B9" s="5"/>
      <c r="C9" s="5"/>
      <c r="D9" s="5"/>
      <c r="E9" s="5"/>
      <c r="F9" s="36">
        <v>25709</v>
      </c>
      <c r="G9" s="36">
        <v>26896</v>
      </c>
      <c r="H9" s="36">
        <v>28120</v>
      </c>
      <c r="I9" s="36">
        <v>29829</v>
      </c>
      <c r="J9" s="36">
        <v>31673</v>
      </c>
      <c r="K9" s="36">
        <v>34085</v>
      </c>
      <c r="L9" s="36">
        <v>37374</v>
      </c>
      <c r="M9" s="36">
        <v>41255</v>
      </c>
      <c r="N9" s="36">
        <v>45154</v>
      </c>
      <c r="O9" s="36">
        <v>51362</v>
      </c>
      <c r="P9" s="36">
        <v>51827</v>
      </c>
      <c r="Q9" s="19"/>
      <c r="R9" s="27"/>
      <c r="S9" s="7"/>
      <c r="T9" s="27"/>
      <c r="U9" s="27"/>
      <c r="V9" s="27"/>
      <c r="W9" s="27"/>
      <c r="X9" s="27"/>
      <c r="Y9" s="27"/>
      <c r="Z9" s="2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11" customFormat="1" ht="15.75" customHeight="1" x14ac:dyDescent="0.25">
      <c r="A10" s="49"/>
      <c r="B10" s="42" t="s">
        <v>9</v>
      </c>
      <c r="C10" s="42"/>
      <c r="D10" s="42"/>
      <c r="E10" s="42"/>
      <c r="F10" s="45">
        <v>21350</v>
      </c>
      <c r="G10" s="45">
        <v>22120</v>
      </c>
      <c r="H10" s="45">
        <v>22889</v>
      </c>
      <c r="I10" s="45">
        <v>23487</v>
      </c>
      <c r="J10" s="45">
        <v>24031</v>
      </c>
      <c r="K10" s="45">
        <v>24877</v>
      </c>
      <c r="L10" s="45">
        <v>26933</v>
      </c>
      <c r="M10" s="45">
        <v>29977</v>
      </c>
      <c r="N10" s="45">
        <v>31971</v>
      </c>
      <c r="O10" s="45">
        <v>37004</v>
      </c>
      <c r="P10" s="45">
        <v>37134</v>
      </c>
      <c r="Q10" s="19"/>
      <c r="W10" s="27"/>
      <c r="X10" s="27"/>
      <c r="Y10" s="27"/>
      <c r="Z10" s="27"/>
    </row>
    <row r="11" spans="1:49" s="12" customFormat="1" ht="15.75" customHeight="1" x14ac:dyDescent="0.25">
      <c r="A11" s="47"/>
      <c r="B11" s="5" t="s">
        <v>10</v>
      </c>
      <c r="C11" s="5"/>
      <c r="D11" s="5"/>
      <c r="E11" s="5"/>
      <c r="F11" s="36">
        <v>1449</v>
      </c>
      <c r="G11" s="36">
        <v>1603</v>
      </c>
      <c r="H11" s="36">
        <v>1627</v>
      </c>
      <c r="I11" s="36">
        <v>1708</v>
      </c>
      <c r="J11" s="36">
        <v>1704</v>
      </c>
      <c r="K11" s="36">
        <v>1648</v>
      </c>
      <c r="L11" s="36">
        <v>1713</v>
      </c>
      <c r="M11" s="36">
        <v>1456</v>
      </c>
      <c r="N11" s="36">
        <v>1862</v>
      </c>
      <c r="O11" s="36">
        <v>1642</v>
      </c>
      <c r="P11" s="36">
        <v>1698</v>
      </c>
      <c r="Q11" s="19"/>
      <c r="R11" s="11"/>
      <c r="S11" s="11"/>
      <c r="T11" s="27"/>
      <c r="U11" s="27"/>
      <c r="V11" s="27"/>
      <c r="W11" s="27"/>
      <c r="X11" s="27"/>
      <c r="Y11" s="27"/>
      <c r="Z11" s="27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s="29" customFormat="1" ht="15.75" customHeight="1" x14ac:dyDescent="0.25">
      <c r="A12" s="49"/>
      <c r="B12" s="42" t="s">
        <v>11</v>
      </c>
      <c r="C12" s="42"/>
      <c r="D12" s="42"/>
      <c r="E12" s="42"/>
      <c r="F12" s="45">
        <v>476</v>
      </c>
      <c r="G12" s="45">
        <v>659</v>
      </c>
      <c r="H12" s="45">
        <v>1101</v>
      </c>
      <c r="I12" s="45">
        <v>1918</v>
      </c>
      <c r="J12" s="45">
        <v>3199</v>
      </c>
      <c r="K12" s="45">
        <v>4621</v>
      </c>
      <c r="L12" s="45">
        <v>6034</v>
      </c>
      <c r="M12" s="45">
        <v>7304</v>
      </c>
      <c r="N12" s="45">
        <v>8563</v>
      </c>
      <c r="O12" s="45">
        <v>9753</v>
      </c>
      <c r="P12" s="45">
        <v>10343</v>
      </c>
      <c r="Q12" s="37"/>
      <c r="R12" s="11"/>
      <c r="S12" s="11"/>
      <c r="T12" s="27"/>
      <c r="U12" s="27"/>
      <c r="V12" s="27"/>
      <c r="W12" s="27"/>
      <c r="X12" s="27"/>
      <c r="Y12" s="27"/>
      <c r="Z12" s="27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s="12" customFormat="1" ht="15.75" customHeight="1" x14ac:dyDescent="0.25">
      <c r="A13" s="47"/>
      <c r="B13" s="5" t="s">
        <v>12</v>
      </c>
      <c r="C13" s="5"/>
      <c r="D13" s="5"/>
      <c r="E13" s="5"/>
      <c r="F13" s="36">
        <v>2434</v>
      </c>
      <c r="G13" s="36">
        <v>2514</v>
      </c>
      <c r="H13" s="36">
        <v>2503</v>
      </c>
      <c r="I13" s="36">
        <v>2716</v>
      </c>
      <c r="J13" s="36">
        <v>2739</v>
      </c>
      <c r="K13" s="36">
        <v>2939</v>
      </c>
      <c r="L13" s="36">
        <v>2694</v>
      </c>
      <c r="M13" s="36">
        <v>2518</v>
      </c>
      <c r="N13" s="36">
        <v>2758</v>
      </c>
      <c r="O13" s="36">
        <v>2963</v>
      </c>
      <c r="P13" s="36">
        <v>2652</v>
      </c>
      <c r="Q13" s="11"/>
      <c r="R13" s="11"/>
      <c r="S13" s="11"/>
      <c r="T13" s="27"/>
      <c r="U13" s="27"/>
      <c r="V13" s="27"/>
      <c r="W13" s="27"/>
      <c r="X13" s="27"/>
      <c r="Y13" s="27"/>
      <c r="Z13" s="27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s="29" customFormat="1" ht="15.75" customHeight="1" x14ac:dyDescent="0.25">
      <c r="A14" s="49" t="s">
        <v>13</v>
      </c>
      <c r="B14" s="42"/>
      <c r="C14" s="42"/>
      <c r="D14" s="42"/>
      <c r="E14" s="42"/>
      <c r="F14" s="46">
        <v>1.9482379906408176</v>
      </c>
      <c r="G14" s="46">
        <f t="shared" ref="G14:L14" si="1">(G10-F10)/(F10)*100</f>
        <v>3.6065573770491808</v>
      </c>
      <c r="H14" s="46">
        <f t="shared" si="1"/>
        <v>3.4764918625678121</v>
      </c>
      <c r="I14" s="46">
        <f t="shared" si="1"/>
        <v>2.6126086766569094</v>
      </c>
      <c r="J14" s="46">
        <f t="shared" si="1"/>
        <v>2.3161749052667431</v>
      </c>
      <c r="K14" s="46">
        <f t="shared" si="1"/>
        <v>3.5204527485331449</v>
      </c>
      <c r="L14" s="46">
        <f t="shared" si="1"/>
        <v>8.264662137717572</v>
      </c>
      <c r="M14" s="46">
        <f>(M10-L10)/(L10)*100</f>
        <v>11.302120075743511</v>
      </c>
      <c r="N14" s="46">
        <f>(N10-M10)/(M10)*100</f>
        <v>6.6517663542048915</v>
      </c>
      <c r="O14" s="46">
        <f>(O10-N10)/(N10)*100</f>
        <v>15.742391542335241</v>
      </c>
      <c r="P14" s="46">
        <f>(P10-O10)/(O10)*100</f>
        <v>0.35131337152740244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s="12" customFormat="1" ht="15.75" customHeight="1" x14ac:dyDescent="0.25">
      <c r="A15" s="50" t="s">
        <v>25</v>
      </c>
      <c r="B15" s="5"/>
      <c r="C15" s="5"/>
      <c r="D15" s="5"/>
      <c r="E15" s="5"/>
      <c r="F15" s="69">
        <v>75.599999999999994</v>
      </c>
      <c r="G15" s="69">
        <v>73.099999999999994</v>
      </c>
      <c r="H15" s="60">
        <v>70.378540137143531</v>
      </c>
      <c r="I15" s="60">
        <v>74</v>
      </c>
      <c r="J15" s="60">
        <v>69.743726404978432</v>
      </c>
      <c r="K15" s="60">
        <v>63.947492985110166</v>
      </c>
      <c r="L15" s="60">
        <v>62.89655235922644</v>
      </c>
      <c r="M15" s="60">
        <v>61.105983456729064</v>
      </c>
      <c r="N15" s="60">
        <v>62.132135362377618</v>
      </c>
      <c r="O15" s="60">
        <v>62.3</v>
      </c>
      <c r="P15" s="60">
        <v>25.684780565572808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s="29" customFormat="1" ht="15.75" customHeight="1" x14ac:dyDescent="0.25">
      <c r="A16" s="49" t="s">
        <v>14</v>
      </c>
      <c r="B16" s="42"/>
      <c r="C16" s="42"/>
      <c r="D16" s="42"/>
      <c r="E16" s="42"/>
      <c r="F16" s="45">
        <v>5986</v>
      </c>
      <c r="G16" s="45">
        <v>6529</v>
      </c>
      <c r="H16" s="45">
        <v>6451</v>
      </c>
      <c r="I16" s="45">
        <v>7041</v>
      </c>
      <c r="J16" s="45">
        <v>7505.6222623784997</v>
      </c>
      <c r="K16" s="45">
        <v>7322.6830686780295</v>
      </c>
      <c r="L16" s="45">
        <v>7770.9226420378209</v>
      </c>
      <c r="M16" s="45">
        <v>8593.2836177621466</v>
      </c>
      <c r="N16" s="45">
        <v>9478.0939017162746</v>
      </c>
      <c r="O16" s="45">
        <v>10688.387114665871</v>
      </c>
      <c r="P16" s="45">
        <v>3984.7124466208597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s="12" customFormat="1" ht="15.75" customHeight="1" x14ac:dyDescent="0.25">
      <c r="A17" s="47" t="s">
        <v>15</v>
      </c>
      <c r="B17" s="5"/>
      <c r="C17" s="30"/>
      <c r="D17" s="30"/>
      <c r="E17" s="30"/>
      <c r="F17" s="68">
        <v>16.300757722945406</v>
      </c>
      <c r="G17" s="68">
        <f t="shared" ref="G17:J17" si="2">(G16-F16)/(F16)*100</f>
        <v>9.0711660541262944</v>
      </c>
      <c r="H17" s="68">
        <f t="shared" si="2"/>
        <v>-1.1946699341399909</v>
      </c>
      <c r="I17" s="68">
        <f t="shared" si="2"/>
        <v>9.1458688575414673</v>
      </c>
      <c r="J17" s="68">
        <f t="shared" si="2"/>
        <v>6.5988107140818029</v>
      </c>
      <c r="K17" s="68">
        <f t="shared" ref="K17:P17" si="3">(K16-J16)/(J16)*100</f>
        <v>-2.4373621174281901</v>
      </c>
      <c r="L17" s="68">
        <f t="shared" si="3"/>
        <v>6.1212477606341702</v>
      </c>
      <c r="M17" s="68">
        <f t="shared" si="3"/>
        <v>10.582539726694185</v>
      </c>
      <c r="N17" s="68">
        <f t="shared" si="3"/>
        <v>10.296533005442095</v>
      </c>
      <c r="O17" s="68">
        <f t="shared" si="3"/>
        <v>12.769373520665786</v>
      </c>
      <c r="P17" s="68">
        <f t="shared" si="3"/>
        <v>-62.719235335766321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s="29" customFormat="1" ht="15.75" customHeight="1" x14ac:dyDescent="0.25">
      <c r="A18" s="49" t="s">
        <v>16</v>
      </c>
      <c r="B18" s="42"/>
      <c r="C18" s="42"/>
      <c r="D18" s="42"/>
      <c r="E18" s="42"/>
      <c r="F18" s="61">
        <v>7.6</v>
      </c>
      <c r="G18" s="61">
        <v>7</v>
      </c>
      <c r="H18" s="61">
        <v>6.7</v>
      </c>
      <c r="I18" s="61">
        <v>6.3</v>
      </c>
      <c r="J18" s="61">
        <v>6.1</v>
      </c>
      <c r="K18" s="61">
        <v>5.6623346324798476</v>
      </c>
      <c r="L18" s="61">
        <v>6.0249999999999995</v>
      </c>
      <c r="M18" s="61">
        <v>6.1750000000000007</v>
      </c>
      <c r="N18" s="61">
        <v>6.3666666666666671</v>
      </c>
      <c r="O18" s="61">
        <v>6.3</v>
      </c>
      <c r="P18" s="61">
        <v>7.1732772030316436</v>
      </c>
      <c r="Q18" s="27"/>
      <c r="R18" s="27"/>
      <c r="S18" s="27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s="12" customFormat="1" ht="15.75" customHeight="1" x14ac:dyDescent="0.25">
      <c r="A19" s="47" t="s">
        <v>17</v>
      </c>
      <c r="B19" s="5"/>
      <c r="C19" s="5"/>
      <c r="D19" s="5"/>
      <c r="E19" s="5"/>
      <c r="F19" s="60">
        <v>597.29999999999995</v>
      </c>
      <c r="G19" s="60">
        <v>750.73984492149998</v>
      </c>
      <c r="H19" s="60">
        <v>804.72110199999997</v>
      </c>
      <c r="I19" s="60">
        <v>861.64270799999997</v>
      </c>
      <c r="J19" s="60">
        <v>804.82832599999995</v>
      </c>
      <c r="K19" s="60">
        <v>0.64350200000000002</v>
      </c>
      <c r="L19" s="60">
        <v>0.15296662</v>
      </c>
      <c r="M19" s="60">
        <v>3.0720000000000001E-3</v>
      </c>
      <c r="N19" s="60">
        <v>3.5609999999999999E-3</v>
      </c>
      <c r="O19" s="60">
        <v>0</v>
      </c>
      <c r="P19" s="60">
        <v>0</v>
      </c>
      <c r="Q19" s="27"/>
      <c r="R19" s="27"/>
      <c r="S19" s="27"/>
      <c r="T19" s="31"/>
      <c r="U19" s="31"/>
      <c r="V19" s="31"/>
      <c r="W19" s="31"/>
      <c r="X19" s="31"/>
      <c r="Y19" s="31"/>
      <c r="Z19" s="3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s="12" customFormat="1" ht="17.25" hidden="1" customHeight="1" x14ac:dyDescent="0.25">
      <c r="A20" s="51"/>
      <c r="B20" s="35"/>
      <c r="C20" s="35"/>
      <c r="D20" s="35"/>
      <c r="E20" s="35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27"/>
      <c r="R20" s="27"/>
      <c r="S20" s="27"/>
      <c r="T20" s="31"/>
      <c r="U20" s="31"/>
      <c r="V20" s="31"/>
      <c r="W20" s="31"/>
      <c r="X20" s="31"/>
      <c r="Y20" s="31"/>
      <c r="Z20" s="3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s="29" customFormat="1" ht="15.75" customHeight="1" x14ac:dyDescent="0.25">
      <c r="A21" s="49" t="s">
        <v>18</v>
      </c>
      <c r="B21" s="42"/>
      <c r="C21" s="42"/>
      <c r="D21" s="42"/>
      <c r="E21" s="42"/>
      <c r="F21" s="45">
        <v>1703.6</v>
      </c>
      <c r="G21" s="45">
        <v>2568.2981019999997</v>
      </c>
      <c r="H21" s="45">
        <v>3389.5097959999998</v>
      </c>
      <c r="I21" s="45">
        <v>4122.6634639999993</v>
      </c>
      <c r="J21" s="45">
        <v>5621.5076369999997</v>
      </c>
      <c r="K21" s="45">
        <v>6532.7918000000009</v>
      </c>
      <c r="L21" s="53">
        <v>6471.0405261699998</v>
      </c>
      <c r="M21" s="53">
        <v>6595.9007819999988</v>
      </c>
      <c r="N21" s="53">
        <v>7329.377437000001</v>
      </c>
      <c r="O21" s="53">
        <v>7797.4296160000004</v>
      </c>
      <c r="P21" s="53">
        <v>2892.2325249999999</v>
      </c>
      <c r="Q21" s="27"/>
      <c r="R21" s="27"/>
      <c r="S21" s="27"/>
      <c r="T21" s="31"/>
      <c r="U21" s="31"/>
      <c r="V21" s="31"/>
      <c r="W21" s="31"/>
      <c r="X21" s="31"/>
      <c r="Y21" s="31"/>
      <c r="Z21" s="3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s="12" customFormat="1" ht="15.75" customHeight="1" x14ac:dyDescent="0.25">
      <c r="A22" s="47" t="s">
        <v>26</v>
      </c>
      <c r="B22" s="5"/>
      <c r="C22" s="5"/>
      <c r="D22" s="5"/>
      <c r="E22" s="5"/>
      <c r="F22" s="36">
        <v>46.9</v>
      </c>
      <c r="G22" s="36">
        <v>33.700000000000003</v>
      </c>
      <c r="H22" s="36">
        <v>52.6</v>
      </c>
      <c r="I22" s="36">
        <v>33.124519409999998</v>
      </c>
      <c r="J22" s="36">
        <v>49.642775</v>
      </c>
      <c r="K22" s="36">
        <v>103.70914999999999</v>
      </c>
      <c r="L22" s="36">
        <v>143.48095713999999</v>
      </c>
      <c r="M22" s="36">
        <v>62.798475164999999</v>
      </c>
      <c r="N22" s="36">
        <v>63.142949999999999</v>
      </c>
      <c r="O22" s="36">
        <v>44.180428999999997</v>
      </c>
      <c r="P22" s="36">
        <v>41.969962000000002</v>
      </c>
      <c r="Q22" s="27"/>
      <c r="R22" s="27"/>
      <c r="S22" s="27"/>
      <c r="T22" s="31"/>
      <c r="U22" s="31"/>
      <c r="V22" s="31"/>
      <c r="W22" s="31"/>
      <c r="X22" s="31"/>
      <c r="Y22" s="31"/>
      <c r="Z22" s="3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s="12" customFormat="1" ht="15.75" customHeight="1" x14ac:dyDescent="0.25">
      <c r="A23" s="52" t="s">
        <v>19</v>
      </c>
      <c r="B23" s="44"/>
      <c r="C23" s="44"/>
      <c r="D23" s="44"/>
      <c r="E23" s="44"/>
      <c r="F23" s="71" t="s">
        <v>0</v>
      </c>
      <c r="G23" s="71" t="s">
        <v>0</v>
      </c>
      <c r="H23" s="71" t="s">
        <v>0</v>
      </c>
      <c r="I23" s="71" t="s">
        <v>0</v>
      </c>
      <c r="J23" s="45">
        <v>2695.69</v>
      </c>
      <c r="K23" s="45">
        <v>2569.12</v>
      </c>
      <c r="L23" s="53">
        <v>2505.5700000000002</v>
      </c>
      <c r="M23" s="53">
        <v>2743.7</v>
      </c>
      <c r="N23" s="53">
        <v>3028</v>
      </c>
      <c r="O23" s="53">
        <v>3157</v>
      </c>
      <c r="P23" s="53" t="s">
        <v>0</v>
      </c>
      <c r="Q23" s="27"/>
      <c r="R23" s="27"/>
      <c r="S23" s="27"/>
      <c r="T23" s="31"/>
      <c r="U23" s="31"/>
      <c r="V23" s="31"/>
      <c r="W23" s="31"/>
      <c r="X23" s="31"/>
      <c r="Y23" s="31"/>
      <c r="Z23" s="3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s="12" customFormat="1" ht="15.75" customHeight="1" x14ac:dyDescent="0.25">
      <c r="A24" s="47" t="s">
        <v>24</v>
      </c>
      <c r="B24" s="5"/>
      <c r="C24" s="5"/>
      <c r="D24" s="5"/>
      <c r="E24" s="5"/>
      <c r="F24" s="60" t="s">
        <v>1</v>
      </c>
      <c r="G24" s="60" t="s">
        <v>1</v>
      </c>
      <c r="H24" s="36">
        <v>1553.5654959999999</v>
      </c>
      <c r="I24" s="36">
        <v>2154.68813</v>
      </c>
      <c r="J24" s="36">
        <v>3001.8213529999998</v>
      </c>
      <c r="K24" s="36">
        <v>4150.3114690000002</v>
      </c>
      <c r="L24" s="36">
        <v>3920.6999466000007</v>
      </c>
      <c r="M24" s="36">
        <v>4198.5125120000002</v>
      </c>
      <c r="N24" s="36">
        <v>4783.3383210000002</v>
      </c>
      <c r="O24" s="36">
        <v>4903.4014909999996</v>
      </c>
      <c r="P24" s="36">
        <v>1957.560602</v>
      </c>
      <c r="R24" s="27"/>
      <c r="S24" s="27"/>
      <c r="T24" s="31"/>
      <c r="U24" s="31"/>
      <c r="V24" s="31"/>
      <c r="W24" s="31"/>
      <c r="X24" s="31"/>
      <c r="Y24" s="31"/>
      <c r="Z24" s="3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s="29" customFormat="1" ht="15.75" customHeight="1" x14ac:dyDescent="0.25">
      <c r="A25" s="49" t="s">
        <v>23</v>
      </c>
      <c r="B25" s="42"/>
      <c r="C25" s="42"/>
      <c r="D25" s="42"/>
      <c r="E25" s="42"/>
      <c r="F25" s="46">
        <v>26.33077834477502</v>
      </c>
      <c r="G25" s="46">
        <v>26.409129691426088</v>
      </c>
      <c r="H25" s="46">
        <v>25.709637855505868</v>
      </c>
      <c r="I25" s="46">
        <v>26.380833552063532</v>
      </c>
      <c r="J25" s="46">
        <v>25.222220343669495</v>
      </c>
      <c r="K25" s="46">
        <v>23.577265793825415</v>
      </c>
      <c r="L25" s="72">
        <v>23.776007716906278</v>
      </c>
      <c r="M25" s="72">
        <v>24.470478687910209</v>
      </c>
      <c r="N25" s="72">
        <v>24.820645423933822</v>
      </c>
      <c r="O25" s="72">
        <v>26.267896009992388</v>
      </c>
      <c r="P25" s="72">
        <v>14.820529248455566</v>
      </c>
      <c r="Q25" s="27"/>
      <c r="R25" s="27"/>
      <c r="S25" s="27"/>
      <c r="T25" s="31"/>
      <c r="U25" s="31"/>
      <c r="V25" s="31"/>
      <c r="W25" s="31"/>
      <c r="X25" s="31"/>
      <c r="Y25" s="31"/>
      <c r="Z25" s="3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s="33" customFormat="1" ht="13.5" customHeight="1" x14ac:dyDescent="0.2">
      <c r="A26" s="32" t="s">
        <v>20</v>
      </c>
      <c r="B26" s="5"/>
      <c r="C26" s="5"/>
      <c r="D26" s="5"/>
      <c r="E26" s="5"/>
      <c r="F26" s="73"/>
      <c r="G26" s="73"/>
      <c r="H26" s="73"/>
      <c r="I26" s="74"/>
      <c r="J26" s="59"/>
      <c r="K26" s="59"/>
      <c r="L26" s="36"/>
      <c r="M26" s="36"/>
      <c r="N26" s="36"/>
      <c r="O26" s="75"/>
      <c r="P26" s="75"/>
      <c r="Q26" s="27"/>
      <c r="R26" s="27"/>
      <c r="S26" s="27"/>
    </row>
    <row r="27" spans="1:49" s="33" customFormat="1" ht="13.5" customHeight="1" x14ac:dyDescent="0.2">
      <c r="A27" s="32" t="s">
        <v>21</v>
      </c>
      <c r="B27" s="5"/>
      <c r="C27" s="5"/>
      <c r="D27" s="5"/>
      <c r="E27" s="5"/>
      <c r="F27" s="76"/>
      <c r="G27" s="76"/>
      <c r="H27" s="76"/>
      <c r="I27" s="76"/>
      <c r="J27" s="77"/>
      <c r="K27" s="77"/>
      <c r="L27" s="78"/>
      <c r="M27" s="78"/>
      <c r="N27" s="78"/>
      <c r="O27" s="78"/>
      <c r="P27" s="79"/>
      <c r="Q27" s="27"/>
      <c r="R27" s="27"/>
      <c r="S27" s="27"/>
    </row>
    <row r="28" spans="1:49" s="11" customFormat="1" ht="12" customHeight="1" x14ac:dyDescent="0.25">
      <c r="A28" s="32" t="s">
        <v>22</v>
      </c>
      <c r="B28" s="5"/>
      <c r="C28" s="5"/>
      <c r="D28" s="5"/>
      <c r="E28" s="5"/>
      <c r="F28" s="80"/>
      <c r="G28" s="80"/>
      <c r="H28" s="80"/>
      <c r="I28" s="80"/>
      <c r="J28" s="80"/>
      <c r="K28" s="80"/>
      <c r="L28" s="75"/>
      <c r="M28" s="75"/>
      <c r="N28" s="75"/>
      <c r="O28" s="75"/>
      <c r="P28" s="75"/>
    </row>
    <row r="29" spans="1:49" s="11" customFormat="1" ht="12.75" customHeight="1" x14ac:dyDescent="0.25">
      <c r="A29" s="32"/>
      <c r="B29" s="5"/>
      <c r="C29" s="5"/>
      <c r="D29" s="5"/>
      <c r="E29" s="5"/>
      <c r="F29" s="60"/>
      <c r="G29" s="60"/>
      <c r="H29" s="60"/>
      <c r="I29" s="60"/>
      <c r="J29" s="60"/>
      <c r="K29" s="60"/>
      <c r="L29" s="75"/>
      <c r="M29" s="75"/>
      <c r="N29" s="75"/>
      <c r="O29" s="75"/>
      <c r="P29" s="75"/>
    </row>
    <row r="30" spans="1:49" s="14" customFormat="1" x14ac:dyDescent="0.25">
      <c r="A30" s="34"/>
      <c r="F30" s="81"/>
      <c r="G30" s="81"/>
      <c r="H30" s="81"/>
      <c r="I30" s="81"/>
      <c r="J30" s="81"/>
      <c r="K30" s="54"/>
      <c r="L30" s="54"/>
      <c r="M30" s="63"/>
      <c r="N30" s="79"/>
      <c r="O30" s="79"/>
      <c r="P30" s="79"/>
      <c r="Q30" s="27"/>
      <c r="R30" s="15"/>
      <c r="S30" s="15"/>
      <c r="T30" s="15"/>
      <c r="U30" s="15"/>
      <c r="V30" s="15"/>
      <c r="W30" s="15"/>
      <c r="X30" s="15"/>
      <c r="Y30" s="15"/>
      <c r="Z30" s="15"/>
    </row>
    <row r="31" spans="1:49" s="14" customFormat="1" x14ac:dyDescent="0.25">
      <c r="A31" s="10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  <row r="32" spans="1:49" s="14" customFormat="1" x14ac:dyDescent="0.25">
      <c r="F32" s="54"/>
      <c r="G32" s="54"/>
      <c r="H32" s="54"/>
      <c r="I32" s="54"/>
      <c r="J32" s="63"/>
      <c r="K32" s="63"/>
      <c r="L32" s="63"/>
      <c r="M32" s="63"/>
      <c r="N32" s="63"/>
      <c r="O32" s="63"/>
      <c r="P32" s="63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6:16" s="14" customFormat="1" x14ac:dyDescent="0.25"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36"/>
    </row>
    <row r="34" spans="6:16" s="14" customFormat="1" x14ac:dyDescent="0.25"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</row>
    <row r="35" spans="6:16" s="14" customFormat="1" x14ac:dyDescent="0.25"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</row>
    <row r="36" spans="6:16" s="14" customFormat="1" x14ac:dyDescent="0.25">
      <c r="F36" s="57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spans="6:16" s="14" customFormat="1" x14ac:dyDescent="0.25"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6:16" s="14" customFormat="1" x14ac:dyDescent="0.25"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6:16" s="14" customFormat="1" x14ac:dyDescent="0.25"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</row>
    <row r="40" spans="6:16" s="14" customFormat="1" x14ac:dyDescent="0.25"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6:16" s="14" customFormat="1" x14ac:dyDescent="0.25"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</row>
    <row r="42" spans="6:16" s="1" customFormat="1" x14ac:dyDescent="0.25"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</row>
    <row r="43" spans="6:16" s="14" customFormat="1" x14ac:dyDescent="0.25">
      <c r="F43" s="82"/>
      <c r="G43" s="82"/>
      <c r="H43" s="82"/>
      <c r="I43" s="82"/>
      <c r="J43" s="82"/>
      <c r="K43" s="82"/>
      <c r="L43" s="82"/>
      <c r="M43" s="82"/>
      <c r="N43" s="54"/>
      <c r="O43" s="54"/>
      <c r="P43" s="54"/>
    </row>
    <row r="44" spans="6:16" s="14" customFormat="1" x14ac:dyDescent="0.25">
      <c r="F44" s="83"/>
      <c r="G44" s="83"/>
      <c r="H44" s="83"/>
      <c r="I44" s="83"/>
      <c r="J44" s="83"/>
      <c r="K44" s="83"/>
      <c r="L44" s="83"/>
      <c r="M44" s="54"/>
      <c r="N44" s="54"/>
      <c r="O44" s="54"/>
      <c r="P44" s="54"/>
    </row>
    <row r="45" spans="6:16" s="14" customFormat="1" x14ac:dyDescent="0.25"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</row>
    <row r="46" spans="6:16" s="14" customFormat="1" x14ac:dyDescent="0.25"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 spans="6:16" s="14" customFormat="1" x14ac:dyDescent="0.25">
      <c r="F47" s="54"/>
      <c r="G47" s="54"/>
      <c r="H47" s="54"/>
      <c r="I47" s="54"/>
      <c r="J47" s="54"/>
      <c r="K47" s="54"/>
      <c r="L47" s="54"/>
      <c r="M47" s="54"/>
      <c r="N47" s="84"/>
      <c r="O47" s="84"/>
      <c r="P47" s="54"/>
    </row>
    <row r="48" spans="6:16" s="14" customFormat="1" x14ac:dyDescent="0.25">
      <c r="F48" s="54"/>
      <c r="G48" s="54"/>
      <c r="H48" s="54"/>
      <c r="I48" s="54"/>
      <c r="J48" s="54"/>
      <c r="K48" s="54"/>
      <c r="L48" s="54"/>
      <c r="M48" s="54"/>
      <c r="N48" s="57"/>
      <c r="O48" s="85"/>
      <c r="P48" s="54"/>
    </row>
    <row r="49" spans="6:16" s="14" customFormat="1" x14ac:dyDescent="0.25">
      <c r="F49" s="54"/>
      <c r="G49" s="54"/>
      <c r="H49" s="54"/>
      <c r="I49" s="54"/>
      <c r="J49" s="54"/>
      <c r="K49" s="54"/>
      <c r="L49" s="54"/>
      <c r="M49" s="54"/>
      <c r="N49" s="85"/>
      <c r="O49" s="85"/>
      <c r="P49" s="54"/>
    </row>
    <row r="50" spans="6:16" s="14" customFormat="1" x14ac:dyDescent="0.25">
      <c r="F50" s="54"/>
      <c r="G50" s="54"/>
      <c r="H50" s="54"/>
      <c r="I50" s="54"/>
      <c r="J50" s="54"/>
      <c r="K50" s="54"/>
      <c r="L50" s="54"/>
      <c r="M50" s="54"/>
      <c r="N50" s="85"/>
      <c r="O50" s="85"/>
      <c r="P50" s="54"/>
    </row>
    <row r="51" spans="6:16" s="14" customFormat="1" x14ac:dyDescent="0.25">
      <c r="F51" s="54"/>
      <c r="G51" s="54"/>
      <c r="H51" s="54"/>
      <c r="I51" s="54"/>
      <c r="J51" s="54"/>
      <c r="K51" s="54"/>
      <c r="L51" s="54"/>
      <c r="M51" s="54"/>
      <c r="N51" s="85"/>
      <c r="O51" s="85"/>
      <c r="P51" s="54"/>
    </row>
    <row r="52" spans="6:16" s="14" customFormat="1" x14ac:dyDescent="0.25">
      <c r="F52" s="54"/>
      <c r="G52" s="54"/>
      <c r="H52" s="54"/>
      <c r="I52" s="54"/>
      <c r="J52" s="54"/>
      <c r="K52" s="54"/>
      <c r="L52" s="54"/>
      <c r="M52" s="54"/>
      <c r="N52" s="85"/>
      <c r="O52" s="85"/>
      <c r="P52" s="54"/>
    </row>
    <row r="53" spans="6:16" s="14" customFormat="1" x14ac:dyDescent="0.25">
      <c r="F53" s="54"/>
      <c r="G53" s="54"/>
      <c r="H53" s="54"/>
      <c r="I53" s="54"/>
      <c r="J53" s="54"/>
      <c r="K53" s="54"/>
      <c r="L53" s="54"/>
      <c r="M53" s="54"/>
      <c r="N53" s="85"/>
      <c r="O53" s="85"/>
      <c r="P53" s="54"/>
    </row>
    <row r="54" spans="6:16" s="14" customFormat="1" x14ac:dyDescent="0.25">
      <c r="F54" s="54"/>
      <c r="G54" s="54"/>
      <c r="H54" s="54"/>
      <c r="I54" s="54"/>
      <c r="J54" s="54"/>
      <c r="K54" s="54"/>
      <c r="L54" s="54"/>
      <c r="M54" s="54"/>
      <c r="N54" s="85"/>
      <c r="O54" s="85"/>
      <c r="P54" s="54"/>
    </row>
    <row r="55" spans="6:16" s="14" customFormat="1" x14ac:dyDescent="0.25">
      <c r="F55" s="54"/>
      <c r="G55" s="54"/>
      <c r="H55" s="62"/>
      <c r="I55" s="62"/>
      <c r="J55" s="62"/>
      <c r="K55" s="62"/>
      <c r="L55" s="62"/>
      <c r="M55" s="62"/>
      <c r="N55" s="62"/>
      <c r="O55" s="62"/>
      <c r="P55" s="54"/>
    </row>
    <row r="56" spans="6:16" s="14" customFormat="1" x14ac:dyDescent="0.25">
      <c r="F56" s="54"/>
      <c r="G56" s="54"/>
      <c r="H56" s="62"/>
      <c r="I56" s="62"/>
      <c r="J56" s="62"/>
      <c r="K56" s="62"/>
      <c r="L56" s="62"/>
      <c r="M56" s="62"/>
      <c r="N56" s="62"/>
      <c r="O56" s="62"/>
      <c r="P56" s="54"/>
    </row>
    <row r="57" spans="6:16" s="14" customFormat="1" x14ac:dyDescent="0.25">
      <c r="F57" s="54"/>
      <c r="G57" s="54"/>
      <c r="H57" s="62"/>
      <c r="I57" s="62"/>
      <c r="J57" s="62"/>
      <c r="K57" s="62"/>
      <c r="L57" s="62"/>
      <c r="M57" s="62"/>
      <c r="N57" s="62"/>
      <c r="O57" s="62"/>
      <c r="P57" s="54"/>
    </row>
    <row r="58" spans="6:16" s="14" customFormat="1" x14ac:dyDescent="0.25">
      <c r="F58" s="54"/>
      <c r="G58" s="54"/>
      <c r="H58" s="62"/>
      <c r="I58" s="62"/>
      <c r="J58" s="62"/>
      <c r="K58" s="62"/>
      <c r="L58" s="62"/>
      <c r="M58" s="62"/>
      <c r="N58" s="62"/>
      <c r="O58" s="62"/>
      <c r="P58" s="54"/>
    </row>
    <row r="59" spans="6:16" s="14" customFormat="1" x14ac:dyDescent="0.25">
      <c r="F59" s="54"/>
      <c r="G59" s="54"/>
      <c r="H59" s="62"/>
      <c r="I59" s="62"/>
      <c r="J59" s="62"/>
      <c r="K59" s="62"/>
      <c r="L59" s="62"/>
      <c r="M59" s="62"/>
      <c r="N59" s="62"/>
      <c r="O59" s="62"/>
      <c r="P59" s="54"/>
    </row>
    <row r="60" spans="6:16" s="14" customFormat="1" x14ac:dyDescent="0.25"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</row>
    <row r="61" spans="6:16" s="14" customFormat="1" x14ac:dyDescent="0.25"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</row>
    <row r="62" spans="6:16" s="14" customFormat="1" x14ac:dyDescent="0.25"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 spans="6:16" s="14" customFormat="1" x14ac:dyDescent="0.25"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</row>
    <row r="64" spans="6:16" s="14" customFormat="1" x14ac:dyDescent="0.25"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</row>
    <row r="65" spans="6:16" s="14" customFormat="1" x14ac:dyDescent="0.25"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</row>
    <row r="66" spans="6:16" s="14" customFormat="1" x14ac:dyDescent="0.25"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</row>
    <row r="67" spans="6:16" s="14" customFormat="1" x14ac:dyDescent="0.25"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</row>
    <row r="68" spans="6:16" s="14" customFormat="1" x14ac:dyDescent="0.25"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</row>
    <row r="69" spans="6:16" s="14" customFormat="1" x14ac:dyDescent="0.25"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</row>
    <row r="70" spans="6:16" s="14" customFormat="1" x14ac:dyDescent="0.25"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</row>
    <row r="71" spans="6:16" s="14" customFormat="1" x14ac:dyDescent="0.25"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</row>
    <row r="72" spans="6:16" s="14" customFormat="1" x14ac:dyDescent="0.25"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</row>
    <row r="73" spans="6:16" s="14" customFormat="1" x14ac:dyDescent="0.25"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</row>
    <row r="74" spans="6:16" s="14" customFormat="1" x14ac:dyDescent="0.25"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</row>
    <row r="75" spans="6:16" s="14" customFormat="1" x14ac:dyDescent="0.25"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</row>
    <row r="76" spans="6:16" s="14" customFormat="1" x14ac:dyDescent="0.25"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</row>
    <row r="77" spans="6:16" s="14" customFormat="1" x14ac:dyDescent="0.25"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</row>
    <row r="78" spans="6:16" s="14" customFormat="1" x14ac:dyDescent="0.25"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</row>
    <row r="79" spans="6:16" s="14" customFormat="1" x14ac:dyDescent="0.25"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</row>
    <row r="80" spans="6:16" s="14" customFormat="1" x14ac:dyDescent="0.25"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</row>
    <row r="81" spans="6:16" s="14" customFormat="1" x14ac:dyDescent="0.25"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</row>
    <row r="82" spans="6:16" s="14" customFormat="1" x14ac:dyDescent="0.25"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</row>
    <row r="83" spans="6:16" s="14" customFormat="1" x14ac:dyDescent="0.25"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</row>
    <row r="84" spans="6:16" s="14" customFormat="1" x14ac:dyDescent="0.25"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</row>
    <row r="85" spans="6:16" s="14" customFormat="1" x14ac:dyDescent="0.25"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</row>
    <row r="86" spans="6:16" s="14" customFormat="1" x14ac:dyDescent="0.25"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</row>
    <row r="87" spans="6:16" s="14" customFormat="1" x14ac:dyDescent="0.25"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</row>
    <row r="88" spans="6:16" s="14" customFormat="1" x14ac:dyDescent="0.25"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</row>
    <row r="89" spans="6:16" s="14" customFormat="1" x14ac:dyDescent="0.25"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</row>
    <row r="90" spans="6:16" s="14" customFormat="1" x14ac:dyDescent="0.25"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</row>
    <row r="91" spans="6:16" s="14" customFormat="1" x14ac:dyDescent="0.25"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</row>
    <row r="92" spans="6:16" s="14" customFormat="1" x14ac:dyDescent="0.25"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</row>
    <row r="93" spans="6:16" s="14" customFormat="1" x14ac:dyDescent="0.25"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</row>
    <row r="94" spans="6:16" s="14" customFormat="1" x14ac:dyDescent="0.25"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</row>
    <row r="95" spans="6:16" s="14" customFormat="1" x14ac:dyDescent="0.25"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</row>
    <row r="96" spans="6:16" s="14" customFormat="1" x14ac:dyDescent="0.25"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</row>
    <row r="97" spans="6:16" s="14" customFormat="1" x14ac:dyDescent="0.25"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</row>
    <row r="98" spans="6:16" s="14" customFormat="1" x14ac:dyDescent="0.25"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</row>
    <row r="99" spans="6:16" s="14" customFormat="1" x14ac:dyDescent="0.25"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</row>
    <row r="100" spans="6:16" s="14" customFormat="1" x14ac:dyDescent="0.25"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</row>
    <row r="101" spans="6:16" s="14" customFormat="1" x14ac:dyDescent="0.25"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</row>
    <row r="102" spans="6:16" s="14" customFormat="1" x14ac:dyDescent="0.25"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</row>
    <row r="103" spans="6:16" s="14" customFormat="1" x14ac:dyDescent="0.25"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</row>
    <row r="104" spans="6:16" s="14" customFormat="1" x14ac:dyDescent="0.25"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</row>
    <row r="105" spans="6:16" s="14" customFormat="1" x14ac:dyDescent="0.25"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</row>
    <row r="106" spans="6:16" s="14" customFormat="1" x14ac:dyDescent="0.25"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</row>
    <row r="107" spans="6:16" s="14" customFormat="1" x14ac:dyDescent="0.25"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</row>
    <row r="108" spans="6:16" s="14" customFormat="1" x14ac:dyDescent="0.25"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</row>
    <row r="109" spans="6:16" s="14" customFormat="1" x14ac:dyDescent="0.25"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</row>
    <row r="110" spans="6:16" s="14" customFormat="1" x14ac:dyDescent="0.25"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</row>
    <row r="111" spans="6:16" s="14" customFormat="1" x14ac:dyDescent="0.25"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</row>
    <row r="112" spans="6:16" s="14" customFormat="1" x14ac:dyDescent="0.25"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</row>
    <row r="113" spans="6:16" s="14" customFormat="1" x14ac:dyDescent="0.25"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</row>
    <row r="114" spans="6:16" s="14" customFormat="1" x14ac:dyDescent="0.25"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</row>
    <row r="115" spans="6:16" s="14" customFormat="1" x14ac:dyDescent="0.25"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</row>
    <row r="116" spans="6:16" s="14" customFormat="1" x14ac:dyDescent="0.25"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</row>
    <row r="117" spans="6:16" s="14" customFormat="1" x14ac:dyDescent="0.25"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</row>
    <row r="118" spans="6:16" s="14" customFormat="1" x14ac:dyDescent="0.25"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</row>
    <row r="119" spans="6:16" s="14" customFormat="1" x14ac:dyDescent="0.25"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</row>
    <row r="120" spans="6:16" s="14" customFormat="1" x14ac:dyDescent="0.25"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</row>
    <row r="121" spans="6:16" s="14" customFormat="1" x14ac:dyDescent="0.25"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</row>
    <row r="122" spans="6:16" s="14" customFormat="1" x14ac:dyDescent="0.25"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</row>
    <row r="123" spans="6:16" s="14" customFormat="1" x14ac:dyDescent="0.25"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</row>
    <row r="124" spans="6:16" s="14" customFormat="1" x14ac:dyDescent="0.25"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</row>
    <row r="125" spans="6:16" s="14" customFormat="1" x14ac:dyDescent="0.25"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</row>
    <row r="126" spans="6:16" s="14" customFormat="1" x14ac:dyDescent="0.25"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</row>
    <row r="127" spans="6:16" s="14" customFormat="1" x14ac:dyDescent="0.25"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</row>
    <row r="128" spans="6:16" s="14" customFormat="1" x14ac:dyDescent="0.25"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</row>
    <row r="129" spans="6:16" s="14" customFormat="1" x14ac:dyDescent="0.25"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</row>
    <row r="130" spans="6:16" s="14" customFormat="1" x14ac:dyDescent="0.25"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</row>
    <row r="131" spans="6:16" s="14" customFormat="1" x14ac:dyDescent="0.25"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</row>
    <row r="132" spans="6:16" s="14" customFormat="1" x14ac:dyDescent="0.25"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</row>
    <row r="133" spans="6:16" s="14" customFormat="1" x14ac:dyDescent="0.25"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</row>
    <row r="134" spans="6:16" s="14" customFormat="1" x14ac:dyDescent="0.25"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</row>
    <row r="135" spans="6:16" s="14" customFormat="1" x14ac:dyDescent="0.25"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</row>
    <row r="136" spans="6:16" s="14" customFormat="1" x14ac:dyDescent="0.25"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</row>
    <row r="137" spans="6:16" s="14" customFormat="1" x14ac:dyDescent="0.25"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</row>
    <row r="138" spans="6:16" s="14" customFormat="1" x14ac:dyDescent="0.25"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</row>
    <row r="139" spans="6:16" s="14" customFormat="1" x14ac:dyDescent="0.25"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</row>
    <row r="140" spans="6:16" s="14" customFormat="1" x14ac:dyDescent="0.25"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</row>
    <row r="141" spans="6:16" s="14" customFormat="1" x14ac:dyDescent="0.25"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</row>
    <row r="142" spans="6:16" s="14" customFormat="1" x14ac:dyDescent="0.25"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</row>
    <row r="143" spans="6:16" s="14" customFormat="1" x14ac:dyDescent="0.25"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</row>
    <row r="144" spans="6:16" s="14" customFormat="1" x14ac:dyDescent="0.25"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</row>
    <row r="145" spans="6:16" s="14" customFormat="1" x14ac:dyDescent="0.25"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</row>
    <row r="146" spans="6:16" s="14" customFormat="1" x14ac:dyDescent="0.25"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</row>
    <row r="147" spans="6:16" s="14" customFormat="1" x14ac:dyDescent="0.25"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</row>
    <row r="148" spans="6:16" s="14" customFormat="1" x14ac:dyDescent="0.25"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</row>
    <row r="149" spans="6:16" s="14" customFormat="1" x14ac:dyDescent="0.25"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</row>
    <row r="150" spans="6:16" s="14" customFormat="1" x14ac:dyDescent="0.25"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</row>
    <row r="151" spans="6:16" s="14" customFormat="1" x14ac:dyDescent="0.25"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</row>
    <row r="152" spans="6:16" s="14" customFormat="1" x14ac:dyDescent="0.25"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</row>
    <row r="153" spans="6:16" s="14" customFormat="1" x14ac:dyDescent="0.25"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</row>
    <row r="154" spans="6:16" s="14" customFormat="1" x14ac:dyDescent="0.25"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</row>
    <row r="155" spans="6:16" s="14" customFormat="1" x14ac:dyDescent="0.25"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</row>
    <row r="156" spans="6:16" s="14" customFormat="1" x14ac:dyDescent="0.25"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</row>
    <row r="157" spans="6:16" s="14" customFormat="1" x14ac:dyDescent="0.25"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</row>
    <row r="158" spans="6:16" s="14" customFormat="1" x14ac:dyDescent="0.25"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</row>
    <row r="159" spans="6:16" s="14" customFormat="1" x14ac:dyDescent="0.25"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</row>
    <row r="160" spans="6:16" s="14" customFormat="1" x14ac:dyDescent="0.25"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</row>
    <row r="161" spans="6:16" s="14" customFormat="1" x14ac:dyDescent="0.25"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</row>
    <row r="162" spans="6:16" s="14" customFormat="1" x14ac:dyDescent="0.25"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</row>
    <row r="163" spans="6:16" s="14" customFormat="1" x14ac:dyDescent="0.25"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</row>
    <row r="164" spans="6:16" s="14" customFormat="1" x14ac:dyDescent="0.25"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</row>
    <row r="165" spans="6:16" s="14" customFormat="1" x14ac:dyDescent="0.25"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</row>
    <row r="166" spans="6:16" s="14" customFormat="1" x14ac:dyDescent="0.25"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</row>
    <row r="167" spans="6:16" s="14" customFormat="1" x14ac:dyDescent="0.25"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</row>
    <row r="168" spans="6:16" s="14" customFormat="1" x14ac:dyDescent="0.25"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</row>
    <row r="169" spans="6:16" s="14" customFormat="1" x14ac:dyDescent="0.25"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</row>
    <row r="170" spans="6:16" s="14" customFormat="1" x14ac:dyDescent="0.25"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</row>
    <row r="171" spans="6:16" s="14" customFormat="1" x14ac:dyDescent="0.25"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</row>
    <row r="172" spans="6:16" s="14" customFormat="1" x14ac:dyDescent="0.25"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</row>
    <row r="173" spans="6:16" s="14" customFormat="1" x14ac:dyDescent="0.25"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</row>
    <row r="174" spans="6:16" s="14" customFormat="1" x14ac:dyDescent="0.25"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</row>
    <row r="175" spans="6:16" s="14" customFormat="1" x14ac:dyDescent="0.25"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</row>
    <row r="176" spans="6:16" s="14" customFormat="1" x14ac:dyDescent="0.25"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</row>
    <row r="177" spans="6:16" s="14" customFormat="1" x14ac:dyDescent="0.25"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</row>
    <row r="178" spans="6:16" s="14" customFormat="1" x14ac:dyDescent="0.25"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</row>
    <row r="179" spans="6:16" s="14" customFormat="1" x14ac:dyDescent="0.25"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</row>
    <row r="180" spans="6:16" s="14" customFormat="1" x14ac:dyDescent="0.25"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</row>
    <row r="181" spans="6:16" s="14" customFormat="1" x14ac:dyDescent="0.25"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</row>
    <row r="182" spans="6:16" s="14" customFormat="1" x14ac:dyDescent="0.25"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</row>
    <row r="183" spans="6:16" s="14" customFormat="1" x14ac:dyDescent="0.25"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</row>
    <row r="184" spans="6:16" s="14" customFormat="1" x14ac:dyDescent="0.25"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</row>
    <row r="185" spans="6:16" s="14" customFormat="1" x14ac:dyDescent="0.25"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</row>
    <row r="186" spans="6:16" s="14" customFormat="1" x14ac:dyDescent="0.25"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</row>
    <row r="187" spans="6:16" s="14" customFormat="1" x14ac:dyDescent="0.25"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</row>
    <row r="188" spans="6:16" s="14" customFormat="1" x14ac:dyDescent="0.25"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</row>
    <row r="189" spans="6:16" s="14" customFormat="1" x14ac:dyDescent="0.25"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</row>
    <row r="190" spans="6:16" s="14" customFormat="1" x14ac:dyDescent="0.25"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</row>
    <row r="191" spans="6:16" s="14" customFormat="1" x14ac:dyDescent="0.25"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</row>
    <row r="192" spans="6:16" s="14" customFormat="1" x14ac:dyDescent="0.25"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</row>
    <row r="193" spans="6:16" s="14" customFormat="1" x14ac:dyDescent="0.25"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</row>
    <row r="194" spans="6:16" s="14" customFormat="1" x14ac:dyDescent="0.25"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</row>
    <row r="195" spans="6:16" s="14" customFormat="1" x14ac:dyDescent="0.25"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</row>
    <row r="196" spans="6:16" s="14" customFormat="1" x14ac:dyDescent="0.25"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</row>
    <row r="197" spans="6:16" s="14" customFormat="1" x14ac:dyDescent="0.25"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</row>
    <row r="198" spans="6:16" s="14" customFormat="1" x14ac:dyDescent="0.25"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</row>
    <row r="199" spans="6:16" s="14" customFormat="1" x14ac:dyDescent="0.25"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</row>
    <row r="200" spans="6:16" s="14" customFormat="1" x14ac:dyDescent="0.25"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</row>
    <row r="201" spans="6:16" s="14" customFormat="1" x14ac:dyDescent="0.25"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</row>
    <row r="202" spans="6:16" s="14" customFormat="1" x14ac:dyDescent="0.25"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</row>
    <row r="203" spans="6:16" s="14" customFormat="1" x14ac:dyDescent="0.25"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</row>
    <row r="204" spans="6:16" s="14" customFormat="1" x14ac:dyDescent="0.25"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</row>
    <row r="205" spans="6:16" s="14" customFormat="1" x14ac:dyDescent="0.25"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</row>
    <row r="206" spans="6:16" s="14" customFormat="1" x14ac:dyDescent="0.25"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</row>
    <row r="207" spans="6:16" s="14" customFormat="1" x14ac:dyDescent="0.25"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</row>
    <row r="208" spans="6:16" s="14" customFormat="1" x14ac:dyDescent="0.25"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</row>
    <row r="209" spans="6:16" s="14" customFormat="1" x14ac:dyDescent="0.25"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</row>
    <row r="210" spans="6:16" s="14" customFormat="1" x14ac:dyDescent="0.25"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</row>
    <row r="211" spans="6:16" s="14" customFormat="1" x14ac:dyDescent="0.25"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</row>
    <row r="212" spans="6:16" s="14" customFormat="1" x14ac:dyDescent="0.25"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</row>
    <row r="213" spans="6:16" s="14" customFormat="1" x14ac:dyDescent="0.25"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</row>
    <row r="214" spans="6:16" s="14" customFormat="1" x14ac:dyDescent="0.25"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</row>
    <row r="215" spans="6:16" s="14" customFormat="1" x14ac:dyDescent="0.25"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</row>
    <row r="216" spans="6:16" s="14" customFormat="1" x14ac:dyDescent="0.25"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</row>
    <row r="217" spans="6:16" s="14" customFormat="1" x14ac:dyDescent="0.25"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</row>
    <row r="218" spans="6:16" s="14" customFormat="1" x14ac:dyDescent="0.25"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</row>
    <row r="219" spans="6:16" s="14" customFormat="1" x14ac:dyDescent="0.25"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</row>
    <row r="220" spans="6:16" s="14" customFormat="1" x14ac:dyDescent="0.25"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</row>
    <row r="221" spans="6:16" s="14" customFormat="1" x14ac:dyDescent="0.25"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</row>
    <row r="222" spans="6:16" s="14" customFormat="1" x14ac:dyDescent="0.25"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</row>
    <row r="223" spans="6:16" s="14" customFormat="1" x14ac:dyDescent="0.25"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</row>
    <row r="224" spans="6:16" s="14" customFormat="1" x14ac:dyDescent="0.25"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</row>
    <row r="225" spans="6:16" s="14" customFormat="1" x14ac:dyDescent="0.25"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</row>
    <row r="226" spans="6:16" s="14" customFormat="1" x14ac:dyDescent="0.25"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</row>
    <row r="227" spans="6:16" s="14" customFormat="1" x14ac:dyDescent="0.25"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</row>
    <row r="228" spans="6:16" s="14" customFormat="1" x14ac:dyDescent="0.25"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</row>
    <row r="229" spans="6:16" s="14" customFormat="1" x14ac:dyDescent="0.25"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</row>
    <row r="230" spans="6:16" s="14" customFormat="1" x14ac:dyDescent="0.25"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</row>
    <row r="231" spans="6:16" s="14" customFormat="1" x14ac:dyDescent="0.25"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</row>
    <row r="232" spans="6:16" s="14" customFormat="1" x14ac:dyDescent="0.25"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</row>
    <row r="233" spans="6:16" s="14" customFormat="1" x14ac:dyDescent="0.25"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</row>
    <row r="234" spans="6:16" s="14" customFormat="1" x14ac:dyDescent="0.25"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</row>
    <row r="235" spans="6:16" s="14" customFormat="1" x14ac:dyDescent="0.25"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</row>
    <row r="236" spans="6:16" s="14" customFormat="1" x14ac:dyDescent="0.25"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</row>
    <row r="237" spans="6:16" s="14" customFormat="1" x14ac:dyDescent="0.25"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</row>
    <row r="238" spans="6:16" s="14" customFormat="1" x14ac:dyDescent="0.25"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</row>
    <row r="239" spans="6:16" s="14" customFormat="1" x14ac:dyDescent="0.25"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</row>
    <row r="240" spans="6:16" s="14" customFormat="1" x14ac:dyDescent="0.25"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</row>
    <row r="241" spans="6:16" s="14" customFormat="1" x14ac:dyDescent="0.25"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</row>
    <row r="242" spans="6:16" s="14" customFormat="1" x14ac:dyDescent="0.25"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</row>
    <row r="243" spans="6:16" s="14" customFormat="1" x14ac:dyDescent="0.25"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</row>
    <row r="244" spans="6:16" s="14" customFormat="1" x14ac:dyDescent="0.25"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</row>
    <row r="245" spans="6:16" s="14" customFormat="1" x14ac:dyDescent="0.25"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</row>
    <row r="246" spans="6:16" s="14" customFormat="1" x14ac:dyDescent="0.25"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</row>
    <row r="247" spans="6:16" s="14" customFormat="1" x14ac:dyDescent="0.25"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</row>
    <row r="248" spans="6:16" s="14" customFormat="1" x14ac:dyDescent="0.25"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</row>
    <row r="249" spans="6:16" s="14" customFormat="1" x14ac:dyDescent="0.25"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</row>
    <row r="250" spans="6:16" s="14" customFormat="1" x14ac:dyDescent="0.25"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</row>
    <row r="251" spans="6:16" s="14" customFormat="1" x14ac:dyDescent="0.25"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</row>
    <row r="252" spans="6:16" s="14" customFormat="1" x14ac:dyDescent="0.25"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</row>
    <row r="253" spans="6:16" s="14" customFormat="1" x14ac:dyDescent="0.25"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</row>
    <row r="254" spans="6:16" s="14" customFormat="1" x14ac:dyDescent="0.25"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</row>
    <row r="255" spans="6:16" s="14" customFormat="1" x14ac:dyDescent="0.25"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</row>
    <row r="256" spans="6:16" s="14" customFormat="1" x14ac:dyDescent="0.25"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</row>
    <row r="257" spans="6:16" s="14" customFormat="1" x14ac:dyDescent="0.25"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</row>
    <row r="258" spans="6:16" s="14" customFormat="1" x14ac:dyDescent="0.25"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</row>
    <row r="259" spans="6:16" s="14" customFormat="1" x14ac:dyDescent="0.25"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</row>
    <row r="260" spans="6:16" s="14" customFormat="1" x14ac:dyDescent="0.25"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</row>
    <row r="261" spans="6:16" s="14" customFormat="1" x14ac:dyDescent="0.25"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</row>
    <row r="262" spans="6:16" s="14" customFormat="1" x14ac:dyDescent="0.25"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</row>
    <row r="263" spans="6:16" s="14" customFormat="1" x14ac:dyDescent="0.25"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</row>
    <row r="264" spans="6:16" s="14" customFormat="1" x14ac:dyDescent="0.25"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</row>
    <row r="265" spans="6:16" s="14" customFormat="1" x14ac:dyDescent="0.25"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</row>
    <row r="266" spans="6:16" s="14" customFormat="1" x14ac:dyDescent="0.25"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</row>
    <row r="267" spans="6:16" s="14" customFormat="1" x14ac:dyDescent="0.25"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</row>
    <row r="268" spans="6:16" s="14" customFormat="1" x14ac:dyDescent="0.25"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</row>
    <row r="269" spans="6:16" s="14" customFormat="1" x14ac:dyDescent="0.25"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</row>
    <row r="270" spans="6:16" s="14" customFormat="1" x14ac:dyDescent="0.25"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</row>
    <row r="271" spans="6:16" s="14" customFormat="1" x14ac:dyDescent="0.25"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</row>
    <row r="272" spans="6:16" s="14" customFormat="1" x14ac:dyDescent="0.25"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</row>
    <row r="273" spans="6:16" s="14" customFormat="1" x14ac:dyDescent="0.25"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</row>
    <row r="274" spans="6:16" s="14" customFormat="1" x14ac:dyDescent="0.25"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</row>
    <row r="275" spans="6:16" s="14" customFormat="1" x14ac:dyDescent="0.25"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</row>
    <row r="276" spans="6:16" s="14" customFormat="1" x14ac:dyDescent="0.25"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</row>
    <row r="277" spans="6:16" s="14" customFormat="1" x14ac:dyDescent="0.25"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</row>
    <row r="278" spans="6:16" s="14" customFormat="1" x14ac:dyDescent="0.25"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</row>
    <row r="279" spans="6:16" s="14" customFormat="1" x14ac:dyDescent="0.25"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</row>
    <row r="280" spans="6:16" s="14" customFormat="1" x14ac:dyDescent="0.25"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</row>
    <row r="281" spans="6:16" s="14" customFormat="1" x14ac:dyDescent="0.25"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</row>
    <row r="282" spans="6:16" s="14" customFormat="1" x14ac:dyDescent="0.25"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</row>
    <row r="283" spans="6:16" s="14" customFormat="1" x14ac:dyDescent="0.25"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</row>
    <row r="284" spans="6:16" s="14" customFormat="1" x14ac:dyDescent="0.25"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</row>
    <row r="285" spans="6:16" s="14" customFormat="1" x14ac:dyDescent="0.25"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</row>
    <row r="286" spans="6:16" s="14" customFormat="1" x14ac:dyDescent="0.25"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</row>
    <row r="287" spans="6:16" s="14" customFormat="1" x14ac:dyDescent="0.25"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</row>
    <row r="288" spans="6:16" s="14" customFormat="1" x14ac:dyDescent="0.25"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</row>
    <row r="289" spans="6:16" s="14" customFormat="1" x14ac:dyDescent="0.25"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</row>
    <row r="290" spans="6:16" s="14" customFormat="1" x14ac:dyDescent="0.25"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</row>
    <row r="291" spans="6:16" s="14" customFormat="1" x14ac:dyDescent="0.25"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</row>
    <row r="292" spans="6:16" s="14" customFormat="1" x14ac:dyDescent="0.25"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</row>
    <row r="293" spans="6:16" s="14" customFormat="1" x14ac:dyDescent="0.25"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</row>
    <row r="294" spans="6:16" s="14" customFormat="1" x14ac:dyDescent="0.25"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</row>
    <row r="295" spans="6:16" s="14" customFormat="1" x14ac:dyDescent="0.25"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</row>
    <row r="296" spans="6:16" s="14" customFormat="1" x14ac:dyDescent="0.25"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</row>
    <row r="297" spans="6:16" s="14" customFormat="1" x14ac:dyDescent="0.25"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</row>
    <row r="298" spans="6:16" s="14" customFormat="1" x14ac:dyDescent="0.25"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</row>
    <row r="299" spans="6:16" s="14" customFormat="1" x14ac:dyDescent="0.25"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</row>
    <row r="300" spans="6:16" s="14" customFormat="1" x14ac:dyDescent="0.25"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</row>
    <row r="301" spans="6:16" s="14" customFormat="1" x14ac:dyDescent="0.25"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</row>
    <row r="302" spans="6:16" s="14" customFormat="1" x14ac:dyDescent="0.25"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</row>
    <row r="303" spans="6:16" s="14" customFormat="1" x14ac:dyDescent="0.25"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</row>
    <row r="304" spans="6:16" s="14" customFormat="1" x14ac:dyDescent="0.25"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</row>
    <row r="305" spans="6:16" s="14" customFormat="1" x14ac:dyDescent="0.25"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</row>
    <row r="306" spans="6:16" s="14" customFormat="1" x14ac:dyDescent="0.25"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</row>
    <row r="307" spans="6:16" s="14" customFormat="1" x14ac:dyDescent="0.25"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</row>
    <row r="308" spans="6:16" s="14" customFormat="1" x14ac:dyDescent="0.25"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</row>
    <row r="309" spans="6:16" s="14" customFormat="1" x14ac:dyDescent="0.25"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</row>
    <row r="310" spans="6:16" s="14" customFormat="1" x14ac:dyDescent="0.25"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</row>
    <row r="311" spans="6:16" s="14" customFormat="1" x14ac:dyDescent="0.25"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</row>
    <row r="312" spans="6:16" s="14" customFormat="1" x14ac:dyDescent="0.25"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</row>
    <row r="313" spans="6:16" s="14" customFormat="1" x14ac:dyDescent="0.25"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</row>
    <row r="314" spans="6:16" s="14" customFormat="1" x14ac:dyDescent="0.25"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</row>
    <row r="315" spans="6:16" s="14" customFormat="1" x14ac:dyDescent="0.25"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</row>
    <row r="316" spans="6:16" s="14" customFormat="1" x14ac:dyDescent="0.25"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</row>
    <row r="317" spans="6:16" s="14" customFormat="1" x14ac:dyDescent="0.25"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</row>
    <row r="318" spans="6:16" s="14" customFormat="1" x14ac:dyDescent="0.25"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</row>
    <row r="319" spans="6:16" s="14" customFormat="1" x14ac:dyDescent="0.25"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</row>
    <row r="320" spans="6:16" s="14" customFormat="1" x14ac:dyDescent="0.25"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</row>
    <row r="321" spans="6:16" s="14" customFormat="1" x14ac:dyDescent="0.25"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</row>
    <row r="322" spans="6:16" s="14" customFormat="1" x14ac:dyDescent="0.25"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</row>
    <row r="323" spans="6:16" s="14" customFormat="1" x14ac:dyDescent="0.25"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</row>
    <row r="324" spans="6:16" s="14" customFormat="1" x14ac:dyDescent="0.25"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</row>
    <row r="325" spans="6:16" s="14" customFormat="1" x14ac:dyDescent="0.25"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</row>
    <row r="326" spans="6:16" s="14" customFormat="1" x14ac:dyDescent="0.25"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</row>
    <row r="327" spans="6:16" s="14" customFormat="1" x14ac:dyDescent="0.25"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</row>
    <row r="328" spans="6:16" s="14" customFormat="1" x14ac:dyDescent="0.25"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</row>
    <row r="329" spans="6:16" s="14" customFormat="1" x14ac:dyDescent="0.25"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</row>
    <row r="330" spans="6:16" s="14" customFormat="1" x14ac:dyDescent="0.25"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</row>
    <row r="331" spans="6:16" s="14" customFormat="1" x14ac:dyDescent="0.25"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</row>
    <row r="332" spans="6:16" s="14" customFormat="1" x14ac:dyDescent="0.25"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</row>
    <row r="333" spans="6:16" s="14" customFormat="1" x14ac:dyDescent="0.25"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</row>
    <row r="334" spans="6:16" s="14" customFormat="1" x14ac:dyDescent="0.25"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</row>
    <row r="335" spans="6:16" s="14" customFormat="1" x14ac:dyDescent="0.25"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</row>
    <row r="336" spans="6:16" s="14" customFormat="1" x14ac:dyDescent="0.25"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</row>
    <row r="337" spans="6:16" s="14" customFormat="1" x14ac:dyDescent="0.25"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</row>
    <row r="338" spans="6:16" s="14" customFormat="1" x14ac:dyDescent="0.25"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</row>
    <row r="339" spans="6:16" s="14" customFormat="1" x14ac:dyDescent="0.25"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</row>
    <row r="340" spans="6:16" s="14" customFormat="1" x14ac:dyDescent="0.25"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</row>
    <row r="341" spans="6:16" s="14" customFormat="1" x14ac:dyDescent="0.25"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</row>
    <row r="342" spans="6:16" s="14" customFormat="1" x14ac:dyDescent="0.25"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</row>
    <row r="343" spans="6:16" s="14" customFormat="1" x14ac:dyDescent="0.25"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</row>
    <row r="344" spans="6:16" s="14" customFormat="1" x14ac:dyDescent="0.25"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</row>
    <row r="345" spans="6:16" s="14" customFormat="1" x14ac:dyDescent="0.25"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</row>
    <row r="346" spans="6:16" s="14" customFormat="1" x14ac:dyDescent="0.25"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</row>
    <row r="347" spans="6:16" s="14" customFormat="1" x14ac:dyDescent="0.25"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</row>
    <row r="348" spans="6:16" s="14" customFormat="1" x14ac:dyDescent="0.25"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</row>
    <row r="349" spans="6:16" s="14" customFormat="1" x14ac:dyDescent="0.25"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</row>
    <row r="350" spans="6:16" s="14" customFormat="1" x14ac:dyDescent="0.25"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</row>
    <row r="351" spans="6:16" s="14" customFormat="1" x14ac:dyDescent="0.25"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</row>
    <row r="352" spans="6:16" s="14" customFormat="1" x14ac:dyDescent="0.25"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</row>
    <row r="353" spans="6:16" s="14" customFormat="1" x14ac:dyDescent="0.25"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</row>
    <row r="354" spans="6:16" s="14" customFormat="1" x14ac:dyDescent="0.25"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</row>
    <row r="355" spans="6:16" s="14" customFormat="1" x14ac:dyDescent="0.25"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</row>
    <row r="356" spans="6:16" s="14" customFormat="1" x14ac:dyDescent="0.25"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</row>
    <row r="357" spans="6:16" s="14" customFormat="1" x14ac:dyDescent="0.25"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</row>
    <row r="358" spans="6:16" s="14" customFormat="1" x14ac:dyDescent="0.25"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</row>
    <row r="359" spans="6:16" s="14" customFormat="1" x14ac:dyDescent="0.25"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</row>
    <row r="360" spans="6:16" s="14" customFormat="1" x14ac:dyDescent="0.25"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</row>
    <row r="361" spans="6:16" s="14" customFormat="1" x14ac:dyDescent="0.25"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</row>
    <row r="362" spans="6:16" s="14" customFormat="1" x14ac:dyDescent="0.25"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</row>
    <row r="363" spans="6:16" s="14" customFormat="1" x14ac:dyDescent="0.25"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</row>
    <row r="364" spans="6:16" s="14" customFormat="1" x14ac:dyDescent="0.25"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</row>
    <row r="365" spans="6:16" s="14" customFormat="1" x14ac:dyDescent="0.25"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</row>
    <row r="366" spans="6:16" s="14" customFormat="1" x14ac:dyDescent="0.25"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</row>
    <row r="367" spans="6:16" s="14" customFormat="1" x14ac:dyDescent="0.25"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</row>
    <row r="368" spans="6:16" s="14" customFormat="1" x14ac:dyDescent="0.25"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</row>
    <row r="369" spans="6:16" s="14" customFormat="1" x14ac:dyDescent="0.25"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</row>
    <row r="370" spans="6:16" s="14" customFormat="1" x14ac:dyDescent="0.25"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</row>
    <row r="371" spans="6:16" s="14" customFormat="1" x14ac:dyDescent="0.25"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</row>
    <row r="372" spans="6:16" s="14" customFormat="1" x14ac:dyDescent="0.25"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</row>
    <row r="373" spans="6:16" s="14" customFormat="1" x14ac:dyDescent="0.25"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</row>
    <row r="374" spans="6:16" s="14" customFormat="1" x14ac:dyDescent="0.25"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</row>
    <row r="375" spans="6:16" s="14" customFormat="1" x14ac:dyDescent="0.25"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</row>
    <row r="376" spans="6:16" s="14" customFormat="1" x14ac:dyDescent="0.25"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</row>
    <row r="377" spans="6:16" s="14" customFormat="1" x14ac:dyDescent="0.25"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</row>
    <row r="378" spans="6:16" s="14" customFormat="1" x14ac:dyDescent="0.25"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</row>
    <row r="379" spans="6:16" s="14" customFormat="1" x14ac:dyDescent="0.25"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</row>
    <row r="380" spans="6:16" s="14" customFormat="1" x14ac:dyDescent="0.25"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</row>
    <row r="381" spans="6:16" s="14" customFormat="1" x14ac:dyDescent="0.25"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</row>
    <row r="382" spans="6:16" s="14" customFormat="1" x14ac:dyDescent="0.25"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</row>
    <row r="383" spans="6:16" s="14" customFormat="1" x14ac:dyDescent="0.25"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</row>
    <row r="384" spans="6:16" s="14" customFormat="1" x14ac:dyDescent="0.25"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</row>
    <row r="385" spans="6:16" s="14" customFormat="1" x14ac:dyDescent="0.25"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</row>
    <row r="386" spans="6:16" s="14" customFormat="1" x14ac:dyDescent="0.25"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</row>
    <row r="387" spans="6:16" s="14" customFormat="1" x14ac:dyDescent="0.25"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</row>
    <row r="388" spans="6:16" s="14" customFormat="1" x14ac:dyDescent="0.25"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</row>
    <row r="389" spans="6:16" s="14" customFormat="1" x14ac:dyDescent="0.25"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</row>
    <row r="390" spans="6:16" s="14" customFormat="1" x14ac:dyDescent="0.25"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</row>
    <row r="391" spans="6:16" s="14" customFormat="1" x14ac:dyDescent="0.25"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</row>
    <row r="392" spans="6:16" s="14" customFormat="1" x14ac:dyDescent="0.25"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</row>
    <row r="393" spans="6:16" s="14" customFormat="1" x14ac:dyDescent="0.25"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</row>
    <row r="394" spans="6:16" s="14" customFormat="1" x14ac:dyDescent="0.25"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</row>
    <row r="395" spans="6:16" s="14" customFormat="1" x14ac:dyDescent="0.25"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</row>
    <row r="396" spans="6:16" s="14" customFormat="1" x14ac:dyDescent="0.25"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</row>
    <row r="397" spans="6:16" s="14" customFormat="1" x14ac:dyDescent="0.25"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</row>
    <row r="398" spans="6:16" s="14" customFormat="1" x14ac:dyDescent="0.25"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</row>
    <row r="399" spans="6:16" s="14" customFormat="1" x14ac:dyDescent="0.25"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</row>
    <row r="400" spans="6:16" s="14" customFormat="1" x14ac:dyDescent="0.25"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</row>
    <row r="401" spans="6:16" s="14" customFormat="1" x14ac:dyDescent="0.25"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</row>
    <row r="402" spans="6:16" s="14" customFormat="1" x14ac:dyDescent="0.25"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</row>
    <row r="403" spans="6:16" s="14" customFormat="1" x14ac:dyDescent="0.25"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</row>
    <row r="404" spans="6:16" s="14" customFormat="1" x14ac:dyDescent="0.25"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</row>
    <row r="405" spans="6:16" s="14" customFormat="1" x14ac:dyDescent="0.25"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</row>
    <row r="406" spans="6:16" s="14" customFormat="1" x14ac:dyDescent="0.25"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</row>
    <row r="407" spans="6:16" s="14" customFormat="1" x14ac:dyDescent="0.25"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</row>
    <row r="408" spans="6:16" s="14" customFormat="1" x14ac:dyDescent="0.25"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</row>
    <row r="409" spans="6:16" s="14" customFormat="1" x14ac:dyDescent="0.25"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</row>
    <row r="410" spans="6:16" s="14" customFormat="1" x14ac:dyDescent="0.25"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</row>
    <row r="411" spans="6:16" s="14" customFormat="1" x14ac:dyDescent="0.25"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</row>
    <row r="412" spans="6:16" s="14" customFormat="1" x14ac:dyDescent="0.25"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</row>
    <row r="413" spans="6:16" s="14" customFormat="1" x14ac:dyDescent="0.25"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</row>
    <row r="414" spans="6:16" s="14" customFormat="1" x14ac:dyDescent="0.25"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</row>
    <row r="415" spans="6:16" s="14" customFormat="1" x14ac:dyDescent="0.25"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</row>
    <row r="416" spans="6:16" s="14" customFormat="1" x14ac:dyDescent="0.25"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</row>
    <row r="417" spans="6:16" s="14" customFormat="1" x14ac:dyDescent="0.25"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</row>
    <row r="418" spans="6:16" s="14" customFormat="1" x14ac:dyDescent="0.25"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</row>
    <row r="419" spans="6:16" s="14" customFormat="1" x14ac:dyDescent="0.25"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</row>
    <row r="420" spans="6:16" s="14" customFormat="1" x14ac:dyDescent="0.25"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</row>
    <row r="421" spans="6:16" s="14" customFormat="1" x14ac:dyDescent="0.25"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</row>
    <row r="422" spans="6:16" s="14" customFormat="1" x14ac:dyDescent="0.25"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</row>
    <row r="423" spans="6:16" s="14" customFormat="1" x14ac:dyDescent="0.25"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</row>
    <row r="424" spans="6:16" s="14" customFormat="1" x14ac:dyDescent="0.25"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</row>
    <row r="425" spans="6:16" s="14" customFormat="1" x14ac:dyDescent="0.25"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</row>
    <row r="426" spans="6:16" s="14" customFormat="1" x14ac:dyDescent="0.25"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</row>
    <row r="427" spans="6:16" s="14" customFormat="1" x14ac:dyDescent="0.25"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</row>
    <row r="428" spans="6:16" s="14" customFormat="1" x14ac:dyDescent="0.25"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</row>
    <row r="429" spans="6:16" s="14" customFormat="1" x14ac:dyDescent="0.25"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</row>
    <row r="430" spans="6:16" s="14" customFormat="1" x14ac:dyDescent="0.25"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</row>
    <row r="431" spans="6:16" s="14" customFormat="1" x14ac:dyDescent="0.25"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</row>
    <row r="432" spans="6:16" s="14" customFormat="1" x14ac:dyDescent="0.25"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</row>
    <row r="433" spans="6:16" s="14" customFormat="1" x14ac:dyDescent="0.25"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</row>
    <row r="434" spans="6:16" s="14" customFormat="1" x14ac:dyDescent="0.25"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</row>
    <row r="435" spans="6:16" s="14" customFormat="1" x14ac:dyDescent="0.25"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</row>
    <row r="436" spans="6:16" s="14" customFormat="1" x14ac:dyDescent="0.25"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</row>
    <row r="437" spans="6:16" s="14" customFormat="1" x14ac:dyDescent="0.25"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</row>
    <row r="438" spans="6:16" s="14" customFormat="1" x14ac:dyDescent="0.25"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</row>
    <row r="439" spans="6:16" s="14" customFormat="1" x14ac:dyDescent="0.25"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</row>
    <row r="440" spans="6:16" s="14" customFormat="1" x14ac:dyDescent="0.25"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</row>
    <row r="441" spans="6:16" s="14" customFormat="1" x14ac:dyDescent="0.25"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</row>
    <row r="442" spans="6:16" s="14" customFormat="1" x14ac:dyDescent="0.25"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</row>
    <row r="443" spans="6:16" s="14" customFormat="1" x14ac:dyDescent="0.25"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</row>
    <row r="444" spans="6:16" s="14" customFormat="1" x14ac:dyDescent="0.25"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</row>
    <row r="445" spans="6:16" s="14" customFormat="1" x14ac:dyDescent="0.25"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</row>
    <row r="446" spans="6:16" s="14" customFormat="1" x14ac:dyDescent="0.25"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</row>
    <row r="447" spans="6:16" s="14" customFormat="1" x14ac:dyDescent="0.25"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</row>
    <row r="448" spans="6:16" s="14" customFormat="1" x14ac:dyDescent="0.25"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</row>
    <row r="449" spans="6:16" s="14" customFormat="1" x14ac:dyDescent="0.25"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</row>
    <row r="450" spans="6:16" s="14" customFormat="1" x14ac:dyDescent="0.25"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</row>
    <row r="451" spans="6:16" s="14" customFormat="1" x14ac:dyDescent="0.25"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</row>
    <row r="452" spans="6:16" s="14" customFormat="1" x14ac:dyDescent="0.25"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</row>
    <row r="453" spans="6:16" s="14" customFormat="1" x14ac:dyDescent="0.25"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</row>
    <row r="454" spans="6:16" s="14" customFormat="1" x14ac:dyDescent="0.25"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</row>
    <row r="455" spans="6:16" s="14" customFormat="1" x14ac:dyDescent="0.25"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</row>
    <row r="456" spans="6:16" s="14" customFormat="1" x14ac:dyDescent="0.25"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</row>
    <row r="457" spans="6:16" s="14" customFormat="1" x14ac:dyDescent="0.25"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</row>
    <row r="458" spans="6:16" s="14" customFormat="1" x14ac:dyDescent="0.25"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</row>
    <row r="459" spans="6:16" s="14" customFormat="1" x14ac:dyDescent="0.25"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</row>
    <row r="460" spans="6:16" s="14" customFormat="1" x14ac:dyDescent="0.25"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</row>
    <row r="461" spans="6:16" s="14" customFormat="1" x14ac:dyDescent="0.25"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</row>
    <row r="462" spans="6:16" s="14" customFormat="1" x14ac:dyDescent="0.25"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</row>
    <row r="463" spans="6:16" s="14" customFormat="1" x14ac:dyDescent="0.25"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</row>
    <row r="464" spans="6:16" s="14" customFormat="1" x14ac:dyDescent="0.25"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</row>
    <row r="465" spans="6:16" s="14" customFormat="1" x14ac:dyDescent="0.25"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</row>
    <row r="466" spans="6:16" s="14" customFormat="1" x14ac:dyDescent="0.25"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</row>
    <row r="467" spans="6:16" s="14" customFormat="1" x14ac:dyDescent="0.25"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</row>
    <row r="468" spans="6:16" s="14" customFormat="1" x14ac:dyDescent="0.25"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</row>
    <row r="469" spans="6:16" s="14" customFormat="1" x14ac:dyDescent="0.25"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</row>
    <row r="470" spans="6:16" s="14" customFormat="1" x14ac:dyDescent="0.25"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</row>
    <row r="471" spans="6:16" s="14" customFormat="1" x14ac:dyDescent="0.25"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</row>
    <row r="472" spans="6:16" s="14" customFormat="1" x14ac:dyDescent="0.25"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</row>
    <row r="473" spans="6:16" s="14" customFormat="1" x14ac:dyDescent="0.25"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</row>
    <row r="474" spans="6:16" s="14" customFormat="1" x14ac:dyDescent="0.25"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</row>
    <row r="475" spans="6:16" s="14" customFormat="1" x14ac:dyDescent="0.25"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</row>
    <row r="476" spans="6:16" s="14" customFormat="1" x14ac:dyDescent="0.25"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</row>
    <row r="477" spans="6:16" s="14" customFormat="1" x14ac:dyDescent="0.25"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</row>
    <row r="478" spans="6:16" s="14" customFormat="1" x14ac:dyDescent="0.25"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</row>
    <row r="479" spans="6:16" s="14" customFormat="1" x14ac:dyDescent="0.25"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</row>
    <row r="480" spans="6:16" s="14" customFormat="1" x14ac:dyDescent="0.25"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</row>
    <row r="481" spans="6:16" s="14" customFormat="1" x14ac:dyDescent="0.25"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</row>
    <row r="482" spans="6:16" s="14" customFormat="1" x14ac:dyDescent="0.25"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</row>
    <row r="483" spans="6:16" s="14" customFormat="1" x14ac:dyDescent="0.25"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</row>
    <row r="484" spans="6:16" s="14" customFormat="1" x14ac:dyDescent="0.25"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</row>
    <row r="485" spans="6:16" s="14" customFormat="1" x14ac:dyDescent="0.25"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</row>
    <row r="486" spans="6:16" s="14" customFormat="1" x14ac:dyDescent="0.25"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</row>
    <row r="487" spans="6:16" s="14" customFormat="1" x14ac:dyDescent="0.25"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</row>
    <row r="488" spans="6:16" s="14" customFormat="1" x14ac:dyDescent="0.25"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</row>
    <row r="489" spans="6:16" s="14" customFormat="1" x14ac:dyDescent="0.25"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</row>
    <row r="490" spans="6:16" s="14" customFormat="1" x14ac:dyDescent="0.25"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</row>
    <row r="491" spans="6:16" s="14" customFormat="1" x14ac:dyDescent="0.25"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</row>
    <row r="492" spans="6:16" s="14" customFormat="1" x14ac:dyDescent="0.25"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</row>
    <row r="493" spans="6:16" s="14" customFormat="1" x14ac:dyDescent="0.25"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</row>
    <row r="494" spans="6:16" s="14" customFormat="1" x14ac:dyDescent="0.25"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</row>
    <row r="495" spans="6:16" s="14" customFormat="1" x14ac:dyDescent="0.25"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</row>
    <row r="496" spans="6:16" s="14" customFormat="1" x14ac:dyDescent="0.25"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</row>
    <row r="497" spans="6:16" s="14" customFormat="1" x14ac:dyDescent="0.25"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</row>
    <row r="498" spans="6:16" s="14" customFormat="1" x14ac:dyDescent="0.25"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</row>
    <row r="499" spans="6:16" s="14" customFormat="1" x14ac:dyDescent="0.25"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</row>
    <row r="500" spans="6:16" s="14" customFormat="1" x14ac:dyDescent="0.25"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</row>
    <row r="501" spans="6:16" s="14" customFormat="1" x14ac:dyDescent="0.25"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</row>
    <row r="502" spans="6:16" s="14" customFormat="1" x14ac:dyDescent="0.25"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</row>
    <row r="503" spans="6:16" s="14" customFormat="1" x14ac:dyDescent="0.25"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</row>
    <row r="504" spans="6:16" s="14" customFormat="1" x14ac:dyDescent="0.25"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</row>
    <row r="505" spans="6:16" s="14" customFormat="1" x14ac:dyDescent="0.25"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</row>
    <row r="506" spans="6:16" s="14" customFormat="1" x14ac:dyDescent="0.25"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</row>
    <row r="507" spans="6:16" s="14" customFormat="1" x14ac:dyDescent="0.25"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</row>
    <row r="508" spans="6:16" s="14" customFormat="1" x14ac:dyDescent="0.25"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</row>
    <row r="509" spans="6:16" s="14" customFormat="1" x14ac:dyDescent="0.25"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</row>
    <row r="510" spans="6:16" s="14" customFormat="1" x14ac:dyDescent="0.25"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</row>
    <row r="511" spans="6:16" s="14" customFormat="1" x14ac:dyDescent="0.25"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</row>
    <row r="512" spans="6:16" s="14" customFormat="1" x14ac:dyDescent="0.25"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</row>
    <row r="513" spans="6:16" s="14" customFormat="1" x14ac:dyDescent="0.25"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</row>
    <row r="514" spans="6:16" s="14" customFormat="1" x14ac:dyDescent="0.25"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</row>
    <row r="515" spans="6:16" s="14" customFormat="1" x14ac:dyDescent="0.25"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</row>
    <row r="516" spans="6:16" s="14" customFormat="1" x14ac:dyDescent="0.25"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</row>
    <row r="517" spans="6:16" s="14" customFormat="1" x14ac:dyDescent="0.25"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</row>
    <row r="518" spans="6:16" s="14" customFormat="1" x14ac:dyDescent="0.25"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</row>
    <row r="519" spans="6:16" s="14" customFormat="1" x14ac:dyDescent="0.25"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</row>
    <row r="520" spans="6:16" s="14" customFormat="1" x14ac:dyDescent="0.25"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</row>
    <row r="521" spans="6:16" s="14" customFormat="1" x14ac:dyDescent="0.25"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</row>
    <row r="522" spans="6:16" s="14" customFormat="1" x14ac:dyDescent="0.25"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</row>
    <row r="523" spans="6:16" s="14" customFormat="1" x14ac:dyDescent="0.25"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</row>
    <row r="524" spans="6:16" s="14" customFormat="1" x14ac:dyDescent="0.25"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</row>
    <row r="525" spans="6:16" s="14" customFormat="1" x14ac:dyDescent="0.25"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</row>
    <row r="526" spans="6:16" s="14" customFormat="1" x14ac:dyDescent="0.25"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</row>
    <row r="527" spans="6:16" s="14" customFormat="1" x14ac:dyDescent="0.25"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</row>
    <row r="528" spans="6:16" s="14" customFormat="1" x14ac:dyDescent="0.25"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</row>
    <row r="529" spans="6:16" s="14" customFormat="1" x14ac:dyDescent="0.25"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</row>
    <row r="530" spans="6:16" s="14" customFormat="1" x14ac:dyDescent="0.25"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</row>
    <row r="531" spans="6:16" s="14" customFormat="1" x14ac:dyDescent="0.25"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</row>
    <row r="532" spans="6:16" s="14" customFormat="1" x14ac:dyDescent="0.25"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</row>
    <row r="533" spans="6:16" s="14" customFormat="1" x14ac:dyDescent="0.25"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</row>
    <row r="534" spans="6:16" s="14" customFormat="1" x14ac:dyDescent="0.25"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</row>
    <row r="535" spans="6:16" s="14" customFormat="1" x14ac:dyDescent="0.25"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</row>
    <row r="536" spans="6:16" s="14" customFormat="1" x14ac:dyDescent="0.25"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</row>
    <row r="537" spans="6:16" s="14" customFormat="1" x14ac:dyDescent="0.25"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</row>
    <row r="538" spans="6:16" s="14" customFormat="1" x14ac:dyDescent="0.25"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</row>
    <row r="539" spans="6:16" s="14" customFormat="1" x14ac:dyDescent="0.25"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</row>
    <row r="540" spans="6:16" s="14" customFormat="1" x14ac:dyDescent="0.25"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</row>
    <row r="541" spans="6:16" s="14" customFormat="1" x14ac:dyDescent="0.25"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</row>
    <row r="542" spans="6:16" s="14" customFormat="1" x14ac:dyDescent="0.25"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</row>
    <row r="543" spans="6:16" s="14" customFormat="1" x14ac:dyDescent="0.25"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</row>
    <row r="544" spans="6:16" s="14" customFormat="1" x14ac:dyDescent="0.25"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</row>
    <row r="545" spans="6:16" s="14" customFormat="1" x14ac:dyDescent="0.25"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</row>
    <row r="546" spans="6:16" s="14" customFormat="1" x14ac:dyDescent="0.25"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</row>
    <row r="547" spans="6:16" s="14" customFormat="1" x14ac:dyDescent="0.25"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</row>
    <row r="548" spans="6:16" s="14" customFormat="1" x14ac:dyDescent="0.25"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</row>
    <row r="549" spans="6:16" s="14" customFormat="1" x14ac:dyDescent="0.25"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</row>
    <row r="550" spans="6:16" s="14" customFormat="1" x14ac:dyDescent="0.25"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</row>
    <row r="551" spans="6:16" s="14" customFormat="1" x14ac:dyDescent="0.25"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</row>
    <row r="552" spans="6:16" s="14" customFormat="1" x14ac:dyDescent="0.25"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</row>
    <row r="553" spans="6:16" s="14" customFormat="1" x14ac:dyDescent="0.25"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</row>
    <row r="554" spans="6:16" s="14" customFormat="1" x14ac:dyDescent="0.25"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</row>
    <row r="555" spans="6:16" s="14" customFormat="1" x14ac:dyDescent="0.25"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</row>
    <row r="556" spans="6:16" s="14" customFormat="1" x14ac:dyDescent="0.25"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</row>
    <row r="557" spans="6:16" s="14" customFormat="1" x14ac:dyDescent="0.25"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</row>
    <row r="558" spans="6:16" s="14" customFormat="1" x14ac:dyDescent="0.25"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</row>
    <row r="559" spans="6:16" s="14" customFormat="1" x14ac:dyDescent="0.25"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</row>
    <row r="560" spans="6:16" s="14" customFormat="1" x14ac:dyDescent="0.25"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</row>
    <row r="561" spans="6:16" s="14" customFormat="1" x14ac:dyDescent="0.25"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</row>
    <row r="562" spans="6:16" s="14" customFormat="1" x14ac:dyDescent="0.25"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</row>
    <row r="563" spans="6:16" s="14" customFormat="1" x14ac:dyDescent="0.25"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</row>
    <row r="564" spans="6:16" s="14" customFormat="1" x14ac:dyDescent="0.25"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</row>
    <row r="565" spans="6:16" s="14" customFormat="1" x14ac:dyDescent="0.25"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</row>
    <row r="566" spans="6:16" s="14" customFormat="1" x14ac:dyDescent="0.25"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</row>
    <row r="567" spans="6:16" s="14" customFormat="1" x14ac:dyDescent="0.25"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</row>
    <row r="568" spans="6:16" s="14" customFormat="1" x14ac:dyDescent="0.25"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</row>
    <row r="569" spans="6:16" s="14" customFormat="1" x14ac:dyDescent="0.25"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</row>
    <row r="570" spans="6:16" s="14" customFormat="1" x14ac:dyDescent="0.25"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</row>
    <row r="571" spans="6:16" s="14" customFormat="1" x14ac:dyDescent="0.25"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</row>
    <row r="572" spans="6:16" s="14" customFormat="1" x14ac:dyDescent="0.25"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</row>
    <row r="573" spans="6:16" s="14" customFormat="1" x14ac:dyDescent="0.25"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</row>
    <row r="574" spans="6:16" s="14" customFormat="1" x14ac:dyDescent="0.25"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</row>
    <row r="575" spans="6:16" s="14" customFormat="1" x14ac:dyDescent="0.25"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</row>
    <row r="576" spans="6:16" s="14" customFormat="1" x14ac:dyDescent="0.25"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</row>
    <row r="577" spans="6:16" s="14" customFormat="1" x14ac:dyDescent="0.25"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</row>
    <row r="578" spans="6:16" s="14" customFormat="1" x14ac:dyDescent="0.25"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</row>
    <row r="579" spans="6:16" s="14" customFormat="1" x14ac:dyDescent="0.25"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</row>
    <row r="580" spans="6:16" s="14" customFormat="1" x14ac:dyDescent="0.25"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</row>
    <row r="581" spans="6:16" s="14" customFormat="1" x14ac:dyDescent="0.25"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</row>
    <row r="582" spans="6:16" s="14" customFormat="1" x14ac:dyDescent="0.25"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</row>
    <row r="583" spans="6:16" s="14" customFormat="1" x14ac:dyDescent="0.25"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</row>
    <row r="584" spans="6:16" s="14" customFormat="1" x14ac:dyDescent="0.25"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</row>
    <row r="585" spans="6:16" s="14" customFormat="1" x14ac:dyDescent="0.25"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</row>
    <row r="586" spans="6:16" s="14" customFormat="1" x14ac:dyDescent="0.25"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</row>
    <row r="587" spans="6:16" s="14" customFormat="1" x14ac:dyDescent="0.25"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</row>
    <row r="588" spans="6:16" s="14" customFormat="1" x14ac:dyDescent="0.25"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</row>
    <row r="589" spans="6:16" s="14" customFormat="1" x14ac:dyDescent="0.25"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</row>
    <row r="590" spans="6:16" s="14" customFormat="1" x14ac:dyDescent="0.25"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</row>
    <row r="591" spans="6:16" s="14" customFormat="1" x14ac:dyDescent="0.25"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</row>
    <row r="592" spans="6:16" s="14" customFormat="1" x14ac:dyDescent="0.25"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</row>
    <row r="593" spans="6:16" s="14" customFormat="1" x14ac:dyDescent="0.25"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</row>
    <row r="594" spans="6:16" s="14" customFormat="1" x14ac:dyDescent="0.25"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</row>
    <row r="595" spans="6:16" s="14" customFormat="1" x14ac:dyDescent="0.25"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</row>
    <row r="596" spans="6:16" s="14" customFormat="1" x14ac:dyDescent="0.25"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</row>
    <row r="597" spans="6:16" s="14" customFormat="1" x14ac:dyDescent="0.25"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</row>
    <row r="598" spans="6:16" s="14" customFormat="1" x14ac:dyDescent="0.25"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</row>
    <row r="599" spans="6:16" s="14" customFormat="1" x14ac:dyDescent="0.25"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</row>
    <row r="600" spans="6:16" s="14" customFormat="1" x14ac:dyDescent="0.25"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</row>
    <row r="601" spans="6:16" s="14" customFormat="1" x14ac:dyDescent="0.25"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</row>
    <row r="602" spans="6:16" s="14" customFormat="1" x14ac:dyDescent="0.25"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</row>
    <row r="603" spans="6:16" s="14" customFormat="1" x14ac:dyDescent="0.25"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</row>
    <row r="604" spans="6:16" s="14" customFormat="1" x14ac:dyDescent="0.25"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</row>
    <row r="605" spans="6:16" s="14" customFormat="1" x14ac:dyDescent="0.25"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</row>
    <row r="606" spans="6:16" s="14" customFormat="1" x14ac:dyDescent="0.25"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</row>
    <row r="607" spans="6:16" s="14" customFormat="1" x14ac:dyDescent="0.25"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</row>
    <row r="608" spans="6:16" s="14" customFormat="1" x14ac:dyDescent="0.25"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</row>
    <row r="609" spans="6:16" s="14" customFormat="1" x14ac:dyDescent="0.25"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</row>
    <row r="610" spans="6:16" s="14" customFormat="1" x14ac:dyDescent="0.25"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</row>
    <row r="611" spans="6:16" s="14" customFormat="1" x14ac:dyDescent="0.25"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</row>
    <row r="612" spans="6:16" s="14" customFormat="1" x14ac:dyDescent="0.25"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</row>
    <row r="613" spans="6:16" s="14" customFormat="1" x14ac:dyDescent="0.25"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</row>
    <row r="614" spans="6:16" s="14" customFormat="1" x14ac:dyDescent="0.25"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</row>
    <row r="615" spans="6:16" s="14" customFormat="1" x14ac:dyDescent="0.25"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</row>
    <row r="616" spans="6:16" s="14" customFormat="1" x14ac:dyDescent="0.25"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</row>
    <row r="617" spans="6:16" s="14" customFormat="1" x14ac:dyDescent="0.25"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</row>
    <row r="618" spans="6:16" s="14" customFormat="1" x14ac:dyDescent="0.25"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</row>
    <row r="619" spans="6:16" s="14" customFormat="1" x14ac:dyDescent="0.25"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</row>
    <row r="620" spans="6:16" s="14" customFormat="1" x14ac:dyDescent="0.25"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</row>
    <row r="621" spans="6:16" s="14" customFormat="1" x14ac:dyDescent="0.25"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</row>
    <row r="622" spans="6:16" s="14" customFormat="1" x14ac:dyDescent="0.25"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</row>
    <row r="623" spans="6:16" s="14" customFormat="1" x14ac:dyDescent="0.25"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</row>
    <row r="624" spans="6:16" s="14" customFormat="1" x14ac:dyDescent="0.25"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</row>
    <row r="625" spans="6:16" s="14" customFormat="1" x14ac:dyDescent="0.25"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</row>
    <row r="626" spans="6:16" s="14" customFormat="1" x14ac:dyDescent="0.25"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</row>
    <row r="627" spans="6:16" s="14" customFormat="1" x14ac:dyDescent="0.25"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</row>
    <row r="628" spans="6:16" s="14" customFormat="1" x14ac:dyDescent="0.25"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</row>
    <row r="629" spans="6:16" s="14" customFormat="1" x14ac:dyDescent="0.25"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</row>
    <row r="630" spans="6:16" s="14" customFormat="1" x14ac:dyDescent="0.25"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</row>
    <row r="631" spans="6:16" s="14" customFormat="1" x14ac:dyDescent="0.25"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</row>
    <row r="632" spans="6:16" s="14" customFormat="1" x14ac:dyDescent="0.25"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</row>
    <row r="633" spans="6:16" s="14" customFormat="1" x14ac:dyDescent="0.25"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</row>
    <row r="634" spans="6:16" s="14" customFormat="1" x14ac:dyDescent="0.25"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</row>
    <row r="635" spans="6:16" s="14" customFormat="1" x14ac:dyDescent="0.25"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</row>
    <row r="636" spans="6:16" s="14" customFormat="1" x14ac:dyDescent="0.25"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</row>
    <row r="637" spans="6:16" s="14" customFormat="1" x14ac:dyDescent="0.25"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</row>
    <row r="638" spans="6:16" s="14" customFormat="1" x14ac:dyDescent="0.25"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</row>
    <row r="639" spans="6:16" s="14" customFormat="1" x14ac:dyDescent="0.25"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</row>
    <row r="640" spans="6:16" s="14" customFormat="1" x14ac:dyDescent="0.25"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</row>
    <row r="641" spans="6:16" s="14" customFormat="1" x14ac:dyDescent="0.25"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</row>
    <row r="642" spans="6:16" s="14" customFormat="1" x14ac:dyDescent="0.25"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</row>
    <row r="643" spans="6:16" s="14" customFormat="1" x14ac:dyDescent="0.25"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</row>
    <row r="644" spans="6:16" s="14" customFormat="1" x14ac:dyDescent="0.25"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</row>
    <row r="645" spans="6:16" s="14" customFormat="1" x14ac:dyDescent="0.25"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</row>
    <row r="646" spans="6:16" s="14" customFormat="1" x14ac:dyDescent="0.25"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</row>
    <row r="647" spans="6:16" s="14" customFormat="1" x14ac:dyDescent="0.25"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</row>
    <row r="648" spans="6:16" s="14" customFormat="1" x14ac:dyDescent="0.25"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</row>
    <row r="649" spans="6:16" s="14" customFormat="1" x14ac:dyDescent="0.25"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</row>
    <row r="650" spans="6:16" s="14" customFormat="1" x14ac:dyDescent="0.25"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</row>
    <row r="651" spans="6:16" s="14" customFormat="1" x14ac:dyDescent="0.25"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</row>
    <row r="652" spans="6:16" s="14" customFormat="1" x14ac:dyDescent="0.25"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</row>
    <row r="653" spans="6:16" s="14" customFormat="1" x14ac:dyDescent="0.25"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</row>
    <row r="654" spans="6:16" s="14" customFormat="1" x14ac:dyDescent="0.25"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</row>
    <row r="655" spans="6:16" s="14" customFormat="1" x14ac:dyDescent="0.25"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</row>
    <row r="656" spans="6:16" s="14" customFormat="1" x14ac:dyDescent="0.25"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</row>
    <row r="657" spans="6:16" s="14" customFormat="1" x14ac:dyDescent="0.25"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</row>
    <row r="658" spans="6:16" s="14" customFormat="1" x14ac:dyDescent="0.25"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</row>
    <row r="659" spans="6:16" s="14" customFormat="1" x14ac:dyDescent="0.25"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</row>
    <row r="660" spans="6:16" s="14" customFormat="1" x14ac:dyDescent="0.25"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</row>
    <row r="661" spans="6:16" s="14" customFormat="1" x14ac:dyDescent="0.25"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</row>
    <row r="662" spans="6:16" s="14" customFormat="1" x14ac:dyDescent="0.25"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</row>
    <row r="663" spans="6:16" s="14" customFormat="1" x14ac:dyDescent="0.25"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</row>
    <row r="664" spans="6:16" s="14" customFormat="1" x14ac:dyDescent="0.25"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</row>
    <row r="665" spans="6:16" s="14" customFormat="1" x14ac:dyDescent="0.25"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</row>
    <row r="666" spans="6:16" s="14" customFormat="1" x14ac:dyDescent="0.25"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</row>
    <row r="667" spans="6:16" s="14" customFormat="1" x14ac:dyDescent="0.25"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</row>
    <row r="668" spans="6:16" s="14" customFormat="1" x14ac:dyDescent="0.25"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</row>
    <row r="669" spans="6:16" s="14" customFormat="1" x14ac:dyDescent="0.25"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</row>
    <row r="670" spans="6:16" s="14" customFormat="1" x14ac:dyDescent="0.25"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</row>
    <row r="671" spans="6:16" s="14" customFormat="1" x14ac:dyDescent="0.25"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</row>
    <row r="672" spans="6:16" s="14" customFormat="1" x14ac:dyDescent="0.25"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</row>
    <row r="673" spans="6:16" s="14" customFormat="1" x14ac:dyDescent="0.25"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</row>
    <row r="674" spans="6:16" s="14" customFormat="1" x14ac:dyDescent="0.25"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</row>
    <row r="675" spans="6:16" s="14" customFormat="1" x14ac:dyDescent="0.25"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</row>
    <row r="676" spans="6:16" s="14" customFormat="1" x14ac:dyDescent="0.25"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</row>
    <row r="677" spans="6:16" s="14" customFormat="1" x14ac:dyDescent="0.25"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</row>
    <row r="678" spans="6:16" s="14" customFormat="1" x14ac:dyDescent="0.25"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</row>
    <row r="679" spans="6:16" s="14" customFormat="1" x14ac:dyDescent="0.25"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</row>
    <row r="680" spans="6:16" s="14" customFormat="1" x14ac:dyDescent="0.25"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</row>
    <row r="681" spans="6:16" s="14" customFormat="1" x14ac:dyDescent="0.25"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</row>
    <row r="682" spans="6:16" s="14" customFormat="1" x14ac:dyDescent="0.25"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</row>
    <row r="683" spans="6:16" s="14" customFormat="1" x14ac:dyDescent="0.25"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</row>
    <row r="684" spans="6:16" s="14" customFormat="1" x14ac:dyDescent="0.25"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</row>
    <row r="685" spans="6:16" s="14" customFormat="1" x14ac:dyDescent="0.25"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</row>
    <row r="686" spans="6:16" s="14" customFormat="1" x14ac:dyDescent="0.25"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</row>
    <row r="687" spans="6:16" s="14" customFormat="1" x14ac:dyDescent="0.25"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</row>
    <row r="688" spans="6:16" s="14" customFormat="1" x14ac:dyDescent="0.25"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</row>
    <row r="689" spans="6:16" s="14" customFormat="1" x14ac:dyDescent="0.25"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</row>
    <row r="690" spans="6:16" s="14" customFormat="1" x14ac:dyDescent="0.25"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</row>
    <row r="691" spans="6:16" s="14" customFormat="1" x14ac:dyDescent="0.25"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</row>
    <row r="692" spans="6:16" s="14" customFormat="1" x14ac:dyDescent="0.25"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</row>
    <row r="693" spans="6:16" s="14" customFormat="1" x14ac:dyDescent="0.25"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</row>
    <row r="694" spans="6:16" s="14" customFormat="1" x14ac:dyDescent="0.25"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</row>
    <row r="695" spans="6:16" s="14" customFormat="1" x14ac:dyDescent="0.25"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</row>
    <row r="696" spans="6:16" s="14" customFormat="1" x14ac:dyDescent="0.25"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</row>
    <row r="697" spans="6:16" s="14" customFormat="1" x14ac:dyDescent="0.25"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</row>
    <row r="698" spans="6:16" s="14" customFormat="1" x14ac:dyDescent="0.25"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</row>
    <row r="699" spans="6:16" s="14" customFormat="1" x14ac:dyDescent="0.25"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</row>
    <row r="700" spans="6:16" s="14" customFormat="1" x14ac:dyDescent="0.25"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</row>
    <row r="701" spans="6:16" s="14" customFormat="1" x14ac:dyDescent="0.25"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</row>
    <row r="702" spans="6:16" s="14" customFormat="1" x14ac:dyDescent="0.25"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</row>
    <row r="703" spans="6:16" s="14" customFormat="1" x14ac:dyDescent="0.25"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</row>
    <row r="704" spans="6:16" s="14" customFormat="1" x14ac:dyDescent="0.25"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</row>
    <row r="705" spans="6:16" s="14" customFormat="1" x14ac:dyDescent="0.25"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</row>
    <row r="706" spans="6:16" s="14" customFormat="1" x14ac:dyDescent="0.25"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</row>
    <row r="707" spans="6:16" s="14" customFormat="1" x14ac:dyDescent="0.25"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</row>
    <row r="708" spans="6:16" s="14" customFormat="1" x14ac:dyDescent="0.25"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</row>
    <row r="709" spans="6:16" s="14" customFormat="1" x14ac:dyDescent="0.25"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</row>
    <row r="710" spans="6:16" s="14" customFormat="1" x14ac:dyDescent="0.25"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</row>
    <row r="711" spans="6:16" s="14" customFormat="1" x14ac:dyDescent="0.25"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</row>
    <row r="712" spans="6:16" s="14" customFormat="1" x14ac:dyDescent="0.25"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</row>
    <row r="713" spans="6:16" s="14" customFormat="1" x14ac:dyDescent="0.25"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</row>
    <row r="714" spans="6:16" s="14" customFormat="1" x14ac:dyDescent="0.25"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</row>
    <row r="715" spans="6:16" s="14" customFormat="1" x14ac:dyDescent="0.25"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</row>
    <row r="716" spans="6:16" s="14" customFormat="1" x14ac:dyDescent="0.25"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</row>
    <row r="717" spans="6:16" s="14" customFormat="1" x14ac:dyDescent="0.25"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</row>
    <row r="718" spans="6:16" s="14" customFormat="1" x14ac:dyDescent="0.25"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</row>
    <row r="719" spans="6:16" s="14" customFormat="1" x14ac:dyDescent="0.25"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</row>
    <row r="720" spans="6:16" s="14" customFormat="1" x14ac:dyDescent="0.25"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</row>
    <row r="721" spans="6:16" s="14" customFormat="1" x14ac:dyDescent="0.25"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</row>
    <row r="722" spans="6:16" s="14" customFormat="1" x14ac:dyDescent="0.25"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</row>
    <row r="723" spans="6:16" s="14" customFormat="1" x14ac:dyDescent="0.25"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</row>
    <row r="724" spans="6:16" s="14" customFormat="1" x14ac:dyDescent="0.25"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</row>
    <row r="725" spans="6:16" s="14" customFormat="1" x14ac:dyDescent="0.25"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</row>
    <row r="726" spans="6:16" s="14" customFormat="1" x14ac:dyDescent="0.25"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</row>
    <row r="727" spans="6:16" s="14" customFormat="1" x14ac:dyDescent="0.25"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</row>
    <row r="728" spans="6:16" s="14" customFormat="1" x14ac:dyDescent="0.25"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</row>
    <row r="729" spans="6:16" s="14" customFormat="1" x14ac:dyDescent="0.25"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</row>
    <row r="730" spans="6:16" s="14" customFormat="1" x14ac:dyDescent="0.25"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</row>
    <row r="731" spans="6:16" s="14" customFormat="1" x14ac:dyDescent="0.25"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</row>
    <row r="732" spans="6:16" s="14" customFormat="1" x14ac:dyDescent="0.25"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</row>
    <row r="733" spans="6:16" s="14" customFormat="1" x14ac:dyDescent="0.25"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</row>
    <row r="734" spans="6:16" s="14" customFormat="1" x14ac:dyDescent="0.25"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</row>
    <row r="735" spans="6:16" s="14" customFormat="1" x14ac:dyDescent="0.25"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</row>
    <row r="736" spans="6:16" s="14" customFormat="1" x14ac:dyDescent="0.25"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</row>
    <row r="737" spans="6:16" s="14" customFormat="1" x14ac:dyDescent="0.25"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</row>
    <row r="738" spans="6:16" s="14" customFormat="1" x14ac:dyDescent="0.25"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</row>
    <row r="739" spans="6:16" s="14" customFormat="1" x14ac:dyDescent="0.25"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</row>
    <row r="740" spans="6:16" s="14" customFormat="1" x14ac:dyDescent="0.25"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</row>
    <row r="741" spans="6:16" s="14" customFormat="1" x14ac:dyDescent="0.25"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</row>
    <row r="742" spans="6:16" s="14" customFormat="1" x14ac:dyDescent="0.25"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</row>
    <row r="743" spans="6:16" s="14" customFormat="1" x14ac:dyDescent="0.25"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</row>
    <row r="744" spans="6:16" s="14" customFormat="1" x14ac:dyDescent="0.25"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</row>
    <row r="745" spans="6:16" s="14" customFormat="1" x14ac:dyDescent="0.25"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</row>
    <row r="746" spans="6:16" s="14" customFormat="1" x14ac:dyDescent="0.25"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</row>
    <row r="747" spans="6:16" s="14" customFormat="1" x14ac:dyDescent="0.25"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</row>
    <row r="748" spans="6:16" s="14" customFormat="1" x14ac:dyDescent="0.25"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</row>
    <row r="749" spans="6:16" s="14" customFormat="1" x14ac:dyDescent="0.25"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</row>
    <row r="750" spans="6:16" s="14" customFormat="1" x14ac:dyDescent="0.25"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</row>
    <row r="751" spans="6:16" s="14" customFormat="1" x14ac:dyDescent="0.25"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</row>
    <row r="752" spans="6:16" s="14" customFormat="1" x14ac:dyDescent="0.25"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</row>
    <row r="753" spans="6:16" s="14" customFormat="1" x14ac:dyDescent="0.25"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</row>
    <row r="754" spans="6:16" s="14" customFormat="1" x14ac:dyDescent="0.25"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</row>
    <row r="755" spans="6:16" s="14" customFormat="1" x14ac:dyDescent="0.25"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</row>
    <row r="756" spans="6:16" s="14" customFormat="1" x14ac:dyDescent="0.25"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</row>
    <row r="757" spans="6:16" s="14" customFormat="1" x14ac:dyDescent="0.25"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</row>
    <row r="758" spans="6:16" s="14" customFormat="1" x14ac:dyDescent="0.25"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</row>
    <row r="759" spans="6:16" s="14" customFormat="1" x14ac:dyDescent="0.25"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</row>
    <row r="760" spans="6:16" s="14" customFormat="1" x14ac:dyDescent="0.25"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</row>
    <row r="761" spans="6:16" s="14" customFormat="1" x14ac:dyDescent="0.25"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</row>
    <row r="762" spans="6:16" s="14" customFormat="1" x14ac:dyDescent="0.25"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</row>
    <row r="763" spans="6:16" s="14" customFormat="1" x14ac:dyDescent="0.25"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</row>
    <row r="764" spans="6:16" s="14" customFormat="1" x14ac:dyDescent="0.25"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</row>
    <row r="765" spans="6:16" s="14" customFormat="1" x14ac:dyDescent="0.25"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</row>
    <row r="766" spans="6:16" s="14" customFormat="1" x14ac:dyDescent="0.25"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</row>
    <row r="767" spans="6:16" s="14" customFormat="1" x14ac:dyDescent="0.25"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</row>
    <row r="768" spans="6:16" s="14" customFormat="1" x14ac:dyDescent="0.25"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</row>
    <row r="769" spans="6:16" s="14" customFormat="1" x14ac:dyDescent="0.25"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</row>
    <row r="770" spans="6:16" s="14" customFormat="1" x14ac:dyDescent="0.25"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</row>
    <row r="771" spans="6:16" s="14" customFormat="1" x14ac:dyDescent="0.25"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</row>
    <row r="772" spans="6:16" s="14" customFormat="1" x14ac:dyDescent="0.25"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</row>
    <row r="773" spans="6:16" s="14" customFormat="1" x14ac:dyDescent="0.25"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</row>
    <row r="774" spans="6:16" s="14" customFormat="1" x14ac:dyDescent="0.25"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</row>
    <row r="775" spans="6:16" s="14" customFormat="1" x14ac:dyDescent="0.25"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</row>
    <row r="776" spans="6:16" s="14" customFormat="1" x14ac:dyDescent="0.25"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</row>
    <row r="777" spans="6:16" s="14" customFormat="1" x14ac:dyDescent="0.25"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</row>
    <row r="778" spans="6:16" s="14" customFormat="1" x14ac:dyDescent="0.25"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</row>
    <row r="779" spans="6:16" s="14" customFormat="1" x14ac:dyDescent="0.25"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</row>
    <row r="780" spans="6:16" s="14" customFormat="1" x14ac:dyDescent="0.25"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</row>
    <row r="781" spans="6:16" s="14" customFormat="1" x14ac:dyDescent="0.25"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</row>
    <row r="782" spans="6:16" s="14" customFormat="1" x14ac:dyDescent="0.25"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</row>
    <row r="783" spans="6:16" s="14" customFormat="1" x14ac:dyDescent="0.25"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</row>
    <row r="784" spans="6:16" s="14" customFormat="1" x14ac:dyDescent="0.25"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</row>
    <row r="785" spans="6:16" s="14" customFormat="1" x14ac:dyDescent="0.25"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</row>
    <row r="786" spans="6:16" s="14" customFormat="1" x14ac:dyDescent="0.25"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</row>
    <row r="787" spans="6:16" s="14" customFormat="1" x14ac:dyDescent="0.25"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</row>
    <row r="788" spans="6:16" s="14" customFormat="1" x14ac:dyDescent="0.25"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</row>
    <row r="789" spans="6:16" s="14" customFormat="1" x14ac:dyDescent="0.25"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</row>
    <row r="790" spans="6:16" s="14" customFormat="1" x14ac:dyDescent="0.25"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</row>
    <row r="791" spans="6:16" s="14" customFormat="1" x14ac:dyDescent="0.25"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</row>
    <row r="792" spans="6:16" s="14" customFormat="1" x14ac:dyDescent="0.25"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</row>
    <row r="793" spans="6:16" s="14" customFormat="1" x14ac:dyDescent="0.25"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</row>
    <row r="794" spans="6:16" s="14" customFormat="1" x14ac:dyDescent="0.25"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</row>
    <row r="795" spans="6:16" s="14" customFormat="1" x14ac:dyDescent="0.25"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</row>
    <row r="796" spans="6:16" s="14" customFormat="1" x14ac:dyDescent="0.25"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</row>
    <row r="797" spans="6:16" s="14" customFormat="1" x14ac:dyDescent="0.25"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</row>
    <row r="798" spans="6:16" s="14" customFormat="1" x14ac:dyDescent="0.25"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</row>
    <row r="799" spans="6:16" s="14" customFormat="1" x14ac:dyDescent="0.25"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</row>
    <row r="800" spans="6:16" s="14" customFormat="1" x14ac:dyDescent="0.25"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</row>
    <row r="801" spans="6:16" s="14" customFormat="1" x14ac:dyDescent="0.25"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</row>
    <row r="802" spans="6:16" s="14" customFormat="1" x14ac:dyDescent="0.25"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</row>
    <row r="803" spans="6:16" s="14" customFormat="1" x14ac:dyDescent="0.25"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</row>
    <row r="804" spans="6:16" s="14" customFormat="1" x14ac:dyDescent="0.25"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</row>
    <row r="805" spans="6:16" s="14" customFormat="1" x14ac:dyDescent="0.25"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</row>
    <row r="806" spans="6:16" s="14" customFormat="1" x14ac:dyDescent="0.25"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</row>
    <row r="807" spans="6:16" s="14" customFormat="1" x14ac:dyDescent="0.25"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</row>
    <row r="808" spans="6:16" s="14" customFormat="1" x14ac:dyDescent="0.25"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</row>
    <row r="809" spans="6:16" s="14" customFormat="1" x14ac:dyDescent="0.25"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</row>
    <row r="810" spans="6:16" s="14" customFormat="1" x14ac:dyDescent="0.25"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</row>
    <row r="811" spans="6:16" s="14" customFormat="1" x14ac:dyDescent="0.25"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</row>
    <row r="812" spans="6:16" s="14" customFormat="1" x14ac:dyDescent="0.25"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</row>
    <row r="813" spans="6:16" s="14" customFormat="1" x14ac:dyDescent="0.25"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</row>
    <row r="814" spans="6:16" s="14" customFormat="1" x14ac:dyDescent="0.25"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</row>
    <row r="815" spans="6:16" s="14" customFormat="1" x14ac:dyDescent="0.25"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</row>
    <row r="816" spans="6:16" s="14" customFormat="1" x14ac:dyDescent="0.25"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</row>
    <row r="817" spans="6:16" s="14" customFormat="1" x14ac:dyDescent="0.25"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</row>
    <row r="818" spans="6:16" s="14" customFormat="1" x14ac:dyDescent="0.25"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</row>
    <row r="819" spans="6:16" s="14" customFormat="1" x14ac:dyDescent="0.25"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</row>
    <row r="820" spans="6:16" s="14" customFormat="1" x14ac:dyDescent="0.25"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</row>
    <row r="821" spans="6:16" s="14" customFormat="1" x14ac:dyDescent="0.25"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</row>
    <row r="822" spans="6:16" s="14" customFormat="1" x14ac:dyDescent="0.25"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</row>
    <row r="823" spans="6:16" s="14" customFormat="1" x14ac:dyDescent="0.25"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</row>
    <row r="824" spans="6:16" s="14" customFormat="1" x14ac:dyDescent="0.25"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</row>
    <row r="825" spans="6:16" s="14" customFormat="1" x14ac:dyDescent="0.25"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</row>
    <row r="826" spans="6:16" s="14" customFormat="1" x14ac:dyDescent="0.25"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</row>
    <row r="827" spans="6:16" s="14" customFormat="1" x14ac:dyDescent="0.25"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</row>
    <row r="828" spans="6:16" s="14" customFormat="1" x14ac:dyDescent="0.25"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</row>
    <row r="829" spans="6:16" s="14" customFormat="1" x14ac:dyDescent="0.25"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</row>
    <row r="830" spans="6:16" s="14" customFormat="1" x14ac:dyDescent="0.25"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</row>
    <row r="831" spans="6:16" s="14" customFormat="1" x14ac:dyDescent="0.25"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</row>
    <row r="832" spans="6:16" s="14" customFormat="1" x14ac:dyDescent="0.25"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</row>
    <row r="833" spans="6:16" s="14" customFormat="1" x14ac:dyDescent="0.25"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</row>
    <row r="834" spans="6:16" s="14" customFormat="1" x14ac:dyDescent="0.25"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</row>
    <row r="835" spans="6:16" s="14" customFormat="1" x14ac:dyDescent="0.25"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</row>
    <row r="836" spans="6:16" s="14" customFormat="1" x14ac:dyDescent="0.25"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</row>
    <row r="837" spans="6:16" s="14" customFormat="1" x14ac:dyDescent="0.25"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</row>
    <row r="838" spans="6:16" s="14" customFormat="1" x14ac:dyDescent="0.25"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</row>
    <row r="839" spans="6:16" s="14" customFormat="1" x14ac:dyDescent="0.25"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</row>
    <row r="840" spans="6:16" s="14" customFormat="1" x14ac:dyDescent="0.25"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</row>
    <row r="841" spans="6:16" s="14" customFormat="1" x14ac:dyDescent="0.25"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</row>
    <row r="842" spans="6:16" s="14" customFormat="1" x14ac:dyDescent="0.25"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</row>
    <row r="843" spans="6:16" s="14" customFormat="1" x14ac:dyDescent="0.25"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</row>
    <row r="844" spans="6:16" s="14" customFormat="1" x14ac:dyDescent="0.25"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</row>
    <row r="845" spans="6:16" s="14" customFormat="1" x14ac:dyDescent="0.25"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</row>
    <row r="846" spans="6:16" s="14" customFormat="1" x14ac:dyDescent="0.25"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</row>
    <row r="847" spans="6:16" s="14" customFormat="1" x14ac:dyDescent="0.25"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</row>
    <row r="848" spans="6:16" s="14" customFormat="1" x14ac:dyDescent="0.25"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</row>
    <row r="849" spans="6:16" s="14" customFormat="1" x14ac:dyDescent="0.25"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</row>
    <row r="850" spans="6:16" s="14" customFormat="1" x14ac:dyDescent="0.25"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</row>
    <row r="851" spans="6:16" s="14" customFormat="1" x14ac:dyDescent="0.25"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</row>
    <row r="852" spans="6:16" s="14" customFormat="1" x14ac:dyDescent="0.25"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</row>
    <row r="853" spans="6:16" s="14" customFormat="1" x14ac:dyDescent="0.25"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</row>
    <row r="854" spans="6:16" s="14" customFormat="1" x14ac:dyDescent="0.25"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</row>
    <row r="855" spans="6:16" s="14" customFormat="1" x14ac:dyDescent="0.25"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</row>
    <row r="856" spans="6:16" s="14" customFormat="1" x14ac:dyDescent="0.25"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</row>
    <row r="857" spans="6:16" s="14" customFormat="1" x14ac:dyDescent="0.25"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</row>
    <row r="858" spans="6:16" s="14" customFormat="1" x14ac:dyDescent="0.25"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</row>
    <row r="859" spans="6:16" s="14" customFormat="1" x14ac:dyDescent="0.25"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</row>
    <row r="860" spans="6:16" s="14" customFormat="1" x14ac:dyDescent="0.25"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</row>
    <row r="861" spans="6:16" s="14" customFormat="1" x14ac:dyDescent="0.25"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</row>
    <row r="862" spans="6:16" s="14" customFormat="1" x14ac:dyDescent="0.25"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</row>
    <row r="863" spans="6:16" s="14" customFormat="1" x14ac:dyDescent="0.25"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</row>
    <row r="864" spans="6:16" s="14" customFormat="1" x14ac:dyDescent="0.25"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</row>
    <row r="865" spans="6:16" s="14" customFormat="1" x14ac:dyDescent="0.25"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</row>
    <row r="866" spans="6:16" s="14" customFormat="1" x14ac:dyDescent="0.25"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</row>
    <row r="867" spans="6:16" s="14" customFormat="1" x14ac:dyDescent="0.25"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</row>
    <row r="868" spans="6:16" s="14" customFormat="1" x14ac:dyDescent="0.25"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</row>
    <row r="869" spans="6:16" s="14" customFormat="1" x14ac:dyDescent="0.25"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</row>
    <row r="870" spans="6:16" s="14" customFormat="1" x14ac:dyDescent="0.25"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</row>
    <row r="871" spans="6:16" s="14" customFormat="1" x14ac:dyDescent="0.25"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</row>
    <row r="872" spans="6:16" s="14" customFormat="1" x14ac:dyDescent="0.25"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</row>
    <row r="873" spans="6:16" s="14" customFormat="1" x14ac:dyDescent="0.25"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</row>
    <row r="874" spans="6:16" s="14" customFormat="1" x14ac:dyDescent="0.25"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</row>
    <row r="875" spans="6:16" s="14" customFormat="1" x14ac:dyDescent="0.25"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</row>
    <row r="876" spans="6:16" s="14" customFormat="1" x14ac:dyDescent="0.25"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</row>
    <row r="877" spans="6:16" s="14" customFormat="1" x14ac:dyDescent="0.25"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</row>
    <row r="878" spans="6:16" s="14" customFormat="1" x14ac:dyDescent="0.25"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</row>
    <row r="879" spans="6:16" s="14" customFormat="1" x14ac:dyDescent="0.25"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</row>
    <row r="880" spans="6:16" s="14" customFormat="1" x14ac:dyDescent="0.25"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</row>
    <row r="881" spans="6:16" s="14" customFormat="1" x14ac:dyDescent="0.25"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</row>
    <row r="882" spans="6:16" s="14" customFormat="1" x14ac:dyDescent="0.25"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</row>
    <row r="883" spans="6:16" s="14" customFormat="1" x14ac:dyDescent="0.25"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</row>
    <row r="884" spans="6:16" s="14" customFormat="1" x14ac:dyDescent="0.25"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</row>
    <row r="885" spans="6:16" s="14" customFormat="1" x14ac:dyDescent="0.25"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</row>
    <row r="886" spans="6:16" s="14" customFormat="1" x14ac:dyDescent="0.25"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</row>
    <row r="887" spans="6:16" s="14" customFormat="1" x14ac:dyDescent="0.25"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</row>
    <row r="888" spans="6:16" s="14" customFormat="1" x14ac:dyDescent="0.25"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</row>
    <row r="889" spans="6:16" s="14" customFormat="1" x14ac:dyDescent="0.25"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</row>
    <row r="890" spans="6:16" s="14" customFormat="1" x14ac:dyDescent="0.25"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</row>
    <row r="891" spans="6:16" s="14" customFormat="1" x14ac:dyDescent="0.25"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</row>
    <row r="892" spans="6:16" s="14" customFormat="1" x14ac:dyDescent="0.25"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</row>
    <row r="893" spans="6:16" s="14" customFormat="1" x14ac:dyDescent="0.25"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</row>
    <row r="894" spans="6:16" s="14" customFormat="1" x14ac:dyDescent="0.25"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</row>
    <row r="895" spans="6:16" s="14" customFormat="1" x14ac:dyDescent="0.25"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</row>
    <row r="896" spans="6:16" s="14" customFormat="1" x14ac:dyDescent="0.25"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</row>
    <row r="897" spans="6:16" s="14" customFormat="1" x14ac:dyDescent="0.25"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</row>
    <row r="898" spans="6:16" s="14" customFormat="1" x14ac:dyDescent="0.25"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</row>
    <row r="899" spans="6:16" s="14" customFormat="1" x14ac:dyDescent="0.25"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</row>
    <row r="900" spans="6:16" s="14" customFormat="1" x14ac:dyDescent="0.25"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</row>
    <row r="901" spans="6:16" s="14" customFormat="1" x14ac:dyDescent="0.25"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</row>
    <row r="902" spans="6:16" s="14" customFormat="1" x14ac:dyDescent="0.25"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</row>
    <row r="903" spans="6:16" s="14" customFormat="1" x14ac:dyDescent="0.25"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</row>
    <row r="904" spans="6:16" s="14" customFormat="1" x14ac:dyDescent="0.25"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</row>
    <row r="905" spans="6:16" s="14" customFormat="1" x14ac:dyDescent="0.25"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</row>
    <row r="906" spans="6:16" s="14" customFormat="1" x14ac:dyDescent="0.25"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</row>
    <row r="907" spans="6:16" s="14" customFormat="1" x14ac:dyDescent="0.25"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</row>
    <row r="908" spans="6:16" s="14" customFormat="1" x14ac:dyDescent="0.25"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</row>
    <row r="909" spans="6:16" s="14" customFormat="1" x14ac:dyDescent="0.25"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</row>
    <row r="910" spans="6:16" s="14" customFormat="1" x14ac:dyDescent="0.25"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</row>
    <row r="911" spans="6:16" s="14" customFormat="1" x14ac:dyDescent="0.25"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</row>
    <row r="912" spans="6:16" s="14" customFormat="1" x14ac:dyDescent="0.25"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</row>
    <row r="913" spans="6:16" s="14" customFormat="1" x14ac:dyDescent="0.25"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</row>
    <row r="914" spans="6:16" s="14" customFormat="1" x14ac:dyDescent="0.25"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</row>
    <row r="915" spans="6:16" s="14" customFormat="1" x14ac:dyDescent="0.25"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</row>
    <row r="916" spans="6:16" s="14" customFormat="1" x14ac:dyDescent="0.25"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</row>
    <row r="917" spans="6:16" s="14" customFormat="1" x14ac:dyDescent="0.25"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</row>
    <row r="918" spans="6:16" s="14" customFormat="1" x14ac:dyDescent="0.25"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</row>
    <row r="919" spans="6:16" s="14" customFormat="1" x14ac:dyDescent="0.25"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</row>
    <row r="920" spans="6:16" s="14" customFormat="1" x14ac:dyDescent="0.25"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</row>
    <row r="921" spans="6:16" s="14" customFormat="1" x14ac:dyDescent="0.25"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</row>
    <row r="922" spans="6:16" s="14" customFormat="1" x14ac:dyDescent="0.25"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</row>
    <row r="923" spans="6:16" s="14" customFormat="1" x14ac:dyDescent="0.25"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</row>
    <row r="924" spans="6:16" s="14" customFormat="1" x14ac:dyDescent="0.25"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</row>
    <row r="925" spans="6:16" s="14" customFormat="1" x14ac:dyDescent="0.25"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</row>
    <row r="926" spans="6:16" s="14" customFormat="1" x14ac:dyDescent="0.25"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</row>
    <row r="927" spans="6:16" s="14" customFormat="1" x14ac:dyDescent="0.25"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</row>
    <row r="928" spans="6:16" s="14" customFormat="1" x14ac:dyDescent="0.25"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</row>
    <row r="929" spans="6:16" s="14" customFormat="1" x14ac:dyDescent="0.25"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</row>
    <row r="930" spans="6:16" s="14" customFormat="1" x14ac:dyDescent="0.25"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</row>
    <row r="931" spans="6:16" s="14" customFormat="1" x14ac:dyDescent="0.25"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</row>
    <row r="932" spans="6:16" s="14" customFormat="1" x14ac:dyDescent="0.25"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</row>
    <row r="933" spans="6:16" s="14" customFormat="1" x14ac:dyDescent="0.25"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</row>
    <row r="934" spans="6:16" s="14" customFormat="1" x14ac:dyDescent="0.25"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</row>
    <row r="935" spans="6:16" s="14" customFormat="1" x14ac:dyDescent="0.25"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</row>
    <row r="936" spans="6:16" s="14" customFormat="1" x14ac:dyDescent="0.25"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</row>
    <row r="937" spans="6:16" s="14" customFormat="1" x14ac:dyDescent="0.25"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</row>
    <row r="938" spans="6:16" s="14" customFormat="1" x14ac:dyDescent="0.25"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</row>
    <row r="939" spans="6:16" s="14" customFormat="1" x14ac:dyDescent="0.25"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</row>
    <row r="940" spans="6:16" s="14" customFormat="1" x14ac:dyDescent="0.25"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</row>
    <row r="941" spans="6:16" s="14" customFormat="1" x14ac:dyDescent="0.25"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</row>
    <row r="942" spans="6:16" s="14" customFormat="1" x14ac:dyDescent="0.25"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</row>
    <row r="943" spans="6:16" s="14" customFormat="1" x14ac:dyDescent="0.25"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</row>
    <row r="944" spans="6:16" s="14" customFormat="1" x14ac:dyDescent="0.25"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</row>
    <row r="945" spans="6:16" s="14" customFormat="1" x14ac:dyDescent="0.25"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</row>
    <row r="946" spans="6:16" s="14" customFormat="1" x14ac:dyDescent="0.25"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</row>
    <row r="947" spans="6:16" s="14" customFormat="1" x14ac:dyDescent="0.25"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</row>
    <row r="948" spans="6:16" s="14" customFormat="1" x14ac:dyDescent="0.25"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</row>
    <row r="949" spans="6:16" s="14" customFormat="1" x14ac:dyDescent="0.25"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</row>
    <row r="950" spans="6:16" s="14" customFormat="1" x14ac:dyDescent="0.25"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</row>
    <row r="951" spans="6:16" s="14" customFormat="1" x14ac:dyDescent="0.25"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</row>
    <row r="952" spans="6:16" s="14" customFormat="1" x14ac:dyDescent="0.25"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</row>
    <row r="953" spans="6:16" s="14" customFormat="1" x14ac:dyDescent="0.25"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</row>
    <row r="954" spans="6:16" s="14" customFormat="1" x14ac:dyDescent="0.25"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</row>
    <row r="955" spans="6:16" s="14" customFormat="1" x14ac:dyDescent="0.25"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</row>
    <row r="956" spans="6:16" s="14" customFormat="1" x14ac:dyDescent="0.25"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</row>
    <row r="957" spans="6:16" s="14" customFormat="1" x14ac:dyDescent="0.25"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</row>
    <row r="958" spans="6:16" s="14" customFormat="1" x14ac:dyDescent="0.25"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</row>
    <row r="959" spans="6:16" s="14" customFormat="1" x14ac:dyDescent="0.25"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</row>
    <row r="960" spans="6:16" s="14" customFormat="1" x14ac:dyDescent="0.25"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</row>
    <row r="961" spans="6:16" s="14" customFormat="1" x14ac:dyDescent="0.25"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</row>
    <row r="962" spans="6:16" s="14" customFormat="1" x14ac:dyDescent="0.25"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</row>
    <row r="963" spans="6:16" s="14" customFormat="1" x14ac:dyDescent="0.25"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</row>
    <row r="964" spans="6:16" s="14" customFormat="1" x14ac:dyDescent="0.25"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</row>
    <row r="965" spans="6:16" s="14" customFormat="1" x14ac:dyDescent="0.25"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</row>
    <row r="966" spans="6:16" s="14" customFormat="1" x14ac:dyDescent="0.25"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</row>
    <row r="967" spans="6:16" s="14" customFormat="1" x14ac:dyDescent="0.25"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</row>
    <row r="968" spans="6:16" s="14" customFormat="1" x14ac:dyDescent="0.25"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</row>
    <row r="969" spans="6:16" s="14" customFormat="1" x14ac:dyDescent="0.25"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</row>
    <row r="970" spans="6:16" s="14" customFormat="1" x14ac:dyDescent="0.25"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</row>
    <row r="971" spans="6:16" s="14" customFormat="1" x14ac:dyDescent="0.25"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</row>
    <row r="972" spans="6:16" s="14" customFormat="1" x14ac:dyDescent="0.25"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</row>
    <row r="973" spans="6:16" s="14" customFormat="1" x14ac:dyDescent="0.25"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</row>
    <row r="974" spans="6:16" s="14" customFormat="1" x14ac:dyDescent="0.25"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</row>
    <row r="975" spans="6:16" s="14" customFormat="1" x14ac:dyDescent="0.25"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</row>
    <row r="976" spans="6:16" s="14" customFormat="1" x14ac:dyDescent="0.25"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</row>
    <row r="977" spans="6:16" s="14" customFormat="1" x14ac:dyDescent="0.25"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</row>
    <row r="978" spans="6:16" s="14" customFormat="1" x14ac:dyDescent="0.25"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</row>
    <row r="979" spans="6:16" s="14" customFormat="1" x14ac:dyDescent="0.25"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</row>
    <row r="980" spans="6:16" s="14" customFormat="1" x14ac:dyDescent="0.25"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</row>
    <row r="981" spans="6:16" s="14" customFormat="1" x14ac:dyDescent="0.25"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</row>
    <row r="982" spans="6:16" s="14" customFormat="1" x14ac:dyDescent="0.25"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</row>
    <row r="983" spans="6:16" s="14" customFormat="1" x14ac:dyDescent="0.25"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</row>
    <row r="984" spans="6:16" s="14" customFormat="1" x14ac:dyDescent="0.25"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</row>
    <row r="985" spans="6:16" s="14" customFormat="1" x14ac:dyDescent="0.25"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</row>
    <row r="986" spans="6:16" s="14" customFormat="1" x14ac:dyDescent="0.25"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</row>
    <row r="987" spans="6:16" s="14" customFormat="1" x14ac:dyDescent="0.25"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</row>
    <row r="988" spans="6:16" s="14" customFormat="1" x14ac:dyDescent="0.25"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</row>
    <row r="989" spans="6:16" s="14" customFormat="1" x14ac:dyDescent="0.25"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</row>
    <row r="990" spans="6:16" s="14" customFormat="1" x14ac:dyDescent="0.25"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</row>
    <row r="991" spans="6:16" s="14" customFormat="1" x14ac:dyDescent="0.25"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</row>
    <row r="992" spans="6:16" s="14" customFormat="1" x14ac:dyDescent="0.25"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</row>
    <row r="993" spans="6:16" s="14" customFormat="1" x14ac:dyDescent="0.25"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</row>
    <row r="994" spans="6:16" s="14" customFormat="1" x14ac:dyDescent="0.25"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</row>
    <row r="995" spans="6:16" s="14" customFormat="1" x14ac:dyDescent="0.25"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</row>
    <row r="996" spans="6:16" s="14" customFormat="1" x14ac:dyDescent="0.25"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</row>
    <row r="997" spans="6:16" s="14" customFormat="1" x14ac:dyDescent="0.25"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</row>
    <row r="998" spans="6:16" s="14" customFormat="1" x14ac:dyDescent="0.25"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</row>
    <row r="999" spans="6:16" s="14" customFormat="1" x14ac:dyDescent="0.25"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</row>
    <row r="1000" spans="6:16" s="14" customFormat="1" x14ac:dyDescent="0.25"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</row>
    <row r="1001" spans="6:16" s="14" customFormat="1" x14ac:dyDescent="0.25"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</row>
    <row r="1002" spans="6:16" s="14" customFormat="1" x14ac:dyDescent="0.25"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</row>
    <row r="1003" spans="6:16" s="14" customFormat="1" x14ac:dyDescent="0.25"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</row>
    <row r="1004" spans="6:16" s="14" customFormat="1" x14ac:dyDescent="0.25"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</row>
    <row r="1005" spans="6:16" s="14" customFormat="1" x14ac:dyDescent="0.25"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</row>
    <row r="1006" spans="6:16" s="14" customFormat="1" x14ac:dyDescent="0.25"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</row>
    <row r="1007" spans="6:16" s="14" customFormat="1" x14ac:dyDescent="0.25"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</row>
    <row r="1008" spans="6:16" s="14" customFormat="1" x14ac:dyDescent="0.25"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</row>
    <row r="1009" spans="6:16" s="14" customFormat="1" x14ac:dyDescent="0.25"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</row>
    <row r="1010" spans="6:16" s="14" customFormat="1" x14ac:dyDescent="0.25"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</row>
    <row r="1011" spans="6:16" s="14" customFormat="1" x14ac:dyDescent="0.25"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</row>
    <row r="1012" spans="6:16" s="14" customFormat="1" x14ac:dyDescent="0.25"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</row>
    <row r="1013" spans="6:16" s="14" customFormat="1" x14ac:dyDescent="0.25"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</row>
    <row r="1014" spans="6:16" s="14" customFormat="1" x14ac:dyDescent="0.25"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</row>
    <row r="1015" spans="6:16" s="14" customFormat="1" x14ac:dyDescent="0.25"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</row>
    <row r="1016" spans="6:16" s="14" customFormat="1" x14ac:dyDescent="0.25"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</row>
    <row r="1017" spans="6:16" s="14" customFormat="1" x14ac:dyDescent="0.25"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</row>
    <row r="1018" spans="6:16" s="14" customFormat="1" x14ac:dyDescent="0.25"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</row>
    <row r="1019" spans="6:16" s="14" customFormat="1" x14ac:dyDescent="0.25"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</row>
    <row r="1020" spans="6:16" s="14" customFormat="1" x14ac:dyDescent="0.25"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</row>
    <row r="1021" spans="6:16" s="14" customFormat="1" x14ac:dyDescent="0.25"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</row>
    <row r="1022" spans="6:16" s="14" customFormat="1" x14ac:dyDescent="0.25"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</row>
    <row r="1023" spans="6:16" s="14" customFormat="1" x14ac:dyDescent="0.25"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</row>
    <row r="1024" spans="6:16" s="14" customFormat="1" x14ac:dyDescent="0.25"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</row>
    <row r="1025" spans="6:16" s="14" customFormat="1" x14ac:dyDescent="0.25"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</row>
    <row r="1026" spans="6:16" s="14" customFormat="1" x14ac:dyDescent="0.25"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</row>
    <row r="1027" spans="6:16" s="14" customFormat="1" x14ac:dyDescent="0.25"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</row>
    <row r="1028" spans="6:16" s="14" customFormat="1" x14ac:dyDescent="0.25"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</row>
    <row r="1029" spans="6:16" s="14" customFormat="1" x14ac:dyDescent="0.25"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</row>
    <row r="1030" spans="6:16" s="14" customFormat="1" x14ac:dyDescent="0.25"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</row>
    <row r="1031" spans="6:16" s="14" customFormat="1" x14ac:dyDescent="0.25"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</row>
    <row r="1032" spans="6:16" s="14" customFormat="1" x14ac:dyDescent="0.25"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</row>
    <row r="1033" spans="6:16" s="14" customFormat="1" x14ac:dyDescent="0.25"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</row>
    <row r="1034" spans="6:16" s="14" customFormat="1" x14ac:dyDescent="0.25"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</row>
    <row r="1035" spans="6:16" s="14" customFormat="1" x14ac:dyDescent="0.25"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</row>
    <row r="1036" spans="6:16" s="14" customFormat="1" x14ac:dyDescent="0.25"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</row>
    <row r="1037" spans="6:16" s="14" customFormat="1" x14ac:dyDescent="0.25"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</row>
    <row r="1038" spans="6:16" s="14" customFormat="1" x14ac:dyDescent="0.25"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</row>
    <row r="1039" spans="6:16" s="14" customFormat="1" x14ac:dyDescent="0.25"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</row>
    <row r="1040" spans="6:16" s="14" customFormat="1" x14ac:dyDescent="0.25"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</row>
    <row r="1041" spans="6:16" s="14" customFormat="1" x14ac:dyDescent="0.25"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</row>
    <row r="1042" spans="6:16" s="14" customFormat="1" x14ac:dyDescent="0.25"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54"/>
    </row>
    <row r="1043" spans="6:16" s="14" customFormat="1" x14ac:dyDescent="0.25"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54"/>
    </row>
    <row r="1044" spans="6:16" s="14" customFormat="1" x14ac:dyDescent="0.25"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54"/>
    </row>
    <row r="1045" spans="6:16" s="14" customFormat="1" x14ac:dyDescent="0.25"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54"/>
    </row>
    <row r="1046" spans="6:16" s="14" customFormat="1" x14ac:dyDescent="0.25"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</row>
    <row r="1047" spans="6:16" s="14" customFormat="1" x14ac:dyDescent="0.25"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</row>
    <row r="1048" spans="6:16" s="14" customFormat="1" x14ac:dyDescent="0.25"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54"/>
    </row>
    <row r="1049" spans="6:16" s="14" customFormat="1" x14ac:dyDescent="0.25"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</row>
    <row r="1050" spans="6:16" s="14" customFormat="1" x14ac:dyDescent="0.25"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</row>
    <row r="1051" spans="6:16" s="14" customFormat="1" x14ac:dyDescent="0.25"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</row>
    <row r="1052" spans="6:16" s="14" customFormat="1" x14ac:dyDescent="0.25"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</row>
    <row r="1053" spans="6:16" s="14" customFormat="1" x14ac:dyDescent="0.25"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54"/>
    </row>
    <row r="1054" spans="6:16" s="14" customFormat="1" x14ac:dyDescent="0.25"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54"/>
    </row>
    <row r="1055" spans="6:16" s="14" customFormat="1" x14ac:dyDescent="0.25"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</row>
    <row r="1056" spans="6:16" s="14" customFormat="1" x14ac:dyDescent="0.25"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</row>
    <row r="1057" spans="6:16" s="14" customFormat="1" x14ac:dyDescent="0.25"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</row>
    <row r="1058" spans="6:16" s="14" customFormat="1" x14ac:dyDescent="0.25"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</row>
    <row r="1059" spans="6:16" s="14" customFormat="1" x14ac:dyDescent="0.25"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54"/>
    </row>
    <row r="1060" spans="6:16" s="14" customFormat="1" x14ac:dyDescent="0.25"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</row>
    <row r="1061" spans="6:16" s="14" customFormat="1" x14ac:dyDescent="0.25"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54"/>
    </row>
    <row r="1062" spans="6:16" s="14" customFormat="1" x14ac:dyDescent="0.25"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54"/>
    </row>
    <row r="1063" spans="6:16" s="14" customFormat="1" x14ac:dyDescent="0.25"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</row>
    <row r="1064" spans="6:16" s="14" customFormat="1" x14ac:dyDescent="0.25"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  <c r="P1064" s="54"/>
    </row>
    <row r="1065" spans="6:16" s="14" customFormat="1" x14ac:dyDescent="0.25"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</row>
    <row r="1066" spans="6:16" s="14" customFormat="1" x14ac:dyDescent="0.25"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</row>
    <row r="1067" spans="6:16" s="14" customFormat="1" x14ac:dyDescent="0.25"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</row>
    <row r="1068" spans="6:16" s="14" customFormat="1" x14ac:dyDescent="0.25"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</row>
    <row r="1069" spans="6:16" s="14" customFormat="1" x14ac:dyDescent="0.25"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</row>
    <row r="1070" spans="6:16" s="14" customFormat="1" x14ac:dyDescent="0.25"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  <c r="P1070" s="54"/>
    </row>
    <row r="1071" spans="6:16" s="14" customFormat="1" x14ac:dyDescent="0.25"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</row>
    <row r="1072" spans="6:16" s="14" customFormat="1" x14ac:dyDescent="0.25"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</row>
    <row r="1073" spans="6:16" s="14" customFormat="1" x14ac:dyDescent="0.25"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</row>
    <row r="1074" spans="6:16" s="14" customFormat="1" x14ac:dyDescent="0.25"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</row>
    <row r="1075" spans="6:16" s="14" customFormat="1" x14ac:dyDescent="0.25"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</row>
    <row r="1076" spans="6:16" s="14" customFormat="1" x14ac:dyDescent="0.25"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</row>
    <row r="1077" spans="6:16" s="14" customFormat="1" x14ac:dyDescent="0.25"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</row>
    <row r="1078" spans="6:16" s="14" customFormat="1" x14ac:dyDescent="0.25"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</row>
    <row r="1079" spans="6:16" s="14" customFormat="1" x14ac:dyDescent="0.25"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</row>
    <row r="1080" spans="6:16" s="14" customFormat="1" x14ac:dyDescent="0.25"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</row>
    <row r="1081" spans="6:16" s="14" customFormat="1" x14ac:dyDescent="0.25"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</row>
    <row r="1082" spans="6:16" s="14" customFormat="1" x14ac:dyDescent="0.25"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  <c r="P1082" s="54"/>
    </row>
    <row r="1083" spans="6:16" s="14" customFormat="1" x14ac:dyDescent="0.25"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</row>
    <row r="1084" spans="6:16" s="14" customFormat="1" x14ac:dyDescent="0.25"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</row>
    <row r="1085" spans="6:16" s="14" customFormat="1" x14ac:dyDescent="0.25"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</row>
    <row r="1086" spans="6:16" s="14" customFormat="1" x14ac:dyDescent="0.25"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</row>
    <row r="1087" spans="6:16" s="14" customFormat="1" x14ac:dyDescent="0.25"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</row>
    <row r="1088" spans="6:16" s="14" customFormat="1" x14ac:dyDescent="0.25"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  <c r="P1088" s="54"/>
    </row>
    <row r="1089" spans="6:16" s="14" customFormat="1" x14ac:dyDescent="0.25"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</row>
    <row r="1090" spans="6:16" s="14" customFormat="1" x14ac:dyDescent="0.25"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</row>
    <row r="1091" spans="6:16" s="14" customFormat="1" x14ac:dyDescent="0.25"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</row>
    <row r="1092" spans="6:16" s="14" customFormat="1" x14ac:dyDescent="0.25"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</row>
    <row r="1093" spans="6:16" s="14" customFormat="1" x14ac:dyDescent="0.25"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</row>
    <row r="1094" spans="6:16" s="14" customFormat="1" x14ac:dyDescent="0.25"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</row>
    <row r="1095" spans="6:16" s="14" customFormat="1" x14ac:dyDescent="0.25"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</row>
    <row r="1096" spans="6:16" s="14" customFormat="1" x14ac:dyDescent="0.25"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  <c r="P1096" s="54"/>
    </row>
    <row r="1097" spans="6:16" s="14" customFormat="1" x14ac:dyDescent="0.25"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</row>
    <row r="1098" spans="6:16" s="14" customFormat="1" x14ac:dyDescent="0.25"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  <c r="P1098" s="54"/>
    </row>
    <row r="1099" spans="6:16" s="14" customFormat="1" x14ac:dyDescent="0.25"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</row>
    <row r="1100" spans="6:16" s="14" customFormat="1" x14ac:dyDescent="0.25"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</row>
    <row r="1101" spans="6:16" s="14" customFormat="1" x14ac:dyDescent="0.25"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</row>
    <row r="1102" spans="6:16" s="14" customFormat="1" x14ac:dyDescent="0.25"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  <c r="P1102" s="54"/>
    </row>
    <row r="1103" spans="6:16" s="14" customFormat="1" x14ac:dyDescent="0.25"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</row>
    <row r="1104" spans="6:16" s="14" customFormat="1" x14ac:dyDescent="0.25"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</row>
    <row r="1105" spans="6:16" s="14" customFormat="1" x14ac:dyDescent="0.25"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  <c r="P1105" s="54"/>
    </row>
    <row r="1106" spans="6:16" s="14" customFormat="1" x14ac:dyDescent="0.25"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  <c r="P1106" s="54"/>
    </row>
    <row r="1107" spans="6:16" s="14" customFormat="1" x14ac:dyDescent="0.25"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  <c r="P1107" s="54"/>
    </row>
    <row r="1108" spans="6:16" s="14" customFormat="1" x14ac:dyDescent="0.25"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</row>
    <row r="1109" spans="6:16" s="14" customFormat="1" x14ac:dyDescent="0.25"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</row>
    <row r="1110" spans="6:16" s="14" customFormat="1" x14ac:dyDescent="0.25"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</row>
    <row r="1111" spans="6:16" s="14" customFormat="1" x14ac:dyDescent="0.25"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  <c r="P1111" s="54"/>
    </row>
    <row r="1112" spans="6:16" s="14" customFormat="1" x14ac:dyDescent="0.25"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</row>
    <row r="1113" spans="6:16" s="14" customFormat="1" x14ac:dyDescent="0.25"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</row>
    <row r="1114" spans="6:16" s="14" customFormat="1" x14ac:dyDescent="0.25"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</row>
    <row r="1115" spans="6:16" s="14" customFormat="1" x14ac:dyDescent="0.25"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</row>
    <row r="1116" spans="6:16" s="14" customFormat="1" x14ac:dyDescent="0.25"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  <c r="P1116" s="54"/>
    </row>
    <row r="1117" spans="6:16" s="14" customFormat="1" x14ac:dyDescent="0.25"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  <c r="P1117" s="54"/>
    </row>
    <row r="1118" spans="6:16" s="14" customFormat="1" x14ac:dyDescent="0.25"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</row>
    <row r="1119" spans="6:16" s="14" customFormat="1" x14ac:dyDescent="0.25"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</row>
    <row r="1120" spans="6:16" s="14" customFormat="1" x14ac:dyDescent="0.25"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  <c r="P1120" s="54"/>
    </row>
    <row r="1121" spans="6:16" s="14" customFormat="1" x14ac:dyDescent="0.25"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</row>
    <row r="1122" spans="6:16" s="14" customFormat="1" x14ac:dyDescent="0.25"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</row>
    <row r="1123" spans="6:16" s="14" customFormat="1" x14ac:dyDescent="0.25"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</row>
    <row r="1124" spans="6:16" s="14" customFormat="1" x14ac:dyDescent="0.25"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  <c r="P1124" s="54"/>
    </row>
    <row r="1125" spans="6:16" s="14" customFormat="1" x14ac:dyDescent="0.25"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  <c r="P1125" s="54"/>
    </row>
    <row r="1126" spans="6:16" s="14" customFormat="1" x14ac:dyDescent="0.25"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</row>
    <row r="1127" spans="6:16" s="14" customFormat="1" x14ac:dyDescent="0.25"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  <c r="P1127" s="54"/>
    </row>
    <row r="1128" spans="6:16" s="14" customFormat="1" x14ac:dyDescent="0.25"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</row>
    <row r="1129" spans="6:16" s="14" customFormat="1" x14ac:dyDescent="0.25"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</row>
    <row r="1130" spans="6:16" s="14" customFormat="1" x14ac:dyDescent="0.25"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</row>
    <row r="1131" spans="6:16" s="14" customFormat="1" x14ac:dyDescent="0.25"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</row>
    <row r="1132" spans="6:16" s="14" customFormat="1" x14ac:dyDescent="0.25"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  <c r="P1132" s="54"/>
    </row>
    <row r="1133" spans="6:16" s="14" customFormat="1" x14ac:dyDescent="0.25"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  <c r="P1133" s="54"/>
    </row>
    <row r="1134" spans="6:16" s="14" customFormat="1" x14ac:dyDescent="0.25"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</row>
    <row r="1135" spans="6:16" s="14" customFormat="1" x14ac:dyDescent="0.25"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  <c r="P1135" s="54"/>
    </row>
    <row r="1136" spans="6:16" s="14" customFormat="1" x14ac:dyDescent="0.25"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  <c r="P1136" s="54"/>
    </row>
    <row r="1137" spans="6:16" s="14" customFormat="1" x14ac:dyDescent="0.25"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</row>
    <row r="1138" spans="6:16" s="14" customFormat="1" x14ac:dyDescent="0.25"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  <c r="P1138" s="54"/>
    </row>
    <row r="1139" spans="6:16" s="14" customFormat="1" x14ac:dyDescent="0.25"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</row>
    <row r="1140" spans="6:16" s="14" customFormat="1" x14ac:dyDescent="0.25"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</row>
    <row r="1141" spans="6:16" s="14" customFormat="1" x14ac:dyDescent="0.25"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</row>
    <row r="1142" spans="6:16" s="14" customFormat="1" x14ac:dyDescent="0.25"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</row>
    <row r="1143" spans="6:16" s="14" customFormat="1" x14ac:dyDescent="0.25"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</row>
    <row r="1144" spans="6:16" s="14" customFormat="1" x14ac:dyDescent="0.25"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  <c r="P1144" s="54"/>
    </row>
    <row r="1145" spans="6:16" s="14" customFormat="1" x14ac:dyDescent="0.25"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</row>
    <row r="1146" spans="6:16" s="14" customFormat="1" x14ac:dyDescent="0.25"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  <c r="P1146" s="54"/>
    </row>
    <row r="1147" spans="6:16" s="14" customFormat="1" x14ac:dyDescent="0.25"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</row>
    <row r="1148" spans="6:16" s="14" customFormat="1" x14ac:dyDescent="0.25"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  <c r="P1148" s="54"/>
    </row>
    <row r="1149" spans="6:16" s="14" customFormat="1" x14ac:dyDescent="0.25"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  <c r="P1149" s="54"/>
    </row>
    <row r="1150" spans="6:16" s="14" customFormat="1" x14ac:dyDescent="0.25"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</row>
    <row r="1151" spans="6:16" s="14" customFormat="1" x14ac:dyDescent="0.25"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  <c r="P1151" s="54"/>
    </row>
    <row r="1152" spans="6:16" s="14" customFormat="1" x14ac:dyDescent="0.25"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</row>
    <row r="1153" spans="6:16" s="14" customFormat="1" x14ac:dyDescent="0.25"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  <c r="P1153" s="54"/>
    </row>
    <row r="1154" spans="6:16" s="14" customFormat="1" x14ac:dyDescent="0.25"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</row>
    <row r="1155" spans="6:16" s="14" customFormat="1" x14ac:dyDescent="0.25"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</row>
    <row r="1156" spans="6:16" s="14" customFormat="1" x14ac:dyDescent="0.25"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  <c r="P1156" s="54"/>
    </row>
    <row r="1157" spans="6:16" s="14" customFormat="1" x14ac:dyDescent="0.25"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</row>
    <row r="1158" spans="6:16" s="14" customFormat="1" x14ac:dyDescent="0.25"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</row>
    <row r="1159" spans="6:16" s="14" customFormat="1" x14ac:dyDescent="0.25"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</row>
    <row r="1160" spans="6:16" s="14" customFormat="1" x14ac:dyDescent="0.25"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</row>
    <row r="1161" spans="6:16" s="14" customFormat="1" x14ac:dyDescent="0.25"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  <c r="P1161" s="54"/>
    </row>
    <row r="1162" spans="6:16" s="14" customFormat="1" x14ac:dyDescent="0.25"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</row>
    <row r="1163" spans="6:16" s="14" customFormat="1" x14ac:dyDescent="0.25"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</row>
    <row r="1164" spans="6:16" s="14" customFormat="1" x14ac:dyDescent="0.25"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  <c r="P1164" s="54"/>
    </row>
    <row r="1165" spans="6:16" s="14" customFormat="1" x14ac:dyDescent="0.25"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  <c r="P1165" s="54"/>
    </row>
    <row r="1166" spans="6:16" s="14" customFormat="1" x14ac:dyDescent="0.25"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  <c r="P1166" s="54"/>
    </row>
    <row r="1167" spans="6:16" s="14" customFormat="1" x14ac:dyDescent="0.25"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  <c r="P1167" s="54"/>
    </row>
    <row r="1168" spans="6:16" s="14" customFormat="1" x14ac:dyDescent="0.25"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</row>
    <row r="1169" spans="6:16" s="14" customFormat="1" x14ac:dyDescent="0.25"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</row>
    <row r="1170" spans="6:16" s="14" customFormat="1" x14ac:dyDescent="0.25"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</row>
    <row r="1171" spans="6:16" s="14" customFormat="1" x14ac:dyDescent="0.25"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</row>
    <row r="1172" spans="6:16" s="14" customFormat="1" x14ac:dyDescent="0.25"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  <c r="P1172" s="54"/>
    </row>
    <row r="1173" spans="6:16" s="14" customFormat="1" x14ac:dyDescent="0.25"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</row>
    <row r="1174" spans="6:16" s="14" customFormat="1" x14ac:dyDescent="0.25"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  <c r="P1174" s="54"/>
    </row>
    <row r="1175" spans="6:16" s="14" customFormat="1" x14ac:dyDescent="0.25"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</row>
    <row r="1176" spans="6:16" s="14" customFormat="1" x14ac:dyDescent="0.25"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</row>
    <row r="1177" spans="6:16" s="14" customFormat="1" x14ac:dyDescent="0.25"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  <c r="P1177" s="54"/>
    </row>
    <row r="1178" spans="6:16" s="14" customFormat="1" x14ac:dyDescent="0.25"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</row>
    <row r="1179" spans="6:16" s="14" customFormat="1" x14ac:dyDescent="0.25"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</row>
    <row r="1180" spans="6:16" s="14" customFormat="1" x14ac:dyDescent="0.25"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  <c r="P1180" s="54"/>
    </row>
    <row r="1181" spans="6:16" s="14" customFormat="1" x14ac:dyDescent="0.25"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</row>
    <row r="1182" spans="6:16" s="14" customFormat="1" x14ac:dyDescent="0.25"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  <c r="P1182" s="54"/>
    </row>
    <row r="1183" spans="6:16" s="14" customFormat="1" x14ac:dyDescent="0.25"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  <c r="P1183" s="54"/>
    </row>
    <row r="1184" spans="6:16" s="14" customFormat="1" x14ac:dyDescent="0.25"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</row>
    <row r="1185" spans="6:16" s="14" customFormat="1" x14ac:dyDescent="0.25"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  <c r="P1185" s="54"/>
    </row>
    <row r="1186" spans="6:16" s="14" customFormat="1" x14ac:dyDescent="0.25"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  <c r="P1186" s="54"/>
    </row>
    <row r="1187" spans="6:16" s="14" customFormat="1" x14ac:dyDescent="0.25"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</row>
    <row r="1188" spans="6:16" s="14" customFormat="1" x14ac:dyDescent="0.25"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</row>
    <row r="1189" spans="6:16" s="14" customFormat="1" x14ac:dyDescent="0.25"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</row>
    <row r="1190" spans="6:16" s="14" customFormat="1" x14ac:dyDescent="0.25"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  <c r="P1190" s="54"/>
    </row>
    <row r="1191" spans="6:16" s="14" customFormat="1" x14ac:dyDescent="0.25"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</row>
    <row r="1192" spans="6:16" s="14" customFormat="1" x14ac:dyDescent="0.25"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  <c r="P1192" s="54"/>
    </row>
    <row r="1193" spans="6:16" s="14" customFormat="1" x14ac:dyDescent="0.25"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</row>
    <row r="1194" spans="6:16" s="14" customFormat="1" x14ac:dyDescent="0.25"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</row>
    <row r="1195" spans="6:16" s="14" customFormat="1" x14ac:dyDescent="0.25"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</row>
    <row r="1196" spans="6:16" s="14" customFormat="1" x14ac:dyDescent="0.25"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  <c r="P1196" s="54"/>
    </row>
    <row r="1197" spans="6:16" s="14" customFormat="1" x14ac:dyDescent="0.25"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  <c r="P1197" s="54"/>
    </row>
    <row r="1198" spans="6:16" s="14" customFormat="1" x14ac:dyDescent="0.25"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</row>
    <row r="1199" spans="6:16" s="14" customFormat="1" x14ac:dyDescent="0.25"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</row>
    <row r="1200" spans="6:16" s="14" customFormat="1" x14ac:dyDescent="0.25"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</row>
    <row r="1201" spans="6:16" s="14" customFormat="1" x14ac:dyDescent="0.25"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  <c r="P1201" s="54"/>
    </row>
    <row r="1202" spans="6:16" s="14" customFormat="1" x14ac:dyDescent="0.25"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</row>
    <row r="1203" spans="6:16" s="14" customFormat="1" x14ac:dyDescent="0.25"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</row>
    <row r="1204" spans="6:16" s="14" customFormat="1" x14ac:dyDescent="0.25"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</row>
    <row r="1205" spans="6:16" s="14" customFormat="1" x14ac:dyDescent="0.25"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  <c r="P1205" s="54"/>
    </row>
    <row r="1206" spans="6:16" s="14" customFormat="1" x14ac:dyDescent="0.25"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</row>
    <row r="1207" spans="6:16" s="14" customFormat="1" x14ac:dyDescent="0.25"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  <c r="P1207" s="54"/>
    </row>
    <row r="1208" spans="6:16" s="14" customFormat="1" x14ac:dyDescent="0.25"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</row>
    <row r="1209" spans="6:16" s="14" customFormat="1" x14ac:dyDescent="0.25"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</row>
    <row r="1210" spans="6:16" s="14" customFormat="1" x14ac:dyDescent="0.25"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</row>
    <row r="1211" spans="6:16" s="14" customFormat="1" x14ac:dyDescent="0.25"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</row>
    <row r="1212" spans="6:16" s="14" customFormat="1" x14ac:dyDescent="0.25"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</row>
    <row r="1213" spans="6:16" s="14" customFormat="1" x14ac:dyDescent="0.25"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</row>
    <row r="1214" spans="6:16" s="14" customFormat="1" x14ac:dyDescent="0.25"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  <c r="P1214" s="54"/>
    </row>
    <row r="1215" spans="6:16" s="14" customFormat="1" x14ac:dyDescent="0.25"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</row>
    <row r="1216" spans="6:16" s="14" customFormat="1" x14ac:dyDescent="0.25"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  <c r="P1216" s="54"/>
    </row>
    <row r="1217" spans="6:16" s="14" customFormat="1" x14ac:dyDescent="0.25"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</row>
    <row r="1218" spans="6:16" s="14" customFormat="1" x14ac:dyDescent="0.25"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</row>
    <row r="1219" spans="6:16" s="14" customFormat="1" x14ac:dyDescent="0.25"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  <c r="P1219" s="54"/>
    </row>
    <row r="1220" spans="6:16" s="14" customFormat="1" x14ac:dyDescent="0.25"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  <c r="P1220" s="54"/>
    </row>
    <row r="1221" spans="6:16" s="14" customFormat="1" x14ac:dyDescent="0.25"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  <c r="P1221" s="54"/>
    </row>
    <row r="1222" spans="6:16" s="14" customFormat="1" x14ac:dyDescent="0.25"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  <c r="P1222" s="54"/>
    </row>
    <row r="1223" spans="6:16" s="14" customFormat="1" x14ac:dyDescent="0.25"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  <c r="P1223" s="54"/>
    </row>
    <row r="1224" spans="6:16" s="14" customFormat="1" x14ac:dyDescent="0.25"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</row>
    <row r="1225" spans="6:16" s="14" customFormat="1" x14ac:dyDescent="0.25"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</row>
    <row r="1226" spans="6:16" s="14" customFormat="1" x14ac:dyDescent="0.25"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  <c r="P1226" s="54"/>
    </row>
    <row r="1227" spans="6:16" s="14" customFormat="1" x14ac:dyDescent="0.25"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</row>
    <row r="1228" spans="6:16" s="14" customFormat="1" x14ac:dyDescent="0.25"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</row>
    <row r="1229" spans="6:16" s="14" customFormat="1" x14ac:dyDescent="0.25"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</row>
    <row r="1230" spans="6:16" s="14" customFormat="1" x14ac:dyDescent="0.25"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</row>
    <row r="1231" spans="6:16" s="14" customFormat="1" x14ac:dyDescent="0.25"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</row>
    <row r="1232" spans="6:16" s="14" customFormat="1" x14ac:dyDescent="0.25"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  <c r="P1232" s="54"/>
    </row>
    <row r="1233" spans="6:16" s="14" customFormat="1" x14ac:dyDescent="0.25"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  <c r="P1233" s="54"/>
    </row>
    <row r="1234" spans="6:16" s="14" customFormat="1" x14ac:dyDescent="0.25"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</row>
    <row r="1235" spans="6:16" s="14" customFormat="1" x14ac:dyDescent="0.25"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  <c r="P1235" s="54"/>
    </row>
    <row r="1236" spans="6:16" s="14" customFormat="1" x14ac:dyDescent="0.25"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</row>
    <row r="1237" spans="6:16" s="14" customFormat="1" x14ac:dyDescent="0.25"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</row>
    <row r="1238" spans="6:16" s="14" customFormat="1" x14ac:dyDescent="0.25"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</row>
    <row r="1239" spans="6:16" s="14" customFormat="1" x14ac:dyDescent="0.25"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</row>
    <row r="1240" spans="6:16" s="14" customFormat="1" x14ac:dyDescent="0.25"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</row>
    <row r="1241" spans="6:16" s="14" customFormat="1" x14ac:dyDescent="0.25"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  <c r="P1241" s="54"/>
    </row>
    <row r="1242" spans="6:16" s="14" customFormat="1" x14ac:dyDescent="0.25"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</row>
    <row r="1243" spans="6:16" s="14" customFormat="1" x14ac:dyDescent="0.25"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</row>
    <row r="1244" spans="6:16" s="14" customFormat="1" x14ac:dyDescent="0.25"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</row>
    <row r="1245" spans="6:16" s="14" customFormat="1" x14ac:dyDescent="0.25"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  <c r="P1245" s="54"/>
    </row>
    <row r="1246" spans="6:16" s="14" customFormat="1" x14ac:dyDescent="0.25"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  <c r="P1246" s="54"/>
    </row>
    <row r="1247" spans="6:16" s="14" customFormat="1" x14ac:dyDescent="0.25"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</row>
    <row r="1248" spans="6:16" s="14" customFormat="1" x14ac:dyDescent="0.25"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</row>
    <row r="1249" spans="6:16" s="14" customFormat="1" x14ac:dyDescent="0.25"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</row>
    <row r="1250" spans="6:16" s="14" customFormat="1" x14ac:dyDescent="0.25"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</row>
    <row r="1251" spans="6:16" s="14" customFormat="1" x14ac:dyDescent="0.25"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</row>
    <row r="1252" spans="6:16" s="14" customFormat="1" x14ac:dyDescent="0.25"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  <c r="P1252" s="54"/>
    </row>
    <row r="1253" spans="6:16" s="14" customFormat="1" x14ac:dyDescent="0.25"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  <c r="P1253" s="54"/>
    </row>
    <row r="1254" spans="6:16" s="14" customFormat="1" x14ac:dyDescent="0.25"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  <c r="P1254" s="54"/>
    </row>
    <row r="1255" spans="6:16" s="14" customFormat="1" x14ac:dyDescent="0.25"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</row>
    <row r="1256" spans="6:16" s="14" customFormat="1" x14ac:dyDescent="0.25"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</row>
    <row r="1257" spans="6:16" s="14" customFormat="1" x14ac:dyDescent="0.25"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</row>
    <row r="1258" spans="6:16" s="14" customFormat="1" x14ac:dyDescent="0.25"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  <c r="P1258" s="54"/>
    </row>
    <row r="1259" spans="6:16" s="14" customFormat="1" x14ac:dyDescent="0.25"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  <c r="P1259" s="54"/>
    </row>
    <row r="1260" spans="6:16" s="14" customFormat="1" x14ac:dyDescent="0.25"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</row>
    <row r="1261" spans="6:16" s="14" customFormat="1" x14ac:dyDescent="0.25"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  <c r="P1261" s="54"/>
    </row>
    <row r="1262" spans="6:16" s="14" customFormat="1" x14ac:dyDescent="0.25"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  <c r="P1262" s="54"/>
    </row>
    <row r="1263" spans="6:16" s="14" customFormat="1" x14ac:dyDescent="0.25"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</row>
    <row r="1264" spans="6:16" s="14" customFormat="1" x14ac:dyDescent="0.25"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</row>
    <row r="1265" spans="6:16" s="14" customFormat="1" x14ac:dyDescent="0.25"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</row>
    <row r="1266" spans="6:16" s="14" customFormat="1" x14ac:dyDescent="0.25"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</row>
    <row r="1267" spans="6:16" s="14" customFormat="1" x14ac:dyDescent="0.25"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</row>
    <row r="1268" spans="6:16" s="14" customFormat="1" x14ac:dyDescent="0.25"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</row>
    <row r="1269" spans="6:16" s="14" customFormat="1" x14ac:dyDescent="0.25"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</row>
    <row r="1270" spans="6:16" s="14" customFormat="1" x14ac:dyDescent="0.25"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</row>
    <row r="1271" spans="6:16" s="14" customFormat="1" x14ac:dyDescent="0.25"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</row>
    <row r="1272" spans="6:16" s="14" customFormat="1" x14ac:dyDescent="0.25"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</row>
    <row r="1273" spans="6:16" s="14" customFormat="1" x14ac:dyDescent="0.25"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</row>
    <row r="1274" spans="6:16" s="14" customFormat="1" x14ac:dyDescent="0.25"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</row>
    <row r="1275" spans="6:16" s="14" customFormat="1" x14ac:dyDescent="0.25"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</row>
    <row r="1276" spans="6:16" s="14" customFormat="1" x14ac:dyDescent="0.25"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</row>
    <row r="1277" spans="6:16" s="14" customFormat="1" x14ac:dyDescent="0.25"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</row>
    <row r="1278" spans="6:16" s="14" customFormat="1" x14ac:dyDescent="0.25"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</row>
    <row r="1279" spans="6:16" s="14" customFormat="1" x14ac:dyDescent="0.25"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</row>
    <row r="1280" spans="6:16" s="14" customFormat="1" x14ac:dyDescent="0.25"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  <c r="P1280" s="54"/>
    </row>
    <row r="1281" spans="6:16" s="14" customFormat="1" x14ac:dyDescent="0.25"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  <c r="P1281" s="54"/>
    </row>
    <row r="1282" spans="6:16" s="14" customFormat="1" x14ac:dyDescent="0.25"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  <c r="P1282" s="54"/>
    </row>
    <row r="1283" spans="6:16" s="14" customFormat="1" x14ac:dyDescent="0.25"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</row>
    <row r="1284" spans="6:16" s="14" customFormat="1" x14ac:dyDescent="0.25"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</row>
    <row r="1285" spans="6:16" s="14" customFormat="1" x14ac:dyDescent="0.25"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</row>
    <row r="1286" spans="6:16" s="14" customFormat="1" x14ac:dyDescent="0.25"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  <c r="P1286" s="54"/>
    </row>
    <row r="1287" spans="6:16" s="14" customFormat="1" x14ac:dyDescent="0.25"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</row>
    <row r="1288" spans="6:16" s="14" customFormat="1" x14ac:dyDescent="0.25"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</row>
    <row r="1289" spans="6:16" s="14" customFormat="1" x14ac:dyDescent="0.25"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  <c r="P1289" s="54"/>
    </row>
    <row r="1290" spans="6:16" s="14" customFormat="1" x14ac:dyDescent="0.25"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  <c r="P1290" s="54"/>
    </row>
    <row r="1291" spans="6:16" s="14" customFormat="1" x14ac:dyDescent="0.25"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</row>
    <row r="1292" spans="6:16" s="14" customFormat="1" x14ac:dyDescent="0.25"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  <c r="P1292" s="54"/>
    </row>
    <row r="1293" spans="6:16" s="14" customFormat="1" x14ac:dyDescent="0.25"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  <c r="P1293" s="54"/>
    </row>
    <row r="1294" spans="6:16" s="14" customFormat="1" x14ac:dyDescent="0.25"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</row>
    <row r="1295" spans="6:16" s="14" customFormat="1" x14ac:dyDescent="0.25"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  <c r="P1295" s="54"/>
    </row>
    <row r="1296" spans="6:16" s="14" customFormat="1" x14ac:dyDescent="0.25"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  <c r="P1296" s="54"/>
    </row>
    <row r="1297" spans="6:16" s="14" customFormat="1" x14ac:dyDescent="0.25"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</row>
    <row r="1298" spans="6:16" s="14" customFormat="1" x14ac:dyDescent="0.25"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  <c r="P1298" s="54"/>
    </row>
    <row r="1299" spans="6:16" s="14" customFormat="1" x14ac:dyDescent="0.25"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</row>
    <row r="1300" spans="6:16" s="14" customFormat="1" x14ac:dyDescent="0.25"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</row>
    <row r="1301" spans="6:16" s="14" customFormat="1" x14ac:dyDescent="0.25"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</row>
    <row r="1302" spans="6:16" s="14" customFormat="1" x14ac:dyDescent="0.25"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</row>
    <row r="1303" spans="6:16" s="14" customFormat="1" x14ac:dyDescent="0.25"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  <c r="P1303" s="54"/>
    </row>
    <row r="1304" spans="6:16" s="14" customFormat="1" x14ac:dyDescent="0.25"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  <c r="P1304" s="54"/>
    </row>
    <row r="1305" spans="6:16" s="14" customFormat="1" x14ac:dyDescent="0.25"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</row>
    <row r="1306" spans="6:16" s="14" customFormat="1" x14ac:dyDescent="0.25"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</row>
    <row r="1307" spans="6:16" s="14" customFormat="1" x14ac:dyDescent="0.25"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  <c r="P1307" s="54"/>
    </row>
    <row r="1308" spans="6:16" s="14" customFormat="1" x14ac:dyDescent="0.25"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</row>
    <row r="1309" spans="6:16" s="14" customFormat="1" x14ac:dyDescent="0.25"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  <c r="P1309" s="54"/>
    </row>
    <row r="1310" spans="6:16" s="14" customFormat="1" x14ac:dyDescent="0.25"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  <c r="P1310" s="54"/>
    </row>
    <row r="1311" spans="6:16" s="14" customFormat="1" x14ac:dyDescent="0.25"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  <c r="P1311" s="54"/>
    </row>
    <row r="1312" spans="6:16" s="14" customFormat="1" x14ac:dyDescent="0.25"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</row>
    <row r="1313" spans="6:16" s="14" customFormat="1" x14ac:dyDescent="0.25"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</row>
    <row r="1314" spans="6:16" s="14" customFormat="1" x14ac:dyDescent="0.25"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  <c r="P1314" s="54"/>
    </row>
    <row r="1315" spans="6:16" s="14" customFormat="1" x14ac:dyDescent="0.25"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  <c r="P1315" s="54"/>
    </row>
    <row r="1316" spans="6:16" s="14" customFormat="1" x14ac:dyDescent="0.25"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</row>
    <row r="1317" spans="6:16" s="14" customFormat="1" x14ac:dyDescent="0.25"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  <c r="P1317" s="54"/>
    </row>
    <row r="1318" spans="6:16" s="14" customFormat="1" x14ac:dyDescent="0.25"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</row>
    <row r="1319" spans="6:16" s="14" customFormat="1" x14ac:dyDescent="0.25"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</row>
    <row r="1320" spans="6:16" s="14" customFormat="1" x14ac:dyDescent="0.25"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</row>
    <row r="1321" spans="6:16" s="14" customFormat="1" x14ac:dyDescent="0.25"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  <c r="P1321" s="54"/>
    </row>
    <row r="1322" spans="6:16" s="14" customFormat="1" x14ac:dyDescent="0.25"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</row>
    <row r="1323" spans="6:16" s="14" customFormat="1" x14ac:dyDescent="0.25"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</row>
    <row r="1324" spans="6:16" s="14" customFormat="1" x14ac:dyDescent="0.25"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  <c r="P1324" s="54"/>
    </row>
    <row r="1325" spans="6:16" s="14" customFormat="1" x14ac:dyDescent="0.25"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  <c r="P1325" s="54"/>
    </row>
    <row r="1326" spans="6:16" s="14" customFormat="1" x14ac:dyDescent="0.25"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</row>
    <row r="1327" spans="6:16" s="14" customFormat="1" x14ac:dyDescent="0.25"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</row>
    <row r="1328" spans="6:16" s="14" customFormat="1" x14ac:dyDescent="0.25"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</row>
    <row r="1329" spans="6:16" s="14" customFormat="1" x14ac:dyDescent="0.25"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</row>
    <row r="1330" spans="6:16" s="14" customFormat="1" x14ac:dyDescent="0.25"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  <c r="P1330" s="54"/>
    </row>
    <row r="1331" spans="6:16" s="14" customFormat="1" x14ac:dyDescent="0.25"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</row>
    <row r="1332" spans="6:16" s="14" customFormat="1" x14ac:dyDescent="0.25"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</row>
    <row r="1333" spans="6:16" s="14" customFormat="1" x14ac:dyDescent="0.25"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</row>
    <row r="1334" spans="6:16" s="14" customFormat="1" x14ac:dyDescent="0.25"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</row>
    <row r="1335" spans="6:16" s="14" customFormat="1" x14ac:dyDescent="0.25"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</row>
    <row r="1336" spans="6:16" s="14" customFormat="1" x14ac:dyDescent="0.25"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</row>
    <row r="1337" spans="6:16" s="14" customFormat="1" x14ac:dyDescent="0.25"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</row>
    <row r="1338" spans="6:16" s="14" customFormat="1" x14ac:dyDescent="0.25"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</row>
    <row r="1339" spans="6:16" s="14" customFormat="1" x14ac:dyDescent="0.25"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</row>
    <row r="1340" spans="6:16" s="14" customFormat="1" x14ac:dyDescent="0.25"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</row>
    <row r="1341" spans="6:16" s="14" customFormat="1" x14ac:dyDescent="0.25"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  <c r="P1341" s="54"/>
    </row>
    <row r="1342" spans="6:16" s="14" customFormat="1" x14ac:dyDescent="0.25"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  <c r="P1342" s="54"/>
    </row>
    <row r="1343" spans="6:16" s="14" customFormat="1" x14ac:dyDescent="0.25"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</row>
    <row r="1344" spans="6:16" s="14" customFormat="1" x14ac:dyDescent="0.25"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</row>
    <row r="1345" spans="6:16" s="14" customFormat="1" x14ac:dyDescent="0.25"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</row>
    <row r="1346" spans="6:16" s="14" customFormat="1" x14ac:dyDescent="0.25"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</row>
    <row r="1347" spans="6:16" s="14" customFormat="1" x14ac:dyDescent="0.25"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</row>
    <row r="1348" spans="6:16" s="14" customFormat="1" x14ac:dyDescent="0.25"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</row>
    <row r="1349" spans="6:16" s="14" customFormat="1" x14ac:dyDescent="0.25"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</row>
    <row r="1350" spans="6:16" s="14" customFormat="1" x14ac:dyDescent="0.25"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</row>
    <row r="1351" spans="6:16" s="14" customFormat="1" x14ac:dyDescent="0.25"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</row>
    <row r="1352" spans="6:16" s="14" customFormat="1" x14ac:dyDescent="0.25"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</row>
    <row r="1353" spans="6:16" s="14" customFormat="1" x14ac:dyDescent="0.25"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</row>
    <row r="1354" spans="6:16" s="14" customFormat="1" x14ac:dyDescent="0.25"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</row>
    <row r="1355" spans="6:16" s="14" customFormat="1" x14ac:dyDescent="0.25"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</row>
    <row r="1356" spans="6:16" s="14" customFormat="1" x14ac:dyDescent="0.25"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</row>
    <row r="1357" spans="6:16" s="14" customFormat="1" x14ac:dyDescent="0.25"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</row>
    <row r="1358" spans="6:16" s="14" customFormat="1" x14ac:dyDescent="0.25"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</row>
    <row r="1359" spans="6:16" s="14" customFormat="1" x14ac:dyDescent="0.25"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</row>
    <row r="1360" spans="6:16" s="14" customFormat="1" x14ac:dyDescent="0.25"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</row>
    <row r="1361" spans="6:16" s="14" customFormat="1" x14ac:dyDescent="0.25"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</row>
    <row r="1362" spans="6:16" s="14" customFormat="1" x14ac:dyDescent="0.25"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</row>
    <row r="1363" spans="6:16" s="14" customFormat="1" x14ac:dyDescent="0.25"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  <c r="P1363" s="54"/>
    </row>
    <row r="1364" spans="6:16" s="14" customFormat="1" x14ac:dyDescent="0.25"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  <c r="P1364" s="54"/>
    </row>
    <row r="1365" spans="6:16" s="14" customFormat="1" x14ac:dyDescent="0.25"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</row>
    <row r="1366" spans="6:16" s="14" customFormat="1" x14ac:dyDescent="0.25"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  <c r="P1366" s="54"/>
    </row>
    <row r="1367" spans="6:16" s="14" customFormat="1" x14ac:dyDescent="0.25"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</row>
    <row r="1368" spans="6:16" s="14" customFormat="1" x14ac:dyDescent="0.25"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  <c r="P1368" s="54"/>
    </row>
    <row r="1369" spans="6:16" s="14" customFormat="1" x14ac:dyDescent="0.25"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</row>
    <row r="1370" spans="6:16" s="14" customFormat="1" x14ac:dyDescent="0.25"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</row>
    <row r="1371" spans="6:16" s="14" customFormat="1" x14ac:dyDescent="0.25"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  <c r="P1371" s="54"/>
    </row>
    <row r="1372" spans="6:16" s="14" customFormat="1" x14ac:dyDescent="0.25"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  <c r="P1372" s="54"/>
    </row>
    <row r="1373" spans="6:16" s="14" customFormat="1" x14ac:dyDescent="0.25"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</row>
    <row r="1374" spans="6:16" s="14" customFormat="1" x14ac:dyDescent="0.25"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</row>
    <row r="1375" spans="6:16" s="14" customFormat="1" x14ac:dyDescent="0.25"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</row>
    <row r="1376" spans="6:16" s="14" customFormat="1" x14ac:dyDescent="0.25"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</row>
    <row r="1377" spans="6:16" s="14" customFormat="1" x14ac:dyDescent="0.25"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</row>
    <row r="1378" spans="6:16" s="14" customFormat="1" x14ac:dyDescent="0.25"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  <c r="P1378" s="54"/>
    </row>
    <row r="1379" spans="6:16" s="14" customFormat="1" x14ac:dyDescent="0.25"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</row>
    <row r="1380" spans="6:16" s="14" customFormat="1" x14ac:dyDescent="0.25"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  <c r="P1380" s="54"/>
    </row>
    <row r="1381" spans="6:16" s="14" customFormat="1" x14ac:dyDescent="0.25"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  <c r="P1381" s="54"/>
    </row>
    <row r="1382" spans="6:16" s="14" customFormat="1" x14ac:dyDescent="0.25"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  <c r="P1382" s="54"/>
    </row>
    <row r="1383" spans="6:16" s="14" customFormat="1" x14ac:dyDescent="0.25"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</row>
    <row r="1384" spans="6:16" s="14" customFormat="1" x14ac:dyDescent="0.25"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</row>
    <row r="1385" spans="6:16" s="14" customFormat="1" x14ac:dyDescent="0.25"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</row>
    <row r="1386" spans="6:16" s="14" customFormat="1" x14ac:dyDescent="0.25"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  <c r="P1386" s="54"/>
    </row>
    <row r="1387" spans="6:16" s="14" customFormat="1" x14ac:dyDescent="0.25"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</row>
    <row r="1388" spans="6:16" s="14" customFormat="1" x14ac:dyDescent="0.25"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  <c r="P1388" s="54"/>
    </row>
    <row r="1389" spans="6:16" s="14" customFormat="1" x14ac:dyDescent="0.25"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  <c r="P1389" s="54"/>
    </row>
    <row r="1390" spans="6:16" s="14" customFormat="1" x14ac:dyDescent="0.25"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  <c r="P1390" s="54"/>
    </row>
    <row r="1391" spans="6:16" s="14" customFormat="1" x14ac:dyDescent="0.25"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</row>
    <row r="1392" spans="6:16" s="14" customFormat="1" x14ac:dyDescent="0.25"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</row>
    <row r="1393" spans="6:16" s="14" customFormat="1" x14ac:dyDescent="0.25"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  <c r="P1393" s="54"/>
    </row>
    <row r="1394" spans="6:16" s="14" customFormat="1" x14ac:dyDescent="0.25"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  <c r="P1394" s="54"/>
    </row>
    <row r="1395" spans="6:16" s="14" customFormat="1" x14ac:dyDescent="0.25"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  <c r="P1395" s="54"/>
    </row>
    <row r="1396" spans="6:16" s="14" customFormat="1" x14ac:dyDescent="0.25"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  <c r="P1396" s="54"/>
    </row>
    <row r="1397" spans="6:16" s="14" customFormat="1" x14ac:dyDescent="0.25"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</row>
    <row r="1398" spans="6:16" s="14" customFormat="1" x14ac:dyDescent="0.25"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</row>
    <row r="1399" spans="6:16" s="14" customFormat="1" x14ac:dyDescent="0.25"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  <c r="P1399" s="54"/>
    </row>
    <row r="1400" spans="6:16" s="14" customFormat="1" x14ac:dyDescent="0.25"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</row>
    <row r="1401" spans="6:16" s="14" customFormat="1" x14ac:dyDescent="0.25"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  <c r="P1401" s="54"/>
    </row>
    <row r="1402" spans="6:16" s="14" customFormat="1" x14ac:dyDescent="0.25"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  <c r="P1402" s="54"/>
    </row>
    <row r="1403" spans="6:16" s="14" customFormat="1" x14ac:dyDescent="0.25"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  <c r="P1403" s="54"/>
    </row>
    <row r="1404" spans="6:16" s="14" customFormat="1" x14ac:dyDescent="0.25"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</row>
    <row r="1405" spans="6:16" s="14" customFormat="1" x14ac:dyDescent="0.25"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</row>
    <row r="1406" spans="6:16" s="14" customFormat="1" x14ac:dyDescent="0.25"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</row>
    <row r="1407" spans="6:16" s="14" customFormat="1" x14ac:dyDescent="0.25"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  <c r="P1407" s="54"/>
    </row>
    <row r="1408" spans="6:16" s="14" customFormat="1" x14ac:dyDescent="0.25"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  <c r="P1408" s="54"/>
    </row>
    <row r="1409" spans="6:16" s="14" customFormat="1" x14ac:dyDescent="0.25"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</row>
    <row r="1410" spans="6:16" s="14" customFormat="1" x14ac:dyDescent="0.25"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</row>
    <row r="1411" spans="6:16" s="14" customFormat="1" x14ac:dyDescent="0.25"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</row>
    <row r="1412" spans="6:16" s="14" customFormat="1" x14ac:dyDescent="0.25"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</row>
    <row r="1413" spans="6:16" s="14" customFormat="1" x14ac:dyDescent="0.25"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  <c r="P1413" s="54"/>
    </row>
    <row r="1414" spans="6:16" s="14" customFormat="1" x14ac:dyDescent="0.25"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  <c r="P1414" s="54"/>
    </row>
    <row r="1415" spans="6:16" s="14" customFormat="1" x14ac:dyDescent="0.25"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  <c r="P1415" s="54"/>
    </row>
    <row r="1416" spans="6:16" s="14" customFormat="1" x14ac:dyDescent="0.25"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  <c r="P1416" s="54"/>
    </row>
    <row r="1417" spans="6:16" s="14" customFormat="1" x14ac:dyDescent="0.25"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</row>
    <row r="1418" spans="6:16" s="14" customFormat="1" x14ac:dyDescent="0.25"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</row>
    <row r="1419" spans="6:16" s="14" customFormat="1" x14ac:dyDescent="0.25"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</row>
    <row r="1420" spans="6:16" s="14" customFormat="1" x14ac:dyDescent="0.25"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</row>
    <row r="1421" spans="6:16" s="14" customFormat="1" x14ac:dyDescent="0.25"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</row>
    <row r="1422" spans="6:16" s="14" customFormat="1" x14ac:dyDescent="0.25"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  <c r="P1422" s="54"/>
    </row>
    <row r="1423" spans="6:16" s="14" customFormat="1" x14ac:dyDescent="0.25"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</row>
    <row r="1424" spans="6:16" s="14" customFormat="1" x14ac:dyDescent="0.25"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</row>
    <row r="1425" spans="6:16" s="14" customFormat="1" x14ac:dyDescent="0.25"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</row>
    <row r="1426" spans="6:16" s="14" customFormat="1" x14ac:dyDescent="0.25"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  <c r="P1426" s="54"/>
    </row>
    <row r="1427" spans="6:16" s="14" customFormat="1" x14ac:dyDescent="0.25"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</row>
    <row r="1428" spans="6:16" s="14" customFormat="1" x14ac:dyDescent="0.25"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</row>
    <row r="1429" spans="6:16" s="14" customFormat="1" x14ac:dyDescent="0.25"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  <c r="P1429" s="54"/>
    </row>
    <row r="1430" spans="6:16" s="14" customFormat="1" x14ac:dyDescent="0.25"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</row>
    <row r="1431" spans="6:16" s="14" customFormat="1" x14ac:dyDescent="0.25"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</row>
    <row r="1432" spans="6:16" s="14" customFormat="1" x14ac:dyDescent="0.25"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  <c r="P1432" s="54"/>
    </row>
    <row r="1433" spans="6:16" s="14" customFormat="1" x14ac:dyDescent="0.25"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  <c r="P1433" s="54"/>
    </row>
    <row r="1434" spans="6:16" s="14" customFormat="1" x14ac:dyDescent="0.25"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</row>
    <row r="1435" spans="6:16" s="14" customFormat="1" x14ac:dyDescent="0.25"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</row>
    <row r="1436" spans="6:16" s="14" customFormat="1" x14ac:dyDescent="0.25"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</row>
    <row r="1437" spans="6:16" s="14" customFormat="1" x14ac:dyDescent="0.25"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  <c r="P1437" s="54"/>
    </row>
    <row r="1438" spans="6:16" s="14" customFormat="1" x14ac:dyDescent="0.25"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</row>
    <row r="1439" spans="6:16" s="14" customFormat="1" x14ac:dyDescent="0.25"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</row>
    <row r="1440" spans="6:16" s="14" customFormat="1" x14ac:dyDescent="0.25"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  <c r="P1440" s="54"/>
    </row>
    <row r="1441" spans="6:16" s="14" customFormat="1" x14ac:dyDescent="0.25"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  <c r="P1441" s="54"/>
    </row>
    <row r="1442" spans="6:16" s="14" customFormat="1" x14ac:dyDescent="0.25"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  <c r="P1442" s="54"/>
    </row>
    <row r="1443" spans="6:16" s="14" customFormat="1" x14ac:dyDescent="0.25"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</row>
    <row r="1444" spans="6:16" s="14" customFormat="1" x14ac:dyDescent="0.25"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</row>
    <row r="1445" spans="6:16" s="14" customFormat="1" x14ac:dyDescent="0.25"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</row>
    <row r="1446" spans="6:16" s="14" customFormat="1" x14ac:dyDescent="0.25"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</row>
    <row r="1447" spans="6:16" s="14" customFormat="1" x14ac:dyDescent="0.25"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</row>
    <row r="1448" spans="6:16" s="14" customFormat="1" x14ac:dyDescent="0.25"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</row>
    <row r="1449" spans="6:16" s="14" customFormat="1" x14ac:dyDescent="0.25"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</row>
    <row r="1450" spans="6:16" s="14" customFormat="1" x14ac:dyDescent="0.25"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</row>
    <row r="1451" spans="6:16" s="14" customFormat="1" x14ac:dyDescent="0.25"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</row>
    <row r="1452" spans="6:16" s="14" customFormat="1" x14ac:dyDescent="0.25"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</row>
    <row r="1453" spans="6:16" s="14" customFormat="1" x14ac:dyDescent="0.25"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</row>
    <row r="1454" spans="6:16" s="14" customFormat="1" x14ac:dyDescent="0.25"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</row>
    <row r="1455" spans="6:16" s="14" customFormat="1" x14ac:dyDescent="0.25"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</row>
    <row r="1456" spans="6:16" s="14" customFormat="1" x14ac:dyDescent="0.25"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</row>
    <row r="1457" spans="6:16" s="14" customFormat="1" x14ac:dyDescent="0.25"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</row>
    <row r="1458" spans="6:16" s="14" customFormat="1" x14ac:dyDescent="0.25"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</row>
    <row r="1459" spans="6:16" s="14" customFormat="1" x14ac:dyDescent="0.25"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</row>
    <row r="1460" spans="6:16" s="14" customFormat="1" x14ac:dyDescent="0.25"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</row>
    <row r="1461" spans="6:16" s="14" customFormat="1" x14ac:dyDescent="0.25"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</row>
    <row r="1462" spans="6:16" s="14" customFormat="1" x14ac:dyDescent="0.25"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</row>
    <row r="1463" spans="6:16" s="14" customFormat="1" x14ac:dyDescent="0.25"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</row>
    <row r="1464" spans="6:16" s="14" customFormat="1" x14ac:dyDescent="0.25"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</row>
    <row r="1465" spans="6:16" s="14" customFormat="1" x14ac:dyDescent="0.25"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</row>
    <row r="1466" spans="6:16" s="14" customFormat="1" x14ac:dyDescent="0.25"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</row>
    <row r="1467" spans="6:16" s="14" customFormat="1" x14ac:dyDescent="0.25"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</row>
    <row r="1468" spans="6:16" s="14" customFormat="1" x14ac:dyDescent="0.25"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  <c r="P1468" s="54"/>
    </row>
    <row r="1469" spans="6:16" s="14" customFormat="1" x14ac:dyDescent="0.25"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</row>
    <row r="1470" spans="6:16" s="14" customFormat="1" x14ac:dyDescent="0.25"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</row>
    <row r="1471" spans="6:16" s="14" customFormat="1" x14ac:dyDescent="0.25"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  <c r="P1471" s="54"/>
    </row>
    <row r="1472" spans="6:16" s="14" customFormat="1" x14ac:dyDescent="0.25"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  <c r="P1472" s="54"/>
    </row>
    <row r="1473" spans="6:16" s="14" customFormat="1" x14ac:dyDescent="0.25"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  <c r="P1473" s="54"/>
    </row>
    <row r="1474" spans="6:16" s="14" customFormat="1" x14ac:dyDescent="0.25"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</row>
    <row r="1475" spans="6:16" s="14" customFormat="1" x14ac:dyDescent="0.25"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</row>
    <row r="1476" spans="6:16" s="14" customFormat="1" x14ac:dyDescent="0.25"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  <c r="P1476" s="54"/>
    </row>
    <row r="1477" spans="6:16" s="14" customFormat="1" x14ac:dyDescent="0.25"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  <c r="P1477" s="54"/>
    </row>
    <row r="1478" spans="6:16" s="14" customFormat="1" x14ac:dyDescent="0.25"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</row>
    <row r="1479" spans="6:16" s="14" customFormat="1" x14ac:dyDescent="0.25"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  <c r="P1479" s="54"/>
    </row>
    <row r="1480" spans="6:16" s="14" customFormat="1" x14ac:dyDescent="0.25"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  <c r="P1480" s="54"/>
    </row>
    <row r="1481" spans="6:16" s="14" customFormat="1" x14ac:dyDescent="0.25"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</row>
    <row r="1482" spans="6:16" s="14" customFormat="1" x14ac:dyDescent="0.25"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</row>
    <row r="1483" spans="6:16" s="14" customFormat="1" x14ac:dyDescent="0.25"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</row>
    <row r="1484" spans="6:16" s="14" customFormat="1" x14ac:dyDescent="0.25"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  <c r="P1484" s="54"/>
    </row>
    <row r="1485" spans="6:16" s="14" customFormat="1" x14ac:dyDescent="0.25"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</row>
    <row r="1486" spans="6:16" s="14" customFormat="1" x14ac:dyDescent="0.25"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  <c r="P1486" s="54"/>
    </row>
    <row r="1487" spans="6:16" s="14" customFormat="1" x14ac:dyDescent="0.25"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</row>
    <row r="1488" spans="6:16" s="14" customFormat="1" x14ac:dyDescent="0.25"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  <c r="P1488" s="54"/>
    </row>
    <row r="1489" spans="6:16" s="14" customFormat="1" x14ac:dyDescent="0.25"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  <c r="P1489" s="54"/>
    </row>
    <row r="1490" spans="6:16" s="14" customFormat="1" x14ac:dyDescent="0.25"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  <c r="P1490" s="54"/>
    </row>
  </sheetData>
  <mergeCells count="1">
    <mergeCell ref="A1:P1"/>
  </mergeCells>
  <pageMargins left="0.70866141732283472" right="0.70866141732283472" top="0.74803149606299213" bottom="0.74803149606299213" header="0.31496062992125984" footer="0.31496062992125984"/>
  <pageSetup scale="55" orientation="landscape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Tourism</vt:lpstr>
      <vt:lpstr>Tourism!Print_Area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2021-12-13T21:38:58Z</cp:lastPrinted>
  <dcterms:created xsi:type="dcterms:W3CDTF">2019-05-14T08:05:18Z</dcterms:created>
  <dcterms:modified xsi:type="dcterms:W3CDTF">2021-12-13T22:15:47Z</dcterms:modified>
</cp:coreProperties>
</file>