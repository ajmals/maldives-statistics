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New folder\"/>
    </mc:Choice>
  </mc:AlternateContent>
  <bookViews>
    <workbookView xWindow="-105" yWindow="-105" windowWidth="19425" windowHeight="10425" tabRatio="838"/>
  </bookViews>
  <sheets>
    <sheet name="Elec &amp; water" sheetId="10" r:id="rId1"/>
  </sheets>
  <externalReferences>
    <externalReference r:id="rId2"/>
  </externalReferences>
  <definedNames>
    <definedName name="_xlnm.Print_Area" localSheetId="0">'Elec &amp; water'!$A$1:$P$42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19" i="10" l="1"/>
  <c r="BA20" i="10"/>
  <c r="BA21" i="10"/>
  <c r="P22" i="10"/>
  <c r="P23" i="10"/>
  <c r="P24" i="10"/>
  <c r="P4" i="10"/>
  <c r="AA68" i="10" l="1"/>
  <c r="AB68" i="10"/>
  <c r="AC68" i="10"/>
  <c r="AA69" i="10"/>
  <c r="AB69" i="10"/>
  <c r="AC69" i="10"/>
  <c r="AA70" i="10"/>
  <c r="AB70" i="10"/>
  <c r="AC70" i="10"/>
  <c r="AA71" i="10"/>
  <c r="AB71" i="10"/>
  <c r="AC71" i="10"/>
  <c r="AA72" i="10"/>
  <c r="AB72" i="10"/>
  <c r="AC72" i="10"/>
  <c r="AA73" i="10"/>
  <c r="AB73" i="10"/>
  <c r="AC73" i="10"/>
  <c r="AA74" i="10"/>
  <c r="AB74" i="10"/>
  <c r="AC74" i="10"/>
  <c r="AA75" i="10"/>
  <c r="AB75" i="10"/>
  <c r="AC75" i="10"/>
  <c r="AA76" i="10"/>
  <c r="AB76" i="10"/>
  <c r="AC76" i="10"/>
  <c r="AA77" i="10"/>
  <c r="AB77" i="10"/>
  <c r="AC77" i="10"/>
  <c r="AA78" i="10"/>
  <c r="AB78" i="10"/>
  <c r="AC78" i="10"/>
  <c r="AC67" i="10"/>
  <c r="AB67" i="10"/>
  <c r="AA67" i="10"/>
  <c r="P10" i="10" l="1"/>
  <c r="O11" i="10" l="1"/>
  <c r="P11" i="10"/>
  <c r="O12" i="10"/>
  <c r="P12" i="10"/>
  <c r="O10" i="10"/>
  <c r="AZ21" i="10" l="1"/>
  <c r="AZ20" i="10"/>
  <c r="AZ19" i="10"/>
  <c r="O22" i="10"/>
  <c r="O23" i="10"/>
  <c r="O24" i="10"/>
  <c r="O4" i="10"/>
  <c r="G11" i="10"/>
  <c r="H11" i="10"/>
  <c r="I11" i="10"/>
  <c r="J11" i="10"/>
  <c r="K11" i="10"/>
  <c r="L11" i="10"/>
  <c r="M11" i="10"/>
  <c r="N11" i="10"/>
  <c r="G12" i="10"/>
  <c r="H12" i="10"/>
  <c r="I12" i="10"/>
  <c r="J12" i="10"/>
  <c r="K12" i="10"/>
  <c r="L12" i="10"/>
  <c r="M12" i="10"/>
  <c r="N12" i="10"/>
  <c r="G23" i="10"/>
  <c r="H23" i="10"/>
  <c r="I23" i="10"/>
  <c r="J23" i="10"/>
  <c r="K23" i="10"/>
  <c r="L23" i="10"/>
  <c r="M23" i="10"/>
  <c r="N23" i="10"/>
  <c r="G24" i="10"/>
  <c r="H24" i="10"/>
  <c r="I24" i="10"/>
  <c r="J24" i="10"/>
  <c r="K24" i="10"/>
  <c r="L24" i="10"/>
  <c r="M24" i="10"/>
  <c r="N24" i="10"/>
  <c r="N4" i="10"/>
  <c r="N10" i="10"/>
  <c r="N22" i="10"/>
  <c r="M22" i="10"/>
  <c r="L22" i="10"/>
  <c r="K22" i="10"/>
  <c r="J22" i="10"/>
  <c r="I22" i="10"/>
  <c r="H22" i="10"/>
  <c r="G22" i="10"/>
  <c r="M10" i="10"/>
  <c r="L10" i="10"/>
  <c r="K10" i="10"/>
  <c r="J10" i="10"/>
  <c r="I10" i="10"/>
  <c r="H10" i="10"/>
  <c r="G10" i="10"/>
  <c r="M4" i="10"/>
  <c r="L4" i="10"/>
  <c r="K4" i="10"/>
  <c r="J4" i="10"/>
  <c r="I4" i="10"/>
  <c r="H4" i="10"/>
  <c r="G4" i="10"/>
</calcChain>
</file>

<file path=xl/sharedStrings.xml><?xml version="1.0" encoding="utf-8"?>
<sst xmlns="http://schemas.openxmlformats.org/spreadsheetml/2006/main" count="122" uniqueCount="40">
  <si>
    <t>Male'</t>
  </si>
  <si>
    <t>Hulhumale'</t>
  </si>
  <si>
    <t>Male</t>
  </si>
  <si>
    <t>ELECTRICITY</t>
  </si>
  <si>
    <t>% Change in Electricity Utilization</t>
  </si>
  <si>
    <t>% Change in Electricity production</t>
  </si>
  <si>
    <t>WATER</t>
  </si>
  <si>
    <t>% Change in Water Distribution</t>
  </si>
  <si>
    <t>VilliMale'</t>
  </si>
  <si>
    <r>
      <t>Electricity Utilization in Male' ( in ' 000 Kwh)</t>
    </r>
    <r>
      <rPr>
        <vertAlign val="superscript"/>
        <sz val="11"/>
        <rFont val="Candara"/>
        <family val="2"/>
      </rPr>
      <t>1_/</t>
    </r>
  </si>
  <si>
    <t>Total</t>
  </si>
  <si>
    <r>
      <t xml:space="preserve"> Male'</t>
    </r>
    <r>
      <rPr>
        <sz val="10"/>
        <rFont val="Candara"/>
        <family val="2"/>
      </rPr>
      <t xml:space="preserve"> </t>
    </r>
  </si>
  <si>
    <t xml:space="preserve"> Vilimale'</t>
  </si>
  <si>
    <t xml:space="preserve"> Hulhumale</t>
  </si>
  <si>
    <r>
      <t>Water distribution</t>
    </r>
    <r>
      <rPr>
        <b/>
        <sz val="10"/>
        <rFont val="Candara"/>
        <family val="2"/>
      </rPr>
      <t xml:space="preserve"> (in ' 000 metric tones)</t>
    </r>
  </si>
  <si>
    <r>
      <t xml:space="preserve"> Male'</t>
    </r>
    <r>
      <rPr>
        <b/>
        <sz val="10"/>
        <rFont val="Candara"/>
        <family val="2"/>
      </rPr>
      <t xml:space="preserve"> </t>
    </r>
  </si>
  <si>
    <t xml:space="preserve"> Hulhumale'</t>
  </si>
  <si>
    <t xml:space="preserve"> Male' </t>
  </si>
  <si>
    <t>Note: Electricity production by Utility companies not included</t>
  </si>
  <si>
    <t>Electricity production ( in ' 000 Kwh)</t>
  </si>
  <si>
    <t>Island</t>
  </si>
  <si>
    <t>Month</t>
  </si>
  <si>
    <t>Power (kwh)</t>
  </si>
  <si>
    <t>Fuel (L)</t>
  </si>
  <si>
    <t>Lube (L)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</si>
  <si>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</si>
  <si>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</si>
  <si>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</si>
  <si>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</si>
  <si>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</si>
  <si>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</si>
  <si>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</si>
  <si>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</si>
  <si>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</si>
  <si>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</si>
  <si>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</si>
  <si>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</si>
  <si>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Hulhumale</t>
  </si>
  <si>
    <t>Villingili</t>
  </si>
  <si>
    <t>Vilingili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</si>
</sst>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8" formatCode="#,##0.0"/>
    <numFmt numFmtId="169" formatCode="General_)"/>
    <numFmt numFmtId="171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0"/>
      <name val="Candara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</font>
    <font>
      <b/>
      <sz val="11"/>
      <name val="Candara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andara"/>
      <family val="2"/>
    </font>
    <font>
      <sz val="11"/>
      <name val="Candara"/>
      <family val="2"/>
    </font>
    <font>
      <vertAlign val="superscript"/>
      <sz val="11"/>
      <name val="Candara"/>
      <family val="2"/>
    </font>
    <font>
      <b/>
      <sz val="10"/>
      <name val="Candara"/>
      <family val="2"/>
    </font>
    <font>
      <b/>
      <sz val="11"/>
      <color rgb="FF000000"/>
      <name val="Calibri"/>
      <family val="2"/>
    </font>
    <font>
      <b/>
      <sz val="22"/>
      <color theme="0"/>
      <name val="Candara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49390"/>
        <bgColor indexed="64"/>
      </patternFill>
    </fill>
    <fill>
      <patternFill patternType="solid">
        <fgColor rgb="FFE0F9F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9" fontId="8" fillId="0" borderId="0"/>
    <xf numFmtId="43" fontId="17" fillId="0" borderId="0" applyFont="0" applyFill="0" applyBorder="0" applyAlignment="0" applyProtection="0"/>
    <xf numFmtId="0" fontId="17" fillId="0" borderId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6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20" borderId="0" applyNumberFormat="0" applyBorder="0" applyAlignment="0" applyProtection="0"/>
    <xf numFmtId="0" fontId="22" fillId="4" borderId="0" applyNumberFormat="0" applyBorder="0" applyAlignment="0" applyProtection="0"/>
    <xf numFmtId="0" fontId="23" fillId="21" borderId="2" applyNumberFormat="0" applyAlignment="0" applyProtection="0"/>
    <xf numFmtId="0" fontId="24" fillId="22" borderId="3" applyNumberFormat="0" applyAlignment="0" applyProtection="0"/>
    <xf numFmtId="40" fontId="1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0" fontId="30" fillId="8" borderId="2" applyNumberFormat="0" applyAlignment="0" applyProtection="0"/>
    <xf numFmtId="0" fontId="31" fillId="0" borderId="7" applyNumberFormat="0" applyFill="0" applyAlignment="0" applyProtection="0"/>
    <xf numFmtId="0" fontId="32" fillId="23" borderId="0" applyNumberFormat="0" applyBorder="0" applyAlignment="0" applyProtection="0"/>
    <xf numFmtId="171" fontId="1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169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0" fillId="24" borderId="8" applyNumberFormat="0" applyFont="0" applyAlignment="0" applyProtection="0"/>
    <xf numFmtId="0" fontId="33" fillId="21" borderId="9" applyNumberFormat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35" fillId="0" borderId="0" applyNumberFormat="0" applyFill="0" applyBorder="0" applyAlignment="0" applyProtection="0"/>
    <xf numFmtId="169" fontId="8" fillId="0" borderId="0"/>
    <xf numFmtId="169" fontId="8" fillId="0" borderId="0"/>
    <xf numFmtId="0" fontId="1" fillId="0" borderId="0"/>
    <xf numFmtId="0" fontId="8" fillId="0" borderId="0"/>
    <xf numFmtId="0" fontId="2" fillId="0" borderId="0"/>
    <xf numFmtId="165" fontId="8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</cellStyleXfs>
  <cellXfs count="72">
    <xf numFmtId="0" fontId="0" fillId="0" borderId="0" xfId="0"/>
    <xf numFmtId="0" fontId="4" fillId="2" borderId="0" xfId="4" applyFont="1" applyFill="1" applyAlignment="1">
      <alignment horizontal="left" vertical="center" indent="1"/>
    </xf>
    <xf numFmtId="0" fontId="0" fillId="0" borderId="0" xfId="0" applyFill="1"/>
    <xf numFmtId="0" fontId="0" fillId="2" borderId="0" xfId="0" applyFill="1" applyAlignment="1">
      <alignment vertical="center"/>
    </xf>
    <xf numFmtId="3" fontId="0" fillId="2" borderId="0" xfId="0" applyNumberFormat="1" applyFill="1"/>
    <xf numFmtId="0" fontId="12" fillId="2" borderId="0" xfId="0" applyFont="1" applyFill="1"/>
    <xf numFmtId="0" fontId="13" fillId="2" borderId="0" xfId="4" applyFont="1" applyFill="1"/>
    <xf numFmtId="0" fontId="0" fillId="2" borderId="0" xfId="4" applyFont="1" applyFill="1"/>
    <xf numFmtId="0" fontId="0" fillId="0" borderId="0" xfId="0"/>
    <xf numFmtId="0" fontId="0" fillId="2" borderId="0" xfId="0" applyFill="1"/>
    <xf numFmtId="0" fontId="0" fillId="0" borderId="0" xfId="0" applyFill="1" applyAlignment="1">
      <alignment vertical="center"/>
    </xf>
    <xf numFmtId="0" fontId="37" fillId="2" borderId="0" xfId="4" applyFont="1" applyFill="1" applyAlignment="1">
      <alignment vertical="center"/>
    </xf>
    <xf numFmtId="0" fontId="4" fillId="2" borderId="0" xfId="4" applyFont="1" applyFill="1" applyAlignment="1"/>
    <xf numFmtId="3" fontId="6" fillId="2" borderId="0" xfId="4" applyNumberFormat="1" applyFont="1" applyFill="1" applyAlignment="1" applyProtection="1">
      <alignment horizontal="right"/>
    </xf>
    <xf numFmtId="0" fontId="6" fillId="2" borderId="0" xfId="4" applyFont="1" applyFill="1" applyAlignment="1"/>
    <xf numFmtId="3" fontId="6" fillId="2" borderId="0" xfId="4" applyNumberFormat="1" applyFont="1" applyFill="1" applyAlignment="1">
      <alignment vertical="center"/>
    </xf>
    <xf numFmtId="166" fontId="0" fillId="2" borderId="0" xfId="1" applyNumberFormat="1" applyFont="1" applyFill="1"/>
    <xf numFmtId="166" fontId="14" fillId="2" borderId="0" xfId="1" applyNumberFormat="1" applyFont="1" applyFill="1"/>
    <xf numFmtId="3" fontId="14" fillId="2" borderId="0" xfId="4" applyNumberFormat="1" applyFont="1" applyFill="1" applyAlignment="1">
      <alignment vertical="center"/>
    </xf>
    <xf numFmtId="3" fontId="13" fillId="2" borderId="0" xfId="4" applyNumberFormat="1" applyFont="1" applyFill="1"/>
    <xf numFmtId="165" fontId="0" fillId="2" borderId="0" xfId="4" applyNumberFormat="1" applyFont="1" applyFill="1"/>
    <xf numFmtId="0" fontId="0" fillId="0" borderId="0" xfId="0" applyAlignment="1">
      <alignment horizontal="right" vertical="center"/>
    </xf>
    <xf numFmtId="3" fontId="15" fillId="2" borderId="0" xfId="1" applyNumberFormat="1" applyFont="1" applyFill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11" fillId="2" borderId="0" xfId="0" applyNumberFormat="1" applyFont="1" applyFill="1" applyAlignment="1" applyProtection="1">
      <alignment horizontal="right" vertical="center"/>
    </xf>
    <xf numFmtId="1" fontId="15" fillId="2" borderId="11" xfId="0" applyNumberFormat="1" applyFont="1" applyFill="1" applyBorder="1" applyAlignment="1">
      <alignment horizontal="right" vertical="center"/>
    </xf>
    <xf numFmtId="0" fontId="37" fillId="2" borderId="0" xfId="4" applyFont="1" applyFill="1" applyAlignment="1">
      <alignment horizontal="left" vertical="center" indent="1"/>
    </xf>
    <xf numFmtId="0" fontId="4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vertical="center"/>
    </xf>
    <xf numFmtId="168" fontId="6" fillId="2" borderId="0" xfId="4" applyNumberFormat="1" applyFont="1" applyFill="1" applyAlignment="1">
      <alignment vertical="center"/>
    </xf>
    <xf numFmtId="3" fontId="13" fillId="2" borderId="0" xfId="4" applyNumberFormat="1" applyFont="1" applyFill="1" applyAlignment="1">
      <alignment vertical="center"/>
    </xf>
    <xf numFmtId="0" fontId="4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indent="1"/>
    </xf>
    <xf numFmtId="0" fontId="37" fillId="2" borderId="0" xfId="4" applyFont="1" applyFill="1" applyAlignment="1">
      <alignment horizontal="left" vertical="center" indent="3"/>
    </xf>
    <xf numFmtId="0" fontId="1" fillId="2" borderId="0" xfId="0" applyFont="1" applyFill="1"/>
    <xf numFmtId="168" fontId="9" fillId="2" borderId="0" xfId="69" applyNumberFormat="1" applyFont="1" applyFill="1" applyAlignment="1">
      <alignment vertical="center"/>
    </xf>
    <xf numFmtId="0" fontId="7" fillId="2" borderId="0" xfId="2" applyFont="1" applyFill="1" applyBorder="1" applyAlignment="1">
      <alignment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3" fontId="0" fillId="25" borderId="13" xfId="0" applyNumberFormat="1" applyFill="1" applyBorder="1" applyAlignment="1">
      <alignment horizontal="center" vertical="center"/>
    </xf>
    <xf numFmtId="3" fontId="0" fillId="25" borderId="14" xfId="0" applyNumberFormat="1" applyFill="1" applyBorder="1" applyAlignment="1">
      <alignment horizontal="center" vertical="center"/>
    </xf>
    <xf numFmtId="0" fontId="0" fillId="0" borderId="15" xfId="0" applyBorder="1"/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26" borderId="17" xfId="0" applyFill="1" applyBorder="1"/>
    <xf numFmtId="0" fontId="0" fillId="26" borderId="18" xfId="0" applyFill="1" applyBorder="1"/>
    <xf numFmtId="3" fontId="0" fillId="26" borderId="18" xfId="0" applyNumberFormat="1" applyFill="1" applyBorder="1" applyAlignment="1">
      <alignment horizontal="center" vertical="center"/>
    </xf>
    <xf numFmtId="3" fontId="0" fillId="26" borderId="19" xfId="0" applyNumberFormat="1" applyFill="1" applyBorder="1" applyAlignment="1">
      <alignment horizontal="center" vertical="center"/>
    </xf>
    <xf numFmtId="0" fontId="0" fillId="0" borderId="20" xfId="0" applyBorder="1"/>
    <xf numFmtId="3" fontId="0" fillId="0" borderId="20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64" fontId="40" fillId="2" borderId="0" xfId="1" applyFont="1" applyFill="1" applyAlignment="1">
      <alignment horizontal="right" vertical="center"/>
    </xf>
    <xf numFmtId="0" fontId="3" fillId="27" borderId="0" xfId="2" applyFont="1" applyFill="1" applyAlignment="1">
      <alignment vertical="center"/>
    </xf>
    <xf numFmtId="0" fontId="4" fillId="28" borderId="0" xfId="4" applyFont="1" applyFill="1" applyAlignment="1">
      <alignment horizontal="left" vertical="center" indent="1"/>
    </xf>
    <xf numFmtId="0" fontId="4" fillId="28" borderId="0" xfId="4" applyFont="1" applyFill="1" applyAlignment="1">
      <alignment horizontal="right" vertical="center"/>
    </xf>
    <xf numFmtId="0" fontId="0" fillId="28" borderId="0" xfId="0" applyFill="1"/>
    <xf numFmtId="0" fontId="37" fillId="28" borderId="0" xfId="4" applyFont="1" applyFill="1" applyAlignment="1">
      <alignment horizontal="left" vertical="center" indent="1"/>
    </xf>
    <xf numFmtId="0" fontId="37" fillId="28" borderId="0" xfId="4" applyFont="1" applyFill="1" applyAlignment="1">
      <alignment vertical="center"/>
    </xf>
    <xf numFmtId="168" fontId="9" fillId="28" borderId="0" xfId="69" applyNumberFormat="1" applyFont="1" applyFill="1" applyAlignment="1">
      <alignment vertical="center"/>
    </xf>
    <xf numFmtId="0" fontId="37" fillId="28" borderId="0" xfId="4" applyFont="1" applyFill="1" applyAlignment="1">
      <alignment horizontal="left" vertical="center" indent="3"/>
    </xf>
    <xf numFmtId="3" fontId="6" fillId="28" borderId="0" xfId="4" applyNumberFormat="1" applyFont="1" applyFill="1" applyAlignment="1">
      <alignment vertical="center"/>
    </xf>
    <xf numFmtId="0" fontId="4" fillId="28" borderId="0" xfId="4" applyFont="1" applyFill="1" applyAlignment="1">
      <alignment horizontal="left" vertical="center"/>
    </xf>
    <xf numFmtId="0" fontId="10" fillId="28" borderId="0" xfId="4" applyFont="1" applyFill="1" applyAlignment="1">
      <alignment vertical="center"/>
    </xf>
    <xf numFmtId="168" fontId="6" fillId="28" borderId="0" xfId="4" applyNumberFormat="1" applyFont="1" applyFill="1" applyAlignment="1">
      <alignment vertical="center"/>
    </xf>
    <xf numFmtId="0" fontId="5" fillId="28" borderId="0" xfId="0" applyFont="1" applyFill="1" applyAlignment="1">
      <alignment vertical="center"/>
    </xf>
    <xf numFmtId="0" fontId="5" fillId="28" borderId="0" xfId="4" applyFont="1" applyFill="1" applyAlignment="1">
      <alignment vertical="center"/>
    </xf>
    <xf numFmtId="0" fontId="41" fillId="27" borderId="0" xfId="2" applyFont="1" applyFill="1" applyAlignment="1">
      <alignment vertical="center"/>
    </xf>
    <xf numFmtId="0" fontId="41" fillId="27" borderId="0" xfId="2" applyFont="1" applyFill="1" applyAlignment="1">
      <alignment horizontal="left" vertical="center"/>
    </xf>
  </cellXfs>
  <cellStyles count="80">
    <cellStyle name="1" xfId="2"/>
    <cellStyle name="1 3" xfId="4"/>
    <cellStyle name="1_Indicators2007 2" xfId="71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2" xfId="9"/>
    <cellStyle name="Comma 2 2" xfId="74"/>
    <cellStyle name="Comma 3" xfId="6"/>
    <cellStyle name="Comma 3 2" xfId="38"/>
    <cellStyle name="Comma 3 3" xfId="75"/>
    <cellStyle name="Comma 4" xfId="70"/>
    <cellStyle name="Explanatory Text 2" xfId="39"/>
    <cellStyle name="Good 2" xfId="40"/>
    <cellStyle name="Heading 1 2" xfId="41"/>
    <cellStyle name="Heading 2 2" xfId="42"/>
    <cellStyle name="Heading 3 2" xfId="43"/>
    <cellStyle name="Heading 4 2" xfId="44"/>
    <cellStyle name="Input 2" xfId="45"/>
    <cellStyle name="Linked Cell 2" xfId="46"/>
    <cellStyle name="Neutral 2" xfId="47"/>
    <cellStyle name="Normal" xfId="0" builtinId="0"/>
    <cellStyle name="Normal - Style1" xfId="48"/>
    <cellStyle name="Normal 10" xfId="49"/>
    <cellStyle name="Normal 11" xfId="50"/>
    <cellStyle name="Normal 12" xfId="51"/>
    <cellStyle name="Normal 13" xfId="10"/>
    <cellStyle name="Normal 14" xfId="65"/>
    <cellStyle name="Normal 15" xfId="66"/>
    <cellStyle name="Normal 17" xfId="67"/>
    <cellStyle name="Normal 2" xfId="7"/>
    <cellStyle name="Normal 2 2" xfId="52"/>
    <cellStyle name="Normal 2 2 2" xfId="68"/>
    <cellStyle name="Normal 2 2 3" xfId="72"/>
    <cellStyle name="Normal 2 2 4" xfId="73"/>
    <cellStyle name="Normal 2 2 5" xfId="78"/>
    <cellStyle name="Normal 2 3" xfId="79"/>
    <cellStyle name="Normal 3" xfId="53"/>
    <cellStyle name="Normal 3 2" xfId="77"/>
    <cellStyle name="Normal 3 3" xfId="76"/>
    <cellStyle name="Normal 4" xfId="54"/>
    <cellStyle name="Normal 5" xfId="5"/>
    <cellStyle name="Normal 5 2" xfId="3"/>
    <cellStyle name="Normal 6" xfId="55"/>
    <cellStyle name="Normal 7" xfId="56"/>
    <cellStyle name="Normal 8" xfId="57"/>
    <cellStyle name="Normal 9" xfId="8"/>
    <cellStyle name="Normal 9 2" xfId="58"/>
    <cellStyle name="Normal_Indicators" xfId="69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  <dxfs count="0"/>
  <tableStyles count="0" defaultTableStyle="TableStyleMedium2" defaultPivotStyle="PivotStyleLight16"/>
  <colors>
    <mruColors>
      <color rgb="FFC8F4F2"/>
      <color rgb="FF249390"/>
      <color rgb="FFFFBD5D"/>
      <color rgb="FF33CCCC"/>
      <color rgb="FF196563"/>
      <color rgb="FFEAFAFA"/>
      <color rgb="FFE0F9F8"/>
      <color rgb="FFDDDDDD"/>
      <color rgb="FFFF99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Electricity Production, Male' 2010- 2020</a:t>
            </a:r>
          </a:p>
        </c:rich>
      </c:tx>
      <c:layout>
        <c:manualLayout>
          <c:xMode val="edge"/>
          <c:yMode val="edge"/>
          <c:x val="0.28246125490341845"/>
          <c:y val="2.6350461133069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35668659837628E-2"/>
          <c:y val="0.17516648191827175"/>
          <c:w val="0.8505257024308982"/>
          <c:h val="0.701409998348488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</c:spPr>
          <c:invertIfNegative val="0"/>
          <c:cat>
            <c:numRef>
              <c:f>'Elec &amp; water'!$F$2:$P$2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'Elec &amp; water'!$F$6:$P$6</c:f>
              <c:numCache>
                <c:formatCode>#,##0</c:formatCode>
                <c:ptCount val="11"/>
                <c:pt idx="0">
                  <c:v>217331</c:v>
                </c:pt>
                <c:pt idx="1">
                  <c:v>231445</c:v>
                </c:pt>
                <c:pt idx="2">
                  <c:v>243768</c:v>
                </c:pt>
                <c:pt idx="3">
                  <c:v>254761.10599999997</c:v>
                </c:pt>
                <c:pt idx="4">
                  <c:v>269868.86499999999</c:v>
                </c:pt>
                <c:pt idx="5">
                  <c:v>308896.36499999999</c:v>
                </c:pt>
                <c:pt idx="6">
                  <c:v>326328.94900000002</c:v>
                </c:pt>
                <c:pt idx="7">
                  <c:v>336961.61200000002</c:v>
                </c:pt>
                <c:pt idx="8">
                  <c:v>355074.59600000002</c:v>
                </c:pt>
                <c:pt idx="9">
                  <c:v>385812.93400000001</c:v>
                </c:pt>
                <c:pt idx="10">
                  <c:v>378693.30499999999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49-4468-B7B5-2DCA5AE6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9"/>
        <c:axId val="570644720"/>
        <c:axId val="570645112"/>
      </c:barChart>
      <c:catAx>
        <c:axId val="57064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0645112"/>
        <c:crosses val="autoZero"/>
        <c:auto val="1"/>
        <c:lblAlgn val="ctr"/>
        <c:lblOffset val="100"/>
        <c:noMultiLvlLbl val="0"/>
      </c:catAx>
      <c:valAx>
        <c:axId val="570645112"/>
        <c:scaling>
          <c:orientation val="minMax"/>
        </c:scaling>
        <c:delete val="0"/>
        <c:axPos val="l"/>
        <c:majorGridlines>
          <c:spPr>
            <a:ln>
              <a:solidFill>
                <a:srgbClr val="C8F4F2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'000Kwh</a:t>
                </a:r>
              </a:p>
            </c:rich>
          </c:tx>
          <c:layout>
            <c:manualLayout>
              <c:xMode val="edge"/>
              <c:yMode val="edge"/>
              <c:x val="2.2340578214240077E-2"/>
              <c:y val="7.592709014140031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70644720"/>
        <c:crosses val="autoZero"/>
        <c:crossBetween val="between"/>
      </c:valAx>
      <c:spPr>
        <a:solidFill>
          <a:srgbClr val="E0F9F8"/>
        </a:solidFill>
        <a:ln>
          <a:solidFill>
            <a:schemeClr val="bg2">
              <a:lumMod val="9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Water </a:t>
            </a:r>
            <a:r>
              <a:rPr lang="en-GB" sz="1200" b="1" i="0" baseline="0">
                <a:effectLst/>
              </a:rPr>
              <a:t>distribution</a:t>
            </a:r>
            <a:r>
              <a:rPr lang="en-US" sz="1200" b="1" i="0" baseline="0">
                <a:effectLst/>
              </a:rPr>
              <a:t> in Male' , Villimale' and Hulhumale', 2016 - 2020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9790742880692"/>
          <c:y val="3.418803418803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04755762185014E-2"/>
          <c:y val="0.16593893411209967"/>
          <c:w val="0.87945804556000462"/>
          <c:h val="0.738543305940680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'Elec &amp; water'!$AP$19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'Elec &amp; water'!$AW$18:$BA$18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'Elec &amp; water'!$AW$19:$BA$19</c:f>
              <c:numCache>
                <c:formatCode>#,##0</c:formatCode>
                <c:ptCount val="5"/>
                <c:pt idx="0">
                  <c:v>5805.4536200000002</c:v>
                </c:pt>
                <c:pt idx="1">
                  <c:v>6298.49</c:v>
                </c:pt>
                <c:pt idx="2">
                  <c:v>6824.6389999999992</c:v>
                </c:pt>
                <c:pt idx="3">
                  <c:v>7144.6580999999987</c:v>
                </c:pt>
                <c:pt idx="4">
                  <c:v>7078.3444999999992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A0-489A-B6BF-61A3A263E3E5}"/>
            </c:ext>
          </c:extLst>
        </c:ser>
        <c:ser>
          <c:idx val="1"/>
          <c:order val="1"/>
          <c:tx>
            <c:strRef>
              <c:f>'Elec &amp; water'!$AP$20</c:f>
              <c:strCache>
                <c:ptCount val="1"/>
                <c:pt idx="0">
                  <c:v>VilliMale'</c:v>
                </c:pt>
              </c:strCache>
            </c:strRef>
          </c:tx>
          <c:spPr>
            <a:solidFill>
              <a:srgbClr val="C8F4F2"/>
            </a:solidFill>
            <a:ln>
              <a:noFill/>
            </a:ln>
            <a:effectLst/>
          </c:spPr>
          <c:invertIfNegative val="0"/>
          <c:cat>
            <c:numRef>
              <c:f>'Elec &amp; water'!$AW$18:$BA$18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'Elec &amp; water'!$AW$20:$BA$20</c:f>
              <c:numCache>
                <c:formatCode>#,##0</c:formatCode>
                <c:ptCount val="5"/>
                <c:pt idx="0">
                  <c:v>232.48755999999997</c:v>
                </c:pt>
                <c:pt idx="1">
                  <c:v>249.613</c:v>
                </c:pt>
                <c:pt idx="2">
                  <c:v>274.12400000000002</c:v>
                </c:pt>
                <c:pt idx="3">
                  <c:v>284.36799999999999</c:v>
                </c:pt>
                <c:pt idx="4">
                  <c:v>287.35700000000003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A0-489A-B6BF-61A3A263E3E5}"/>
            </c:ext>
          </c:extLst>
        </c:ser>
        <c:ser>
          <c:idx val="2"/>
          <c:order val="2"/>
          <c:tx>
            <c:strRef>
              <c:f>'Elec &amp; water'!$AP$21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'Elec &amp; water'!$AW$18:$BA$18</c:f>
              <c:numCache>
                <c:formatCode>0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'Elec &amp; water'!$AW$21:$BA$21</c:f>
              <c:numCache>
                <c:formatCode>#,##0</c:formatCode>
                <c:ptCount val="5"/>
                <c:pt idx="0">
                  <c:v>867.75994000000003</c:v>
                </c:pt>
                <c:pt idx="1">
                  <c:v>1049.0279700000001</c:v>
                </c:pt>
                <c:pt idx="2">
                  <c:v>1510.0730000000001</c:v>
                </c:pt>
                <c:pt idx="3">
                  <c:v>1819.587</c:v>
                </c:pt>
                <c:pt idx="4">
                  <c:v>1984.9509999999998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E5-499D-9502-1AE4A770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0638448"/>
        <c:axId val="570641192"/>
      </c:barChart>
      <c:catAx>
        <c:axId val="57063844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41192"/>
        <c:crosses val="autoZero"/>
        <c:auto val="1"/>
        <c:lblAlgn val="ctr"/>
        <c:lblOffset val="100"/>
        <c:noMultiLvlLbl val="0"/>
      </c:catAx>
      <c:valAx>
        <c:axId val="5706411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3844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703686016680918"/>
          <c:y val="0.18904716910386202"/>
          <c:w val="0.39101019985365809"/>
          <c:h val="7.1871794192481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50158</xdr:colOff>
      <xdr:row>25</xdr:row>
      <xdr:rowOff>43672</xdr:rowOff>
    </xdr:from>
    <xdr:to>
      <xdr:col>8</xdr:col>
      <xdr:colOff>460375</xdr:colOff>
      <xdr:row>40</xdr:row>
      <xdr:rowOff>159042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571436</xdr:colOff>
      <xdr:row>25</xdr:row>
      <xdr:rowOff>28770</xdr:rowOff>
    </xdr:from>
    <xdr:to>
      <xdr:col>15</xdr:col>
      <xdr:colOff>523875</xdr:colOff>
      <xdr:row>40</xdr:row>
      <xdr:rowOff>172213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513732</xdr:colOff>
      <xdr:row>28</xdr:row>
      <xdr:rowOff>9676</xdr:rowOff>
    </xdr:from>
    <xdr:to>
      <xdr:col>11</xdr:col>
      <xdr:colOff>329488</xdr:colOff>
      <xdr:row>29</xdr:row>
      <xdr:rowOff>27020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 txBox="1"/>
      </xdr:nvSpPr>
      <xdr:spPr>
        <a:xfrm>
          <a:off x="6452278" y="6988196"/>
          <a:ext cx="1351419" cy="211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 b="1">
              <a:latin typeface="+mn-lt"/>
            </a:rPr>
            <a:t>(In '000 metric tons)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CHECKING\FINAL%20TABLES\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AR5" t="str">
            <v>Residential Maldivian 2021</v>
          </cell>
          <cell r="AT5" t="str">
            <v>Resident Foreigners 2021</v>
          </cell>
        </row>
        <row r="6">
          <cell r="AR6" t="str">
            <v>Male</v>
          </cell>
          <cell r="AS6" t="str">
            <v>Female</v>
          </cell>
          <cell r="AT6" t="str">
            <v>Male</v>
          </cell>
          <cell r="AU6" t="str">
            <v>Female</v>
          </cell>
        </row>
        <row r="7">
          <cell r="AQ7" t="str">
            <v xml:space="preserve">  0-4</v>
          </cell>
          <cell r="AR7">
            <v>-19653.598842581639</v>
          </cell>
          <cell r="AS7">
            <v>18119.598842581639</v>
          </cell>
          <cell r="AT7">
            <v>-924.62485060178403</v>
          </cell>
          <cell r="AU7">
            <v>654.98575209927196</v>
          </cell>
        </row>
        <row r="8">
          <cell r="AQ8" t="str">
            <v xml:space="preserve">  5-9</v>
          </cell>
          <cell r="AR8">
            <v>-18841.998070969399</v>
          </cell>
          <cell r="AS8">
            <v>17149.19961419388</v>
          </cell>
          <cell r="AT8">
            <v>-535.94486156285018</v>
          </cell>
          <cell r="AU8">
            <v>309.81212223682661</v>
          </cell>
        </row>
        <row r="9">
          <cell r="AQ9" t="str">
            <v xml:space="preserve"> 10-14</v>
          </cell>
          <cell r="AR9">
            <v>-18038.798456775519</v>
          </cell>
          <cell r="AS9">
            <v>16835.798456775519</v>
          </cell>
          <cell r="AT9">
            <v>-305.2043868336043</v>
          </cell>
          <cell r="AU9">
            <v>155.96692405774849</v>
          </cell>
        </row>
        <row r="10">
          <cell r="AQ10" t="str">
            <v xml:space="preserve"> 15-19</v>
          </cell>
          <cell r="AR10">
            <v>-14567.301771869137</v>
          </cell>
          <cell r="AS10">
            <v>13002.585339367435</v>
          </cell>
          <cell r="AT10">
            <v>-3100.1227821051284</v>
          </cell>
          <cell r="AU10">
            <v>268.33220420315592</v>
          </cell>
        </row>
        <row r="11">
          <cell r="AQ11" t="str">
            <v xml:space="preserve"> 20-24</v>
          </cell>
          <cell r="AR11">
            <v>-18968.469354691664</v>
          </cell>
          <cell r="AS11">
            <v>14472.938271020779</v>
          </cell>
          <cell r="AT11">
            <v>-29780.297952413581</v>
          </cell>
          <cell r="AU11">
            <v>1768.5689157368517</v>
          </cell>
        </row>
        <row r="12">
          <cell r="AQ12" t="str">
            <v xml:space="preserve"> 25-29</v>
          </cell>
          <cell r="AR12">
            <v>-18763.424062945836</v>
          </cell>
          <cell r="AS12">
            <v>16741.965277449188</v>
          </cell>
          <cell r="AT12">
            <v>-48510.091112514026</v>
          </cell>
          <cell r="AU12">
            <v>4339.558146995103</v>
          </cell>
        </row>
        <row r="13">
          <cell r="AQ13" t="str">
            <v xml:space="preserve"> 30-34</v>
          </cell>
          <cell r="AR13">
            <v>-18318.569745229473</v>
          </cell>
          <cell r="AS13">
            <v>18679.783024530716</v>
          </cell>
          <cell r="AT13">
            <v>-34027.79818339811</v>
          </cell>
          <cell r="AU13">
            <v>3471.6305780861421</v>
          </cell>
        </row>
        <row r="14">
          <cell r="AQ14" t="str">
            <v xml:space="preserve"> 35-39</v>
          </cell>
          <cell r="AR14">
            <v>-16462.283405605143</v>
          </cell>
          <cell r="AS14">
            <v>17785.792669683717</v>
          </cell>
          <cell r="AT14">
            <v>-21799.928284217396</v>
          </cell>
          <cell r="AU14">
            <v>2312.4214527738513</v>
          </cell>
        </row>
        <row r="15">
          <cell r="AQ15" t="str">
            <v xml:space="preserve"> 40-44</v>
          </cell>
          <cell r="AR15">
            <v>-12015.414579685988</v>
          </cell>
          <cell r="AS15">
            <v>12639.794598714318</v>
          </cell>
          <cell r="AT15">
            <v>-13567.541561269449</v>
          </cell>
          <cell r="AU15">
            <v>1309.8935777055044</v>
          </cell>
        </row>
        <row r="16">
          <cell r="AQ16" t="str">
            <v xml:space="preserve"> 45-49</v>
          </cell>
          <cell r="AR16">
            <v>-9913.5476827974326</v>
          </cell>
          <cell r="AS16">
            <v>10450.798456775519</v>
          </cell>
          <cell r="AT16">
            <v>-7747.5254765161826</v>
          </cell>
          <cell r="AU16">
            <v>858.60295559410304</v>
          </cell>
        </row>
        <row r="17">
          <cell r="AQ17" t="str">
            <v xml:space="preserve"> 50-54</v>
          </cell>
          <cell r="AR17">
            <v>-8630.4310169193814</v>
          </cell>
          <cell r="AS17">
            <v>9081.9961419387982</v>
          </cell>
          <cell r="AT17">
            <v>-3662.8756573793116</v>
          </cell>
          <cell r="AU17">
            <v>463.46250418330567</v>
          </cell>
        </row>
        <row r="18">
          <cell r="AQ18" t="str">
            <v xml:space="preserve"> 55-59</v>
          </cell>
          <cell r="AR18">
            <v>-7230.5178232964117</v>
          </cell>
          <cell r="AS18">
            <v>7641.5988425816395</v>
          </cell>
          <cell r="AT18">
            <v>-1443.6715329831309</v>
          </cell>
          <cell r="AU18">
            <v>261.84364295316544</v>
          </cell>
        </row>
        <row r="19">
          <cell r="AQ19" t="str">
            <v xml:space="preserve"> 60-64</v>
          </cell>
          <cell r="AR19">
            <v>-6318.5621910002274</v>
          </cell>
          <cell r="AS19">
            <v>6273.5988425816395</v>
          </cell>
          <cell r="AT19">
            <v>-540.45333359704068</v>
          </cell>
          <cell r="AU19">
            <v>114.33115303799846</v>
          </cell>
        </row>
        <row r="20">
          <cell r="AQ20" t="str">
            <v xml:space="preserve"> 65-69</v>
          </cell>
          <cell r="AR20">
            <v>-3549.3837961429545</v>
          </cell>
          <cell r="AS20">
            <v>3357</v>
          </cell>
          <cell r="AT20">
            <v>-192.69663871311454</v>
          </cell>
          <cell r="AU20">
            <v>41.570832275550352</v>
          </cell>
        </row>
        <row r="21">
          <cell r="AQ21" t="str">
            <v xml:space="preserve"> 70-74</v>
          </cell>
          <cell r="AR21">
            <v>-2179.794598714318</v>
          </cell>
          <cell r="AS21">
            <v>2222.1996141938798</v>
          </cell>
          <cell r="AT21">
            <v>-91.77459872710034</v>
          </cell>
          <cell r="AU21">
            <v>12.464106420803137</v>
          </cell>
        </row>
        <row r="22">
          <cell r="AQ22" t="str">
            <v xml:space="preserve"> 75+</v>
          </cell>
          <cell r="AR22">
            <v>-3981.9980709693991</v>
          </cell>
          <cell r="AS22">
            <v>3807.1996141938798</v>
          </cell>
          <cell r="AT22">
            <v>-85.642366765005363</v>
          </cell>
          <cell r="AU22">
            <v>6.2417940220315256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980"/>
  <sheetViews>
    <sheetView tabSelected="1" zoomScale="98" zoomScaleNormal="98" zoomScaleSheetLayoutView="95" workbookViewId="0">
      <selection activeCell="U11" sqref="U11"/>
    </sheetView>
  </sheetViews>
  <sheetFormatPr defaultColWidth="9.140625" defaultRowHeight="15" x14ac:dyDescent="0.25"/>
  <cols>
    <col min="1" max="1" width="13.7109375" style="8" customWidth="1"/>
    <col min="2" max="2" width="12.140625" style="8" customWidth="1"/>
    <col min="3" max="3" width="16.28515625" style="8" customWidth="1"/>
    <col min="4" max="4" width="0.85546875" style="8" customWidth="1"/>
    <col min="5" max="5" width="9.140625" style="8" customWidth="1"/>
    <col min="6" max="9" width="11.5703125" style="2" customWidth="1"/>
    <col min="10" max="16" width="11.5703125" style="9" customWidth="1"/>
    <col min="17" max="18" width="8" style="9" bestFit="1" customWidth="1"/>
    <col min="19" max="22" width="15.140625" style="9" customWidth="1"/>
    <col min="23" max="25" width="9" style="9" bestFit="1" customWidth="1"/>
    <col min="26" max="26" width="10.140625" style="9" bestFit="1" customWidth="1"/>
    <col min="27" max="27" width="9" style="9" bestFit="1" customWidth="1"/>
    <col min="28" max="28" width="11.28515625" style="9" bestFit="1" customWidth="1"/>
    <col min="29" max="29" width="8.7109375" style="9" bestFit="1" customWidth="1"/>
    <col min="30" max="30" width="10" style="9" customWidth="1"/>
    <col min="31" max="33" width="9.140625" style="9"/>
    <col min="34" max="36" width="14.28515625" style="9" customWidth="1"/>
    <col min="37" max="54" width="9.140625" style="9"/>
    <col min="55" max="16384" width="9.140625" style="2"/>
  </cols>
  <sheetData>
    <row r="1" spans="1:54" ht="28.5" x14ac:dyDescent="0.25">
      <c r="A1" s="71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0.25" customHeight="1" x14ac:dyDescent="0.25">
      <c r="A2" s="57"/>
      <c r="B2" s="57"/>
      <c r="C2" s="57"/>
      <c r="D2" s="57"/>
      <c r="E2" s="57"/>
      <c r="F2" s="58">
        <v>2010</v>
      </c>
      <c r="G2" s="58">
        <v>2011</v>
      </c>
      <c r="H2" s="58">
        <v>2012</v>
      </c>
      <c r="I2" s="58">
        <v>2013</v>
      </c>
      <c r="J2" s="58">
        <v>2014</v>
      </c>
      <c r="K2" s="58">
        <v>2015</v>
      </c>
      <c r="L2" s="58">
        <v>2016</v>
      </c>
      <c r="M2" s="58">
        <v>2017</v>
      </c>
      <c r="N2" s="58">
        <v>2018</v>
      </c>
      <c r="O2" s="58">
        <v>2019</v>
      </c>
      <c r="P2" s="58">
        <v>2020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20.25" customHeight="1" x14ac:dyDescent="0.25">
      <c r="A3" s="26" t="s">
        <v>9</v>
      </c>
      <c r="B3" s="12"/>
      <c r="C3" s="12"/>
      <c r="D3" s="13"/>
      <c r="E3" s="14"/>
      <c r="F3" s="15">
        <v>195723</v>
      </c>
      <c r="G3" s="15">
        <v>211889</v>
      </c>
      <c r="H3" s="15">
        <v>219663</v>
      </c>
      <c r="I3" s="15">
        <v>232023</v>
      </c>
      <c r="J3" s="15">
        <v>239067</v>
      </c>
      <c r="K3" s="15">
        <v>260445.08562</v>
      </c>
      <c r="L3" s="15">
        <v>271814.04891000001</v>
      </c>
      <c r="M3" s="15">
        <v>304527.45199199999</v>
      </c>
      <c r="N3" s="15">
        <v>318850.96300000005</v>
      </c>
      <c r="O3" s="15">
        <v>356353.60600000003</v>
      </c>
      <c r="P3" s="15">
        <v>349092.49200000003</v>
      </c>
      <c r="Q3" s="16"/>
      <c r="R3" s="16"/>
      <c r="S3" s="16"/>
      <c r="T3" s="16"/>
      <c r="U3" s="16"/>
      <c r="V3" s="16"/>
      <c r="W3" s="16"/>
      <c r="AE3" s="18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0.25" customHeight="1" x14ac:dyDescent="0.25">
      <c r="A4" s="60" t="s">
        <v>4</v>
      </c>
      <c r="B4" s="61"/>
      <c r="C4" s="57"/>
      <c r="D4" s="57"/>
      <c r="E4" s="57"/>
      <c r="F4" s="62">
        <v>4.6031746031746037</v>
      </c>
      <c r="G4" s="62">
        <f t="shared" ref="G4:K4" si="0">((G3-F3)/F3)*100</f>
        <v>8.259632235353024</v>
      </c>
      <c r="H4" s="62">
        <f t="shared" si="0"/>
        <v>3.6689021138426252</v>
      </c>
      <c r="I4" s="62">
        <f t="shared" si="0"/>
        <v>5.6268010543423337</v>
      </c>
      <c r="J4" s="62">
        <f t="shared" si="0"/>
        <v>3.0359059231196905</v>
      </c>
      <c r="K4" s="62">
        <f t="shared" si="0"/>
        <v>8.9422988618253463</v>
      </c>
      <c r="L4" s="62">
        <f>((L3-K3)/K3)*100</f>
        <v>4.3652055338021603</v>
      </c>
      <c r="M4" s="62">
        <f>((M3-L3)/L3)*100</f>
        <v>12.035214225748746</v>
      </c>
      <c r="N4" s="62">
        <f>((N3-M3)/M3)*100</f>
        <v>4.7035204590935669</v>
      </c>
      <c r="O4" s="62">
        <f>((O3-N3)/N3)*100</f>
        <v>11.76180954485622</v>
      </c>
      <c r="P4" s="62">
        <f>((P3-O3)/O3)*100</f>
        <v>-2.0376148515808765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25" customHeight="1" x14ac:dyDescent="0.25">
      <c r="A5" s="32" t="s">
        <v>19</v>
      </c>
      <c r="B5" s="5"/>
      <c r="C5" s="5"/>
      <c r="D5" s="5"/>
      <c r="E5" s="5"/>
      <c r="F5" s="34"/>
      <c r="G5" s="34"/>
      <c r="H5" s="34"/>
      <c r="I5" s="34"/>
      <c r="J5" s="34"/>
      <c r="K5" s="34"/>
      <c r="L5" s="34"/>
      <c r="M5" s="34"/>
      <c r="N5" s="34"/>
      <c r="O5" s="34"/>
      <c r="P5" s="16"/>
      <c r="Q5" s="16"/>
      <c r="R5" s="16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s="9" customFormat="1" ht="20.25" customHeight="1" x14ac:dyDescent="0.25">
      <c r="A6" s="63" t="s">
        <v>11</v>
      </c>
      <c r="B6" s="59"/>
      <c r="C6" s="59"/>
      <c r="D6" s="59"/>
      <c r="E6" s="59"/>
      <c r="F6" s="64">
        <v>217331</v>
      </c>
      <c r="G6" s="64">
        <v>231445</v>
      </c>
      <c r="H6" s="64">
        <v>243768</v>
      </c>
      <c r="I6" s="64">
        <v>254761.10599999997</v>
      </c>
      <c r="J6" s="64">
        <v>269868.86499999999</v>
      </c>
      <c r="K6" s="64">
        <v>308896.36499999999</v>
      </c>
      <c r="L6" s="64">
        <v>326328.94900000002</v>
      </c>
      <c r="M6" s="64">
        <v>336961.61200000002</v>
      </c>
      <c r="N6" s="64">
        <v>355074.59600000002</v>
      </c>
      <c r="O6" s="64">
        <v>385812.93400000001</v>
      </c>
      <c r="P6" s="64">
        <v>378693.30499999999</v>
      </c>
      <c r="U6" s="4"/>
    </row>
    <row r="7" spans="1:54" s="9" customFormat="1" ht="20.25" customHeight="1" x14ac:dyDescent="0.25">
      <c r="A7" s="33" t="s">
        <v>12</v>
      </c>
      <c r="B7" s="1"/>
      <c r="C7" s="1"/>
      <c r="D7" s="1"/>
      <c r="E7" s="1"/>
      <c r="F7" s="15">
        <v>7549.26</v>
      </c>
      <c r="G7" s="15">
        <v>8549.7899999999991</v>
      </c>
      <c r="H7" s="15">
        <v>9688.6831499999989</v>
      </c>
      <c r="I7" s="15">
        <v>9543.8009999999995</v>
      </c>
      <c r="J7" s="15">
        <v>9628.0102999999999</v>
      </c>
      <c r="K7" s="15">
        <v>11481.522000000001</v>
      </c>
      <c r="L7" s="15">
        <v>11757.770500000001</v>
      </c>
      <c r="M7" s="15">
        <v>12832.3598</v>
      </c>
      <c r="N7" s="15">
        <v>12894.157599999999</v>
      </c>
      <c r="O7" s="15">
        <v>13717.57</v>
      </c>
      <c r="P7" s="15">
        <v>14302.894999999999</v>
      </c>
      <c r="U7" s="4"/>
    </row>
    <row r="8" spans="1:54" s="9" customFormat="1" ht="20.25" customHeight="1" x14ac:dyDescent="0.25">
      <c r="A8" s="63" t="s">
        <v>13</v>
      </c>
      <c r="B8" s="57"/>
      <c r="C8" s="57"/>
      <c r="D8" s="57"/>
      <c r="E8" s="57"/>
      <c r="F8" s="64">
        <v>10825.575000000001</v>
      </c>
      <c r="G8" s="64">
        <v>12493.598</v>
      </c>
      <c r="H8" s="64">
        <v>15539.532000000001</v>
      </c>
      <c r="I8" s="64">
        <v>16372.368000000002</v>
      </c>
      <c r="J8" s="64">
        <v>22833.381000000001</v>
      </c>
      <c r="K8" s="64">
        <v>30152.284</v>
      </c>
      <c r="L8" s="64">
        <v>38686.745119999992</v>
      </c>
      <c r="M8" s="64">
        <v>51073.592000000004</v>
      </c>
      <c r="N8" s="64">
        <v>69298.35716</v>
      </c>
      <c r="O8" s="64">
        <v>80746.890010000003</v>
      </c>
      <c r="P8" s="64">
        <v>90329.84</v>
      </c>
      <c r="U8" s="4"/>
    </row>
    <row r="9" spans="1:54" s="9" customFormat="1" ht="20.25" customHeight="1" x14ac:dyDescent="0.25">
      <c r="A9" s="32" t="s">
        <v>5</v>
      </c>
      <c r="B9" s="1"/>
      <c r="C9" s="1"/>
      <c r="D9" s="1"/>
      <c r="E9" s="1"/>
      <c r="F9" s="15"/>
      <c r="G9" s="15"/>
      <c r="H9" s="15"/>
      <c r="I9" s="16"/>
      <c r="J9" s="16"/>
      <c r="K9" s="16"/>
      <c r="L9" s="16"/>
      <c r="M9" s="16"/>
      <c r="N9" s="16"/>
      <c r="O9" s="16"/>
      <c r="P9" s="16"/>
    </row>
    <row r="10" spans="1:54" s="9" customFormat="1" ht="20.25" customHeight="1" x14ac:dyDescent="0.25">
      <c r="A10" s="63" t="s">
        <v>17</v>
      </c>
      <c r="B10" s="63"/>
      <c r="C10" s="63"/>
      <c r="D10" s="63"/>
      <c r="E10" s="63"/>
      <c r="F10" s="62">
        <v>4.2915139067508683</v>
      </c>
      <c r="G10" s="62">
        <f t="shared" ref="G10:P10" si="1">((G6-F6)/F6)*100</f>
        <v>6.4942415025928195</v>
      </c>
      <c r="H10" s="62">
        <f t="shared" si="1"/>
        <v>5.3243751215191519</v>
      </c>
      <c r="I10" s="62">
        <f t="shared" si="1"/>
        <v>4.5096591841422873</v>
      </c>
      <c r="J10" s="62">
        <f t="shared" si="1"/>
        <v>5.9301669855366468</v>
      </c>
      <c r="K10" s="62">
        <f t="shared" si="1"/>
        <v>14.461653440458944</v>
      </c>
      <c r="L10" s="62">
        <f t="shared" si="1"/>
        <v>5.643505711049734</v>
      </c>
      <c r="M10" s="62">
        <f t="shared" si="1"/>
        <v>3.2582653278486791</v>
      </c>
      <c r="N10" s="62">
        <f t="shared" si="1"/>
        <v>5.3753850156676002</v>
      </c>
      <c r="O10" s="62">
        <f t="shared" si="1"/>
        <v>8.6568676966121192</v>
      </c>
      <c r="P10" s="62">
        <f t="shared" si="1"/>
        <v>-1.8453577816030435</v>
      </c>
    </row>
    <row r="11" spans="1:54" s="9" customFormat="1" ht="20.25" customHeight="1" x14ac:dyDescent="0.25">
      <c r="A11" s="33" t="s">
        <v>12</v>
      </c>
      <c r="B11" s="33"/>
      <c r="C11" s="33"/>
      <c r="D11" s="33"/>
      <c r="E11" s="33"/>
      <c r="F11" s="35">
        <v>-2.0947932019891575</v>
      </c>
      <c r="G11" s="35">
        <f t="shared" ref="G11:P11" si="2">((G7-F7)/F7)*100</f>
        <v>13.253351984167969</v>
      </c>
      <c r="H11" s="35">
        <f t="shared" si="2"/>
        <v>13.3207148947518</v>
      </c>
      <c r="I11" s="35">
        <f t="shared" si="2"/>
        <v>-1.4953750448532261</v>
      </c>
      <c r="J11" s="35">
        <f t="shared" si="2"/>
        <v>0.88234551411958873</v>
      </c>
      <c r="K11" s="35">
        <f t="shared" si="2"/>
        <v>19.251243426692231</v>
      </c>
      <c r="L11" s="35">
        <f t="shared" si="2"/>
        <v>2.4060268316343398</v>
      </c>
      <c r="M11" s="35">
        <f t="shared" si="2"/>
        <v>9.1393967929549191</v>
      </c>
      <c r="N11" s="35">
        <f t="shared" si="2"/>
        <v>0.48157783107046659</v>
      </c>
      <c r="O11" s="35">
        <f t="shared" si="2"/>
        <v>6.3859340450437898</v>
      </c>
      <c r="P11" s="35">
        <f t="shared" si="2"/>
        <v>4.2669729405426686</v>
      </c>
    </row>
    <row r="12" spans="1:54" s="9" customFormat="1" ht="20.25" customHeight="1" x14ac:dyDescent="0.25">
      <c r="A12" s="63" t="s">
        <v>13</v>
      </c>
      <c r="B12" s="63"/>
      <c r="C12" s="63"/>
      <c r="D12" s="63"/>
      <c r="E12" s="63"/>
      <c r="F12" s="62">
        <v>25.481484263371229</v>
      </c>
      <c r="G12" s="62">
        <f t="shared" ref="G12:P12" si="3">((G8-F8)/F8)*100</f>
        <v>15.408170004826523</v>
      </c>
      <c r="H12" s="62">
        <f t="shared" si="3"/>
        <v>24.37995843951439</v>
      </c>
      <c r="I12" s="62">
        <f t="shared" si="3"/>
        <v>5.3594664240853653</v>
      </c>
      <c r="J12" s="62">
        <f t="shared" si="3"/>
        <v>39.462910924064246</v>
      </c>
      <c r="K12" s="62">
        <f t="shared" si="3"/>
        <v>32.053522866368318</v>
      </c>
      <c r="L12" s="62">
        <f t="shared" si="3"/>
        <v>28.30452618448404</v>
      </c>
      <c r="M12" s="62">
        <f t="shared" si="3"/>
        <v>32.018322662136676</v>
      </c>
      <c r="N12" s="62">
        <f t="shared" si="3"/>
        <v>35.683343282375738</v>
      </c>
      <c r="O12" s="62">
        <f t="shared" si="3"/>
        <v>16.520641064501685</v>
      </c>
      <c r="P12" s="62">
        <f t="shared" si="3"/>
        <v>11.867887405710864</v>
      </c>
      <c r="Q12" s="16"/>
      <c r="R12" s="16"/>
    </row>
    <row r="13" spans="1:54" s="9" customFormat="1" ht="14.25" customHeight="1" x14ac:dyDescent="0.25">
      <c r="A13" s="36" t="s">
        <v>18</v>
      </c>
      <c r="I13" s="55"/>
      <c r="J13" s="55"/>
      <c r="K13" s="55"/>
      <c r="L13" s="55"/>
      <c r="M13" s="55"/>
      <c r="N13" s="55"/>
      <c r="O13" s="55"/>
      <c r="P13" s="16"/>
      <c r="Q13" s="16"/>
      <c r="R13" s="16"/>
    </row>
    <row r="14" spans="1:54" s="9" customFormat="1" x14ac:dyDescent="0.25">
      <c r="P14" s="16"/>
      <c r="Q14" s="16"/>
      <c r="R14" s="16"/>
    </row>
    <row r="15" spans="1:54" s="10" customFormat="1" ht="22.5" customHeight="1" x14ac:dyDescent="0.25">
      <c r="A15" s="70" t="s">
        <v>6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3"/>
      <c r="R15" s="3"/>
      <c r="S15" s="30"/>
      <c r="T15" s="30"/>
      <c r="U15" s="30"/>
      <c r="V15" s="30"/>
      <c r="W15" s="30"/>
      <c r="X15" s="30"/>
      <c r="Y15" s="30"/>
      <c r="Z15" s="30"/>
      <c r="AA15" s="30"/>
      <c r="AB15" s="3"/>
      <c r="AC15" s="30"/>
      <c r="AD15" s="3"/>
      <c r="AE15" s="3"/>
    </row>
    <row r="16" spans="1:54" s="10" customFormat="1" ht="20.25" customHeight="1" x14ac:dyDescent="0.25">
      <c r="A16" s="65"/>
      <c r="B16" s="65"/>
      <c r="C16" s="65"/>
      <c r="D16" s="65"/>
      <c r="E16" s="65"/>
      <c r="F16" s="58">
        <v>2010</v>
      </c>
      <c r="G16" s="58">
        <v>2011</v>
      </c>
      <c r="H16" s="58">
        <v>2012</v>
      </c>
      <c r="I16" s="58">
        <v>2013</v>
      </c>
      <c r="J16" s="58">
        <v>2014</v>
      </c>
      <c r="K16" s="58">
        <v>2015</v>
      </c>
      <c r="L16" s="58">
        <v>2016</v>
      </c>
      <c r="M16" s="58">
        <v>2017</v>
      </c>
      <c r="N16" s="58">
        <v>2018</v>
      </c>
      <c r="O16" s="58">
        <v>2019</v>
      </c>
      <c r="P16" s="58">
        <v>2020</v>
      </c>
      <c r="Q16" s="3"/>
      <c r="R16" s="3"/>
      <c r="S16" s="30"/>
      <c r="T16" s="30"/>
      <c r="U16" s="30"/>
      <c r="V16" s="30"/>
      <c r="W16" s="30"/>
      <c r="X16" s="30"/>
      <c r="Y16" s="30"/>
      <c r="Z16" s="30"/>
      <c r="AA16" s="30"/>
      <c r="AB16" s="3"/>
      <c r="AC16" s="30"/>
      <c r="AD16" s="3"/>
      <c r="AE16" s="3"/>
    </row>
    <row r="17" spans="1:54" s="10" customFormat="1" ht="21.75" customHeight="1" x14ac:dyDescent="0.25">
      <c r="A17" s="32" t="s">
        <v>14</v>
      </c>
      <c r="B17" s="31"/>
      <c r="C17" s="31"/>
      <c r="D17" s="31"/>
      <c r="E17" s="31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54" s="10" customFormat="1" ht="21.75" customHeight="1" x14ac:dyDescent="0.25">
      <c r="A18" s="63" t="s">
        <v>11</v>
      </c>
      <c r="B18" s="65"/>
      <c r="C18" s="65"/>
      <c r="D18" s="65"/>
      <c r="E18" s="65"/>
      <c r="F18" s="64">
        <v>3649.8</v>
      </c>
      <c r="G18" s="64">
        <v>3997.5</v>
      </c>
      <c r="H18" s="64">
        <v>4414.3999999999996</v>
      </c>
      <c r="I18" s="64">
        <v>4668.2</v>
      </c>
      <c r="J18" s="64">
        <v>4977</v>
      </c>
      <c r="K18" s="64">
        <v>5529.7883000000002</v>
      </c>
      <c r="L18" s="64">
        <v>6174.5180999999993</v>
      </c>
      <c r="M18" s="64">
        <v>6553.9781000000003</v>
      </c>
      <c r="N18" s="64">
        <v>6824.6389999999992</v>
      </c>
      <c r="O18" s="64">
        <v>7144.6580999999987</v>
      </c>
      <c r="P18" s="64">
        <v>7078.3444999999992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P18" s="21"/>
      <c r="AQ18" s="25">
        <v>2010</v>
      </c>
      <c r="AR18" s="25">
        <v>2011</v>
      </c>
      <c r="AS18" s="25">
        <v>2012</v>
      </c>
      <c r="AT18" s="25">
        <v>2013</v>
      </c>
      <c r="AU18" s="25">
        <v>2014</v>
      </c>
      <c r="AV18" s="25">
        <v>2015</v>
      </c>
      <c r="AW18" s="25">
        <v>2016</v>
      </c>
      <c r="AX18" s="25">
        <v>2017</v>
      </c>
      <c r="AY18" s="25">
        <v>2018</v>
      </c>
      <c r="AZ18" s="25">
        <v>2019</v>
      </c>
      <c r="BA18" s="25">
        <v>2020</v>
      </c>
    </row>
    <row r="19" spans="1:54" s="10" customFormat="1" ht="21.75" customHeight="1" x14ac:dyDescent="0.25">
      <c r="A19" s="33" t="s">
        <v>12</v>
      </c>
      <c r="B19" s="11"/>
      <c r="C19" s="11"/>
      <c r="D19" s="11"/>
      <c r="E19" s="11"/>
      <c r="F19" s="15">
        <v>149.21519999999998</v>
      </c>
      <c r="G19" s="15">
        <v>162.01300000000001</v>
      </c>
      <c r="H19" s="15">
        <v>200.73650000000004</v>
      </c>
      <c r="I19" s="15">
        <v>199.63330000000002</v>
      </c>
      <c r="J19" s="15">
        <v>200.12200000000001</v>
      </c>
      <c r="K19" s="15">
        <v>220.3561</v>
      </c>
      <c r="L19" s="15">
        <v>265.65300000000002</v>
      </c>
      <c r="M19" s="15">
        <v>278.57499999999999</v>
      </c>
      <c r="N19" s="15">
        <v>274.12400000000002</v>
      </c>
      <c r="O19" s="15">
        <v>284.36799999999999</v>
      </c>
      <c r="P19" s="15">
        <v>287.35700000000003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P19" s="21" t="s">
        <v>0</v>
      </c>
      <c r="AQ19" s="22">
        <v>3451.3883000000001</v>
      </c>
      <c r="AR19" s="22">
        <v>3847.8830400000002</v>
      </c>
      <c r="AS19" s="22">
        <v>4238.6988099999999</v>
      </c>
      <c r="AT19" s="22">
        <v>4506.8358399999997</v>
      </c>
      <c r="AU19" s="22">
        <v>4911.74413</v>
      </c>
      <c r="AV19" s="22">
        <v>5700.0994599999995</v>
      </c>
      <c r="AW19" s="22">
        <v>5805.4536200000002</v>
      </c>
      <c r="AX19" s="22">
        <v>6298.49</v>
      </c>
      <c r="AY19" s="22">
        <v>6824.6389999999992</v>
      </c>
      <c r="AZ19" s="22">
        <f t="shared" ref="AZ19:BA21" si="4">O18</f>
        <v>7144.6580999999987</v>
      </c>
      <c r="BA19" s="22">
        <f t="shared" si="4"/>
        <v>7078.3444999999992</v>
      </c>
    </row>
    <row r="20" spans="1:54" s="10" customFormat="1" ht="21.75" customHeight="1" x14ac:dyDescent="0.25">
      <c r="A20" s="63" t="s">
        <v>13</v>
      </c>
      <c r="B20" s="61"/>
      <c r="C20" s="61"/>
      <c r="D20" s="61"/>
      <c r="E20" s="61"/>
      <c r="F20" s="64">
        <v>195.63159999999999</v>
      </c>
      <c r="G20" s="64">
        <v>260.71799999999996</v>
      </c>
      <c r="H20" s="64">
        <v>398.70199999999994</v>
      </c>
      <c r="I20" s="64">
        <v>422.67500000000001</v>
      </c>
      <c r="J20" s="64">
        <v>622.2589999999999</v>
      </c>
      <c r="K20" s="64">
        <v>771.779</v>
      </c>
      <c r="L20" s="64">
        <v>968.56299999999999</v>
      </c>
      <c r="M20" s="64">
        <v>1176.5320000000002</v>
      </c>
      <c r="N20" s="64">
        <v>1510.0730000000001</v>
      </c>
      <c r="O20" s="64">
        <v>1819.587</v>
      </c>
      <c r="P20" s="64">
        <v>1984.9509999999998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P20" s="21" t="s">
        <v>8</v>
      </c>
      <c r="AQ20" s="23">
        <v>128.46899999999999</v>
      </c>
      <c r="AR20" s="23">
        <v>141.505</v>
      </c>
      <c r="AS20" s="23">
        <v>172.8</v>
      </c>
      <c r="AT20" s="23">
        <v>191.95517000000004</v>
      </c>
      <c r="AU20" s="23">
        <v>191.79549</v>
      </c>
      <c r="AV20" s="23">
        <v>207.66131999999999</v>
      </c>
      <c r="AW20" s="23">
        <v>232.48755999999997</v>
      </c>
      <c r="AX20" s="23">
        <v>249.613</v>
      </c>
      <c r="AY20" s="23">
        <v>274.12400000000002</v>
      </c>
      <c r="AZ20" s="23">
        <f t="shared" si="4"/>
        <v>284.36799999999999</v>
      </c>
      <c r="BA20" s="23">
        <f t="shared" si="4"/>
        <v>287.35700000000003</v>
      </c>
    </row>
    <row r="21" spans="1:54" s="10" customFormat="1" ht="21.75" customHeight="1" x14ac:dyDescent="0.25">
      <c r="A21" s="32" t="s">
        <v>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P21" s="21" t="s">
        <v>1</v>
      </c>
      <c r="AQ21" s="23">
        <v>188.84636</v>
      </c>
      <c r="AR21" s="23">
        <v>251.88413</v>
      </c>
      <c r="AS21" s="23">
        <v>377.17785000000003</v>
      </c>
      <c r="AT21" s="23">
        <v>354.32618999999988</v>
      </c>
      <c r="AU21" s="23">
        <v>523.57118000000003</v>
      </c>
      <c r="AV21" s="23">
        <v>680.81331999999998</v>
      </c>
      <c r="AW21" s="23">
        <v>867.75994000000003</v>
      </c>
      <c r="AX21" s="23">
        <v>1049.0279700000001</v>
      </c>
      <c r="AY21" s="23">
        <v>1510.0730000000001</v>
      </c>
      <c r="AZ21" s="23">
        <f t="shared" si="4"/>
        <v>1819.587</v>
      </c>
      <c r="BA21" s="23">
        <f t="shared" si="4"/>
        <v>1984.9509999999998</v>
      </c>
    </row>
    <row r="22" spans="1:54" ht="21.75" customHeight="1" x14ac:dyDescent="0.25">
      <c r="A22" s="63" t="s">
        <v>15</v>
      </c>
      <c r="B22" s="66"/>
      <c r="C22" s="66"/>
      <c r="D22" s="66"/>
      <c r="E22" s="66"/>
      <c r="F22" s="67">
        <v>11.440872034441705</v>
      </c>
      <c r="G22" s="67">
        <f t="shared" ref="G22:P22" si="5">((G18-F18)/F18)*100</f>
        <v>9.5265493999671165</v>
      </c>
      <c r="H22" s="67">
        <f t="shared" si="5"/>
        <v>10.429018136335202</v>
      </c>
      <c r="I22" s="67">
        <f t="shared" si="5"/>
        <v>5.7493657122145745</v>
      </c>
      <c r="J22" s="67">
        <f t="shared" si="5"/>
        <v>6.6149693672079222</v>
      </c>
      <c r="K22" s="67">
        <f t="shared" si="5"/>
        <v>11.106857544705649</v>
      </c>
      <c r="L22" s="67">
        <f t="shared" si="5"/>
        <v>11.659213066077035</v>
      </c>
      <c r="M22" s="67">
        <f t="shared" si="5"/>
        <v>6.1455808186877121</v>
      </c>
      <c r="N22" s="67">
        <f t="shared" si="5"/>
        <v>4.1297193226812725</v>
      </c>
      <c r="O22" s="67">
        <f t="shared" si="5"/>
        <v>4.6891725701535218</v>
      </c>
      <c r="P22" s="67">
        <f t="shared" si="5"/>
        <v>-0.92815638021922287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21.75" customHeight="1" x14ac:dyDescent="0.25">
      <c r="A23" s="33" t="s">
        <v>12</v>
      </c>
      <c r="B23" s="28"/>
      <c r="C23" s="28"/>
      <c r="D23" s="28"/>
      <c r="E23" s="28"/>
      <c r="F23" s="29">
        <v>-2.7540924332468655</v>
      </c>
      <c r="G23" s="29">
        <f t="shared" ref="G23:P23" si="6">((G19-F19)/F19)*100</f>
        <v>8.5767401712426246</v>
      </c>
      <c r="H23" s="29">
        <f t="shared" si="6"/>
        <v>23.901477041965784</v>
      </c>
      <c r="I23" s="29">
        <f t="shared" si="6"/>
        <v>-0.54957618569618127</v>
      </c>
      <c r="J23" s="29">
        <f t="shared" si="6"/>
        <v>0.24479883867069988</v>
      </c>
      <c r="K23" s="29">
        <f t="shared" si="6"/>
        <v>10.110882361759318</v>
      </c>
      <c r="L23" s="29">
        <f t="shared" si="6"/>
        <v>20.556226943569985</v>
      </c>
      <c r="M23" s="29">
        <f t="shared" si="6"/>
        <v>4.8642401930337575</v>
      </c>
      <c r="N23" s="29">
        <f t="shared" si="6"/>
        <v>-1.5977743875078401</v>
      </c>
      <c r="O23" s="29">
        <f t="shared" si="6"/>
        <v>3.7369949365980251</v>
      </c>
      <c r="P23" s="29">
        <f t="shared" si="6"/>
        <v>1.0511027963765378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s="9" customFormat="1" ht="21.75" customHeight="1" x14ac:dyDescent="0.25">
      <c r="A24" s="63" t="s">
        <v>16</v>
      </c>
      <c r="B24" s="68"/>
      <c r="C24" s="69"/>
      <c r="D24" s="69"/>
      <c r="E24" s="69"/>
      <c r="F24" s="67">
        <v>41.58279337679042</v>
      </c>
      <c r="G24" s="67">
        <f t="shared" ref="G24:P24" si="7">((G20-F20)/F20)*100</f>
        <v>33.269880735014169</v>
      </c>
      <c r="H24" s="67">
        <f t="shared" si="7"/>
        <v>52.924615868486256</v>
      </c>
      <c r="I24" s="67">
        <f t="shared" si="7"/>
        <v>6.0127614107779923</v>
      </c>
      <c r="J24" s="67">
        <f t="shared" si="7"/>
        <v>47.219258295380584</v>
      </c>
      <c r="K24" s="67">
        <f t="shared" si="7"/>
        <v>24.028579739304714</v>
      </c>
      <c r="L24" s="67">
        <f t="shared" si="7"/>
        <v>25.497454582205524</v>
      </c>
      <c r="M24" s="67">
        <f t="shared" si="7"/>
        <v>21.471912513692985</v>
      </c>
      <c r="N24" s="67">
        <f t="shared" si="7"/>
        <v>28.349505155830855</v>
      </c>
      <c r="O24" s="67">
        <f t="shared" si="7"/>
        <v>20.496624997599447</v>
      </c>
      <c r="P24" s="67">
        <f t="shared" si="7"/>
        <v>9.0879963420270542</v>
      </c>
      <c r="Q24" s="16"/>
      <c r="R24" s="16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54" s="9" customFormat="1" x14ac:dyDescent="0.25"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54" s="9" customFormat="1" x14ac:dyDescent="0.25">
      <c r="M26" s="16"/>
      <c r="N26" s="16"/>
      <c r="O26" s="16"/>
      <c r="P26" s="16"/>
      <c r="Q26" s="16"/>
      <c r="R26" s="16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54" s="9" customFormat="1" x14ac:dyDescent="0.25"/>
    <row r="28" spans="1:54" s="9" customFormat="1" x14ac:dyDescent="0.25">
      <c r="M28" s="16"/>
      <c r="N28" s="16"/>
      <c r="O28" s="16"/>
      <c r="P28" s="16"/>
      <c r="Q28" s="16"/>
      <c r="R28" s="16"/>
    </row>
    <row r="29" spans="1:54" s="9" customFormat="1" x14ac:dyDescent="0.25"/>
    <row r="30" spans="1:54" s="9" customFormat="1" x14ac:dyDescent="0.25">
      <c r="M30" s="16"/>
      <c r="N30" s="16"/>
      <c r="O30" s="16"/>
      <c r="P30" s="16"/>
      <c r="Q30" s="16"/>
      <c r="R30" s="16"/>
    </row>
    <row r="31" spans="1:54" s="9" customFormat="1" x14ac:dyDescent="0.25">
      <c r="F31" s="24"/>
      <c r="G31" s="24"/>
      <c r="H31" s="24"/>
      <c r="I31" s="24"/>
      <c r="J31" s="24"/>
      <c r="K31" s="24"/>
    </row>
    <row r="32" spans="1:54" s="9" customFormat="1" x14ac:dyDescent="0.25">
      <c r="M32" s="16"/>
      <c r="N32" s="16"/>
      <c r="O32" s="16"/>
      <c r="P32" s="16"/>
      <c r="Q32" s="16"/>
      <c r="R32" s="16"/>
    </row>
    <row r="33" spans="13:18" s="9" customFormat="1" x14ac:dyDescent="0.25"/>
    <row r="34" spans="13:18" s="9" customFormat="1" x14ac:dyDescent="0.25">
      <c r="M34" s="16"/>
      <c r="N34" s="16"/>
      <c r="O34" s="16"/>
      <c r="P34" s="16"/>
      <c r="Q34" s="16"/>
      <c r="R34" s="16"/>
    </row>
    <row r="35" spans="13:18" s="9" customFormat="1" x14ac:dyDescent="0.25"/>
    <row r="36" spans="13:18" s="9" customFormat="1" x14ac:dyDescent="0.25">
      <c r="M36" s="16"/>
      <c r="N36" s="16"/>
      <c r="O36" s="16"/>
      <c r="P36" s="16"/>
      <c r="Q36" s="16"/>
      <c r="R36" s="16"/>
    </row>
    <row r="37" spans="13:18" s="9" customFormat="1" x14ac:dyDescent="0.25"/>
    <row r="38" spans="13:18" s="9" customFormat="1" x14ac:dyDescent="0.25"/>
    <row r="39" spans="13:18" s="9" customFormat="1" x14ac:dyDescent="0.25"/>
    <row r="40" spans="13:18" s="9" customFormat="1" x14ac:dyDescent="0.25"/>
    <row r="41" spans="13:18" s="9" customFormat="1" x14ac:dyDescent="0.25"/>
    <row r="42" spans="13:18" s="9" customFormat="1" x14ac:dyDescent="0.25"/>
    <row r="43" spans="13:18" s="9" customFormat="1" x14ac:dyDescent="0.25"/>
    <row r="44" spans="13:18" s="9" customFormat="1" x14ac:dyDescent="0.25"/>
    <row r="45" spans="13:18" s="9" customFormat="1" x14ac:dyDescent="0.25"/>
    <row r="46" spans="13:18" s="9" customFormat="1" x14ac:dyDescent="0.25"/>
    <row r="47" spans="13:18" s="9" customFormat="1" x14ac:dyDescent="0.25"/>
    <row r="48" spans="13:18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pans="2:37" s="9" customFormat="1" x14ac:dyDescent="0.25"/>
    <row r="66" spans="2:37" s="9" customFormat="1" x14ac:dyDescent="0.25">
      <c r="Y66" s="16"/>
      <c r="Z66" s="16"/>
      <c r="AA66" s="16" t="s">
        <v>0</v>
      </c>
      <c r="AB66" s="16" t="s">
        <v>37</v>
      </c>
      <c r="AC66" s="17" t="s">
        <v>39</v>
      </c>
      <c r="AD66" s="17"/>
      <c r="AE66" s="16"/>
    </row>
    <row r="67" spans="2:37" s="9" customFormat="1" ht="15.75" thickBot="1" x14ac:dyDescent="0.3">
      <c r="Z67" s="42" t="s">
        <v>25</v>
      </c>
      <c r="AA67" s="4">
        <f t="shared" ref="AA67:AA78" si="8">AI69</f>
        <v>29409500</v>
      </c>
      <c r="AB67" s="4">
        <f t="shared" ref="AB67:AB78" si="9">AI83</f>
        <v>6355544.0099999998</v>
      </c>
      <c r="AC67" s="4">
        <f t="shared" ref="AC67:AC78" si="10">AI97</f>
        <v>1038080</v>
      </c>
      <c r="AG67" s="2">
        <v>2019</v>
      </c>
      <c r="AH67" s="2"/>
      <c r="AI67" s="2"/>
      <c r="AJ67" s="2"/>
      <c r="AK67" s="2"/>
    </row>
    <row r="68" spans="2:37" s="9" customFormat="1" x14ac:dyDescent="0.25">
      <c r="Z68" s="42" t="s">
        <v>26</v>
      </c>
      <c r="AA68" s="4">
        <f t="shared" si="8"/>
        <v>28698023</v>
      </c>
      <c r="AB68" s="4">
        <f t="shared" si="9"/>
        <v>6143599</v>
      </c>
      <c r="AC68" s="4">
        <f t="shared" si="10"/>
        <v>999790</v>
      </c>
      <c r="AG68" s="37" t="s">
        <v>20</v>
      </c>
      <c r="AH68" s="38" t="s">
        <v>21</v>
      </c>
      <c r="AI68" s="39" t="s">
        <v>22</v>
      </c>
      <c r="AJ68" s="39" t="s">
        <v>23</v>
      </c>
      <c r="AK68" s="40" t="s">
        <v>24</v>
      </c>
    </row>
    <row r="69" spans="2:37" s="9" customFormat="1" x14ac:dyDescent="0.25">
      <c r="Z69" s="42" t="s">
        <v>27</v>
      </c>
      <c r="AA69" s="4">
        <f t="shared" si="8"/>
        <v>34667559</v>
      </c>
      <c r="AB69" s="4">
        <f t="shared" si="9"/>
        <v>6719972</v>
      </c>
      <c r="AC69" s="4">
        <f t="shared" si="10"/>
        <v>1218740</v>
      </c>
      <c r="AG69" s="41" t="s">
        <v>2</v>
      </c>
      <c r="AH69" s="42" t="s">
        <v>25</v>
      </c>
      <c r="AI69" s="43">
        <v>29409500</v>
      </c>
      <c r="AJ69" s="43">
        <v>7487704</v>
      </c>
      <c r="AK69" s="44">
        <v>33809</v>
      </c>
    </row>
    <row r="70" spans="2:37" s="9" customFormat="1" x14ac:dyDescent="0.25">
      <c r="Z70" s="42" t="s">
        <v>28</v>
      </c>
      <c r="AA70" s="4">
        <f t="shared" si="8"/>
        <v>35888150</v>
      </c>
      <c r="AB70" s="4">
        <f t="shared" si="9"/>
        <v>6526064</v>
      </c>
      <c r="AC70" s="4">
        <f t="shared" si="10"/>
        <v>1240990</v>
      </c>
      <c r="AG70" s="41" t="s">
        <v>2</v>
      </c>
      <c r="AH70" s="42" t="s">
        <v>26</v>
      </c>
      <c r="AI70" s="43">
        <v>28698023</v>
      </c>
      <c r="AJ70" s="43">
        <v>7256951</v>
      </c>
      <c r="AK70" s="44">
        <v>32626</v>
      </c>
    </row>
    <row r="71" spans="2:37" s="9" customFormat="1" x14ac:dyDescent="0.25">
      <c r="Z71" s="42" t="s">
        <v>29</v>
      </c>
      <c r="AA71" s="4">
        <f t="shared" si="8"/>
        <v>35986467</v>
      </c>
      <c r="AB71" s="4">
        <f t="shared" si="9"/>
        <v>7426283</v>
      </c>
      <c r="AC71" s="4">
        <f t="shared" si="10"/>
        <v>1322130</v>
      </c>
      <c r="AG71" s="41" t="s">
        <v>2</v>
      </c>
      <c r="AH71" s="42" t="s">
        <v>27</v>
      </c>
      <c r="AI71" s="43">
        <v>34667559</v>
      </c>
      <c r="AJ71" s="43">
        <v>8686537</v>
      </c>
      <c r="AK71" s="44">
        <v>28274</v>
      </c>
    </row>
    <row r="72" spans="2:37" s="9" customFormat="1" x14ac:dyDescent="0.25">
      <c r="Z72" s="42" t="s">
        <v>30</v>
      </c>
      <c r="AA72" s="4">
        <f t="shared" si="8"/>
        <v>33005662</v>
      </c>
      <c r="AB72" s="4">
        <f t="shared" si="9"/>
        <v>6874382</v>
      </c>
      <c r="AC72" s="4">
        <f t="shared" si="10"/>
        <v>1195370</v>
      </c>
      <c r="AG72" s="41" t="s">
        <v>2</v>
      </c>
      <c r="AH72" s="42" t="s">
        <v>28</v>
      </c>
      <c r="AI72" s="43">
        <v>35888150</v>
      </c>
      <c r="AJ72" s="43">
        <v>8991715</v>
      </c>
      <c r="AK72" s="44">
        <v>30462</v>
      </c>
    </row>
    <row r="73" spans="2:37" s="9" customFormat="1" x14ac:dyDescent="0.25">
      <c r="Z73" s="42" t="s">
        <v>31</v>
      </c>
      <c r="AA73" s="4">
        <f t="shared" si="8"/>
        <v>34747610</v>
      </c>
      <c r="AB73" s="4">
        <f t="shared" si="9"/>
        <v>7094461</v>
      </c>
      <c r="AC73" s="4">
        <f t="shared" si="10"/>
        <v>1223610</v>
      </c>
      <c r="AG73" s="41" t="s">
        <v>2</v>
      </c>
      <c r="AH73" s="42" t="s">
        <v>29</v>
      </c>
      <c r="AI73" s="43">
        <v>35986467</v>
      </c>
      <c r="AJ73" s="43">
        <v>9068864</v>
      </c>
      <c r="AK73" s="44">
        <v>28997</v>
      </c>
    </row>
    <row r="74" spans="2:37" s="9" customFormat="1" x14ac:dyDescent="0.25">
      <c r="Z74" s="42" t="s">
        <v>32</v>
      </c>
      <c r="AA74" s="4">
        <f t="shared" si="8"/>
        <v>32619944</v>
      </c>
      <c r="AB74" s="4">
        <f t="shared" si="9"/>
        <v>6858926</v>
      </c>
      <c r="AC74" s="4">
        <f t="shared" si="10"/>
        <v>1181170</v>
      </c>
      <c r="AG74" s="41" t="s">
        <v>2</v>
      </c>
      <c r="AH74" s="42" t="s">
        <v>30</v>
      </c>
      <c r="AI74" s="43">
        <v>33005662</v>
      </c>
      <c r="AJ74" s="43">
        <v>8315769</v>
      </c>
      <c r="AK74" s="44">
        <v>27493</v>
      </c>
    </row>
    <row r="75" spans="2:37" s="9" customFormat="1" x14ac:dyDescent="0.25">
      <c r="Z75" s="42" t="s">
        <v>33</v>
      </c>
      <c r="AA75" s="4">
        <f t="shared" si="8"/>
        <v>31558230</v>
      </c>
      <c r="AB75" s="4">
        <f t="shared" si="9"/>
        <v>6753363</v>
      </c>
      <c r="AC75" s="4">
        <f t="shared" si="10"/>
        <v>1115990</v>
      </c>
      <c r="AG75" s="41" t="s">
        <v>2</v>
      </c>
      <c r="AH75" s="42" t="s">
        <v>31</v>
      </c>
      <c r="AI75" s="43">
        <v>34747610</v>
      </c>
      <c r="AJ75" s="43">
        <v>8762139</v>
      </c>
      <c r="AK75" s="44">
        <v>29501</v>
      </c>
    </row>
    <row r="76" spans="2:37" s="9" customFormat="1" x14ac:dyDescent="0.25">
      <c r="Z76" s="42" t="s">
        <v>34</v>
      </c>
      <c r="AA76" s="4">
        <f t="shared" si="8"/>
        <v>29945854</v>
      </c>
      <c r="AB76" s="4">
        <f t="shared" si="9"/>
        <v>6456149</v>
      </c>
      <c r="AC76" s="4">
        <f t="shared" si="10"/>
        <v>1047600</v>
      </c>
      <c r="AG76" s="41" t="s">
        <v>2</v>
      </c>
      <c r="AH76" s="42" t="s">
        <v>32</v>
      </c>
      <c r="AI76" s="43">
        <v>32619944</v>
      </c>
      <c r="AJ76" s="43">
        <v>8313260</v>
      </c>
      <c r="AK76" s="44">
        <v>28730</v>
      </c>
    </row>
    <row r="77" spans="2:37" s="9" customFormat="1" x14ac:dyDescent="0.25">
      <c r="Z77" s="42" t="s">
        <v>35</v>
      </c>
      <c r="AA77" s="4">
        <f t="shared" si="8"/>
        <v>29979708</v>
      </c>
      <c r="AB77" s="4">
        <f t="shared" si="9"/>
        <v>6748815</v>
      </c>
      <c r="AC77" s="4">
        <f t="shared" si="10"/>
        <v>1106010</v>
      </c>
      <c r="AG77" s="41" t="s">
        <v>2</v>
      </c>
      <c r="AH77" s="42" t="s">
        <v>33</v>
      </c>
      <c r="AI77" s="43">
        <v>31558230</v>
      </c>
      <c r="AJ77" s="43">
        <v>8043549</v>
      </c>
      <c r="AK77" s="44">
        <v>26031</v>
      </c>
    </row>
    <row r="78" spans="2:37" s="9" customFormat="1" x14ac:dyDescent="0.25">
      <c r="Z78" s="42" t="s">
        <v>36</v>
      </c>
      <c r="AA78" s="4">
        <f t="shared" si="8"/>
        <v>29306227</v>
      </c>
      <c r="AB78" s="4">
        <f t="shared" si="9"/>
        <v>6789332</v>
      </c>
      <c r="AC78" s="4">
        <f t="shared" si="10"/>
        <v>1028090</v>
      </c>
      <c r="AG78" s="41" t="s">
        <v>2</v>
      </c>
      <c r="AH78" s="42" t="s">
        <v>34</v>
      </c>
      <c r="AI78" s="43">
        <v>29945854</v>
      </c>
      <c r="AJ78" s="43">
        <v>7603109</v>
      </c>
      <c r="AK78" s="44">
        <v>25209</v>
      </c>
    </row>
    <row r="79" spans="2:37" s="9" customFormat="1" x14ac:dyDescent="0.25">
      <c r="D79" s="19"/>
      <c r="E79" s="19"/>
      <c r="Y79" s="19"/>
      <c r="Z79" s="19"/>
      <c r="AA79" s="19"/>
      <c r="AB79" s="19"/>
      <c r="AD79" s="19"/>
      <c r="AG79" s="41" t="s">
        <v>2</v>
      </c>
      <c r="AH79" s="42" t="s">
        <v>35</v>
      </c>
      <c r="AI79" s="43">
        <v>29979708</v>
      </c>
      <c r="AJ79" s="43">
        <v>7604489</v>
      </c>
      <c r="AK79" s="44">
        <v>25472</v>
      </c>
    </row>
    <row r="80" spans="2:37" s="9" customFormat="1" x14ac:dyDescent="0.25">
      <c r="B80" s="6"/>
      <c r="D80" s="19"/>
      <c r="E80" s="19"/>
      <c r="AG80" s="41" t="s">
        <v>2</v>
      </c>
      <c r="AH80" s="42" t="s">
        <v>36</v>
      </c>
      <c r="AI80" s="43">
        <v>29306227</v>
      </c>
      <c r="AJ80" s="43">
        <v>7419306</v>
      </c>
      <c r="AK80" s="44">
        <v>28949</v>
      </c>
    </row>
    <row r="81" spans="2:37" s="9" customFormat="1" ht="15.75" thickBot="1" x14ac:dyDescent="0.3">
      <c r="B81" s="7"/>
      <c r="D81" s="19"/>
      <c r="E81" s="19"/>
      <c r="AG81" s="45" t="s">
        <v>2</v>
      </c>
      <c r="AH81" s="46" t="s">
        <v>10</v>
      </c>
      <c r="AI81" s="47">
        <v>385812934</v>
      </c>
      <c r="AJ81" s="47">
        <v>97553392</v>
      </c>
      <c r="AK81" s="48">
        <v>345553</v>
      </c>
    </row>
    <row r="82" spans="2:37" s="9" customFormat="1" ht="15.75" thickBot="1" x14ac:dyDescent="0.3">
      <c r="B82" s="6"/>
      <c r="D82" s="19"/>
      <c r="E82" s="19"/>
      <c r="AG82" s="49"/>
      <c r="AH82" s="49"/>
      <c r="AI82" s="50"/>
      <c r="AJ82" s="50"/>
      <c r="AK82" s="50"/>
    </row>
    <row r="83" spans="2:37" s="9" customFormat="1" x14ac:dyDescent="0.25">
      <c r="AG83" s="51" t="s">
        <v>37</v>
      </c>
      <c r="AH83" s="52" t="s">
        <v>25</v>
      </c>
      <c r="AI83" s="53">
        <v>6355544.0099999998</v>
      </c>
      <c r="AJ83" s="53">
        <v>1846439.9</v>
      </c>
      <c r="AK83" s="54">
        <v>7820</v>
      </c>
    </row>
    <row r="84" spans="2:37" s="9" customFormat="1" x14ac:dyDescent="0.25">
      <c r="AG84" s="41" t="s">
        <v>37</v>
      </c>
      <c r="AH84" s="42" t="s">
        <v>26</v>
      </c>
      <c r="AI84" s="43">
        <v>6143599</v>
      </c>
      <c r="AJ84" s="43">
        <v>1564272.58</v>
      </c>
      <c r="AK84" s="44">
        <v>7421</v>
      </c>
    </row>
    <row r="85" spans="2:37" s="9" customFormat="1" x14ac:dyDescent="0.25">
      <c r="AG85" s="41" t="s">
        <v>37</v>
      </c>
      <c r="AH85" s="42" t="s">
        <v>27</v>
      </c>
      <c r="AI85" s="43">
        <v>6719972</v>
      </c>
      <c r="AJ85" s="43">
        <v>1685450</v>
      </c>
      <c r="AK85" s="44">
        <v>5238</v>
      </c>
    </row>
    <row r="86" spans="2:37" s="9" customFormat="1" x14ac:dyDescent="0.25">
      <c r="AG86" s="41" t="s">
        <v>37</v>
      </c>
      <c r="AH86" s="42" t="s">
        <v>28</v>
      </c>
      <c r="AI86" s="43">
        <v>6526064</v>
      </c>
      <c r="AJ86" s="43">
        <v>1660586.64</v>
      </c>
      <c r="AK86" s="44">
        <v>6928</v>
      </c>
    </row>
    <row r="87" spans="2:37" s="9" customFormat="1" x14ac:dyDescent="0.25">
      <c r="AG87" s="41" t="s">
        <v>37</v>
      </c>
      <c r="AH87" s="42" t="s">
        <v>29</v>
      </c>
      <c r="AI87" s="43">
        <v>7426283</v>
      </c>
      <c r="AJ87" s="43">
        <v>1827319.98</v>
      </c>
      <c r="AK87" s="44">
        <v>5973</v>
      </c>
    </row>
    <row r="88" spans="2:37" s="9" customFormat="1" x14ac:dyDescent="0.25">
      <c r="AG88" s="41" t="s">
        <v>37</v>
      </c>
      <c r="AH88" s="42" t="s">
        <v>30</v>
      </c>
      <c r="AI88" s="43">
        <v>6874382</v>
      </c>
      <c r="AJ88" s="43">
        <v>1703814.13</v>
      </c>
      <c r="AK88" s="44">
        <v>5640</v>
      </c>
    </row>
    <row r="89" spans="2:37" s="9" customFormat="1" x14ac:dyDescent="0.25">
      <c r="AG89" s="41" t="s">
        <v>37</v>
      </c>
      <c r="AH89" s="42" t="s">
        <v>31</v>
      </c>
      <c r="AI89" s="43">
        <v>7094461</v>
      </c>
      <c r="AJ89" s="43">
        <v>1749895.84</v>
      </c>
      <c r="AK89" s="44">
        <v>7028</v>
      </c>
    </row>
    <row r="90" spans="2:37" s="9" customFormat="1" x14ac:dyDescent="0.25">
      <c r="AG90" s="41" t="s">
        <v>37</v>
      </c>
      <c r="AH90" s="42" t="s">
        <v>32</v>
      </c>
      <c r="AI90" s="43">
        <v>6858926</v>
      </c>
      <c r="AJ90" s="43">
        <v>1703098.85</v>
      </c>
      <c r="AK90" s="44">
        <v>6727</v>
      </c>
    </row>
    <row r="91" spans="2:37" s="9" customFormat="1" x14ac:dyDescent="0.25">
      <c r="AG91" s="41" t="s">
        <v>37</v>
      </c>
      <c r="AH91" s="42" t="s">
        <v>33</v>
      </c>
      <c r="AI91" s="43">
        <v>6753363</v>
      </c>
      <c r="AJ91" s="43">
        <v>1623742.11</v>
      </c>
      <c r="AK91" s="44">
        <v>6821</v>
      </c>
    </row>
    <row r="92" spans="2:37" s="9" customFormat="1" x14ac:dyDescent="0.25">
      <c r="AG92" s="41" t="s">
        <v>37</v>
      </c>
      <c r="AH92" s="42" t="s">
        <v>34</v>
      </c>
      <c r="AI92" s="43">
        <v>6456149</v>
      </c>
      <c r="AJ92" s="43">
        <v>1498048.53</v>
      </c>
      <c r="AK92" s="44">
        <v>6869</v>
      </c>
    </row>
    <row r="93" spans="2:37" s="9" customFormat="1" x14ac:dyDescent="0.25">
      <c r="AG93" s="41" t="s">
        <v>37</v>
      </c>
      <c r="AH93" s="42" t="s">
        <v>35</v>
      </c>
      <c r="AI93" s="43">
        <v>6748815</v>
      </c>
      <c r="AJ93" s="43">
        <v>1361902</v>
      </c>
      <c r="AK93" s="44">
        <v>5906</v>
      </c>
    </row>
    <row r="94" spans="2:37" s="9" customFormat="1" x14ac:dyDescent="0.25">
      <c r="AG94" s="41" t="s">
        <v>37</v>
      </c>
      <c r="AH94" s="42" t="s">
        <v>36</v>
      </c>
      <c r="AI94" s="43">
        <v>6789332</v>
      </c>
      <c r="AJ94" s="43">
        <v>1623081</v>
      </c>
      <c r="AK94" s="44">
        <v>5892</v>
      </c>
    </row>
    <row r="95" spans="2:37" s="9" customFormat="1" ht="15.75" thickBot="1" x14ac:dyDescent="0.3">
      <c r="AG95" s="45" t="s">
        <v>37</v>
      </c>
      <c r="AH95" s="46" t="s">
        <v>10</v>
      </c>
      <c r="AI95" s="47">
        <v>80746890.010000005</v>
      </c>
      <c r="AJ95" s="47">
        <v>19847651.559999999</v>
      </c>
      <c r="AK95" s="48">
        <v>78263</v>
      </c>
    </row>
    <row r="96" spans="2:37" s="9" customFormat="1" ht="15.75" thickBot="1" x14ac:dyDescent="0.3">
      <c r="AG96" s="49"/>
      <c r="AH96" s="49"/>
      <c r="AI96" s="50"/>
      <c r="AJ96" s="50"/>
      <c r="AK96" s="50"/>
    </row>
    <row r="97" spans="33:37" s="9" customFormat="1" x14ac:dyDescent="0.25">
      <c r="AG97" s="51" t="s">
        <v>38</v>
      </c>
      <c r="AH97" s="52" t="s">
        <v>25</v>
      </c>
      <c r="AI97" s="53">
        <v>1038080</v>
      </c>
      <c r="AJ97" s="53">
        <v>289104</v>
      </c>
      <c r="AK97" s="54">
        <v>852</v>
      </c>
    </row>
    <row r="98" spans="33:37" s="9" customFormat="1" x14ac:dyDescent="0.25">
      <c r="AG98" s="41" t="s">
        <v>38</v>
      </c>
      <c r="AH98" s="42" t="s">
        <v>26</v>
      </c>
      <c r="AI98" s="43">
        <v>999790</v>
      </c>
      <c r="AJ98" s="43">
        <v>281027</v>
      </c>
      <c r="AK98" s="44">
        <v>1004</v>
      </c>
    </row>
    <row r="99" spans="33:37" s="9" customFormat="1" x14ac:dyDescent="0.25">
      <c r="AG99" s="41" t="s">
        <v>38</v>
      </c>
      <c r="AH99" s="42" t="s">
        <v>27</v>
      </c>
      <c r="AI99" s="43">
        <v>1218740</v>
      </c>
      <c r="AJ99" s="43">
        <v>340311.7</v>
      </c>
      <c r="AK99" s="44">
        <v>1334</v>
      </c>
    </row>
    <row r="100" spans="33:37" s="9" customFormat="1" x14ac:dyDescent="0.25">
      <c r="AG100" s="41" t="s">
        <v>38</v>
      </c>
      <c r="AH100" s="42" t="s">
        <v>28</v>
      </c>
      <c r="AI100" s="43">
        <v>1240990</v>
      </c>
      <c r="AJ100" s="43">
        <v>348719</v>
      </c>
      <c r="AK100" s="44">
        <v>1185</v>
      </c>
    </row>
    <row r="101" spans="33:37" s="9" customFormat="1" x14ac:dyDescent="0.25">
      <c r="AG101" s="41" t="s">
        <v>38</v>
      </c>
      <c r="AH101" s="42" t="s">
        <v>29</v>
      </c>
      <c r="AI101" s="43">
        <v>1322130</v>
      </c>
      <c r="AJ101" s="43">
        <v>372686</v>
      </c>
      <c r="AK101" s="44">
        <v>1520</v>
      </c>
    </row>
    <row r="102" spans="33:37" s="9" customFormat="1" x14ac:dyDescent="0.25">
      <c r="AG102" s="41" t="s">
        <v>38</v>
      </c>
      <c r="AH102" s="42" t="s">
        <v>30</v>
      </c>
      <c r="AI102" s="43">
        <v>1195370</v>
      </c>
      <c r="AJ102" s="43">
        <v>334889</v>
      </c>
      <c r="AK102" s="44">
        <v>665</v>
      </c>
    </row>
    <row r="103" spans="33:37" s="9" customFormat="1" x14ac:dyDescent="0.25">
      <c r="AG103" s="41" t="s">
        <v>38</v>
      </c>
      <c r="AH103" s="42" t="s">
        <v>31</v>
      </c>
      <c r="AI103" s="43">
        <v>1223610</v>
      </c>
      <c r="AJ103" s="43">
        <v>348058</v>
      </c>
      <c r="AK103" s="44">
        <v>1284</v>
      </c>
    </row>
    <row r="104" spans="33:37" s="9" customFormat="1" x14ac:dyDescent="0.25">
      <c r="AG104" s="41" t="s">
        <v>38</v>
      </c>
      <c r="AH104" s="42" t="s">
        <v>32</v>
      </c>
      <c r="AI104" s="43">
        <v>1181170</v>
      </c>
      <c r="AJ104" s="43">
        <v>335385</v>
      </c>
      <c r="AK104" s="44">
        <v>1164</v>
      </c>
    </row>
    <row r="105" spans="33:37" s="9" customFormat="1" x14ac:dyDescent="0.25">
      <c r="AG105" s="41" t="s">
        <v>38</v>
      </c>
      <c r="AH105" s="42" t="s">
        <v>33</v>
      </c>
      <c r="AI105" s="43">
        <v>1115990</v>
      </c>
      <c r="AJ105" s="43">
        <v>318683</v>
      </c>
      <c r="AK105" s="44">
        <v>1190</v>
      </c>
    </row>
    <row r="106" spans="33:37" s="9" customFormat="1" x14ac:dyDescent="0.25">
      <c r="AG106" s="41" t="s">
        <v>38</v>
      </c>
      <c r="AH106" s="42" t="s">
        <v>34</v>
      </c>
      <c r="AI106" s="43">
        <v>1047600</v>
      </c>
      <c r="AJ106" s="43">
        <v>287635</v>
      </c>
      <c r="AK106" s="44">
        <v>1177</v>
      </c>
    </row>
    <row r="107" spans="33:37" s="9" customFormat="1" x14ac:dyDescent="0.25">
      <c r="AG107" s="41" t="s">
        <v>38</v>
      </c>
      <c r="AH107" s="42" t="s">
        <v>35</v>
      </c>
      <c r="AI107" s="43">
        <v>1106010</v>
      </c>
      <c r="AJ107" s="43">
        <v>340536</v>
      </c>
      <c r="AK107" s="44">
        <v>987</v>
      </c>
    </row>
    <row r="108" spans="33:37" s="9" customFormat="1" x14ac:dyDescent="0.25">
      <c r="AG108" s="41" t="s">
        <v>38</v>
      </c>
      <c r="AH108" s="42" t="s">
        <v>36</v>
      </c>
      <c r="AI108" s="43">
        <v>1028090</v>
      </c>
      <c r="AJ108" s="43">
        <v>322138</v>
      </c>
      <c r="AK108" s="44">
        <v>885</v>
      </c>
    </row>
    <row r="109" spans="33:37" s="9" customFormat="1" ht="15.75" thickBot="1" x14ac:dyDescent="0.3">
      <c r="AG109" s="45" t="s">
        <v>38</v>
      </c>
      <c r="AH109" s="46" t="s">
        <v>10</v>
      </c>
      <c r="AI109" s="47">
        <v>13717570</v>
      </c>
      <c r="AJ109" s="47">
        <v>3919171.7</v>
      </c>
      <c r="AK109" s="48">
        <v>13247</v>
      </c>
    </row>
    <row r="110" spans="33:37" s="9" customFormat="1" x14ac:dyDescent="0.25"/>
    <row r="111" spans="33:37" s="9" customFormat="1" x14ac:dyDescent="0.25"/>
    <row r="112" spans="33:37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</sheetData>
  <mergeCells count="1">
    <mergeCell ref="A1:P1"/>
  </mergeCells>
  <pageMargins left="0.7" right="0.7" top="0.75" bottom="0.75" header="0.3" footer="0.3"/>
  <pageSetup paperSize="9" scale="65" orientation="landscape" horizontalDpi="4294967295" verticalDpi="4294967295" r:id="rId1"/>
  <rowBreaks count="1" manualBreakCount="1">
    <brk id="42" max="92" man="1"/>
  </rowBreaks>
  <colBreaks count="1" manualBreakCount="1">
    <brk id="16" max="4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 &amp; water</vt:lpstr>
      <vt:lpstr>'Elec &amp; water'!Print_Area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2021-12-13T23:16:19Z</cp:lastPrinted>
  <dcterms:created xsi:type="dcterms:W3CDTF">2019-05-14T08:05:18Z</dcterms:created>
  <dcterms:modified xsi:type="dcterms:W3CDTF">2021-12-14T00:10:58Z</dcterms:modified>
</cp:coreProperties>
</file>