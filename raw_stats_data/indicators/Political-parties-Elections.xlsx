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Political parties &amp; Elections" sheetId="16" r:id="rId1"/>
  </sheets>
  <externalReferences>
    <externalReference r:id="rId2"/>
  </externalReferences>
  <definedNames>
    <definedName name="_xlnm.Print_Area" localSheetId="0">'Political parties &amp; Elections'!$A$1:$M$64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6" l="1"/>
  <c r="L13" i="16"/>
  <c r="AF14" i="16"/>
  <c r="AE14" i="16"/>
  <c r="G9" i="16" l="1"/>
</calcChain>
</file>

<file path=xl/sharedStrings.xml><?xml version="1.0" encoding="utf-8"?>
<sst xmlns="http://schemas.openxmlformats.org/spreadsheetml/2006/main" count="48" uniqueCount="36">
  <si>
    <t>Male</t>
  </si>
  <si>
    <t>Female</t>
  </si>
  <si>
    <t>POLITICAL PARTIES</t>
  </si>
  <si>
    <t>Number of People Registered under Political Parties</t>
  </si>
  <si>
    <t>Money given by the Government to the Political Parties (MVR)</t>
  </si>
  <si>
    <t>ELECTIONS</t>
  </si>
  <si>
    <t xml:space="preserve">                                     Presidential  Election, 2008</t>
  </si>
  <si>
    <t>Parliamentary 
Election, 2009</t>
  </si>
  <si>
    <t>Local Council Election, 2011</t>
  </si>
  <si>
    <t>Presidential Election, 2013</t>
  </si>
  <si>
    <t>Parliamentary election, 2014</t>
  </si>
  <si>
    <t xml:space="preserve">Local Council elections, 2017 </t>
  </si>
  <si>
    <t>Total</t>
  </si>
  <si>
    <t>Expenditure (MVR)</t>
  </si>
  <si>
    <t>First Round</t>
  </si>
  <si>
    <t>Second Round</t>
  </si>
  <si>
    <t>Eligible voters</t>
  </si>
  <si>
    <t>Number voted</t>
  </si>
  <si>
    <t>Voter turnout</t>
  </si>
  <si>
    <t>1_/: revised</t>
  </si>
  <si>
    <t xml:space="preserve"> Presidential  Election, 2008</t>
  </si>
  <si>
    <t>Presidential election, 2018</t>
  </si>
  <si>
    <t>Local Council elections, 2014</t>
  </si>
  <si>
    <t>2_/: Covers all the 6 rounds including the ones that got cancelled</t>
  </si>
  <si>
    <t>Parliamentary election, 2019</t>
  </si>
  <si>
    <r>
      <t>Parliamentary 
Election, 2009</t>
    </r>
    <r>
      <rPr>
        <b/>
        <vertAlign val="superscript"/>
        <sz val="10"/>
        <rFont val="Calibri"/>
        <family val="2"/>
        <scheme val="minor"/>
      </rPr>
      <t>1_/</t>
    </r>
  </si>
  <si>
    <r>
      <t>*Presidential Election, 2013</t>
    </r>
    <r>
      <rPr>
        <b/>
        <vertAlign val="superscript"/>
        <sz val="10"/>
        <rFont val="Calibri"/>
        <family val="2"/>
        <scheme val="minor"/>
      </rPr>
      <t>2_/</t>
    </r>
  </si>
  <si>
    <r>
      <t>Parliamentary election, 2014</t>
    </r>
    <r>
      <rPr>
        <b/>
        <vertAlign val="superscript"/>
        <sz val="10"/>
        <rFont val="Calibri"/>
        <family val="2"/>
        <scheme val="minor"/>
      </rPr>
      <t>1_/</t>
    </r>
  </si>
  <si>
    <t xml:space="preserve"> Councils</t>
  </si>
  <si>
    <t xml:space="preserve">Republic                      މުޅިރާއްޖެ </t>
  </si>
  <si>
    <t>Total Local Council members</t>
  </si>
  <si>
    <t>Atoll councils</t>
  </si>
  <si>
    <t>Island councils</t>
  </si>
  <si>
    <t>City councils</t>
  </si>
  <si>
    <t>Parliament member</t>
  </si>
  <si>
    <t>Local Councillors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</si>
</sst>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#,##0.0"/>
    <numFmt numFmtId="169" formatCode="General_)"/>
    <numFmt numFmtId="171" formatCode="0.00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0"/>
      <name val="Candara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andara"/>
      <family val="2"/>
    </font>
    <font>
      <sz val="9"/>
      <name val="Candara"/>
      <family val="2"/>
    </font>
    <font>
      <sz val="10"/>
      <color rgb="FFFF0000"/>
      <name val="Calibri"/>
      <family val="2"/>
      <scheme val="minor"/>
    </font>
    <font>
      <i/>
      <sz val="9"/>
      <name val="Candara"/>
      <family val="2"/>
    </font>
    <font>
      <b/>
      <vertAlign val="superscript"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ndara"/>
      <family val="2"/>
    </font>
    <font>
      <b/>
      <sz val="11"/>
      <color rgb="FFFF0000"/>
      <name val="Calibri"/>
      <family val="2"/>
      <scheme val="minor"/>
    </font>
    <font>
      <b/>
      <sz val="22"/>
      <color theme="0"/>
      <name val="Candar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9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7" fillId="0" borderId="0"/>
    <xf numFmtId="43" fontId="14" fillId="0" borderId="0" applyFont="0" applyFill="0" applyBorder="0" applyAlignment="0" applyProtection="0"/>
    <xf numFmtId="0" fontId="14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0" fontId="19" fillId="4" borderId="0" applyNumberFormat="0" applyBorder="0" applyAlignment="0" applyProtection="0"/>
    <xf numFmtId="0" fontId="20" fillId="21" borderId="1" applyNumberFormat="0" applyAlignment="0" applyProtection="0"/>
    <xf numFmtId="0" fontId="21" fillId="22" borderId="2" applyNumberFormat="0" applyAlignment="0" applyProtection="0"/>
    <xf numFmtId="40" fontId="1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0" borderId="3" applyNumberFormat="0" applyFill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27" fillId="8" borderId="1" applyNumberFormat="0" applyAlignment="0" applyProtection="0"/>
    <xf numFmtId="0" fontId="28" fillId="0" borderId="6" applyNumberFormat="0" applyFill="0" applyAlignment="0" applyProtection="0"/>
    <xf numFmtId="0" fontId="29" fillId="23" borderId="0" applyNumberFormat="0" applyBorder="0" applyAlignment="0" applyProtection="0"/>
    <xf numFmtId="171" fontId="16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169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7" fillId="24" borderId="7" applyNumberFormat="0" applyFont="0" applyAlignment="0" applyProtection="0"/>
    <xf numFmtId="0" fontId="30" fillId="21" borderId="8" applyNumberFormat="0" applyAlignment="0" applyProtection="0"/>
    <xf numFmtId="9" fontId="1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32" fillId="0" borderId="0" applyNumberFormat="0" applyFill="0" applyBorder="0" applyAlignment="0" applyProtection="0"/>
    <xf numFmtId="169" fontId="7" fillId="0" borderId="0"/>
    <xf numFmtId="169" fontId="7" fillId="0" borderId="0"/>
    <xf numFmtId="0" fontId="1" fillId="0" borderId="0"/>
    <xf numFmtId="0" fontId="7" fillId="0" borderId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</cellStyleXfs>
  <cellXfs count="63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2" applyFont="1" applyFill="1" applyAlignment="1">
      <alignment vertical="center"/>
    </xf>
    <xf numFmtId="1" fontId="0" fillId="2" borderId="0" xfId="0" applyNumberFormat="1" applyFill="1"/>
    <xf numFmtId="0" fontId="0" fillId="2" borderId="0" xfId="0" applyFill="1" applyAlignment="1">
      <alignment horizontal="right" vertical="center"/>
    </xf>
    <xf numFmtId="0" fontId="3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horizontal="left"/>
    </xf>
    <xf numFmtId="168" fontId="8" fillId="2" borderId="0" xfId="0" applyNumberFormat="1" applyFont="1" applyFill="1" applyAlignment="1">
      <alignment vertical="center"/>
    </xf>
    <xf numFmtId="0" fontId="0" fillId="2" borderId="0" xfId="0" applyFont="1" applyFill="1"/>
    <xf numFmtId="0" fontId="0" fillId="2" borderId="0" xfId="0" applyFont="1" applyFill="1" applyBorder="1"/>
    <xf numFmtId="0" fontId="12" fillId="2" borderId="0" xfId="0" applyFont="1" applyFill="1" applyBorder="1" applyAlignment="1">
      <alignment horizontal="center" vertical="center"/>
    </xf>
    <xf numFmtId="0" fontId="38" fillId="2" borderId="0" xfId="0" applyFont="1" applyFill="1" applyBorder="1"/>
    <xf numFmtId="0" fontId="38" fillId="2" borderId="0" xfId="0" applyFont="1" applyFill="1"/>
    <xf numFmtId="168" fontId="10" fillId="2" borderId="0" xfId="0" applyNumberFormat="1" applyFont="1" applyFill="1" applyAlignment="1">
      <alignment horizontal="right" vertical="center"/>
    </xf>
    <xf numFmtId="0" fontId="0" fillId="2" borderId="0" xfId="0" applyFont="1" applyFill="1" applyBorder="1" applyAlignment="1">
      <alignment horizontal="center"/>
    </xf>
    <xf numFmtId="168" fontId="34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right" wrapText="1"/>
    </xf>
    <xf numFmtId="0" fontId="33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67" fontId="6" fillId="2" borderId="0" xfId="1" applyNumberFormat="1" applyFont="1" applyFill="1" applyAlignment="1">
      <alignment horizontal="right" vertical="center"/>
    </xf>
    <xf numFmtId="167" fontId="6" fillId="2" borderId="0" xfId="1" applyNumberFormat="1" applyFont="1" applyFill="1" applyBorder="1" applyAlignment="1">
      <alignment horizontal="right" vertical="center"/>
    </xf>
    <xf numFmtId="167" fontId="35" fillId="2" borderId="0" xfId="1" applyNumberFormat="1" applyFont="1" applyFill="1" applyBorder="1" applyAlignment="1">
      <alignment horizontal="right" vertical="center"/>
    </xf>
    <xf numFmtId="0" fontId="35" fillId="2" borderId="0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36" fillId="2" borderId="0" xfId="0" applyFont="1" applyFill="1" applyAlignment="1">
      <alignment vertical="center"/>
    </xf>
    <xf numFmtId="1" fontId="0" fillId="2" borderId="0" xfId="0" applyNumberFormat="1" applyFont="1" applyFill="1" applyBorder="1"/>
    <xf numFmtId="0" fontId="40" fillId="2" borderId="0" xfId="0" applyFont="1" applyFill="1"/>
    <xf numFmtId="10" fontId="0" fillId="2" borderId="0" xfId="0" applyNumberFormat="1" applyFill="1"/>
    <xf numFmtId="167" fontId="5" fillId="2" borderId="0" xfId="1" applyNumberFormat="1" applyFont="1" applyFill="1" applyBorder="1" applyAlignment="1" applyProtection="1">
      <alignment vertical="center"/>
      <protection locked="0"/>
    </xf>
    <xf numFmtId="168" fontId="8" fillId="26" borderId="0" xfId="0" applyNumberFormat="1" applyFont="1" applyFill="1" applyAlignment="1">
      <alignment vertical="center"/>
    </xf>
    <xf numFmtId="0" fontId="33" fillId="26" borderId="0" xfId="0" applyFont="1" applyFill="1"/>
    <xf numFmtId="9" fontId="8" fillId="26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3" fontId="8" fillId="26" borderId="0" xfId="0" applyNumberFormat="1" applyFont="1" applyFill="1" applyAlignment="1">
      <alignment vertical="center"/>
    </xf>
    <xf numFmtId="168" fontId="33" fillId="26" borderId="0" xfId="0" applyNumberFormat="1" applyFont="1" applyFill="1" applyAlignment="1">
      <alignment vertical="center" wrapText="1"/>
    </xf>
    <xf numFmtId="0" fontId="6" fillId="26" borderId="0" xfId="0" applyFont="1" applyFill="1"/>
    <xf numFmtId="168" fontId="33" fillId="2" borderId="0" xfId="0" applyNumberFormat="1" applyFont="1" applyFill="1" applyAlignment="1">
      <alignment vertical="center" wrapText="1"/>
    </xf>
    <xf numFmtId="0" fontId="6" fillId="2" borderId="0" xfId="0" applyFont="1" applyFill="1"/>
    <xf numFmtId="0" fontId="6" fillId="0" borderId="0" xfId="0" applyFont="1"/>
    <xf numFmtId="0" fontId="4" fillId="2" borderId="0" xfId="0" applyFont="1" applyFill="1" applyAlignment="1">
      <alignment horizontal="right" vertical="center" wrapText="1"/>
    </xf>
    <xf numFmtId="168" fontId="33" fillId="26" borderId="0" xfId="0" applyNumberFormat="1" applyFont="1" applyFill="1" applyAlignment="1">
      <alignment vertical="center"/>
    </xf>
    <xf numFmtId="168" fontId="39" fillId="2" borderId="0" xfId="0" applyNumberFormat="1" applyFont="1" applyFill="1" applyAlignment="1">
      <alignment vertical="center"/>
    </xf>
    <xf numFmtId="168" fontId="33" fillId="2" borderId="0" xfId="0" applyNumberFormat="1" applyFont="1" applyFill="1" applyAlignment="1">
      <alignment vertical="center"/>
    </xf>
    <xf numFmtId="166" fontId="9" fillId="2" borderId="0" xfId="1" applyNumberFormat="1" applyFont="1" applyFill="1" applyAlignment="1">
      <alignment horizontal="left" vertical="center" indent="3"/>
    </xf>
    <xf numFmtId="3" fontId="8" fillId="26" borderId="0" xfId="0" applyNumberFormat="1" applyFont="1" applyFill="1" applyAlignment="1">
      <alignment vertical="center"/>
    </xf>
    <xf numFmtId="3" fontId="8" fillId="2" borderId="0" xfId="0" applyNumberFormat="1" applyFont="1" applyFill="1" applyAlignment="1">
      <alignment vertical="center"/>
    </xf>
    <xf numFmtId="0" fontId="41" fillId="25" borderId="0" xfId="2" applyFont="1" applyFill="1" applyAlignment="1">
      <alignment horizontal="left" vertical="center"/>
    </xf>
    <xf numFmtId="0" fontId="11" fillId="2" borderId="0" xfId="0" applyFont="1" applyFill="1" applyAlignment="1">
      <alignment horizontal="right" vertical="center" wrapText="1"/>
    </xf>
    <xf numFmtId="3" fontId="8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right" vertical="center" wrapText="1"/>
    </xf>
    <xf numFmtId="3" fontId="8" fillId="26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41" fillId="2" borderId="0" xfId="2" applyFont="1" applyFill="1" applyAlignment="1">
      <alignment horizontal="left" vertical="center"/>
    </xf>
  </cellXfs>
  <cellStyles count="79">
    <cellStyle name="1" xfId="2"/>
    <cellStyle name="1 3" xfId="4"/>
    <cellStyle name="1_Indicators2007 2" xfId="7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3"/>
    <cellStyle name="Comma 3" xfId="6"/>
    <cellStyle name="Comma 3 2" xfId="38"/>
    <cellStyle name="Comma 3 3" xfId="74"/>
    <cellStyle name="Comma 4" xfId="69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1"/>
    <cellStyle name="Normal 2 2 4" xfId="72"/>
    <cellStyle name="Normal 2 2 5" xfId="77"/>
    <cellStyle name="Normal 2 3" xfId="78"/>
    <cellStyle name="Normal 3" xfId="53"/>
    <cellStyle name="Normal 3 2" xfId="76"/>
    <cellStyle name="Normal 3 3" xfId="75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 Expenditure on elections during, 2008 - 2019</a:t>
            </a:r>
          </a:p>
        </c:rich>
      </c:tx>
      <c:layout>
        <c:manualLayout>
          <c:xMode val="edge"/>
          <c:yMode val="edge"/>
          <c:x val="0.35840340167562651"/>
          <c:y val="3.58052408538357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614864814152296"/>
          <c:y val="0.1258213298915945"/>
          <c:w val="0.82749308594031212"/>
          <c:h val="0.7032601963829823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196563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B1D-4120-8D4E-ECCA61E5C937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B1D-4120-8D4E-ECCA61E5C937}"/>
              </c:ext>
            </c:extLst>
          </c:dPt>
          <c:dPt>
            <c:idx val="4"/>
            <c:invertIfNegative val="0"/>
            <c:bubble3D val="0"/>
            <c:spPr>
              <a:solidFill>
                <a:srgbClr val="FF99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B1D-4120-8D4E-ECCA61E5C937}"/>
              </c:ext>
            </c:extLst>
          </c:dPt>
          <c:dPt>
            <c:idx val="5"/>
            <c:invertIfNegative val="0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B1D-4120-8D4E-ECCA61E5C937}"/>
              </c:ext>
            </c:extLst>
          </c:dPt>
          <c:dPt>
            <c:idx val="6"/>
            <c:invertIfNegative val="0"/>
            <c:bubble3D val="0"/>
            <c:spPr>
              <a:solidFill>
                <a:srgbClr val="FF99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B1D-4120-8D4E-ECCA61E5C937}"/>
              </c:ext>
            </c:extLst>
          </c:dPt>
          <c:dPt>
            <c:idx val="8"/>
            <c:invertIfNegative val="0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B1D-4120-8D4E-ECCA61E5C937}"/>
              </c:ext>
            </c:extLst>
          </c:dPt>
          <c:cat>
            <c:strRef>
              <c:f>'Political parties &amp; Elections'!$AD$22:$AD$30</c:f>
              <c:strCache>
                <c:ptCount val="9"/>
                <c:pt idx="0">
                  <c:v> Presidential  Election, 2008</c:v>
                </c:pt>
                <c:pt idx="1">
                  <c:v>Parliamentary 
Election, 2009</c:v>
                </c:pt>
                <c:pt idx="2">
                  <c:v>Local Council Election, 2011</c:v>
                </c:pt>
                <c:pt idx="3">
                  <c:v>Presidential Election, 2013</c:v>
                </c:pt>
                <c:pt idx="4">
                  <c:v>Local Council elections, 2014</c:v>
                </c:pt>
                <c:pt idx="5">
                  <c:v>Parliamentary election, 2014</c:v>
                </c:pt>
                <c:pt idx="6">
                  <c:v>Local Council elections, 2017 </c:v>
                </c:pt>
                <c:pt idx="7">
                  <c:v>Presidential election, 2018</c:v>
                </c:pt>
                <c:pt idx="8">
                  <c:v>Parliamentary election, 2019</c:v>
                </c:pt>
              </c:strCache>
            </c:strRef>
          </c:cat>
          <c:val>
            <c:numRef>
              <c:f>'Political parties &amp; Elections'!$AF$22:$AF$30</c:f>
              <c:numCache>
                <c:formatCode>_(* #,##0.0_);_(* \(#,##0.0\);_(* "-"??_);_(@_)</c:formatCode>
                <c:ptCount val="9"/>
                <c:pt idx="0">
                  <c:v>61599484.75</c:v>
                </c:pt>
                <c:pt idx="1">
                  <c:v>22069176.829999998</c:v>
                </c:pt>
                <c:pt idx="2">
                  <c:v>44840129.75</c:v>
                </c:pt>
                <c:pt idx="3">
                  <c:v>76487271</c:v>
                </c:pt>
                <c:pt idx="4">
                  <c:v>29564148</c:v>
                </c:pt>
                <c:pt idx="5">
                  <c:v>25929972</c:v>
                </c:pt>
                <c:pt idx="6">
                  <c:v>46220447</c:v>
                </c:pt>
                <c:pt idx="7">
                  <c:v>65829595</c:v>
                </c:pt>
                <c:pt idx="8">
                  <c:v>45440227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C6-4AB5-A9D8-4869A60A0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638632"/>
        <c:axId val="642640592"/>
      </c:barChart>
      <c:catAx>
        <c:axId val="642638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42640592"/>
        <c:crosses val="autoZero"/>
        <c:auto val="1"/>
        <c:lblAlgn val="ctr"/>
        <c:lblOffset val="100"/>
        <c:noMultiLvlLbl val="0"/>
      </c:catAx>
      <c:valAx>
        <c:axId val="64264059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1.0390336914179671E-2"/>
              <c:y val="0.3426295242588881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642638632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Percentage of elected parliment</a:t>
            </a:r>
            <a:r>
              <a:rPr lang="en-US" sz="1200" baseline="0"/>
              <a:t> members by sex, 2020</a:t>
            </a:r>
            <a:endParaRPr lang="en-US"/>
          </a:p>
        </c:rich>
      </c:tx>
      <c:layout>
        <c:manualLayout>
          <c:xMode val="edge"/>
          <c:yMode val="edge"/>
          <c:x val="0.1620748319250587"/>
          <c:y val="2.94093808977966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729275228905364"/>
          <c:y val="0.11768399478361931"/>
          <c:w val="0.49693591426071743"/>
          <c:h val="0.80305993000874887"/>
        </c:manualLayout>
      </c:layout>
      <c:doughnutChart>
        <c:varyColors val="1"/>
        <c:ser>
          <c:idx val="0"/>
          <c:order val="0"/>
          <c:explosion val="14"/>
          <c:dPt>
            <c:idx val="0"/>
            <c:bubble3D val="0"/>
            <c:spPr>
              <a:solidFill>
                <a:srgbClr val="24939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A0F-4BD9-8097-1D28460682DA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369-4B1C-A3FB-7887FCB0CA1E}"/>
              </c:ext>
            </c:extLst>
          </c:dPt>
          <c:dLbls>
            <c:dLbl>
              <c:idx val="1"/>
              <c:layout>
                <c:manualLayout>
                  <c:x val="9.4262599272619124E-2"/>
                  <c:y val="-9.803126965932204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B369-4B1C-A3FB-7887FCB0CA1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'Political parties &amp; Elections'!$AE$8:$AF$8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'Political parties &amp; Elections'!$AE$14:$AF$14</c:f>
              <c:numCache>
                <c:formatCode>0</c:formatCode>
                <c:ptCount val="2"/>
                <c:pt idx="0">
                  <c:v>95.402298850574709</c:v>
                </c:pt>
                <c:pt idx="1">
                  <c:v>4.5977011494252871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369-4B1C-A3FB-7887FCB0CA1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0"/>
        <c:holeSize val="50"/>
      </c:doughnutChart>
      <c:spPr>
        <a:solidFill>
          <a:srgbClr val="EAFAFA"/>
        </a:solidFill>
      </c:spPr>
    </c:plotArea>
    <c:plotVisOnly val="1"/>
    <c:dispBlanksAs val="gap"/>
    <c:showDLblsOverMax val="0"/>
  </c:chart>
  <c:spPr>
    <a:solidFill>
      <a:srgbClr val="EAFAFA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Percentage of parliment and Coucil members by sex, 2020</a:t>
            </a:r>
          </a:p>
        </c:rich>
      </c:tx>
      <c:layout>
        <c:manualLayout>
          <c:xMode val="edge"/>
          <c:yMode val="edge"/>
          <c:x val="0.18381164216351109"/>
          <c:y val="3.0847442394830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262567463909727E-2"/>
          <c:y val="0.16302901720820123"/>
          <c:w val="0.9262009435906603"/>
          <c:h val="0.74873845749172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'Political parties &amp; Elections'!$AE$13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787204460412014E-3"/>
                  <c:y val="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B3D-451A-986E-66977006E1F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5.3616133812360422E-3"/>
                  <c:y val="0.124999999999999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B3D-451A-986E-66977006E1F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'Political parties &amp; Elections'!$AD$14:$AD$15</c:f>
              <c:strCache>
                <c:ptCount val="2"/>
                <c:pt idx="0">
                  <c:v>Parliament member</c:v>
                </c:pt>
                <c:pt idx="1">
                  <c:v>Local Councillors</c:v>
                </c:pt>
              </c:strCache>
            </c:strRef>
          </c:cat>
          <c:val>
            <c:numRef>
              <c:f>'Political parties &amp; Elections'!$AE$14:$AE$15</c:f>
              <c:numCache>
                <c:formatCode>General</c:formatCode>
                <c:ptCount val="2"/>
                <c:pt idx="0" formatCode="0">
                  <c:v>95.402298850574709</c:v>
                </c:pt>
                <c:pt idx="1">
                  <c:v>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B3D-451A-986E-66977006E1FC}"/>
            </c:ext>
          </c:extLst>
        </c:ser>
        <c:ser>
          <c:idx val="1"/>
          <c:order val="1"/>
          <c:tx>
            <c:strRef>
              <c:f>'Political parties &amp; Elections'!$AF$13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'Political parties &amp; Elections'!$AD$14:$AD$15</c:f>
              <c:strCache>
                <c:ptCount val="2"/>
                <c:pt idx="0">
                  <c:v>Parliament member</c:v>
                </c:pt>
                <c:pt idx="1">
                  <c:v>Local Councillors</c:v>
                </c:pt>
              </c:strCache>
            </c:strRef>
          </c:cat>
          <c:val>
            <c:numRef>
              <c:f>'Political parties &amp; Elections'!$AF$14:$AF$15</c:f>
              <c:numCache>
                <c:formatCode>General</c:formatCode>
                <c:ptCount val="2"/>
                <c:pt idx="0" formatCode="0">
                  <c:v>4.5977011494252871</c:v>
                </c:pt>
                <c:pt idx="1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B3D-451A-986E-66977006E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639024"/>
        <c:axId val="642639808"/>
      </c:barChart>
      <c:catAx>
        <c:axId val="64263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39808"/>
        <c:crosses val="autoZero"/>
        <c:auto val="1"/>
        <c:lblAlgn val="ctr"/>
        <c:lblOffset val="100"/>
        <c:noMultiLvlLbl val="0"/>
      </c:catAx>
      <c:valAx>
        <c:axId val="6426398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39024"/>
        <c:crosses val="autoZero"/>
        <c:crossBetween val="between"/>
      </c:valAx>
      <c:spPr>
        <a:solidFill>
          <a:srgbClr val="E0F9F8"/>
        </a:solidFill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06671139514939"/>
          <c:y val="0.2621052704442568"/>
          <c:w val="0.18851468714100664"/>
          <c:h val="8.6759038968578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229559</xdr:colOff>
      <xdr:row>16</xdr:row>
      <xdr:rowOff>2283</xdr:rowOff>
    </xdr:from>
    <xdr:to>
      <xdr:col>7</xdr:col>
      <xdr:colOff>107541</xdr:colOff>
      <xdr:row>36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522235</xdr:colOff>
      <xdr:row>15</xdr:row>
      <xdr:rowOff>130585</xdr:rowOff>
    </xdr:from>
    <xdr:to>
      <xdr:col>12</xdr:col>
      <xdr:colOff>539750</xdr:colOff>
      <xdr:row>36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230621</xdr:colOff>
      <xdr:row>37</xdr:row>
      <xdr:rowOff>18490</xdr:rowOff>
    </xdr:from>
    <xdr:to>
      <xdr:col>9</xdr:col>
      <xdr:colOff>238124</xdr:colOff>
      <xdr:row>59</xdr:row>
      <xdr:rowOff>79375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00000000-0008-0000-0F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J153"/>
  <sheetViews>
    <sheetView tabSelected="1" zoomScale="82" zoomScaleNormal="82" zoomScaleSheetLayoutView="95" workbookViewId="0">
      <selection activeCell="O1" sqref="O1:R1048576"/>
    </sheetView>
  </sheetViews>
  <sheetFormatPr defaultColWidth="9.140625" defaultRowHeight="15" x14ac:dyDescent="0.25"/>
  <cols>
    <col min="1" max="1" width="32.28515625" style="24" customWidth="1"/>
    <col min="2" max="2" width="14.42578125" style="2" customWidth="1"/>
    <col min="3" max="3" width="13.85546875" style="2" customWidth="1"/>
    <col min="4" max="4" width="16" style="2" customWidth="1"/>
    <col min="5" max="5" width="16.28515625" style="2" customWidth="1"/>
    <col min="6" max="6" width="14.7109375" style="2" customWidth="1"/>
    <col min="7" max="7" width="15.5703125" style="2" customWidth="1"/>
    <col min="8" max="8" width="16" style="2" customWidth="1"/>
    <col min="9" max="9" width="16" style="3" customWidth="1"/>
    <col min="10" max="10" width="16.85546875" style="3" customWidth="1"/>
    <col min="11" max="11" width="18.7109375" style="3" customWidth="1"/>
    <col min="12" max="12" width="14.140625" style="3" customWidth="1"/>
    <col min="13" max="28" width="14.7109375" style="3" customWidth="1"/>
    <col min="29" max="31" width="9.140625" style="3"/>
    <col min="32" max="32" width="14.140625" style="3" customWidth="1"/>
    <col min="33" max="35" width="9.140625" style="3"/>
    <col min="36" max="36" width="20" style="3" customWidth="1"/>
    <col min="37" max="38" width="9.140625" style="3"/>
    <col min="39" max="39" width="27" style="3" customWidth="1"/>
    <col min="40" max="41" width="17.42578125" style="3" customWidth="1"/>
    <col min="42" max="88" width="9.140625" style="3"/>
    <col min="89" max="16384" width="9.140625" style="2"/>
  </cols>
  <sheetData>
    <row r="1" spans="1:42" ht="28.5" x14ac:dyDescent="0.25">
      <c r="A1" s="56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5"/>
      <c r="AD1" s="5"/>
      <c r="AE1" s="5"/>
    </row>
    <row r="2" spans="1:42" x14ac:dyDescent="0.25">
      <c r="A2" s="8"/>
      <c r="B2" s="3"/>
      <c r="C2" s="3"/>
      <c r="D2" s="9">
        <v>2011</v>
      </c>
      <c r="E2" s="9">
        <v>2012</v>
      </c>
      <c r="F2" s="9">
        <v>2013</v>
      </c>
      <c r="G2" s="9">
        <v>2014</v>
      </c>
      <c r="H2" s="9">
        <v>2015</v>
      </c>
      <c r="I2" s="9">
        <v>2016</v>
      </c>
      <c r="J2" s="9">
        <v>2017</v>
      </c>
      <c r="K2" s="9">
        <v>2018</v>
      </c>
      <c r="L2" s="9">
        <v>2019</v>
      </c>
      <c r="M2" s="9">
        <v>2020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42" ht="24.6" customHeight="1" x14ac:dyDescent="0.25">
      <c r="A3" s="44" t="s">
        <v>3</v>
      </c>
      <c r="B3" s="38"/>
      <c r="C3" s="38"/>
      <c r="D3" s="43">
        <v>122671</v>
      </c>
      <c r="E3" s="43">
        <v>130928</v>
      </c>
      <c r="F3" s="43">
        <v>135587</v>
      </c>
      <c r="G3" s="43">
        <v>137800</v>
      </c>
      <c r="H3" s="43">
        <v>131157</v>
      </c>
      <c r="I3" s="43">
        <v>101889</v>
      </c>
      <c r="J3" s="43">
        <v>107089</v>
      </c>
      <c r="K3" s="43">
        <v>108987</v>
      </c>
      <c r="L3" s="43">
        <v>133523</v>
      </c>
      <c r="M3" s="54">
        <v>134572</v>
      </c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1:42" ht="26.45" customHeight="1" x14ac:dyDescent="0.25">
      <c r="A4" s="46" t="s">
        <v>4</v>
      </c>
      <c r="B4" s="47"/>
      <c r="C4" s="47"/>
      <c r="D4" s="42">
        <v>13049317.129999999</v>
      </c>
      <c r="E4" s="42">
        <v>13236363.319999998</v>
      </c>
      <c r="F4" s="42">
        <v>12825451.089999996</v>
      </c>
      <c r="G4" s="42">
        <v>14078994.187899999</v>
      </c>
      <c r="H4" s="42">
        <v>18379175.989999998</v>
      </c>
      <c r="I4" s="42">
        <v>23216868</v>
      </c>
      <c r="J4" s="42">
        <v>23007353</v>
      </c>
      <c r="K4" s="42">
        <v>24248671</v>
      </c>
      <c r="L4" s="42">
        <v>26123073</v>
      </c>
      <c r="M4" s="53">
        <v>0</v>
      </c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 spans="1:42" ht="18" customHeight="1" x14ac:dyDescent="0.25">
      <c r="A5" s="39"/>
      <c r="B5" s="38"/>
      <c r="C5" s="38"/>
      <c r="D5" s="38"/>
      <c r="E5" s="38"/>
      <c r="F5" s="45"/>
      <c r="G5" s="45"/>
      <c r="H5" s="45"/>
      <c r="I5" s="45"/>
      <c r="J5" s="45"/>
      <c r="K5" s="45"/>
      <c r="L5" s="45"/>
      <c r="M5" s="45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</row>
    <row r="6" spans="1:42" x14ac:dyDescent="0.25">
      <c r="A6" s="12"/>
      <c r="B6" s="13"/>
      <c r="C6" s="13"/>
      <c r="D6" s="13"/>
      <c r="E6" s="42"/>
      <c r="F6" s="42"/>
      <c r="G6" s="42"/>
      <c r="H6" s="48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 spans="1:42" ht="28.5" x14ac:dyDescent="0.25">
      <c r="A7" s="56" t="s">
        <v>5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D7" s="35">
        <v>2019</v>
      </c>
      <c r="AJ7" s="9"/>
      <c r="AK7" s="9"/>
      <c r="AL7" s="9"/>
      <c r="AM7" s="9"/>
      <c r="AN7" s="10"/>
      <c r="AO7" s="9"/>
      <c r="AP7" s="9"/>
    </row>
    <row r="8" spans="1:42" ht="32.25" customHeight="1" x14ac:dyDescent="0.25">
      <c r="A8" s="12"/>
      <c r="B8" s="59" t="s">
        <v>6</v>
      </c>
      <c r="C8" s="59"/>
      <c r="D8" s="49" t="s">
        <v>25</v>
      </c>
      <c r="E8" s="49" t="s">
        <v>8</v>
      </c>
      <c r="F8" s="59" t="s">
        <v>26</v>
      </c>
      <c r="G8" s="59"/>
      <c r="H8" s="49" t="s">
        <v>22</v>
      </c>
      <c r="I8" s="49" t="s">
        <v>27</v>
      </c>
      <c r="J8" s="49" t="s">
        <v>11</v>
      </c>
      <c r="K8" s="49" t="s">
        <v>21</v>
      </c>
      <c r="L8" s="49" t="s">
        <v>24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14"/>
      <c r="AD8" s="15" t="s">
        <v>12</v>
      </c>
      <c r="AE8" s="15" t="s">
        <v>0</v>
      </c>
      <c r="AF8" s="15" t="s">
        <v>1</v>
      </c>
    </row>
    <row r="9" spans="1:42" ht="22.5" customHeight="1" x14ac:dyDescent="0.25">
      <c r="A9" s="50" t="s">
        <v>13</v>
      </c>
      <c r="B9" s="60">
        <v>61599484.75</v>
      </c>
      <c r="C9" s="60"/>
      <c r="D9" s="43">
        <v>22069176.829999998</v>
      </c>
      <c r="E9" s="43">
        <v>44840129.75</v>
      </c>
      <c r="F9" s="43"/>
      <c r="G9" s="43">
        <f>AF25</f>
        <v>76487271</v>
      </c>
      <c r="H9" s="43">
        <v>29564148</v>
      </c>
      <c r="I9" s="43">
        <v>25929972</v>
      </c>
      <c r="J9" s="43">
        <v>46220447</v>
      </c>
      <c r="K9" s="43">
        <v>65829595</v>
      </c>
      <c r="L9" s="43">
        <v>45440227</v>
      </c>
      <c r="M9" s="45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14"/>
      <c r="AD9" s="16">
        <v>87</v>
      </c>
      <c r="AE9" s="17">
        <v>83</v>
      </c>
      <c r="AF9" s="18">
        <v>4</v>
      </c>
    </row>
    <row r="10" spans="1:42" ht="22.5" customHeight="1" x14ac:dyDescent="0.25">
      <c r="A10" s="51"/>
      <c r="B10" s="19" t="s">
        <v>14</v>
      </c>
      <c r="C10" s="19" t="s">
        <v>15</v>
      </c>
      <c r="D10" s="13"/>
      <c r="E10" s="13"/>
      <c r="F10" s="19" t="s">
        <v>14</v>
      </c>
      <c r="G10" s="19" t="s">
        <v>15</v>
      </c>
      <c r="H10" s="19"/>
      <c r="I10" s="13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14"/>
      <c r="AD10" s="20"/>
    </row>
    <row r="11" spans="1:42" ht="22.5" customHeight="1" x14ac:dyDescent="0.25">
      <c r="A11" s="50" t="s">
        <v>16</v>
      </c>
      <c r="B11" s="43">
        <v>207961</v>
      </c>
      <c r="C11" s="43">
        <v>209294</v>
      </c>
      <c r="D11" s="43">
        <v>212559</v>
      </c>
      <c r="E11" s="43">
        <v>223975</v>
      </c>
      <c r="F11" s="43">
        <v>239105</v>
      </c>
      <c r="G11" s="43">
        <v>239165</v>
      </c>
      <c r="H11" s="43"/>
      <c r="I11" s="43">
        <v>240653</v>
      </c>
      <c r="J11" s="45"/>
      <c r="K11" s="43">
        <v>262135</v>
      </c>
      <c r="L11" s="43">
        <v>264442</v>
      </c>
      <c r="M11" s="45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H11" s="7"/>
      <c r="AI11" s="7"/>
      <c r="AJ11" s="7"/>
    </row>
    <row r="12" spans="1:42" ht="22.5" customHeight="1" x14ac:dyDescent="0.25">
      <c r="A12" s="52" t="s">
        <v>17</v>
      </c>
      <c r="B12" s="42">
        <v>177802</v>
      </c>
      <c r="C12" s="42">
        <v>181204</v>
      </c>
      <c r="D12" s="42">
        <v>166105</v>
      </c>
      <c r="E12" s="42">
        <v>161510</v>
      </c>
      <c r="F12" s="42">
        <v>208504</v>
      </c>
      <c r="G12" s="42">
        <v>218619</v>
      </c>
      <c r="H12" s="42"/>
      <c r="I12" s="42">
        <v>189642</v>
      </c>
      <c r="J12" s="47"/>
      <c r="K12" s="42">
        <v>233889</v>
      </c>
      <c r="L12" s="42">
        <v>215053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H12" s="7"/>
      <c r="AI12" s="7"/>
      <c r="AJ12" s="7"/>
    </row>
    <row r="13" spans="1:42" ht="22.5" customHeight="1" x14ac:dyDescent="0.25">
      <c r="A13" s="50" t="s">
        <v>18</v>
      </c>
      <c r="B13" s="40">
        <v>0.85499999999999998</v>
      </c>
      <c r="C13" s="40">
        <v>0.86580000000000001</v>
      </c>
      <c r="D13" s="40">
        <v>0.79</v>
      </c>
      <c r="E13" s="40">
        <f>E12/E11</f>
        <v>0.72110726643598611</v>
      </c>
      <c r="F13" s="40">
        <v>0.872</v>
      </c>
      <c r="G13" s="40">
        <v>0.91400000000000003</v>
      </c>
      <c r="H13" s="40"/>
      <c r="I13" s="40">
        <v>0.79</v>
      </c>
      <c r="J13" s="45"/>
      <c r="K13" s="40">
        <v>0.89219999999999999</v>
      </c>
      <c r="L13" s="40">
        <f>L12/L11</f>
        <v>0.81323314753329656</v>
      </c>
      <c r="M13" s="45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E13" s="15" t="s">
        <v>0</v>
      </c>
      <c r="AF13" s="15" t="s">
        <v>1</v>
      </c>
      <c r="AH13" s="7"/>
      <c r="AI13" s="7"/>
      <c r="AJ13" s="7"/>
    </row>
    <row r="14" spans="1:42" ht="21.75" customHeight="1" x14ac:dyDescent="0.25">
      <c r="A14" s="33" t="s">
        <v>19</v>
      </c>
      <c r="B14" s="3"/>
      <c r="C14" s="3"/>
      <c r="D14" s="3"/>
      <c r="E14" s="36"/>
      <c r="F14" s="3"/>
      <c r="G14" s="3"/>
      <c r="H14" s="3"/>
      <c r="AD14" s="3" t="s">
        <v>34</v>
      </c>
      <c r="AE14" s="34">
        <f>AE9/AD9*100</f>
        <v>95.402298850574709</v>
      </c>
      <c r="AF14" s="34">
        <f>AF9/AD9*100</f>
        <v>4.5977011494252871</v>
      </c>
      <c r="AH14" s="7"/>
      <c r="AI14" s="7"/>
      <c r="AJ14" s="7"/>
    </row>
    <row r="15" spans="1:42" s="3" customFormat="1" ht="15" customHeight="1" x14ac:dyDescent="0.25">
      <c r="A15" s="33" t="s">
        <v>23</v>
      </c>
      <c r="B15" s="33"/>
      <c r="C15" s="33"/>
      <c r="D15" s="33"/>
      <c r="AD15" s="3" t="s">
        <v>35</v>
      </c>
      <c r="AE15" s="3">
        <v>94</v>
      </c>
      <c r="AF15" s="3">
        <v>6</v>
      </c>
      <c r="AH15" s="7"/>
      <c r="AI15" s="7"/>
      <c r="AJ15" s="7"/>
    </row>
    <row r="16" spans="1:42" s="3" customFormat="1" x14ac:dyDescent="0.25">
      <c r="A16" s="8"/>
      <c r="AH16" s="7"/>
      <c r="AI16" s="7" t="s">
        <v>28</v>
      </c>
      <c r="AJ16" s="7" t="s">
        <v>29</v>
      </c>
    </row>
    <row r="17" spans="1:41" s="3" customFormat="1" x14ac:dyDescent="0.25">
      <c r="A17" s="8"/>
      <c r="J17" s="37"/>
      <c r="AJ17" s="3" t="s">
        <v>12</v>
      </c>
      <c r="AK17" s="3" t="s">
        <v>0</v>
      </c>
      <c r="AL17" s="3" t="s">
        <v>1</v>
      </c>
    </row>
    <row r="18" spans="1:41" s="3" customFormat="1" ht="15" customHeight="1" x14ac:dyDescent="0.25">
      <c r="A18" s="8"/>
      <c r="J18" s="37"/>
      <c r="AI18" s="3" t="s">
        <v>30</v>
      </c>
      <c r="AJ18" s="3">
        <v>617</v>
      </c>
      <c r="AK18" s="3">
        <v>580</v>
      </c>
      <c r="AL18" s="3">
        <v>37</v>
      </c>
      <c r="AN18" s="6"/>
      <c r="AO18" s="6"/>
    </row>
    <row r="19" spans="1:41" s="3" customFormat="1" ht="15" customHeight="1" x14ac:dyDescent="0.25">
      <c r="A19" s="8"/>
      <c r="J19" s="37"/>
      <c r="AI19" s="3" t="s">
        <v>31</v>
      </c>
      <c r="AJ19" s="3">
        <v>62</v>
      </c>
      <c r="AK19" s="3">
        <v>61</v>
      </c>
      <c r="AL19" s="3">
        <v>1</v>
      </c>
    </row>
    <row r="20" spans="1:41" s="3" customFormat="1" x14ac:dyDescent="0.25">
      <c r="A20" s="8"/>
      <c r="J20" s="37"/>
      <c r="AI20" s="3" t="s">
        <v>32</v>
      </c>
      <c r="AJ20" s="3">
        <v>532</v>
      </c>
      <c r="AK20" s="3">
        <v>500</v>
      </c>
      <c r="AL20" s="3">
        <v>32</v>
      </c>
    </row>
    <row r="21" spans="1:41" s="3" customFormat="1" x14ac:dyDescent="0.25">
      <c r="A21" s="8"/>
      <c r="J21" s="37"/>
      <c r="AI21" s="3" t="s">
        <v>33</v>
      </c>
      <c r="AJ21" s="3">
        <v>23</v>
      </c>
      <c r="AK21" s="3">
        <v>19</v>
      </c>
      <c r="AL21" s="3">
        <v>4</v>
      </c>
    </row>
    <row r="22" spans="1:41" s="3" customFormat="1" x14ac:dyDescent="0.25">
      <c r="A22" s="8"/>
      <c r="J22" s="37"/>
      <c r="AD22" s="32" t="s">
        <v>20</v>
      </c>
      <c r="AE22" s="25">
        <v>2008</v>
      </c>
      <c r="AF22" s="27">
        <v>61599484.75</v>
      </c>
    </row>
    <row r="23" spans="1:41" s="3" customFormat="1" x14ac:dyDescent="0.25">
      <c r="A23" s="8"/>
      <c r="J23" s="37"/>
      <c r="AD23" s="32" t="s">
        <v>7</v>
      </c>
      <c r="AE23" s="25">
        <v>2009</v>
      </c>
      <c r="AF23" s="27">
        <v>22069176.829999998</v>
      </c>
    </row>
    <row r="24" spans="1:41" s="3" customFormat="1" x14ac:dyDescent="0.25">
      <c r="A24" s="8"/>
      <c r="J24" s="37"/>
      <c r="AD24" s="32" t="s">
        <v>8</v>
      </c>
      <c r="AE24" s="26">
        <v>2011</v>
      </c>
      <c r="AF24" s="29">
        <v>44840129.75</v>
      </c>
    </row>
    <row r="25" spans="1:41" s="3" customFormat="1" x14ac:dyDescent="0.25">
      <c r="A25" s="8"/>
      <c r="J25" s="37"/>
      <c r="AD25" s="31" t="s">
        <v>9</v>
      </c>
      <c r="AE25" s="26">
        <v>2013</v>
      </c>
      <c r="AF25" s="29">
        <v>76487271</v>
      </c>
    </row>
    <row r="26" spans="1:41" s="3" customFormat="1" x14ac:dyDescent="0.25">
      <c r="A26" s="8"/>
      <c r="J26" s="37"/>
      <c r="AD26" s="32" t="s">
        <v>22</v>
      </c>
      <c r="AE26" s="26">
        <v>2014</v>
      </c>
      <c r="AF26" s="29">
        <v>29564148</v>
      </c>
    </row>
    <row r="27" spans="1:41" s="3" customFormat="1" ht="15" customHeight="1" x14ac:dyDescent="0.25">
      <c r="A27" s="8"/>
      <c r="AD27" s="32" t="s">
        <v>10</v>
      </c>
      <c r="AE27" s="26">
        <v>2014</v>
      </c>
      <c r="AF27" s="28">
        <v>25929972</v>
      </c>
    </row>
    <row r="28" spans="1:41" s="3" customFormat="1" x14ac:dyDescent="0.25">
      <c r="A28" s="8"/>
      <c r="AD28" s="32" t="s">
        <v>11</v>
      </c>
      <c r="AE28" s="26">
        <v>2017</v>
      </c>
      <c r="AF28" s="28">
        <v>46220447</v>
      </c>
    </row>
    <row r="29" spans="1:41" s="3" customFormat="1" x14ac:dyDescent="0.25">
      <c r="A29" s="8"/>
      <c r="AD29" s="32" t="s">
        <v>21</v>
      </c>
      <c r="AE29" s="30">
        <v>2018</v>
      </c>
      <c r="AF29" s="29">
        <v>65829595</v>
      </c>
    </row>
    <row r="30" spans="1:41" s="3" customFormat="1" x14ac:dyDescent="0.25">
      <c r="A30" s="8"/>
      <c r="AD30" s="32" t="s">
        <v>24</v>
      </c>
      <c r="AE30" s="41">
        <v>2019</v>
      </c>
      <c r="AF30" s="29">
        <v>45440227</v>
      </c>
    </row>
    <row r="31" spans="1:41" s="3" customFormat="1" ht="15" customHeight="1" x14ac:dyDescent="0.25">
      <c r="A31" s="8"/>
    </row>
    <row r="32" spans="1:41" s="3" customFormat="1" x14ac:dyDescent="0.25">
      <c r="A32" s="8"/>
      <c r="AM32" s="1"/>
    </row>
    <row r="33" spans="1:39" s="3" customFormat="1" x14ac:dyDescent="0.25">
      <c r="A33" s="8"/>
      <c r="E33" s="12"/>
      <c r="F33" s="61"/>
      <c r="G33" s="61"/>
      <c r="H33" s="22"/>
      <c r="I33" s="23"/>
      <c r="K33" s="57"/>
      <c r="L33" s="57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M33" s="4"/>
    </row>
    <row r="34" spans="1:39" s="3" customFormat="1" x14ac:dyDescent="0.25">
      <c r="A34" s="8"/>
      <c r="E34" s="21"/>
      <c r="F34" s="58"/>
      <c r="G34" s="58"/>
      <c r="H34" s="11"/>
      <c r="I34" s="11"/>
      <c r="K34" s="11"/>
      <c r="L34" s="11"/>
      <c r="M34" s="11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M34" s="1"/>
    </row>
    <row r="35" spans="1:39" s="3" customFormat="1" x14ac:dyDescent="0.25">
      <c r="A35" s="8"/>
      <c r="AM35" s="1"/>
    </row>
    <row r="36" spans="1:39" s="3" customFormat="1" x14ac:dyDescent="0.25">
      <c r="A36" s="8"/>
      <c r="AM36" s="1"/>
    </row>
    <row r="37" spans="1:39" s="3" customFormat="1" x14ac:dyDescent="0.25">
      <c r="A37" s="8"/>
      <c r="AM37" s="1"/>
    </row>
    <row r="38" spans="1:39" s="3" customFormat="1" x14ac:dyDescent="0.25">
      <c r="A38" s="8"/>
      <c r="AM38" s="1"/>
    </row>
    <row r="39" spans="1:39" s="3" customFormat="1" x14ac:dyDescent="0.25">
      <c r="A39" s="8"/>
      <c r="AM39" s="1"/>
    </row>
    <row r="40" spans="1:39" s="3" customFormat="1" x14ac:dyDescent="0.25">
      <c r="A40" s="8"/>
    </row>
    <row r="41" spans="1:39" s="3" customFormat="1" x14ac:dyDescent="0.25">
      <c r="A41" s="8"/>
    </row>
    <row r="42" spans="1:39" s="3" customFormat="1" x14ac:dyDescent="0.25">
      <c r="A42" s="8"/>
    </row>
    <row r="43" spans="1:39" s="3" customFormat="1" x14ac:dyDescent="0.25">
      <c r="A43" s="8"/>
    </row>
    <row r="44" spans="1:39" s="3" customFormat="1" x14ac:dyDescent="0.25">
      <c r="A44" s="8"/>
    </row>
    <row r="45" spans="1:39" s="3" customFormat="1" x14ac:dyDescent="0.25">
      <c r="A45" s="8"/>
    </row>
    <row r="46" spans="1:39" s="3" customFormat="1" x14ac:dyDescent="0.25">
      <c r="A46" s="8"/>
    </row>
    <row r="47" spans="1:39" s="3" customFormat="1" x14ac:dyDescent="0.25">
      <c r="A47" s="8"/>
    </row>
    <row r="48" spans="1:39" s="3" customFormat="1" x14ac:dyDescent="0.25">
      <c r="A48" s="8"/>
    </row>
    <row r="49" spans="1:1" s="3" customFormat="1" x14ac:dyDescent="0.25">
      <c r="A49" s="8"/>
    </row>
    <row r="50" spans="1:1" s="3" customFormat="1" x14ac:dyDescent="0.25">
      <c r="A50" s="8"/>
    </row>
    <row r="51" spans="1:1" s="3" customFormat="1" x14ac:dyDescent="0.25">
      <c r="A51" s="8"/>
    </row>
    <row r="52" spans="1:1" s="3" customFormat="1" x14ac:dyDescent="0.25">
      <c r="A52" s="8"/>
    </row>
    <row r="53" spans="1:1" s="3" customFormat="1" x14ac:dyDescent="0.25">
      <c r="A53" s="8"/>
    </row>
    <row r="54" spans="1:1" s="3" customFormat="1" x14ac:dyDescent="0.25">
      <c r="A54" s="8"/>
    </row>
    <row r="55" spans="1:1" s="3" customFormat="1" x14ac:dyDescent="0.25">
      <c r="A55" s="8"/>
    </row>
    <row r="56" spans="1:1" s="3" customFormat="1" x14ac:dyDescent="0.25">
      <c r="A56" s="8"/>
    </row>
    <row r="57" spans="1:1" s="3" customFormat="1" x14ac:dyDescent="0.25">
      <c r="A57" s="8"/>
    </row>
    <row r="58" spans="1:1" s="3" customFormat="1" x14ac:dyDescent="0.25">
      <c r="A58" s="8"/>
    </row>
    <row r="59" spans="1:1" s="3" customFormat="1" x14ac:dyDescent="0.25">
      <c r="A59" s="8"/>
    </row>
    <row r="60" spans="1:1" s="3" customFormat="1" x14ac:dyDescent="0.25">
      <c r="A60" s="8"/>
    </row>
    <row r="61" spans="1:1" s="3" customFormat="1" x14ac:dyDescent="0.25">
      <c r="A61" s="8"/>
    </row>
    <row r="62" spans="1:1" s="3" customFormat="1" x14ac:dyDescent="0.25">
      <c r="A62" s="8"/>
    </row>
    <row r="63" spans="1:1" s="3" customFormat="1" x14ac:dyDescent="0.25">
      <c r="A63" s="8"/>
    </row>
    <row r="64" spans="1:1" s="3" customFormat="1" x14ac:dyDescent="0.25">
      <c r="A64" s="8"/>
    </row>
    <row r="65" spans="1:1" s="3" customFormat="1" x14ac:dyDescent="0.25">
      <c r="A65" s="8"/>
    </row>
    <row r="66" spans="1:1" s="3" customFormat="1" x14ac:dyDescent="0.25">
      <c r="A66" s="8"/>
    </row>
    <row r="67" spans="1:1" s="3" customFormat="1" x14ac:dyDescent="0.25">
      <c r="A67" s="8"/>
    </row>
    <row r="68" spans="1:1" s="3" customFormat="1" x14ac:dyDescent="0.25">
      <c r="A68" s="8"/>
    </row>
    <row r="69" spans="1:1" s="3" customFormat="1" x14ac:dyDescent="0.25">
      <c r="A69" s="8"/>
    </row>
    <row r="70" spans="1:1" s="3" customFormat="1" x14ac:dyDescent="0.25">
      <c r="A70" s="8"/>
    </row>
    <row r="71" spans="1:1" s="3" customFormat="1" x14ac:dyDescent="0.25">
      <c r="A71" s="8"/>
    </row>
    <row r="72" spans="1:1" s="3" customFormat="1" x14ac:dyDescent="0.25">
      <c r="A72" s="8"/>
    </row>
    <row r="73" spans="1:1" s="3" customFormat="1" x14ac:dyDescent="0.25">
      <c r="A73" s="8"/>
    </row>
    <row r="74" spans="1:1" s="3" customFormat="1" x14ac:dyDescent="0.25">
      <c r="A74" s="8"/>
    </row>
    <row r="75" spans="1:1" s="3" customFormat="1" x14ac:dyDescent="0.25">
      <c r="A75" s="8"/>
    </row>
    <row r="76" spans="1:1" s="3" customFormat="1" x14ac:dyDescent="0.25">
      <c r="A76" s="8"/>
    </row>
    <row r="77" spans="1:1" s="3" customFormat="1" x14ac:dyDescent="0.25">
      <c r="A77" s="8"/>
    </row>
    <row r="78" spans="1:1" s="3" customFormat="1" x14ac:dyDescent="0.25">
      <c r="A78" s="8"/>
    </row>
    <row r="79" spans="1:1" s="3" customFormat="1" x14ac:dyDescent="0.25">
      <c r="A79" s="8"/>
    </row>
    <row r="80" spans="1:1" s="3" customFormat="1" x14ac:dyDescent="0.25">
      <c r="A80" s="8"/>
    </row>
    <row r="81" spans="1:1" s="3" customFormat="1" x14ac:dyDescent="0.25">
      <c r="A81" s="8"/>
    </row>
    <row r="82" spans="1:1" s="3" customFormat="1" x14ac:dyDescent="0.25">
      <c r="A82" s="8"/>
    </row>
    <row r="83" spans="1:1" s="3" customFormat="1" x14ac:dyDescent="0.25">
      <c r="A83" s="8"/>
    </row>
    <row r="84" spans="1:1" s="3" customFormat="1" x14ac:dyDescent="0.25">
      <c r="A84" s="8"/>
    </row>
    <row r="85" spans="1:1" s="3" customFormat="1" x14ac:dyDescent="0.25">
      <c r="A85" s="8"/>
    </row>
    <row r="86" spans="1:1" s="3" customFormat="1" x14ac:dyDescent="0.25">
      <c r="A86" s="8"/>
    </row>
    <row r="87" spans="1:1" s="3" customFormat="1" x14ac:dyDescent="0.25">
      <c r="A87" s="8"/>
    </row>
    <row r="88" spans="1:1" s="3" customFormat="1" x14ac:dyDescent="0.25">
      <c r="A88" s="8"/>
    </row>
    <row r="89" spans="1:1" s="3" customFormat="1" x14ac:dyDescent="0.25">
      <c r="A89" s="8"/>
    </row>
    <row r="90" spans="1:1" s="3" customFormat="1" x14ac:dyDescent="0.25">
      <c r="A90" s="8"/>
    </row>
    <row r="91" spans="1:1" s="3" customFormat="1" x14ac:dyDescent="0.25">
      <c r="A91" s="8"/>
    </row>
    <row r="92" spans="1:1" s="3" customFormat="1" x14ac:dyDescent="0.25">
      <c r="A92" s="8"/>
    </row>
    <row r="93" spans="1:1" s="3" customFormat="1" x14ac:dyDescent="0.25">
      <c r="A93" s="8"/>
    </row>
    <row r="94" spans="1:1" s="3" customFormat="1" x14ac:dyDescent="0.25">
      <c r="A94" s="8"/>
    </row>
    <row r="95" spans="1:1" s="3" customFormat="1" x14ac:dyDescent="0.25">
      <c r="A95" s="8"/>
    </row>
    <row r="96" spans="1:1" s="3" customFormat="1" x14ac:dyDescent="0.25">
      <c r="A96" s="8"/>
    </row>
    <row r="97" spans="1:1" s="3" customFormat="1" x14ac:dyDescent="0.25">
      <c r="A97" s="8"/>
    </row>
    <row r="98" spans="1:1" s="3" customFormat="1" x14ac:dyDescent="0.25">
      <c r="A98" s="8"/>
    </row>
    <row r="99" spans="1:1" s="3" customFormat="1" x14ac:dyDescent="0.25">
      <c r="A99" s="8"/>
    </row>
    <row r="100" spans="1:1" s="3" customFormat="1" x14ac:dyDescent="0.25">
      <c r="A100" s="8"/>
    </row>
    <row r="101" spans="1:1" s="3" customFormat="1" x14ac:dyDescent="0.25">
      <c r="A101" s="8"/>
    </row>
    <row r="102" spans="1:1" s="3" customFormat="1" x14ac:dyDescent="0.25">
      <c r="A102" s="8"/>
    </row>
    <row r="103" spans="1:1" s="3" customFormat="1" x14ac:dyDescent="0.25">
      <c r="A103" s="8"/>
    </row>
    <row r="104" spans="1:1" s="3" customFormat="1" x14ac:dyDescent="0.25">
      <c r="A104" s="8"/>
    </row>
    <row r="105" spans="1:1" s="3" customFormat="1" x14ac:dyDescent="0.25">
      <c r="A105" s="8"/>
    </row>
    <row r="106" spans="1:1" s="3" customFormat="1" x14ac:dyDescent="0.25">
      <c r="A106" s="8"/>
    </row>
    <row r="107" spans="1:1" s="3" customFormat="1" x14ac:dyDescent="0.25">
      <c r="A107" s="8"/>
    </row>
    <row r="108" spans="1:1" s="3" customFormat="1" x14ac:dyDescent="0.25">
      <c r="A108" s="8"/>
    </row>
    <row r="109" spans="1:1" s="3" customFormat="1" x14ac:dyDescent="0.25">
      <c r="A109" s="8"/>
    </row>
    <row r="110" spans="1:1" s="3" customFormat="1" x14ac:dyDescent="0.25">
      <c r="A110" s="8"/>
    </row>
    <row r="111" spans="1:1" s="3" customFormat="1" x14ac:dyDescent="0.25">
      <c r="A111" s="8"/>
    </row>
    <row r="112" spans="1:1" s="3" customFormat="1" x14ac:dyDescent="0.25">
      <c r="A112" s="8"/>
    </row>
    <row r="113" spans="1:1" s="3" customFormat="1" x14ac:dyDescent="0.25">
      <c r="A113" s="8"/>
    </row>
    <row r="114" spans="1:1" s="3" customFormat="1" x14ac:dyDescent="0.25">
      <c r="A114" s="8"/>
    </row>
    <row r="115" spans="1:1" s="3" customFormat="1" x14ac:dyDescent="0.25">
      <c r="A115" s="8"/>
    </row>
    <row r="116" spans="1:1" s="3" customFormat="1" x14ac:dyDescent="0.25">
      <c r="A116" s="8"/>
    </row>
    <row r="117" spans="1:1" s="3" customFormat="1" x14ac:dyDescent="0.25">
      <c r="A117" s="8"/>
    </row>
    <row r="118" spans="1:1" s="3" customFormat="1" x14ac:dyDescent="0.25">
      <c r="A118" s="8"/>
    </row>
    <row r="119" spans="1:1" s="3" customFormat="1" x14ac:dyDescent="0.25">
      <c r="A119" s="8"/>
    </row>
    <row r="120" spans="1:1" s="3" customFormat="1" x14ac:dyDescent="0.25">
      <c r="A120" s="8"/>
    </row>
    <row r="121" spans="1:1" s="3" customFormat="1" x14ac:dyDescent="0.25">
      <c r="A121" s="8"/>
    </row>
    <row r="122" spans="1:1" s="3" customFormat="1" x14ac:dyDescent="0.25">
      <c r="A122" s="8"/>
    </row>
    <row r="123" spans="1:1" s="3" customFormat="1" x14ac:dyDescent="0.25">
      <c r="A123" s="8"/>
    </row>
    <row r="124" spans="1:1" s="3" customFormat="1" x14ac:dyDescent="0.25">
      <c r="A124" s="8"/>
    </row>
    <row r="125" spans="1:1" s="3" customFormat="1" x14ac:dyDescent="0.25">
      <c r="A125" s="8"/>
    </row>
    <row r="126" spans="1:1" s="3" customFormat="1" x14ac:dyDescent="0.25">
      <c r="A126" s="8"/>
    </row>
    <row r="127" spans="1:1" s="3" customFormat="1" x14ac:dyDescent="0.25">
      <c r="A127" s="8"/>
    </row>
    <row r="128" spans="1:1" s="3" customFormat="1" x14ac:dyDescent="0.25">
      <c r="A128" s="8"/>
    </row>
    <row r="129" spans="1:1" s="3" customFormat="1" x14ac:dyDescent="0.25">
      <c r="A129" s="8"/>
    </row>
    <row r="130" spans="1:1" s="3" customFormat="1" x14ac:dyDescent="0.25">
      <c r="A130" s="8"/>
    </row>
    <row r="131" spans="1:1" s="3" customFormat="1" x14ac:dyDescent="0.25">
      <c r="A131" s="8"/>
    </row>
    <row r="132" spans="1:1" s="3" customFormat="1" x14ac:dyDescent="0.25">
      <c r="A132" s="8"/>
    </row>
    <row r="133" spans="1:1" s="3" customFormat="1" x14ac:dyDescent="0.25">
      <c r="A133" s="8"/>
    </row>
    <row r="134" spans="1:1" s="3" customFormat="1" x14ac:dyDescent="0.25">
      <c r="A134" s="8"/>
    </row>
    <row r="135" spans="1:1" s="3" customFormat="1" x14ac:dyDescent="0.25">
      <c r="A135" s="8"/>
    </row>
    <row r="136" spans="1:1" s="3" customFormat="1" x14ac:dyDescent="0.25">
      <c r="A136" s="8"/>
    </row>
    <row r="137" spans="1:1" s="3" customFormat="1" x14ac:dyDescent="0.25">
      <c r="A137" s="8"/>
    </row>
    <row r="138" spans="1:1" s="3" customFormat="1" x14ac:dyDescent="0.25">
      <c r="A138" s="8"/>
    </row>
    <row r="139" spans="1:1" s="3" customFormat="1" x14ac:dyDescent="0.25">
      <c r="A139" s="8"/>
    </row>
    <row r="140" spans="1:1" s="3" customFormat="1" x14ac:dyDescent="0.25">
      <c r="A140" s="8"/>
    </row>
    <row r="141" spans="1:1" s="3" customFormat="1" x14ac:dyDescent="0.25">
      <c r="A141" s="8"/>
    </row>
    <row r="142" spans="1:1" s="3" customFormat="1" x14ac:dyDescent="0.25">
      <c r="A142" s="8"/>
    </row>
    <row r="143" spans="1:1" s="3" customFormat="1" x14ac:dyDescent="0.25">
      <c r="A143" s="8"/>
    </row>
    <row r="144" spans="1:1" s="3" customFormat="1" x14ac:dyDescent="0.25">
      <c r="A144" s="8"/>
    </row>
    <row r="145" spans="1:1" s="3" customFormat="1" x14ac:dyDescent="0.25">
      <c r="A145" s="8"/>
    </row>
    <row r="146" spans="1:1" s="3" customFormat="1" x14ac:dyDescent="0.25">
      <c r="A146" s="8"/>
    </row>
    <row r="147" spans="1:1" s="3" customFormat="1" x14ac:dyDescent="0.25">
      <c r="A147" s="8"/>
    </row>
    <row r="148" spans="1:1" s="3" customFormat="1" x14ac:dyDescent="0.25">
      <c r="A148" s="8"/>
    </row>
    <row r="149" spans="1:1" s="3" customFormat="1" x14ac:dyDescent="0.25">
      <c r="A149" s="8"/>
    </row>
    <row r="150" spans="1:1" s="3" customFormat="1" x14ac:dyDescent="0.25">
      <c r="A150" s="8"/>
    </row>
    <row r="151" spans="1:1" s="3" customFormat="1" x14ac:dyDescent="0.25">
      <c r="A151" s="8"/>
    </row>
    <row r="152" spans="1:1" s="3" customFormat="1" x14ac:dyDescent="0.25">
      <c r="A152" s="8"/>
    </row>
    <row r="153" spans="1:1" s="3" customFormat="1" x14ac:dyDescent="0.25">
      <c r="A153" s="8"/>
    </row>
  </sheetData>
  <mergeCells count="8">
    <mergeCell ref="A1:M1"/>
    <mergeCell ref="A7:M7"/>
    <mergeCell ref="K33:L33"/>
    <mergeCell ref="F34:G34"/>
    <mergeCell ref="B8:C8"/>
    <mergeCell ref="F8:G8"/>
    <mergeCell ref="B9:C9"/>
    <mergeCell ref="F33:G33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J17:J26">
      <formula1>0</formula1>
      <formula2>1000</formula2>
    </dataValidation>
  </dataValidations>
  <pageMargins left="0.70866141732283472" right="0.70866141732283472" top="0.74803149606299213" bottom="0.74803149606299213" header="0.31496062992125984" footer="0.31496062992125984"/>
  <pageSetup paperSize="9" scale="50" orientation="landscape" horizontalDpi="4294967295" verticalDpi="4294967295" r:id="rId1"/>
  <colBreaks count="1" manualBreakCount="1">
    <brk id="2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Political parties &amp; Elections</vt:lpstr>
      <vt:lpstr>'Political parties &amp; Elections'!Print_Area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2021-12-13T23:16:19Z</cp:lastPrinted>
  <dcterms:created xsi:type="dcterms:W3CDTF">2019-05-14T08:05:18Z</dcterms:created>
  <dcterms:modified xsi:type="dcterms:W3CDTF">2021-12-14T00:05:19Z</dcterms:modified>
</cp:coreProperties>
</file>