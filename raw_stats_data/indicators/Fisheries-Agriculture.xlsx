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fish agri" sheetId="7" r:id="rId1"/>
  </sheets>
  <externalReferences>
    <externalReference r:id="rId2"/>
    <externalReference r:id="rId3"/>
  </externalReferences>
  <definedNames>
    <definedName name="_xlnm.Print_Area" localSheetId="0">'fish agri'!$A$1:$AB$35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8" i="7" l="1"/>
  <c r="Y18" i="7"/>
</calcChain>
</file>

<file path=xl/sharedStrings.xml><?xml version="1.0" encoding="utf-8"?>
<sst xmlns="http://schemas.openxmlformats.org/spreadsheetml/2006/main" count="44" uniqueCount="20">
  <si>
    <t>na</t>
  </si>
  <si>
    <t>FISHERIES AND AGRICULTURE</t>
  </si>
  <si>
    <t>Total Catch ('000 metric tons)</t>
  </si>
  <si>
    <t>Yellow fin</t>
  </si>
  <si>
    <t xml:space="preserve">            Skipjack</t>
  </si>
  <si>
    <t xml:space="preserve">Growth in Fish Catch (%) </t>
  </si>
  <si>
    <t>Composition of Fish Catch: (in  metric tons)</t>
  </si>
  <si>
    <t xml:space="preserve">            Total</t>
  </si>
  <si>
    <t xml:space="preserve">            Yellow fin</t>
  </si>
  <si>
    <t xml:space="preserve">            Local Consumption</t>
  </si>
  <si>
    <t xml:space="preserve">            Exports</t>
  </si>
  <si>
    <t xml:space="preserve">            Stock (of current year)</t>
  </si>
  <si>
    <t xml:space="preserve">            Other Tuna Related Species</t>
  </si>
  <si>
    <t xml:space="preserve">            Other Marine Fish</t>
  </si>
  <si>
    <t>No. of Fisherman</t>
  </si>
  <si>
    <t>NA</t>
  </si>
  <si>
    <t>Imports of Fresh Agricultural Crops Mainly 
Produced In Maldives (in '000 MVR)</t>
  </si>
  <si>
    <t>No. of Islands leased for agriculture purpose</t>
  </si>
  <si>
    <t>Total Annual Lease of Uninhabited Islands(in'000 MVR)</t>
  </si>
  <si>
    <t>fish 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</si>
</sst>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9" formatCode="General_)"/>
    <numFmt numFmtId="171" formatCode="0.00_)"/>
    <numFmt numFmtId="178" formatCode="#,##0.0_);\(#,##0.0\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0"/>
      <name val="Candara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i/>
      <sz val="9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9"/>
      <name val="Calibri"/>
      <family val="2"/>
      <scheme val="minor"/>
    </font>
    <font>
      <b/>
      <sz val="9"/>
      <color indexed="9"/>
      <name val="Arial"/>
      <family val="2"/>
    </font>
    <font>
      <sz val="10"/>
      <name val="Candara"/>
      <family val="2"/>
    </font>
    <font>
      <sz val="9"/>
      <name val="Candar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A_Waheed"/>
    </font>
    <font>
      <b/>
      <sz val="22"/>
      <color theme="0"/>
      <name val="Candar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F3F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1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8" fillId="0" borderId="0"/>
    <xf numFmtId="43" fontId="15" fillId="0" borderId="0" applyFont="0" applyFill="0" applyBorder="0" applyAlignment="0" applyProtection="0"/>
    <xf numFmtId="0" fontId="15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1" borderId="0" applyNumberFormat="0" applyBorder="0" applyAlignment="0" applyProtection="0"/>
    <xf numFmtId="0" fontId="20" fillId="5" borderId="0" applyNumberFormat="0" applyBorder="0" applyAlignment="0" applyProtection="0"/>
    <xf numFmtId="0" fontId="21" fillId="22" borderId="1" applyNumberFormat="0" applyAlignment="0" applyProtection="0"/>
    <xf numFmtId="0" fontId="22" fillId="23" borderId="2" applyNumberFormat="0" applyAlignment="0" applyProtection="0"/>
    <xf numFmtId="40" fontId="1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8" fillId="9" borderId="1" applyNumberFormat="0" applyAlignment="0" applyProtection="0"/>
    <xf numFmtId="0" fontId="29" fillId="0" borderId="6" applyNumberFormat="0" applyFill="0" applyAlignment="0" applyProtection="0"/>
    <xf numFmtId="0" fontId="30" fillId="24" borderId="0" applyNumberFormat="0" applyBorder="0" applyAlignment="0" applyProtection="0"/>
    <xf numFmtId="171" fontId="17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169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8" fillId="25" borderId="7" applyNumberFormat="0" applyFont="0" applyAlignment="0" applyProtection="0"/>
    <xf numFmtId="0" fontId="31" fillId="22" borderId="8" applyNumberFormat="0" applyAlignment="0" applyProtection="0"/>
    <xf numFmtId="9" fontId="16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33" fillId="0" borderId="0" applyNumberFormat="0" applyFill="0" applyBorder="0" applyAlignment="0" applyProtection="0"/>
    <xf numFmtId="169" fontId="8" fillId="0" borderId="0"/>
    <xf numFmtId="169" fontId="8" fillId="0" borderId="0"/>
    <xf numFmtId="0" fontId="1" fillId="0" borderId="0"/>
    <xf numFmtId="0" fontId="8" fillId="0" borderId="0"/>
    <xf numFmtId="0" fontId="2" fillId="0" borderId="0"/>
    <xf numFmtId="169" fontId="8" fillId="0" borderId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5" fillId="0" borderId="0"/>
    <xf numFmtId="0" fontId="1" fillId="0" borderId="0"/>
  </cellStyleXfs>
  <cellXfs count="85">
    <xf numFmtId="0" fontId="0" fillId="0" borderId="0" xfId="0"/>
    <xf numFmtId="0" fontId="4" fillId="2" borderId="0" xfId="0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 indent="1"/>
    </xf>
    <xf numFmtId="0" fontId="4" fillId="2" borderId="0" xfId="2" applyFont="1" applyFill="1" applyAlignment="1">
      <alignment horizontal="left" vertical="center" indent="1"/>
    </xf>
    <xf numFmtId="0" fontId="5" fillId="2" borderId="0" xfId="2" applyFont="1" applyFill="1" applyAlignment="1">
      <alignment horizontal="left" vertical="center" indent="1"/>
    </xf>
    <xf numFmtId="0" fontId="4" fillId="2" borderId="0" xfId="0" applyFont="1" applyFill="1"/>
    <xf numFmtId="0" fontId="0" fillId="2" borderId="0" xfId="0" applyFill="1" applyAlignment="1">
      <alignment vertical="center"/>
    </xf>
    <xf numFmtId="0" fontId="2" fillId="2" borderId="0" xfId="2" applyFont="1" applyFill="1" applyBorder="1"/>
    <xf numFmtId="0" fontId="12" fillId="2" borderId="0" xfId="2" applyFont="1" applyFill="1"/>
    <xf numFmtId="0" fontId="0" fillId="2" borderId="0" xfId="0" applyFill="1"/>
    <xf numFmtId="165" fontId="0" fillId="2" borderId="0" xfId="0" applyNumberFormat="1" applyFill="1" applyAlignment="1">
      <alignment vertical="center"/>
    </xf>
    <xf numFmtId="0" fontId="10" fillId="2" borderId="0" xfId="2" applyFont="1" applyFill="1"/>
    <xf numFmtId="166" fontId="7" fillId="2" borderId="0" xfId="1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6" fontId="7" fillId="2" borderId="0" xfId="1" applyNumberFormat="1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5" fillId="2" borderId="0" xfId="2" applyFont="1" applyFill="1" applyAlignment="1">
      <alignment horizontal="right" vertical="center" indent="1"/>
    </xf>
    <xf numFmtId="0" fontId="12" fillId="2" borderId="0" xfId="2" applyFont="1" applyFill="1" applyAlignment="1">
      <alignment vertical="center"/>
    </xf>
    <xf numFmtId="1" fontId="11" fillId="2" borderId="0" xfId="2" applyNumberFormat="1" applyFont="1" applyFill="1" applyAlignment="1">
      <alignment vertical="center"/>
    </xf>
    <xf numFmtId="166" fontId="7" fillId="2" borderId="0" xfId="1" applyNumberFormat="1" applyFont="1" applyFill="1" applyAlignment="1">
      <alignment horizontal="left" vertical="center" indent="1"/>
    </xf>
    <xf numFmtId="0" fontId="35" fillId="2" borderId="0" xfId="2" applyFont="1" applyFill="1" applyAlignment="1">
      <alignment vertical="center"/>
    </xf>
    <xf numFmtId="3" fontId="12" fillId="2" borderId="0" xfId="2" applyNumberFormat="1" applyFont="1" applyFill="1" applyAlignment="1">
      <alignment horizontal="right" vertical="center"/>
    </xf>
    <xf numFmtId="166" fontId="12" fillId="2" borderId="0" xfId="9" applyNumberFormat="1" applyFont="1" applyFill="1" applyAlignment="1">
      <alignment vertical="center"/>
    </xf>
    <xf numFmtId="167" fontId="7" fillId="2" borderId="0" xfId="1" applyNumberFormat="1" applyFont="1" applyFill="1" applyAlignment="1">
      <alignment horizontal="left" vertical="center" indent="1"/>
    </xf>
    <xf numFmtId="166" fontId="5" fillId="2" borderId="0" xfId="1" applyNumberFormat="1" applyFont="1" applyFill="1" applyAlignment="1">
      <alignment horizontal="left" vertical="center" indent="1"/>
    </xf>
    <xf numFmtId="0" fontId="7" fillId="2" borderId="0" xfId="1" applyNumberFormat="1" applyFont="1" applyFill="1" applyAlignment="1">
      <alignment horizontal="center" vertical="center"/>
    </xf>
    <xf numFmtId="0" fontId="5" fillId="3" borderId="0" xfId="2" applyFont="1" applyFill="1" applyAlignment="1">
      <alignment horizontal="left" vertical="center" indent="1"/>
    </xf>
    <xf numFmtId="166" fontId="5" fillId="3" borderId="0" xfId="1" applyNumberFormat="1" applyFont="1" applyFill="1" applyAlignment="1">
      <alignment horizontal="center" vertical="center"/>
    </xf>
    <xf numFmtId="3" fontId="7" fillId="2" borderId="0" xfId="1" applyNumberFormat="1" applyFont="1" applyFill="1" applyAlignment="1">
      <alignment horizontal="center" vertical="center"/>
    </xf>
    <xf numFmtId="165" fontId="0" fillId="2" borderId="0" xfId="0" applyNumberFormat="1" applyFill="1"/>
    <xf numFmtId="0" fontId="4" fillId="3" borderId="0" xfId="0" applyFont="1" applyFill="1" applyAlignment="1">
      <alignment horizontal="left" vertical="center"/>
    </xf>
    <xf numFmtId="166" fontId="4" fillId="3" borderId="0" xfId="1" applyNumberFormat="1" applyFont="1" applyFill="1" applyAlignment="1">
      <alignment horizontal="left" vertical="center"/>
    </xf>
    <xf numFmtId="166" fontId="4" fillId="2" borderId="0" xfId="1" applyNumberFormat="1" applyFont="1" applyFill="1" applyAlignment="1">
      <alignment horizontal="left" vertical="center"/>
    </xf>
    <xf numFmtId="165" fontId="0" fillId="2" borderId="0" xfId="2" applyNumberFormat="1" applyFont="1" applyFill="1"/>
    <xf numFmtId="165" fontId="0" fillId="2" borderId="0" xfId="2" applyNumberFormat="1" applyFont="1" applyFill="1" applyAlignment="1">
      <alignment vertical="center"/>
    </xf>
    <xf numFmtId="0" fontId="4" fillId="2" borderId="0" xfId="2" applyFont="1" applyFill="1" applyBorder="1"/>
    <xf numFmtId="165" fontId="0" fillId="2" borderId="0" xfId="2" applyNumberFormat="1" applyFont="1" applyFill="1" applyBorder="1"/>
    <xf numFmtId="0" fontId="0" fillId="2" borderId="0" xfId="2" applyFont="1" applyFill="1" applyBorder="1"/>
    <xf numFmtId="0" fontId="13" fillId="2" borderId="0" xfId="2" applyFont="1" applyFill="1"/>
    <xf numFmtId="0" fontId="36" fillId="2" borderId="0" xfId="2" applyFont="1" applyFill="1" applyAlignment="1">
      <alignment vertical="center"/>
    </xf>
    <xf numFmtId="1" fontId="34" fillId="2" borderId="0" xfId="2" applyNumberFormat="1" applyFont="1" applyFill="1" applyAlignment="1">
      <alignment horizontal="right" vertical="center"/>
    </xf>
    <xf numFmtId="1" fontId="6" fillId="2" borderId="0" xfId="2" applyNumberFormat="1" applyFont="1" applyFill="1" applyAlignment="1">
      <alignment vertical="center"/>
    </xf>
    <xf numFmtId="0" fontId="37" fillId="2" borderId="0" xfId="2" applyFont="1" applyFill="1" applyBorder="1" applyAlignment="1">
      <alignment vertical="center"/>
    </xf>
    <xf numFmtId="3" fontId="13" fillId="2" borderId="0" xfId="2" applyNumberFormat="1" applyFont="1" applyFill="1" applyBorder="1" applyAlignment="1">
      <alignment horizontal="right" vertical="center"/>
    </xf>
    <xf numFmtId="3" fontId="4" fillId="2" borderId="0" xfId="2" applyNumberFormat="1" applyFont="1" applyFill="1" applyBorder="1" applyAlignment="1">
      <alignment vertical="center"/>
    </xf>
    <xf numFmtId="3" fontId="4" fillId="2" borderId="0" xfId="2" applyNumberFormat="1" applyFont="1" applyFill="1" applyBorder="1" applyAlignment="1">
      <alignment horizontal="right" vertical="center"/>
    </xf>
    <xf numFmtId="0" fontId="5" fillId="27" borderId="0" xfId="2" applyFont="1" applyFill="1" applyAlignment="1">
      <alignment horizontal="left" vertical="center" indent="1"/>
    </xf>
    <xf numFmtId="0" fontId="7" fillId="27" borderId="0" xfId="2" applyFont="1" applyFill="1" applyAlignment="1">
      <alignment horizontal="left" vertical="center" indent="1"/>
    </xf>
    <xf numFmtId="166" fontId="7" fillId="27" borderId="0" xfId="1" applyNumberFormat="1" applyFont="1" applyFill="1" applyAlignment="1">
      <alignment horizontal="right" vertical="center"/>
    </xf>
    <xf numFmtId="0" fontId="6" fillId="27" borderId="0" xfId="2" applyFont="1" applyFill="1" applyAlignment="1">
      <alignment horizontal="left" vertical="center" indent="1"/>
    </xf>
    <xf numFmtId="1" fontId="9" fillId="27" borderId="0" xfId="69" applyNumberFormat="1" applyFont="1" applyFill="1" applyAlignment="1">
      <alignment horizontal="right" vertical="center"/>
    </xf>
    <xf numFmtId="167" fontId="7" fillId="27" borderId="0" xfId="1" applyNumberFormat="1" applyFont="1" applyFill="1" applyAlignment="1">
      <alignment horizontal="left" vertical="center" indent="1"/>
    </xf>
    <xf numFmtId="166" fontId="5" fillId="27" borderId="0" xfId="1" applyNumberFormat="1" applyFont="1" applyFill="1" applyAlignment="1">
      <alignment horizontal="center" vertical="center"/>
    </xf>
    <xf numFmtId="166" fontId="7" fillId="27" borderId="0" xfId="1" applyNumberFormat="1" applyFont="1" applyFill="1" applyAlignment="1">
      <alignment horizontal="center" vertical="center"/>
    </xf>
    <xf numFmtId="0" fontId="7" fillId="27" borderId="0" xfId="2" applyFont="1" applyFill="1" applyAlignment="1">
      <alignment horizontal="left" vertical="center" wrapText="1" indent="1"/>
    </xf>
    <xf numFmtId="0" fontId="38" fillId="2" borderId="0" xfId="0" applyFont="1" applyFill="1" applyAlignment="1">
      <alignment horizontal="left" vertical="center"/>
    </xf>
    <xf numFmtId="166" fontId="39" fillId="27" borderId="0" xfId="1" applyNumberFormat="1" applyFont="1" applyFill="1" applyAlignment="1">
      <alignment horizontal="center" vertical="center"/>
    </xf>
    <xf numFmtId="166" fontId="38" fillId="2" borderId="0" xfId="1" applyNumberFormat="1" applyFont="1" applyFill="1" applyAlignment="1">
      <alignment horizontal="right" vertical="center"/>
    </xf>
    <xf numFmtId="166" fontId="38" fillId="27" borderId="0" xfId="1" applyNumberFormat="1" applyFont="1" applyFill="1" applyAlignment="1">
      <alignment horizontal="right" vertical="center"/>
    </xf>
    <xf numFmtId="167" fontId="38" fillId="27" borderId="0" xfId="1" applyNumberFormat="1" applyFont="1" applyFill="1" applyAlignment="1">
      <alignment horizontal="right" vertical="center"/>
    </xf>
    <xf numFmtId="0" fontId="40" fillId="2" borderId="0" xfId="0" applyFont="1" applyFill="1"/>
    <xf numFmtId="166" fontId="38" fillId="2" borderId="0" xfId="1" applyNumberFormat="1" applyFont="1" applyFill="1" applyAlignment="1">
      <alignment horizontal="left" vertical="center"/>
    </xf>
    <xf numFmtId="166" fontId="38" fillId="2" borderId="0" xfId="1" applyNumberFormat="1" applyFont="1" applyFill="1" applyAlignment="1">
      <alignment horizontal="left" vertical="center" indent="1"/>
    </xf>
    <xf numFmtId="167" fontId="38" fillId="27" borderId="0" xfId="1" applyNumberFormat="1" applyFont="1" applyFill="1" applyAlignment="1">
      <alignment horizontal="left" vertical="center" indent="1"/>
    </xf>
    <xf numFmtId="166" fontId="38" fillId="2" borderId="0" xfId="1" applyNumberFormat="1" applyFont="1" applyFill="1" applyAlignment="1">
      <alignment horizontal="center" vertical="center"/>
    </xf>
    <xf numFmtId="166" fontId="38" fillId="27" borderId="0" xfId="1" applyNumberFormat="1" applyFont="1" applyFill="1" applyAlignment="1">
      <alignment horizontal="center" vertical="center"/>
    </xf>
    <xf numFmtId="0" fontId="38" fillId="2" borderId="0" xfId="1" applyNumberFormat="1" applyFont="1" applyFill="1" applyAlignment="1">
      <alignment horizontal="center" vertical="center"/>
    </xf>
    <xf numFmtId="166" fontId="39" fillId="2" borderId="0" xfId="1" applyNumberFormat="1" applyFont="1" applyFill="1" applyAlignment="1">
      <alignment horizontal="left" vertical="center" indent="1"/>
    </xf>
    <xf numFmtId="166" fontId="39" fillId="3" borderId="0" xfId="1" applyNumberFormat="1" applyFont="1" applyFill="1" applyAlignment="1">
      <alignment horizontal="center" vertical="center"/>
    </xf>
    <xf numFmtId="3" fontId="38" fillId="2" borderId="0" xfId="1" applyNumberFormat="1" applyFont="1" applyFill="1" applyAlignment="1">
      <alignment horizontal="center" vertical="center"/>
    </xf>
    <xf numFmtId="178" fontId="39" fillId="2" borderId="0" xfId="0" applyNumberFormat="1" applyFont="1" applyFill="1" applyBorder="1" applyAlignment="1">
      <alignment horizontal="right" vertical="center" indent="3"/>
    </xf>
    <xf numFmtId="166" fontId="38" fillId="3" borderId="0" xfId="1" applyNumberFormat="1" applyFont="1" applyFill="1" applyAlignment="1">
      <alignment horizontal="left" vertical="center"/>
    </xf>
    <xf numFmtId="164" fontId="39" fillId="2" borderId="0" xfId="1" applyNumberFormat="1" applyFont="1" applyFill="1" applyAlignment="1">
      <alignment horizontal="left" vertical="center" indent="1"/>
    </xf>
    <xf numFmtId="164" fontId="38" fillId="2" borderId="0" xfId="1" applyNumberFormat="1" applyFont="1" applyFill="1" applyAlignment="1">
      <alignment horizontal="left" vertical="center" indent="1"/>
    </xf>
    <xf numFmtId="164" fontId="40" fillId="2" borderId="0" xfId="0" applyNumberFormat="1" applyFont="1" applyFill="1"/>
    <xf numFmtId="0" fontId="40" fillId="2" borderId="0" xfId="0" applyFont="1" applyFill="1" applyAlignment="1">
      <alignment vertical="center"/>
    </xf>
    <xf numFmtId="0" fontId="38" fillId="2" borderId="0" xfId="2" applyFont="1" applyFill="1" applyBorder="1"/>
    <xf numFmtId="0" fontId="38" fillId="2" borderId="0" xfId="0" applyFont="1" applyFill="1"/>
    <xf numFmtId="166" fontId="41" fillId="2" borderId="0" xfId="9" applyNumberFormat="1" applyFont="1" applyFill="1" applyAlignment="1"/>
    <xf numFmtId="169" fontId="42" fillId="2" borderId="0" xfId="70" applyFont="1" applyFill="1" applyAlignment="1">
      <alignment horizontal="right" vertical="center"/>
    </xf>
    <xf numFmtId="169" fontId="42" fillId="2" borderId="0" xfId="0" applyNumberFormat="1" applyFont="1" applyFill="1" applyAlignment="1">
      <alignment horizontal="right" vertical="center"/>
    </xf>
    <xf numFmtId="1" fontId="39" fillId="2" borderId="0" xfId="2" applyNumberFormat="1" applyFont="1" applyFill="1" applyAlignment="1">
      <alignment vertical="center"/>
    </xf>
    <xf numFmtId="3" fontId="38" fillId="2" borderId="0" xfId="2" applyNumberFormat="1" applyFont="1" applyFill="1" applyBorder="1" applyAlignment="1">
      <alignment horizontal="right" vertical="center"/>
    </xf>
    <xf numFmtId="1" fontId="39" fillId="27" borderId="0" xfId="69" applyNumberFormat="1" applyFont="1" applyFill="1" applyAlignment="1">
      <alignment horizontal="right" vertical="center"/>
    </xf>
    <xf numFmtId="0" fontId="43" fillId="26" borderId="0" xfId="2" applyFont="1" applyFill="1" applyAlignment="1">
      <alignment horizontal="left" vertical="center"/>
    </xf>
  </cellXfs>
  <cellStyles count="81">
    <cellStyle name="1" xfId="2"/>
    <cellStyle name="1 3" xfId="4"/>
    <cellStyle name="1_Indicators2007 2" xfId="72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5"/>
    <cellStyle name="Comma 3" xfId="6"/>
    <cellStyle name="Comma 3 2" xfId="38"/>
    <cellStyle name="Comma 3 3" xfId="76"/>
    <cellStyle name="Comma 4" xfId="71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3"/>
    <cellStyle name="Normal 2 2 4" xfId="74"/>
    <cellStyle name="Normal 2 2 5" xfId="79"/>
    <cellStyle name="Normal 2 3" xfId="80"/>
    <cellStyle name="Normal 3" xfId="53"/>
    <cellStyle name="Normal 3 2" xfId="78"/>
    <cellStyle name="Normal 3 3" xfId="77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rmal_Fish &amp;  Agri - 8" xfId="70"/>
    <cellStyle name="Normal_Indicators" xfId="69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>
                <a:effectLst/>
                <a:latin typeface="Candara" pitchFamily="34" charset="0"/>
              </a:rPr>
              <a:t>Total Fish Catch, 2010 - 2020</a:t>
            </a:r>
            <a:endParaRPr lang="en-US" sz="1200">
              <a:effectLst/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43777312347741043"/>
          <c:y val="4.16666666666666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986213261803809E-2"/>
          <c:y val="0.19480351414406533"/>
          <c:w val="0.90736148366069624"/>
          <c:h val="0.67178477690288718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rgbClr val="249390"/>
            </a:solidFill>
          </c:spPr>
          <c:invertIfNegative val="0"/>
          <c:cat>
            <c:numRef>
              <c:f>'fish agri'!$M$3:$AB$3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'fish agri'!$M$4:$AB$4</c:f>
              <c:numCache>
                <c:formatCode>_(* #,##0_);_(* \(#,##0\);_(* "-"??_);_(@_)</c:formatCode>
                <c:ptCount val="11"/>
                <c:pt idx="0">
                  <c:v>122.2</c:v>
                </c:pt>
                <c:pt idx="1">
                  <c:v>120.8</c:v>
                </c:pt>
                <c:pt idx="2">
                  <c:v>120</c:v>
                </c:pt>
                <c:pt idx="3">
                  <c:v>129.80000000000001</c:v>
                </c:pt>
                <c:pt idx="4">
                  <c:v>128.69999999999999</c:v>
                </c:pt>
                <c:pt idx="5">
                  <c:v>127.35057148143278</c:v>
                </c:pt>
                <c:pt idx="6">
                  <c:v>129.17570510655216</c:v>
                </c:pt>
                <c:pt idx="7">
                  <c:v>143.15996433162482</c:v>
                </c:pt>
                <c:pt idx="8">
                  <c:v>151.02432375223387</c:v>
                </c:pt>
                <c:pt idx="9">
                  <c:v>135.0689255701877</c:v>
                </c:pt>
                <c:pt idx="10">
                  <c:v>148.58296918261513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80-4F19-89A5-C2747F87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4897120"/>
        <c:axId val="56489751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invertIfNegative val="0"/>
                <c:cat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'fish agri'!$M$3:$AB$3</c15:sqref>
                        </c15:formulaRef>
                      </c:ext>
                    </c:extLst>
                    <c:numCache>
                      <c:formatCode>0</c:formatCode>
                      <c:ptCount val="11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'fish agri'!$M$3:$Z$3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C543-4F9F-9502-AB341059FA11}"/>
                  </c:ext>
                </c:extLst>
              </c15:ser>
            </c15:filteredBarSeries>
          </c:ext>
        </c:extLst>
      </c:barChart>
      <c:catAx>
        <c:axId val="5648971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564897512"/>
        <c:crosses val="autoZero"/>
        <c:auto val="1"/>
        <c:lblAlgn val="ctr"/>
        <c:lblOffset val="100"/>
        <c:noMultiLvlLbl val="0"/>
      </c:catAx>
      <c:valAx>
        <c:axId val="5648975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56489712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45</xdr:row>
      <xdr:rowOff>66675</xdr:rowOff>
    </xdr:from>
    <xdr:to>
      <xdr:col>17</xdr:col>
      <xdr:colOff>180975</xdr:colOff>
      <xdr:row>46</xdr:row>
      <xdr:rowOff>114300</xdr:rowOff>
    </xdr:to>
    <xdr:sp macro="" textlink="">
      <xdr:nvSpPr>
        <xdr:cNvPr id="2" name="Text Box 6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2971800" y="81915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76200</xdr:colOff>
      <xdr:row>45</xdr:row>
      <xdr:rowOff>66675</xdr:rowOff>
    </xdr:from>
    <xdr:to>
      <xdr:col>17</xdr:col>
      <xdr:colOff>180975</xdr:colOff>
      <xdr:row>46</xdr:row>
      <xdr:rowOff>114300</xdr:rowOff>
    </xdr:to>
    <xdr:sp macro="" textlink="">
      <xdr:nvSpPr>
        <xdr:cNvPr id="3" name="Text Box 6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2971800" y="81915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2685861</xdr:colOff>
      <xdr:row>18</xdr:row>
      <xdr:rowOff>175186</xdr:rowOff>
    </xdr:from>
    <xdr:to>
      <xdr:col>25</xdr:col>
      <xdr:colOff>631825</xdr:colOff>
      <xdr:row>33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2781675</xdr:colOff>
      <xdr:row>19</xdr:row>
      <xdr:rowOff>120649</xdr:rowOff>
    </xdr:from>
    <xdr:to>
      <xdr:col>18</xdr:col>
      <xdr:colOff>225426</xdr:colOff>
      <xdr:row>21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2781675" y="3438524"/>
          <a:ext cx="1190251" cy="2889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(</a:t>
          </a:r>
          <a:r>
            <a:rPr lang="en-US" sz="1000"/>
            <a:t>'000 metric tons)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N3">
            <v>2006</v>
          </cell>
        </row>
      </sheetData>
      <sheetData sheetId="11"/>
      <sheetData sheetId="12">
        <row r="85">
          <cell r="Q85">
            <v>0</v>
          </cell>
        </row>
        <row r="86">
          <cell r="D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</row>
        <row r="87">
          <cell r="D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</row>
        <row r="88">
          <cell r="D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</sheetData>
      <sheetData sheetId="13">
        <row r="4">
          <cell r="K4">
            <v>2003</v>
          </cell>
        </row>
      </sheetData>
      <sheetData sheetId="14"/>
      <sheetData sheetId="15">
        <row r="4">
          <cell r="A4" t="str">
            <v>Money given by the Government to the Political Parties (MVR)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G55"/>
  <sheetViews>
    <sheetView tabSelected="1" zoomScaleNormal="100" workbookViewId="0">
      <selection activeCell="AE13" sqref="AE13"/>
    </sheetView>
  </sheetViews>
  <sheetFormatPr defaultColWidth="9.140625" defaultRowHeight="15.75"/>
  <cols>
    <col min="1" max="1" width="44.5703125" style="9" customWidth="1"/>
    <col min="2" max="2" width="12.7109375" style="9" hidden="1" customWidth="1"/>
    <col min="3" max="3" width="9.28515625" style="9" hidden="1" customWidth="1"/>
    <col min="4" max="6" width="9.42578125" style="9" hidden="1" customWidth="1"/>
    <col min="7" max="7" width="9.140625" style="9" hidden="1" customWidth="1"/>
    <col min="8" max="8" width="9.5703125" style="9" hidden="1" customWidth="1"/>
    <col min="9" max="11" width="9" style="9" hidden="1" customWidth="1"/>
    <col min="12" max="12" width="7.5703125" style="9" hidden="1" customWidth="1"/>
    <col min="13" max="17" width="11.7109375" style="9" hidden="1" customWidth="1"/>
    <col min="18" max="28" width="11.7109375" style="60" customWidth="1"/>
    <col min="29" max="33" width="10.5703125" style="9" customWidth="1"/>
    <col min="34" max="60" width="0" style="9" hidden="1" customWidth="1"/>
    <col min="61" max="16384" width="9.140625" style="9"/>
  </cols>
  <sheetData>
    <row r="1" spans="1:52" ht="30.75" customHeight="1">
      <c r="A1" s="84" t="s">
        <v>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15"/>
    </row>
    <row r="2" spans="1:52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1"/>
      <c r="AD2" s="1"/>
      <c r="AE2" s="1"/>
      <c r="AF2" s="1"/>
      <c r="AG2" s="1"/>
    </row>
    <row r="3" spans="1:52" s="6" customFormat="1" ht="15.75" customHeight="1">
      <c r="A3" s="49"/>
      <c r="B3" s="46">
        <v>1990</v>
      </c>
      <c r="C3" s="46">
        <v>1995</v>
      </c>
      <c r="D3" s="46">
        <v>1996</v>
      </c>
      <c r="E3" s="46">
        <v>1997</v>
      </c>
      <c r="F3" s="46">
        <v>1998</v>
      </c>
      <c r="G3" s="46">
        <v>1999</v>
      </c>
      <c r="H3" s="46">
        <v>2000</v>
      </c>
      <c r="I3" s="46">
        <v>2001</v>
      </c>
      <c r="J3" s="46">
        <v>2002</v>
      </c>
      <c r="K3" s="46">
        <v>2003</v>
      </c>
      <c r="L3" s="46">
        <v>2004</v>
      </c>
      <c r="M3" s="50">
        <v>2005</v>
      </c>
      <c r="N3" s="50">
        <v>2006</v>
      </c>
      <c r="O3" s="50">
        <v>2007</v>
      </c>
      <c r="P3" s="50">
        <v>2008</v>
      </c>
      <c r="Q3" s="50">
        <v>2009</v>
      </c>
      <c r="R3" s="83">
        <v>2010</v>
      </c>
      <c r="S3" s="83">
        <v>2011</v>
      </c>
      <c r="T3" s="83">
        <v>2012</v>
      </c>
      <c r="U3" s="83">
        <v>2013</v>
      </c>
      <c r="V3" s="83">
        <v>2014</v>
      </c>
      <c r="W3" s="83">
        <v>2015</v>
      </c>
      <c r="X3" s="83">
        <v>2016</v>
      </c>
      <c r="Y3" s="83">
        <v>2017</v>
      </c>
      <c r="Z3" s="83">
        <v>2018</v>
      </c>
      <c r="AA3" s="83">
        <v>2019</v>
      </c>
      <c r="AB3" s="83">
        <v>2020</v>
      </c>
      <c r="AC3" s="16"/>
      <c r="AD3" s="16"/>
      <c r="AE3" s="16"/>
      <c r="AF3" s="16"/>
      <c r="AG3" s="16"/>
      <c r="AH3" s="17"/>
      <c r="AM3" s="18">
        <v>2000</v>
      </c>
      <c r="AN3" s="18">
        <v>2001</v>
      </c>
      <c r="AO3" s="18">
        <v>2002</v>
      </c>
      <c r="AP3" s="18">
        <v>2003</v>
      </c>
      <c r="AQ3" s="18">
        <v>2004</v>
      </c>
      <c r="AR3" s="18">
        <v>2005</v>
      </c>
      <c r="AS3" s="18">
        <v>2006</v>
      </c>
      <c r="AT3" s="18">
        <v>2007</v>
      </c>
      <c r="AU3" s="18">
        <v>2008</v>
      </c>
      <c r="AV3" s="18">
        <v>2009</v>
      </c>
      <c r="AW3" s="18">
        <v>2010</v>
      </c>
      <c r="AX3" s="18">
        <v>2011</v>
      </c>
      <c r="AY3" s="18">
        <v>2012</v>
      </c>
      <c r="AZ3" s="6">
        <v>2013</v>
      </c>
    </row>
    <row r="4" spans="1:52" s="6" customFormat="1" ht="15.75" customHeight="1">
      <c r="A4" s="2" t="s">
        <v>2</v>
      </c>
      <c r="B4" s="2">
        <v>76.400000000000006</v>
      </c>
      <c r="C4" s="2">
        <v>104.6</v>
      </c>
      <c r="D4" s="2">
        <v>105.4</v>
      </c>
      <c r="E4" s="2">
        <v>107.4</v>
      </c>
      <c r="F4" s="2">
        <v>118.2</v>
      </c>
      <c r="G4" s="2">
        <v>124.1</v>
      </c>
      <c r="H4" s="2">
        <v>118.9</v>
      </c>
      <c r="I4" s="2">
        <v>127.1836148</v>
      </c>
      <c r="J4" s="2">
        <v>163.38852709999998</v>
      </c>
      <c r="K4" s="2">
        <v>155.41505599999999</v>
      </c>
      <c r="L4" s="2">
        <v>158.6</v>
      </c>
      <c r="M4" s="19">
        <v>185.97997877813799</v>
      </c>
      <c r="N4" s="19">
        <v>184.2</v>
      </c>
      <c r="O4" s="19">
        <v>144.19999999999999</v>
      </c>
      <c r="P4" s="19">
        <v>132.6</v>
      </c>
      <c r="Q4" s="19">
        <v>116.7</v>
      </c>
      <c r="R4" s="62">
        <v>122.2</v>
      </c>
      <c r="S4" s="62">
        <v>120.8</v>
      </c>
      <c r="T4" s="62">
        <v>120</v>
      </c>
      <c r="U4" s="62">
        <v>129.80000000000001</v>
      </c>
      <c r="V4" s="62">
        <v>128.69999999999999</v>
      </c>
      <c r="W4" s="62">
        <v>127.35057148143278</v>
      </c>
      <c r="X4" s="62">
        <v>129.17570510655216</v>
      </c>
      <c r="Y4" s="57">
        <v>143.15996433162482</v>
      </c>
      <c r="Z4" s="57">
        <v>151.02432375223387</v>
      </c>
      <c r="AA4" s="57">
        <v>135.0689255701877</v>
      </c>
      <c r="AB4" s="57">
        <v>148.58296918261513</v>
      </c>
      <c r="AC4" s="19"/>
      <c r="AD4" s="19"/>
      <c r="AE4" s="19"/>
      <c r="AF4" s="19"/>
      <c r="AG4" s="19"/>
      <c r="AH4" s="20" t="s">
        <v>3</v>
      </c>
      <c r="AL4" s="17" t="s">
        <v>4</v>
      </c>
      <c r="AM4" s="21">
        <v>79682.553</v>
      </c>
      <c r="AN4" s="21">
        <v>88043.980999999985</v>
      </c>
      <c r="AO4" s="21">
        <v>115321.78199999999</v>
      </c>
      <c r="AP4" s="21">
        <v>108328.95899999999</v>
      </c>
      <c r="AQ4" s="21">
        <v>109749</v>
      </c>
      <c r="AR4" s="21">
        <v>132060.38010399402</v>
      </c>
      <c r="AS4" s="22">
        <v>138458.43036881002</v>
      </c>
      <c r="AT4" s="21">
        <v>97342</v>
      </c>
      <c r="AU4" s="21">
        <v>87275.756780001</v>
      </c>
      <c r="AV4" s="21">
        <v>66179</v>
      </c>
    </row>
    <row r="5" spans="1:52" s="6" customFormat="1" ht="15.75" customHeight="1">
      <c r="A5" s="47" t="s">
        <v>5</v>
      </c>
      <c r="B5" s="47">
        <v>7.3</v>
      </c>
      <c r="C5" s="47">
        <v>0.57692307692305766</v>
      </c>
      <c r="D5" s="47">
        <v>0.76481835564053269</v>
      </c>
      <c r="E5" s="47">
        <v>1.8975332068311332</v>
      </c>
      <c r="F5" s="47">
        <v>10.055865921787706</v>
      </c>
      <c r="G5" s="47">
        <v>4.9915397631133596</v>
      </c>
      <c r="H5" s="47">
        <v>-4.190169218372283</v>
      </c>
      <c r="I5" s="47">
        <v>6.9668753574432376</v>
      </c>
      <c r="J5" s="47">
        <v>28.466648284005192</v>
      </c>
      <c r="K5" s="47">
        <v>-4.8800679224679691</v>
      </c>
      <c r="L5" s="47">
        <v>2.0493149646968578</v>
      </c>
      <c r="M5" s="51">
        <v>17.27586156184049</v>
      </c>
      <c r="N5" s="51">
        <v>-1</v>
      </c>
      <c r="O5" s="51">
        <v>-21.715526601520089</v>
      </c>
      <c r="P5" s="51">
        <v>-8.0443828016643515</v>
      </c>
      <c r="Q5" s="51">
        <v>-11.9</v>
      </c>
      <c r="R5" s="63">
        <v>4.7129391602399311</v>
      </c>
      <c r="S5" s="63">
        <v>-1.145662847790512</v>
      </c>
      <c r="T5" s="63">
        <v>-0.66225165562913668</v>
      </c>
      <c r="U5" s="63">
        <v>8.1666666666666767</v>
      </c>
      <c r="V5" s="63">
        <v>-0.9</v>
      </c>
      <c r="W5" s="63">
        <v>-1.0346402943154343</v>
      </c>
      <c r="X5" s="63">
        <v>1.4</v>
      </c>
      <c r="Y5" s="59">
        <v>10.81264929769408</v>
      </c>
      <c r="Z5" s="59">
        <v>5.4934069432928521</v>
      </c>
      <c r="AA5" s="59">
        <v>-10.564787039352765</v>
      </c>
      <c r="AB5" s="59">
        <v>10.005294374985599</v>
      </c>
      <c r="AC5" s="23"/>
      <c r="AD5" s="23"/>
      <c r="AE5" s="23"/>
      <c r="AF5" s="23"/>
      <c r="AG5" s="23"/>
    </row>
    <row r="6" spans="1:52" s="6" customFormat="1" ht="15.75" customHeight="1">
      <c r="A6" s="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9"/>
      <c r="N6" s="19"/>
      <c r="O6" s="19"/>
      <c r="P6" s="19"/>
      <c r="Q6" s="19"/>
      <c r="R6" s="62"/>
      <c r="S6" s="62"/>
      <c r="T6" s="62"/>
      <c r="U6" s="62"/>
      <c r="V6" s="62"/>
      <c r="W6" s="62"/>
      <c r="X6" s="62"/>
      <c r="Y6" s="57"/>
      <c r="Z6" s="57"/>
      <c r="AA6" s="57"/>
      <c r="AB6" s="57"/>
      <c r="AC6" s="19"/>
      <c r="AD6" s="19"/>
      <c r="AE6" s="19"/>
      <c r="AF6" s="19"/>
      <c r="AG6" s="19"/>
    </row>
    <row r="7" spans="1:52" s="6" customFormat="1" ht="15.75" customHeight="1">
      <c r="A7" s="46" t="s">
        <v>7</v>
      </c>
      <c r="B7" s="46">
        <v>76374</v>
      </c>
      <c r="C7" s="46">
        <v>104566.32399999999</v>
      </c>
      <c r="D7" s="46">
        <v>105413.23</v>
      </c>
      <c r="E7" s="46">
        <v>107358.17</v>
      </c>
      <c r="F7" s="46">
        <v>118115.4</v>
      </c>
      <c r="G7" s="46">
        <v>124109</v>
      </c>
      <c r="H7" s="46">
        <v>118963.22</v>
      </c>
      <c r="I7" s="46">
        <v>127183.78</v>
      </c>
      <c r="J7" s="46">
        <v>163387.9601</v>
      </c>
      <c r="K7" s="46">
        <v>155415.00099999999</v>
      </c>
      <c r="L7" s="46">
        <v>158576</v>
      </c>
      <c r="M7" s="52">
        <v>185980.45680921903</v>
      </c>
      <c r="N7" s="52">
        <v>184158.29795340699</v>
      </c>
      <c r="O7" s="52">
        <v>144169</v>
      </c>
      <c r="P7" s="52">
        <v>132574</v>
      </c>
      <c r="Q7" s="52">
        <v>116736</v>
      </c>
      <c r="R7" s="56">
        <v>122175.1379</v>
      </c>
      <c r="S7" s="56">
        <v>120836.0318</v>
      </c>
      <c r="T7" s="56">
        <v>120001</v>
      </c>
      <c r="U7" s="56">
        <v>129843.14697257293</v>
      </c>
      <c r="V7" s="56">
        <v>128683</v>
      </c>
      <c r="W7" s="56">
        <v>127351.81848143297</v>
      </c>
      <c r="X7" s="56">
        <v>129190.9951065522</v>
      </c>
      <c r="Y7" s="56">
        <v>143159.96433162465</v>
      </c>
      <c r="Z7" s="56">
        <v>151024.32375223387</v>
      </c>
      <c r="AA7" s="56">
        <v>135068.92557018774</v>
      </c>
      <c r="AB7" s="56">
        <v>148582.96918261508</v>
      </c>
      <c r="AC7" s="24"/>
      <c r="AD7" s="24"/>
      <c r="AE7" s="24"/>
      <c r="AF7" s="24"/>
      <c r="AG7" s="24"/>
    </row>
    <row r="8" spans="1:52" s="6" customFormat="1" ht="15.75" customHeight="1">
      <c r="A8" s="2" t="s">
        <v>4</v>
      </c>
      <c r="B8" s="2">
        <v>59899</v>
      </c>
      <c r="C8" s="2">
        <v>70372.040999999997</v>
      </c>
      <c r="D8" s="2">
        <v>66501.88</v>
      </c>
      <c r="E8" s="2">
        <v>69015.28</v>
      </c>
      <c r="F8" s="2">
        <v>78409.429999999993</v>
      </c>
      <c r="G8" s="2">
        <v>92888</v>
      </c>
      <c r="H8" s="2">
        <v>79682.553</v>
      </c>
      <c r="I8" s="2">
        <v>88043.980999999985</v>
      </c>
      <c r="J8" s="2">
        <v>115321.78199999999</v>
      </c>
      <c r="K8" s="2">
        <v>108328.95899999999</v>
      </c>
      <c r="L8" s="2">
        <v>109749</v>
      </c>
      <c r="M8" s="14">
        <v>132060.38010399402</v>
      </c>
      <c r="N8" s="14">
        <v>138458.43036881002</v>
      </c>
      <c r="O8" s="14">
        <v>97342</v>
      </c>
      <c r="P8" s="14">
        <v>87072</v>
      </c>
      <c r="Q8" s="14">
        <v>66189</v>
      </c>
      <c r="R8" s="64">
        <v>73721.292000000001</v>
      </c>
      <c r="S8" s="64">
        <v>57671.722000000002</v>
      </c>
      <c r="T8" s="64">
        <v>53391.6</v>
      </c>
      <c r="U8" s="64">
        <v>74421.630037020906</v>
      </c>
      <c r="V8" s="64">
        <v>68522</v>
      </c>
      <c r="W8" s="64">
        <v>69244.324399131321</v>
      </c>
      <c r="X8" s="64">
        <v>69589.480938961424</v>
      </c>
      <c r="Y8" s="64">
        <v>89683.148024090726</v>
      </c>
      <c r="Z8" s="64">
        <v>100099.4869059859</v>
      </c>
      <c r="AA8" s="64">
        <v>88019.666239199301</v>
      </c>
      <c r="AB8" s="64">
        <v>103870.66972179353</v>
      </c>
      <c r="AC8" s="19"/>
      <c r="AD8" s="19"/>
      <c r="AE8" s="19"/>
      <c r="AF8" s="19"/>
      <c r="AG8" s="19"/>
    </row>
    <row r="9" spans="1:52" s="13" customFormat="1" ht="15.75" customHeight="1">
      <c r="A9" s="47" t="s">
        <v>8</v>
      </c>
      <c r="B9" s="47">
        <v>5279</v>
      </c>
      <c r="C9" s="47">
        <v>12504.340999999999</v>
      </c>
      <c r="D9" s="47">
        <v>12440.26</v>
      </c>
      <c r="E9" s="47">
        <v>18618.78</v>
      </c>
      <c r="F9" s="47">
        <v>17164.32</v>
      </c>
      <c r="G9" s="47">
        <v>15079</v>
      </c>
      <c r="H9" s="47">
        <v>15705.858999999999</v>
      </c>
      <c r="I9" s="47">
        <v>15246.319</v>
      </c>
      <c r="J9" s="47">
        <v>24525.265799999997</v>
      </c>
      <c r="K9" s="47">
        <v>22914.133899999997</v>
      </c>
      <c r="L9" s="47">
        <v>24818</v>
      </c>
      <c r="M9" s="53">
        <v>24570.818985680002</v>
      </c>
      <c r="N9" s="53">
        <v>22953.53829973</v>
      </c>
      <c r="O9" s="53">
        <v>24415</v>
      </c>
      <c r="P9" s="53">
        <v>23769</v>
      </c>
      <c r="Q9" s="53">
        <v>20733</v>
      </c>
      <c r="R9" s="65">
        <v>21835.378000000001</v>
      </c>
      <c r="S9" s="65">
        <v>35575.213000000003</v>
      </c>
      <c r="T9" s="65">
        <v>44977.38</v>
      </c>
      <c r="U9" s="65">
        <v>47146.416175683698</v>
      </c>
      <c r="V9" s="65">
        <v>49101</v>
      </c>
      <c r="W9" s="65">
        <v>51472.456475638173</v>
      </c>
      <c r="X9" s="65">
        <v>53705.451966178975</v>
      </c>
      <c r="Y9" s="65">
        <v>49376.811349197844</v>
      </c>
      <c r="Z9" s="65">
        <v>47216.695506999989</v>
      </c>
      <c r="AA9" s="65">
        <v>44423.897166028532</v>
      </c>
      <c r="AB9" s="65">
        <v>42704.576500856863</v>
      </c>
      <c r="AC9" s="19"/>
      <c r="AD9" s="19"/>
      <c r="AE9" s="19"/>
      <c r="AF9" s="19"/>
      <c r="AG9" s="19"/>
      <c r="AI9" s="13" t="s">
        <v>5</v>
      </c>
      <c r="AM9" s="17" t="s">
        <v>9</v>
      </c>
      <c r="AN9" s="17" t="s">
        <v>10</v>
      </c>
      <c r="AO9" s="17" t="s">
        <v>11</v>
      </c>
    </row>
    <row r="10" spans="1:52" s="6" customFormat="1" ht="15.75" customHeight="1">
      <c r="A10" s="2" t="s">
        <v>12</v>
      </c>
      <c r="B10" s="2">
        <v>5185</v>
      </c>
      <c r="C10" s="2">
        <v>7070.75</v>
      </c>
      <c r="D10" s="2">
        <v>10897.45</v>
      </c>
      <c r="E10" s="2">
        <v>5066.54</v>
      </c>
      <c r="F10" s="2">
        <v>8311.94</v>
      </c>
      <c r="G10" s="2">
        <v>5520</v>
      </c>
      <c r="H10" s="2">
        <v>6339.1250000000009</v>
      </c>
      <c r="I10" s="2">
        <v>6778.0590000000002</v>
      </c>
      <c r="J10" s="2">
        <v>7218.9319999999998</v>
      </c>
      <c r="K10" s="2">
        <v>7508.183</v>
      </c>
      <c r="L10" s="2">
        <v>6543</v>
      </c>
      <c r="M10" s="14">
        <v>8302.1354397649993</v>
      </c>
      <c r="N10" s="14">
        <v>5717.5900617870002</v>
      </c>
      <c r="O10" s="14">
        <v>7100</v>
      </c>
      <c r="P10" s="14">
        <v>6699</v>
      </c>
      <c r="Q10" s="14">
        <v>8876</v>
      </c>
      <c r="R10" s="64">
        <v>7123.6269000000002</v>
      </c>
      <c r="S10" s="64">
        <v>4947.2398000000003</v>
      </c>
      <c r="T10" s="64">
        <v>2537.79</v>
      </c>
      <c r="U10" s="64">
        <v>1664.0466762930218</v>
      </c>
      <c r="V10" s="64">
        <v>3924</v>
      </c>
      <c r="W10" s="64">
        <v>2218</v>
      </c>
      <c r="X10" s="64">
        <v>2679.9581847279765</v>
      </c>
      <c r="Y10" s="64">
        <v>1606.0786556591074</v>
      </c>
      <c r="Z10" s="64">
        <v>882.6865923288949</v>
      </c>
      <c r="AA10" s="64">
        <v>582.12911143500605</v>
      </c>
      <c r="AB10" s="64">
        <v>311.42431884410684</v>
      </c>
      <c r="AC10" s="19"/>
      <c r="AD10" s="19"/>
      <c r="AE10" s="19"/>
      <c r="AF10" s="19"/>
      <c r="AG10" s="19"/>
      <c r="AL10" s="6">
        <v>1995</v>
      </c>
      <c r="AM10" s="10">
        <v>43.5</v>
      </c>
      <c r="AN10" s="10">
        <v>56</v>
      </c>
      <c r="AO10" s="10">
        <v>5.0999999999999996</v>
      </c>
    </row>
    <row r="11" spans="1:52" s="6" customFormat="1" ht="15.75" customHeight="1">
      <c r="A11" s="47" t="s">
        <v>13</v>
      </c>
      <c r="B11" s="46">
        <v>6011</v>
      </c>
      <c r="C11" s="46">
        <v>14619.191999999999</v>
      </c>
      <c r="D11" s="46">
        <v>15573.64</v>
      </c>
      <c r="E11" s="46">
        <v>14657.57</v>
      </c>
      <c r="F11" s="46">
        <v>14229.71</v>
      </c>
      <c r="G11" s="46">
        <v>10622</v>
      </c>
      <c r="H11" s="46">
        <v>17235.683000000001</v>
      </c>
      <c r="I11" s="46">
        <v>17115.420999999998</v>
      </c>
      <c r="J11" s="46">
        <v>16321.980300000001</v>
      </c>
      <c r="K11" s="46">
        <v>16663.7251</v>
      </c>
      <c r="L11" s="46">
        <v>17466</v>
      </c>
      <c r="M11" s="53">
        <v>21047.122279780004</v>
      </c>
      <c r="N11" s="53">
        <v>17028.73922308</v>
      </c>
      <c r="O11" s="53">
        <v>15312</v>
      </c>
      <c r="P11" s="53">
        <v>15034</v>
      </c>
      <c r="Q11" s="53">
        <v>20938</v>
      </c>
      <c r="R11" s="65">
        <v>19494.841</v>
      </c>
      <c r="S11" s="65">
        <v>22641.857</v>
      </c>
      <c r="T11" s="65">
        <v>19094.060000000001</v>
      </c>
      <c r="U11" s="65">
        <v>6611.0540835753109</v>
      </c>
      <c r="V11" s="65">
        <v>7136</v>
      </c>
      <c r="W11" s="65">
        <v>4417.3809339078225</v>
      </c>
      <c r="X11" s="65">
        <v>3216.1040166838452</v>
      </c>
      <c r="Y11" s="65">
        <v>2493.9263026769804</v>
      </c>
      <c r="Z11" s="65">
        <v>2825.4547469191089</v>
      </c>
      <c r="AA11" s="65">
        <v>2043.233053524893</v>
      </c>
      <c r="AB11" s="65">
        <v>1696.6090211673259</v>
      </c>
      <c r="AC11" s="19"/>
      <c r="AD11" s="24"/>
      <c r="AE11" s="24"/>
      <c r="AF11" s="24"/>
      <c r="AG11" s="24"/>
      <c r="AL11" s="6">
        <v>1996</v>
      </c>
      <c r="AM11" s="10">
        <v>41.7</v>
      </c>
      <c r="AN11" s="10">
        <v>60.4</v>
      </c>
      <c r="AO11" s="10">
        <v>3.3</v>
      </c>
    </row>
    <row r="12" spans="1:52" s="6" customFormat="1" ht="15.75" customHeight="1">
      <c r="A12" s="2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12" t="s">
        <v>15</v>
      </c>
      <c r="N12" s="12" t="s">
        <v>15</v>
      </c>
      <c r="O12" s="12" t="s">
        <v>15</v>
      </c>
      <c r="P12" s="12" t="s">
        <v>15</v>
      </c>
      <c r="Q12" s="12" t="s">
        <v>15</v>
      </c>
      <c r="R12" s="57" t="s">
        <v>15</v>
      </c>
      <c r="S12" s="57" t="s">
        <v>15</v>
      </c>
      <c r="T12" s="64">
        <v>9973.2153715049062</v>
      </c>
      <c r="U12" s="64">
        <v>9284.1709889907397</v>
      </c>
      <c r="V12" s="64">
        <v>8595.9331314201481</v>
      </c>
      <c r="W12" s="64">
        <v>7908.6475563130498</v>
      </c>
      <c r="X12" s="64">
        <v>7045</v>
      </c>
      <c r="Y12" s="64">
        <v>17589</v>
      </c>
      <c r="Z12" s="57" t="s">
        <v>0</v>
      </c>
      <c r="AA12" s="57" t="s">
        <v>0</v>
      </c>
      <c r="AB12" s="57" t="s">
        <v>0</v>
      </c>
      <c r="AC12" s="19"/>
      <c r="AD12" s="24"/>
      <c r="AE12" s="24"/>
      <c r="AF12" s="24"/>
      <c r="AG12" s="24"/>
      <c r="AM12" s="10"/>
      <c r="AN12" s="10"/>
      <c r="AO12" s="10"/>
    </row>
    <row r="13" spans="1:52" s="6" customFormat="1" ht="30" customHeight="1">
      <c r="A13" s="54" t="s">
        <v>16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8" t="s">
        <v>15</v>
      </c>
      <c r="N13" s="48" t="s">
        <v>15</v>
      </c>
      <c r="O13" s="53">
        <v>124157.65514</v>
      </c>
      <c r="P13" s="53">
        <v>139514.46875999999</v>
      </c>
      <c r="Q13" s="53">
        <v>138967.57131999999</v>
      </c>
      <c r="R13" s="65">
        <v>152525.99507999999</v>
      </c>
      <c r="S13" s="65">
        <v>186677.28172</v>
      </c>
      <c r="T13" s="65">
        <v>240437.87307</v>
      </c>
      <c r="U13" s="65">
        <v>276241.36057000002</v>
      </c>
      <c r="V13" s="65">
        <v>302002.60759000003</v>
      </c>
      <c r="W13" s="65">
        <v>330503.71594000002</v>
      </c>
      <c r="X13" s="58">
        <v>356030.84086999996</v>
      </c>
      <c r="Y13" s="58">
        <v>400897.83512256003</v>
      </c>
      <c r="Z13" s="58">
        <v>437440.28820000007</v>
      </c>
      <c r="AA13" s="58">
        <v>514951.81251000008</v>
      </c>
      <c r="AB13" s="58">
        <v>314954.00874000002</v>
      </c>
      <c r="AC13" s="19"/>
      <c r="AD13" s="24"/>
      <c r="AE13" s="24"/>
      <c r="AF13" s="24"/>
      <c r="AG13" s="24"/>
      <c r="AM13" s="10"/>
      <c r="AN13" s="10"/>
      <c r="AO13" s="10"/>
    </row>
    <row r="14" spans="1:52" s="6" customFormat="1" ht="17.25" hidden="1" customHeight="1">
      <c r="A14" s="4" t="s">
        <v>17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5">
        <v>940</v>
      </c>
      <c r="N14" s="25">
        <v>942</v>
      </c>
      <c r="O14" s="25">
        <v>670</v>
      </c>
      <c r="P14" s="25">
        <v>943</v>
      </c>
      <c r="Q14" s="25" t="s">
        <v>0</v>
      </c>
      <c r="R14" s="66" t="s">
        <v>0</v>
      </c>
      <c r="S14" s="66" t="s">
        <v>0</v>
      </c>
      <c r="T14" s="66">
        <v>41</v>
      </c>
      <c r="U14" s="66" t="s">
        <v>0</v>
      </c>
      <c r="V14" s="66">
        <v>81</v>
      </c>
      <c r="W14" s="66">
        <v>43</v>
      </c>
      <c r="X14" s="67"/>
      <c r="Y14" s="67"/>
      <c r="Z14" s="67"/>
      <c r="AA14" s="67"/>
      <c r="AB14" s="57">
        <v>1</v>
      </c>
      <c r="AC14" s="19"/>
      <c r="AD14" s="24"/>
      <c r="AE14" s="24"/>
      <c r="AF14" s="24"/>
      <c r="AG14" s="24"/>
      <c r="AM14" s="10"/>
      <c r="AN14" s="10"/>
      <c r="AO14" s="10"/>
    </row>
    <row r="15" spans="1:52" s="6" customFormat="1" ht="17.25" hidden="1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/>
      <c r="N15" s="27"/>
      <c r="O15" s="27"/>
      <c r="P15" s="27"/>
      <c r="Q15" s="27"/>
      <c r="R15" s="68"/>
      <c r="S15" s="68"/>
      <c r="T15" s="68"/>
      <c r="U15" s="68"/>
      <c r="V15" s="68"/>
      <c r="W15" s="68"/>
      <c r="X15" s="67"/>
      <c r="Y15" s="67"/>
      <c r="Z15" s="67"/>
      <c r="AA15" s="67"/>
      <c r="AB15" s="57" t="s">
        <v>0</v>
      </c>
      <c r="AC15" s="19"/>
      <c r="AD15" s="24"/>
      <c r="AE15" s="24"/>
      <c r="AF15" s="24"/>
      <c r="AG15" s="24"/>
      <c r="AM15" s="10"/>
      <c r="AN15" s="10"/>
      <c r="AO15" s="10"/>
    </row>
    <row r="16" spans="1:52" ht="16.5" hidden="1" customHeight="1">
      <c r="A16" s="3" t="s">
        <v>18</v>
      </c>
      <c r="B16" s="2">
        <v>351</v>
      </c>
      <c r="C16" s="2">
        <v>648</v>
      </c>
      <c r="D16" s="2">
        <v>654</v>
      </c>
      <c r="E16" s="2">
        <v>1374</v>
      </c>
      <c r="F16" s="2">
        <v>1373</v>
      </c>
      <c r="G16" s="2">
        <v>1373</v>
      </c>
      <c r="H16" s="2">
        <v>1373</v>
      </c>
      <c r="I16" s="2">
        <v>1592</v>
      </c>
      <c r="J16" s="2">
        <v>1579.2819999999999</v>
      </c>
      <c r="K16" s="2">
        <v>1560.758</v>
      </c>
      <c r="L16" s="2">
        <v>1355</v>
      </c>
      <c r="M16" s="28">
        <v>1407</v>
      </c>
      <c r="N16" s="28">
        <v>1615</v>
      </c>
      <c r="O16" s="28">
        <v>3097</v>
      </c>
      <c r="P16" s="28">
        <v>12752</v>
      </c>
      <c r="Q16" s="25" t="s">
        <v>0</v>
      </c>
      <c r="R16" s="66" t="s">
        <v>0</v>
      </c>
      <c r="S16" s="66" t="s">
        <v>0</v>
      </c>
      <c r="T16" s="69">
        <v>6544</v>
      </c>
      <c r="U16" s="66" t="s">
        <v>0</v>
      </c>
      <c r="V16" s="69">
        <v>14767</v>
      </c>
      <c r="W16" s="69">
        <v>11258</v>
      </c>
      <c r="X16" s="62"/>
      <c r="Y16" s="62">
        <v>4134452.3999999994</v>
      </c>
      <c r="Z16" s="70">
        <v>1140874.06</v>
      </c>
      <c r="AA16" s="70"/>
      <c r="AB16" s="57">
        <v>180000</v>
      </c>
      <c r="AC16" s="19"/>
      <c r="AD16" s="19"/>
      <c r="AE16" s="19"/>
      <c r="AF16" s="19"/>
      <c r="AG16" s="19"/>
      <c r="AL16" s="9">
        <v>1997</v>
      </c>
      <c r="AM16" s="29">
        <v>40</v>
      </c>
      <c r="AN16" s="29">
        <v>64.5</v>
      </c>
      <c r="AO16" s="29">
        <v>2.9</v>
      </c>
    </row>
    <row r="17" spans="1:59" ht="15" hidden="1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1"/>
      <c r="O17" s="31"/>
      <c r="P17" s="31"/>
      <c r="Q17" s="31"/>
      <c r="R17" s="71"/>
      <c r="S17" s="71"/>
      <c r="T17" s="71"/>
      <c r="U17" s="71"/>
      <c r="V17" s="71"/>
      <c r="W17" s="71"/>
      <c r="X17" s="61"/>
      <c r="Y17" s="62"/>
      <c r="Z17" s="61"/>
      <c r="AA17" s="61"/>
      <c r="AB17" s="57" t="s">
        <v>0</v>
      </c>
      <c r="AC17" s="19"/>
      <c r="AD17" s="32"/>
      <c r="AE17" s="32"/>
      <c r="AF17" s="32"/>
      <c r="AG17" s="32"/>
      <c r="AL17" s="9">
        <v>1998</v>
      </c>
      <c r="AM17" s="29">
        <v>44.4</v>
      </c>
      <c r="AN17" s="29">
        <v>68</v>
      </c>
      <c r="AO17" s="29">
        <v>5.8</v>
      </c>
    </row>
    <row r="18" spans="1:59" ht="9.75" hidden="1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4"/>
      <c r="N18" s="24"/>
      <c r="O18" s="24"/>
      <c r="P18" s="24"/>
      <c r="Q18" s="24"/>
      <c r="R18" s="67"/>
      <c r="S18" s="67"/>
      <c r="T18" s="67"/>
      <c r="V18" s="67"/>
      <c r="W18" s="67"/>
      <c r="X18" s="67"/>
      <c r="Y18" s="72">
        <f>Y16/1000</f>
        <v>4134.4523999999992</v>
      </c>
      <c r="Z18" s="72">
        <f>Z16/1000</f>
        <v>1140.8740600000001</v>
      </c>
      <c r="AA18" s="72"/>
      <c r="AB18" s="57" t="s">
        <v>0</v>
      </c>
      <c r="AC18" s="19"/>
      <c r="AD18" s="24"/>
      <c r="AE18" s="24"/>
      <c r="AF18" s="24"/>
      <c r="AG18" s="24"/>
      <c r="AL18" s="9">
        <v>1999</v>
      </c>
      <c r="AM18" s="29">
        <v>49.7</v>
      </c>
      <c r="AN18" s="29">
        <v>62.8</v>
      </c>
      <c r="AO18" s="29">
        <v>11.6</v>
      </c>
    </row>
    <row r="19" spans="1:5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9"/>
      <c r="N19" s="19"/>
      <c r="O19" s="19"/>
      <c r="P19" s="19"/>
      <c r="Q19" s="19"/>
      <c r="R19" s="62"/>
      <c r="S19" s="62"/>
      <c r="T19" s="62"/>
      <c r="V19" s="62"/>
      <c r="X19" s="62"/>
      <c r="Y19" s="62"/>
      <c r="Z19" s="62"/>
      <c r="AA19" s="62"/>
      <c r="AC19" s="19"/>
      <c r="AD19" s="19"/>
      <c r="AE19" s="19"/>
      <c r="AF19" s="19"/>
      <c r="AG19" s="19"/>
      <c r="AL19" s="9">
        <v>2000</v>
      </c>
      <c r="AM19" s="29">
        <v>56.5</v>
      </c>
      <c r="AN19" s="29">
        <v>57.3</v>
      </c>
      <c r="AO19" s="29">
        <v>5.0999999999999996</v>
      </c>
    </row>
    <row r="20" spans="1:59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9"/>
      <c r="N20" s="19"/>
      <c r="O20" s="19"/>
      <c r="P20" s="19"/>
      <c r="Q20" s="19"/>
      <c r="R20" s="62"/>
      <c r="S20" s="62"/>
      <c r="T20" s="62"/>
      <c r="V20" s="73"/>
      <c r="W20" s="73"/>
      <c r="X20" s="73"/>
      <c r="Y20" s="73"/>
      <c r="Z20" s="73"/>
      <c r="AA20" s="73"/>
      <c r="AB20" s="74"/>
      <c r="AC20" s="19"/>
      <c r="AD20" s="19"/>
      <c r="AE20" s="19"/>
      <c r="AF20" s="19"/>
      <c r="AG20" s="19"/>
      <c r="AI20" s="33" t="s">
        <v>19</v>
      </c>
      <c r="AL20" s="9">
        <v>2001</v>
      </c>
      <c r="AM20" s="29">
        <v>57.4</v>
      </c>
      <c r="AN20" s="29">
        <v>64.8</v>
      </c>
      <c r="AO20" s="29">
        <v>2.7</v>
      </c>
    </row>
    <row r="21" spans="1:59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9"/>
      <c r="N21" s="19"/>
      <c r="O21" s="19"/>
      <c r="P21" s="19"/>
      <c r="Q21" s="19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19"/>
      <c r="AD21" s="19"/>
      <c r="AE21" s="19"/>
      <c r="AF21" s="19"/>
      <c r="AG21" s="19"/>
      <c r="AH21" s="9">
        <v>1996</v>
      </c>
      <c r="AI21" s="33">
        <v>0.76481835564053269</v>
      </c>
      <c r="AL21" s="9">
        <v>2003</v>
      </c>
      <c r="AM21" s="29">
        <v>37.631039099999988</v>
      </c>
      <c r="AN21" s="29">
        <v>112</v>
      </c>
      <c r="AO21" s="29">
        <v>5.7840179000000003</v>
      </c>
    </row>
    <row r="22" spans="1:59" ht="13.9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24"/>
      <c r="N22" s="24"/>
      <c r="O22" s="24"/>
      <c r="P22" s="24"/>
      <c r="Q22" s="24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24"/>
      <c r="AD22" s="24"/>
      <c r="AF22" s="24"/>
      <c r="AG22" s="24"/>
      <c r="AI22" s="33"/>
      <c r="AM22" s="29"/>
      <c r="AN22" s="29"/>
      <c r="AO22" s="29"/>
    </row>
    <row r="23" spans="1:59" s="6" customFormat="1" ht="17.25" customHeight="1">
      <c r="R23" s="75"/>
      <c r="S23" s="75"/>
      <c r="T23" s="75"/>
      <c r="U23" s="75"/>
      <c r="V23" s="75"/>
      <c r="W23" s="62"/>
      <c r="X23" s="62"/>
      <c r="Y23" s="62"/>
      <c r="Z23" s="62"/>
      <c r="AA23" s="67"/>
      <c r="AB23" s="67"/>
      <c r="AC23" s="24"/>
      <c r="AD23" s="24"/>
      <c r="AE23" s="19"/>
      <c r="AF23" s="19"/>
      <c r="AG23" s="19"/>
      <c r="AH23" s="6">
        <v>1997</v>
      </c>
      <c r="AI23" s="34">
        <v>1.8975332068311332</v>
      </c>
      <c r="AL23" s="6">
        <v>2004</v>
      </c>
      <c r="AM23" s="10">
        <v>29.85334042600001</v>
      </c>
      <c r="AN23" s="10">
        <v>122.2</v>
      </c>
      <c r="AO23" s="10">
        <v>6.6</v>
      </c>
    </row>
    <row r="24" spans="1:59" s="37" customFormat="1">
      <c r="A24" s="7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76"/>
      <c r="S24" s="76"/>
      <c r="T24" s="76"/>
      <c r="U24" s="76"/>
      <c r="V24" s="75"/>
      <c r="W24" s="75"/>
      <c r="X24" s="75"/>
      <c r="Y24" s="75"/>
      <c r="Z24" s="75"/>
      <c r="AA24" s="67"/>
      <c r="AB24" s="67"/>
      <c r="AC24" s="24"/>
      <c r="AD24" s="24"/>
      <c r="AE24" s="6"/>
      <c r="AF24" s="6"/>
      <c r="AG24" s="6"/>
      <c r="AH24" s="9">
        <v>1998</v>
      </c>
      <c r="AI24" s="36">
        <v>10.055865921787706</v>
      </c>
      <c r="AL24" s="9">
        <v>2005</v>
      </c>
      <c r="AM24" s="36">
        <v>50.079978778137999</v>
      </c>
      <c r="AN24" s="36">
        <v>129.6</v>
      </c>
      <c r="AO24" s="36">
        <v>6.3</v>
      </c>
    </row>
    <row r="25" spans="1:59">
      <c r="A25" s="11"/>
      <c r="B25" s="5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5"/>
      <c r="N25" s="5"/>
      <c r="O25" s="5"/>
      <c r="P25" s="5"/>
      <c r="Q25" s="5"/>
      <c r="R25" s="77"/>
      <c r="S25" s="77"/>
      <c r="T25" s="77"/>
      <c r="U25" s="77"/>
      <c r="AA25" s="67"/>
      <c r="AB25" s="67"/>
      <c r="AC25" s="24"/>
      <c r="AD25" s="24"/>
      <c r="AH25" s="9">
        <v>1999</v>
      </c>
      <c r="AI25" s="33">
        <v>4.9915397631133596</v>
      </c>
      <c r="AL25" s="9">
        <v>2006</v>
      </c>
      <c r="AM25" s="29">
        <v>148.44467879000001</v>
      </c>
      <c r="AN25" s="29">
        <v>33.123882012674976</v>
      </c>
      <c r="AO25" s="29">
        <v>2.5896615199999995</v>
      </c>
    </row>
    <row r="26" spans="1:59">
      <c r="C26" s="8"/>
      <c r="D26" s="8"/>
      <c r="E26" s="8"/>
      <c r="F26" s="8"/>
      <c r="G26" s="8"/>
      <c r="H26" s="8"/>
      <c r="I26" s="8"/>
      <c r="J26" s="8"/>
      <c r="K26" s="8"/>
      <c r="L26" s="8"/>
      <c r="S26" s="78"/>
      <c r="T26" s="78"/>
      <c r="U26" s="78"/>
      <c r="AA26" s="67"/>
      <c r="AB26" s="67"/>
      <c r="AC26" s="24"/>
      <c r="AD26" s="24"/>
      <c r="AH26" s="9">
        <v>2000</v>
      </c>
      <c r="AI26" s="33">
        <v>-4.190169218372283</v>
      </c>
      <c r="AL26" s="9">
        <v>2007</v>
      </c>
      <c r="AM26" s="29">
        <v>97.577284269999993</v>
      </c>
      <c r="AN26" s="29">
        <v>43.427311462669422</v>
      </c>
      <c r="AO26" s="29">
        <v>2.5920999999999998</v>
      </c>
    </row>
    <row r="27" spans="1:59">
      <c r="C27" s="8"/>
      <c r="D27" s="8"/>
      <c r="E27" s="8"/>
      <c r="F27" s="8"/>
      <c r="G27" s="8"/>
      <c r="H27" s="8"/>
      <c r="I27" s="8"/>
      <c r="J27" s="8"/>
      <c r="K27" s="8"/>
      <c r="L27" s="8"/>
      <c r="AA27" s="67"/>
      <c r="AB27" s="67"/>
      <c r="AC27" s="24"/>
      <c r="AD27" s="24"/>
      <c r="AH27" s="9">
        <v>2001</v>
      </c>
      <c r="AI27" s="33">
        <v>6.9668753574432376</v>
      </c>
    </row>
    <row r="28" spans="1:59">
      <c r="C28" s="8"/>
      <c r="D28" s="8"/>
      <c r="E28" s="8"/>
      <c r="F28" s="8"/>
      <c r="G28" s="8"/>
      <c r="H28" s="8"/>
      <c r="I28" s="8"/>
      <c r="J28" s="8"/>
      <c r="K28" s="8"/>
      <c r="L28" s="8"/>
      <c r="AA28" s="67"/>
      <c r="AB28" s="67"/>
      <c r="AC28" s="24"/>
      <c r="AD28" s="24"/>
      <c r="AH28" s="9">
        <v>2002</v>
      </c>
      <c r="AI28" s="33">
        <v>28.466648284005192</v>
      </c>
    </row>
    <row r="29" spans="1:59">
      <c r="W29" s="79"/>
      <c r="AA29" s="67"/>
      <c r="AB29" s="67"/>
      <c r="AC29" s="24"/>
      <c r="AD29" s="24"/>
      <c r="AH29" s="9">
        <v>2003</v>
      </c>
      <c r="AI29" s="33">
        <v>-4.8800679224679691</v>
      </c>
    </row>
    <row r="30" spans="1:59">
      <c r="W30" s="79"/>
      <c r="AA30" s="67"/>
      <c r="AB30" s="67"/>
      <c r="AC30" s="24"/>
      <c r="AD30" s="24"/>
      <c r="AH30" s="9">
        <v>2004</v>
      </c>
      <c r="AI30" s="33">
        <v>2.0493149646968578</v>
      </c>
    </row>
    <row r="31" spans="1:59">
      <c r="W31" s="79"/>
      <c r="AA31" s="67"/>
      <c r="AB31" s="67"/>
      <c r="AC31" s="24"/>
      <c r="AD31" s="24"/>
      <c r="AH31" s="9">
        <v>2005</v>
      </c>
      <c r="AI31" s="33">
        <v>17.27586156184049</v>
      </c>
      <c r="AM31" s="9">
        <v>1990</v>
      </c>
      <c r="AN31" s="9">
        <v>1995</v>
      </c>
      <c r="AO31" s="9">
        <v>1996</v>
      </c>
      <c r="AP31" s="9">
        <v>1997</v>
      </c>
      <c r="AQ31" s="9">
        <v>1998</v>
      </c>
      <c r="AR31" s="9">
        <v>1999</v>
      </c>
      <c r="AS31" s="9">
        <v>2000</v>
      </c>
      <c r="AT31" s="9">
        <v>2001</v>
      </c>
      <c r="AU31" s="9">
        <v>2002</v>
      </c>
      <c r="AV31" s="9">
        <v>2003</v>
      </c>
      <c r="AW31" s="9">
        <v>2004</v>
      </c>
      <c r="AX31" s="9">
        <v>2005</v>
      </c>
      <c r="AY31" s="9">
        <v>2006</v>
      </c>
      <c r="AZ31" s="9">
        <v>2007</v>
      </c>
      <c r="BA31" s="9">
        <v>2008</v>
      </c>
      <c r="BB31" s="9">
        <v>2009</v>
      </c>
      <c r="BC31" s="9">
        <v>2010</v>
      </c>
      <c r="BD31" s="9">
        <v>2011</v>
      </c>
      <c r="BE31" s="9">
        <v>2012</v>
      </c>
      <c r="BF31" s="9">
        <v>2013</v>
      </c>
      <c r="BG31" s="9">
        <v>2014</v>
      </c>
    </row>
    <row r="32" spans="1:59">
      <c r="W32" s="80"/>
      <c r="AA32" s="67"/>
      <c r="AB32" s="67"/>
      <c r="AC32" s="24"/>
      <c r="AD32" s="24"/>
      <c r="AH32" s="9">
        <v>2006</v>
      </c>
      <c r="AI32" s="33">
        <v>-1</v>
      </c>
      <c r="AL32" s="9" t="s">
        <v>5</v>
      </c>
      <c r="AM32" s="29">
        <v>7.3</v>
      </c>
      <c r="AN32" s="29">
        <v>0.57692307692305766</v>
      </c>
      <c r="AO32" s="29">
        <v>0.76481835564053269</v>
      </c>
      <c r="AP32" s="29">
        <v>1.8975332068311332</v>
      </c>
      <c r="AQ32" s="29">
        <v>10.055865921787706</v>
      </c>
      <c r="AR32" s="29">
        <v>4.9915397631133596</v>
      </c>
      <c r="AS32" s="29">
        <v>-4.190169218372283</v>
      </c>
      <c r="AT32" s="29">
        <v>6.9668753574432376</v>
      </c>
      <c r="AU32" s="29">
        <v>28.466648284005192</v>
      </c>
      <c r="AV32" s="29">
        <v>-4.8800679224679691</v>
      </c>
      <c r="AW32" s="29">
        <v>2.0493149646968578</v>
      </c>
      <c r="AX32" s="29">
        <v>17.27586156184049</v>
      </c>
      <c r="AY32" s="29">
        <v>-1</v>
      </c>
      <c r="AZ32" s="29">
        <v>-21.715526601520089</v>
      </c>
      <c r="BA32" s="29">
        <v>-8.0443828016643515</v>
      </c>
      <c r="BB32" s="29">
        <v>-11.9</v>
      </c>
      <c r="BC32" s="29">
        <v>4.7129391602399311</v>
      </c>
      <c r="BD32" s="29">
        <v>-1.145662847790512</v>
      </c>
      <c r="BE32" s="29">
        <v>-0.66225165562913668</v>
      </c>
      <c r="BF32" s="29">
        <v>8.1666666666666767</v>
      </c>
      <c r="BG32" s="29">
        <v>-0.9</v>
      </c>
    </row>
    <row r="33" spans="22:35">
      <c r="W33" s="80"/>
      <c r="AH33" s="9">
        <v>2007</v>
      </c>
      <c r="AI33" s="33">
        <v>-22.7</v>
      </c>
    </row>
    <row r="34" spans="22:35">
      <c r="W34" s="79"/>
      <c r="AH34" s="9">
        <v>2008</v>
      </c>
      <c r="AI34" s="33">
        <v>-7.7</v>
      </c>
    </row>
    <row r="35" spans="22:35">
      <c r="V35" s="74"/>
      <c r="W35" s="74"/>
      <c r="X35" s="74"/>
      <c r="Y35" s="74"/>
    </row>
    <row r="54" spans="1:33">
      <c r="A54" s="39"/>
      <c r="B54" s="40"/>
      <c r="C54" s="40"/>
      <c r="D54" s="40"/>
      <c r="E54" s="40"/>
      <c r="F54" s="40"/>
      <c r="G54" s="40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41"/>
      <c r="AD54" s="41"/>
      <c r="AE54" s="41"/>
      <c r="AF54" s="41"/>
      <c r="AG54" s="41"/>
    </row>
    <row r="55" spans="1:33">
      <c r="A55" s="42"/>
      <c r="B55" s="43"/>
      <c r="C55" s="43"/>
      <c r="D55" s="43"/>
      <c r="E55" s="43"/>
      <c r="F55" s="43"/>
      <c r="G55" s="43"/>
      <c r="H55" s="44"/>
      <c r="I55" s="44"/>
      <c r="J55" s="44"/>
      <c r="K55" s="44"/>
      <c r="L55" s="44"/>
      <c r="M55" s="44"/>
      <c r="N55" s="44"/>
      <c r="O55" s="44"/>
      <c r="P55" s="44"/>
      <c r="Q55" s="45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45"/>
      <c r="AD55" s="45"/>
      <c r="AE55" s="45"/>
      <c r="AF55" s="45"/>
      <c r="AG55" s="45"/>
    </row>
  </sheetData>
  <mergeCells count="1">
    <mergeCell ref="A1:AB1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fish agri</vt:lpstr>
      <vt:lpstr>'fish agri'!Print_Area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2021-12-13T21:38:58Z</cp:lastPrinted>
  <dcterms:created xsi:type="dcterms:W3CDTF">2019-05-14T08:05:18Z</dcterms:created>
  <dcterms:modified xsi:type="dcterms:W3CDTF">2021-12-13T21:51:19Z</dcterms:modified>
</cp:coreProperties>
</file>