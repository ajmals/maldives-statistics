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FINAL TABLES\web\New folder\"/>
    </mc:Choice>
  </mc:AlternateContent>
  <bookViews>
    <workbookView xWindow="-105" yWindow="-105" windowWidth="19425" windowHeight="10425" tabRatio="838"/>
  </bookViews>
  <sheets>
    <sheet name="Employment" sheetId="3" r:id="rId1"/>
  </sheets>
  <externalReferences>
    <externalReference r:id="rId2"/>
    <externalReference r:id="rId3"/>
  </externalReferences>
  <definedNames>
    <definedName name="_xlnm.Print_Area" localSheetId="0">Employment!$A$1:$O$40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3" l="1"/>
  <c r="M5" i="3"/>
  <c r="N8" i="3" s="1"/>
  <c r="K5" i="3"/>
  <c r="J5" i="3"/>
  <c r="I5" i="3"/>
  <c r="H5" i="3"/>
  <c r="G5" i="3"/>
  <c r="F5" i="3"/>
  <c r="E5" i="3"/>
  <c r="D5" i="3"/>
  <c r="G8" i="3" l="1"/>
  <c r="E8" i="3"/>
  <c r="M8" i="3"/>
  <c r="J8" i="3"/>
  <c r="K8" i="3"/>
  <c r="L8" i="3"/>
  <c r="F8" i="3"/>
  <c r="H8" i="3"/>
  <c r="I8" i="3"/>
</calcChain>
</file>

<file path=xl/sharedStrings.xml><?xml version="1.0" encoding="utf-8"?>
<sst xmlns="http://schemas.openxmlformats.org/spreadsheetml/2006/main" count="31" uniqueCount="20">
  <si>
    <t>na</t>
  </si>
  <si>
    <t>Male</t>
  </si>
  <si>
    <t>Female</t>
  </si>
  <si>
    <t>EMPLOYMENT</t>
  </si>
  <si>
    <t>Both Sexes</t>
  </si>
  <si>
    <t>Percent change over previous year</t>
  </si>
  <si>
    <t>Employment (Resident Maldivian population)</t>
  </si>
  <si>
    <t>Census 2014</t>
  </si>
  <si>
    <t>15+ Population</t>
  </si>
  <si>
    <t>Employed Population</t>
  </si>
  <si>
    <t>Unemployed Population (ILO defintion)/Seeking and available</t>
  </si>
  <si>
    <t>Unemployment Rate (ILO definition) (%)</t>
  </si>
  <si>
    <r>
      <rPr>
        <sz val="10"/>
        <rFont val="Calibri"/>
        <family val="2"/>
        <scheme val="minor"/>
      </rPr>
      <t xml:space="preserve">1_/ </t>
    </r>
    <r>
      <rPr>
        <i/>
        <sz val="10"/>
        <rFont val="Calibri"/>
        <family val="2"/>
        <scheme val="minor"/>
      </rPr>
      <t>With the formation of civil service in 2008, government employees figures includes civil servants only</t>
    </r>
  </si>
  <si>
    <r>
      <rPr>
        <sz val="10"/>
        <rFont val="Calibri"/>
        <family val="2"/>
        <scheme val="minor"/>
      </rPr>
      <t xml:space="preserve">2_/ </t>
    </r>
    <r>
      <rPr>
        <i/>
        <sz val="10"/>
        <rFont val="Calibri"/>
        <family val="2"/>
        <scheme val="minor"/>
      </rPr>
      <t xml:space="preserve">Due to change in the border control system used to generate the immigration data with new system established in November 2012, there is a discontinuity in consistent records. </t>
    </r>
  </si>
  <si>
    <r>
      <rPr>
        <sz val="10"/>
        <rFont val="Calibri"/>
        <family val="2"/>
        <scheme val="minor"/>
      </rPr>
      <t xml:space="preserve">3_/ </t>
    </r>
    <r>
      <rPr>
        <i/>
        <sz val="10"/>
        <rFont val="Calibri"/>
        <family val="2"/>
        <scheme val="minor"/>
      </rPr>
      <t>Employment Approval (EA) is a written statement by immigration, giving permission for foreigners to work in Maldives. Resident permit/work visa is issued based on this EA for those who apply for work visa.</t>
    </r>
  </si>
  <si>
    <t>HIES 2019</t>
  </si>
  <si>
    <t>1/ HIES coverage is limited to households in administrative islands only. (excludes: tourist resorts, industrial islands, collective living quarters)</t>
  </si>
  <si>
    <r>
      <t xml:space="preserve">Government Employees </t>
    </r>
    <r>
      <rPr>
        <b/>
        <vertAlign val="superscript"/>
        <sz val="12"/>
        <rFont val="Calibri"/>
        <family val="2"/>
        <scheme val="minor"/>
      </rPr>
      <t>1_/</t>
    </r>
  </si>
  <si>
    <r>
      <t>Expatriate Employment</t>
    </r>
    <r>
      <rPr>
        <vertAlign val="superscript"/>
        <sz val="12"/>
        <rFont val="Calibri"/>
        <family val="2"/>
        <scheme val="minor"/>
      </rPr>
      <t xml:space="preserve">2_/ </t>
    </r>
  </si>
  <si>
    <r>
      <t>Employment Approvals Issued</t>
    </r>
    <r>
      <rPr>
        <sz val="12"/>
        <rFont val="Calibri"/>
        <family val="2"/>
        <scheme val="minor"/>
      </rPr>
      <t xml:space="preserve"> </t>
    </r>
    <r>
      <rPr>
        <vertAlign val="superscript"/>
        <sz val="12"/>
        <rFont val="Calibri"/>
        <family val="2"/>
        <scheme val="minor"/>
      </rPr>
      <t>3_/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</si>
</sst>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\ _ރ_._-;_-* #,##0.00\ _ރ_.\-;_-* &quot;-&quot;??\ _ރ_._-;_-@_-"/>
    <numFmt numFmtId="164" formatCode="_(* #,##0.00_);_(* \(#,##0.00\);_(* &quot;-&quot;??_);_(@_)"/>
    <numFmt numFmtId="165" formatCode="0.0"/>
    <numFmt numFmtId="166" formatCode="_(* #,##0_);_(* \(#,##0\);_(* &quot;-&quot;??_);_(@_)"/>
    <numFmt numFmtId="168" formatCode="#,##0.0"/>
    <numFmt numFmtId="169" formatCode="General_)"/>
    <numFmt numFmtId="171" formatCode="0.00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ourier"/>
      <family val="3"/>
    </font>
    <font>
      <i/>
      <sz val="10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vertAlign val="superscript"/>
      <sz val="12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rial"/>
      <family val="2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vertAlign val="superscript"/>
      <sz val="12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b/>
      <sz val="22"/>
      <color theme="0"/>
      <name val="Candara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249390"/>
        <bgColor indexed="64"/>
      </patternFill>
    </fill>
    <fill>
      <patternFill patternType="solid">
        <fgColor rgb="FFC8F4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79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9" fontId="6" fillId="0" borderId="0"/>
    <xf numFmtId="43" fontId="12" fillId="0" borderId="0" applyFont="0" applyFill="0" applyBorder="0" applyAlignment="0" applyProtection="0"/>
    <xf numFmtId="0" fontId="12" fillId="0" borderId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6" borderId="0" applyNumberFormat="0" applyBorder="0" applyAlignment="0" applyProtection="0"/>
    <xf numFmtId="0" fontId="15" fillId="9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20" borderId="0" applyNumberFormat="0" applyBorder="0" applyAlignment="0" applyProtection="0"/>
    <xf numFmtId="0" fontId="17" fillId="4" borderId="0" applyNumberFormat="0" applyBorder="0" applyAlignment="0" applyProtection="0"/>
    <xf numFmtId="0" fontId="18" fillId="21" borderId="2" applyNumberFormat="0" applyAlignment="0" applyProtection="0"/>
    <xf numFmtId="0" fontId="19" fillId="22" borderId="3" applyNumberFormat="0" applyAlignment="0" applyProtection="0"/>
    <xf numFmtId="40" fontId="1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5" borderId="0" applyNumberFormat="0" applyBorder="0" applyAlignment="0" applyProtection="0"/>
    <xf numFmtId="0" fontId="22" fillId="0" borderId="4" applyNumberFormat="0" applyFill="0" applyAlignment="0" applyProtection="0"/>
    <xf numFmtId="0" fontId="23" fillId="0" borderId="5" applyNumberFormat="0" applyFill="0" applyAlignment="0" applyProtection="0"/>
    <xf numFmtId="0" fontId="24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8" borderId="2" applyNumberFormat="0" applyAlignment="0" applyProtection="0"/>
    <xf numFmtId="0" fontId="26" fillId="0" borderId="7" applyNumberFormat="0" applyFill="0" applyAlignment="0" applyProtection="0"/>
    <xf numFmtId="0" fontId="27" fillId="23" borderId="0" applyNumberFormat="0" applyBorder="0" applyAlignment="0" applyProtection="0"/>
    <xf numFmtId="171" fontId="14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169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5" fillId="24" borderId="8" applyNumberFormat="0" applyFont="0" applyAlignment="0" applyProtection="0"/>
    <xf numFmtId="0" fontId="28" fillId="21" borderId="9" applyNumberFormat="0" applyAlignment="0" applyProtection="0"/>
    <xf numFmtId="9" fontId="13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11" fillId="0" borderId="10" applyNumberFormat="0" applyFill="0" applyAlignment="0" applyProtection="0"/>
    <xf numFmtId="0" fontId="30" fillId="0" borderId="0" applyNumberFormat="0" applyFill="0" applyBorder="0" applyAlignment="0" applyProtection="0"/>
    <xf numFmtId="169" fontId="6" fillId="0" borderId="0"/>
    <xf numFmtId="169" fontId="6" fillId="0" borderId="0"/>
    <xf numFmtId="0" fontId="1" fillId="0" borderId="0"/>
    <xf numFmtId="0" fontId="6" fillId="0" borderId="0"/>
    <xf numFmtId="165" fontId="6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2" fillId="0" borderId="0"/>
    <xf numFmtId="0" fontId="1" fillId="0" borderId="0"/>
  </cellStyleXfs>
  <cellXfs count="56">
    <xf numFmtId="0" fontId="0" fillId="0" borderId="0" xfId="0"/>
    <xf numFmtId="0" fontId="3" fillId="2" borderId="0" xfId="0" applyFont="1" applyFill="1"/>
    <xf numFmtId="0" fontId="0" fillId="2" borderId="0" xfId="0" applyFill="1"/>
    <xf numFmtId="0" fontId="0" fillId="2" borderId="0" xfId="0" applyFill="1" applyBorder="1"/>
    <xf numFmtId="0" fontId="0" fillId="0" borderId="0" xfId="0" applyFill="1"/>
    <xf numFmtId="3" fontId="0" fillId="2" borderId="0" xfId="0" applyNumberFormat="1" applyFill="1"/>
    <xf numFmtId="0" fontId="7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4" applyFont="1" applyFill="1"/>
    <xf numFmtId="0" fontId="8" fillId="2" borderId="0" xfId="4" applyFont="1" applyFill="1"/>
    <xf numFmtId="0" fontId="8" fillId="2" borderId="0" xfId="2" applyFont="1" applyFill="1"/>
    <xf numFmtId="0" fontId="0" fillId="2" borderId="0" xfId="2" applyFont="1" applyFill="1"/>
    <xf numFmtId="0" fontId="0" fillId="0" borderId="0" xfId="2" applyFont="1" applyFill="1"/>
    <xf numFmtId="0" fontId="0" fillId="2" borderId="0" xfId="4" applyFont="1" applyFill="1"/>
    <xf numFmtId="2" fontId="0" fillId="2" borderId="0" xfId="2" applyNumberFormat="1" applyFont="1" applyFill="1"/>
    <xf numFmtId="0" fontId="0" fillId="2" borderId="0" xfId="0" applyFill="1"/>
    <xf numFmtId="0" fontId="31" fillId="2" borderId="0" xfId="0" applyFont="1" applyFill="1" applyAlignment="1">
      <alignment horizontal="left" vertical="center"/>
    </xf>
    <xf numFmtId="0" fontId="9" fillId="2" borderId="0" xfId="0" applyFont="1" applyFill="1" applyBorder="1" applyAlignment="1">
      <alignment horizontal="left"/>
    </xf>
    <xf numFmtId="0" fontId="0" fillId="2" borderId="0" xfId="0" applyFont="1" applyFill="1" applyBorder="1" applyAlignment="1"/>
    <xf numFmtId="165" fontId="0" fillId="2" borderId="0" xfId="0" applyNumberFormat="1" applyFont="1" applyFill="1" applyBorder="1" applyAlignment="1"/>
    <xf numFmtId="0" fontId="5" fillId="2" borderId="0" xfId="0" applyFont="1" applyFill="1" applyBorder="1" applyAlignment="1">
      <alignment horizontal="left" vertical="center" indent="1"/>
    </xf>
    <xf numFmtId="0" fontId="9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/>
    <xf numFmtId="0" fontId="35" fillId="2" borderId="0" xfId="0" applyFont="1" applyFill="1"/>
    <xf numFmtId="0" fontId="35" fillId="0" borderId="0" xfId="0" applyFont="1" applyFill="1"/>
    <xf numFmtId="0" fontId="32" fillId="26" borderId="0" xfId="4" applyFont="1" applyFill="1" applyAlignment="1">
      <alignment horizontal="left" vertical="center" indent="1"/>
    </xf>
    <xf numFmtId="1" fontId="34" fillId="26" borderId="0" xfId="2" applyNumberFormat="1" applyFont="1" applyFill="1" applyAlignment="1">
      <alignment horizontal="right" vertical="center"/>
    </xf>
    <xf numFmtId="0" fontId="32" fillId="2" borderId="0" xfId="4" applyFont="1" applyFill="1" applyAlignment="1">
      <alignment horizontal="left" vertical="center" indent="1"/>
    </xf>
    <xf numFmtId="0" fontId="31" fillId="2" borderId="0" xfId="4" applyFont="1" applyFill="1" applyAlignment="1">
      <alignment horizontal="left" vertical="center" indent="1"/>
    </xf>
    <xf numFmtId="0" fontId="33" fillId="2" borderId="0" xfId="0" applyFont="1" applyFill="1"/>
    <xf numFmtId="0" fontId="31" fillId="26" borderId="0" xfId="4" applyFont="1" applyFill="1" applyAlignment="1">
      <alignment horizontal="left" vertical="center" indent="1"/>
    </xf>
    <xf numFmtId="3" fontId="38" fillId="26" borderId="0" xfId="2" applyNumberFormat="1" applyFont="1" applyFill="1" applyAlignment="1">
      <alignment horizontal="right" vertical="center"/>
    </xf>
    <xf numFmtId="3" fontId="38" fillId="2" borderId="0" xfId="2" applyNumberFormat="1" applyFont="1" applyFill="1" applyAlignment="1">
      <alignment horizontal="right" vertical="center"/>
    </xf>
    <xf numFmtId="165" fontId="38" fillId="2" borderId="0" xfId="2" applyNumberFormat="1" applyFont="1" applyFill="1" applyAlignment="1">
      <alignment horizontal="right" vertical="center"/>
    </xf>
    <xf numFmtId="0" fontId="33" fillId="2" borderId="0" xfId="2" applyFont="1" applyFill="1"/>
    <xf numFmtId="0" fontId="33" fillId="0" borderId="0" xfId="2" applyFont="1" applyFill="1"/>
    <xf numFmtId="0" fontId="32" fillId="26" borderId="0" xfId="4" applyFont="1" applyFill="1" applyAlignment="1">
      <alignment horizontal="left" indent="1"/>
    </xf>
    <xf numFmtId="3" fontId="39" fillId="26" borderId="0" xfId="2" applyNumberFormat="1" applyFont="1" applyFill="1" applyAlignment="1">
      <alignment horizontal="right" vertical="center"/>
    </xf>
    <xf numFmtId="3" fontId="39" fillId="2" borderId="0" xfId="2" applyNumberFormat="1" applyFont="1" applyFill="1" applyAlignment="1">
      <alignment horizontal="right" vertical="center"/>
    </xf>
    <xf numFmtId="0" fontId="32" fillId="26" borderId="0" xfId="4" applyFont="1" applyFill="1" applyAlignment="1">
      <alignment horizontal="center" vertical="center"/>
    </xf>
    <xf numFmtId="0" fontId="36" fillId="26" borderId="0" xfId="0" applyFont="1" applyFill="1"/>
    <xf numFmtId="0" fontId="36" fillId="2" borderId="0" xfId="0" applyFont="1" applyFill="1"/>
    <xf numFmtId="0" fontId="36" fillId="0" borderId="0" xfId="0" applyFont="1" applyFill="1"/>
    <xf numFmtId="166" fontId="31" fillId="2" borderId="0" xfId="1" applyNumberFormat="1" applyFont="1" applyFill="1" applyAlignment="1">
      <alignment horizontal="left" vertical="center"/>
    </xf>
    <xf numFmtId="166" fontId="31" fillId="26" borderId="0" xfId="1" applyNumberFormat="1" applyFont="1" applyFill="1" applyAlignment="1">
      <alignment horizontal="left" vertical="center"/>
    </xf>
    <xf numFmtId="0" fontId="33" fillId="26" borderId="0" xfId="0" applyFont="1" applyFill="1"/>
    <xf numFmtId="0" fontId="35" fillId="26" borderId="0" xfId="0" applyFont="1" applyFill="1"/>
    <xf numFmtId="168" fontId="38" fillId="26" borderId="0" xfId="2" applyNumberFormat="1" applyFont="1" applyFill="1" applyAlignment="1">
      <alignment horizontal="right" vertical="center"/>
    </xf>
    <xf numFmtId="168" fontId="31" fillId="26" borderId="0" xfId="1" applyNumberFormat="1" applyFont="1" applyFill="1" applyAlignment="1">
      <alignment horizontal="left" vertical="center"/>
    </xf>
    <xf numFmtId="168" fontId="31" fillId="26" borderId="0" xfId="4" applyNumberFormat="1" applyFont="1" applyFill="1" applyAlignment="1">
      <alignment horizontal="left" vertical="center" indent="1"/>
    </xf>
    <xf numFmtId="0" fontId="32" fillId="26" borderId="1" xfId="4" applyFont="1" applyFill="1" applyBorder="1" applyAlignment="1">
      <alignment horizontal="left" vertical="center" indent="1"/>
    </xf>
    <xf numFmtId="0" fontId="31" fillId="26" borderId="1" xfId="4" applyFont="1" applyFill="1" applyBorder="1" applyAlignment="1">
      <alignment horizontal="left" vertical="center" indent="1"/>
    </xf>
    <xf numFmtId="3" fontId="38" fillId="26" borderId="1" xfId="2" applyNumberFormat="1" applyFont="1" applyFill="1" applyBorder="1" applyAlignment="1">
      <alignment horizontal="right" vertical="center"/>
    </xf>
    <xf numFmtId="3" fontId="39" fillId="26" borderId="1" xfId="2" applyNumberFormat="1" applyFont="1" applyFill="1" applyBorder="1" applyAlignment="1">
      <alignment horizontal="right" vertical="center"/>
    </xf>
    <xf numFmtId="0" fontId="40" fillId="25" borderId="0" xfId="4" applyFont="1" applyFill="1" applyAlignment="1">
      <alignment horizontal="left" vertical="center"/>
    </xf>
    <xf numFmtId="0" fontId="0" fillId="0" borderId="0" xfId="0" applyAlignment="1">
      <alignment horizontal="left" wrapText="1"/>
    </xf>
  </cellXfs>
  <cellStyles count="79">
    <cellStyle name="1" xfId="2"/>
    <cellStyle name="1 3" xfId="4"/>
    <cellStyle name="1_Indicators2007 2" xfId="70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2" xfId="36"/>
    <cellStyle name="Check Cell 2" xfId="37"/>
    <cellStyle name="Comma" xfId="1" builtinId="3"/>
    <cellStyle name="Comma 2" xfId="9"/>
    <cellStyle name="Comma 2 2" xfId="73"/>
    <cellStyle name="Comma 3" xfId="6"/>
    <cellStyle name="Comma 3 2" xfId="38"/>
    <cellStyle name="Comma 3 3" xfId="74"/>
    <cellStyle name="Comma 4" xfId="69"/>
    <cellStyle name="Explanatory Text 2" xfId="39"/>
    <cellStyle name="Good 2" xfId="40"/>
    <cellStyle name="Heading 1 2" xfId="41"/>
    <cellStyle name="Heading 2 2" xfId="42"/>
    <cellStyle name="Heading 3 2" xfId="43"/>
    <cellStyle name="Heading 4 2" xfId="44"/>
    <cellStyle name="Input 2" xfId="45"/>
    <cellStyle name="Linked Cell 2" xfId="46"/>
    <cellStyle name="Neutral 2" xfId="47"/>
    <cellStyle name="Normal" xfId="0" builtinId="0"/>
    <cellStyle name="Normal - Style1" xfId="48"/>
    <cellStyle name="Normal 10" xfId="49"/>
    <cellStyle name="Normal 11" xfId="50"/>
    <cellStyle name="Normal 12" xfId="51"/>
    <cellStyle name="Normal 13" xfId="10"/>
    <cellStyle name="Normal 14" xfId="65"/>
    <cellStyle name="Normal 15" xfId="66"/>
    <cellStyle name="Normal 17" xfId="67"/>
    <cellStyle name="Normal 2" xfId="7"/>
    <cellStyle name="Normal 2 2" xfId="52"/>
    <cellStyle name="Normal 2 2 2" xfId="68"/>
    <cellStyle name="Normal 2 2 3" xfId="71"/>
    <cellStyle name="Normal 2 2 4" xfId="72"/>
    <cellStyle name="Normal 2 2 5" xfId="77"/>
    <cellStyle name="Normal 2 3" xfId="78"/>
    <cellStyle name="Normal 3" xfId="53"/>
    <cellStyle name="Normal 3 2" xfId="76"/>
    <cellStyle name="Normal 3 3" xfId="75"/>
    <cellStyle name="Normal 4" xfId="54"/>
    <cellStyle name="Normal 5" xfId="5"/>
    <cellStyle name="Normal 5 2" xfId="3"/>
    <cellStyle name="Normal 6" xfId="55"/>
    <cellStyle name="Normal 7" xfId="56"/>
    <cellStyle name="Normal 8" xfId="57"/>
    <cellStyle name="Normal 9" xfId="8"/>
    <cellStyle name="Normal 9 2" xfId="58"/>
    <cellStyle name="Note 2" xfId="59"/>
    <cellStyle name="Output 2" xfId="60"/>
    <cellStyle name="Percent 2" xfId="61"/>
    <cellStyle name="Title 2" xfId="62"/>
    <cellStyle name="Total 2" xfId="63"/>
    <cellStyle name="Warning Text 2" xfId="64"/>
  </cellStyles>
  <dxfs count="0"/>
  <tableStyles count="0" defaultTableStyle="TableStyleMedium2" defaultPivotStyle="PivotStyleLight16"/>
  <colors>
    <mruColors>
      <color rgb="FFC8F4F2"/>
      <color rgb="FF249390"/>
      <color rgb="FFFFBD5D"/>
      <color rgb="FF33CCCC"/>
      <color rgb="FF196563"/>
      <color rgb="FFEAFAFA"/>
      <color rgb="FFE0F9F8"/>
      <color rgb="FFDDDDDD"/>
      <color rgb="FFFF9900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799231082030243E-2"/>
          <c:y val="0.14744983635193112"/>
          <c:w val="0.87289978189346051"/>
          <c:h val="0.73807559998517513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Employment!$B$7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</c:spPr>
          <c:invertIfNegative val="0"/>
          <c:cat>
            <c:numRef>
              <c:f>Employment!$D$3:$N$3</c:f>
              <c:numCache>
                <c:formatCode>0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Employment!$D$7:$N$7</c:f>
              <c:numCache>
                <c:formatCode>#,##0</c:formatCode>
                <c:ptCount val="11"/>
                <c:pt idx="0">
                  <c:v>11381</c:v>
                </c:pt>
                <c:pt idx="1">
                  <c:v>9397</c:v>
                </c:pt>
                <c:pt idx="2">
                  <c:v>9054</c:v>
                </c:pt>
                <c:pt idx="3">
                  <c:v>12988</c:v>
                </c:pt>
                <c:pt idx="4">
                  <c:v>13336</c:v>
                </c:pt>
                <c:pt idx="5">
                  <c:v>13505</c:v>
                </c:pt>
                <c:pt idx="6">
                  <c:v>13620</c:v>
                </c:pt>
                <c:pt idx="7">
                  <c:v>13175</c:v>
                </c:pt>
                <c:pt idx="8">
                  <c:v>14525</c:v>
                </c:pt>
                <c:pt idx="9">
                  <c:v>16079</c:v>
                </c:pt>
                <c:pt idx="10">
                  <c:v>16593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E98-4D2E-A3D4-54B6EC1A19EB}"/>
            </c:ext>
          </c:extLst>
        </c:ser>
        <c:ser>
          <c:idx val="0"/>
          <c:order val="1"/>
          <c:tx>
            <c:strRef>
              <c:f>Employment!$B$6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</c:spPr>
          <c:invertIfNegative val="0"/>
          <c:cat>
            <c:numRef>
              <c:f>Employment!$D$3:$N$3</c:f>
              <c:numCache>
                <c:formatCode>0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Employment!$D$6:$N$6</c:f>
              <c:numCache>
                <c:formatCode>#,##0</c:formatCode>
                <c:ptCount val="11"/>
                <c:pt idx="0">
                  <c:v>10464</c:v>
                </c:pt>
                <c:pt idx="1">
                  <c:v>9728</c:v>
                </c:pt>
                <c:pt idx="2">
                  <c:v>8603</c:v>
                </c:pt>
                <c:pt idx="3">
                  <c:v>11219</c:v>
                </c:pt>
                <c:pt idx="4">
                  <c:v>11547</c:v>
                </c:pt>
                <c:pt idx="5">
                  <c:v>11191</c:v>
                </c:pt>
                <c:pt idx="6">
                  <c:v>10881</c:v>
                </c:pt>
                <c:pt idx="7">
                  <c:v>8907</c:v>
                </c:pt>
                <c:pt idx="8">
                  <c:v>9122</c:v>
                </c:pt>
                <c:pt idx="9">
                  <c:v>9573</c:v>
                </c:pt>
                <c:pt idx="10">
                  <c:v>10075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E98-4D2E-A3D4-54B6EC1A1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567772928"/>
        <c:axId val="567773320"/>
      </c:barChart>
      <c:catAx>
        <c:axId val="56777292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77733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67773320"/>
        <c:scaling>
          <c:orientation val="minMax"/>
          <c:max val="30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/>
                  <a:t>in numbers</a:t>
                </a:r>
              </a:p>
            </c:rich>
          </c:tx>
          <c:layout>
            <c:manualLayout>
              <c:xMode val="edge"/>
              <c:yMode val="edge"/>
              <c:x val="1.4094118516875531E-2"/>
              <c:y val="6.0626769852739251E-2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7772928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0727110341865254"/>
          <c:y val="0.19065680965177925"/>
          <c:w val="0.2749446093963791"/>
          <c:h val="6.1449287106693139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754143</xdr:colOff>
      <xdr:row>22</xdr:row>
      <xdr:rowOff>41118</xdr:rowOff>
    </xdr:from>
    <xdr:to>
      <xdr:col>11</xdr:col>
      <xdr:colOff>436563</xdr:colOff>
      <xdr:row>37</xdr:row>
      <xdr:rowOff>149623</xdr:rowOff>
    </xdr:to>
    <xdr:graphicFrame macro="">
      <xdr:nvGraphicFramePr>
        <xdr:cNvPr id="2" name="Chart 4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269558</xdr:colOff>
      <xdr:row>22</xdr:row>
      <xdr:rowOff>181054</xdr:rowOff>
    </xdr:from>
    <xdr:to>
      <xdr:col>10</xdr:col>
      <xdr:colOff>346812</xdr:colOff>
      <xdr:row>23</xdr:row>
      <xdr:rowOff>187042</xdr:rowOff>
    </xdr:to>
    <xdr:sp macro="" textlink="">
      <xdr:nvSpPr>
        <xdr:cNvPr id="4" name="Text Box 15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3434636" y="3494960"/>
          <a:ext cx="4780223" cy="194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Candara" pitchFamily="34" charset="0"/>
              <a:cs typeface="Arial"/>
            </a:rPr>
            <a:t>Number of government employees by sex, 2010 - 2020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CHECKING\FINAL%20TABLES\3.%20POPUL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Indicators%20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AR5" t="str">
            <v>Residential Maldivian 2021</v>
          </cell>
          <cell r="AT5" t="str">
            <v>Resident Foreigners 2021</v>
          </cell>
        </row>
        <row r="6">
          <cell r="AR6" t="str">
            <v>Male</v>
          </cell>
          <cell r="AS6" t="str">
            <v>Female</v>
          </cell>
          <cell r="AT6" t="str">
            <v>Male</v>
          </cell>
          <cell r="AU6" t="str">
            <v>Female</v>
          </cell>
        </row>
        <row r="7">
          <cell r="AQ7" t="str">
            <v xml:space="preserve">  0-4</v>
          </cell>
          <cell r="AR7">
            <v>-19653.598842581639</v>
          </cell>
          <cell r="AS7">
            <v>18119.598842581639</v>
          </cell>
          <cell r="AT7">
            <v>-924.62485060178403</v>
          </cell>
          <cell r="AU7">
            <v>654.98575209927196</v>
          </cell>
        </row>
        <row r="8">
          <cell r="AQ8" t="str">
            <v xml:space="preserve">  5-9</v>
          </cell>
          <cell r="AR8">
            <v>-18841.998070969399</v>
          </cell>
          <cell r="AS8">
            <v>17149.19961419388</v>
          </cell>
          <cell r="AT8">
            <v>-535.94486156285018</v>
          </cell>
          <cell r="AU8">
            <v>309.81212223682661</v>
          </cell>
        </row>
        <row r="9">
          <cell r="AQ9" t="str">
            <v xml:space="preserve"> 10-14</v>
          </cell>
          <cell r="AR9">
            <v>-18038.798456775519</v>
          </cell>
          <cell r="AS9">
            <v>16835.798456775519</v>
          </cell>
          <cell r="AT9">
            <v>-305.2043868336043</v>
          </cell>
          <cell r="AU9">
            <v>155.96692405774849</v>
          </cell>
        </row>
        <row r="10">
          <cell r="AQ10" t="str">
            <v xml:space="preserve"> 15-19</v>
          </cell>
          <cell r="AR10">
            <v>-14567.301771869137</v>
          </cell>
          <cell r="AS10">
            <v>13002.585339367435</v>
          </cell>
          <cell r="AT10">
            <v>-3100.1227821051284</v>
          </cell>
          <cell r="AU10">
            <v>268.33220420315592</v>
          </cell>
        </row>
        <row r="11">
          <cell r="AQ11" t="str">
            <v xml:space="preserve"> 20-24</v>
          </cell>
          <cell r="AR11">
            <v>-18968.469354691664</v>
          </cell>
          <cell r="AS11">
            <v>14472.938271020779</v>
          </cell>
          <cell r="AT11">
            <v>-29780.297952413581</v>
          </cell>
          <cell r="AU11">
            <v>1768.5689157368517</v>
          </cell>
        </row>
        <row r="12">
          <cell r="AQ12" t="str">
            <v xml:space="preserve"> 25-29</v>
          </cell>
          <cell r="AR12">
            <v>-18763.424062945836</v>
          </cell>
          <cell r="AS12">
            <v>16741.965277449188</v>
          </cell>
          <cell r="AT12">
            <v>-48510.091112514026</v>
          </cell>
          <cell r="AU12">
            <v>4339.558146995103</v>
          </cell>
        </row>
        <row r="13">
          <cell r="AQ13" t="str">
            <v xml:space="preserve"> 30-34</v>
          </cell>
          <cell r="AR13">
            <v>-18318.569745229473</v>
          </cell>
          <cell r="AS13">
            <v>18679.783024530716</v>
          </cell>
          <cell r="AT13">
            <v>-34027.79818339811</v>
          </cell>
          <cell r="AU13">
            <v>3471.6305780861421</v>
          </cell>
        </row>
        <row r="14">
          <cell r="AQ14" t="str">
            <v xml:space="preserve"> 35-39</v>
          </cell>
          <cell r="AR14">
            <v>-16462.283405605143</v>
          </cell>
          <cell r="AS14">
            <v>17785.792669683717</v>
          </cell>
          <cell r="AT14">
            <v>-21799.928284217396</v>
          </cell>
          <cell r="AU14">
            <v>2312.4214527738513</v>
          </cell>
        </row>
        <row r="15">
          <cell r="AQ15" t="str">
            <v xml:space="preserve"> 40-44</v>
          </cell>
          <cell r="AR15">
            <v>-12015.414579685988</v>
          </cell>
          <cell r="AS15">
            <v>12639.794598714318</v>
          </cell>
          <cell r="AT15">
            <v>-13567.541561269449</v>
          </cell>
          <cell r="AU15">
            <v>1309.8935777055044</v>
          </cell>
        </row>
        <row r="16">
          <cell r="AQ16" t="str">
            <v xml:space="preserve"> 45-49</v>
          </cell>
          <cell r="AR16">
            <v>-9913.5476827974326</v>
          </cell>
          <cell r="AS16">
            <v>10450.798456775519</v>
          </cell>
          <cell r="AT16">
            <v>-7747.5254765161826</v>
          </cell>
          <cell r="AU16">
            <v>858.60295559410304</v>
          </cell>
        </row>
        <row r="17">
          <cell r="AQ17" t="str">
            <v xml:space="preserve"> 50-54</v>
          </cell>
          <cell r="AR17">
            <v>-8630.4310169193814</v>
          </cell>
          <cell r="AS17">
            <v>9081.9961419387982</v>
          </cell>
          <cell r="AT17">
            <v>-3662.8756573793116</v>
          </cell>
          <cell r="AU17">
            <v>463.46250418330567</v>
          </cell>
        </row>
        <row r="18">
          <cell r="AQ18" t="str">
            <v xml:space="preserve"> 55-59</v>
          </cell>
          <cell r="AR18">
            <v>-7230.5178232964117</v>
          </cell>
          <cell r="AS18">
            <v>7641.5988425816395</v>
          </cell>
          <cell r="AT18">
            <v>-1443.6715329831309</v>
          </cell>
          <cell r="AU18">
            <v>261.84364295316544</v>
          </cell>
        </row>
        <row r="19">
          <cell r="AQ19" t="str">
            <v xml:space="preserve"> 60-64</v>
          </cell>
          <cell r="AR19">
            <v>-6318.5621910002274</v>
          </cell>
          <cell r="AS19">
            <v>6273.5988425816395</v>
          </cell>
          <cell r="AT19">
            <v>-540.45333359704068</v>
          </cell>
          <cell r="AU19">
            <v>114.33115303799846</v>
          </cell>
        </row>
        <row r="20">
          <cell r="AQ20" t="str">
            <v xml:space="preserve"> 65-69</v>
          </cell>
          <cell r="AR20">
            <v>-3549.3837961429545</v>
          </cell>
          <cell r="AS20">
            <v>3357</v>
          </cell>
          <cell r="AT20">
            <v>-192.69663871311454</v>
          </cell>
          <cell r="AU20">
            <v>41.570832275550352</v>
          </cell>
        </row>
        <row r="21">
          <cell r="AQ21" t="str">
            <v xml:space="preserve"> 70-74</v>
          </cell>
          <cell r="AR21">
            <v>-2179.794598714318</v>
          </cell>
          <cell r="AS21">
            <v>2222.1996141938798</v>
          </cell>
          <cell r="AT21">
            <v>-91.77459872710034</v>
          </cell>
          <cell r="AU21">
            <v>12.464106420803137</v>
          </cell>
        </row>
        <row r="22">
          <cell r="AQ22" t="str">
            <v xml:space="preserve"> 75+</v>
          </cell>
          <cell r="AR22">
            <v>-3981.9980709693991</v>
          </cell>
          <cell r="AS22">
            <v>3807.1996141938798</v>
          </cell>
          <cell r="AT22">
            <v>-85.642366765005363</v>
          </cell>
          <cell r="AU22">
            <v>6.2417940220315256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 Edu"/>
      <sheetName val="Law &amp; Ord"/>
      <sheetName val="Fisher"/>
      <sheetName val="Touri"/>
      <sheetName val="11Transp"/>
      <sheetName val="Elect"/>
      <sheetName val="Finance"/>
      <sheetName val="Money &amp; banking"/>
      <sheetName val="Foerign trade &amp; BOP"/>
      <sheetName val="Annual nationa accounts"/>
      <sheetName val="Prices "/>
      <sheetName val="Political parties &amp; Elections"/>
      <sheetName val="poverty"/>
      <sheetName val="Social Protection _F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N3">
            <v>2006</v>
          </cell>
        </row>
      </sheetData>
      <sheetData sheetId="11"/>
      <sheetData sheetId="12">
        <row r="85">
          <cell r="Q85">
            <v>0</v>
          </cell>
        </row>
        <row r="86">
          <cell r="D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Z86">
            <v>0</v>
          </cell>
        </row>
        <row r="87">
          <cell r="D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Z87">
            <v>0</v>
          </cell>
        </row>
        <row r="88">
          <cell r="D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</sheetData>
      <sheetData sheetId="13">
        <row r="4">
          <cell r="K4">
            <v>2003</v>
          </cell>
        </row>
      </sheetData>
      <sheetData sheetId="14"/>
      <sheetData sheetId="15">
        <row r="4">
          <cell r="A4" t="str">
            <v>Money given by the Government to the Political Parties (MVR)</v>
          </cell>
        </row>
      </sheetData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BD5D"/>
  </sheetPr>
  <dimension ref="A1:BP630"/>
  <sheetViews>
    <sheetView tabSelected="1" zoomScale="112" zoomScaleNormal="112" zoomScaleSheetLayoutView="96" workbookViewId="0">
      <selection activeCell="C37" sqref="C37"/>
    </sheetView>
  </sheetViews>
  <sheetFormatPr defaultColWidth="9.140625" defaultRowHeight="15" x14ac:dyDescent="0.25"/>
  <cols>
    <col min="1" max="1" width="12.140625" customWidth="1"/>
    <col min="2" max="2" width="8.7109375"/>
    <col min="3" max="3" width="14.7109375" customWidth="1"/>
    <col min="4" max="9" width="11.7109375" style="4" customWidth="1"/>
    <col min="10" max="14" width="11.7109375" style="2" customWidth="1"/>
    <col min="15" max="15" width="2.42578125" style="2" customWidth="1"/>
    <col min="16" max="17" width="9.140625" style="2"/>
    <col min="18" max="68" width="9.140625" style="15"/>
    <col min="69" max="16384" width="9.140625" style="4"/>
  </cols>
  <sheetData>
    <row r="1" spans="1:68" ht="30.75" customHeight="1" x14ac:dyDescent="0.25">
      <c r="A1" s="54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68" s="24" customFormat="1" ht="15.75" customHeight="1" x14ac:dyDescent="0.25">
      <c r="A2" s="16"/>
      <c r="B2" s="16"/>
      <c r="C2" s="16"/>
      <c r="D2" s="16"/>
      <c r="E2" s="16"/>
      <c r="F2" s="16"/>
      <c r="G2" s="16"/>
      <c r="H2" s="16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</row>
    <row r="3" spans="1:68" s="24" customFormat="1" ht="15.75" customHeight="1" x14ac:dyDescent="0.25">
      <c r="A3" s="25"/>
      <c r="B3" s="25"/>
      <c r="C3" s="25"/>
      <c r="D3" s="26">
        <v>2010</v>
      </c>
      <c r="E3" s="26">
        <v>2011</v>
      </c>
      <c r="F3" s="26">
        <v>2012</v>
      </c>
      <c r="G3" s="26">
        <v>2013</v>
      </c>
      <c r="H3" s="26">
        <v>2014</v>
      </c>
      <c r="I3" s="26">
        <v>2015</v>
      </c>
      <c r="J3" s="26">
        <v>2016</v>
      </c>
      <c r="K3" s="26">
        <v>2017</v>
      </c>
      <c r="L3" s="26">
        <v>2018</v>
      </c>
      <c r="M3" s="26">
        <v>2019</v>
      </c>
      <c r="N3" s="26">
        <v>2020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</row>
    <row r="4" spans="1:68" s="24" customFormat="1" ht="15.75" customHeight="1" x14ac:dyDescent="0.25">
      <c r="A4" s="27" t="s">
        <v>17</v>
      </c>
      <c r="B4" s="28"/>
      <c r="C4" s="28"/>
      <c r="D4" s="28"/>
      <c r="E4" s="28"/>
      <c r="F4" s="28"/>
      <c r="G4" s="28"/>
      <c r="H4" s="28"/>
      <c r="I4" s="29"/>
      <c r="J4" s="29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</row>
    <row r="5" spans="1:68" s="24" customFormat="1" ht="15.75" customHeight="1" x14ac:dyDescent="0.25">
      <c r="A5" s="30"/>
      <c r="B5" s="30" t="s">
        <v>4</v>
      </c>
      <c r="C5" s="30"/>
      <c r="D5" s="31">
        <f t="shared" ref="D5:L5" si="0">SUM(D6:D7)</f>
        <v>21845</v>
      </c>
      <c r="E5" s="31">
        <f t="shared" si="0"/>
        <v>19125</v>
      </c>
      <c r="F5" s="31">
        <f t="shared" si="0"/>
        <v>17657</v>
      </c>
      <c r="G5" s="31">
        <f t="shared" si="0"/>
        <v>24207</v>
      </c>
      <c r="H5" s="31">
        <f t="shared" si="0"/>
        <v>24883</v>
      </c>
      <c r="I5" s="31">
        <f t="shared" si="0"/>
        <v>24696</v>
      </c>
      <c r="J5" s="31">
        <f t="shared" si="0"/>
        <v>24501</v>
      </c>
      <c r="K5" s="31">
        <f t="shared" si="0"/>
        <v>22082</v>
      </c>
      <c r="L5" s="31">
        <f t="shared" si="0"/>
        <v>23647</v>
      </c>
      <c r="M5" s="31">
        <f>SUM(M6:M7)</f>
        <v>25652</v>
      </c>
      <c r="N5" s="31">
        <v>26668</v>
      </c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</row>
    <row r="6" spans="1:68" s="24" customFormat="1" ht="15.75" customHeight="1" x14ac:dyDescent="0.25">
      <c r="A6" s="28"/>
      <c r="B6" s="28" t="s">
        <v>1</v>
      </c>
      <c r="C6" s="28"/>
      <c r="D6" s="32">
        <v>10464</v>
      </c>
      <c r="E6" s="32">
        <v>9728</v>
      </c>
      <c r="F6" s="32">
        <v>8603</v>
      </c>
      <c r="G6" s="32">
        <v>11219</v>
      </c>
      <c r="H6" s="32">
        <v>11547</v>
      </c>
      <c r="I6" s="32">
        <v>11191</v>
      </c>
      <c r="J6" s="32">
        <v>10881</v>
      </c>
      <c r="K6" s="32">
        <v>8907</v>
      </c>
      <c r="L6" s="32">
        <v>9122</v>
      </c>
      <c r="M6" s="32">
        <v>9573</v>
      </c>
      <c r="N6" s="32">
        <v>10075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</row>
    <row r="7" spans="1:68" s="24" customFormat="1" ht="15.75" customHeight="1" x14ac:dyDescent="0.25">
      <c r="A7" s="25"/>
      <c r="B7" s="30" t="s">
        <v>2</v>
      </c>
      <c r="C7" s="30"/>
      <c r="D7" s="31">
        <v>11381</v>
      </c>
      <c r="E7" s="31">
        <v>9397</v>
      </c>
      <c r="F7" s="31">
        <v>9054</v>
      </c>
      <c r="G7" s="31">
        <v>12988</v>
      </c>
      <c r="H7" s="31">
        <v>13336</v>
      </c>
      <c r="I7" s="31">
        <v>13505</v>
      </c>
      <c r="J7" s="31">
        <v>13620</v>
      </c>
      <c r="K7" s="31">
        <v>13175</v>
      </c>
      <c r="L7" s="31">
        <v>14525</v>
      </c>
      <c r="M7" s="31">
        <v>16079</v>
      </c>
      <c r="N7" s="31">
        <v>16593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</row>
    <row r="8" spans="1:68" s="35" customFormat="1" ht="15.75" customHeight="1" x14ac:dyDescent="0.25">
      <c r="A8" s="28" t="s">
        <v>5</v>
      </c>
      <c r="B8" s="28"/>
      <c r="C8" s="28"/>
      <c r="D8" s="33">
        <v>-9.3003944363711852</v>
      </c>
      <c r="E8" s="33">
        <f t="shared" ref="E8:K8" si="1">(E5-D5)/D5*100</f>
        <v>-12.45136186770428</v>
      </c>
      <c r="F8" s="33">
        <f t="shared" si="1"/>
        <v>-7.6758169934640517</v>
      </c>
      <c r="G8" s="33">
        <f t="shared" si="1"/>
        <v>37.095769383247443</v>
      </c>
      <c r="H8" s="33">
        <f t="shared" si="1"/>
        <v>2.7925806584872146</v>
      </c>
      <c r="I8" s="33">
        <f t="shared" si="1"/>
        <v>-0.75151710002813166</v>
      </c>
      <c r="J8" s="33">
        <f t="shared" si="1"/>
        <v>-0.78960155490767725</v>
      </c>
      <c r="K8" s="33">
        <f t="shared" si="1"/>
        <v>-9.873066405452839</v>
      </c>
      <c r="L8" s="33">
        <f>(L5-K5)/K5*100</f>
        <v>7.0872203604745945</v>
      </c>
      <c r="M8" s="33">
        <f>(M5-L5)/L5*100</f>
        <v>8.4788768131264014</v>
      </c>
      <c r="N8" s="33">
        <f>(N5-M5)/M5*100</f>
        <v>3.9607048183377511</v>
      </c>
      <c r="O8" s="23"/>
      <c r="P8" s="23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</row>
    <row r="9" spans="1:68" s="24" customFormat="1" ht="15.75" customHeight="1" x14ac:dyDescent="0.25">
      <c r="A9" s="36" t="s">
        <v>18</v>
      </c>
      <c r="B9" s="25"/>
      <c r="C9" s="25"/>
      <c r="D9" s="31">
        <v>73840</v>
      </c>
      <c r="E9" s="31">
        <v>79777</v>
      </c>
      <c r="F9" s="31" t="s">
        <v>0</v>
      </c>
      <c r="G9" s="31" t="s">
        <v>0</v>
      </c>
      <c r="H9" s="31" t="s">
        <v>0</v>
      </c>
      <c r="I9" s="31" t="s">
        <v>0</v>
      </c>
      <c r="J9" s="31" t="s">
        <v>0</v>
      </c>
      <c r="K9" s="31" t="s">
        <v>0</v>
      </c>
      <c r="L9" s="31">
        <v>114981</v>
      </c>
      <c r="M9" s="31">
        <v>157560</v>
      </c>
      <c r="N9" s="37" t="s">
        <v>0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</row>
    <row r="10" spans="1:68" s="24" customFormat="1" ht="15.75" customHeight="1" x14ac:dyDescent="0.25">
      <c r="A10" s="27" t="s">
        <v>19</v>
      </c>
      <c r="B10" s="28"/>
      <c r="C10" s="28"/>
      <c r="D10" s="32" t="s">
        <v>0</v>
      </c>
      <c r="E10" s="32" t="s">
        <v>0</v>
      </c>
      <c r="F10" s="32" t="s">
        <v>0</v>
      </c>
      <c r="G10" s="32">
        <v>57424</v>
      </c>
      <c r="H10" s="32">
        <v>45584</v>
      </c>
      <c r="I10" s="32">
        <v>58527</v>
      </c>
      <c r="J10" s="32">
        <v>83136</v>
      </c>
      <c r="K10" s="32">
        <v>76342</v>
      </c>
      <c r="L10" s="32" t="s">
        <v>0</v>
      </c>
      <c r="M10" s="32" t="s">
        <v>0</v>
      </c>
      <c r="N10" s="38">
        <v>138728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</row>
    <row r="11" spans="1:68" s="24" customFormat="1" ht="15.75" customHeight="1" x14ac:dyDescent="0.25">
      <c r="A11" s="50"/>
      <c r="B11" s="51"/>
      <c r="C11" s="5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</row>
    <row r="12" spans="1:68" s="42" customFormat="1" ht="15.75" hidden="1" customHeight="1" x14ac:dyDescent="0.25">
      <c r="A12" s="25" t="s">
        <v>6</v>
      </c>
      <c r="B12" s="25"/>
      <c r="C12" s="25"/>
      <c r="D12" s="25"/>
      <c r="E12" s="25"/>
      <c r="F12" s="25"/>
      <c r="G12" s="25"/>
      <c r="H12" s="39" t="s">
        <v>7</v>
      </c>
      <c r="I12" s="40"/>
      <c r="J12" s="40"/>
      <c r="K12" s="40"/>
      <c r="L12" s="40"/>
      <c r="M12" s="39" t="s">
        <v>15</v>
      </c>
      <c r="N12" s="40"/>
      <c r="O12" s="23"/>
      <c r="P12" s="23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</row>
    <row r="13" spans="1:68" s="24" customFormat="1" ht="15.75" hidden="1" customHeight="1" x14ac:dyDescent="0.25">
      <c r="A13" s="28" t="s">
        <v>8</v>
      </c>
      <c r="B13" s="28"/>
      <c r="C13" s="28"/>
      <c r="D13" s="43"/>
      <c r="E13" s="28"/>
      <c r="F13" s="28"/>
      <c r="G13" s="28"/>
      <c r="H13" s="32">
        <v>244956</v>
      </c>
      <c r="I13" s="29"/>
      <c r="J13" s="29"/>
      <c r="K13" s="23"/>
      <c r="L13" s="23"/>
      <c r="M13" s="32">
        <v>317481.83400000003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</row>
    <row r="14" spans="1:68" s="24" customFormat="1" ht="15.75" hidden="1" customHeight="1" x14ac:dyDescent="0.25">
      <c r="A14" s="30" t="s">
        <v>9</v>
      </c>
      <c r="B14" s="30"/>
      <c r="C14" s="30"/>
      <c r="D14" s="44"/>
      <c r="E14" s="30"/>
      <c r="F14" s="30"/>
      <c r="G14" s="30"/>
      <c r="H14" s="31">
        <v>145757</v>
      </c>
      <c r="I14" s="45"/>
      <c r="J14" s="45"/>
      <c r="K14" s="46"/>
      <c r="L14" s="46"/>
      <c r="M14" s="31">
        <v>181143.641</v>
      </c>
      <c r="N14" s="46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</row>
    <row r="15" spans="1:68" s="24" customFormat="1" ht="15.75" hidden="1" customHeight="1" x14ac:dyDescent="0.25">
      <c r="A15" s="28" t="s">
        <v>10</v>
      </c>
      <c r="B15" s="28"/>
      <c r="C15" s="28"/>
      <c r="D15" s="43"/>
      <c r="E15" s="28"/>
      <c r="F15" s="28"/>
      <c r="G15" s="28"/>
      <c r="H15" s="32">
        <v>8005</v>
      </c>
      <c r="I15" s="29"/>
      <c r="J15" s="29"/>
      <c r="K15" s="23"/>
      <c r="L15" s="23"/>
      <c r="M15" s="32">
        <v>10126.512000000001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</row>
    <row r="16" spans="1:68" s="24" customFormat="1" ht="15.75" hidden="1" customHeight="1" x14ac:dyDescent="0.25">
      <c r="A16" s="30" t="s">
        <v>11</v>
      </c>
      <c r="B16" s="30"/>
      <c r="C16" s="30"/>
      <c r="D16" s="48"/>
      <c r="E16" s="49"/>
      <c r="F16" s="49"/>
      <c r="G16" s="49"/>
      <c r="H16" s="47">
        <v>5.2</v>
      </c>
      <c r="I16" s="45"/>
      <c r="J16" s="45"/>
      <c r="K16" s="46"/>
      <c r="L16" s="46"/>
      <c r="M16" s="47">
        <v>5.3</v>
      </c>
      <c r="N16" s="46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</row>
    <row r="17" spans="1:68" s="12" customFormat="1" ht="15" customHeight="1" x14ac:dyDescent="0.25">
      <c r="A17" s="6" t="s">
        <v>12</v>
      </c>
      <c r="B17" s="7"/>
      <c r="C17" s="7"/>
      <c r="D17" s="7"/>
      <c r="E17" s="7"/>
      <c r="F17" s="7"/>
      <c r="G17" s="7"/>
      <c r="H17" s="8"/>
      <c r="I17" s="9"/>
      <c r="J17" s="10"/>
      <c r="K17" s="10"/>
      <c r="L17" s="10"/>
      <c r="M17" s="10"/>
      <c r="N17" s="10"/>
      <c r="O17" s="15"/>
      <c r="P17" s="15"/>
      <c r="Q17" s="10"/>
      <c r="R17" s="10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</row>
    <row r="18" spans="1:68" s="2" customFormat="1" ht="15" customHeight="1" x14ac:dyDescent="0.25">
      <c r="A18" s="6" t="s">
        <v>13</v>
      </c>
      <c r="B18" s="1"/>
      <c r="C18" s="1"/>
      <c r="D18" s="1"/>
      <c r="E18" s="1"/>
      <c r="F18" s="1"/>
      <c r="G18" s="1"/>
      <c r="H18" s="1"/>
      <c r="I18" s="13"/>
      <c r="J18" s="11"/>
      <c r="K18" s="11"/>
      <c r="L18" s="11"/>
      <c r="M18" s="11"/>
      <c r="N18" s="11"/>
      <c r="O18" s="15"/>
      <c r="P18" s="11"/>
      <c r="Q18" s="11"/>
      <c r="R18" s="11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</row>
    <row r="19" spans="1:68" s="11" customFormat="1" ht="15" customHeight="1" x14ac:dyDescent="0.25">
      <c r="A19" s="6" t="s">
        <v>14</v>
      </c>
      <c r="B19" s="2"/>
      <c r="C19" s="2"/>
      <c r="D19" s="2"/>
      <c r="E19" s="2"/>
      <c r="F19" s="2"/>
      <c r="G19" s="2"/>
      <c r="H19" s="13"/>
      <c r="I19" s="9"/>
      <c r="J19" s="10"/>
      <c r="K19" s="10"/>
      <c r="L19" s="10"/>
      <c r="M19" s="10"/>
      <c r="N19" s="10"/>
      <c r="O19" s="15"/>
      <c r="P19" s="10"/>
      <c r="Q19" s="10"/>
      <c r="R19" s="10"/>
    </row>
    <row r="20" spans="1:68" s="2" customFormat="1" ht="15" hidden="1" customHeight="1" x14ac:dyDescent="0.25">
      <c r="A20" s="55" t="s">
        <v>16</v>
      </c>
      <c r="B20" s="55"/>
      <c r="C20" s="55"/>
      <c r="D20" s="5"/>
      <c r="E20" s="5"/>
      <c r="F20" s="5"/>
      <c r="G20" s="5"/>
      <c r="H20" s="5"/>
      <c r="I20" s="5"/>
      <c r="J20" s="5"/>
      <c r="K20" s="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</row>
    <row r="21" spans="1:68" s="2" customFormat="1" x14ac:dyDescent="0.25"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</row>
    <row r="22" spans="1:68" s="2" customFormat="1" x14ac:dyDescent="0.25"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</row>
    <row r="23" spans="1:68" s="2" customFormat="1" x14ac:dyDescent="0.25"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</row>
    <row r="24" spans="1:68" s="2" customFormat="1" x14ac:dyDescent="0.25"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</row>
    <row r="25" spans="1:68" s="2" customFormat="1" x14ac:dyDescent="0.25"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</row>
    <row r="26" spans="1:68" s="2" customFormat="1" x14ac:dyDescent="0.25"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</row>
    <row r="27" spans="1:68" s="2" customFormat="1" x14ac:dyDescent="0.25"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</row>
    <row r="28" spans="1:68" s="2" customFormat="1" x14ac:dyDescent="0.25"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</row>
    <row r="29" spans="1:68" s="2" customFormat="1" x14ac:dyDescent="0.25"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</row>
    <row r="30" spans="1:68" s="2" customFormat="1" x14ac:dyDescent="0.25"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</row>
    <row r="31" spans="1:68" s="2" customFormat="1" x14ac:dyDescent="0.25"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</row>
    <row r="32" spans="1:68" s="2" customFormat="1" x14ac:dyDescent="0.25"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</row>
    <row r="33" spans="4:68" s="2" customFormat="1" x14ac:dyDescent="0.25"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</row>
    <row r="34" spans="4:68" s="2" customFormat="1" x14ac:dyDescent="0.25"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</row>
    <row r="35" spans="4:68" s="2" customFormat="1" x14ac:dyDescent="0.25"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</row>
    <row r="36" spans="4:68" s="2" customFormat="1" x14ac:dyDescent="0.25"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</row>
    <row r="37" spans="4:68" s="2" customFormat="1" x14ac:dyDescent="0.25"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</row>
    <row r="38" spans="4:68" s="2" customFormat="1" x14ac:dyDescent="0.25"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</row>
    <row r="39" spans="4:68" s="2" customFormat="1" x14ac:dyDescent="0.25"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</row>
    <row r="40" spans="4:68" s="2" customFormat="1" x14ac:dyDescent="0.25"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</row>
    <row r="41" spans="4:68" s="2" customFormat="1" x14ac:dyDescent="0.25"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</row>
    <row r="42" spans="4:68" s="2" customFormat="1" x14ac:dyDescent="0.25"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</row>
    <row r="43" spans="4:68" s="2" customFormat="1" x14ac:dyDescent="0.25">
      <c r="D43" s="3"/>
      <c r="E43" s="3"/>
      <c r="F43" s="3"/>
      <c r="G43" s="3"/>
      <c r="H43" s="3"/>
      <c r="I43" s="3"/>
      <c r="J43" s="3"/>
      <c r="K43" s="3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</row>
    <row r="44" spans="4:68" s="2" customFormat="1" x14ac:dyDescent="0.25">
      <c r="D44" s="3"/>
      <c r="E44" s="3"/>
      <c r="F44" s="3"/>
      <c r="G44" s="3"/>
      <c r="H44" s="3"/>
      <c r="I44" s="3"/>
      <c r="J44" s="3"/>
      <c r="K44" s="3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</row>
    <row r="45" spans="4:68" s="2" customFormat="1" x14ac:dyDescent="0.25">
      <c r="D45" s="3"/>
      <c r="E45" s="18"/>
      <c r="F45" s="21"/>
      <c r="G45" s="21"/>
      <c r="H45" s="21"/>
      <c r="I45" s="21"/>
      <c r="J45" s="21"/>
      <c r="K45" s="3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</row>
    <row r="46" spans="4:68" s="2" customFormat="1" x14ac:dyDescent="0.25">
      <c r="D46" s="3"/>
      <c r="E46" s="22"/>
      <c r="F46" s="22"/>
      <c r="G46" s="22"/>
      <c r="H46" s="22"/>
      <c r="I46" s="22"/>
      <c r="J46" s="22"/>
      <c r="K46" s="3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</row>
    <row r="47" spans="4:68" s="2" customFormat="1" x14ac:dyDescent="0.25">
      <c r="D47" s="3"/>
      <c r="E47" s="17"/>
      <c r="F47" s="18"/>
      <c r="G47" s="18"/>
      <c r="H47" s="18"/>
      <c r="I47" s="18"/>
      <c r="J47" s="19"/>
      <c r="K47" s="3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</row>
    <row r="48" spans="4:68" s="2" customFormat="1" x14ac:dyDescent="0.25">
      <c r="D48" s="3"/>
      <c r="E48" s="20"/>
      <c r="F48" s="19"/>
      <c r="G48" s="18"/>
      <c r="H48" s="19"/>
      <c r="I48" s="18"/>
      <c r="J48" s="19"/>
      <c r="K48" s="3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</row>
    <row r="49" spans="4:68" s="2" customFormat="1" x14ac:dyDescent="0.25">
      <c r="D49" s="3"/>
      <c r="E49" s="20"/>
      <c r="F49" s="19"/>
      <c r="G49" s="18"/>
      <c r="H49" s="19"/>
      <c r="I49" s="18"/>
      <c r="J49" s="19"/>
      <c r="K49" s="3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</row>
    <row r="50" spans="4:68" s="2" customFormat="1" x14ac:dyDescent="0.25">
      <c r="D50" s="3"/>
      <c r="E50" s="3"/>
      <c r="F50" s="3"/>
      <c r="G50" s="3"/>
      <c r="H50" s="3"/>
      <c r="I50" s="3"/>
      <c r="J50" s="3"/>
      <c r="K50" s="3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</row>
    <row r="51" spans="4:68" s="2" customFormat="1" x14ac:dyDescent="0.25"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</row>
    <row r="52" spans="4:68" s="2" customFormat="1" x14ac:dyDescent="0.25"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</row>
    <row r="53" spans="4:68" s="2" customFormat="1" x14ac:dyDescent="0.25"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</row>
    <row r="54" spans="4:68" s="2" customFormat="1" x14ac:dyDescent="0.25"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</row>
    <row r="55" spans="4:68" s="2" customFormat="1" x14ac:dyDescent="0.25"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</row>
    <row r="56" spans="4:68" s="2" customFormat="1" x14ac:dyDescent="0.25"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</row>
    <row r="57" spans="4:68" s="2" customFormat="1" x14ac:dyDescent="0.25"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</row>
    <row r="58" spans="4:68" s="2" customFormat="1" x14ac:dyDescent="0.25"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</row>
    <row r="59" spans="4:68" s="2" customFormat="1" x14ac:dyDescent="0.25"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</row>
    <row r="60" spans="4:68" s="2" customFormat="1" x14ac:dyDescent="0.25"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</row>
    <row r="61" spans="4:68" s="2" customFormat="1" x14ac:dyDescent="0.25"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</row>
    <row r="62" spans="4:68" s="2" customFormat="1" x14ac:dyDescent="0.25"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</row>
    <row r="63" spans="4:68" s="2" customFormat="1" x14ac:dyDescent="0.25"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</row>
    <row r="64" spans="4:68" s="2" customFormat="1" x14ac:dyDescent="0.25"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</row>
    <row r="65" spans="18:68" s="2" customFormat="1" x14ac:dyDescent="0.25"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</row>
    <row r="66" spans="18:68" s="2" customFormat="1" x14ac:dyDescent="0.25"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</row>
    <row r="67" spans="18:68" s="2" customFormat="1" x14ac:dyDescent="0.25"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</row>
    <row r="68" spans="18:68" s="2" customFormat="1" x14ac:dyDescent="0.25"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</row>
    <row r="69" spans="18:68" s="2" customFormat="1" x14ac:dyDescent="0.25"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</row>
    <row r="70" spans="18:68" s="2" customFormat="1" x14ac:dyDescent="0.25"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</row>
    <row r="71" spans="18:68" s="2" customFormat="1" x14ac:dyDescent="0.25"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</row>
    <row r="72" spans="18:68" s="2" customFormat="1" x14ac:dyDescent="0.25"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</row>
    <row r="73" spans="18:68" s="2" customFormat="1" x14ac:dyDescent="0.25"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</row>
    <row r="74" spans="18:68" s="2" customFormat="1" x14ac:dyDescent="0.25"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</row>
    <row r="75" spans="18:68" s="2" customFormat="1" x14ac:dyDescent="0.25"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</row>
    <row r="76" spans="18:68" s="2" customFormat="1" x14ac:dyDescent="0.25"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</row>
    <row r="77" spans="18:68" s="2" customFormat="1" x14ac:dyDescent="0.25"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</row>
    <row r="78" spans="18:68" s="2" customFormat="1" x14ac:dyDescent="0.25"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</row>
    <row r="79" spans="18:68" s="2" customFormat="1" x14ac:dyDescent="0.25"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</row>
    <row r="80" spans="18:68" s="2" customFormat="1" x14ac:dyDescent="0.25"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</row>
    <row r="81" spans="18:68" s="2" customFormat="1" x14ac:dyDescent="0.25"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</row>
    <row r="82" spans="18:68" s="2" customFormat="1" x14ac:dyDescent="0.25"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</row>
    <row r="83" spans="18:68" s="2" customFormat="1" x14ac:dyDescent="0.25"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</row>
    <row r="84" spans="18:68" s="2" customFormat="1" x14ac:dyDescent="0.25"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</row>
    <row r="85" spans="18:68" s="2" customFormat="1" x14ac:dyDescent="0.25"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</row>
    <row r="86" spans="18:68" s="2" customFormat="1" x14ac:dyDescent="0.25"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</row>
    <row r="87" spans="18:68" s="2" customFormat="1" x14ac:dyDescent="0.25"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</row>
    <row r="88" spans="18:68" s="2" customFormat="1" x14ac:dyDescent="0.25"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</row>
    <row r="89" spans="18:68" s="2" customFormat="1" x14ac:dyDescent="0.25"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</row>
    <row r="90" spans="18:68" s="2" customFormat="1" x14ac:dyDescent="0.25"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</row>
    <row r="91" spans="18:68" s="2" customFormat="1" x14ac:dyDescent="0.25"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</row>
    <row r="92" spans="18:68" s="2" customFormat="1" x14ac:dyDescent="0.25"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</row>
    <row r="93" spans="18:68" s="2" customFormat="1" x14ac:dyDescent="0.25"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</row>
    <row r="94" spans="18:68" s="2" customFormat="1" x14ac:dyDescent="0.25"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</row>
    <row r="95" spans="18:68" s="2" customFormat="1" x14ac:dyDescent="0.25"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</row>
    <row r="96" spans="18:68" s="2" customFormat="1" x14ac:dyDescent="0.25"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</row>
    <row r="97" spans="18:68" s="2" customFormat="1" x14ac:dyDescent="0.25"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</row>
    <row r="98" spans="18:68" s="2" customFormat="1" x14ac:dyDescent="0.25"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</row>
    <row r="99" spans="18:68" s="2" customFormat="1" x14ac:dyDescent="0.25"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</row>
    <row r="100" spans="18:68" s="2" customFormat="1" x14ac:dyDescent="0.25"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</row>
    <row r="101" spans="18:68" s="2" customFormat="1" x14ac:dyDescent="0.25"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</row>
    <row r="102" spans="18:68" s="2" customFormat="1" x14ac:dyDescent="0.25"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</row>
    <row r="103" spans="18:68" s="2" customFormat="1" x14ac:dyDescent="0.25"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</row>
    <row r="104" spans="18:68" s="2" customFormat="1" x14ac:dyDescent="0.25"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</row>
    <row r="105" spans="18:68" s="2" customFormat="1" x14ac:dyDescent="0.25"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</row>
    <row r="106" spans="18:68" s="2" customFormat="1" x14ac:dyDescent="0.25"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</row>
    <row r="107" spans="18:68" s="2" customFormat="1" x14ac:dyDescent="0.25"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</row>
    <row r="108" spans="18:68" s="2" customFormat="1" x14ac:dyDescent="0.25"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</row>
    <row r="109" spans="18:68" s="2" customFormat="1" x14ac:dyDescent="0.25"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</row>
    <row r="110" spans="18:68" s="2" customFormat="1" x14ac:dyDescent="0.25"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</row>
    <row r="111" spans="18:68" s="2" customFormat="1" x14ac:dyDescent="0.25"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</row>
    <row r="112" spans="18:68" s="2" customFormat="1" x14ac:dyDescent="0.25"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</row>
    <row r="113" spans="18:68" s="2" customFormat="1" x14ac:dyDescent="0.25"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</row>
    <row r="114" spans="18:68" s="2" customFormat="1" x14ac:dyDescent="0.25"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</row>
    <row r="115" spans="18:68" s="2" customFormat="1" x14ac:dyDescent="0.25"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</row>
    <row r="116" spans="18:68" s="2" customFormat="1" x14ac:dyDescent="0.25"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</row>
    <row r="117" spans="18:68" s="2" customFormat="1" x14ac:dyDescent="0.25"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</row>
    <row r="118" spans="18:68" s="2" customFormat="1" x14ac:dyDescent="0.25"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</row>
    <row r="119" spans="18:68" s="2" customFormat="1" x14ac:dyDescent="0.25"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</row>
    <row r="120" spans="18:68" s="2" customFormat="1" x14ac:dyDescent="0.25"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</row>
    <row r="121" spans="18:68" s="2" customFormat="1" x14ac:dyDescent="0.25"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</row>
    <row r="122" spans="18:68" s="2" customFormat="1" x14ac:dyDescent="0.25"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</row>
    <row r="123" spans="18:68" s="2" customFormat="1" x14ac:dyDescent="0.25"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</row>
    <row r="124" spans="18:68" s="2" customFormat="1" x14ac:dyDescent="0.25"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</row>
    <row r="125" spans="18:68" s="2" customFormat="1" x14ac:dyDescent="0.25"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</row>
    <row r="126" spans="18:68" s="2" customFormat="1" x14ac:dyDescent="0.25"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</row>
    <row r="127" spans="18:68" s="2" customFormat="1" x14ac:dyDescent="0.25"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</row>
    <row r="128" spans="18:68" s="2" customFormat="1" x14ac:dyDescent="0.25"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</row>
    <row r="129" spans="18:68" s="2" customFormat="1" x14ac:dyDescent="0.25"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</row>
    <row r="130" spans="18:68" s="2" customFormat="1" x14ac:dyDescent="0.25"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</row>
    <row r="131" spans="18:68" s="2" customFormat="1" x14ac:dyDescent="0.25"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</row>
    <row r="132" spans="18:68" s="2" customFormat="1" x14ac:dyDescent="0.25"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</row>
    <row r="133" spans="18:68" s="2" customFormat="1" x14ac:dyDescent="0.25"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</row>
    <row r="134" spans="18:68" s="2" customFormat="1" x14ac:dyDescent="0.25"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</row>
    <row r="135" spans="18:68" s="2" customFormat="1" x14ac:dyDescent="0.25"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</row>
    <row r="136" spans="18:68" s="2" customFormat="1" x14ac:dyDescent="0.25"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</row>
    <row r="137" spans="18:68" s="2" customFormat="1" x14ac:dyDescent="0.25"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</row>
    <row r="138" spans="18:68" s="2" customFormat="1" x14ac:dyDescent="0.25"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</row>
    <row r="139" spans="18:68" s="2" customFormat="1" x14ac:dyDescent="0.25"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</row>
    <row r="140" spans="18:68" s="2" customFormat="1" x14ac:dyDescent="0.25"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</row>
    <row r="141" spans="18:68" s="2" customFormat="1" x14ac:dyDescent="0.25"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</row>
    <row r="142" spans="18:68" s="2" customFormat="1" x14ac:dyDescent="0.25"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</row>
    <row r="143" spans="18:68" s="2" customFormat="1" x14ac:dyDescent="0.25"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</row>
    <row r="144" spans="18:68" s="2" customFormat="1" x14ac:dyDescent="0.25"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</row>
    <row r="145" spans="18:68" s="2" customFormat="1" x14ac:dyDescent="0.25"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</row>
    <row r="146" spans="18:68" s="2" customFormat="1" x14ac:dyDescent="0.25"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</row>
    <row r="147" spans="18:68" s="2" customFormat="1" x14ac:dyDescent="0.25"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</row>
    <row r="148" spans="18:68" s="2" customFormat="1" x14ac:dyDescent="0.25"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</row>
    <row r="149" spans="18:68" s="2" customFormat="1" x14ac:dyDescent="0.25"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</row>
    <row r="150" spans="18:68" s="2" customFormat="1" x14ac:dyDescent="0.25"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</row>
    <row r="151" spans="18:68" s="2" customFormat="1" x14ac:dyDescent="0.25"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</row>
    <row r="152" spans="18:68" s="2" customFormat="1" x14ac:dyDescent="0.25"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</row>
    <row r="153" spans="18:68" s="2" customFormat="1" x14ac:dyDescent="0.25"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</row>
    <row r="154" spans="18:68" s="2" customFormat="1" x14ac:dyDescent="0.25"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</row>
    <row r="155" spans="18:68" s="2" customFormat="1" x14ac:dyDescent="0.25"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</row>
    <row r="156" spans="18:68" s="2" customFormat="1" x14ac:dyDescent="0.25"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</row>
    <row r="157" spans="18:68" s="2" customFormat="1" x14ac:dyDescent="0.25"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</row>
    <row r="158" spans="18:68" s="2" customFormat="1" x14ac:dyDescent="0.25"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</row>
    <row r="159" spans="18:68" s="2" customFormat="1" x14ac:dyDescent="0.25"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</row>
    <row r="160" spans="18:68" s="2" customFormat="1" x14ac:dyDescent="0.25"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</row>
    <row r="161" spans="18:68" s="2" customFormat="1" x14ac:dyDescent="0.25"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</row>
    <row r="162" spans="18:68" s="2" customFormat="1" x14ac:dyDescent="0.25"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</row>
    <row r="163" spans="18:68" s="2" customFormat="1" x14ac:dyDescent="0.25"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</row>
    <row r="164" spans="18:68" s="2" customFormat="1" x14ac:dyDescent="0.25"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</row>
    <row r="165" spans="18:68" s="2" customFormat="1" x14ac:dyDescent="0.25"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</row>
    <row r="166" spans="18:68" s="2" customFormat="1" x14ac:dyDescent="0.25"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</row>
    <row r="167" spans="18:68" s="2" customFormat="1" x14ac:dyDescent="0.25"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</row>
    <row r="168" spans="18:68" s="2" customFormat="1" x14ac:dyDescent="0.25"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</row>
    <row r="169" spans="18:68" s="2" customFormat="1" x14ac:dyDescent="0.25"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</row>
    <row r="170" spans="18:68" s="2" customFormat="1" x14ac:dyDescent="0.25"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</row>
    <row r="171" spans="18:68" s="2" customFormat="1" x14ac:dyDescent="0.25"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</row>
    <row r="172" spans="18:68" s="2" customFormat="1" x14ac:dyDescent="0.25"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</row>
    <row r="173" spans="18:68" s="2" customFormat="1" x14ac:dyDescent="0.25"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</row>
    <row r="174" spans="18:68" s="2" customFormat="1" x14ac:dyDescent="0.25"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</row>
    <row r="175" spans="18:68" s="2" customFormat="1" x14ac:dyDescent="0.25"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</row>
    <row r="176" spans="18:68" s="2" customFormat="1" x14ac:dyDescent="0.25"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</row>
    <row r="177" spans="18:68" s="2" customFormat="1" x14ac:dyDescent="0.25"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</row>
    <row r="178" spans="18:68" s="2" customFormat="1" x14ac:dyDescent="0.25"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</row>
    <row r="179" spans="18:68" s="2" customFormat="1" x14ac:dyDescent="0.25"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</row>
    <row r="180" spans="18:68" s="2" customFormat="1" x14ac:dyDescent="0.25"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</row>
    <row r="181" spans="18:68" s="2" customFormat="1" x14ac:dyDescent="0.25"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</row>
    <row r="182" spans="18:68" s="2" customFormat="1" x14ac:dyDescent="0.25"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</row>
    <row r="183" spans="18:68" s="2" customFormat="1" x14ac:dyDescent="0.25"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</row>
    <row r="184" spans="18:68" s="2" customFormat="1" x14ac:dyDescent="0.25"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</row>
    <row r="185" spans="18:68" s="2" customFormat="1" x14ac:dyDescent="0.25"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</row>
    <row r="186" spans="18:68" s="2" customFormat="1" x14ac:dyDescent="0.25"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</row>
    <row r="187" spans="18:68" s="2" customFormat="1" x14ac:dyDescent="0.25"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</row>
    <row r="188" spans="18:68" s="2" customFormat="1" x14ac:dyDescent="0.25"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</row>
    <row r="189" spans="18:68" s="2" customFormat="1" x14ac:dyDescent="0.25"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</row>
    <row r="190" spans="18:68" s="2" customFormat="1" x14ac:dyDescent="0.25"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</row>
    <row r="191" spans="18:68" s="2" customFormat="1" x14ac:dyDescent="0.25"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</row>
    <row r="192" spans="18:68" s="2" customFormat="1" x14ac:dyDescent="0.25"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</row>
    <row r="193" spans="18:68" s="2" customFormat="1" x14ac:dyDescent="0.25"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</row>
    <row r="194" spans="18:68" s="2" customFormat="1" x14ac:dyDescent="0.25"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</row>
    <row r="195" spans="18:68" s="2" customFormat="1" x14ac:dyDescent="0.25"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</row>
    <row r="196" spans="18:68" s="2" customFormat="1" x14ac:dyDescent="0.25"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</row>
    <row r="197" spans="18:68" s="2" customFormat="1" x14ac:dyDescent="0.25"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</row>
    <row r="198" spans="18:68" s="2" customFormat="1" x14ac:dyDescent="0.25"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</row>
    <row r="199" spans="18:68" s="2" customFormat="1" x14ac:dyDescent="0.25"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</row>
    <row r="200" spans="18:68" s="2" customFormat="1" x14ac:dyDescent="0.25"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</row>
    <row r="201" spans="18:68" s="2" customFormat="1" x14ac:dyDescent="0.25"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</row>
    <row r="202" spans="18:68" s="2" customFormat="1" x14ac:dyDescent="0.25"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</row>
    <row r="203" spans="18:68" s="2" customFormat="1" x14ac:dyDescent="0.25"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</row>
    <row r="204" spans="18:68" s="2" customFormat="1" x14ac:dyDescent="0.25"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</row>
    <row r="205" spans="18:68" s="2" customFormat="1" x14ac:dyDescent="0.25"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</row>
    <row r="206" spans="18:68" s="2" customFormat="1" x14ac:dyDescent="0.25"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</row>
    <row r="207" spans="18:68" s="2" customFormat="1" x14ac:dyDescent="0.25"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</row>
    <row r="208" spans="18:68" s="2" customFormat="1" x14ac:dyDescent="0.25"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</row>
    <row r="209" spans="18:68" s="2" customFormat="1" x14ac:dyDescent="0.25"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</row>
    <row r="210" spans="18:68" s="2" customFormat="1" x14ac:dyDescent="0.25"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</row>
    <row r="211" spans="18:68" s="2" customFormat="1" x14ac:dyDescent="0.25"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</row>
    <row r="212" spans="18:68" s="2" customFormat="1" x14ac:dyDescent="0.25"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</row>
    <row r="213" spans="18:68" s="2" customFormat="1" x14ac:dyDescent="0.25"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</row>
    <row r="214" spans="18:68" s="2" customFormat="1" x14ac:dyDescent="0.25"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</row>
    <row r="215" spans="18:68" s="2" customFormat="1" x14ac:dyDescent="0.25"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</row>
    <row r="216" spans="18:68" s="2" customFormat="1" x14ac:dyDescent="0.25"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</row>
    <row r="217" spans="18:68" s="2" customFormat="1" x14ac:dyDescent="0.25"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</row>
    <row r="218" spans="18:68" s="2" customFormat="1" x14ac:dyDescent="0.25"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</row>
    <row r="219" spans="18:68" s="2" customFormat="1" x14ac:dyDescent="0.25"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</row>
    <row r="220" spans="18:68" s="2" customFormat="1" x14ac:dyDescent="0.25"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</row>
    <row r="221" spans="18:68" s="2" customFormat="1" x14ac:dyDescent="0.25"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</row>
    <row r="222" spans="18:68" s="2" customFormat="1" x14ac:dyDescent="0.25"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</row>
    <row r="223" spans="18:68" s="2" customFormat="1" x14ac:dyDescent="0.25"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</row>
    <row r="224" spans="18:68" s="2" customFormat="1" x14ac:dyDescent="0.25"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</row>
    <row r="225" spans="18:68" s="2" customFormat="1" x14ac:dyDescent="0.25"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</row>
    <row r="226" spans="18:68" s="2" customFormat="1" x14ac:dyDescent="0.25"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</row>
    <row r="227" spans="18:68" s="2" customFormat="1" x14ac:dyDescent="0.25"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</row>
    <row r="228" spans="18:68" s="2" customFormat="1" x14ac:dyDescent="0.25"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</row>
    <row r="229" spans="18:68" s="2" customFormat="1" x14ac:dyDescent="0.25"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</row>
    <row r="230" spans="18:68" s="2" customFormat="1" x14ac:dyDescent="0.25"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</row>
    <row r="231" spans="18:68" s="2" customFormat="1" x14ac:dyDescent="0.25"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</row>
    <row r="232" spans="18:68" s="2" customFormat="1" x14ac:dyDescent="0.25"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</row>
    <row r="233" spans="18:68" s="2" customFormat="1" x14ac:dyDescent="0.25"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</row>
    <row r="234" spans="18:68" s="2" customFormat="1" x14ac:dyDescent="0.25"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</row>
    <row r="235" spans="18:68" s="2" customFormat="1" x14ac:dyDescent="0.25"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</row>
    <row r="236" spans="18:68" s="2" customFormat="1" x14ac:dyDescent="0.25"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</row>
    <row r="237" spans="18:68" s="2" customFormat="1" x14ac:dyDescent="0.25"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</row>
    <row r="238" spans="18:68" s="2" customFormat="1" x14ac:dyDescent="0.25"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</row>
    <row r="239" spans="18:68" s="2" customFormat="1" x14ac:dyDescent="0.25"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</row>
    <row r="240" spans="18:68" s="2" customFormat="1" x14ac:dyDescent="0.25"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</row>
    <row r="241" spans="18:68" s="2" customFormat="1" x14ac:dyDescent="0.25"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</row>
    <row r="242" spans="18:68" s="2" customFormat="1" x14ac:dyDescent="0.25"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</row>
    <row r="243" spans="18:68" s="2" customFormat="1" x14ac:dyDescent="0.25"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</row>
    <row r="244" spans="18:68" s="2" customFormat="1" x14ac:dyDescent="0.25"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</row>
    <row r="245" spans="18:68" s="2" customFormat="1" x14ac:dyDescent="0.25"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</row>
    <row r="246" spans="18:68" s="2" customFormat="1" x14ac:dyDescent="0.25"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</row>
    <row r="247" spans="18:68" s="2" customFormat="1" x14ac:dyDescent="0.25"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</row>
    <row r="248" spans="18:68" s="2" customFormat="1" x14ac:dyDescent="0.25"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</row>
    <row r="249" spans="18:68" s="2" customFormat="1" x14ac:dyDescent="0.25"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</row>
    <row r="250" spans="18:68" s="2" customFormat="1" x14ac:dyDescent="0.25"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</row>
    <row r="251" spans="18:68" s="2" customFormat="1" x14ac:dyDescent="0.25"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</row>
    <row r="252" spans="18:68" s="2" customFormat="1" x14ac:dyDescent="0.25"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</row>
    <row r="253" spans="18:68" s="2" customFormat="1" x14ac:dyDescent="0.25"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</row>
    <row r="254" spans="18:68" s="2" customFormat="1" x14ac:dyDescent="0.25"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</row>
    <row r="255" spans="18:68" s="2" customFormat="1" x14ac:dyDescent="0.25"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</row>
    <row r="256" spans="18:68" s="2" customFormat="1" x14ac:dyDescent="0.25"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</row>
    <row r="257" spans="18:68" s="2" customFormat="1" x14ac:dyDescent="0.25"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</row>
    <row r="258" spans="18:68" s="2" customFormat="1" x14ac:dyDescent="0.25"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</row>
    <row r="259" spans="18:68" s="2" customFormat="1" x14ac:dyDescent="0.25"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</row>
    <row r="260" spans="18:68" s="2" customFormat="1" x14ac:dyDescent="0.25"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</row>
    <row r="261" spans="18:68" s="2" customFormat="1" x14ac:dyDescent="0.25"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</row>
    <row r="262" spans="18:68" s="2" customFormat="1" x14ac:dyDescent="0.25"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</row>
    <row r="263" spans="18:68" s="2" customFormat="1" x14ac:dyDescent="0.25"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</row>
    <row r="264" spans="18:68" s="2" customFormat="1" x14ac:dyDescent="0.25"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</row>
    <row r="265" spans="18:68" s="2" customFormat="1" x14ac:dyDescent="0.25"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</row>
    <row r="266" spans="18:68" s="2" customFormat="1" x14ac:dyDescent="0.25"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</row>
    <row r="267" spans="18:68" s="2" customFormat="1" x14ac:dyDescent="0.25"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</row>
    <row r="268" spans="18:68" s="2" customFormat="1" x14ac:dyDescent="0.25"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</row>
    <row r="269" spans="18:68" s="2" customFormat="1" x14ac:dyDescent="0.25"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</row>
    <row r="270" spans="18:68" s="2" customFormat="1" x14ac:dyDescent="0.25"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</row>
    <row r="271" spans="18:68" s="2" customFormat="1" x14ac:dyDescent="0.25"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</row>
    <row r="272" spans="18:68" s="2" customFormat="1" x14ac:dyDescent="0.25"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</row>
    <row r="273" spans="18:68" s="2" customFormat="1" x14ac:dyDescent="0.25"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</row>
    <row r="274" spans="18:68" s="2" customFormat="1" x14ac:dyDescent="0.25"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</row>
    <row r="275" spans="18:68" s="2" customFormat="1" x14ac:dyDescent="0.25"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</row>
    <row r="276" spans="18:68" s="2" customFormat="1" x14ac:dyDescent="0.25"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</row>
    <row r="277" spans="18:68" s="2" customFormat="1" x14ac:dyDescent="0.25"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</row>
    <row r="278" spans="18:68" s="2" customFormat="1" x14ac:dyDescent="0.25"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</row>
    <row r="279" spans="18:68" s="2" customFormat="1" x14ac:dyDescent="0.25"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</row>
    <row r="280" spans="18:68" s="2" customFormat="1" x14ac:dyDescent="0.25"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</row>
    <row r="281" spans="18:68" s="2" customFormat="1" x14ac:dyDescent="0.25"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</row>
    <row r="282" spans="18:68" s="2" customFormat="1" x14ac:dyDescent="0.25"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</row>
    <row r="283" spans="18:68" s="2" customFormat="1" x14ac:dyDescent="0.25"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</row>
    <row r="284" spans="18:68" s="2" customFormat="1" x14ac:dyDescent="0.25"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</row>
    <row r="285" spans="18:68" s="2" customFormat="1" x14ac:dyDescent="0.25"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</row>
    <row r="286" spans="18:68" s="2" customFormat="1" x14ac:dyDescent="0.25"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</row>
    <row r="287" spans="18:68" s="2" customFormat="1" x14ac:dyDescent="0.25"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</row>
    <row r="288" spans="18:68" s="2" customFormat="1" x14ac:dyDescent="0.25"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</row>
    <row r="289" spans="18:68" s="2" customFormat="1" x14ac:dyDescent="0.25"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</row>
    <row r="290" spans="18:68" s="2" customFormat="1" x14ac:dyDescent="0.25"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</row>
    <row r="291" spans="18:68" s="2" customFormat="1" x14ac:dyDescent="0.25"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</row>
    <row r="292" spans="18:68" s="2" customFormat="1" x14ac:dyDescent="0.25"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</row>
    <row r="293" spans="18:68" s="2" customFormat="1" x14ac:dyDescent="0.25"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</row>
    <row r="294" spans="18:68" s="2" customFormat="1" x14ac:dyDescent="0.25"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</row>
    <row r="295" spans="18:68" s="2" customFormat="1" x14ac:dyDescent="0.25"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</row>
    <row r="296" spans="18:68" s="2" customFormat="1" x14ac:dyDescent="0.25"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</row>
    <row r="297" spans="18:68" s="2" customFormat="1" x14ac:dyDescent="0.25"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</row>
    <row r="298" spans="18:68" s="2" customFormat="1" x14ac:dyDescent="0.25"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</row>
    <row r="299" spans="18:68" s="2" customFormat="1" x14ac:dyDescent="0.25"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</row>
    <row r="300" spans="18:68" s="2" customFormat="1" x14ac:dyDescent="0.25"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</row>
    <row r="301" spans="18:68" s="2" customFormat="1" x14ac:dyDescent="0.25"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</row>
    <row r="302" spans="18:68" s="2" customFormat="1" x14ac:dyDescent="0.25"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</row>
    <row r="303" spans="18:68" s="2" customFormat="1" x14ac:dyDescent="0.25"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</row>
    <row r="304" spans="18:68" s="2" customFormat="1" x14ac:dyDescent="0.25"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</row>
    <row r="305" spans="18:68" s="2" customFormat="1" x14ac:dyDescent="0.25"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</row>
    <row r="306" spans="18:68" s="2" customFormat="1" x14ac:dyDescent="0.25"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</row>
    <row r="307" spans="18:68" s="2" customFormat="1" x14ac:dyDescent="0.25"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</row>
    <row r="308" spans="18:68" s="2" customFormat="1" x14ac:dyDescent="0.25"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</row>
    <row r="309" spans="18:68" s="2" customFormat="1" x14ac:dyDescent="0.25"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</row>
    <row r="310" spans="18:68" s="2" customFormat="1" x14ac:dyDescent="0.25"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</row>
    <row r="311" spans="18:68" s="2" customFormat="1" x14ac:dyDescent="0.25"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</row>
    <row r="312" spans="18:68" s="2" customFormat="1" x14ac:dyDescent="0.25"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</row>
    <row r="313" spans="18:68" s="2" customFormat="1" x14ac:dyDescent="0.25"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</row>
    <row r="314" spans="18:68" s="2" customFormat="1" x14ac:dyDescent="0.25"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</row>
    <row r="315" spans="18:68" s="2" customFormat="1" x14ac:dyDescent="0.25"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</row>
    <row r="316" spans="18:68" s="2" customFormat="1" x14ac:dyDescent="0.25"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</row>
    <row r="317" spans="18:68" s="2" customFormat="1" x14ac:dyDescent="0.25"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</row>
    <row r="318" spans="18:68" s="2" customFormat="1" x14ac:dyDescent="0.25"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</row>
    <row r="319" spans="18:68" s="2" customFormat="1" x14ac:dyDescent="0.25"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</row>
    <row r="320" spans="18:68" s="2" customFormat="1" x14ac:dyDescent="0.25"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</row>
    <row r="321" spans="18:68" s="2" customFormat="1" x14ac:dyDescent="0.25"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</row>
    <row r="322" spans="18:68" s="2" customFormat="1" x14ac:dyDescent="0.25"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</row>
    <row r="323" spans="18:68" s="2" customFormat="1" x14ac:dyDescent="0.25"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</row>
    <row r="324" spans="18:68" s="2" customFormat="1" x14ac:dyDescent="0.25"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</row>
    <row r="325" spans="18:68" s="2" customFormat="1" x14ac:dyDescent="0.25"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</row>
    <row r="326" spans="18:68" s="2" customFormat="1" x14ac:dyDescent="0.25"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</row>
    <row r="327" spans="18:68" s="2" customFormat="1" x14ac:dyDescent="0.25"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</row>
    <row r="328" spans="18:68" s="2" customFormat="1" x14ac:dyDescent="0.25"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</row>
    <row r="329" spans="18:68" s="2" customFormat="1" x14ac:dyDescent="0.25"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</row>
    <row r="330" spans="18:68" s="2" customFormat="1" x14ac:dyDescent="0.25"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</row>
    <row r="331" spans="18:68" s="2" customFormat="1" x14ac:dyDescent="0.25"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</row>
    <row r="332" spans="18:68" s="2" customFormat="1" x14ac:dyDescent="0.25"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</row>
    <row r="333" spans="18:68" s="2" customFormat="1" x14ac:dyDescent="0.25"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</row>
    <row r="334" spans="18:68" s="2" customFormat="1" x14ac:dyDescent="0.25"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</row>
    <row r="335" spans="18:68" s="2" customFormat="1" x14ac:dyDescent="0.25"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</row>
    <row r="336" spans="18:68" s="2" customFormat="1" x14ac:dyDescent="0.25"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</row>
    <row r="337" spans="18:68" s="2" customFormat="1" x14ac:dyDescent="0.25"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</row>
    <row r="338" spans="18:68" s="2" customFormat="1" x14ac:dyDescent="0.25"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</row>
    <row r="339" spans="18:68" s="2" customFormat="1" x14ac:dyDescent="0.25"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</row>
    <row r="340" spans="18:68" s="2" customFormat="1" x14ac:dyDescent="0.25"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</row>
    <row r="341" spans="18:68" s="2" customFormat="1" x14ac:dyDescent="0.25"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</row>
    <row r="342" spans="18:68" s="2" customFormat="1" x14ac:dyDescent="0.25"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</row>
    <row r="343" spans="18:68" s="2" customFormat="1" x14ac:dyDescent="0.25"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</row>
    <row r="344" spans="18:68" s="2" customFormat="1" x14ac:dyDescent="0.25"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</row>
    <row r="345" spans="18:68" s="2" customFormat="1" x14ac:dyDescent="0.25"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</row>
    <row r="346" spans="18:68" s="2" customFormat="1" x14ac:dyDescent="0.25"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</row>
    <row r="347" spans="18:68" s="2" customFormat="1" x14ac:dyDescent="0.25"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</row>
    <row r="348" spans="18:68" s="2" customFormat="1" x14ac:dyDescent="0.25"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</row>
    <row r="349" spans="18:68" s="2" customFormat="1" x14ac:dyDescent="0.25"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</row>
    <row r="350" spans="18:68" s="2" customFormat="1" x14ac:dyDescent="0.25"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</row>
    <row r="351" spans="18:68" s="2" customFormat="1" x14ac:dyDescent="0.25"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</row>
    <row r="352" spans="18:68" s="2" customFormat="1" x14ac:dyDescent="0.25"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</row>
    <row r="353" spans="18:68" s="2" customFormat="1" x14ac:dyDescent="0.25"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</row>
    <row r="354" spans="18:68" s="2" customFormat="1" x14ac:dyDescent="0.25"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</row>
    <row r="355" spans="18:68" s="2" customFormat="1" x14ac:dyDescent="0.25"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</row>
    <row r="356" spans="18:68" s="2" customFormat="1" x14ac:dyDescent="0.25"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</row>
    <row r="357" spans="18:68" s="2" customFormat="1" x14ac:dyDescent="0.25"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</row>
    <row r="358" spans="18:68" s="2" customFormat="1" x14ac:dyDescent="0.25"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</row>
    <row r="359" spans="18:68" s="2" customFormat="1" x14ac:dyDescent="0.25"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</row>
    <row r="360" spans="18:68" s="2" customFormat="1" x14ac:dyDescent="0.25"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</row>
    <row r="361" spans="18:68" s="2" customFormat="1" x14ac:dyDescent="0.25"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</row>
    <row r="362" spans="18:68" s="2" customFormat="1" x14ac:dyDescent="0.25"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</row>
    <row r="363" spans="18:68" s="2" customFormat="1" x14ac:dyDescent="0.25"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</row>
    <row r="364" spans="18:68" s="2" customFormat="1" x14ac:dyDescent="0.25"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</row>
    <row r="365" spans="18:68" s="2" customFormat="1" x14ac:dyDescent="0.25"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</row>
    <row r="366" spans="18:68" s="2" customFormat="1" x14ac:dyDescent="0.25"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</row>
    <row r="367" spans="18:68" s="2" customFormat="1" x14ac:dyDescent="0.25"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</row>
    <row r="368" spans="18:68" s="2" customFormat="1" x14ac:dyDescent="0.25"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</row>
    <row r="369" spans="18:68" s="2" customFormat="1" x14ac:dyDescent="0.25"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</row>
    <row r="370" spans="18:68" s="2" customFormat="1" x14ac:dyDescent="0.25"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</row>
    <row r="371" spans="18:68" s="2" customFormat="1" x14ac:dyDescent="0.25"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</row>
    <row r="372" spans="18:68" s="2" customFormat="1" x14ac:dyDescent="0.25"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</row>
    <row r="373" spans="18:68" s="2" customFormat="1" x14ac:dyDescent="0.25"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</row>
    <row r="374" spans="18:68" s="2" customFormat="1" x14ac:dyDescent="0.25"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</row>
    <row r="375" spans="18:68" s="2" customFormat="1" x14ac:dyDescent="0.25"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</row>
    <row r="376" spans="18:68" s="2" customFormat="1" x14ac:dyDescent="0.25"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</row>
    <row r="377" spans="18:68" s="2" customFormat="1" x14ac:dyDescent="0.25"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</row>
    <row r="378" spans="18:68" s="2" customFormat="1" x14ac:dyDescent="0.25"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</row>
    <row r="379" spans="18:68" s="2" customFormat="1" x14ac:dyDescent="0.25"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</row>
    <row r="380" spans="18:68" s="2" customFormat="1" x14ac:dyDescent="0.25"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</row>
    <row r="381" spans="18:68" s="2" customFormat="1" x14ac:dyDescent="0.25"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</row>
    <row r="382" spans="18:68" s="2" customFormat="1" x14ac:dyDescent="0.25"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</row>
    <row r="383" spans="18:68" s="2" customFormat="1" x14ac:dyDescent="0.25"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</row>
    <row r="384" spans="18:68" s="2" customFormat="1" x14ac:dyDescent="0.25"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</row>
    <row r="385" spans="18:68" s="2" customFormat="1" x14ac:dyDescent="0.25"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</row>
    <row r="386" spans="18:68" s="2" customFormat="1" x14ac:dyDescent="0.25"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</row>
    <row r="387" spans="18:68" s="2" customFormat="1" x14ac:dyDescent="0.25"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</row>
    <row r="388" spans="18:68" s="2" customFormat="1" x14ac:dyDescent="0.25"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</row>
    <row r="389" spans="18:68" s="2" customFormat="1" x14ac:dyDescent="0.25"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</row>
    <row r="390" spans="18:68" s="2" customFormat="1" x14ac:dyDescent="0.25"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</row>
    <row r="391" spans="18:68" s="2" customFormat="1" x14ac:dyDescent="0.25"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</row>
    <row r="392" spans="18:68" s="2" customFormat="1" x14ac:dyDescent="0.25"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</row>
    <row r="393" spans="18:68" s="2" customFormat="1" x14ac:dyDescent="0.25"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</row>
    <row r="394" spans="18:68" s="2" customFormat="1" x14ac:dyDescent="0.25"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</row>
    <row r="395" spans="18:68" s="2" customFormat="1" x14ac:dyDescent="0.25"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</row>
    <row r="396" spans="18:68" s="2" customFormat="1" x14ac:dyDescent="0.25"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</row>
    <row r="397" spans="18:68" s="2" customFormat="1" x14ac:dyDescent="0.25"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</row>
    <row r="398" spans="18:68" s="2" customFormat="1" x14ac:dyDescent="0.25"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</row>
    <row r="399" spans="18:68" s="2" customFormat="1" x14ac:dyDescent="0.25"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</row>
    <row r="400" spans="18:68" s="2" customFormat="1" x14ac:dyDescent="0.25"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</row>
    <row r="401" spans="18:68" s="2" customFormat="1" x14ac:dyDescent="0.25"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</row>
    <row r="402" spans="18:68" s="2" customFormat="1" x14ac:dyDescent="0.25"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</row>
    <row r="403" spans="18:68" s="2" customFormat="1" x14ac:dyDescent="0.25"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</row>
    <row r="404" spans="18:68" s="2" customFormat="1" x14ac:dyDescent="0.25"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</row>
    <row r="405" spans="18:68" s="2" customFormat="1" x14ac:dyDescent="0.25"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</row>
    <row r="406" spans="18:68" s="2" customFormat="1" x14ac:dyDescent="0.25"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</row>
    <row r="407" spans="18:68" s="2" customFormat="1" x14ac:dyDescent="0.25"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</row>
    <row r="408" spans="18:68" s="2" customFormat="1" x14ac:dyDescent="0.25"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</row>
    <row r="409" spans="18:68" s="2" customFormat="1" x14ac:dyDescent="0.25"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</row>
    <row r="410" spans="18:68" s="2" customFormat="1" x14ac:dyDescent="0.25"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</row>
    <row r="411" spans="18:68" s="2" customFormat="1" x14ac:dyDescent="0.25"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</row>
    <row r="412" spans="18:68" s="2" customFormat="1" x14ac:dyDescent="0.25"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</row>
    <row r="413" spans="18:68" s="2" customFormat="1" x14ac:dyDescent="0.25"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</row>
    <row r="414" spans="18:68" s="2" customFormat="1" x14ac:dyDescent="0.25"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</row>
    <row r="415" spans="18:68" s="2" customFormat="1" x14ac:dyDescent="0.25"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</row>
    <row r="416" spans="18:68" s="2" customFormat="1" x14ac:dyDescent="0.25"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</row>
    <row r="417" spans="18:68" s="2" customFormat="1" x14ac:dyDescent="0.25"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</row>
    <row r="418" spans="18:68" s="2" customFormat="1" x14ac:dyDescent="0.25"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</row>
    <row r="419" spans="18:68" s="2" customFormat="1" x14ac:dyDescent="0.25"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</row>
    <row r="420" spans="18:68" s="2" customFormat="1" x14ac:dyDescent="0.25"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</row>
    <row r="421" spans="18:68" s="2" customFormat="1" x14ac:dyDescent="0.25"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</row>
    <row r="422" spans="18:68" s="2" customFormat="1" x14ac:dyDescent="0.25"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</row>
    <row r="423" spans="18:68" s="2" customFormat="1" x14ac:dyDescent="0.25"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</row>
    <row r="424" spans="18:68" s="2" customFormat="1" x14ac:dyDescent="0.25"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</row>
    <row r="425" spans="18:68" s="2" customFormat="1" x14ac:dyDescent="0.25"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</row>
    <row r="426" spans="18:68" s="2" customFormat="1" x14ac:dyDescent="0.25"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</row>
    <row r="427" spans="18:68" s="2" customFormat="1" x14ac:dyDescent="0.25"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</row>
    <row r="428" spans="18:68" s="2" customFormat="1" x14ac:dyDescent="0.25"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</row>
    <row r="429" spans="18:68" s="2" customFormat="1" x14ac:dyDescent="0.25"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</row>
    <row r="430" spans="18:68" s="2" customFormat="1" x14ac:dyDescent="0.25"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</row>
    <row r="431" spans="18:68" s="2" customFormat="1" x14ac:dyDescent="0.25"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</row>
    <row r="432" spans="18:68" s="2" customFormat="1" x14ac:dyDescent="0.25"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</row>
    <row r="433" spans="18:68" s="2" customFormat="1" x14ac:dyDescent="0.25"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</row>
    <row r="434" spans="18:68" s="2" customFormat="1" x14ac:dyDescent="0.25"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</row>
    <row r="435" spans="18:68" s="2" customFormat="1" x14ac:dyDescent="0.25"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</row>
    <row r="436" spans="18:68" s="2" customFormat="1" x14ac:dyDescent="0.25"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</row>
    <row r="437" spans="18:68" s="2" customFormat="1" x14ac:dyDescent="0.25"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</row>
    <row r="438" spans="18:68" s="2" customFormat="1" x14ac:dyDescent="0.25"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</row>
    <row r="439" spans="18:68" s="2" customFormat="1" x14ac:dyDescent="0.25"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</row>
    <row r="440" spans="18:68" s="2" customFormat="1" x14ac:dyDescent="0.25"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</row>
    <row r="441" spans="18:68" s="2" customFormat="1" x14ac:dyDescent="0.25"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</row>
    <row r="442" spans="18:68" s="2" customFormat="1" x14ac:dyDescent="0.25"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</row>
    <row r="443" spans="18:68" s="2" customFormat="1" x14ac:dyDescent="0.25"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</row>
    <row r="444" spans="18:68" s="2" customFormat="1" x14ac:dyDescent="0.25"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</row>
    <row r="445" spans="18:68" s="2" customFormat="1" x14ac:dyDescent="0.25"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</row>
    <row r="446" spans="18:68" s="2" customFormat="1" x14ac:dyDescent="0.25"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</row>
    <row r="447" spans="18:68" s="2" customFormat="1" x14ac:dyDescent="0.25"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</row>
    <row r="448" spans="18:68" s="2" customFormat="1" x14ac:dyDescent="0.25"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</row>
    <row r="449" spans="18:68" s="2" customFormat="1" x14ac:dyDescent="0.25"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</row>
    <row r="450" spans="18:68" s="2" customFormat="1" x14ac:dyDescent="0.25"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</row>
    <row r="451" spans="18:68" s="2" customFormat="1" x14ac:dyDescent="0.25"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</row>
    <row r="452" spans="18:68" s="2" customFormat="1" x14ac:dyDescent="0.25"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</row>
    <row r="453" spans="18:68" s="2" customFormat="1" x14ac:dyDescent="0.25"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</row>
    <row r="454" spans="18:68" s="2" customFormat="1" x14ac:dyDescent="0.25"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</row>
    <row r="455" spans="18:68" s="2" customFormat="1" x14ac:dyDescent="0.25"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</row>
    <row r="456" spans="18:68" s="2" customFormat="1" x14ac:dyDescent="0.25"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</row>
    <row r="457" spans="18:68" s="2" customFormat="1" x14ac:dyDescent="0.25"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</row>
    <row r="458" spans="18:68" s="2" customFormat="1" x14ac:dyDescent="0.25"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</row>
    <row r="459" spans="18:68" s="2" customFormat="1" x14ac:dyDescent="0.25"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</row>
    <row r="460" spans="18:68" s="2" customFormat="1" x14ac:dyDescent="0.25"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</row>
    <row r="461" spans="18:68" s="2" customFormat="1" x14ac:dyDescent="0.25"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</row>
    <row r="462" spans="18:68" s="2" customFormat="1" x14ac:dyDescent="0.25"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</row>
    <row r="463" spans="18:68" s="2" customFormat="1" x14ac:dyDescent="0.25"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</row>
    <row r="464" spans="18:68" s="2" customFormat="1" x14ac:dyDescent="0.25"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</row>
    <row r="465" spans="18:68" s="2" customFormat="1" x14ac:dyDescent="0.25"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</row>
    <row r="466" spans="18:68" s="2" customFormat="1" x14ac:dyDescent="0.25"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</row>
    <row r="467" spans="18:68" s="2" customFormat="1" x14ac:dyDescent="0.25"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</row>
    <row r="468" spans="18:68" s="2" customFormat="1" x14ac:dyDescent="0.25"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</row>
    <row r="469" spans="18:68" s="2" customFormat="1" x14ac:dyDescent="0.25"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</row>
    <row r="470" spans="18:68" s="2" customFormat="1" x14ac:dyDescent="0.25"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</row>
    <row r="471" spans="18:68" s="2" customFormat="1" x14ac:dyDescent="0.25"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</row>
    <row r="472" spans="18:68" s="2" customFormat="1" x14ac:dyDescent="0.25"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</row>
    <row r="473" spans="18:68" s="2" customFormat="1" x14ac:dyDescent="0.25"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</row>
    <row r="474" spans="18:68" s="2" customFormat="1" x14ac:dyDescent="0.25"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</row>
    <row r="475" spans="18:68" s="2" customFormat="1" x14ac:dyDescent="0.25"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</row>
    <row r="476" spans="18:68" s="2" customFormat="1" x14ac:dyDescent="0.25"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</row>
    <row r="477" spans="18:68" s="2" customFormat="1" x14ac:dyDescent="0.25"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</row>
    <row r="478" spans="18:68" s="2" customFormat="1" x14ac:dyDescent="0.25"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</row>
    <row r="479" spans="18:68" s="2" customFormat="1" x14ac:dyDescent="0.25"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</row>
    <row r="480" spans="18:68" s="2" customFormat="1" x14ac:dyDescent="0.25"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</row>
    <row r="481" spans="18:68" s="2" customFormat="1" x14ac:dyDescent="0.25"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</row>
    <row r="482" spans="18:68" s="2" customFormat="1" x14ac:dyDescent="0.25"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</row>
    <row r="483" spans="18:68" s="2" customFormat="1" x14ac:dyDescent="0.25"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</row>
    <row r="484" spans="18:68" s="2" customFormat="1" x14ac:dyDescent="0.25"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</row>
    <row r="485" spans="18:68" s="2" customFormat="1" x14ac:dyDescent="0.25"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</row>
    <row r="486" spans="18:68" s="2" customFormat="1" x14ac:dyDescent="0.25"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</row>
    <row r="487" spans="18:68" s="2" customFormat="1" x14ac:dyDescent="0.25"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</row>
    <row r="488" spans="18:68" s="2" customFormat="1" x14ac:dyDescent="0.25"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</row>
    <row r="489" spans="18:68" s="2" customFormat="1" x14ac:dyDescent="0.25"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</row>
    <row r="490" spans="18:68" s="2" customFormat="1" x14ac:dyDescent="0.25"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</row>
    <row r="491" spans="18:68" s="2" customFormat="1" x14ac:dyDescent="0.25"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</row>
    <row r="492" spans="18:68" s="2" customFormat="1" x14ac:dyDescent="0.25"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</row>
    <row r="493" spans="18:68" s="2" customFormat="1" x14ac:dyDescent="0.25"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</row>
    <row r="494" spans="18:68" s="2" customFormat="1" x14ac:dyDescent="0.25"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</row>
    <row r="495" spans="18:68" s="2" customFormat="1" x14ac:dyDescent="0.25"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</row>
    <row r="496" spans="18:68" s="2" customFormat="1" x14ac:dyDescent="0.25"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</row>
    <row r="497" spans="18:68" s="2" customFormat="1" x14ac:dyDescent="0.25"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</row>
    <row r="498" spans="18:68" s="2" customFormat="1" x14ac:dyDescent="0.25"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</row>
    <row r="499" spans="18:68" s="2" customFormat="1" x14ac:dyDescent="0.25"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</row>
    <row r="500" spans="18:68" s="2" customFormat="1" x14ac:dyDescent="0.25"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</row>
    <row r="501" spans="18:68" s="2" customFormat="1" x14ac:dyDescent="0.25"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</row>
    <row r="502" spans="18:68" s="2" customFormat="1" x14ac:dyDescent="0.25"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</row>
    <row r="503" spans="18:68" s="2" customFormat="1" x14ac:dyDescent="0.25"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</row>
    <row r="504" spans="18:68" s="2" customFormat="1" x14ac:dyDescent="0.25"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</row>
    <row r="505" spans="18:68" s="2" customFormat="1" x14ac:dyDescent="0.25"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</row>
    <row r="506" spans="18:68" s="2" customFormat="1" x14ac:dyDescent="0.25"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</row>
    <row r="507" spans="18:68" s="2" customFormat="1" x14ac:dyDescent="0.25"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</row>
    <row r="508" spans="18:68" s="2" customFormat="1" x14ac:dyDescent="0.25"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</row>
    <row r="509" spans="18:68" s="2" customFormat="1" x14ac:dyDescent="0.25"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</row>
    <row r="510" spans="18:68" s="2" customFormat="1" x14ac:dyDescent="0.25"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</row>
    <row r="511" spans="18:68" s="2" customFormat="1" x14ac:dyDescent="0.25"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</row>
    <row r="512" spans="18:68" s="2" customFormat="1" x14ac:dyDescent="0.25"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</row>
    <row r="513" spans="18:68" s="2" customFormat="1" x14ac:dyDescent="0.25"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</row>
    <row r="514" spans="18:68" s="2" customFormat="1" x14ac:dyDescent="0.25"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</row>
    <row r="515" spans="18:68" s="2" customFormat="1" x14ac:dyDescent="0.25"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</row>
    <row r="516" spans="18:68" s="2" customFormat="1" x14ac:dyDescent="0.25"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</row>
    <row r="517" spans="18:68" s="2" customFormat="1" x14ac:dyDescent="0.25"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</row>
    <row r="518" spans="18:68" s="2" customFormat="1" x14ac:dyDescent="0.25"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</row>
    <row r="519" spans="18:68" s="2" customFormat="1" x14ac:dyDescent="0.25"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</row>
    <row r="520" spans="18:68" s="2" customFormat="1" x14ac:dyDescent="0.25"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</row>
    <row r="521" spans="18:68" s="2" customFormat="1" x14ac:dyDescent="0.25"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</row>
    <row r="522" spans="18:68" s="2" customFormat="1" x14ac:dyDescent="0.25"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</row>
    <row r="523" spans="18:68" s="2" customFormat="1" x14ac:dyDescent="0.25"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</row>
    <row r="524" spans="18:68" s="2" customFormat="1" x14ac:dyDescent="0.25"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</row>
    <row r="525" spans="18:68" s="2" customFormat="1" x14ac:dyDescent="0.25"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</row>
    <row r="526" spans="18:68" s="2" customFormat="1" x14ac:dyDescent="0.25"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</row>
    <row r="527" spans="18:68" s="2" customFormat="1" x14ac:dyDescent="0.25"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</row>
    <row r="528" spans="18:68" s="2" customFormat="1" x14ac:dyDescent="0.25"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</row>
    <row r="529" spans="18:68" s="2" customFormat="1" x14ac:dyDescent="0.25"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</row>
    <row r="530" spans="18:68" s="2" customFormat="1" x14ac:dyDescent="0.25"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</row>
    <row r="531" spans="18:68" s="2" customFormat="1" x14ac:dyDescent="0.25"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</row>
    <row r="532" spans="18:68" s="2" customFormat="1" x14ac:dyDescent="0.25"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</row>
    <row r="533" spans="18:68" s="2" customFormat="1" x14ac:dyDescent="0.25"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</row>
    <row r="534" spans="18:68" s="2" customFormat="1" x14ac:dyDescent="0.25"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</row>
    <row r="535" spans="18:68" s="2" customFormat="1" x14ac:dyDescent="0.25"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</row>
    <row r="536" spans="18:68" s="2" customFormat="1" x14ac:dyDescent="0.25"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</row>
    <row r="537" spans="18:68" s="2" customFormat="1" x14ac:dyDescent="0.25"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</row>
    <row r="538" spans="18:68" s="2" customFormat="1" x14ac:dyDescent="0.25"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</row>
    <row r="539" spans="18:68" s="2" customFormat="1" x14ac:dyDescent="0.25"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</row>
    <row r="540" spans="18:68" s="2" customFormat="1" x14ac:dyDescent="0.25"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</row>
    <row r="541" spans="18:68" s="2" customFormat="1" x14ac:dyDescent="0.25"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</row>
    <row r="542" spans="18:68" s="2" customFormat="1" x14ac:dyDescent="0.25"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</row>
    <row r="543" spans="18:68" s="2" customFormat="1" x14ac:dyDescent="0.25"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</row>
    <row r="544" spans="18:68" s="2" customFormat="1" x14ac:dyDescent="0.25"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</row>
    <row r="545" spans="18:68" s="2" customFormat="1" x14ac:dyDescent="0.25"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</row>
    <row r="546" spans="18:68" s="2" customFormat="1" x14ac:dyDescent="0.25"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</row>
    <row r="547" spans="18:68" s="2" customFormat="1" x14ac:dyDescent="0.25"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</row>
    <row r="548" spans="18:68" s="2" customFormat="1" x14ac:dyDescent="0.25"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</row>
    <row r="549" spans="18:68" s="2" customFormat="1" x14ac:dyDescent="0.25"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</row>
    <row r="550" spans="18:68" s="2" customFormat="1" x14ac:dyDescent="0.25"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</row>
    <row r="551" spans="18:68" s="2" customFormat="1" x14ac:dyDescent="0.25"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</row>
    <row r="552" spans="18:68" s="2" customFormat="1" x14ac:dyDescent="0.25"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</row>
    <row r="553" spans="18:68" s="2" customFormat="1" x14ac:dyDescent="0.25"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</row>
    <row r="554" spans="18:68" s="2" customFormat="1" x14ac:dyDescent="0.25"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</row>
    <row r="555" spans="18:68" s="2" customFormat="1" x14ac:dyDescent="0.25"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</row>
    <row r="556" spans="18:68" s="2" customFormat="1" x14ac:dyDescent="0.25"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</row>
    <row r="557" spans="18:68" s="2" customFormat="1" x14ac:dyDescent="0.25"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</row>
    <row r="558" spans="18:68" s="2" customFormat="1" x14ac:dyDescent="0.25"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</row>
    <row r="559" spans="18:68" s="2" customFormat="1" x14ac:dyDescent="0.25"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</row>
    <row r="560" spans="18:68" s="2" customFormat="1" x14ac:dyDescent="0.25"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</row>
    <row r="561" spans="18:68" s="2" customFormat="1" x14ac:dyDescent="0.25"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</row>
    <row r="562" spans="18:68" s="2" customFormat="1" x14ac:dyDescent="0.25"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</row>
    <row r="563" spans="18:68" s="2" customFormat="1" x14ac:dyDescent="0.25"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</row>
    <row r="564" spans="18:68" s="2" customFormat="1" x14ac:dyDescent="0.25"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</row>
    <row r="565" spans="18:68" s="2" customFormat="1" x14ac:dyDescent="0.25"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</row>
    <row r="566" spans="18:68" s="2" customFormat="1" x14ac:dyDescent="0.25"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</row>
    <row r="567" spans="18:68" s="2" customFormat="1" x14ac:dyDescent="0.25"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</row>
    <row r="568" spans="18:68" s="2" customFormat="1" x14ac:dyDescent="0.25"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</row>
    <row r="569" spans="18:68" s="2" customFormat="1" x14ac:dyDescent="0.25"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</row>
    <row r="570" spans="18:68" s="2" customFormat="1" x14ac:dyDescent="0.25"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</row>
    <row r="571" spans="18:68" s="2" customFormat="1" x14ac:dyDescent="0.25"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</row>
    <row r="572" spans="18:68" s="2" customFormat="1" x14ac:dyDescent="0.25"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</row>
    <row r="573" spans="18:68" s="2" customFormat="1" x14ac:dyDescent="0.25"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</row>
    <row r="574" spans="18:68" s="2" customFormat="1" x14ac:dyDescent="0.25"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</row>
    <row r="575" spans="18:68" s="2" customFormat="1" x14ac:dyDescent="0.25"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</row>
    <row r="576" spans="18:68" s="2" customFormat="1" x14ac:dyDescent="0.25"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</row>
    <row r="577" spans="18:68" s="2" customFormat="1" x14ac:dyDescent="0.25"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</row>
    <row r="578" spans="18:68" s="2" customFormat="1" x14ac:dyDescent="0.25"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</row>
    <row r="579" spans="18:68" s="2" customFormat="1" x14ac:dyDescent="0.25"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</row>
    <row r="580" spans="18:68" s="2" customFormat="1" x14ac:dyDescent="0.25"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</row>
    <row r="581" spans="18:68" s="2" customFormat="1" x14ac:dyDescent="0.25"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</row>
    <row r="582" spans="18:68" s="2" customFormat="1" x14ac:dyDescent="0.25"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</row>
    <row r="583" spans="18:68" s="2" customFormat="1" x14ac:dyDescent="0.25"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</row>
    <row r="584" spans="18:68" s="2" customFormat="1" x14ac:dyDescent="0.25"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</row>
    <row r="585" spans="18:68" s="2" customFormat="1" x14ac:dyDescent="0.25"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</row>
    <row r="586" spans="18:68" s="2" customFormat="1" x14ac:dyDescent="0.25"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</row>
    <row r="587" spans="18:68" s="2" customFormat="1" x14ac:dyDescent="0.25"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</row>
    <row r="588" spans="18:68" s="2" customFormat="1" x14ac:dyDescent="0.25"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</row>
    <row r="589" spans="18:68" s="2" customFormat="1" x14ac:dyDescent="0.25"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</row>
    <row r="590" spans="18:68" s="2" customFormat="1" x14ac:dyDescent="0.25"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</row>
    <row r="591" spans="18:68" s="2" customFormat="1" x14ac:dyDescent="0.25"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</row>
    <row r="592" spans="18:68" s="2" customFormat="1" x14ac:dyDescent="0.25"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</row>
    <row r="593" spans="18:68" s="2" customFormat="1" x14ac:dyDescent="0.25"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</row>
    <row r="594" spans="18:68" s="2" customFormat="1" x14ac:dyDescent="0.25"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</row>
    <row r="595" spans="18:68" s="2" customFormat="1" x14ac:dyDescent="0.25"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</row>
    <row r="596" spans="18:68" s="2" customFormat="1" x14ac:dyDescent="0.25"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</row>
    <row r="597" spans="18:68" s="2" customFormat="1" x14ac:dyDescent="0.25"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</row>
    <row r="598" spans="18:68" s="2" customFormat="1" x14ac:dyDescent="0.25"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</row>
    <row r="599" spans="18:68" s="2" customFormat="1" x14ac:dyDescent="0.25"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</row>
    <row r="600" spans="18:68" s="2" customFormat="1" x14ac:dyDescent="0.25"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</row>
    <row r="601" spans="18:68" s="2" customFormat="1" x14ac:dyDescent="0.25"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</row>
    <row r="602" spans="18:68" s="2" customFormat="1" x14ac:dyDescent="0.25"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</row>
    <row r="603" spans="18:68" s="2" customFormat="1" x14ac:dyDescent="0.25"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</row>
    <row r="604" spans="18:68" s="2" customFormat="1" x14ac:dyDescent="0.25"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</row>
    <row r="605" spans="18:68" s="2" customFormat="1" x14ac:dyDescent="0.25"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</row>
    <row r="606" spans="18:68" s="2" customFormat="1" x14ac:dyDescent="0.25"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</row>
    <row r="607" spans="18:68" s="2" customFormat="1" x14ac:dyDescent="0.25"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</row>
    <row r="608" spans="18:68" s="2" customFormat="1" x14ac:dyDescent="0.25"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</row>
    <row r="609" spans="18:68" s="2" customFormat="1" x14ac:dyDescent="0.25"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</row>
    <row r="610" spans="18:68" s="2" customFormat="1" x14ac:dyDescent="0.25"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</row>
    <row r="611" spans="18:68" s="2" customFormat="1" x14ac:dyDescent="0.25"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</row>
    <row r="612" spans="18:68" s="2" customFormat="1" x14ac:dyDescent="0.25"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</row>
    <row r="613" spans="18:68" s="2" customFormat="1" x14ac:dyDescent="0.25"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</row>
    <row r="614" spans="18:68" s="2" customFormat="1" x14ac:dyDescent="0.25"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</row>
    <row r="615" spans="18:68" s="2" customFormat="1" x14ac:dyDescent="0.25"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</row>
    <row r="616" spans="18:68" s="2" customFormat="1" x14ac:dyDescent="0.25"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</row>
    <row r="617" spans="18:68" s="2" customFormat="1" x14ac:dyDescent="0.25"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</row>
    <row r="618" spans="18:68" s="2" customFormat="1" x14ac:dyDescent="0.25"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</row>
    <row r="619" spans="18:68" s="2" customFormat="1" x14ac:dyDescent="0.25"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</row>
    <row r="620" spans="18:68" s="2" customFormat="1" x14ac:dyDescent="0.25"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</row>
    <row r="621" spans="18:68" s="2" customFormat="1" x14ac:dyDescent="0.25"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</row>
    <row r="622" spans="18:68" s="2" customFormat="1" x14ac:dyDescent="0.25"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</row>
    <row r="623" spans="18:68" s="2" customFormat="1" x14ac:dyDescent="0.25"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</row>
    <row r="624" spans="18:68" s="2" customFormat="1" x14ac:dyDescent="0.25"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</row>
    <row r="625" spans="18:68" s="2" customFormat="1" x14ac:dyDescent="0.25"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</row>
    <row r="626" spans="18:68" s="2" customFormat="1" x14ac:dyDescent="0.25"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</row>
    <row r="627" spans="18:68" s="2" customFormat="1" x14ac:dyDescent="0.25"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</row>
    <row r="628" spans="18:68" s="2" customFormat="1" x14ac:dyDescent="0.25"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</row>
    <row r="629" spans="18:68" s="2" customFormat="1" x14ac:dyDescent="0.25"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</row>
    <row r="630" spans="18:68" s="2" customFormat="1" x14ac:dyDescent="0.25"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</row>
  </sheetData>
  <mergeCells count="2">
    <mergeCell ref="A1:N1"/>
    <mergeCell ref="A20:C20"/>
  </mergeCells>
  <pageMargins left="0.70866141732283472" right="0.70866141732283472" top="0.74803149606299213" bottom="0.74803149606299213" header="0.31496062992125984" footer="0.31496062992125984"/>
  <pageSetup paperSize="9" scale="78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Employment</vt:lpstr>
      <vt:lpstr>Employment!Print_Area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2021-12-13T21:38:58Z</cp:lastPrinted>
  <dcterms:created xsi:type="dcterms:W3CDTF">2019-05-14T08:05:18Z</dcterms:created>
  <dcterms:modified xsi:type="dcterms:W3CDTF">2021-12-13T21:47:33Z</dcterms:modified>
</cp:coreProperties>
</file>