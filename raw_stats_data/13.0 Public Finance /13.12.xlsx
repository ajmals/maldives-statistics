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12" sheetId="3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'13.12'!$A$1:$R$78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P8" i="33" l="1"/>
  <c r="P9" i="33"/>
  <c r="P10" i="33"/>
  <c r="P11" i="33"/>
  <c r="P14" i="33"/>
  <c r="P15" i="33"/>
  <c r="P16" i="33"/>
  <c r="P17" i="33"/>
  <c r="P18" i="33"/>
  <c r="P19" i="33"/>
  <c r="P20" i="33"/>
  <c r="P21" i="33"/>
  <c r="P22" i="33"/>
  <c r="P23" i="33"/>
  <c r="P24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1" i="33"/>
  <c r="P42" i="33"/>
  <c r="P43" i="33"/>
  <c r="P44" i="33"/>
  <c r="P45" i="33"/>
  <c r="P46" i="33"/>
  <c r="P47" i="33"/>
  <c r="P48" i="33"/>
  <c r="P49" i="33"/>
  <c r="P50" i="33"/>
  <c r="P51" i="33"/>
  <c r="P52" i="33"/>
  <c r="P53" i="33"/>
  <c r="P54" i="33"/>
  <c r="P56" i="33"/>
  <c r="P58" i="33"/>
  <c r="P59" i="33"/>
  <c r="P60" i="33"/>
  <c r="P61" i="33"/>
  <c r="P62" i="33"/>
  <c r="P63" i="33"/>
  <c r="P64" i="33"/>
  <c r="P65" i="33"/>
  <c r="P66" i="33"/>
  <c r="P69" i="33"/>
  <c r="G7" i="33"/>
  <c r="N12" i="33" s="1"/>
  <c r="F7" i="33"/>
  <c r="M68" i="33" s="1"/>
  <c r="E7" i="33"/>
  <c r="L69" i="33" s="1"/>
  <c r="D7" i="33"/>
  <c r="K32" i="33" s="1"/>
  <c r="C7" i="33"/>
  <c r="J35" i="33" s="1"/>
  <c r="B7" i="33"/>
  <c r="I38" i="33" s="1"/>
  <c r="I8" i="33" l="1"/>
  <c r="M69" i="33"/>
  <c r="L68" i="33"/>
  <c r="K68" i="33"/>
  <c r="J24" i="33"/>
  <c r="K69" i="33"/>
  <c r="J68" i="33"/>
  <c r="J29" i="33"/>
  <c r="J69" i="33"/>
  <c r="N69" i="33"/>
  <c r="N68" i="33"/>
  <c r="P7" i="33"/>
  <c r="L64" i="33"/>
  <c r="L61" i="33"/>
  <c r="L54" i="33"/>
  <c r="L51" i="33"/>
  <c r="L48" i="33"/>
  <c r="L44" i="33"/>
  <c r="L41" i="33"/>
  <c r="L38" i="33"/>
  <c r="L34" i="33"/>
  <c r="L30" i="33"/>
  <c r="L27" i="33"/>
  <c r="L20" i="33"/>
  <c r="L16" i="33"/>
  <c r="L65" i="33"/>
  <c r="L58" i="33"/>
  <c r="L55" i="33"/>
  <c r="L49" i="33"/>
  <c r="L45" i="33"/>
  <c r="L39" i="33"/>
  <c r="L35" i="33"/>
  <c r="L31" i="33"/>
  <c r="L24" i="33"/>
  <c r="L21" i="33"/>
  <c r="L66" i="33"/>
  <c r="L62" i="33"/>
  <c r="L59" i="33"/>
  <c r="L56" i="33"/>
  <c r="L52" i="33"/>
  <c r="L50" i="33"/>
  <c r="L46" i="33"/>
  <c r="L42" i="33"/>
  <c r="L36" i="33"/>
  <c r="L32" i="33"/>
  <c r="L28" i="33"/>
  <c r="L25" i="33"/>
  <c r="L22" i="33"/>
  <c r="L18" i="33"/>
  <c r="L67" i="33"/>
  <c r="L63" i="33"/>
  <c r="L60" i="33"/>
  <c r="L57" i="33"/>
  <c r="L53" i="33"/>
  <c r="L47" i="33"/>
  <c r="L43" i="33"/>
  <c r="L40" i="33"/>
  <c r="K8" i="33"/>
  <c r="N9" i="33"/>
  <c r="L10" i="33"/>
  <c r="J11" i="33"/>
  <c r="K14" i="33"/>
  <c r="I15" i="33"/>
  <c r="N15" i="33"/>
  <c r="K16" i="33"/>
  <c r="J17" i="33"/>
  <c r="L19" i="33"/>
  <c r="K22" i="33"/>
  <c r="N24" i="33"/>
  <c r="L26" i="33"/>
  <c r="K28" i="33"/>
  <c r="I30" i="33"/>
  <c r="N31" i="33"/>
  <c r="L33" i="33"/>
  <c r="K36" i="33"/>
  <c r="N39" i="33"/>
  <c r="I65" i="33"/>
  <c r="I58" i="33"/>
  <c r="I55" i="33"/>
  <c r="I49" i="33"/>
  <c r="I45" i="33"/>
  <c r="I39" i="33"/>
  <c r="I35" i="33"/>
  <c r="I31" i="33"/>
  <c r="I24" i="33"/>
  <c r="I21" i="33"/>
  <c r="I17" i="33"/>
  <c r="I9" i="33"/>
  <c r="I66" i="33"/>
  <c r="I62" i="33"/>
  <c r="I59" i="33"/>
  <c r="I56" i="33"/>
  <c r="I52" i="33"/>
  <c r="I50" i="33"/>
  <c r="I46" i="33"/>
  <c r="I42" i="33"/>
  <c r="I36" i="33"/>
  <c r="I32" i="33"/>
  <c r="I28" i="33"/>
  <c r="I25" i="33"/>
  <c r="I22" i="33"/>
  <c r="I67" i="33"/>
  <c r="I63" i="33"/>
  <c r="I60" i="33"/>
  <c r="I57" i="33"/>
  <c r="I53" i="33"/>
  <c r="I47" i="33"/>
  <c r="I43" i="33"/>
  <c r="I40" i="33"/>
  <c r="I37" i="33"/>
  <c r="I33" i="33"/>
  <c r="I29" i="33"/>
  <c r="I26" i="33"/>
  <c r="I23" i="33"/>
  <c r="I19" i="33"/>
  <c r="I64" i="33"/>
  <c r="I61" i="33"/>
  <c r="I54" i="33"/>
  <c r="I51" i="33"/>
  <c r="I48" i="33"/>
  <c r="I44" i="33"/>
  <c r="I41" i="33"/>
  <c r="M65" i="33"/>
  <c r="M58" i="33"/>
  <c r="M55" i="33"/>
  <c r="M49" i="33"/>
  <c r="M45" i="33"/>
  <c r="M39" i="33"/>
  <c r="M35" i="33"/>
  <c r="M31" i="33"/>
  <c r="M24" i="33"/>
  <c r="M21" i="33"/>
  <c r="M17" i="33"/>
  <c r="M9" i="33"/>
  <c r="M66" i="33"/>
  <c r="M62" i="33"/>
  <c r="M59" i="33"/>
  <c r="M56" i="33"/>
  <c r="M52" i="33"/>
  <c r="M50" i="33"/>
  <c r="M46" i="33"/>
  <c r="M42" i="33"/>
  <c r="M36" i="33"/>
  <c r="M32" i="33"/>
  <c r="M28" i="33"/>
  <c r="M25" i="33"/>
  <c r="M22" i="33"/>
  <c r="M18" i="33"/>
  <c r="M67" i="33"/>
  <c r="M63" i="33"/>
  <c r="M60" i="33"/>
  <c r="M57" i="33"/>
  <c r="M53" i="33"/>
  <c r="M47" i="33"/>
  <c r="M43" i="33"/>
  <c r="M40" i="33"/>
  <c r="M37" i="33"/>
  <c r="M33" i="33"/>
  <c r="M29" i="33"/>
  <c r="M26" i="33"/>
  <c r="M23" i="33"/>
  <c r="M19" i="33"/>
  <c r="M64" i="33"/>
  <c r="M61" i="33"/>
  <c r="M54" i="33"/>
  <c r="M51" i="33"/>
  <c r="M48" i="33"/>
  <c r="M44" i="33"/>
  <c r="M41" i="33"/>
  <c r="L8" i="33"/>
  <c r="J9" i="33"/>
  <c r="M10" i="33"/>
  <c r="L11" i="33"/>
  <c r="L14" i="33"/>
  <c r="J15" i="33"/>
  <c r="M16" i="33"/>
  <c r="K17" i="33"/>
  <c r="I18" i="33"/>
  <c r="J21" i="33"/>
  <c r="M30" i="33"/>
  <c r="M38" i="33"/>
  <c r="J66" i="33"/>
  <c r="J62" i="33"/>
  <c r="J59" i="33"/>
  <c r="J56" i="33"/>
  <c r="J52" i="33"/>
  <c r="J50" i="33"/>
  <c r="J46" i="33"/>
  <c r="J42" i="33"/>
  <c r="J36" i="33"/>
  <c r="J32" i="33"/>
  <c r="J28" i="33"/>
  <c r="J25" i="33"/>
  <c r="J22" i="33"/>
  <c r="J18" i="33"/>
  <c r="J14" i="33"/>
  <c r="J10" i="33"/>
  <c r="J67" i="33"/>
  <c r="J63" i="33"/>
  <c r="J60" i="33"/>
  <c r="J57" i="33"/>
  <c r="J53" i="33"/>
  <c r="J47" i="33"/>
  <c r="J43" i="33"/>
  <c r="J40" i="33"/>
  <c r="J37" i="33"/>
  <c r="J33" i="33"/>
  <c r="J26" i="33"/>
  <c r="J23" i="33"/>
  <c r="J19" i="33"/>
  <c r="J64" i="33"/>
  <c r="J61" i="33"/>
  <c r="J54" i="33"/>
  <c r="J51" i="33"/>
  <c r="J48" i="33"/>
  <c r="J44" i="33"/>
  <c r="J41" i="33"/>
  <c r="J38" i="33"/>
  <c r="J34" i="33"/>
  <c r="J30" i="33"/>
  <c r="J27" i="33"/>
  <c r="J20" i="33"/>
  <c r="J65" i="33"/>
  <c r="J58" i="33"/>
  <c r="J55" i="33"/>
  <c r="J49" i="33"/>
  <c r="J45" i="33"/>
  <c r="N66" i="33"/>
  <c r="N62" i="33"/>
  <c r="N59" i="33"/>
  <c r="N56" i="33"/>
  <c r="N52" i="33"/>
  <c r="N50" i="33"/>
  <c r="N46" i="33"/>
  <c r="N42" i="33"/>
  <c r="N36" i="33"/>
  <c r="N32" i="33"/>
  <c r="N28" i="33"/>
  <c r="N25" i="33"/>
  <c r="N22" i="33"/>
  <c r="N18" i="33"/>
  <c r="N14" i="33"/>
  <c r="N10" i="33"/>
  <c r="N67" i="33"/>
  <c r="N63" i="33"/>
  <c r="N60" i="33"/>
  <c r="N57" i="33"/>
  <c r="N53" i="33"/>
  <c r="N47" i="33"/>
  <c r="N43" i="33"/>
  <c r="N40" i="33"/>
  <c r="N37" i="33"/>
  <c r="N33" i="33"/>
  <c r="N29" i="33"/>
  <c r="N26" i="33"/>
  <c r="N23" i="33"/>
  <c r="N19" i="33"/>
  <c r="N64" i="33"/>
  <c r="N61" i="33"/>
  <c r="N54" i="33"/>
  <c r="N51" i="33"/>
  <c r="N48" i="33"/>
  <c r="N44" i="33"/>
  <c r="N41" i="33"/>
  <c r="N38" i="33"/>
  <c r="N34" i="33"/>
  <c r="N30" i="33"/>
  <c r="N27" i="33"/>
  <c r="N20" i="33"/>
  <c r="N65" i="33"/>
  <c r="N58" i="33"/>
  <c r="N55" i="33"/>
  <c r="N49" i="33"/>
  <c r="N45" i="33"/>
  <c r="M8" i="33"/>
  <c r="K9" i="33"/>
  <c r="I10" i="33"/>
  <c r="M11" i="33"/>
  <c r="N13" i="33"/>
  <c r="M14" i="33"/>
  <c r="L15" i="33"/>
  <c r="I16" i="33"/>
  <c r="N16" i="33"/>
  <c r="L17" i="33"/>
  <c r="K18" i="33"/>
  <c r="I20" i="33"/>
  <c r="N21" i="33"/>
  <c r="L23" i="33"/>
  <c r="K25" i="33"/>
  <c r="I27" i="33"/>
  <c r="L29" i="33"/>
  <c r="I34" i="33"/>
  <c r="N35" i="33"/>
  <c r="L37" i="33"/>
  <c r="K67" i="33"/>
  <c r="K63" i="33"/>
  <c r="K60" i="33"/>
  <c r="K57" i="33"/>
  <c r="K53" i="33"/>
  <c r="K47" i="33"/>
  <c r="K43" i="33"/>
  <c r="K40" i="33"/>
  <c r="K37" i="33"/>
  <c r="K33" i="33"/>
  <c r="K29" i="33"/>
  <c r="K26" i="33"/>
  <c r="K23" i="33"/>
  <c r="K19" i="33"/>
  <c r="K15" i="33"/>
  <c r="K11" i="33"/>
  <c r="K64" i="33"/>
  <c r="K61" i="33"/>
  <c r="K54" i="33"/>
  <c r="K51" i="33"/>
  <c r="K48" i="33"/>
  <c r="K44" i="33"/>
  <c r="K41" i="33"/>
  <c r="K38" i="33"/>
  <c r="K34" i="33"/>
  <c r="K30" i="33"/>
  <c r="K27" i="33"/>
  <c r="K20" i="33"/>
  <c r="K65" i="33"/>
  <c r="K58" i="33"/>
  <c r="K55" i="33"/>
  <c r="K49" i="33"/>
  <c r="K45" i="33"/>
  <c r="K39" i="33"/>
  <c r="K35" i="33"/>
  <c r="K31" i="33"/>
  <c r="K24" i="33"/>
  <c r="K21" i="33"/>
  <c r="K66" i="33"/>
  <c r="K62" i="33"/>
  <c r="K59" i="33"/>
  <c r="K56" i="33"/>
  <c r="K52" i="33"/>
  <c r="K50" i="33"/>
  <c r="K46" i="33"/>
  <c r="K42" i="33"/>
  <c r="J8" i="33"/>
  <c r="N8" i="33"/>
  <c r="L9" i="33"/>
  <c r="K10" i="33"/>
  <c r="I11" i="33"/>
  <c r="N11" i="33"/>
  <c r="I14" i="33"/>
  <c r="M15" i="33"/>
  <c r="J16" i="33"/>
  <c r="N17" i="33"/>
  <c r="M20" i="33"/>
  <c r="M27" i="33"/>
  <c r="J31" i="33"/>
  <c r="M34" i="33"/>
  <c r="J39" i="33"/>
  <c r="J7" i="33" l="1"/>
  <c r="L7" i="33"/>
  <c r="M7" i="33"/>
  <c r="K7" i="33"/>
  <c r="N7" i="33"/>
  <c r="I7" i="33"/>
</calcChain>
</file>

<file path=xl/sharedStrings.xml><?xml version="1.0" encoding="utf-8"?>
<sst xmlns="http://schemas.openxmlformats.org/spreadsheetml/2006/main" count="142" uniqueCount="142">
  <si>
    <t xml:space="preserve">މުދަލާއި ޚިދުމަތުން ނެގޭ ޓެކްސް     </t>
  </si>
  <si>
    <t>ބިޒްނަސް ޕްރޮފިޓް ޓެކްސް</t>
  </si>
  <si>
    <t>ގްރީން ޓެކްސް</t>
  </si>
  <si>
    <t>Description</t>
  </si>
  <si>
    <t>ތަފްސީލު</t>
  </si>
  <si>
    <t>2019*</t>
  </si>
  <si>
    <t>އެއަރޕޯޓް ސަރވިސް ޗާޖް</t>
  </si>
  <si>
    <t>Airport Development Fee***</t>
  </si>
  <si>
    <t>އެއަރޕޯޓް ޑިވެލޮޕްމަންޓް ފީ</t>
  </si>
  <si>
    <t xml:space="preserve">Business Profit Tax/ Income Tax - Companies and Non-Individuals
</t>
  </si>
  <si>
    <t>އަމިއްލަ ފަރުދުންގެ އާމްދަނީން ނެގޭ ޓެކްސް</t>
  </si>
  <si>
    <t>ޓްރާންސްޕޯޓް އޮޕްރޭޓަރގެ އާމްދަނީން ނެގޭ ޓެކްސް</t>
  </si>
  <si>
    <t>Construction Period Extension Fee***</t>
  </si>
  <si>
    <t>Corporate Social Responsibility Fee***</t>
  </si>
  <si>
    <t>ޖޫރިމަނާ</t>
  </si>
  <si>
    <t>Green Tax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</si>
  <si>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</si>
  <si>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</si>
  <si>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</si>
  <si>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</si>
  <si>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</si>
  <si>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</si>
  <si>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</si>
  <si>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</si>
  <si>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</si>
  <si>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</si>
  <si>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އެހެނިހެން</t>
  </si>
  <si>
    <t>Total</t>
  </si>
  <si>
    <t>ޖުމްލަ</t>
  </si>
  <si>
    <t>Source: Maldives Inland Revenue Authority</t>
  </si>
  <si>
    <t>2019*: 2019 Figures revised as per Internal Audit reconciliation on 31s March 2020</t>
  </si>
  <si>
    <t>2020 Figures reconciled as of 11.02.2021</t>
  </si>
  <si>
    <t>2019 އާއި އަޅާބަލާއިރު 2020 ގައި އިތުރުވި މިންވަރު (%)</t>
  </si>
  <si>
    <t>Percentage  shares</t>
  </si>
  <si>
    <t>Percentage change  over 2019</t>
  </si>
  <si>
    <t xml:space="preserve">ބެހިފައިވާ ގޮތް ސައްތައިން </t>
  </si>
  <si>
    <t>Airport Service Charge</t>
  </si>
  <si>
    <t>Bank Profit Tax</t>
  </si>
  <si>
    <t>ބެންކް ފައިދާގެ ޓެކްސް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</si>
  <si>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</si>
  <si>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</si>
  <si>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</si>
  <si>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</si>
  <si>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</si>
  <si>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</si>
  <si>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</si>
  <si>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</si>
  <si>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</si>
  <si>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</si>
  <si>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</si>
  <si>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</si>
  <si>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</si>
  <si>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</si>
  <si>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</si>
  <si>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</si>
  <si>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</si>
  <si>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</si>
  <si>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</si>
  <si>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</si>
  <si>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</si>
  <si>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</si>
  <si>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</si>
  <si>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</si>
  <si>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</si>
  <si>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</si>
  <si>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</si>
  <si>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</si>
  <si>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</si>
  <si>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</si>
  <si>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</si>
  <si>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</si>
  <si>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</si>
  <si>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</si>
  <si>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</si>
  <si>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</si>
  <si>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</si>
  <si>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</si>
  <si>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</si>
  <si>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</si>
  <si>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</si>
  <si>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</si>
  <si>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</si>
  <si>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</si>
  <si>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</si>
  <si>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</si>
  <si>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</si>
  <si>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</si>
  <si>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</si>
  <si>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</si>
  <si>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</si>
  <si>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</si>
  <si>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</si>
  <si>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</si>
  <si>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</si>
  <si>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</si>
  <si>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</si>
  <si>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</si>
  <si>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</si>
  <si>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</si>
  <si>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</si>
  <si>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</si>
  <si>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Administration Fee</t>
  </si>
  <si>
    <t xml:space="preserve"> 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</si>
  <si>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</si>
  <si>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</si>
  <si>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</si>
  <si>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</si>
  <si>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</si>
  <si>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</si>
  <si>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</si>
  <si>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</si>
  <si>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</si>
  <si>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</si>
  <si>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</si>
  <si>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</si>
  <si>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</si>
  <si>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</si>
  <si>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</si>
  <si>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</si>
  <si>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Dive School Registration Fee***</t>
  </si>
  <si>
    <r>
      <t xml:space="preserve">ޑްރައިވިންގ ސްކޫލް ރެޖިސްޓްރޭޝަން ފީ </t>
    </r>
    <r>
      <rPr>
        <sz val="8"/>
        <rFont val="Faruma"/>
      </rPr>
      <t>***</t>
    </r>
  </si>
  <si>
    <t>Guest House Registration Fee***</t>
  </si>
  <si>
    <r>
      <t xml:space="preserve">ގެސްޓް ހައުސް ރެޖިސްޓްރޭޝަން ފީ </t>
    </r>
    <r>
      <rPr>
        <sz val="8"/>
        <rFont val="Faruma"/>
      </rPr>
      <t>***</t>
    </r>
  </si>
  <si>
    <t>Other Registrations &amp; License Fees***</t>
  </si>
  <si>
    <r>
      <t xml:space="preserve">އެހެނިހެންރެޖިސްޓްރޭޝަން އަދި ލައިސަންސް ފީ </t>
    </r>
    <r>
      <rPr>
        <sz val="8"/>
        <rFont val="Faruma"/>
      </rPr>
      <t>***</t>
    </r>
  </si>
  <si>
    <t>Motor Vehicle and Vessel Registration Fee***</t>
  </si>
  <si>
    <r>
      <t xml:space="preserve">އެއްގަމު އުޅަނދު އަދި ކަނޑުގައި ދުއްވާ އުޅަނދު ރެޖިސްޓްރޭޝަން ފީ </t>
    </r>
    <r>
      <rPr>
        <sz val="8"/>
        <rFont val="Faruma"/>
      </rPr>
      <t>***</t>
    </r>
  </si>
  <si>
    <t>Bank Mortgage Registration Fee***</t>
  </si>
  <si>
    <r>
      <t xml:space="preserve">ބޭންކް މޯގޭޖް ރެޖިސްޓްރޭޝަން ފީ </t>
    </r>
    <r>
      <rPr>
        <sz val="8"/>
        <rFont val="Faruma"/>
      </rPr>
      <t>***</t>
    </r>
  </si>
  <si>
    <t>Sale of Tender Documents***</t>
  </si>
  <si>
    <r>
      <t xml:space="preserve">ސޭލް އޮފް ޓެންޑަރ ޑޮކިއުމަންޓްސް </t>
    </r>
    <r>
      <rPr>
        <sz val="8"/>
        <rFont val="Faruma"/>
      </rPr>
      <t>***</t>
    </r>
  </si>
  <si>
    <t>މަޢުލޫމާތު ދެއްވި ފަރާތް: މޯލްޑިވްސް އިންލަންޑް ރެވެނިއު އޮތޯރިޓީ</t>
  </si>
  <si>
    <t>**Remittance tax added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</si>
  <si>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</si>
  <si>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 xml:space="preserve">Individual Income Tax6
</t>
  </si>
  <si>
    <t>Transport Operator Income7</t>
  </si>
  <si>
    <t>Online Business And Activity Registration Fee ****</t>
  </si>
  <si>
    <t>Others5</t>
  </si>
  <si>
    <t>****Loan Repayment and National Student Loan and Online Business and Activity Registration Fee added</t>
  </si>
  <si>
    <r>
      <t xml:space="preserve">އޮންލައިން ބިޒްނަސް އަދި ރެޖިސްޓްރޭޝަން ފީ </t>
    </r>
    <r>
      <rPr>
        <sz val="8"/>
        <rFont val="Faruma"/>
      </rPr>
      <t>****</t>
    </r>
  </si>
  <si>
    <t>Table 13.12: REVENUE COLLECTED BY DETAILED CATEGORIES,  2016 - 2020</t>
  </si>
  <si>
    <t>ތާވަލު 13.12: ޢާމްދަނީގެ ގޮތުގައި ލިބުނު ފައިސާގެ ތަފްޞީލު، 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</si>
</sst>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,##0.0"/>
    <numFmt numFmtId="166" formatCode="0.0"/>
    <numFmt numFmtId="167" formatCode="_-* #,##0.00_-;\-* #,##0.00_-;_-* &quot;-&quot;??_-;_-@_-"/>
    <numFmt numFmtId="168" formatCode="#,##0.00\ ;&quot; (&quot;#,##0.00\);&quot; -&quot;#\ ;@\ "/>
    <numFmt numFmtId="169" formatCode="_(* #,##0_);_(* \(#,##0\);_(* &quot;-&quot;??_);_(@_)"/>
    <numFmt numFmtId="170" formatCode="#,##0_);\-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9"/>
      <name val="Calibri"/>
      <family val="2"/>
      <scheme val="minor"/>
    </font>
    <font>
      <sz val="10"/>
      <name val="Faruma"/>
    </font>
    <font>
      <sz val="9.5"/>
      <name val="Faruma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Calibri"/>
      <family val="2"/>
      <scheme val="minor"/>
    </font>
    <font>
      <sz val="11"/>
      <name val="Faruma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Faruma"/>
    </font>
    <font>
      <sz val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0" fontId="5" fillId="0" borderId="0"/>
    <xf numFmtId="168" fontId="5" fillId="0" borderId="0"/>
    <xf numFmtId="0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6" fontId="11" fillId="0" borderId="0"/>
    <xf numFmtId="4" fontId="1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6">
    <xf numFmtId="0" fontId="0" fillId="0" borderId="0" xfId="0"/>
    <xf numFmtId="0" fontId="16" fillId="2" borderId="0" xfId="0" applyFont="1" applyFill="1" applyAlignment="1">
      <alignment vertical="top" wrapText="1"/>
    </xf>
    <xf numFmtId="170" fontId="14" fillId="2" borderId="0" xfId="0" applyNumberFormat="1" applyFont="1" applyFill="1" applyAlignment="1">
      <alignment horizontal="left" vertical="top"/>
    </xf>
    <xf numFmtId="0" fontId="8" fillId="2" borderId="0" xfId="0" applyFont="1" applyFill="1" applyBorder="1" applyAlignment="1">
      <alignment vertical="center" wrapText="1"/>
    </xf>
    <xf numFmtId="165" fontId="21" fillId="2" borderId="0" xfId="2" applyNumberFormat="1" applyFont="1" applyFill="1" applyBorder="1" applyAlignment="1">
      <alignment horizontal="right" vertical="center"/>
    </xf>
    <xf numFmtId="170" fontId="24" fillId="2" borderId="0" xfId="0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top" wrapText="1"/>
    </xf>
    <xf numFmtId="0" fontId="19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 wrapText="1"/>
    </xf>
    <xf numFmtId="169" fontId="13" fillId="2" borderId="0" xfId="0" applyNumberFormat="1" applyFont="1" applyFill="1" applyAlignment="1">
      <alignment horizontal="center" vertical="center" wrapText="1"/>
    </xf>
    <xf numFmtId="1" fontId="13" fillId="2" borderId="0" xfId="0" applyNumberFormat="1" applyFont="1" applyFill="1" applyAlignment="1">
      <alignment horizontal="center" vertical="center" wrapText="1"/>
    </xf>
    <xf numFmtId="0" fontId="25" fillId="2" borderId="0" xfId="0" applyFont="1" applyFill="1" applyAlignment="1">
      <alignment vertical="top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23" fillId="2" borderId="8" xfId="0" applyFont="1" applyFill="1" applyBorder="1" applyAlignment="1">
      <alignment horizontal="right" vertical="center" wrapText="1"/>
    </xf>
    <xf numFmtId="0" fontId="23" fillId="2" borderId="11" xfId="0" applyFont="1" applyFill="1" applyBorder="1" applyAlignment="1">
      <alignment horizontal="right" vertical="center" wrapText="1"/>
    </xf>
    <xf numFmtId="169" fontId="27" fillId="2" borderId="0" xfId="0" applyNumberFormat="1" applyFont="1" applyFill="1" applyAlignment="1">
      <alignment horizontal="right" vertical="center" wrapText="1"/>
    </xf>
    <xf numFmtId="169" fontId="27" fillId="2" borderId="7" xfId="0" applyNumberFormat="1" applyFont="1" applyFill="1" applyBorder="1" applyAlignment="1">
      <alignment horizontal="right" vertical="center" wrapText="1"/>
    </xf>
    <xf numFmtId="1" fontId="27" fillId="2" borderId="0" xfId="0" applyNumberFormat="1" applyFont="1" applyFill="1" applyBorder="1" applyAlignment="1">
      <alignment horizontal="right" vertical="center" wrapText="1"/>
    </xf>
    <xf numFmtId="0" fontId="28" fillId="2" borderId="0" xfId="0" applyFont="1" applyFill="1" applyAlignment="1">
      <alignment vertical="top" wrapText="1"/>
    </xf>
    <xf numFmtId="0" fontId="23" fillId="2" borderId="0" xfId="0" applyFont="1" applyFill="1" applyAlignment="1">
      <alignment vertical="top" wrapText="1"/>
    </xf>
    <xf numFmtId="169" fontId="22" fillId="2" borderId="0" xfId="1" applyNumberFormat="1" applyFont="1" applyFill="1" applyBorder="1" applyAlignment="1">
      <alignment horizontal="right" vertical="center" wrapText="1"/>
    </xf>
    <xf numFmtId="169" fontId="22" fillId="2" borderId="7" xfId="1" applyNumberFormat="1" applyFont="1" applyFill="1" applyBorder="1" applyAlignment="1">
      <alignment horizontal="right" vertical="center" wrapText="1"/>
    </xf>
    <xf numFmtId="166" fontId="22" fillId="2" borderId="0" xfId="0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 applyBorder="1" applyAlignment="1">
      <alignment horizontal="right" vertical="center" wrapText="1"/>
    </xf>
    <xf numFmtId="0" fontId="29" fillId="2" borderId="0" xfId="0" applyFont="1" applyFill="1" applyAlignment="1">
      <alignment vertical="top" wrapText="1"/>
    </xf>
    <xf numFmtId="164" fontId="14" fillId="2" borderId="0" xfId="1" applyFont="1" applyFill="1" applyAlignment="1">
      <alignment horizontal="left" vertical="top"/>
    </xf>
    <xf numFmtId="0" fontId="29" fillId="2" borderId="0" xfId="0" applyFont="1" applyFill="1" applyAlignment="1">
      <alignment vertical="top"/>
    </xf>
    <xf numFmtId="165" fontId="29" fillId="2" borderId="0" xfId="2" applyNumberFormat="1" applyFont="1" applyFill="1" applyAlignment="1">
      <alignment horizontal="right" vertical="center"/>
    </xf>
    <xf numFmtId="0" fontId="29" fillId="2" borderId="0" xfId="0" applyFont="1" applyFill="1" applyBorder="1" applyAlignment="1">
      <alignment vertical="top" wrapText="1"/>
    </xf>
    <xf numFmtId="0" fontId="22" fillId="2" borderId="0" xfId="0" applyFont="1" applyFill="1" applyBorder="1" applyAlignment="1">
      <alignment horizontal="left" vertical="center"/>
    </xf>
    <xf numFmtId="166" fontId="22" fillId="2" borderId="1" xfId="0" applyNumberFormat="1" applyFont="1" applyFill="1" applyBorder="1" applyAlignment="1">
      <alignment horizontal="right" vertical="center" wrapText="1"/>
    </xf>
    <xf numFmtId="1" fontId="22" fillId="2" borderId="1" xfId="0" applyNumberFormat="1" applyFont="1" applyFill="1" applyBorder="1" applyAlignment="1">
      <alignment horizontal="right" vertical="center" wrapText="1"/>
    </xf>
    <xf numFmtId="0" fontId="29" fillId="2" borderId="1" xfId="0" applyFont="1" applyFill="1" applyBorder="1" applyAlignment="1">
      <alignment vertical="top" wrapText="1"/>
    </xf>
    <xf numFmtId="3" fontId="22" fillId="2" borderId="0" xfId="1" applyNumberFormat="1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vertical="center"/>
    </xf>
    <xf numFmtId="169" fontId="16" fillId="2" borderId="0" xfId="1" applyNumberFormat="1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20" fillId="2" borderId="0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center"/>
    </xf>
    <xf numFmtId="1" fontId="27" fillId="2" borderId="7" xfId="0" applyNumberFormat="1" applyFont="1" applyFill="1" applyBorder="1" applyAlignment="1">
      <alignment horizontal="right" vertical="center" wrapText="1"/>
    </xf>
    <xf numFmtId="0" fontId="22" fillId="2" borderId="0" xfId="0" applyFont="1" applyFill="1" applyAlignment="1">
      <alignment horizontal="left" vertical="center"/>
    </xf>
    <xf numFmtId="1" fontId="22" fillId="2" borderId="7" xfId="0" applyNumberFormat="1" applyFont="1" applyFill="1" applyBorder="1" applyAlignment="1">
      <alignment horizontal="right" vertical="center" wrapText="1"/>
    </xf>
    <xf numFmtId="169" fontId="22" fillId="2" borderId="1" xfId="1" applyNumberFormat="1" applyFont="1" applyFill="1" applyBorder="1" applyAlignment="1">
      <alignment horizontal="right" vertical="center" wrapText="1"/>
    </xf>
    <xf numFmtId="1" fontId="22" fillId="2" borderId="8" xfId="0" applyNumberFormat="1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left" vertical="center"/>
    </xf>
    <xf numFmtId="0" fontId="16" fillId="2" borderId="0" xfId="0" applyFont="1" applyFill="1" applyAlignment="1">
      <alignment vertical="top"/>
    </xf>
    <xf numFmtId="3" fontId="22" fillId="2" borderId="5" xfId="1" applyNumberFormat="1" applyFont="1" applyFill="1" applyBorder="1" applyAlignment="1">
      <alignment horizontal="center" vertical="center" wrapText="1"/>
    </xf>
    <xf numFmtId="3" fontId="22" fillId="2" borderId="3" xfId="1" applyNumberFormat="1" applyFont="1" applyFill="1" applyBorder="1" applyAlignment="1">
      <alignment horizontal="center" vertical="center" wrapText="1"/>
    </xf>
    <xf numFmtId="3" fontId="22" fillId="2" borderId="4" xfId="1" applyNumberFormat="1" applyFont="1" applyFill="1" applyBorder="1" applyAlignment="1">
      <alignment horizontal="center" vertical="center" wrapText="1"/>
    </xf>
    <xf numFmtId="166" fontId="14" fillId="2" borderId="0" xfId="1" applyNumberFormat="1" applyFont="1" applyFill="1" applyAlignment="1">
      <alignment horizontal="right" vertical="center"/>
    </xf>
    <xf numFmtId="166" fontId="22" fillId="2" borderId="3" xfId="0" applyNumberFormat="1" applyFont="1" applyFill="1" applyBorder="1" applyAlignment="1">
      <alignment horizontal="right" vertical="center" wrapText="1"/>
    </xf>
    <xf numFmtId="166" fontId="22" fillId="2" borderId="4" xfId="0" applyNumberFormat="1" applyFont="1" applyFill="1" applyBorder="1" applyAlignment="1">
      <alignment horizontal="right" vertical="center" wrapText="1"/>
    </xf>
    <xf numFmtId="169" fontId="22" fillId="2" borderId="0" xfId="1" applyNumberFormat="1" applyFont="1" applyFill="1" applyBorder="1" applyAlignment="1">
      <alignment horizontal="center" vertical="center" wrapText="1"/>
    </xf>
    <xf numFmtId="169" fontId="22" fillId="2" borderId="0" xfId="1" applyNumberFormat="1" applyFont="1" applyFill="1" applyBorder="1" applyAlignment="1">
      <alignment horizontal="right" vertical="center" wrapText="1" indent="7"/>
    </xf>
    <xf numFmtId="0" fontId="9" fillId="2" borderId="2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right" vertical="center" wrapText="1"/>
    </xf>
    <xf numFmtId="0" fontId="15" fillId="2" borderId="0" xfId="0" applyFont="1" applyFill="1" applyBorder="1" applyAlignment="1">
      <alignment horizontal="right" vertical="center" wrapText="1"/>
    </xf>
    <xf numFmtId="0" fontId="26" fillId="2" borderId="1" xfId="0" applyFont="1" applyFill="1" applyBorder="1" applyAlignment="1">
      <alignment horizontal="right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 readingOrder="2"/>
    </xf>
    <xf numFmtId="0" fontId="18" fillId="2" borderId="4" xfId="0" applyFont="1" applyFill="1" applyBorder="1" applyAlignment="1">
      <alignment horizontal="center" vertical="center" wrapText="1" readingOrder="2"/>
    </xf>
  </cellXfs>
  <cellStyles count="16">
    <cellStyle name="Comma" xfId="1" builtinId="3"/>
    <cellStyle name="Comma 2" xfId="6"/>
    <cellStyle name="Comma 3" xfId="7"/>
    <cellStyle name="Comma 4" xfId="3"/>
    <cellStyle name="Comma 4 2" xfId="14"/>
    <cellStyle name="Comma 5" xfId="12"/>
    <cellStyle name="Comma 6" xfId="9"/>
    <cellStyle name="Excel Built-in Comma" xfId="5"/>
    <cellStyle name="Excel Built-in Normal" xfId="4"/>
    <cellStyle name="Normal" xfId="0" builtinId="0"/>
    <cellStyle name="Normal 2" xfId="10"/>
    <cellStyle name="Normal 2 2" xfId="13"/>
    <cellStyle name="Normal 3" xfId="11"/>
    <cellStyle name="Normal 4" xfId="8"/>
    <cellStyle name="Normal_13 Public Finance_done" xfId="2"/>
    <cellStyle name="Percent 2" xfId="15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78"/>
  <sheetViews>
    <sheetView tabSelected="1" zoomScaleNormal="100" workbookViewId="0">
      <selection activeCell="D18" sqref="D18"/>
    </sheetView>
  </sheetViews>
  <sheetFormatPr defaultColWidth="8" defaultRowHeight="15.75" x14ac:dyDescent="0.25"/>
  <cols>
    <col min="1" max="1" width="58.42578125" style="50" customWidth="1"/>
    <col min="2" max="2" width="11" style="1" hidden="1" customWidth="1"/>
    <col min="3" max="3" width="16.42578125" style="1" customWidth="1"/>
    <col min="4" max="6" width="14.7109375" style="1" bestFit="1" customWidth="1"/>
    <col min="7" max="7" width="14.7109375" style="1" customWidth="1"/>
    <col min="8" max="8" width="4.7109375" style="1" customWidth="1"/>
    <col min="9" max="9" width="8" style="1" hidden="1" customWidth="1"/>
    <col min="10" max="14" width="8" style="1" customWidth="1"/>
    <col min="15" max="15" width="1.28515625" style="1" customWidth="1"/>
    <col min="16" max="16" width="19.5703125" style="1" customWidth="1"/>
    <col min="17" max="17" width="33.7109375" style="11" customWidth="1"/>
    <col min="18" max="18" width="0.85546875" style="1" customWidth="1"/>
    <col min="19" max="16384" width="8" style="1"/>
  </cols>
  <sheetData>
    <row r="1" spans="1:17" s="6" customFormat="1" ht="21" x14ac:dyDescent="0.25">
      <c r="A1" s="61" t="s">
        <v>141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 ht="15" x14ac:dyDescent="0.25">
      <c r="A2" s="62" t="s">
        <v>140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x14ac:dyDescent="0.25">
      <c r="A3" s="7"/>
      <c r="B3" s="9"/>
      <c r="C3" s="10"/>
      <c r="D3" s="10"/>
      <c r="E3" s="10"/>
      <c r="F3" s="10"/>
      <c r="G3" s="10"/>
      <c r="H3" s="8"/>
      <c r="I3" s="8"/>
      <c r="J3" s="8"/>
      <c r="K3" s="8"/>
      <c r="L3" s="8"/>
      <c r="M3" s="8"/>
      <c r="N3" s="8"/>
      <c r="O3" s="8"/>
      <c r="P3" s="8"/>
    </row>
    <row r="4" spans="1:17" ht="30" customHeight="1" x14ac:dyDescent="0.25">
      <c r="A4" s="63" t="s">
        <v>3</v>
      </c>
      <c r="B4" s="66"/>
      <c r="C4" s="66"/>
      <c r="D4" s="66"/>
      <c r="E4" s="66"/>
      <c r="F4" s="66"/>
      <c r="G4" s="66"/>
      <c r="H4" s="12"/>
      <c r="I4" s="67" t="s">
        <v>33</v>
      </c>
      <c r="J4" s="66"/>
      <c r="K4" s="66"/>
      <c r="L4" s="66"/>
      <c r="M4" s="66"/>
      <c r="N4" s="66"/>
      <c r="O4" s="12"/>
      <c r="P4" s="13" t="s">
        <v>34</v>
      </c>
      <c r="Q4" s="68" t="s">
        <v>4</v>
      </c>
    </row>
    <row r="5" spans="1:17" ht="18.75" customHeight="1" x14ac:dyDescent="0.25">
      <c r="A5" s="64"/>
      <c r="B5" s="71"/>
      <c r="C5" s="71"/>
      <c r="D5" s="71"/>
      <c r="E5" s="71"/>
      <c r="F5" s="71"/>
      <c r="G5" s="71"/>
      <c r="H5" s="14"/>
      <c r="I5" s="72" t="s">
        <v>35</v>
      </c>
      <c r="J5" s="73"/>
      <c r="K5" s="73"/>
      <c r="L5" s="73"/>
      <c r="M5" s="73"/>
      <c r="N5" s="73"/>
      <c r="O5" s="42"/>
      <c r="P5" s="74" t="s">
        <v>32</v>
      </c>
      <c r="Q5" s="69"/>
    </row>
    <row r="6" spans="1:17" ht="15" customHeight="1" x14ac:dyDescent="0.25">
      <c r="A6" s="65"/>
      <c r="B6" s="16">
        <v>2015</v>
      </c>
      <c r="C6" s="15">
        <v>2016</v>
      </c>
      <c r="D6" s="15">
        <v>2017</v>
      </c>
      <c r="E6" s="15">
        <v>2018</v>
      </c>
      <c r="F6" s="15" t="s">
        <v>5</v>
      </c>
      <c r="G6" s="15">
        <v>2020</v>
      </c>
      <c r="H6" s="17"/>
      <c r="I6" s="18">
        <v>2015</v>
      </c>
      <c r="J6" s="18">
        <v>2016</v>
      </c>
      <c r="K6" s="18">
        <v>2017</v>
      </c>
      <c r="L6" s="18">
        <v>2018</v>
      </c>
      <c r="M6" s="18">
        <v>2019</v>
      </c>
      <c r="N6" s="18">
        <v>2020</v>
      </c>
      <c r="O6" s="17"/>
      <c r="P6" s="75"/>
      <c r="Q6" s="70"/>
    </row>
    <row r="7" spans="1:17" s="23" customFormat="1" ht="19.5" x14ac:dyDescent="0.25">
      <c r="A7" s="43" t="s">
        <v>27</v>
      </c>
      <c r="B7" s="19">
        <f t="shared" ref="B7:E7" si="0">SUM(B8:B67)</f>
        <v>13054416959.280201</v>
      </c>
      <c r="C7" s="19">
        <f t="shared" si="0"/>
        <v>14527983010.072802</v>
      </c>
      <c r="D7" s="19">
        <f t="shared" si="0"/>
        <v>15181890337.44755</v>
      </c>
      <c r="E7" s="19">
        <f t="shared" si="0"/>
        <v>16277744888.103025</v>
      </c>
      <c r="F7" s="19">
        <f>SUM(F8:F69)</f>
        <v>16741484479.047449</v>
      </c>
      <c r="G7" s="19">
        <f>SUM(G8:G69)</f>
        <v>10419649856.557802</v>
      </c>
      <c r="H7" s="20"/>
      <c r="I7" s="21">
        <f t="shared" ref="I7:N7" si="1">SUM(I8:I67)</f>
        <v>99.999999999999972</v>
      </c>
      <c r="J7" s="21">
        <f t="shared" si="1"/>
        <v>99.999999999999986</v>
      </c>
      <c r="K7" s="21">
        <f t="shared" si="1"/>
        <v>100.00000000000001</v>
      </c>
      <c r="L7" s="21">
        <f t="shared" si="1"/>
        <v>100.00000000000006</v>
      </c>
      <c r="M7" s="21">
        <f t="shared" si="1"/>
        <v>99.978443026814546</v>
      </c>
      <c r="N7" s="21">
        <f t="shared" si="1"/>
        <v>99.985733772818961</v>
      </c>
      <c r="O7" s="44"/>
      <c r="P7" s="51">
        <f>(G7/F7-1)*100</f>
        <v>-37.761493793466428</v>
      </c>
      <c r="Q7" s="22" t="s">
        <v>28</v>
      </c>
    </row>
    <row r="8" spans="1:17" ht="19.5" x14ac:dyDescent="0.25">
      <c r="A8" s="45" t="s">
        <v>36</v>
      </c>
      <c r="B8" s="24">
        <v>496698013.89529997</v>
      </c>
      <c r="C8" s="24">
        <v>537482907.12529993</v>
      </c>
      <c r="D8" s="24">
        <v>707769590.08371425</v>
      </c>
      <c r="E8" s="24">
        <v>647005652.04000008</v>
      </c>
      <c r="F8" s="24">
        <v>731095991.43890047</v>
      </c>
      <c r="G8" s="24">
        <v>283339591.02079999</v>
      </c>
      <c r="H8" s="25"/>
      <c r="I8" s="27">
        <f>B8/B$7*100</f>
        <v>3.8048272507659133</v>
      </c>
      <c r="J8" s="26">
        <f t="shared" ref="I8:N23" si="2">C8/C$7*100</f>
        <v>3.6996388745267854</v>
      </c>
      <c r="K8" s="26">
        <f t="shared" si="2"/>
        <v>4.6619332267071805</v>
      </c>
      <c r="L8" s="26">
        <f t="shared" si="2"/>
        <v>3.9747867808941977</v>
      </c>
      <c r="M8" s="26">
        <f t="shared" si="2"/>
        <v>4.3669723097368847</v>
      </c>
      <c r="N8" s="26">
        <f t="shared" si="2"/>
        <v>2.71928130907849</v>
      </c>
      <c r="O8" s="46"/>
      <c r="P8" s="52">
        <f t="shared" ref="P8:P69" si="3">(G8/F8-1)*100</f>
        <v>-61.244543214749747</v>
      </c>
      <c r="Q8" s="28" t="s">
        <v>6</v>
      </c>
    </row>
    <row r="9" spans="1:17" ht="19.5" x14ac:dyDescent="0.25">
      <c r="A9" s="45" t="s">
        <v>7</v>
      </c>
      <c r="B9" s="24">
        <v>0</v>
      </c>
      <c r="C9" s="24">
        <v>0</v>
      </c>
      <c r="D9" s="24">
        <v>328474085.79999995</v>
      </c>
      <c r="E9" s="24">
        <v>643250528.51762462</v>
      </c>
      <c r="F9" s="24">
        <v>733697538.34759951</v>
      </c>
      <c r="G9" s="24">
        <v>285888291.4224</v>
      </c>
      <c r="H9" s="25"/>
      <c r="I9" s="27">
        <f t="shared" si="2"/>
        <v>0</v>
      </c>
      <c r="J9" s="26">
        <f t="shared" si="2"/>
        <v>0</v>
      </c>
      <c r="K9" s="26">
        <f t="shared" si="2"/>
        <v>2.1635914797104543</v>
      </c>
      <c r="L9" s="26">
        <f t="shared" si="2"/>
        <v>3.9517177160563528</v>
      </c>
      <c r="M9" s="26">
        <f t="shared" si="2"/>
        <v>4.3825118332000219</v>
      </c>
      <c r="N9" s="26">
        <f t="shared" si="2"/>
        <v>2.7437418277781269</v>
      </c>
      <c r="O9" s="46"/>
      <c r="P9" s="52">
        <f t="shared" si="3"/>
        <v>-61.034584896350516</v>
      </c>
      <c r="Q9" s="28" t="s">
        <v>8</v>
      </c>
    </row>
    <row r="10" spans="1:17" ht="19.5" x14ac:dyDescent="0.25">
      <c r="A10" s="45" t="s">
        <v>37</v>
      </c>
      <c r="B10" s="24">
        <v>512725167.70999998</v>
      </c>
      <c r="C10" s="24">
        <v>491669611.60000002</v>
      </c>
      <c r="D10" s="24">
        <v>649894826.80999994</v>
      </c>
      <c r="E10" s="24">
        <v>564102077.25</v>
      </c>
      <c r="F10" s="24">
        <v>613969839.03999996</v>
      </c>
      <c r="G10" s="24">
        <v>953699643.38</v>
      </c>
      <c r="H10" s="25"/>
      <c r="I10" s="27">
        <f t="shared" si="2"/>
        <v>3.927599136057248</v>
      </c>
      <c r="J10" s="26">
        <f t="shared" si="2"/>
        <v>3.3842936852218704</v>
      </c>
      <c r="K10" s="26">
        <f t="shared" si="2"/>
        <v>4.2807240229299621</v>
      </c>
      <c r="L10" s="26">
        <f t="shared" si="2"/>
        <v>3.4654805142098484</v>
      </c>
      <c r="M10" s="26">
        <f t="shared" si="2"/>
        <v>3.6673560209574281</v>
      </c>
      <c r="N10" s="26">
        <f t="shared" si="2"/>
        <v>9.1528953132697755</v>
      </c>
      <c r="O10" s="46"/>
      <c r="P10" s="52">
        <f t="shared" si="3"/>
        <v>55.333305113358634</v>
      </c>
      <c r="Q10" s="28" t="s">
        <v>38</v>
      </c>
    </row>
    <row r="11" spans="1:17" ht="22.5" customHeight="1" x14ac:dyDescent="0.25">
      <c r="A11" s="45" t="s">
        <v>9</v>
      </c>
      <c r="B11" s="24">
        <v>2676515345.3940001</v>
      </c>
      <c r="C11" s="24">
        <v>2742014597.9856997</v>
      </c>
      <c r="D11" s="24">
        <v>2675941922.0164604</v>
      </c>
      <c r="E11" s="24">
        <v>2710318425.4878001</v>
      </c>
      <c r="F11" s="24">
        <v>2898887911.6715889</v>
      </c>
      <c r="G11" s="24">
        <v>2618266107.3859005</v>
      </c>
      <c r="H11" s="25"/>
      <c r="I11" s="27">
        <f t="shared" si="2"/>
        <v>20.502756681839422</v>
      </c>
      <c r="J11" s="26">
        <f t="shared" si="2"/>
        <v>18.874021232572733</v>
      </c>
      <c r="K11" s="26">
        <f t="shared" si="2"/>
        <v>17.625880984109074</v>
      </c>
      <c r="L11" s="26">
        <f t="shared" si="2"/>
        <v>16.650454004035293</v>
      </c>
      <c r="M11" s="26">
        <f t="shared" si="2"/>
        <v>17.315596566718131</v>
      </c>
      <c r="N11" s="26">
        <f t="shared" si="2"/>
        <v>25.128158272401503</v>
      </c>
      <c r="O11" s="46"/>
      <c r="P11" s="52">
        <f t="shared" si="3"/>
        <v>-9.6803261400980833</v>
      </c>
      <c r="Q11" s="28" t="s">
        <v>1</v>
      </c>
    </row>
    <row r="12" spans="1:17" ht="21.75" customHeight="1" x14ac:dyDescent="0.25">
      <c r="A12" s="45" t="s">
        <v>134</v>
      </c>
      <c r="B12" s="24"/>
      <c r="C12" s="29">
        <v>0</v>
      </c>
      <c r="D12" s="29">
        <v>0</v>
      </c>
      <c r="E12" s="29">
        <v>0</v>
      </c>
      <c r="F12" s="29">
        <v>0</v>
      </c>
      <c r="G12" s="24">
        <v>83037036.150000006</v>
      </c>
      <c r="H12" s="25"/>
      <c r="I12" s="29">
        <v>0</v>
      </c>
      <c r="J12" s="54">
        <v>0</v>
      </c>
      <c r="K12" s="54">
        <v>0</v>
      </c>
      <c r="L12" s="54">
        <v>0</v>
      </c>
      <c r="M12" s="54">
        <v>0</v>
      </c>
      <c r="N12" s="26">
        <f t="shared" si="2"/>
        <v>0.79692731803016481</v>
      </c>
      <c r="O12" s="46"/>
      <c r="P12" s="52">
        <v>0</v>
      </c>
      <c r="Q12" s="3" t="s">
        <v>10</v>
      </c>
    </row>
    <row r="13" spans="1:17" ht="18.75" x14ac:dyDescent="0.25">
      <c r="A13" s="45" t="s">
        <v>135</v>
      </c>
      <c r="B13" s="24"/>
      <c r="C13" s="29">
        <v>0</v>
      </c>
      <c r="D13" s="29">
        <v>0</v>
      </c>
      <c r="E13" s="29">
        <v>0</v>
      </c>
      <c r="F13" s="29">
        <v>0</v>
      </c>
      <c r="G13" s="24">
        <v>28179.579999999998</v>
      </c>
      <c r="H13" s="25"/>
      <c r="I13" s="29">
        <v>0</v>
      </c>
      <c r="J13" s="54">
        <v>0</v>
      </c>
      <c r="K13" s="54">
        <v>0</v>
      </c>
      <c r="L13" s="54">
        <v>0</v>
      </c>
      <c r="M13" s="54">
        <v>0</v>
      </c>
      <c r="N13" s="26">
        <f t="shared" si="2"/>
        <v>2.7044651584203329E-4</v>
      </c>
      <c r="O13" s="46"/>
      <c r="P13" s="52">
        <v>0</v>
      </c>
      <c r="Q13" s="3" t="s">
        <v>11</v>
      </c>
    </row>
    <row r="14" spans="1:17" ht="19.5" x14ac:dyDescent="0.25">
      <c r="A14" s="45" t="s">
        <v>39</v>
      </c>
      <c r="B14" s="24">
        <v>79113040.390000001</v>
      </c>
      <c r="C14" s="24">
        <v>102136920.65000001</v>
      </c>
      <c r="D14" s="24">
        <v>111408004.60159999</v>
      </c>
      <c r="E14" s="24">
        <v>99792129.519999996</v>
      </c>
      <c r="F14" s="24">
        <v>94322369.710000008</v>
      </c>
      <c r="G14" s="24">
        <v>48186481.089999996</v>
      </c>
      <c r="H14" s="25"/>
      <c r="I14" s="27">
        <f t="shared" si="2"/>
        <v>0.60602507669834804</v>
      </c>
      <c r="J14" s="26">
        <f t="shared" si="2"/>
        <v>0.70303579360730672</v>
      </c>
      <c r="K14" s="26">
        <f t="shared" si="2"/>
        <v>0.73382169232774497</v>
      </c>
      <c r="L14" s="26">
        <f t="shared" si="2"/>
        <v>0.6130586896771888</v>
      </c>
      <c r="M14" s="26">
        <f t="shared" si="2"/>
        <v>0.56340505424144283</v>
      </c>
      <c r="N14" s="26">
        <f t="shared" si="2"/>
        <v>0.46245777692494083</v>
      </c>
      <c r="O14" s="46"/>
      <c r="P14" s="52">
        <f t="shared" si="3"/>
        <v>-48.912987196831118</v>
      </c>
      <c r="Q14" s="28" t="s">
        <v>40</v>
      </c>
    </row>
    <row r="15" spans="1:17" ht="19.5" x14ac:dyDescent="0.25">
      <c r="A15" s="45" t="s">
        <v>41</v>
      </c>
      <c r="B15" s="24">
        <v>12342000</v>
      </c>
      <c r="C15" s="24">
        <v>14250000</v>
      </c>
      <c r="D15" s="24">
        <v>16216900</v>
      </c>
      <c r="E15" s="24">
        <v>16185132</v>
      </c>
      <c r="F15" s="24">
        <v>16620278.460000001</v>
      </c>
      <c r="G15" s="24">
        <v>15626619.539999999</v>
      </c>
      <c r="H15" s="25"/>
      <c r="I15" s="27">
        <f t="shared" si="2"/>
        <v>9.454271330920104E-2</v>
      </c>
      <c r="J15" s="26">
        <f t="shared" si="2"/>
        <v>9.8086568452894901E-2</v>
      </c>
      <c r="K15" s="26">
        <f t="shared" si="2"/>
        <v>0.10681739651352574</v>
      </c>
      <c r="L15" s="26">
        <f t="shared" si="2"/>
        <v>9.9431045954217451E-2</v>
      </c>
      <c r="M15" s="26">
        <f t="shared" si="2"/>
        <v>9.9276013909046473E-2</v>
      </c>
      <c r="N15" s="26">
        <f t="shared" si="2"/>
        <v>0.14997259749726707</v>
      </c>
      <c r="O15" s="46"/>
      <c r="P15" s="52">
        <f t="shared" si="3"/>
        <v>-5.9785936943922984</v>
      </c>
      <c r="Q15" s="28" t="s">
        <v>42</v>
      </c>
    </row>
    <row r="16" spans="1:17" ht="19.5" x14ac:dyDescent="0.25">
      <c r="A16" s="45" t="s">
        <v>43</v>
      </c>
      <c r="B16" s="24">
        <v>3516877</v>
      </c>
      <c r="C16" s="24">
        <v>3049365</v>
      </c>
      <c r="D16" s="24">
        <v>3431527</v>
      </c>
      <c r="E16" s="24">
        <v>4020195</v>
      </c>
      <c r="F16" s="24">
        <v>3819268</v>
      </c>
      <c r="G16" s="24">
        <v>3484082</v>
      </c>
      <c r="H16" s="25"/>
      <c r="I16" s="27">
        <f t="shared" si="2"/>
        <v>2.6940130769301816E-2</v>
      </c>
      <c r="J16" s="26">
        <f t="shared" si="2"/>
        <v>2.0989596407744691E-2</v>
      </c>
      <c r="K16" s="26">
        <f t="shared" si="2"/>
        <v>2.260276502943654E-2</v>
      </c>
      <c r="L16" s="26">
        <f t="shared" si="2"/>
        <v>2.4697493587937075E-2</v>
      </c>
      <c r="M16" s="26">
        <f t="shared" si="2"/>
        <v>2.2813197985996684E-2</v>
      </c>
      <c r="N16" s="26">
        <f t="shared" si="2"/>
        <v>3.343761112862375E-2</v>
      </c>
      <c r="O16" s="46"/>
      <c r="P16" s="52">
        <f t="shared" si="3"/>
        <v>-8.776184336893877</v>
      </c>
      <c r="Q16" s="28" t="s">
        <v>44</v>
      </c>
    </row>
    <row r="17" spans="1:24" ht="19.5" x14ac:dyDescent="0.25">
      <c r="A17" s="2" t="s">
        <v>12</v>
      </c>
      <c r="B17" s="29">
        <v>0</v>
      </c>
      <c r="C17" s="29">
        <v>0</v>
      </c>
      <c r="D17" s="24">
        <v>65344950</v>
      </c>
      <c r="E17" s="24">
        <v>105197100</v>
      </c>
      <c r="F17" s="24">
        <v>33813250</v>
      </c>
      <c r="G17" s="24">
        <v>0</v>
      </c>
      <c r="H17" s="25"/>
      <c r="I17" s="27">
        <f t="shared" si="2"/>
        <v>0</v>
      </c>
      <c r="J17" s="26">
        <f t="shared" si="2"/>
        <v>0</v>
      </c>
      <c r="K17" s="26">
        <f t="shared" si="2"/>
        <v>0.43041379266731083</v>
      </c>
      <c r="L17" s="26">
        <f t="shared" si="2"/>
        <v>0.64626335357353937</v>
      </c>
      <c r="M17" s="26">
        <f t="shared" si="2"/>
        <v>0.20197283008157643</v>
      </c>
      <c r="N17" s="26">
        <f t="shared" si="2"/>
        <v>0</v>
      </c>
      <c r="O17" s="46"/>
      <c r="P17" s="52">
        <f t="shared" si="3"/>
        <v>-100</v>
      </c>
      <c r="Q17" s="28" t="s">
        <v>45</v>
      </c>
      <c r="R17" s="2"/>
      <c r="S17" s="2"/>
      <c r="T17" s="2"/>
      <c r="U17" s="2"/>
      <c r="V17" s="2"/>
      <c r="W17" s="2"/>
      <c r="X17" s="2"/>
    </row>
    <row r="18" spans="1:24" ht="19.5" x14ac:dyDescent="0.25">
      <c r="A18" s="2" t="s">
        <v>13</v>
      </c>
      <c r="B18" s="29">
        <v>0</v>
      </c>
      <c r="C18" s="29">
        <v>0</v>
      </c>
      <c r="D18" s="24">
        <v>12971000</v>
      </c>
      <c r="E18" s="24">
        <v>7680000</v>
      </c>
      <c r="F18" s="24">
        <v>43975220</v>
      </c>
      <c r="G18" s="24">
        <v>21566315</v>
      </c>
      <c r="H18" s="25"/>
      <c r="I18" s="27">
        <f t="shared" si="2"/>
        <v>0</v>
      </c>
      <c r="J18" s="26">
        <f t="shared" si="2"/>
        <v>0</v>
      </c>
      <c r="K18" s="26">
        <f t="shared" si="2"/>
        <v>8.5437318487315228E-2</v>
      </c>
      <c r="L18" s="26">
        <f t="shared" si="2"/>
        <v>4.718098270242034E-2</v>
      </c>
      <c r="M18" s="26">
        <f t="shared" si="2"/>
        <v>0.26267216658735681</v>
      </c>
      <c r="N18" s="26">
        <f t="shared" si="2"/>
        <v>0.20697734853755029</v>
      </c>
      <c r="O18" s="46"/>
      <c r="P18" s="52">
        <f t="shared" si="3"/>
        <v>-50.95802818041615</v>
      </c>
      <c r="Q18" s="28" t="s">
        <v>46</v>
      </c>
      <c r="R18" s="2"/>
      <c r="S18" s="2"/>
      <c r="T18" s="2"/>
      <c r="U18" s="2"/>
      <c r="V18" s="2"/>
      <c r="W18" s="2"/>
      <c r="X18" s="2"/>
    </row>
    <row r="19" spans="1:24" ht="19.5" x14ac:dyDescent="0.25">
      <c r="A19" s="45" t="s">
        <v>47</v>
      </c>
      <c r="B19" s="24">
        <v>4000</v>
      </c>
      <c r="C19" s="24">
        <v>9400</v>
      </c>
      <c r="D19" s="24">
        <v>8600</v>
      </c>
      <c r="E19" s="24">
        <v>7000</v>
      </c>
      <c r="F19" s="24">
        <v>6200</v>
      </c>
      <c r="G19" s="24">
        <v>7000</v>
      </c>
      <c r="H19" s="25"/>
      <c r="I19" s="27">
        <f t="shared" si="2"/>
        <v>3.0640970121277274E-5</v>
      </c>
      <c r="J19" s="26">
        <f t="shared" si="2"/>
        <v>6.47027188391026E-5</v>
      </c>
      <c r="K19" s="26">
        <f t="shared" si="2"/>
        <v>5.6646437359564485E-5</v>
      </c>
      <c r="L19" s="26">
        <f t="shared" si="2"/>
        <v>4.3003499858976871E-5</v>
      </c>
      <c r="M19" s="26">
        <f t="shared" si="2"/>
        <v>3.7033752937259039E-5</v>
      </c>
      <c r="N19" s="26">
        <f t="shared" si="2"/>
        <v>6.7180760355343606E-5</v>
      </c>
      <c r="O19" s="46"/>
      <c r="P19" s="52">
        <f t="shared" si="3"/>
        <v>12.903225806451623</v>
      </c>
      <c r="Q19" s="28" t="s">
        <v>48</v>
      </c>
    </row>
    <row r="20" spans="1:24" ht="19.5" x14ac:dyDescent="0.25">
      <c r="A20" s="45" t="s">
        <v>49</v>
      </c>
      <c r="B20" s="24">
        <v>1400</v>
      </c>
      <c r="C20" s="24">
        <v>2200</v>
      </c>
      <c r="D20" s="24">
        <v>2800</v>
      </c>
      <c r="E20" s="24">
        <v>800</v>
      </c>
      <c r="F20" s="24">
        <v>1000</v>
      </c>
      <c r="G20" s="24">
        <v>600</v>
      </c>
      <c r="H20" s="25"/>
      <c r="I20" s="27">
        <f t="shared" si="2"/>
        <v>1.0724339542447047E-5</v>
      </c>
      <c r="J20" s="26">
        <f t="shared" si="2"/>
        <v>1.5143189515534653E-5</v>
      </c>
      <c r="K20" s="26">
        <f t="shared" si="2"/>
        <v>1.8443026117067509E-5</v>
      </c>
      <c r="L20" s="26">
        <f t="shared" si="2"/>
        <v>4.9146856981687859E-6</v>
      </c>
      <c r="M20" s="26">
        <f t="shared" si="2"/>
        <v>5.9731859576224248E-6</v>
      </c>
      <c r="N20" s="26">
        <f t="shared" si="2"/>
        <v>5.7583508876008793E-6</v>
      </c>
      <c r="O20" s="46"/>
      <c r="P20" s="52">
        <f t="shared" si="3"/>
        <v>-40</v>
      </c>
      <c r="Q20" s="28" t="s">
        <v>50</v>
      </c>
    </row>
    <row r="21" spans="1:24" ht="19.5" x14ac:dyDescent="0.25">
      <c r="A21" s="45" t="s">
        <v>51</v>
      </c>
      <c r="B21" s="24">
        <v>77088771.710000008</v>
      </c>
      <c r="C21" s="24">
        <v>72751662.810000002</v>
      </c>
      <c r="D21" s="24">
        <v>76295076.289999992</v>
      </c>
      <c r="E21" s="24">
        <v>76324061.13000001</v>
      </c>
      <c r="F21" s="24">
        <v>90092169.840000018</v>
      </c>
      <c r="G21" s="24">
        <v>25837392.369999997</v>
      </c>
      <c r="H21" s="25"/>
      <c r="I21" s="27">
        <f t="shared" si="2"/>
        <v>0.59051868766301885</v>
      </c>
      <c r="J21" s="26">
        <f t="shared" si="2"/>
        <v>0.50076918977368379</v>
      </c>
      <c r="K21" s="26">
        <f t="shared" si="2"/>
        <v>0.5025400302214742</v>
      </c>
      <c r="L21" s="26">
        <f t="shared" si="2"/>
        <v>0.46888596457721399</v>
      </c>
      <c r="M21" s="26">
        <f t="shared" si="2"/>
        <v>0.53813728378002268</v>
      </c>
      <c r="N21" s="26">
        <f t="shared" si="2"/>
        <v>0.24796795214513614</v>
      </c>
      <c r="O21" s="46"/>
      <c r="P21" s="52">
        <f t="shared" si="3"/>
        <v>-71.321156526825646</v>
      </c>
      <c r="Q21" s="28" t="s">
        <v>52</v>
      </c>
    </row>
    <row r="22" spans="1:24" ht="19.5" x14ac:dyDescent="0.25">
      <c r="A22" s="45" t="s">
        <v>53</v>
      </c>
      <c r="B22" s="24">
        <v>257569888.39209995</v>
      </c>
      <c r="C22" s="24">
        <v>270265257.52340001</v>
      </c>
      <c r="D22" s="24">
        <v>195626549.71080002</v>
      </c>
      <c r="E22" s="24">
        <v>226467336.32799998</v>
      </c>
      <c r="F22" s="24">
        <v>197358978.90477699</v>
      </c>
      <c r="G22" s="24">
        <v>129047369.70370001</v>
      </c>
      <c r="H22" s="25"/>
      <c r="I22" s="27">
        <f t="shared" si="2"/>
        <v>1.9730478135907643</v>
      </c>
      <c r="J22" s="26">
        <f t="shared" si="2"/>
        <v>1.8603081882461927</v>
      </c>
      <c r="K22" s="26">
        <f t="shared" si="2"/>
        <v>1.2885519876814606</v>
      </c>
      <c r="L22" s="26">
        <f t="shared" si="2"/>
        <v>1.3912697236920022</v>
      </c>
      <c r="M22" s="26">
        <f t="shared" si="2"/>
        <v>1.1788618814047143</v>
      </c>
      <c r="N22" s="26">
        <f t="shared" si="2"/>
        <v>1.2385000597930997</v>
      </c>
      <c r="O22" s="46"/>
      <c r="P22" s="52">
        <f t="shared" si="3"/>
        <v>-34.612871215773978</v>
      </c>
      <c r="Q22" s="28" t="s">
        <v>14</v>
      </c>
    </row>
    <row r="23" spans="1:24" ht="19.5" hidden="1" x14ac:dyDescent="0.25">
      <c r="A23" s="45" t="s">
        <v>54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5"/>
      <c r="I23" s="27">
        <f t="shared" si="2"/>
        <v>0</v>
      </c>
      <c r="J23" s="26">
        <f t="shared" si="2"/>
        <v>0</v>
      </c>
      <c r="K23" s="26">
        <f t="shared" si="2"/>
        <v>0</v>
      </c>
      <c r="L23" s="26">
        <f t="shared" si="2"/>
        <v>0</v>
      </c>
      <c r="M23" s="26">
        <f t="shared" si="2"/>
        <v>0</v>
      </c>
      <c r="N23" s="26">
        <f t="shared" si="2"/>
        <v>0</v>
      </c>
      <c r="O23" s="46"/>
      <c r="P23" s="52" t="e">
        <f t="shared" si="3"/>
        <v>#DIV/0!</v>
      </c>
      <c r="Q23" s="28" t="s">
        <v>55</v>
      </c>
    </row>
    <row r="24" spans="1:24" ht="19.5" x14ac:dyDescent="0.25">
      <c r="A24" s="45" t="s">
        <v>56</v>
      </c>
      <c r="B24" s="24">
        <v>381292</v>
      </c>
      <c r="C24" s="24">
        <v>563556</v>
      </c>
      <c r="D24" s="24">
        <v>648433.64</v>
      </c>
      <c r="E24" s="24">
        <v>554092.16</v>
      </c>
      <c r="F24" s="24">
        <v>582068</v>
      </c>
      <c r="G24" s="24">
        <v>408101</v>
      </c>
      <c r="H24" s="25"/>
      <c r="I24" s="27">
        <f t="shared" ref="I24:N67" si="4">B24/B$7*100</f>
        <v>2.9207891948705138E-3</v>
      </c>
      <c r="J24" s="26">
        <f>C24/C$7*100</f>
        <v>3.8791069593712029E-3</v>
      </c>
      <c r="K24" s="26">
        <f t="shared" si="4"/>
        <v>4.2710994848946969E-3</v>
      </c>
      <c r="L24" s="26">
        <f t="shared" si="4"/>
        <v>3.4039860177743132E-3</v>
      </c>
      <c r="M24" s="26">
        <f t="shared" si="4"/>
        <v>3.4768004039813696E-3</v>
      </c>
      <c r="N24" s="26">
        <f t="shared" si="4"/>
        <v>3.9166479259680111E-3</v>
      </c>
      <c r="O24" s="46"/>
      <c r="P24" s="52">
        <f t="shared" si="3"/>
        <v>-29.88774507445865</v>
      </c>
      <c r="Q24" s="28" t="s">
        <v>57</v>
      </c>
    </row>
    <row r="25" spans="1:24" ht="19.5" x14ac:dyDescent="0.25">
      <c r="A25" s="45" t="s">
        <v>58</v>
      </c>
      <c r="B25" s="24">
        <v>863486.3</v>
      </c>
      <c r="C25" s="24">
        <v>496260.27</v>
      </c>
      <c r="D25" s="24">
        <v>13500</v>
      </c>
      <c r="E25" s="24">
        <v>18452.059999999998</v>
      </c>
      <c r="F25" s="24">
        <v>0</v>
      </c>
      <c r="G25" s="24">
        <v>0</v>
      </c>
      <c r="H25" s="25"/>
      <c r="I25" s="27">
        <f t="shared" si="4"/>
        <v>6.614514479608067E-3</v>
      </c>
      <c r="J25" s="26">
        <f t="shared" si="4"/>
        <v>3.415892417109271E-3</v>
      </c>
      <c r="K25" s="26">
        <f t="shared" si="4"/>
        <v>8.8921733064432627E-5</v>
      </c>
      <c r="L25" s="26">
        <f t="shared" si="4"/>
        <v>1.1335759422969039E-4</v>
      </c>
      <c r="M25" s="26">
        <f t="shared" si="4"/>
        <v>0</v>
      </c>
      <c r="N25" s="26">
        <f t="shared" si="4"/>
        <v>0</v>
      </c>
      <c r="O25" s="46"/>
      <c r="P25" s="58">
        <v>0</v>
      </c>
      <c r="Q25" s="28" t="s">
        <v>59</v>
      </c>
    </row>
    <row r="26" spans="1:24" ht="19.5" x14ac:dyDescent="0.25">
      <c r="A26" s="45" t="s">
        <v>60</v>
      </c>
      <c r="B26" s="24">
        <v>1840460</v>
      </c>
      <c r="C26" s="24">
        <v>2210538</v>
      </c>
      <c r="D26" s="24">
        <v>2181300</v>
      </c>
      <c r="E26" s="24">
        <v>2028400</v>
      </c>
      <c r="F26" s="24">
        <v>1719140</v>
      </c>
      <c r="G26" s="24">
        <v>3119425.2064</v>
      </c>
      <c r="H26" s="25"/>
      <c r="I26" s="27">
        <f t="shared" si="4"/>
        <v>1.4098369967351494E-2</v>
      </c>
      <c r="J26" s="26">
        <f t="shared" si="4"/>
        <v>1.5215725393314061E-2</v>
      </c>
      <c r="K26" s="26">
        <f t="shared" si="4"/>
        <v>1.4367776024699769E-2</v>
      </c>
      <c r="L26" s="26">
        <f t="shared" si="4"/>
        <v>1.2461185587706956E-2</v>
      </c>
      <c r="M26" s="26">
        <f t="shared" si="4"/>
        <v>1.0268742907187016E-2</v>
      </c>
      <c r="N26" s="26">
        <f t="shared" si="4"/>
        <v>2.9937908176796663E-2</v>
      </c>
      <c r="O26" s="46"/>
      <c r="P26" s="52">
        <f t="shared" si="3"/>
        <v>81.452656933117723</v>
      </c>
      <c r="Q26" s="30" t="s">
        <v>61</v>
      </c>
    </row>
    <row r="27" spans="1:24" ht="19.5" hidden="1" x14ac:dyDescent="0.25">
      <c r="A27" s="45" t="s">
        <v>62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5"/>
      <c r="I27" s="27">
        <f t="shared" si="4"/>
        <v>0</v>
      </c>
      <c r="J27" s="26">
        <f t="shared" si="4"/>
        <v>0</v>
      </c>
      <c r="K27" s="26">
        <f t="shared" si="4"/>
        <v>0</v>
      </c>
      <c r="L27" s="26">
        <f t="shared" si="4"/>
        <v>0</v>
      </c>
      <c r="M27" s="26">
        <f t="shared" si="4"/>
        <v>0</v>
      </c>
      <c r="N27" s="26">
        <f t="shared" si="4"/>
        <v>0</v>
      </c>
      <c r="O27" s="46"/>
      <c r="P27" s="52" t="e">
        <f t="shared" si="3"/>
        <v>#DIV/0!</v>
      </c>
      <c r="Q27" s="28" t="s">
        <v>63</v>
      </c>
    </row>
    <row r="28" spans="1:24" ht="19.5" x14ac:dyDescent="0.25">
      <c r="A28" s="45" t="s">
        <v>64</v>
      </c>
      <c r="B28" s="24">
        <v>1452475.8979</v>
      </c>
      <c r="C28" s="24">
        <v>1386174.2361000003</v>
      </c>
      <c r="D28" s="24">
        <v>781782.84219999996</v>
      </c>
      <c r="E28" s="24">
        <v>131125.8983</v>
      </c>
      <c r="F28" s="24">
        <v>140596.6985</v>
      </c>
      <c r="G28" s="24">
        <v>98882.884099999981</v>
      </c>
      <c r="H28" s="25"/>
      <c r="I28" s="27">
        <f t="shared" si="4"/>
        <v>1.1126317647357322E-2</v>
      </c>
      <c r="J28" s="26">
        <f t="shared" si="4"/>
        <v>9.5414087085517185E-3</v>
      </c>
      <c r="K28" s="26">
        <f t="shared" si="4"/>
        <v>5.1494433487749517E-3</v>
      </c>
      <c r="L28" s="26">
        <f t="shared" si="4"/>
        <v>8.0555322129318081E-4</v>
      </c>
      <c r="M28" s="26">
        <f t="shared" si="4"/>
        <v>8.3981022516827386E-4</v>
      </c>
      <c r="N28" s="26">
        <f t="shared" si="4"/>
        <v>9.4900390570961638E-4</v>
      </c>
      <c r="O28" s="46"/>
      <c r="P28" s="52">
        <f t="shared" si="3"/>
        <v>-29.669127970312914</v>
      </c>
      <c r="Q28" s="28" t="s">
        <v>65</v>
      </c>
    </row>
    <row r="29" spans="1:24" ht="19.5" x14ac:dyDescent="0.25">
      <c r="A29" s="45" t="s">
        <v>66</v>
      </c>
      <c r="B29" s="24">
        <v>6052938369.3219995</v>
      </c>
      <c r="C29" s="24">
        <v>6276877706.3801994</v>
      </c>
      <c r="D29" s="24">
        <v>6851347959.9054794</v>
      </c>
      <c r="E29" s="24">
        <v>7690004507.1075993</v>
      </c>
      <c r="F29" s="24">
        <v>7748561111.9536209</v>
      </c>
      <c r="G29" s="24">
        <v>4306485317.9263</v>
      </c>
      <c r="H29" s="25"/>
      <c r="I29" s="27">
        <f t="shared" si="4"/>
        <v>46.366975930082049</v>
      </c>
      <c r="J29" s="26">
        <f>C29/C$7*100</f>
        <v>43.205431215249924</v>
      </c>
      <c r="K29" s="26">
        <f t="shared" si="4"/>
        <v>45.128424772019265</v>
      </c>
      <c r="L29" s="26">
        <f t="shared" si="4"/>
        <v>47.242443962419024</v>
      </c>
      <c r="M29" s="26">
        <f t="shared" si="4"/>
        <v>46.283596425700566</v>
      </c>
      <c r="N29" s="26">
        <f t="shared" si="4"/>
        <v>41.330422588201778</v>
      </c>
      <c r="O29" s="46"/>
      <c r="P29" s="52">
        <f t="shared" si="3"/>
        <v>-44.422128757780179</v>
      </c>
      <c r="Q29" s="28" t="s">
        <v>0</v>
      </c>
    </row>
    <row r="30" spans="1:24" ht="19.5" x14ac:dyDescent="0.25">
      <c r="A30" s="45" t="s">
        <v>67</v>
      </c>
      <c r="B30" s="24">
        <v>5873988.4400000004</v>
      </c>
      <c r="C30" s="24">
        <v>3949857.33</v>
      </c>
      <c r="D30" s="24">
        <v>3435640</v>
      </c>
      <c r="E30" s="24">
        <v>3313259.35</v>
      </c>
      <c r="F30" s="24">
        <v>3350940</v>
      </c>
      <c r="G30" s="24">
        <v>1689040</v>
      </c>
      <c r="H30" s="25"/>
      <c r="I30" s="27">
        <f t="shared" si="4"/>
        <v>4.4996176070692034E-2</v>
      </c>
      <c r="J30" s="26">
        <f t="shared" si="4"/>
        <v>2.7187926412506225E-2</v>
      </c>
      <c r="K30" s="26">
        <f t="shared" si="4"/>
        <v>2.2629856517443505E-2</v>
      </c>
      <c r="L30" s="26">
        <f t="shared" si="4"/>
        <v>2.0354535427211259E-2</v>
      </c>
      <c r="M30" s="26">
        <f t="shared" si="4"/>
        <v>2.0015787752835291E-2</v>
      </c>
      <c r="N30" s="26">
        <f t="shared" si="4"/>
        <v>1.621014163865565E-2</v>
      </c>
      <c r="O30" s="46"/>
      <c r="P30" s="52">
        <f t="shared" si="3"/>
        <v>-49.595039003980965</v>
      </c>
      <c r="Q30" s="28" t="s">
        <v>68</v>
      </c>
    </row>
    <row r="31" spans="1:24" ht="18.75" x14ac:dyDescent="0.25">
      <c r="A31" s="45" t="s">
        <v>15</v>
      </c>
      <c r="B31" s="24">
        <v>45483359.280000001</v>
      </c>
      <c r="C31" s="24">
        <v>633548360.1105001</v>
      </c>
      <c r="D31" s="24">
        <v>693830414.08589995</v>
      </c>
      <c r="E31" s="24">
        <v>810525817.88999999</v>
      </c>
      <c r="F31" s="24">
        <v>850615153.91795635</v>
      </c>
      <c r="G31" s="24">
        <v>351898223.08999997</v>
      </c>
      <c r="H31" s="25"/>
      <c r="I31" s="27">
        <f t="shared" si="4"/>
        <v>0.3484135631784499</v>
      </c>
      <c r="J31" s="26">
        <f t="shared" si="4"/>
        <v>4.3608831292770445</v>
      </c>
      <c r="K31" s="26">
        <f t="shared" si="4"/>
        <v>4.5701187313578631</v>
      </c>
      <c r="L31" s="26">
        <f t="shared" si="4"/>
        <v>4.9793495564756753</v>
      </c>
      <c r="M31" s="26">
        <f t="shared" si="4"/>
        <v>5.0808824927235738</v>
      </c>
      <c r="N31" s="26">
        <f t="shared" si="4"/>
        <v>3.3772557421257901</v>
      </c>
      <c r="O31" s="46"/>
      <c r="P31" s="52">
        <f t="shared" si="3"/>
        <v>-58.630148843557841</v>
      </c>
      <c r="Q31" s="4" t="s">
        <v>2</v>
      </c>
    </row>
    <row r="32" spans="1:24" ht="18.75" x14ac:dyDescent="0.25">
      <c r="A32" s="45" t="s">
        <v>16</v>
      </c>
      <c r="B32" s="24">
        <v>0</v>
      </c>
      <c r="C32" s="24">
        <v>14583885.27</v>
      </c>
      <c r="D32" s="24">
        <v>114217777.93000001</v>
      </c>
      <c r="E32" s="24">
        <v>101829058.88500001</v>
      </c>
      <c r="F32" s="24">
        <v>102523494</v>
      </c>
      <c r="G32" s="24">
        <v>8970164</v>
      </c>
      <c r="H32" s="25"/>
      <c r="I32" s="27">
        <f t="shared" si="4"/>
        <v>0</v>
      </c>
      <c r="J32" s="26">
        <f t="shared" si="4"/>
        <v>0.1003847902347383</v>
      </c>
      <c r="K32" s="26">
        <f t="shared" si="4"/>
        <v>0.75232909335585962</v>
      </c>
      <c r="L32" s="26">
        <f t="shared" si="4"/>
        <v>0.62557227420012074</v>
      </c>
      <c r="M32" s="26">
        <f t="shared" si="4"/>
        <v>0.61239189468718691</v>
      </c>
      <c r="N32" s="26">
        <f t="shared" si="4"/>
        <v>8.6088919718875764E-2</v>
      </c>
      <c r="O32" s="46"/>
      <c r="P32" s="52">
        <f t="shared" si="3"/>
        <v>-91.250625929701528</v>
      </c>
      <c r="Q32" s="4" t="s">
        <v>17</v>
      </c>
    </row>
    <row r="33" spans="1:17" ht="19.5" x14ac:dyDescent="0.25">
      <c r="A33" s="45" t="s">
        <v>69</v>
      </c>
      <c r="B33" s="24">
        <v>7681260</v>
      </c>
      <c r="C33" s="24">
        <v>7393642.1899999995</v>
      </c>
      <c r="D33" s="24">
        <v>7923901.9600000009</v>
      </c>
      <c r="E33" s="24">
        <v>9833485.3599999994</v>
      </c>
      <c r="F33" s="24">
        <v>8263656.6699999999</v>
      </c>
      <c r="G33" s="24">
        <v>35005</v>
      </c>
      <c r="H33" s="25"/>
      <c r="I33" s="27">
        <f t="shared" si="4"/>
        <v>5.8840314538440575E-2</v>
      </c>
      <c r="J33" s="26">
        <f t="shared" si="4"/>
        <v>5.0892420406010302E-2</v>
      </c>
      <c r="K33" s="26">
        <f t="shared" si="4"/>
        <v>5.219311814191515E-2</v>
      </c>
      <c r="L33" s="26">
        <f t="shared" si="4"/>
        <v>6.0410612327430169E-2</v>
      </c>
      <c r="M33" s="26">
        <f t="shared" si="4"/>
        <v>4.9360357979856884E-2</v>
      </c>
      <c r="N33" s="26">
        <f t="shared" si="4"/>
        <v>3.3595178803411466E-4</v>
      </c>
      <c r="O33" s="46"/>
      <c r="P33" s="52">
        <f t="shared" si="3"/>
        <v>-99.576398180637383</v>
      </c>
      <c r="Q33" s="28" t="s">
        <v>70</v>
      </c>
    </row>
    <row r="34" spans="1:17" ht="18.75" x14ac:dyDescent="0.25">
      <c r="A34" s="45" t="s">
        <v>18</v>
      </c>
      <c r="B34" s="24">
        <v>106062455.44860001</v>
      </c>
      <c r="C34" s="24">
        <v>866691371.39180005</v>
      </c>
      <c r="D34" s="24">
        <v>543512031.66699994</v>
      </c>
      <c r="E34" s="24">
        <v>322065841.04820001</v>
      </c>
      <c r="F34" s="24">
        <v>34822119.628899999</v>
      </c>
      <c r="G34" s="24">
        <v>3933797.7640999998</v>
      </c>
      <c r="H34" s="25"/>
      <c r="I34" s="27">
        <f t="shared" si="4"/>
        <v>0.81246413209746371</v>
      </c>
      <c r="J34" s="26">
        <f t="shared" si="4"/>
        <v>5.9656689493021169</v>
      </c>
      <c r="K34" s="26">
        <f t="shared" si="4"/>
        <v>3.5800023553481797</v>
      </c>
      <c r="L34" s="26">
        <f t="shared" si="4"/>
        <v>1.9785654785853626</v>
      </c>
      <c r="M34" s="26">
        <f t="shared" si="4"/>
        <v>0.20799899598199367</v>
      </c>
      <c r="N34" s="26">
        <f t="shared" si="4"/>
        <v>3.7753646410912653E-2</v>
      </c>
      <c r="O34" s="46"/>
      <c r="P34" s="52">
        <f t="shared" si="3"/>
        <v>-88.703163948597734</v>
      </c>
      <c r="Q34" s="4" t="s">
        <v>19</v>
      </c>
    </row>
    <row r="35" spans="1:17" ht="19.5" x14ac:dyDescent="0.25">
      <c r="A35" s="45" t="s">
        <v>71</v>
      </c>
      <c r="B35" s="24">
        <v>29136730.280000005</v>
      </c>
      <c r="C35" s="24">
        <v>23143294.260000002</v>
      </c>
      <c r="D35" s="24">
        <v>93789092.709999979</v>
      </c>
      <c r="E35" s="24">
        <v>39352638.640000001</v>
      </c>
      <c r="F35" s="24">
        <v>26036075.540000007</v>
      </c>
      <c r="G35" s="24">
        <v>1064712.8500000001</v>
      </c>
      <c r="H35" s="25"/>
      <c r="I35" s="27">
        <f t="shared" si="4"/>
        <v>0.22319442048529875</v>
      </c>
      <c r="J35" s="26">
        <f t="shared" si="4"/>
        <v>0.15930149590589332</v>
      </c>
      <c r="K35" s="26">
        <f t="shared" si="4"/>
        <v>0.61776953083806985</v>
      </c>
      <c r="L35" s="26">
        <f t="shared" si="4"/>
        <v>0.24175731288651545</v>
      </c>
      <c r="M35" s="26">
        <f t="shared" si="4"/>
        <v>0.15551832080712472</v>
      </c>
      <c r="N35" s="26">
        <f t="shared" si="4"/>
        <v>1.0218316974729271E-2</v>
      </c>
      <c r="O35" s="46"/>
      <c r="P35" s="52">
        <f t="shared" si="3"/>
        <v>-95.910624670126452</v>
      </c>
      <c r="Q35" s="31" t="s">
        <v>20</v>
      </c>
    </row>
    <row r="36" spans="1:17" ht="19.5" x14ac:dyDescent="0.25">
      <c r="A36" s="45" t="s">
        <v>72</v>
      </c>
      <c r="B36" s="24">
        <v>1096364901.3702002</v>
      </c>
      <c r="C36" s="24">
        <v>569097504.54999995</v>
      </c>
      <c r="D36" s="24">
        <v>117413250</v>
      </c>
      <c r="E36" s="24">
        <v>76700000</v>
      </c>
      <c r="F36" s="24">
        <v>306800000</v>
      </c>
      <c r="G36" s="24">
        <v>153500000</v>
      </c>
      <c r="H36" s="25"/>
      <c r="I36" s="27">
        <f t="shared" si="4"/>
        <v>8.3984210462253532</v>
      </c>
      <c r="J36" s="26">
        <f t="shared" si="4"/>
        <v>3.9172506200993147</v>
      </c>
      <c r="K36" s="26">
        <f t="shared" si="4"/>
        <v>0.77337701294277728</v>
      </c>
      <c r="L36" s="26">
        <f t="shared" si="4"/>
        <v>0.47119549131193234</v>
      </c>
      <c r="M36" s="26">
        <f t="shared" si="4"/>
        <v>1.8325734517985599</v>
      </c>
      <c r="N36" s="26">
        <f t="shared" si="4"/>
        <v>1.4731781020778918</v>
      </c>
      <c r="O36" s="46"/>
      <c r="P36" s="52">
        <f t="shared" si="3"/>
        <v>-49.967405475880057</v>
      </c>
      <c r="Q36" s="28" t="s">
        <v>21</v>
      </c>
    </row>
    <row r="37" spans="1:17" ht="19.5" x14ac:dyDescent="0.25">
      <c r="A37" s="45" t="s">
        <v>73</v>
      </c>
      <c r="B37" s="24">
        <v>19776911.629999995</v>
      </c>
      <c r="C37" s="24">
        <v>17764069.445</v>
      </c>
      <c r="D37" s="24">
        <v>15100188.740000002</v>
      </c>
      <c r="E37" s="24">
        <v>17332196.1776</v>
      </c>
      <c r="F37" s="24">
        <v>15607926.969999995</v>
      </c>
      <c r="G37" s="24">
        <v>9002291.9400000013</v>
      </c>
      <c r="H37" s="25"/>
      <c r="I37" s="27">
        <f t="shared" si="4"/>
        <v>0.15149593958649274</v>
      </c>
      <c r="J37" s="26">
        <f t="shared" si="4"/>
        <v>0.1222748500785243</v>
      </c>
      <c r="K37" s="26">
        <f t="shared" si="4"/>
        <v>9.9461848323024557E-2</v>
      </c>
      <c r="L37" s="26">
        <f t="shared" si="4"/>
        <v>0.10647787083988303</v>
      </c>
      <c r="M37" s="26">
        <f t="shared" si="4"/>
        <v>9.3229050204800296E-2</v>
      </c>
      <c r="N37" s="26">
        <f t="shared" si="4"/>
        <v>8.6397259638568757E-2</v>
      </c>
      <c r="O37" s="46"/>
      <c r="P37" s="52">
        <f t="shared" si="3"/>
        <v>-42.322308674923249</v>
      </c>
      <c r="Q37" s="28" t="s">
        <v>74</v>
      </c>
    </row>
    <row r="38" spans="1:17" ht="19.5" x14ac:dyDescent="0.25">
      <c r="A38" s="45" t="s">
        <v>22</v>
      </c>
      <c r="B38" s="24">
        <v>0</v>
      </c>
      <c r="C38" s="24">
        <v>0</v>
      </c>
      <c r="D38" s="24">
        <v>2455050</v>
      </c>
      <c r="E38" s="24">
        <v>383500</v>
      </c>
      <c r="F38" s="24">
        <v>5139700</v>
      </c>
      <c r="G38" s="24">
        <v>0</v>
      </c>
      <c r="H38" s="25"/>
      <c r="I38" s="27">
        <f t="shared" si="4"/>
        <v>0</v>
      </c>
      <c r="J38" s="26">
        <f t="shared" si="4"/>
        <v>0</v>
      </c>
      <c r="K38" s="26">
        <f t="shared" si="4"/>
        <v>1.6170911167395212E-2</v>
      </c>
      <c r="L38" s="26">
        <f t="shared" si="4"/>
        <v>2.3559774565596616E-3</v>
      </c>
      <c r="M38" s="26">
        <f t="shared" si="4"/>
        <v>3.0700383866391977E-2</v>
      </c>
      <c r="N38" s="26">
        <f t="shared" si="4"/>
        <v>0</v>
      </c>
      <c r="O38" s="46"/>
      <c r="P38" s="52">
        <f t="shared" si="3"/>
        <v>-100</v>
      </c>
      <c r="Q38" s="28" t="s">
        <v>23</v>
      </c>
    </row>
    <row r="39" spans="1:17" ht="19.5" hidden="1" x14ac:dyDescent="0.25">
      <c r="A39" s="45" t="s">
        <v>75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5"/>
      <c r="I39" s="27">
        <f t="shared" si="4"/>
        <v>0</v>
      </c>
      <c r="J39" s="26">
        <f t="shared" si="4"/>
        <v>0</v>
      </c>
      <c r="K39" s="26">
        <f t="shared" si="4"/>
        <v>0</v>
      </c>
      <c r="L39" s="26">
        <f t="shared" si="4"/>
        <v>0</v>
      </c>
      <c r="M39" s="26">
        <f t="shared" si="4"/>
        <v>0</v>
      </c>
      <c r="N39" s="26">
        <f t="shared" si="4"/>
        <v>0</v>
      </c>
      <c r="O39" s="46"/>
      <c r="P39" s="52" t="e">
        <f t="shared" si="3"/>
        <v>#DIV/0!</v>
      </c>
      <c r="Q39" s="28" t="s">
        <v>76</v>
      </c>
    </row>
    <row r="40" spans="1:17" ht="19.5" x14ac:dyDescent="0.25">
      <c r="A40" s="45" t="s">
        <v>77</v>
      </c>
      <c r="B40" s="24">
        <v>266000</v>
      </c>
      <c r="C40" s="24">
        <v>344000</v>
      </c>
      <c r="D40" s="24">
        <v>328000</v>
      </c>
      <c r="E40" s="24">
        <v>396000</v>
      </c>
      <c r="F40" s="24">
        <v>454000</v>
      </c>
      <c r="G40" s="24">
        <v>446000</v>
      </c>
      <c r="H40" s="25"/>
      <c r="I40" s="27">
        <f t="shared" si="4"/>
        <v>2.0376245130649391E-3</v>
      </c>
      <c r="J40" s="26">
        <f t="shared" si="4"/>
        <v>2.3678441787926907E-3</v>
      </c>
      <c r="K40" s="26">
        <f t="shared" si="4"/>
        <v>2.1604687737136223E-3</v>
      </c>
      <c r="L40" s="26">
        <f t="shared" si="4"/>
        <v>2.4327694205935491E-3</v>
      </c>
      <c r="M40" s="26">
        <f t="shared" si="4"/>
        <v>2.711826424760581E-3</v>
      </c>
      <c r="N40" s="26">
        <f t="shared" si="4"/>
        <v>4.2803741597833211E-3</v>
      </c>
      <c r="O40" s="46"/>
      <c r="P40" s="52">
        <f t="shared" si="3"/>
        <v>-1.7621145374449365</v>
      </c>
      <c r="Q40" s="28" t="s">
        <v>78</v>
      </c>
    </row>
    <row r="41" spans="1:17" ht="19.5" hidden="1" x14ac:dyDescent="0.25">
      <c r="A41" s="45" t="s">
        <v>79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/>
      <c r="H41" s="25"/>
      <c r="I41" s="27">
        <f t="shared" si="4"/>
        <v>0</v>
      </c>
      <c r="J41" s="26">
        <f t="shared" si="4"/>
        <v>0</v>
      </c>
      <c r="K41" s="26">
        <f t="shared" si="4"/>
        <v>0</v>
      </c>
      <c r="L41" s="26">
        <f t="shared" si="4"/>
        <v>0</v>
      </c>
      <c r="M41" s="26">
        <f t="shared" si="4"/>
        <v>0</v>
      </c>
      <c r="N41" s="26">
        <f t="shared" si="4"/>
        <v>0</v>
      </c>
      <c r="O41" s="46"/>
      <c r="P41" s="52" t="e">
        <f t="shared" si="3"/>
        <v>#DIV/0!</v>
      </c>
      <c r="Q41" s="28" t="s">
        <v>80</v>
      </c>
    </row>
    <row r="42" spans="1:17" ht="19.5" x14ac:dyDescent="0.25">
      <c r="A42" s="45" t="s">
        <v>81</v>
      </c>
      <c r="B42" s="24">
        <v>84000</v>
      </c>
      <c r="C42" s="24">
        <v>84000</v>
      </c>
      <c r="D42" s="24">
        <v>96000</v>
      </c>
      <c r="E42" s="24">
        <v>84000</v>
      </c>
      <c r="F42" s="24">
        <v>54000</v>
      </c>
      <c r="G42" s="24">
        <v>52000</v>
      </c>
      <c r="H42" s="25"/>
      <c r="I42" s="27">
        <f t="shared" si="4"/>
        <v>6.4346037254682281E-4</v>
      </c>
      <c r="J42" s="26">
        <f t="shared" si="4"/>
        <v>5.7819450877495942E-4</v>
      </c>
      <c r="K42" s="26">
        <f t="shared" si="4"/>
        <v>6.3233232401374313E-4</v>
      </c>
      <c r="L42" s="26">
        <f t="shared" si="4"/>
        <v>5.1604199830772247E-4</v>
      </c>
      <c r="M42" s="26">
        <f t="shared" si="4"/>
        <v>3.2255204171161093E-4</v>
      </c>
      <c r="N42" s="26">
        <f t="shared" si="4"/>
        <v>4.9905707692540953E-4</v>
      </c>
      <c r="O42" s="46"/>
      <c r="P42" s="52">
        <f t="shared" si="3"/>
        <v>-3.703703703703709</v>
      </c>
      <c r="Q42" s="28" t="s">
        <v>82</v>
      </c>
    </row>
    <row r="43" spans="1:17" ht="19.5" x14ac:dyDescent="0.25">
      <c r="A43" s="45" t="s">
        <v>83</v>
      </c>
      <c r="B43" s="24">
        <v>3781185.34</v>
      </c>
      <c r="C43" s="24">
        <v>3216364.4099999997</v>
      </c>
      <c r="D43" s="24">
        <v>8311090.0599999996</v>
      </c>
      <c r="E43" s="24">
        <v>7771360.8099999987</v>
      </c>
      <c r="F43" s="24">
        <v>7489192.6899999203</v>
      </c>
      <c r="G43" s="24">
        <v>5695240.2600000007</v>
      </c>
      <c r="H43" s="25"/>
      <c r="I43" s="27">
        <f t="shared" si="4"/>
        <v>2.8964796756487915E-2</v>
      </c>
      <c r="J43" s="26">
        <f t="shared" si="4"/>
        <v>2.2139098096204905E-2</v>
      </c>
      <c r="K43" s="26">
        <f t="shared" si="4"/>
        <v>5.4743446799242916E-2</v>
      </c>
      <c r="L43" s="26">
        <f t="shared" si="4"/>
        <v>4.7742244785270484E-2</v>
      </c>
      <c r="M43" s="26">
        <f t="shared" si="4"/>
        <v>4.473434060983604E-2</v>
      </c>
      <c r="N43" s="26">
        <f t="shared" si="4"/>
        <v>5.465865301045212E-2</v>
      </c>
      <c r="O43" s="46"/>
      <c r="P43" s="52">
        <f t="shared" si="3"/>
        <v>-23.95388267143035</v>
      </c>
      <c r="Q43" s="28" t="s">
        <v>84</v>
      </c>
    </row>
    <row r="44" spans="1:17" ht="19.5" x14ac:dyDescent="0.25">
      <c r="A44" s="45" t="s">
        <v>85</v>
      </c>
      <c r="B44" s="24">
        <v>0</v>
      </c>
      <c r="C44" s="24">
        <v>0</v>
      </c>
      <c r="D44" s="24">
        <v>233536</v>
      </c>
      <c r="E44" s="24">
        <v>2965677</v>
      </c>
      <c r="F44" s="24">
        <v>2805362</v>
      </c>
      <c r="G44" s="24">
        <v>2336534</v>
      </c>
      <c r="H44" s="25"/>
      <c r="I44" s="27">
        <f t="shared" si="4"/>
        <v>0</v>
      </c>
      <c r="J44" s="26">
        <f t="shared" si="4"/>
        <v>0</v>
      </c>
      <c r="K44" s="26">
        <f t="shared" si="4"/>
        <v>1.538253766884099E-3</v>
      </c>
      <c r="L44" s="26">
        <f t="shared" si="4"/>
        <v>1.8219212921610137E-2</v>
      </c>
      <c r="M44" s="26">
        <f t="shared" si="4"/>
        <v>1.6756948904447559E-2</v>
      </c>
      <c r="N44" s="26">
        <f t="shared" si="4"/>
        <v>2.2424304388016056E-2</v>
      </c>
      <c r="O44" s="46"/>
      <c r="P44" s="52">
        <f t="shared" si="3"/>
        <v>-16.711853942557141</v>
      </c>
      <c r="Q44" s="28"/>
    </row>
    <row r="45" spans="1:17" ht="19.5" x14ac:dyDescent="0.25">
      <c r="A45" s="45" t="s">
        <v>86</v>
      </c>
      <c r="B45" s="24">
        <v>248727790</v>
      </c>
      <c r="C45" s="24">
        <v>262209160</v>
      </c>
      <c r="D45" s="24">
        <v>263253500</v>
      </c>
      <c r="E45" s="24">
        <v>304371750</v>
      </c>
      <c r="F45" s="24">
        <v>319378590</v>
      </c>
      <c r="G45" s="24">
        <v>243419160</v>
      </c>
      <c r="H45" s="25"/>
      <c r="I45" s="27">
        <f t="shared" si="4"/>
        <v>1.9053151954303322</v>
      </c>
      <c r="J45" s="26">
        <f t="shared" si="4"/>
        <v>1.8048559102677946</v>
      </c>
      <c r="K45" s="26">
        <f>D45/D$7*100</f>
        <v>1.7339968485390826</v>
      </c>
      <c r="L45" s="26">
        <f>E45/E$7*100</f>
        <v>1.8698643583145065</v>
      </c>
      <c r="M45" s="26">
        <f>F45/F$7*100</f>
        <v>1.9077077089532497</v>
      </c>
      <c r="N45" s="26">
        <f t="shared" si="4"/>
        <v>2.3361548934084344</v>
      </c>
      <c r="O45" s="46"/>
      <c r="P45" s="52">
        <f t="shared" si="3"/>
        <v>-23.783507216310273</v>
      </c>
      <c r="Q45" s="28" t="s">
        <v>87</v>
      </c>
    </row>
    <row r="46" spans="1:17" ht="21" customHeight="1" x14ac:dyDescent="0.25">
      <c r="A46" s="45" t="s">
        <v>88</v>
      </c>
      <c r="B46" s="24">
        <v>1699000</v>
      </c>
      <c r="C46" s="24">
        <v>1458085</v>
      </c>
      <c r="D46" s="24">
        <v>1736165</v>
      </c>
      <c r="E46" s="24">
        <v>2261845</v>
      </c>
      <c r="F46" s="24">
        <v>2131125</v>
      </c>
      <c r="G46" s="24">
        <v>22475</v>
      </c>
      <c r="H46" s="25"/>
      <c r="I46" s="27">
        <f t="shared" si="4"/>
        <v>1.3014752059012523E-2</v>
      </c>
      <c r="J46" s="26">
        <f t="shared" si="4"/>
        <v>1.0036389765799247E-2</v>
      </c>
      <c r="K46" s="26">
        <f t="shared" si="4"/>
        <v>1.1435763013763754E-2</v>
      </c>
      <c r="L46" s="26">
        <f t="shared" si="4"/>
        <v>1.3895321591218221E-2</v>
      </c>
      <c r="M46" s="26">
        <f t="shared" si="4"/>
        <v>1.2729605923938089E-2</v>
      </c>
      <c r="N46" s="26">
        <f t="shared" si="4"/>
        <v>2.1569822699804962E-4</v>
      </c>
      <c r="O46" s="46"/>
      <c r="P46" s="52">
        <f t="shared" si="3"/>
        <v>-98.945392691653467</v>
      </c>
      <c r="Q46" s="28" t="s">
        <v>89</v>
      </c>
    </row>
    <row r="47" spans="1:17" ht="19.5" x14ac:dyDescent="0.25">
      <c r="A47" s="45" t="s">
        <v>90</v>
      </c>
      <c r="B47" s="24">
        <v>37610881.899999999</v>
      </c>
      <c r="C47" s="24">
        <v>43317638.149999999</v>
      </c>
      <c r="D47" s="24">
        <v>44345946.150000006</v>
      </c>
      <c r="E47" s="24">
        <v>47580636.43</v>
      </c>
      <c r="F47" s="24">
        <v>17580224.899999999</v>
      </c>
      <c r="G47" s="24">
        <v>3527158</v>
      </c>
      <c r="H47" s="25"/>
      <c r="I47" s="27">
        <f t="shared" si="4"/>
        <v>0.28810847713319709</v>
      </c>
      <c r="J47" s="26">
        <f t="shared" si="4"/>
        <v>0.2981669108503654</v>
      </c>
      <c r="K47" s="26">
        <f t="shared" si="4"/>
        <v>0.29209765822518546</v>
      </c>
      <c r="L47" s="26">
        <f>E47/E$7*100</f>
        <v>0.29230484171536214</v>
      </c>
      <c r="M47" s="26">
        <f t="shared" si="4"/>
        <v>0.10500995250452409</v>
      </c>
      <c r="N47" s="26">
        <f t="shared" si="4"/>
        <v>3.3851022333347573E-2</v>
      </c>
      <c r="O47" s="46"/>
      <c r="P47" s="52">
        <f t="shared" si="3"/>
        <v>-79.936786815508825</v>
      </c>
      <c r="Q47" s="28" t="s">
        <v>24</v>
      </c>
    </row>
    <row r="48" spans="1:17" ht="19.5" x14ac:dyDescent="0.25">
      <c r="A48" s="45" t="s">
        <v>91</v>
      </c>
      <c r="B48" s="24">
        <v>690960.24000000011</v>
      </c>
      <c r="C48" s="24">
        <v>926804.19000000018</v>
      </c>
      <c r="D48" s="24">
        <v>874045.94</v>
      </c>
      <c r="E48" s="24">
        <v>790246.92000000016</v>
      </c>
      <c r="F48" s="24">
        <v>615506.92000000027</v>
      </c>
      <c r="G48" s="24">
        <v>364926.9200000001</v>
      </c>
      <c r="H48" s="25"/>
      <c r="I48" s="27">
        <f t="shared" si="4"/>
        <v>5.2929230172076448E-3</v>
      </c>
      <c r="J48" s="26">
        <f t="shared" si="4"/>
        <v>6.3794415877098136E-3</v>
      </c>
      <c r="K48" s="26">
        <f t="shared" si="4"/>
        <v>5.7571614639060067E-3</v>
      </c>
      <c r="L48" s="26">
        <f t="shared" si="4"/>
        <v>4.8547690446824167E-3</v>
      </c>
      <c r="M48" s="26">
        <f t="shared" si="4"/>
        <v>3.6765372913634309E-3</v>
      </c>
      <c r="N48" s="26">
        <f t="shared" si="4"/>
        <v>3.5022954228190926E-3</v>
      </c>
      <c r="O48" s="46"/>
      <c r="P48" s="52">
        <f t="shared" si="3"/>
        <v>-40.711158860732233</v>
      </c>
      <c r="Q48" s="28" t="s">
        <v>92</v>
      </c>
    </row>
    <row r="49" spans="1:18" ht="19.5" x14ac:dyDescent="0.25">
      <c r="A49" s="45" t="s">
        <v>93</v>
      </c>
      <c r="B49" s="24">
        <v>6211579.3000000007</v>
      </c>
      <c r="C49" s="24">
        <v>12137275.700000001</v>
      </c>
      <c r="D49" s="24">
        <v>26647124.090000004</v>
      </c>
      <c r="E49" s="24">
        <v>41135168.560000002</v>
      </c>
      <c r="F49" s="24">
        <v>17461011.800000004</v>
      </c>
      <c r="G49" s="24">
        <v>8867455.7400000002</v>
      </c>
      <c r="H49" s="25"/>
      <c r="I49" s="27">
        <f t="shared" si="4"/>
        <v>4.7582203934311111E-2</v>
      </c>
      <c r="J49" s="26">
        <f t="shared" si="4"/>
        <v>8.3544120966997051E-2</v>
      </c>
      <c r="K49" s="26">
        <f t="shared" si="4"/>
        <v>0.17551914483450315</v>
      </c>
      <c r="L49" s="26">
        <f t="shared" si="4"/>
        <v>0.25270803076699289</v>
      </c>
      <c r="M49" s="26">
        <f t="shared" si="4"/>
        <v>0.1042978704896395</v>
      </c>
      <c r="N49" s="26">
        <f t="shared" si="4"/>
        <v>8.5103202718650864E-2</v>
      </c>
      <c r="O49" s="46"/>
      <c r="P49" s="52">
        <f t="shared" si="3"/>
        <v>-49.215682106119431</v>
      </c>
      <c r="Q49" s="28" t="s">
        <v>94</v>
      </c>
    </row>
    <row r="50" spans="1:18" ht="19.5" x14ac:dyDescent="0.25">
      <c r="A50" s="45" t="s">
        <v>95</v>
      </c>
      <c r="B50" s="24">
        <v>0</v>
      </c>
      <c r="C50" s="24">
        <v>0</v>
      </c>
      <c r="D50" s="24">
        <v>0</v>
      </c>
      <c r="E50" s="24">
        <v>0</v>
      </c>
      <c r="F50" s="24">
        <v>1205.75</v>
      </c>
      <c r="G50" s="57">
        <v>0</v>
      </c>
      <c r="H50" s="25"/>
      <c r="I50" s="27">
        <f t="shared" si="4"/>
        <v>0</v>
      </c>
      <c r="J50" s="26">
        <f t="shared" si="4"/>
        <v>0</v>
      </c>
      <c r="K50" s="26">
        <f t="shared" si="4"/>
        <v>0</v>
      </c>
      <c r="L50" s="26">
        <f t="shared" si="4"/>
        <v>0</v>
      </c>
      <c r="M50" s="26">
        <f t="shared" si="4"/>
        <v>7.2021689684032397E-6</v>
      </c>
      <c r="N50" s="26">
        <f t="shared" si="4"/>
        <v>0</v>
      </c>
      <c r="O50" s="46"/>
      <c r="P50" s="52">
        <f t="shared" si="3"/>
        <v>-100</v>
      </c>
      <c r="Q50" s="28" t="s">
        <v>96</v>
      </c>
    </row>
    <row r="51" spans="1:18" ht="19.5" hidden="1" x14ac:dyDescent="0.25">
      <c r="A51" s="45" t="s">
        <v>97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/>
      <c r="H51" s="25"/>
      <c r="I51" s="27">
        <f t="shared" si="4"/>
        <v>0</v>
      </c>
      <c r="J51" s="26">
        <f t="shared" si="4"/>
        <v>0</v>
      </c>
      <c r="K51" s="26">
        <f t="shared" si="4"/>
        <v>0</v>
      </c>
      <c r="L51" s="26">
        <f t="shared" si="4"/>
        <v>0</v>
      </c>
      <c r="M51" s="26">
        <f t="shared" si="4"/>
        <v>0</v>
      </c>
      <c r="N51" s="26">
        <f t="shared" si="4"/>
        <v>0</v>
      </c>
      <c r="O51" s="46"/>
      <c r="P51" s="52" t="e">
        <f t="shared" si="3"/>
        <v>#DIV/0!</v>
      </c>
      <c r="Q51" s="28" t="s">
        <v>98</v>
      </c>
    </row>
    <row r="52" spans="1:18" ht="18.75" x14ac:dyDescent="0.25">
      <c r="A52" s="45" t="s">
        <v>99</v>
      </c>
      <c r="B52" s="24">
        <v>2532700</v>
      </c>
      <c r="C52" s="24">
        <v>1649900</v>
      </c>
      <c r="D52" s="24">
        <v>1177000</v>
      </c>
      <c r="E52" s="24">
        <v>1207500</v>
      </c>
      <c r="F52" s="24">
        <v>1515800</v>
      </c>
      <c r="G52" s="24">
        <v>2455200</v>
      </c>
      <c r="H52" s="25"/>
      <c r="I52" s="27">
        <f t="shared" si="4"/>
        <v>1.940109625653974E-2</v>
      </c>
      <c r="J52" s="26">
        <f t="shared" si="4"/>
        <v>1.1356703809854828E-2</v>
      </c>
      <c r="K52" s="26">
        <f t="shared" si="4"/>
        <v>7.7526577642101635E-3</v>
      </c>
      <c r="L52" s="26">
        <f t="shared" si="4"/>
        <v>7.4181037256735105E-3</v>
      </c>
      <c r="M52" s="26">
        <f t="shared" si="4"/>
        <v>9.0541552745640724E-3</v>
      </c>
      <c r="N52" s="26">
        <f t="shared" si="4"/>
        <v>2.3563171832062801E-2</v>
      </c>
      <c r="O52" s="46"/>
      <c r="P52" s="52">
        <f t="shared" si="3"/>
        <v>61.973875181422343</v>
      </c>
      <c r="Q52" s="4" t="s">
        <v>100</v>
      </c>
    </row>
    <row r="53" spans="1:18" ht="18.75" x14ac:dyDescent="0.25">
      <c r="A53" s="45" t="s">
        <v>101</v>
      </c>
      <c r="B53" s="24">
        <v>0</v>
      </c>
      <c r="C53" s="24">
        <v>0</v>
      </c>
      <c r="D53" s="24">
        <v>16865000</v>
      </c>
      <c r="E53" s="24">
        <v>21484000</v>
      </c>
      <c r="F53" s="24">
        <v>6136000</v>
      </c>
      <c r="G53" s="24"/>
      <c r="H53" s="25"/>
      <c r="I53" s="27">
        <f t="shared" si="4"/>
        <v>0</v>
      </c>
      <c r="J53" s="26">
        <f t="shared" si="4"/>
        <v>0</v>
      </c>
      <c r="K53" s="26">
        <f t="shared" si="4"/>
        <v>0.11108629838012268</v>
      </c>
      <c r="L53" s="26">
        <f t="shared" si="4"/>
        <v>0.13198388442432274</v>
      </c>
      <c r="M53" s="26">
        <f t="shared" si="4"/>
        <v>3.6651469035971197E-2</v>
      </c>
      <c r="N53" s="26">
        <f t="shared" si="4"/>
        <v>0</v>
      </c>
      <c r="O53" s="46"/>
      <c r="P53" s="52">
        <f t="shared" si="3"/>
        <v>-100</v>
      </c>
      <c r="Q53" s="4" t="s">
        <v>25</v>
      </c>
      <c r="R53" s="1" t="s">
        <v>102</v>
      </c>
    </row>
    <row r="54" spans="1:18" ht="19.5" x14ac:dyDescent="0.25">
      <c r="A54" s="45" t="s">
        <v>103</v>
      </c>
      <c r="B54" s="24">
        <v>1197553906.7121</v>
      </c>
      <c r="C54" s="24">
        <v>1449680465.8505001</v>
      </c>
      <c r="D54" s="24">
        <v>1401635711.642</v>
      </c>
      <c r="E54" s="24">
        <v>1532773547.8168001</v>
      </c>
      <c r="F54" s="24">
        <v>1646551366.4556053</v>
      </c>
      <c r="G54" s="24">
        <v>702177427.79410005</v>
      </c>
      <c r="H54" s="25"/>
      <c r="I54" s="27">
        <f t="shared" si="4"/>
        <v>9.1735533685460844</v>
      </c>
      <c r="J54" s="26">
        <f t="shared" si="4"/>
        <v>9.9785391051557646</v>
      </c>
      <c r="K54" s="26">
        <f t="shared" si="4"/>
        <v>9.2322871558671089</v>
      </c>
      <c r="L54" s="26">
        <f t="shared" si="4"/>
        <v>9.4163752924833215</v>
      </c>
      <c r="M54" s="26">
        <f t="shared" si="4"/>
        <v>9.8351575006166367</v>
      </c>
      <c r="N54" s="26">
        <f t="shared" si="4"/>
        <v>6.7389733576524309</v>
      </c>
      <c r="O54" s="46"/>
      <c r="P54" s="52">
        <f t="shared" si="3"/>
        <v>-57.354660042849481</v>
      </c>
      <c r="Q54" s="28" t="s">
        <v>104</v>
      </c>
    </row>
    <row r="55" spans="1:18" ht="19.5" x14ac:dyDescent="0.25">
      <c r="A55" s="45" t="s">
        <v>105</v>
      </c>
      <c r="B55" s="24">
        <v>632505.73799999978</v>
      </c>
      <c r="C55" s="24">
        <v>152966.62</v>
      </c>
      <c r="D55" s="24">
        <v>3072</v>
      </c>
      <c r="E55" s="24">
        <v>3561.2</v>
      </c>
      <c r="F55" s="24">
        <v>0</v>
      </c>
      <c r="G55" s="24"/>
      <c r="H55" s="25"/>
      <c r="I55" s="27">
        <f t="shared" si="4"/>
        <v>4.8451473548986072E-3</v>
      </c>
      <c r="J55" s="26">
        <f t="shared" si="4"/>
        <v>1.0529102346412606E-3</v>
      </c>
      <c r="K55" s="26">
        <f t="shared" si="4"/>
        <v>2.023463436843978E-5</v>
      </c>
      <c r="L55" s="26">
        <f t="shared" si="4"/>
        <v>2.187772338539835E-5</v>
      </c>
      <c r="M55" s="26">
        <f t="shared" si="4"/>
        <v>0</v>
      </c>
      <c r="N55" s="26">
        <f t="shared" si="4"/>
        <v>0</v>
      </c>
      <c r="O55" s="46"/>
      <c r="P55" s="58">
        <v>0</v>
      </c>
      <c r="Q55" s="28" t="s">
        <v>106</v>
      </c>
    </row>
    <row r="56" spans="1:18" ht="19.5" x14ac:dyDescent="0.25">
      <c r="A56" s="45" t="s">
        <v>107</v>
      </c>
      <c r="B56" s="24">
        <v>1086200</v>
      </c>
      <c r="C56" s="24">
        <v>1203850</v>
      </c>
      <c r="D56" s="24">
        <v>1746700</v>
      </c>
      <c r="E56" s="24">
        <v>1797650</v>
      </c>
      <c r="F56" s="24">
        <v>1957300</v>
      </c>
      <c r="G56" s="24">
        <v>1684088.22</v>
      </c>
      <c r="H56" s="25"/>
      <c r="I56" s="27">
        <f t="shared" si="4"/>
        <v>8.320555436432845E-3</v>
      </c>
      <c r="J56" s="26">
        <f t="shared" si="4"/>
        <v>8.2864221355801772E-3</v>
      </c>
      <c r="K56" s="26">
        <f t="shared" si="4"/>
        <v>1.150515489952922E-2</v>
      </c>
      <c r="L56" s="26">
        <f t="shared" si="4"/>
        <v>1.1043605931641397E-2</v>
      </c>
      <c r="M56" s="26">
        <f t="shared" si="4"/>
        <v>1.1691316874854373E-2</v>
      </c>
      <c r="N56" s="26">
        <f t="shared" si="4"/>
        <v>1.6162618160725308E-2</v>
      </c>
      <c r="O56" s="46"/>
      <c r="P56" s="52">
        <f t="shared" si="3"/>
        <v>-13.958605221478571</v>
      </c>
      <c r="Q56" s="28" t="s">
        <v>108</v>
      </c>
    </row>
    <row r="57" spans="1:18" ht="24.75" customHeight="1" x14ac:dyDescent="0.25">
      <c r="A57" s="45" t="s">
        <v>109</v>
      </c>
      <c r="B57" s="24">
        <v>0</v>
      </c>
      <c r="C57" s="24">
        <v>12000</v>
      </c>
      <c r="D57" s="24">
        <v>0</v>
      </c>
      <c r="E57" s="24">
        <v>0</v>
      </c>
      <c r="F57" s="24">
        <v>0</v>
      </c>
      <c r="G57" s="24">
        <v>0</v>
      </c>
      <c r="H57" s="25"/>
      <c r="I57" s="27">
        <f t="shared" si="4"/>
        <v>0</v>
      </c>
      <c r="J57" s="26">
        <f t="shared" si="4"/>
        <v>8.2599215539279919E-5</v>
      </c>
      <c r="K57" s="26">
        <f t="shared" si="4"/>
        <v>0</v>
      </c>
      <c r="L57" s="26">
        <f t="shared" si="4"/>
        <v>0</v>
      </c>
      <c r="M57" s="26">
        <f t="shared" si="4"/>
        <v>0</v>
      </c>
      <c r="N57" s="26">
        <f t="shared" si="4"/>
        <v>0</v>
      </c>
      <c r="O57" s="46"/>
      <c r="P57" s="58">
        <v>0</v>
      </c>
      <c r="Q57" s="28" t="s">
        <v>110</v>
      </c>
    </row>
    <row r="58" spans="1:18" ht="19.5" x14ac:dyDescent="0.25">
      <c r="A58" s="45" t="s">
        <v>111</v>
      </c>
      <c r="B58" s="24">
        <v>781481.62</v>
      </c>
      <c r="C58" s="24">
        <v>4074889.67</v>
      </c>
      <c r="D58" s="24">
        <v>6801211.5499999998</v>
      </c>
      <c r="E58" s="24">
        <v>13826229.16</v>
      </c>
      <c r="F58" s="24">
        <v>10240781.280000003</v>
      </c>
      <c r="G58" s="24">
        <v>3136308.9299999997</v>
      </c>
      <c r="H58" s="25"/>
      <c r="I58" s="27">
        <f t="shared" si="4"/>
        <v>5.9863387421868405E-3</v>
      </c>
      <c r="J58" s="26">
        <f t="shared" si="4"/>
        <v>2.8048557512592932E-2</v>
      </c>
      <c r="K58" s="26">
        <f t="shared" si="4"/>
        <v>4.4798186515839708E-2</v>
      </c>
      <c r="L58" s="26">
        <f t="shared" si="4"/>
        <v>8.4939463390320283E-2</v>
      </c>
      <c r="M58" s="26">
        <f t="shared" si="4"/>
        <v>6.1170090936778623E-2</v>
      </c>
      <c r="N58" s="26">
        <f t="shared" si="4"/>
        <v>3.0099945518093439E-2</v>
      </c>
      <c r="O58" s="46"/>
      <c r="P58" s="52">
        <f t="shared" si="3"/>
        <v>-69.374319749166659</v>
      </c>
      <c r="Q58" s="28" t="s">
        <v>112</v>
      </c>
    </row>
    <row r="59" spans="1:18" ht="19.5" x14ac:dyDescent="0.25">
      <c r="A59" s="45" t="s">
        <v>113</v>
      </c>
      <c r="B59" s="24">
        <v>62245584.850000001</v>
      </c>
      <c r="C59" s="24">
        <v>75695789.819999993</v>
      </c>
      <c r="D59" s="24">
        <v>83803210</v>
      </c>
      <c r="E59" s="24">
        <v>92384692.730000004</v>
      </c>
      <c r="F59" s="24">
        <v>107432467.20999999</v>
      </c>
      <c r="G59" s="24">
        <v>102966321.18999998</v>
      </c>
      <c r="H59" s="25"/>
      <c r="I59" s="27">
        <f t="shared" si="4"/>
        <v>0.4768162763925699</v>
      </c>
      <c r="J59" s="26">
        <f t="shared" si="4"/>
        <v>0.52103440489651753</v>
      </c>
      <c r="K59" s="26">
        <f t="shared" si="4"/>
        <v>0.55199456811574754</v>
      </c>
      <c r="L59" s="26">
        <f t="shared" si="4"/>
        <v>0.56755216011231102</v>
      </c>
      <c r="M59" s="26">
        <f t="shared" si="4"/>
        <v>0.64171410453150357</v>
      </c>
      <c r="N59" s="26">
        <f t="shared" si="4"/>
        <v>0.98819367836238936</v>
      </c>
      <c r="O59" s="46"/>
      <c r="P59" s="52">
        <f t="shared" si="3"/>
        <v>-4.1571660187883053</v>
      </c>
      <c r="Q59" s="28" t="s">
        <v>114</v>
      </c>
    </row>
    <row r="60" spans="1:18" ht="24" customHeight="1" x14ac:dyDescent="0.25">
      <c r="A60" s="33" t="s">
        <v>115</v>
      </c>
      <c r="B60" s="24">
        <v>7051600.6999999993</v>
      </c>
      <c r="C60" s="24">
        <v>20481678.534299999</v>
      </c>
      <c r="D60" s="24">
        <v>28434516.049999997</v>
      </c>
      <c r="E60" s="24">
        <v>26636826.970000003</v>
      </c>
      <c r="F60" s="24">
        <v>27258582.329999998</v>
      </c>
      <c r="G60" s="24">
        <v>25058472.93</v>
      </c>
      <c r="H60" s="25"/>
      <c r="I60" s="27">
        <f t="shared" si="4"/>
        <v>5.4016971588969481E-2</v>
      </c>
      <c r="J60" s="26">
        <f t="shared" si="4"/>
        <v>0.14098088165507405</v>
      </c>
      <c r="K60" s="26">
        <f t="shared" si="4"/>
        <v>0.18729232933440185</v>
      </c>
      <c r="L60" s="26">
        <f t="shared" si="4"/>
        <v>0.1636395406925695</v>
      </c>
      <c r="M60" s="26">
        <f t="shared" si="4"/>
        <v>0.16282058119825074</v>
      </c>
      <c r="N60" s="26">
        <f t="shared" si="4"/>
        <v>0.24049246639731353</v>
      </c>
      <c r="O60" s="46"/>
      <c r="P60" s="52">
        <f t="shared" si="3"/>
        <v>-8.0712539389057767</v>
      </c>
      <c r="Q60" s="28" t="s">
        <v>116</v>
      </c>
    </row>
    <row r="61" spans="1:18" ht="24" hidden="1" customHeight="1" x14ac:dyDescent="0.25">
      <c r="A61" s="33" t="s">
        <v>117</v>
      </c>
      <c r="B61" s="24">
        <v>31388.42</v>
      </c>
      <c r="C61" s="24">
        <v>0</v>
      </c>
      <c r="D61" s="24">
        <v>0</v>
      </c>
      <c r="E61" s="24">
        <v>0</v>
      </c>
      <c r="F61" s="24">
        <v>0</v>
      </c>
      <c r="G61" s="24"/>
      <c r="H61" s="25"/>
      <c r="I61" s="27">
        <f t="shared" si="4"/>
        <v>2.4044290984352553E-4</v>
      </c>
      <c r="J61" s="26">
        <f t="shared" si="4"/>
        <v>0</v>
      </c>
      <c r="K61" s="26">
        <f t="shared" si="4"/>
        <v>0</v>
      </c>
      <c r="L61" s="26">
        <f t="shared" si="4"/>
        <v>0</v>
      </c>
      <c r="M61" s="26">
        <f t="shared" si="4"/>
        <v>0</v>
      </c>
      <c r="N61" s="26">
        <f t="shared" si="4"/>
        <v>0</v>
      </c>
      <c r="O61" s="46"/>
      <c r="P61" s="52" t="e">
        <f t="shared" si="3"/>
        <v>#DIV/0!</v>
      </c>
      <c r="Q61" s="32" t="s">
        <v>118</v>
      </c>
    </row>
    <row r="62" spans="1:18" ht="24" customHeight="1" x14ac:dyDescent="0.25">
      <c r="A62" s="33" t="s">
        <v>119</v>
      </c>
      <c r="B62" s="24">
        <v>0</v>
      </c>
      <c r="C62" s="24">
        <v>0</v>
      </c>
      <c r="D62" s="24">
        <v>155000</v>
      </c>
      <c r="E62" s="24">
        <v>110000</v>
      </c>
      <c r="F62" s="24">
        <v>160000</v>
      </c>
      <c r="G62" s="24">
        <v>130000</v>
      </c>
      <c r="H62" s="25"/>
      <c r="I62" s="27">
        <f t="shared" si="4"/>
        <v>0</v>
      </c>
      <c r="J62" s="26">
        <f t="shared" si="4"/>
        <v>0</v>
      </c>
      <c r="K62" s="26">
        <f t="shared" si="4"/>
        <v>1.0209532314805229E-3</v>
      </c>
      <c r="L62" s="26">
        <f t="shared" si="4"/>
        <v>6.7576928349820798E-4</v>
      </c>
      <c r="M62" s="26">
        <f t="shared" si="4"/>
        <v>9.5570975321958805E-4</v>
      </c>
      <c r="N62" s="26">
        <f t="shared" si="4"/>
        <v>1.247642692313524E-3</v>
      </c>
      <c r="O62" s="46"/>
      <c r="P62" s="52">
        <f t="shared" si="3"/>
        <v>-18.75</v>
      </c>
      <c r="Q62" s="32" t="s">
        <v>120</v>
      </c>
    </row>
    <row r="63" spans="1:18" ht="24" customHeight="1" x14ac:dyDescent="0.25">
      <c r="A63" s="33" t="s">
        <v>121</v>
      </c>
      <c r="B63" s="24">
        <v>0</v>
      </c>
      <c r="C63" s="24">
        <v>0</v>
      </c>
      <c r="D63" s="24">
        <v>635373.4</v>
      </c>
      <c r="E63" s="24">
        <v>555500</v>
      </c>
      <c r="F63" s="24">
        <v>647000</v>
      </c>
      <c r="G63" s="24">
        <v>519000</v>
      </c>
      <c r="H63" s="25"/>
      <c r="I63" s="27">
        <f t="shared" si="4"/>
        <v>0</v>
      </c>
      <c r="J63" s="26">
        <f t="shared" si="4"/>
        <v>0</v>
      </c>
      <c r="K63" s="26">
        <f t="shared" si="4"/>
        <v>4.1850743608178509E-3</v>
      </c>
      <c r="L63" s="26">
        <f t="shared" si="4"/>
        <v>3.4126348816659506E-3</v>
      </c>
      <c r="M63" s="26">
        <f t="shared" si="4"/>
        <v>3.8646513145817085E-3</v>
      </c>
      <c r="N63" s="26">
        <f t="shared" si="4"/>
        <v>4.9809735177747611E-3</v>
      </c>
      <c r="O63" s="46"/>
      <c r="P63" s="52">
        <f t="shared" si="3"/>
        <v>-19.783616692426587</v>
      </c>
      <c r="Q63" s="32" t="s">
        <v>122</v>
      </c>
    </row>
    <row r="64" spans="1:18" ht="24" customHeight="1" x14ac:dyDescent="0.25">
      <c r="A64" s="33" t="s">
        <v>123</v>
      </c>
      <c r="B64" s="24">
        <v>0</v>
      </c>
      <c r="C64" s="24">
        <v>0</v>
      </c>
      <c r="D64" s="24">
        <v>3747036.15</v>
      </c>
      <c r="E64" s="24">
        <v>4397050.95</v>
      </c>
      <c r="F64" s="24">
        <v>5619006.6000000015</v>
      </c>
      <c r="G64" s="24">
        <v>6301806.3499999996</v>
      </c>
      <c r="H64" s="25"/>
      <c r="I64" s="27">
        <f t="shared" si="4"/>
        <v>0</v>
      </c>
      <c r="J64" s="26">
        <f t="shared" si="4"/>
        <v>0</v>
      </c>
      <c r="K64" s="26">
        <f t="shared" si="4"/>
        <v>2.4680959134302172E-2</v>
      </c>
      <c r="L64" s="26">
        <f t="shared" si="4"/>
        <v>2.7012654272605591E-2</v>
      </c>
      <c r="M64" s="26">
        <f t="shared" si="4"/>
        <v>3.3563371318907735E-2</v>
      </c>
      <c r="N64" s="26">
        <f t="shared" si="4"/>
        <v>6.0480020315018937E-2</v>
      </c>
      <c r="O64" s="46"/>
      <c r="P64" s="52">
        <f t="shared" si="3"/>
        <v>12.151609681326914</v>
      </c>
      <c r="Q64" s="32" t="s">
        <v>124</v>
      </c>
    </row>
    <row r="65" spans="1:19" ht="24" customHeight="1" x14ac:dyDescent="0.25">
      <c r="A65" s="33" t="s">
        <v>125</v>
      </c>
      <c r="B65" s="24">
        <v>0</v>
      </c>
      <c r="C65" s="24">
        <v>0</v>
      </c>
      <c r="D65" s="24">
        <v>146500</v>
      </c>
      <c r="E65" s="24">
        <v>110000</v>
      </c>
      <c r="F65" s="24">
        <v>105000</v>
      </c>
      <c r="G65" s="24">
        <v>95000</v>
      </c>
      <c r="H65" s="25"/>
      <c r="I65" s="27">
        <f t="shared" si="4"/>
        <v>0</v>
      </c>
      <c r="J65" s="26">
        <f t="shared" si="4"/>
        <v>0</v>
      </c>
      <c r="K65" s="26">
        <f t="shared" si="4"/>
        <v>9.6496547362513924E-4</v>
      </c>
      <c r="L65" s="26">
        <f t="shared" si="4"/>
        <v>6.7576928349820798E-4</v>
      </c>
      <c r="M65" s="26">
        <f t="shared" si="4"/>
        <v>6.2718452555035457E-4</v>
      </c>
      <c r="N65" s="26">
        <f t="shared" si="4"/>
        <v>9.1173889053680591E-4</v>
      </c>
      <c r="O65" s="46"/>
      <c r="P65" s="52">
        <f t="shared" si="3"/>
        <v>-9.5238095238095237</v>
      </c>
      <c r="Q65" s="32" t="s">
        <v>126</v>
      </c>
    </row>
    <row r="66" spans="1:19" ht="24" customHeight="1" x14ac:dyDescent="0.25">
      <c r="A66" s="33" t="s">
        <v>127</v>
      </c>
      <c r="B66" s="24">
        <v>0</v>
      </c>
      <c r="C66" s="24">
        <v>0</v>
      </c>
      <c r="D66" s="24">
        <v>480000</v>
      </c>
      <c r="E66" s="24">
        <v>480000</v>
      </c>
      <c r="F66" s="24">
        <v>460000</v>
      </c>
      <c r="G66" s="24">
        <v>620000</v>
      </c>
      <c r="H66" s="25"/>
      <c r="I66" s="27">
        <f t="shared" si="4"/>
        <v>0</v>
      </c>
      <c r="J66" s="55">
        <f t="shared" si="4"/>
        <v>0</v>
      </c>
      <c r="K66" s="26">
        <f t="shared" si="4"/>
        <v>3.1616616200687161E-3</v>
      </c>
      <c r="L66" s="26">
        <f t="shared" si="4"/>
        <v>2.9488114189012713E-3</v>
      </c>
      <c r="M66" s="26">
        <f t="shared" si="4"/>
        <v>2.7476655405063153E-3</v>
      </c>
      <c r="N66" s="26">
        <f t="shared" si="4"/>
        <v>5.9502959171875754E-3</v>
      </c>
      <c r="O66" s="46"/>
      <c r="P66" s="52">
        <f t="shared" si="3"/>
        <v>34.782608695652172</v>
      </c>
      <c r="Q66" s="32" t="s">
        <v>128</v>
      </c>
    </row>
    <row r="67" spans="1:19" ht="24" customHeight="1" x14ac:dyDescent="0.25">
      <c r="A67" s="33" t="s">
        <v>129</v>
      </c>
      <c r="B67" s="24">
        <v>0</v>
      </c>
      <c r="C67" s="24">
        <v>0</v>
      </c>
      <c r="D67" s="24">
        <v>398443.62239999999</v>
      </c>
      <c r="E67" s="24">
        <v>198832.70610000001</v>
      </c>
      <c r="F67" s="24">
        <v>0</v>
      </c>
      <c r="G67" s="24">
        <v>69120</v>
      </c>
      <c r="H67" s="25"/>
      <c r="I67" s="27">
        <f t="shared" si="4"/>
        <v>0</v>
      </c>
      <c r="J67" s="55">
        <f t="shared" ref="J67:N67" si="5">C67/C$7*100</f>
        <v>0</v>
      </c>
      <c r="K67" s="26">
        <f t="shared" si="5"/>
        <v>2.6244664764650655E-3</v>
      </c>
      <c r="L67" s="26">
        <f t="shared" si="5"/>
        <v>1.2215003212473344E-3</v>
      </c>
      <c r="M67" s="26">
        <f t="shared" si="5"/>
        <v>0</v>
      </c>
      <c r="N67" s="26">
        <f t="shared" si="5"/>
        <v>6.6336202225162136E-4</v>
      </c>
      <c r="O67" s="46"/>
      <c r="P67" s="58">
        <v>0</v>
      </c>
      <c r="Q67" s="32" t="s">
        <v>130</v>
      </c>
    </row>
    <row r="68" spans="1:19" ht="24" customHeight="1" x14ac:dyDescent="0.25">
      <c r="A68" s="33" t="s">
        <v>136</v>
      </c>
      <c r="B68" s="24"/>
      <c r="C68" s="24">
        <v>0</v>
      </c>
      <c r="D68" s="24">
        <v>0</v>
      </c>
      <c r="E68" s="24">
        <v>0</v>
      </c>
      <c r="F68" s="24">
        <v>0</v>
      </c>
      <c r="G68" s="24">
        <v>1029500</v>
      </c>
      <c r="H68" s="24"/>
      <c r="I68" s="27"/>
      <c r="J68" s="55">
        <f>C68/C$7*100</f>
        <v>0</v>
      </c>
      <c r="K68" s="26">
        <f t="shared" ref="K68:K69" si="6">D68/D$7*100</f>
        <v>0</v>
      </c>
      <c r="L68" s="26">
        <f t="shared" ref="L68:L69" si="7">E68/E$7*100</f>
        <v>0</v>
      </c>
      <c r="M68" s="26">
        <f t="shared" ref="M68:M69" si="8">F68/F$7*100</f>
        <v>0</v>
      </c>
      <c r="N68" s="26">
        <f t="shared" ref="N68:N69" si="9">G68/G$7*100</f>
        <v>9.8803703979751765E-3</v>
      </c>
      <c r="O68" s="46"/>
      <c r="P68" s="58">
        <v>0</v>
      </c>
      <c r="Q68" s="32" t="s">
        <v>139</v>
      </c>
    </row>
    <row r="69" spans="1:19" ht="24" customHeight="1" x14ac:dyDescent="0.25">
      <c r="A69" s="33" t="s">
        <v>137</v>
      </c>
      <c r="B69" s="24">
        <v>80058.31</v>
      </c>
      <c r="C69" s="24">
        <v>1281640.1099999999</v>
      </c>
      <c r="D69" s="24">
        <v>6044494.1975999996</v>
      </c>
      <c r="E69" s="24">
        <v>6408085.9311000006</v>
      </c>
      <c r="F69" s="24">
        <v>3608957.3200000003</v>
      </c>
      <c r="G69" s="24">
        <v>456990.92000000004</v>
      </c>
      <c r="H69" s="47"/>
      <c r="I69" s="35"/>
      <c r="J69" s="56">
        <f>C69/C$7*100</f>
        <v>8.8218723074730346E-3</v>
      </c>
      <c r="K69" s="34">
        <f t="shared" si="6"/>
        <v>3.981384441099993E-2</v>
      </c>
      <c r="L69" s="34">
        <f t="shared" si="7"/>
        <v>3.9367160347767223E-2</v>
      </c>
      <c r="M69" s="34">
        <f t="shared" si="8"/>
        <v>2.1556973185482661E-2</v>
      </c>
      <c r="N69" s="34">
        <f t="shared" si="9"/>
        <v>4.3858567830125711E-3</v>
      </c>
      <c r="O69" s="48"/>
      <c r="P69" s="53">
        <f t="shared" si="3"/>
        <v>-87.337314368683082</v>
      </c>
      <c r="Q69" s="36" t="s">
        <v>26</v>
      </c>
    </row>
    <row r="70" spans="1:19" ht="14.25" customHeight="1" x14ac:dyDescent="0.25">
      <c r="A70" s="59"/>
      <c r="B70" s="59"/>
      <c r="C70" s="59"/>
      <c r="D70" s="59"/>
      <c r="E70" s="59"/>
      <c r="F70" s="59"/>
      <c r="G70" s="59"/>
      <c r="H70" s="60"/>
      <c r="I70" s="27"/>
      <c r="J70" s="27"/>
      <c r="K70" s="27"/>
      <c r="L70" s="27"/>
      <c r="M70" s="27"/>
      <c r="N70" s="27"/>
      <c r="O70" s="27"/>
      <c r="P70" s="37"/>
      <c r="Q70" s="38" t="s">
        <v>131</v>
      </c>
    </row>
    <row r="71" spans="1:19" ht="39.75" customHeight="1" x14ac:dyDescent="0.25">
      <c r="A71" s="60" t="s">
        <v>133</v>
      </c>
      <c r="B71" s="60"/>
      <c r="C71" s="60"/>
      <c r="D71" s="60"/>
      <c r="E71" s="60"/>
      <c r="F71" s="60"/>
      <c r="G71" s="60"/>
      <c r="H71" s="60"/>
      <c r="I71" s="60"/>
      <c r="J71" s="60"/>
      <c r="K71" s="27"/>
      <c r="L71" s="27"/>
      <c r="M71" s="27"/>
      <c r="N71" s="27"/>
      <c r="O71" s="27"/>
      <c r="P71" s="37"/>
      <c r="Q71" s="38"/>
    </row>
    <row r="72" spans="1:19" ht="18.75" x14ac:dyDescent="0.25">
      <c r="A72" s="60" t="s">
        <v>138</v>
      </c>
      <c r="B72" s="60"/>
      <c r="C72" s="60"/>
      <c r="D72" s="60"/>
      <c r="E72" s="60"/>
      <c r="F72" s="60"/>
      <c r="G72" s="60"/>
      <c r="H72" s="60"/>
      <c r="I72" s="60"/>
      <c r="J72" s="60"/>
      <c r="K72" s="27"/>
      <c r="L72" s="27"/>
      <c r="M72" s="27"/>
      <c r="N72" s="27"/>
      <c r="O72" s="27"/>
      <c r="P72" s="37"/>
      <c r="Q72" s="38"/>
    </row>
    <row r="73" spans="1:19" ht="19.5" x14ac:dyDescent="0.25">
      <c r="A73" s="49" t="s">
        <v>132</v>
      </c>
      <c r="B73" s="24"/>
      <c r="C73" s="24"/>
      <c r="D73" s="24"/>
      <c r="E73" s="24"/>
      <c r="F73" s="24"/>
      <c r="G73" s="24"/>
      <c r="H73" s="24"/>
      <c r="I73" s="27"/>
      <c r="J73" s="27"/>
      <c r="K73" s="27"/>
      <c r="L73" s="27"/>
      <c r="M73" s="27"/>
      <c r="N73" s="27"/>
      <c r="O73" s="27"/>
      <c r="P73" s="37"/>
      <c r="Q73" s="32"/>
    </row>
    <row r="74" spans="1:19" s="40" customFormat="1" ht="18.75" x14ac:dyDescent="0.25">
      <c r="A74" s="5" t="s">
        <v>29</v>
      </c>
      <c r="B74" s="39"/>
      <c r="C74" s="39"/>
      <c r="D74" s="39"/>
      <c r="E74" s="39"/>
      <c r="F74" s="39"/>
      <c r="G74" s="39"/>
      <c r="H74" s="39"/>
      <c r="R74" s="41"/>
      <c r="S74" s="41"/>
    </row>
    <row r="75" spans="1:19" s="40" customFormat="1" ht="18.75" x14ac:dyDescent="0.25">
      <c r="A75" s="5" t="s">
        <v>30</v>
      </c>
      <c r="B75" s="39"/>
      <c r="C75" s="39"/>
      <c r="D75" s="39"/>
      <c r="E75" s="39"/>
      <c r="F75" s="39"/>
      <c r="G75" s="39"/>
      <c r="H75" s="39"/>
      <c r="R75" s="41"/>
      <c r="S75" s="41"/>
    </row>
    <row r="76" spans="1:19" x14ac:dyDescent="0.25">
      <c r="A76" s="5" t="s">
        <v>31</v>
      </c>
    </row>
    <row r="78" spans="1:19" ht="15" x14ac:dyDescent="0.25">
      <c r="B78" s="24"/>
      <c r="C78" s="24"/>
      <c r="D78" s="24"/>
      <c r="E78" s="24"/>
      <c r="F78" s="24"/>
      <c r="G78" s="24"/>
      <c r="Q78" s="1"/>
    </row>
  </sheetData>
  <mergeCells count="12">
    <mergeCell ref="A70:H70"/>
    <mergeCell ref="A71:J71"/>
    <mergeCell ref="A72:J72"/>
    <mergeCell ref="A1:Q1"/>
    <mergeCell ref="A2:Q2"/>
    <mergeCell ref="A4:A6"/>
    <mergeCell ref="B4:G4"/>
    <mergeCell ref="I4:N4"/>
    <mergeCell ref="Q4:Q6"/>
    <mergeCell ref="B5:G5"/>
    <mergeCell ref="I5:N5"/>
    <mergeCell ref="P5:P6"/>
  </mergeCells>
  <pageMargins left="0.7" right="0.7" top="0.75" bottom="0.75" header="0.3" footer="0.3"/>
  <pageSetup scale="38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1916c6aa-fa20-4fca-8349-5fbeea1bc48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13.12</vt:lpstr>
      <vt:lpstr>'13.12'!Print_Area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2021-06-13T04:48:37Z</cp:lastPrinted>
  <dcterms:created xsi:type="dcterms:W3CDTF">2014-03-06T08:38:12Z</dcterms:created>
  <dcterms:modified xsi:type="dcterms:W3CDTF">2021-06-13T04:51:37Z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