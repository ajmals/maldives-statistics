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20. Political Parties and Election\"/>
    </mc:Choice>
  </mc:AlternateContent>
  <bookViews>
    <workbookView xWindow="0" yWindow="0" windowWidth="28800" windowHeight="12435" tabRatio="682"/>
  </bookViews>
  <sheets>
    <sheet name="20.1" sheetId="1" r:id="rId1"/>
  </sheets>
  <definedNames>
    <definedName name="_xlnm.Print_Area" localSheetId="0">'20.1'!$A$1:$Z$32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42" i="1" l="1"/>
  <c r="AK33" i="1"/>
  <c r="AJ33" i="1"/>
  <c r="AJ32" i="1" s="1"/>
  <c r="AI33" i="1"/>
  <c r="AI32" i="1" s="1"/>
  <c r="AH33" i="1"/>
  <c r="AK32" i="1"/>
  <c r="AH32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AN33" i="1" s="1"/>
  <c r="AN32" i="1" s="1"/>
  <c r="J27" i="1"/>
  <c r="AM33" i="1" s="1"/>
  <c r="AM32" i="1" s="1"/>
  <c r="I27" i="1"/>
  <c r="AL33" i="1" s="1"/>
  <c r="AL32" i="1" s="1"/>
  <c r="H27" i="1"/>
  <c r="G27" i="1"/>
  <c r="F27" i="1"/>
  <c r="E27" i="1"/>
  <c r="D27" i="1"/>
  <c r="AG33" i="1" s="1"/>
  <c r="AG32" i="1" s="1"/>
</calcChain>
</file>

<file path=xl/sharedStrings.xml><?xml version="1.0" encoding="utf-8"?>
<sst xmlns="http://schemas.openxmlformats.org/spreadsheetml/2006/main" count="179" uniqueCount="80">
  <si>
    <t xml:space="preserve">Political parties </t>
  </si>
  <si>
    <t>Year of registration</t>
  </si>
  <si>
    <r>
      <t xml:space="preserve">No. of members </t>
    </r>
    <r>
      <rPr>
        <b/>
        <sz val="10"/>
        <color theme="1"/>
        <rFont val="Calibri"/>
        <family val="2"/>
        <scheme val="minor"/>
      </rPr>
      <t>(year end)</t>
    </r>
  </si>
  <si>
    <r>
      <t xml:space="preserve">Money given by government </t>
    </r>
    <r>
      <rPr>
        <b/>
        <sz val="10"/>
        <color theme="1"/>
        <rFont val="Calibri"/>
        <family val="2"/>
        <scheme val="minor"/>
      </rPr>
      <t>(MVR)</t>
    </r>
  </si>
  <si>
    <t xml:space="preserve"> ސިޔާސީ ޕާޓީތައް </t>
  </si>
  <si>
    <t>ރަޖިސްޓްރީކުރެވުނު އަހަރު</t>
  </si>
  <si>
    <t xml:space="preserve">މެމްބަރުންގެ ޢަދަދު </t>
  </si>
  <si>
    <r>
      <t xml:space="preserve"> ސަރުކާރުން ދޫކުރެވުނު ފައިސާގެ ޢަދަދު </t>
    </r>
    <r>
      <rPr>
        <b/>
        <sz val="9"/>
        <color theme="1"/>
        <rFont val="Faruma"/>
      </rPr>
      <t>(ރުފިޔާ)</t>
    </r>
  </si>
  <si>
    <t>Maldivian Democratic Party</t>
  </si>
  <si>
    <t>26th June 2005</t>
  </si>
  <si>
    <t>ދިވެހިރައްޔިތުންގެ ޑިމޮކްރެޓިކް ޕާޓީ</t>
  </si>
  <si>
    <t>Dhivehi Rayyithunge Party</t>
  </si>
  <si>
    <t>21st July 2005</t>
  </si>
  <si>
    <t xml:space="preserve">ދިވެހިރައްޔިތުންގެ ޕާޓީ </t>
  </si>
  <si>
    <t>Adhaalathu Party</t>
  </si>
  <si>
    <t>18th August 2005</t>
  </si>
  <si>
    <t xml:space="preserve">ޢަދާލަތު ޕާޓީ </t>
  </si>
  <si>
    <t>Islamic Democratic Party</t>
  </si>
  <si>
    <t>12th December 2005</t>
  </si>
  <si>
    <t>-</t>
  </si>
  <si>
    <t xml:space="preserve">އިސްލާމިކް ޑިމޮކްރެޓިކް ޕާޓީ </t>
  </si>
  <si>
    <t>Maldivian Social Democratic Party</t>
  </si>
  <si>
    <t>25th December 2006</t>
  </si>
  <si>
    <t xml:space="preserve">ދިވެހިރައްޔިތުންގެ ސޯޝަލް ޑިމޮކްރެޓިކް ޕާޓީ </t>
  </si>
  <si>
    <t>Peoples Party</t>
  </si>
  <si>
    <t>26th December 2007</t>
  </si>
  <si>
    <t xml:space="preserve">ޕީޕަލްސް ޕާޓީ </t>
  </si>
  <si>
    <t>Maldivian National Congress</t>
  </si>
  <si>
    <t xml:space="preserve">މޯލްޑިވިއަން ނެޝަނަލް ކޮންގްރެސް </t>
  </si>
  <si>
    <t>Social Liberal Party</t>
  </si>
  <si>
    <t>2nd December 2007</t>
  </si>
  <si>
    <t>ސޯޝަލް ލިބަރަލް ޕާޓީ</t>
  </si>
  <si>
    <t>Jumhooree Party</t>
  </si>
  <si>
    <t>3rd August 2008</t>
  </si>
  <si>
    <t xml:space="preserve">ޖުމްހޫރީ ޕާޓީ </t>
  </si>
  <si>
    <t>Peoples Alliance</t>
  </si>
  <si>
    <t xml:space="preserve">ޕީޕަލްސް އެލަޔަންސް </t>
  </si>
  <si>
    <t>Maldivian Labour Party</t>
  </si>
  <si>
    <t>4th September 2008</t>
  </si>
  <si>
    <t>މޯލްޑިވިއަން ލޭބަރ ޕާޓީ</t>
  </si>
  <si>
    <t>Gaumee Ihthihaadh</t>
  </si>
  <si>
    <t>ޤައުމީ އިއްތިޚާދު</t>
  </si>
  <si>
    <t>Dhivehi Qaumee Party</t>
  </si>
  <si>
    <t>27th January 2009</t>
  </si>
  <si>
    <t>ދިވެހި ޤައުމީ ޕާޓީ</t>
  </si>
  <si>
    <t>Maldives Reform Movement</t>
  </si>
  <si>
    <t>22nd March 2011</t>
  </si>
  <si>
    <t>މޯލްޑިވްސް ރިފޯމް މޫވްމަންޓް</t>
  </si>
  <si>
    <t>Progressive Party Of Maldives</t>
  </si>
  <si>
    <t>27th October 2011</t>
  </si>
  <si>
    <t>ޕްރޮގްރެސިވް ޕާޓީ އޮފް މޯލްޑިވްސް</t>
  </si>
  <si>
    <t>Maldives Development Alliance</t>
  </si>
  <si>
    <t>20th December 2012</t>
  </si>
  <si>
    <t>މޯލްޑިވްސް ޑިވެލޮޕްމަންޓް އެލަޔަންސް</t>
  </si>
  <si>
    <t xml:space="preserve">          Total</t>
  </si>
  <si>
    <t xml:space="preserve">      ޖުމްލަ</t>
  </si>
  <si>
    <t xml:space="preserve">Note: Due to some reasons money was not given to some of the parties. </t>
  </si>
  <si>
    <t xml:space="preserve">ނޯޓް: އެކި ސަބަބުތަކާހުރެ ބައެއް ސިޔާސީ ޕާޓީތަކަށް ފައިސާދޫކުރެވިފައެއް ނުވެއެވެ. </t>
  </si>
  <si>
    <t>Source: Elections Commission</t>
  </si>
  <si>
    <t xml:space="preserve">މަޢުލޫމާތު ދެއްވި ފަރާތް: އިލެކްޝަންސް ކޮމިޝަން </t>
  </si>
  <si>
    <t>% share</t>
  </si>
  <si>
    <t>Persons registered in political parties</t>
  </si>
  <si>
    <t>2006 census projections</t>
  </si>
  <si>
    <t>Population 18+ (DNP projected)</t>
  </si>
  <si>
    <t>2018 projection</t>
  </si>
  <si>
    <t>2018 / eligible voters</t>
  </si>
  <si>
    <t>People's National Congress</t>
  </si>
  <si>
    <t>Maldives Third-way Democrats</t>
  </si>
  <si>
    <t>Maldives Labour and Social Democratic Party</t>
  </si>
  <si>
    <t>27th December 2018</t>
  </si>
  <si>
    <t>20th January 2019</t>
  </si>
  <si>
    <t>31st January 2019</t>
  </si>
  <si>
    <t>20th November  2019</t>
  </si>
  <si>
    <t>މޯލްޑިވްސް ތާރޑްވޭ ޑިމޮކްރެޓްސް</t>
  </si>
  <si>
    <t>މޯލްޑިވްސް ލޭބަރ އެންޑް ސޯޝަލް ޑިމޮކްރެޓިކް ޕާޓީ</t>
  </si>
  <si>
    <t>ޕީޕަލްސް ނެޝަނަލް ކޮންގްރެސް</t>
  </si>
  <si>
    <t>ތާވަލު 20.1: 2020 ގެ ނިޔަލަށް ރަޖިސްޓްރީކުރެވިފައިވާ ސިޔާސީ ޕާޓީތަކުގެ ޢަދަދާއި، މެމްބަރުން އަދި ބަޖެޓުން ކުރެވުނެ ހޭދަ</t>
  </si>
  <si>
    <t>TABLE: 20.1:  POLITICAL PARTIES REGISTERED At THE END OF 2020, BY MEMBERSHIP AND BUDGET EXPENDITURE</t>
  </si>
  <si>
    <r>
      <t>2020</t>
    </r>
    <r>
      <rPr>
        <b/>
        <vertAlign val="superscript"/>
        <sz val="11"/>
        <color theme="1"/>
        <rFont val="Calibri"/>
        <family val="2"/>
        <scheme val="minor"/>
      </rPr>
      <t>1_/</t>
    </r>
  </si>
  <si>
    <t>1_/   As there are pending political party membership forms of 2020 yet to be processed,  the membership amounts are subject to change.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</si>
</sst>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* #,##0_);_(* \(#,##0\);_(* &quot;-&quot;??_);_(@_)"/>
    <numFmt numFmtId="166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Faruma"/>
    </font>
    <font>
      <b/>
      <sz val="9"/>
      <color theme="1"/>
      <name val="Faruma"/>
    </font>
    <font>
      <u/>
      <sz val="11"/>
      <color theme="10"/>
      <name val="Calibri"/>
      <family val="2"/>
    </font>
    <font>
      <sz val="11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sz val="8"/>
      <color theme="1"/>
      <name val="Calibri"/>
      <family val="2"/>
      <scheme val="minor"/>
    </font>
    <font>
      <sz val="14"/>
      <color theme="1"/>
      <name val="Times New Roman"/>
      <family val="1"/>
    </font>
    <font>
      <sz val="10"/>
      <name val="Arial"/>
      <family val="2"/>
    </font>
    <font>
      <b/>
      <sz val="12"/>
      <color theme="1"/>
      <name val="Faruma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6"/>
      <color rgb="FFFF0000"/>
      <name val="Times New Roman"/>
      <family val="1"/>
    </font>
    <font>
      <b/>
      <vertAlign val="super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2" fillId="0" borderId="0"/>
    <xf numFmtId="0" fontId="1" fillId="0" borderId="0"/>
    <xf numFmtId="0" fontId="15" fillId="0" borderId="0"/>
    <xf numFmtId="0" fontId="1" fillId="0" borderId="0"/>
  </cellStyleXfs>
  <cellXfs count="59">
    <xf numFmtId="0" fontId="0" fillId="0" borderId="0" xfId="0"/>
    <xf numFmtId="0" fontId="2" fillId="2" borderId="2" xfId="0" applyFont="1" applyFill="1" applyBorder="1" applyAlignment="1">
      <alignment vertical="center" wrapText="1"/>
    </xf>
    <xf numFmtId="0" fontId="0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  <xf numFmtId="0" fontId="0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vertical="center"/>
    </xf>
    <xf numFmtId="165" fontId="0" fillId="2" borderId="0" xfId="1" applyNumberFormat="1" applyFont="1" applyFill="1" applyBorder="1" applyAlignment="1">
      <alignment horizontal="right" vertical="center"/>
    </xf>
    <xf numFmtId="165" fontId="0" fillId="2" borderId="2" xfId="1" applyNumberFormat="1" applyFont="1" applyFill="1" applyBorder="1" applyAlignment="1">
      <alignment horizontal="right" vertical="center"/>
    </xf>
    <xf numFmtId="165" fontId="0" fillId="2" borderId="14" xfId="1" applyNumberFormat="1" applyFont="1" applyFill="1" applyBorder="1" applyAlignment="1">
      <alignment horizontal="right" vertical="center"/>
    </xf>
    <xf numFmtId="0" fontId="7" fillId="2" borderId="0" xfId="2" applyFont="1" applyFill="1" applyAlignment="1" applyProtection="1">
      <alignment vertical="center" wrapText="1"/>
    </xf>
    <xf numFmtId="165" fontId="2" fillId="2" borderId="1" xfId="1" applyNumberFormat="1" applyFont="1" applyFill="1" applyBorder="1" applyAlignment="1">
      <alignment horizontal="right" vertical="center"/>
    </xf>
    <xf numFmtId="165" fontId="2" fillId="2" borderId="12" xfId="1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top"/>
    </xf>
    <xf numFmtId="0" fontId="8" fillId="2" borderId="0" xfId="0" applyFont="1" applyFill="1" applyBorder="1" applyAlignment="1">
      <alignment vertical="center"/>
    </xf>
    <xf numFmtId="0" fontId="0" fillId="2" borderId="0" xfId="0" applyFont="1" applyFill="1" applyAlignment="1">
      <alignment vertical="top"/>
    </xf>
    <xf numFmtId="0" fontId="0" fillId="2" borderId="0" xfId="0" applyFont="1" applyFill="1" applyAlignment="1">
      <alignment horizontal="left" vertical="top"/>
    </xf>
    <xf numFmtId="0" fontId="2" fillId="2" borderId="0" xfId="0" applyFont="1" applyFill="1"/>
    <xf numFmtId="166" fontId="0" fillId="2" borderId="0" xfId="0" applyNumberFormat="1" applyFont="1" applyFill="1"/>
    <xf numFmtId="165" fontId="0" fillId="2" borderId="0" xfId="0" applyNumberFormat="1" applyFont="1" applyFill="1"/>
    <xf numFmtId="1" fontId="0" fillId="2" borderId="0" xfId="0" applyNumberFormat="1" applyFont="1" applyFill="1"/>
    <xf numFmtId="0" fontId="10" fillId="2" borderId="0" xfId="0" applyFont="1" applyFill="1"/>
    <xf numFmtId="0" fontId="11" fillId="2" borderId="0" xfId="0" applyFont="1" applyFill="1" applyAlignment="1">
      <alignment vertical="center"/>
    </xf>
    <xf numFmtId="0" fontId="0" fillId="2" borderId="0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0" xfId="0" applyFont="1" applyFill="1" applyBorder="1"/>
    <xf numFmtId="0" fontId="0" fillId="2" borderId="0" xfId="0" applyFont="1" applyFill="1"/>
    <xf numFmtId="0" fontId="2" fillId="2" borderId="1" xfId="0" applyFont="1" applyFill="1" applyBorder="1" applyAlignment="1">
      <alignment horizontal="right" vertical="center" wrapText="1"/>
    </xf>
    <xf numFmtId="0" fontId="7" fillId="2" borderId="0" xfId="0" applyFont="1" applyFill="1" applyAlignment="1">
      <alignment vertical="center"/>
    </xf>
    <xf numFmtId="165" fontId="0" fillId="3" borderId="0" xfId="1" applyNumberFormat="1" applyFont="1" applyFill="1" applyBorder="1" applyAlignment="1">
      <alignment horizontal="right" vertical="center"/>
    </xf>
    <xf numFmtId="0" fontId="16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center"/>
    </xf>
    <xf numFmtId="0" fontId="14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 applyProtection="1">
      <alignment horizontal="righ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</cellXfs>
  <cellStyles count="10">
    <cellStyle name="Comma" xfId="1" builtinId="3"/>
    <cellStyle name="Comma 2" xfId="3"/>
    <cellStyle name="Comma 3" xfId="4"/>
    <cellStyle name="Hyperlink" xfId="2" builtinId="8"/>
    <cellStyle name="Normal" xfId="0" builtinId="0"/>
    <cellStyle name="Normal 2" xfId="6"/>
    <cellStyle name="Normal 2 2" xfId="8"/>
    <cellStyle name="Normal 2 3" xfId="9"/>
    <cellStyle name="Normal 3" xfId="5"/>
    <cellStyle name="Normal 3 2" xfId="7"/>
  </cellStyles>
  <dxfs count="0"/>
  <tableStyles count="0" defaultTableStyle="TableStyleMedium2" defaultPivotStyle="PivotStyleLight16"/>
  <colors>
    <mruColors>
      <color rgb="FFEFFFFF"/>
      <color rgb="FF00A29E"/>
      <color rgb="FFFFCC66"/>
      <color rgb="FFE7FFFF"/>
      <color rgb="FFD9FFFF"/>
      <color rgb="FFA7FFFF"/>
      <color rgb="FFF6ECE2"/>
      <color rgb="FFE1C2A3"/>
      <color rgb="FF996633"/>
      <color rgb="FF714B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2:AO251"/>
  <sheetViews>
    <sheetView tabSelected="1" zoomScale="98" zoomScaleNormal="98" workbookViewId="0">
      <selection activeCell="M30" sqref="M30"/>
    </sheetView>
  </sheetViews>
  <sheetFormatPr defaultColWidth="9.140625" defaultRowHeight="15" x14ac:dyDescent="0.25"/>
  <cols>
    <col min="1" max="1" width="4" style="9" customWidth="1"/>
    <col min="2" max="2" width="40.28515625" style="31" bestFit="1" customWidth="1"/>
    <col min="3" max="3" width="20.42578125" style="31" customWidth="1"/>
    <col min="4" max="13" width="8.7109375" style="31" customWidth="1"/>
    <col min="14" max="22" width="11.5703125" style="31" customWidth="1"/>
    <col min="23" max="23" width="11.5703125" style="31" hidden="1" customWidth="1"/>
    <col min="24" max="24" width="31.28515625" style="31" customWidth="1"/>
    <col min="25" max="25" width="6" style="10" customWidth="1"/>
    <col min="26" max="26" width="3.7109375" style="31" customWidth="1"/>
    <col min="27" max="31" width="9.140625" style="31"/>
    <col min="32" max="32" width="29.28515625" style="31" customWidth="1"/>
    <col min="33" max="34" width="15.42578125" style="31" customWidth="1"/>
    <col min="35" max="35" width="12" style="31" customWidth="1"/>
    <col min="36" max="37" width="9.140625" style="31"/>
    <col min="38" max="38" width="12.7109375" style="31" customWidth="1"/>
    <col min="39" max="16384" width="9.140625" style="31"/>
  </cols>
  <sheetData>
    <row r="2" spans="1:25" ht="21.75" x14ac:dyDescent="0.55000000000000004">
      <c r="A2" s="44" t="s">
        <v>76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</row>
    <row r="3" spans="1:25" ht="15.75" x14ac:dyDescent="0.25">
      <c r="A3" s="45" t="s">
        <v>77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</row>
    <row r="4" spans="1:25" s="2" customFormat="1" ht="15" customHeight="1" x14ac:dyDescent="0.25">
      <c r="A4" s="38"/>
      <c r="B4" s="41" t="s">
        <v>0</v>
      </c>
      <c r="C4" s="1" t="s">
        <v>1</v>
      </c>
      <c r="D4" s="38" t="s">
        <v>2</v>
      </c>
      <c r="E4" s="38"/>
      <c r="F4" s="38"/>
      <c r="G4" s="38"/>
      <c r="H4" s="38"/>
      <c r="I4" s="38"/>
      <c r="J4" s="38"/>
      <c r="K4" s="38"/>
      <c r="L4" s="38"/>
      <c r="M4" s="46"/>
      <c r="N4" s="48" t="s">
        <v>3</v>
      </c>
      <c r="O4" s="38"/>
      <c r="P4" s="38"/>
      <c r="Q4" s="38"/>
      <c r="R4" s="38"/>
      <c r="S4" s="38"/>
      <c r="T4" s="38"/>
      <c r="U4" s="38"/>
      <c r="V4" s="38"/>
      <c r="W4" s="38"/>
      <c r="X4" s="49" t="s">
        <v>4</v>
      </c>
      <c r="Y4" s="52"/>
    </row>
    <row r="5" spans="1:25" s="2" customFormat="1" ht="28.5" customHeight="1" x14ac:dyDescent="0.25">
      <c r="A5" s="39"/>
      <c r="B5" s="42"/>
      <c r="C5" s="3" t="s">
        <v>5</v>
      </c>
      <c r="D5" s="55" t="s">
        <v>6</v>
      </c>
      <c r="E5" s="55"/>
      <c r="F5" s="55"/>
      <c r="G5" s="55"/>
      <c r="H5" s="55"/>
      <c r="I5" s="55"/>
      <c r="J5" s="55"/>
      <c r="K5" s="55"/>
      <c r="L5" s="55"/>
      <c r="M5" s="56"/>
      <c r="N5" s="57" t="s">
        <v>7</v>
      </c>
      <c r="O5" s="58"/>
      <c r="P5" s="58"/>
      <c r="Q5" s="58"/>
      <c r="R5" s="58"/>
      <c r="S5" s="58"/>
      <c r="T5" s="58"/>
      <c r="U5" s="58"/>
      <c r="V5" s="58"/>
      <c r="W5" s="58"/>
      <c r="X5" s="50"/>
      <c r="Y5" s="53"/>
    </row>
    <row r="6" spans="1:25" s="2" customFormat="1" ht="17.25" x14ac:dyDescent="0.25">
      <c r="A6" s="40"/>
      <c r="B6" s="43"/>
      <c r="C6" s="4"/>
      <c r="D6" s="32">
        <v>2011</v>
      </c>
      <c r="E6" s="32">
        <v>2012</v>
      </c>
      <c r="F6" s="5">
        <v>2013</v>
      </c>
      <c r="G6" s="5">
        <v>2014</v>
      </c>
      <c r="H6" s="5">
        <v>2015</v>
      </c>
      <c r="I6" s="5">
        <v>2016</v>
      </c>
      <c r="J6" s="5">
        <v>2017</v>
      </c>
      <c r="K6" s="5">
        <v>2018</v>
      </c>
      <c r="L6" s="5">
        <v>2019</v>
      </c>
      <c r="M6" s="6" t="s">
        <v>78</v>
      </c>
      <c r="N6" s="7">
        <v>2011</v>
      </c>
      <c r="O6" s="32">
        <v>2012</v>
      </c>
      <c r="P6" s="32">
        <v>2013</v>
      </c>
      <c r="Q6" s="32">
        <v>2014</v>
      </c>
      <c r="R6" s="32">
        <v>2015</v>
      </c>
      <c r="S6" s="32">
        <v>2016</v>
      </c>
      <c r="T6" s="32">
        <v>2017</v>
      </c>
      <c r="U6" s="8">
        <v>2018</v>
      </c>
      <c r="V6" s="8">
        <v>2019</v>
      </c>
      <c r="W6" s="8">
        <v>2020</v>
      </c>
      <c r="X6" s="51"/>
      <c r="Y6" s="54"/>
    </row>
    <row r="7" spans="1:25" s="10" customFormat="1" ht="21" x14ac:dyDescent="0.25">
      <c r="A7" s="9">
        <v>1</v>
      </c>
      <c r="B7" s="10" t="s">
        <v>8</v>
      </c>
      <c r="C7" s="10" t="s">
        <v>9</v>
      </c>
      <c r="D7" s="11">
        <v>47365</v>
      </c>
      <c r="E7" s="11">
        <v>46349</v>
      </c>
      <c r="F7" s="12">
        <v>42304</v>
      </c>
      <c r="G7" s="12">
        <v>46608</v>
      </c>
      <c r="H7" s="12">
        <v>45191</v>
      </c>
      <c r="I7" s="12">
        <v>29407</v>
      </c>
      <c r="J7" s="12">
        <v>29759</v>
      </c>
      <c r="K7" s="11">
        <v>29653</v>
      </c>
      <c r="L7" s="11">
        <v>53748</v>
      </c>
      <c r="M7" s="11">
        <v>52904</v>
      </c>
      <c r="N7" s="13">
        <v>3575294.74</v>
      </c>
      <c r="O7" s="11">
        <v>3753399.17</v>
      </c>
      <c r="P7" s="11">
        <v>3632254.22</v>
      </c>
      <c r="Q7" s="12">
        <v>5076735.7462999998</v>
      </c>
      <c r="R7" s="11">
        <v>6958791.4100000001</v>
      </c>
      <c r="S7" s="11">
        <v>7334064</v>
      </c>
      <c r="T7" s="11">
        <v>7493544.8899999997</v>
      </c>
      <c r="U7" s="11">
        <v>7486732.5199999996</v>
      </c>
      <c r="V7" s="11">
        <v>12749191.087997871</v>
      </c>
      <c r="W7" s="34"/>
      <c r="X7" s="14" t="s">
        <v>10</v>
      </c>
      <c r="Y7" s="2">
        <v>1</v>
      </c>
    </row>
    <row r="8" spans="1:25" s="10" customFormat="1" ht="21" x14ac:dyDescent="0.25">
      <c r="A8" s="9">
        <v>2</v>
      </c>
      <c r="B8" s="10" t="s">
        <v>11</v>
      </c>
      <c r="C8" s="10" t="s">
        <v>12</v>
      </c>
      <c r="D8" s="11">
        <v>29459</v>
      </c>
      <c r="E8" s="11">
        <v>22575</v>
      </c>
      <c r="F8" s="11">
        <v>17864</v>
      </c>
      <c r="G8" s="11">
        <v>14750</v>
      </c>
      <c r="H8" s="11">
        <v>14059</v>
      </c>
      <c r="I8" s="11">
        <v>3806</v>
      </c>
      <c r="J8" s="11">
        <v>3569</v>
      </c>
      <c r="K8" s="11">
        <v>3312</v>
      </c>
      <c r="L8" s="11">
        <v>2993</v>
      </c>
      <c r="M8" s="11">
        <v>2902</v>
      </c>
      <c r="N8" s="13">
        <v>3153514.66</v>
      </c>
      <c r="O8" s="11">
        <v>2480924.23</v>
      </c>
      <c r="P8" s="11">
        <v>1965343.24</v>
      </c>
      <c r="Q8" s="11">
        <v>2140899.38</v>
      </c>
      <c r="R8" s="11">
        <v>1179504.8</v>
      </c>
      <c r="S8" s="11">
        <v>0</v>
      </c>
      <c r="T8" s="11">
        <v>0</v>
      </c>
      <c r="U8" s="11">
        <v>0</v>
      </c>
      <c r="V8" s="11">
        <v>0</v>
      </c>
      <c r="W8" s="34"/>
      <c r="X8" s="14" t="s">
        <v>13</v>
      </c>
      <c r="Y8" s="2">
        <v>2</v>
      </c>
    </row>
    <row r="9" spans="1:25" s="10" customFormat="1" ht="21" x14ac:dyDescent="0.25">
      <c r="A9" s="9">
        <v>3</v>
      </c>
      <c r="B9" s="10" t="s">
        <v>14</v>
      </c>
      <c r="C9" s="10" t="s">
        <v>15</v>
      </c>
      <c r="D9" s="11">
        <v>6117</v>
      </c>
      <c r="E9" s="11">
        <v>5881</v>
      </c>
      <c r="F9" s="11">
        <v>10194</v>
      </c>
      <c r="G9" s="11">
        <v>9009</v>
      </c>
      <c r="H9" s="11">
        <v>10290</v>
      </c>
      <c r="I9" s="11">
        <v>7418</v>
      </c>
      <c r="J9" s="11">
        <v>7134</v>
      </c>
      <c r="K9" s="11">
        <v>6712</v>
      </c>
      <c r="L9" s="11">
        <v>6731</v>
      </c>
      <c r="M9" s="11">
        <v>6630</v>
      </c>
      <c r="N9" s="13">
        <v>842441.62</v>
      </c>
      <c r="O9" s="11">
        <v>822144.49</v>
      </c>
      <c r="P9" s="11">
        <v>794845.56</v>
      </c>
      <c r="Q9" s="11">
        <v>1219546.4778</v>
      </c>
      <c r="R9" s="11">
        <v>1262414.95</v>
      </c>
      <c r="S9" s="11">
        <v>0</v>
      </c>
      <c r="T9" s="11">
        <v>0</v>
      </c>
      <c r="U9" s="11">
        <v>0</v>
      </c>
      <c r="V9" s="11">
        <v>0</v>
      </c>
      <c r="W9" s="34"/>
      <c r="X9" s="14" t="s">
        <v>16</v>
      </c>
      <c r="Y9" s="2">
        <v>3</v>
      </c>
    </row>
    <row r="10" spans="1:25" s="10" customFormat="1" ht="21" x14ac:dyDescent="0.25">
      <c r="A10" s="9">
        <v>4</v>
      </c>
      <c r="B10" s="10" t="s">
        <v>17</v>
      </c>
      <c r="C10" s="10" t="s">
        <v>18</v>
      </c>
      <c r="D10" s="11">
        <v>3609</v>
      </c>
      <c r="E10" s="11">
        <v>3113</v>
      </c>
      <c r="F10" s="11">
        <v>2378</v>
      </c>
      <c r="G10" s="11">
        <v>2148</v>
      </c>
      <c r="H10" s="11" t="s">
        <v>19</v>
      </c>
      <c r="I10" s="11" t="s">
        <v>19</v>
      </c>
      <c r="J10" s="11" t="s">
        <v>19</v>
      </c>
      <c r="K10" s="11" t="s">
        <v>19</v>
      </c>
      <c r="L10" s="11" t="s">
        <v>19</v>
      </c>
      <c r="M10" s="11" t="s">
        <v>19</v>
      </c>
      <c r="N10" s="13">
        <v>669757.49</v>
      </c>
      <c r="O10" s="11">
        <v>463915.56</v>
      </c>
      <c r="P10" s="11">
        <v>600767.6</v>
      </c>
      <c r="Q10" s="11">
        <v>0</v>
      </c>
      <c r="R10" s="11">
        <v>275315.05</v>
      </c>
      <c r="S10" s="11">
        <v>0</v>
      </c>
      <c r="T10" s="11">
        <v>0</v>
      </c>
      <c r="U10" s="11">
        <v>0</v>
      </c>
      <c r="V10" s="11">
        <v>0</v>
      </c>
      <c r="W10" s="34"/>
      <c r="X10" s="14" t="s">
        <v>20</v>
      </c>
      <c r="Y10" s="2">
        <v>4</v>
      </c>
    </row>
    <row r="11" spans="1:25" s="10" customFormat="1" ht="21" x14ac:dyDescent="0.25">
      <c r="A11" s="9">
        <v>5</v>
      </c>
      <c r="B11" s="10" t="s">
        <v>21</v>
      </c>
      <c r="C11" s="10" t="s">
        <v>22</v>
      </c>
      <c r="D11" s="11">
        <v>1982</v>
      </c>
      <c r="E11" s="11">
        <v>1797</v>
      </c>
      <c r="F11" s="11">
        <v>1418</v>
      </c>
      <c r="G11" s="11">
        <v>1236</v>
      </c>
      <c r="H11" s="11" t="s">
        <v>19</v>
      </c>
      <c r="I11" s="11" t="s">
        <v>19</v>
      </c>
      <c r="J11" s="11" t="s">
        <v>19</v>
      </c>
      <c r="K11" s="11" t="s">
        <v>19</v>
      </c>
      <c r="L11" s="11" t="s">
        <v>19</v>
      </c>
      <c r="M11" s="11" t="s">
        <v>19</v>
      </c>
      <c r="N11" s="13">
        <v>535473.88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34"/>
      <c r="X11" s="14" t="s">
        <v>23</v>
      </c>
      <c r="Y11" s="2">
        <v>5</v>
      </c>
    </row>
    <row r="12" spans="1:25" s="10" customFormat="1" ht="21" x14ac:dyDescent="0.25">
      <c r="A12" s="9">
        <v>6</v>
      </c>
      <c r="B12" s="10" t="s">
        <v>24</v>
      </c>
      <c r="C12" s="10" t="s">
        <v>25</v>
      </c>
      <c r="D12" s="11">
        <v>1814</v>
      </c>
      <c r="E12" s="11">
        <v>1613</v>
      </c>
      <c r="F12" s="11">
        <v>1357</v>
      </c>
      <c r="G12" s="11">
        <v>1211</v>
      </c>
      <c r="H12" s="11" t="s">
        <v>19</v>
      </c>
      <c r="I12" s="11" t="s">
        <v>19</v>
      </c>
      <c r="J12" s="11" t="s">
        <v>19</v>
      </c>
      <c r="K12" s="11" t="s">
        <v>19</v>
      </c>
      <c r="L12" s="11" t="s">
        <v>19</v>
      </c>
      <c r="M12" s="11" t="s">
        <v>19</v>
      </c>
      <c r="N12" s="13">
        <v>574230.19999999995</v>
      </c>
      <c r="O12" s="11">
        <v>516355.39</v>
      </c>
      <c r="P12" s="11">
        <v>445595.29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34"/>
      <c r="X12" s="14" t="s">
        <v>26</v>
      </c>
      <c r="Y12" s="2">
        <v>6</v>
      </c>
    </row>
    <row r="13" spans="1:25" s="10" customFormat="1" ht="21" x14ac:dyDescent="0.25">
      <c r="A13" s="9">
        <v>7</v>
      </c>
      <c r="B13" s="10" t="s">
        <v>27</v>
      </c>
      <c r="C13" s="10" t="s">
        <v>25</v>
      </c>
      <c r="D13" s="11">
        <v>1542</v>
      </c>
      <c r="E13" s="11">
        <v>1373</v>
      </c>
      <c r="F13" s="11">
        <v>1146</v>
      </c>
      <c r="G13" s="11">
        <v>1045</v>
      </c>
      <c r="H13" s="11" t="s">
        <v>19</v>
      </c>
      <c r="I13" s="11" t="s">
        <v>19</v>
      </c>
      <c r="J13" s="11" t="s">
        <v>19</v>
      </c>
      <c r="K13" s="11" t="s">
        <v>19</v>
      </c>
      <c r="L13" s="11" t="s">
        <v>19</v>
      </c>
      <c r="M13" s="11" t="s">
        <v>19</v>
      </c>
      <c r="N13" s="13">
        <v>497259.61</v>
      </c>
      <c r="O13" s="11">
        <v>467025.93</v>
      </c>
      <c r="P13" s="11">
        <v>478767.72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34"/>
      <c r="X13" s="14" t="s">
        <v>28</v>
      </c>
      <c r="Y13" s="2">
        <v>7</v>
      </c>
    </row>
    <row r="14" spans="1:25" s="10" customFormat="1" ht="21" x14ac:dyDescent="0.25">
      <c r="A14" s="9">
        <v>8</v>
      </c>
      <c r="B14" s="10" t="s">
        <v>29</v>
      </c>
      <c r="C14" s="10" t="s">
        <v>30</v>
      </c>
      <c r="D14" s="11">
        <v>685</v>
      </c>
      <c r="E14" s="11">
        <v>598</v>
      </c>
      <c r="F14" s="11">
        <v>523</v>
      </c>
      <c r="G14" s="11">
        <v>462</v>
      </c>
      <c r="H14" s="11" t="s">
        <v>19</v>
      </c>
      <c r="I14" s="11" t="s">
        <v>19</v>
      </c>
      <c r="J14" s="11" t="s">
        <v>19</v>
      </c>
      <c r="K14" s="11" t="s">
        <v>19</v>
      </c>
      <c r="L14" s="11" t="s">
        <v>19</v>
      </c>
      <c r="M14" s="11" t="s">
        <v>19</v>
      </c>
      <c r="N14" s="13">
        <v>0</v>
      </c>
      <c r="O14" s="11">
        <v>336123.94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34"/>
      <c r="X14" s="14" t="s">
        <v>31</v>
      </c>
      <c r="Y14" s="2">
        <v>8</v>
      </c>
    </row>
    <row r="15" spans="1:25" s="10" customFormat="1" ht="21" x14ac:dyDescent="0.25">
      <c r="A15" s="9">
        <v>9</v>
      </c>
      <c r="B15" s="10" t="s">
        <v>32</v>
      </c>
      <c r="C15" s="10" t="s">
        <v>33</v>
      </c>
      <c r="D15" s="11">
        <v>5090</v>
      </c>
      <c r="E15" s="11">
        <v>11154</v>
      </c>
      <c r="F15" s="11">
        <v>14723</v>
      </c>
      <c r="G15" s="11">
        <v>13990</v>
      </c>
      <c r="H15" s="11">
        <v>13858</v>
      </c>
      <c r="I15" s="11">
        <v>10587</v>
      </c>
      <c r="J15" s="11">
        <v>10225</v>
      </c>
      <c r="K15" s="11">
        <v>10518</v>
      </c>
      <c r="L15" s="11">
        <v>12128</v>
      </c>
      <c r="M15" s="11">
        <v>13794</v>
      </c>
      <c r="N15" s="13">
        <v>816538.47</v>
      </c>
      <c r="O15" s="11">
        <v>749161.59</v>
      </c>
      <c r="P15" s="11">
        <v>1164561.29</v>
      </c>
      <c r="Q15" s="11">
        <v>1756589.15</v>
      </c>
      <c r="R15" s="11">
        <v>2061788.44</v>
      </c>
      <c r="S15" s="11">
        <v>2947947</v>
      </c>
      <c r="T15" s="11">
        <v>2714527.06</v>
      </c>
      <c r="U15" s="11">
        <v>2572392.89</v>
      </c>
      <c r="V15" s="11">
        <v>2059960.3575002218</v>
      </c>
      <c r="W15" s="34"/>
      <c r="X15" s="14" t="s">
        <v>34</v>
      </c>
      <c r="Y15" s="2">
        <v>9</v>
      </c>
    </row>
    <row r="16" spans="1:25" s="10" customFormat="1" ht="21" x14ac:dyDescent="0.25">
      <c r="A16" s="9">
        <v>10</v>
      </c>
      <c r="B16" s="10" t="s">
        <v>35</v>
      </c>
      <c r="C16" s="10" t="s">
        <v>33</v>
      </c>
      <c r="D16" s="11">
        <v>2625</v>
      </c>
      <c r="E16" s="11">
        <v>2101</v>
      </c>
      <c r="F16" s="11">
        <v>1633</v>
      </c>
      <c r="G16" s="11">
        <v>1361</v>
      </c>
      <c r="H16" s="11" t="s">
        <v>19</v>
      </c>
      <c r="I16" s="11" t="s">
        <v>19</v>
      </c>
      <c r="J16" s="11" t="s">
        <v>19</v>
      </c>
      <c r="K16" s="11" t="s">
        <v>19</v>
      </c>
      <c r="L16" s="11" t="s">
        <v>19</v>
      </c>
      <c r="M16" s="11" t="s">
        <v>19</v>
      </c>
      <c r="N16" s="13">
        <v>622691.85</v>
      </c>
      <c r="O16" s="11">
        <v>573988.42000000004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34"/>
      <c r="X16" s="14" t="s">
        <v>36</v>
      </c>
      <c r="Y16" s="2">
        <v>10</v>
      </c>
    </row>
    <row r="17" spans="1:40" s="10" customFormat="1" ht="19.5" customHeight="1" x14ac:dyDescent="0.25">
      <c r="A17" s="9">
        <v>11</v>
      </c>
      <c r="B17" s="10" t="s">
        <v>37</v>
      </c>
      <c r="C17" s="10" t="s">
        <v>38</v>
      </c>
      <c r="D17" s="11">
        <v>944</v>
      </c>
      <c r="E17" s="11">
        <v>838</v>
      </c>
      <c r="F17" s="11">
        <v>720</v>
      </c>
      <c r="G17" s="11">
        <v>666</v>
      </c>
      <c r="H17" s="11" t="s">
        <v>19</v>
      </c>
      <c r="I17" s="11" t="s">
        <v>19</v>
      </c>
      <c r="J17" s="11" t="s">
        <v>19</v>
      </c>
      <c r="K17" s="11" t="s">
        <v>19</v>
      </c>
      <c r="L17" s="11" t="s">
        <v>19</v>
      </c>
      <c r="M17" s="11" t="s">
        <v>19</v>
      </c>
      <c r="N17" s="13">
        <v>500363.53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34"/>
      <c r="X17" s="14" t="s">
        <v>39</v>
      </c>
      <c r="Y17" s="2">
        <v>11</v>
      </c>
    </row>
    <row r="18" spans="1:40" s="10" customFormat="1" ht="19.5" customHeight="1" x14ac:dyDescent="0.25">
      <c r="A18" s="9">
        <v>12</v>
      </c>
      <c r="B18" s="10" t="s">
        <v>40</v>
      </c>
      <c r="C18" s="10" t="s">
        <v>38</v>
      </c>
      <c r="D18" s="11">
        <v>2640</v>
      </c>
      <c r="E18" s="11">
        <v>3219</v>
      </c>
      <c r="F18" s="11">
        <v>5657</v>
      </c>
      <c r="G18" s="11" t="s">
        <v>19</v>
      </c>
      <c r="H18" s="11" t="s">
        <v>19</v>
      </c>
      <c r="I18" s="11" t="s">
        <v>19</v>
      </c>
      <c r="J18" s="11" t="s">
        <v>19</v>
      </c>
      <c r="K18" s="11" t="s">
        <v>19</v>
      </c>
      <c r="L18" s="11" t="s">
        <v>19</v>
      </c>
      <c r="M18" s="11" t="s">
        <v>19</v>
      </c>
      <c r="N18" s="13">
        <v>643471.30000000005</v>
      </c>
      <c r="O18" s="11">
        <v>575054.39</v>
      </c>
      <c r="P18" s="11">
        <v>608199.77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34"/>
      <c r="X18" s="14" t="s">
        <v>41</v>
      </c>
      <c r="Y18" s="2">
        <v>12</v>
      </c>
    </row>
    <row r="19" spans="1:40" s="10" customFormat="1" ht="19.5" customHeight="1" x14ac:dyDescent="0.25">
      <c r="A19" s="9">
        <v>13</v>
      </c>
      <c r="B19" s="10" t="s">
        <v>42</v>
      </c>
      <c r="C19" s="10" t="s">
        <v>43</v>
      </c>
      <c r="D19" s="11">
        <v>2312</v>
      </c>
      <c r="E19" s="11">
        <v>2099</v>
      </c>
      <c r="F19" s="11">
        <v>1753</v>
      </c>
      <c r="G19" s="11">
        <v>1416</v>
      </c>
      <c r="H19" s="11" t="s">
        <v>19</v>
      </c>
      <c r="I19" s="11" t="s">
        <v>19</v>
      </c>
      <c r="J19" s="11" t="s">
        <v>19</v>
      </c>
      <c r="K19" s="11" t="s">
        <v>19</v>
      </c>
      <c r="L19" s="11" t="s">
        <v>19</v>
      </c>
      <c r="M19" s="11" t="s">
        <v>19</v>
      </c>
      <c r="N19" s="13">
        <v>618279.78</v>
      </c>
      <c r="O19" s="11">
        <v>551745.34</v>
      </c>
      <c r="P19" s="11">
        <v>529671.12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34"/>
      <c r="X19" s="14" t="s">
        <v>44</v>
      </c>
      <c r="Y19" s="2">
        <v>13</v>
      </c>
    </row>
    <row r="20" spans="1:40" s="10" customFormat="1" ht="19.5" customHeight="1" x14ac:dyDescent="0.25">
      <c r="A20" s="9">
        <v>14</v>
      </c>
      <c r="B20" s="10" t="s">
        <v>45</v>
      </c>
      <c r="C20" s="10" t="s">
        <v>46</v>
      </c>
      <c r="D20" s="11">
        <v>2628</v>
      </c>
      <c r="E20" s="11">
        <v>1969</v>
      </c>
      <c r="F20" s="11">
        <v>1532</v>
      </c>
      <c r="G20" s="11" t="s">
        <v>19</v>
      </c>
      <c r="H20" s="11" t="s">
        <v>19</v>
      </c>
      <c r="I20" s="11" t="s">
        <v>19</v>
      </c>
      <c r="J20" s="11" t="s">
        <v>19</v>
      </c>
      <c r="K20" s="11" t="s">
        <v>19</v>
      </c>
      <c r="L20" s="11" t="s">
        <v>19</v>
      </c>
      <c r="M20" s="11" t="s">
        <v>19</v>
      </c>
      <c r="N20" s="13">
        <v>0</v>
      </c>
      <c r="O20" s="11">
        <v>574201.62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34"/>
      <c r="X20" s="14" t="s">
        <v>47</v>
      </c>
      <c r="Y20" s="2">
        <v>14</v>
      </c>
    </row>
    <row r="21" spans="1:40" s="10" customFormat="1" ht="19.5" customHeight="1" x14ac:dyDescent="0.25">
      <c r="A21" s="9">
        <v>15</v>
      </c>
      <c r="B21" s="10" t="s">
        <v>48</v>
      </c>
      <c r="C21" s="10" t="s">
        <v>49</v>
      </c>
      <c r="D21" s="11">
        <v>13859</v>
      </c>
      <c r="E21" s="11">
        <v>22803</v>
      </c>
      <c r="F21" s="11">
        <v>24970</v>
      </c>
      <c r="G21" s="11">
        <v>36232</v>
      </c>
      <c r="H21" s="11">
        <v>37100</v>
      </c>
      <c r="I21" s="11">
        <v>40032</v>
      </c>
      <c r="J21" s="11">
        <v>45865</v>
      </c>
      <c r="K21" s="11">
        <v>48130</v>
      </c>
      <c r="L21" s="11">
        <v>36054</v>
      </c>
      <c r="M21" s="11">
        <v>37091</v>
      </c>
      <c r="N21" s="13">
        <v>0</v>
      </c>
      <c r="O21" s="11">
        <v>1372323.25</v>
      </c>
      <c r="P21" s="11">
        <v>1981329.43</v>
      </c>
      <c r="Q21" s="11">
        <v>2994502.2122</v>
      </c>
      <c r="R21" s="11">
        <v>5480344.0300000003</v>
      </c>
      <c r="S21" s="11">
        <v>10095557</v>
      </c>
      <c r="T21" s="11">
        <v>10085519.939999999</v>
      </c>
      <c r="U21" s="11">
        <v>11538660.130000001</v>
      </c>
      <c r="V21" s="11">
        <v>9282167.0590880867</v>
      </c>
      <c r="W21" s="34"/>
      <c r="X21" s="14" t="s">
        <v>50</v>
      </c>
      <c r="Y21" s="2">
        <v>15</v>
      </c>
    </row>
    <row r="22" spans="1:40" s="10" customFormat="1" ht="19.5" customHeight="1" x14ac:dyDescent="0.25">
      <c r="A22" s="9">
        <v>16</v>
      </c>
      <c r="B22" s="10" t="s">
        <v>51</v>
      </c>
      <c r="C22" s="10" t="s">
        <v>52</v>
      </c>
      <c r="D22" s="11" t="s">
        <v>19</v>
      </c>
      <c r="E22" s="11">
        <v>3446</v>
      </c>
      <c r="F22" s="11">
        <v>7415</v>
      </c>
      <c r="G22" s="11">
        <v>7666</v>
      </c>
      <c r="H22" s="11">
        <v>10659</v>
      </c>
      <c r="I22" s="11">
        <v>10639</v>
      </c>
      <c r="J22" s="11">
        <v>10537</v>
      </c>
      <c r="K22" s="11">
        <v>10662</v>
      </c>
      <c r="L22" s="11">
        <v>8428</v>
      </c>
      <c r="M22" s="11">
        <v>8167</v>
      </c>
      <c r="N22" s="13">
        <v>0</v>
      </c>
      <c r="O22" s="11">
        <v>0</v>
      </c>
      <c r="P22" s="11">
        <v>624115.85</v>
      </c>
      <c r="Q22" s="11">
        <v>890721.22160000005</v>
      </c>
      <c r="R22" s="11">
        <v>1161017.31</v>
      </c>
      <c r="S22" s="11">
        <v>2839300</v>
      </c>
      <c r="T22" s="11">
        <v>2713761.11</v>
      </c>
      <c r="U22" s="11">
        <v>2650885.46</v>
      </c>
      <c r="V22" s="11">
        <v>2031754.4954138207</v>
      </c>
      <c r="W22" s="34"/>
      <c r="X22" s="14" t="s">
        <v>53</v>
      </c>
      <c r="Y22" s="2">
        <v>16</v>
      </c>
    </row>
    <row r="23" spans="1:40" s="10" customFormat="1" ht="19.5" customHeight="1" x14ac:dyDescent="0.25">
      <c r="A23" s="9">
        <v>17</v>
      </c>
      <c r="B23" s="10" t="s">
        <v>67</v>
      </c>
      <c r="C23" s="10" t="s">
        <v>69</v>
      </c>
      <c r="D23" s="11" t="s">
        <v>19</v>
      </c>
      <c r="E23" s="11" t="s">
        <v>19</v>
      </c>
      <c r="F23" s="11" t="s">
        <v>19</v>
      </c>
      <c r="G23" s="11" t="s">
        <v>19</v>
      </c>
      <c r="H23" s="11" t="s">
        <v>19</v>
      </c>
      <c r="I23" s="11" t="s">
        <v>19</v>
      </c>
      <c r="J23" s="11" t="s">
        <v>19</v>
      </c>
      <c r="K23" s="11" t="s">
        <v>19</v>
      </c>
      <c r="L23" s="11">
        <v>3243</v>
      </c>
      <c r="M23" s="11">
        <v>3131</v>
      </c>
      <c r="N23" s="13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34"/>
      <c r="X23" s="14" t="s">
        <v>73</v>
      </c>
      <c r="Y23" s="2">
        <v>17</v>
      </c>
    </row>
    <row r="24" spans="1:40" s="10" customFormat="1" ht="19.5" customHeight="1" x14ac:dyDescent="0.25">
      <c r="A24" s="9">
        <v>18</v>
      </c>
      <c r="B24" s="10" t="s">
        <v>68</v>
      </c>
      <c r="C24" s="10" t="s">
        <v>70</v>
      </c>
      <c r="D24" s="11" t="s">
        <v>19</v>
      </c>
      <c r="E24" s="11" t="s">
        <v>19</v>
      </c>
      <c r="F24" s="11" t="s">
        <v>19</v>
      </c>
      <c r="G24" s="11" t="s">
        <v>19</v>
      </c>
      <c r="H24" s="11" t="s">
        <v>19</v>
      </c>
      <c r="I24" s="11" t="s">
        <v>19</v>
      </c>
      <c r="J24" s="11" t="s">
        <v>19</v>
      </c>
      <c r="K24" s="11" t="s">
        <v>19</v>
      </c>
      <c r="L24" s="11">
        <v>2953</v>
      </c>
      <c r="M24" s="11">
        <v>2942</v>
      </c>
      <c r="N24" s="13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34"/>
      <c r="X24" s="14" t="s">
        <v>74</v>
      </c>
      <c r="Y24" s="2">
        <v>18</v>
      </c>
    </row>
    <row r="25" spans="1:40" s="10" customFormat="1" ht="19.5" customHeight="1" x14ac:dyDescent="0.25">
      <c r="A25" s="9">
        <v>19</v>
      </c>
      <c r="B25" s="10" t="s">
        <v>66</v>
      </c>
      <c r="C25" s="10" t="s">
        <v>71</v>
      </c>
      <c r="D25" s="11" t="s">
        <v>19</v>
      </c>
      <c r="E25" s="11" t="s">
        <v>19</v>
      </c>
      <c r="F25" s="11" t="s">
        <v>19</v>
      </c>
      <c r="G25" s="11" t="s">
        <v>19</v>
      </c>
      <c r="H25" s="11" t="s">
        <v>19</v>
      </c>
      <c r="I25" s="11" t="s">
        <v>19</v>
      </c>
      <c r="J25" s="11" t="s">
        <v>19</v>
      </c>
      <c r="K25" s="11" t="s">
        <v>19</v>
      </c>
      <c r="L25" s="11">
        <v>4197</v>
      </c>
      <c r="M25" s="11">
        <v>4000</v>
      </c>
      <c r="N25" s="13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34"/>
      <c r="X25" s="33" t="s">
        <v>75</v>
      </c>
      <c r="Y25" s="2">
        <v>19</v>
      </c>
    </row>
    <row r="26" spans="1:40" s="10" customFormat="1" ht="19.5" customHeight="1" x14ac:dyDescent="0.25">
      <c r="A26" s="9">
        <v>20</v>
      </c>
      <c r="B26" s="10" t="s">
        <v>45</v>
      </c>
      <c r="C26" s="10" t="s">
        <v>72</v>
      </c>
      <c r="D26" s="11" t="s">
        <v>19</v>
      </c>
      <c r="E26" s="11" t="s">
        <v>19</v>
      </c>
      <c r="F26" s="11" t="s">
        <v>19</v>
      </c>
      <c r="G26" s="11" t="s">
        <v>19</v>
      </c>
      <c r="H26" s="11" t="s">
        <v>19</v>
      </c>
      <c r="I26" s="11" t="s">
        <v>19</v>
      </c>
      <c r="J26" s="11" t="s">
        <v>19</v>
      </c>
      <c r="K26" s="11" t="s">
        <v>19</v>
      </c>
      <c r="L26" s="11">
        <v>3048</v>
      </c>
      <c r="M26" s="11">
        <v>3011</v>
      </c>
      <c r="N26" s="13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34"/>
      <c r="X26" s="14" t="s">
        <v>47</v>
      </c>
      <c r="Y26" s="2">
        <v>20</v>
      </c>
    </row>
    <row r="27" spans="1:40" s="17" customFormat="1" ht="19.5" customHeight="1" x14ac:dyDescent="0.25">
      <c r="A27" s="36" t="s">
        <v>54</v>
      </c>
      <c r="B27" s="36"/>
      <c r="C27" s="36"/>
      <c r="D27" s="15">
        <f>SUM(D7:D21)</f>
        <v>122671</v>
      </c>
      <c r="E27" s="15">
        <f t="shared" ref="E27:K27" si="0">SUM(E7:E22)</f>
        <v>130928</v>
      </c>
      <c r="F27" s="15">
        <f t="shared" si="0"/>
        <v>135587</v>
      </c>
      <c r="G27" s="15">
        <f t="shared" si="0"/>
        <v>137800</v>
      </c>
      <c r="H27" s="15">
        <f t="shared" si="0"/>
        <v>131157</v>
      </c>
      <c r="I27" s="15">
        <f t="shared" si="0"/>
        <v>101889</v>
      </c>
      <c r="J27" s="15">
        <f t="shared" si="0"/>
        <v>107089</v>
      </c>
      <c r="K27" s="15">
        <f t="shared" si="0"/>
        <v>108987</v>
      </c>
      <c r="L27" s="15">
        <f>SUM(L7:L26)</f>
        <v>133523</v>
      </c>
      <c r="M27" s="15">
        <f>SUM(M7:M26)</f>
        <v>134572</v>
      </c>
      <c r="N27" s="16">
        <f>SUM(N7:N21)</f>
        <v>13049317.129999999</v>
      </c>
      <c r="O27" s="15">
        <f>SUM(O7:O21)</f>
        <v>13236363.319999998</v>
      </c>
      <c r="P27" s="15">
        <f t="shared" ref="P27:T27" si="1">SUM(P7:P22)</f>
        <v>12825451.089999996</v>
      </c>
      <c r="Q27" s="15">
        <f t="shared" si="1"/>
        <v>14078994.187899999</v>
      </c>
      <c r="R27" s="15">
        <f t="shared" si="1"/>
        <v>18379175.989999998</v>
      </c>
      <c r="S27" s="15">
        <f t="shared" si="1"/>
        <v>23216868</v>
      </c>
      <c r="T27" s="15">
        <f t="shared" si="1"/>
        <v>23007353</v>
      </c>
      <c r="U27" s="15">
        <f>SUM(U7:U22)</f>
        <v>24248671</v>
      </c>
      <c r="V27" s="15">
        <f>SUM(V7:V22)</f>
        <v>26123073</v>
      </c>
      <c r="W27" s="15">
        <f>SUM(W7:W22)</f>
        <v>0</v>
      </c>
      <c r="X27" s="47" t="s">
        <v>55</v>
      </c>
      <c r="Y27" s="47"/>
    </row>
    <row r="28" spans="1:40" ht="17.25" x14ac:dyDescent="0.25">
      <c r="A28" s="37" t="s">
        <v>56</v>
      </c>
      <c r="B28" s="37"/>
      <c r="C28" s="37"/>
      <c r="D28" s="37"/>
      <c r="Y28" s="29" t="s">
        <v>57</v>
      </c>
    </row>
    <row r="29" spans="1:40" ht="13.5" customHeight="1" x14ac:dyDescent="0.25">
      <c r="B29" s="19" t="s">
        <v>79</v>
      </c>
      <c r="C29" s="19"/>
      <c r="D29" s="19"/>
      <c r="E29" s="19"/>
      <c r="Y29" s="29" t="s">
        <v>59</v>
      </c>
    </row>
    <row r="30" spans="1:40" s="20" customFormat="1" x14ac:dyDescent="0.25">
      <c r="A30" s="18" t="s">
        <v>58</v>
      </c>
      <c r="B30" s="21"/>
    </row>
    <row r="31" spans="1:40" ht="20.25" x14ac:dyDescent="0.25">
      <c r="B31" s="35"/>
      <c r="AF31" s="22"/>
      <c r="AG31" s="22">
        <v>2011</v>
      </c>
      <c r="AH31" s="22">
        <v>2012</v>
      </c>
      <c r="AI31" s="22">
        <v>2013</v>
      </c>
      <c r="AJ31" s="22">
        <v>2014</v>
      </c>
      <c r="AK31" s="22">
        <v>2015</v>
      </c>
      <c r="AL31" s="22">
        <v>2016</v>
      </c>
      <c r="AM31" s="22">
        <v>2017</v>
      </c>
      <c r="AN31" s="22">
        <v>2018</v>
      </c>
    </row>
    <row r="32" spans="1:40" ht="20.25" x14ac:dyDescent="0.25">
      <c r="B32" s="35"/>
      <c r="AF32" s="31" t="s">
        <v>60</v>
      </c>
      <c r="AG32" s="23">
        <f t="shared" ref="AG32:AL32" si="2">AG33/AG34*100</f>
        <v>56.910165528503562</v>
      </c>
      <c r="AH32" s="23">
        <f t="shared" si="2"/>
        <v>59.042267748350639</v>
      </c>
      <c r="AI32" s="23">
        <f t="shared" si="2"/>
        <v>59.533782953088497</v>
      </c>
      <c r="AJ32" s="23">
        <f t="shared" si="2"/>
        <v>59.016505777450377</v>
      </c>
      <c r="AK32" s="23">
        <f t="shared" si="2"/>
        <v>54.889578023578458</v>
      </c>
      <c r="AL32" s="23">
        <f t="shared" si="2"/>
        <v>41.739654084700909</v>
      </c>
      <c r="AM32" s="23">
        <f>AM33/AM34*100</f>
        <v>43.096419531001622</v>
      </c>
      <c r="AN32" s="23">
        <f>AN33/AN34*100</f>
        <v>43.123375261639751</v>
      </c>
    </row>
    <row r="33" spans="1:41" ht="20.25" x14ac:dyDescent="0.25">
      <c r="B33" s="35"/>
      <c r="AF33" s="31" t="s">
        <v>61</v>
      </c>
      <c r="AG33" s="24">
        <f t="shared" ref="AG33:AJ33" si="3">D27</f>
        <v>122671</v>
      </c>
      <c r="AH33" s="24">
        <f t="shared" si="3"/>
        <v>130928</v>
      </c>
      <c r="AI33" s="25">
        <f t="shared" si="3"/>
        <v>135587</v>
      </c>
      <c r="AJ33" s="25">
        <f t="shared" si="3"/>
        <v>137800</v>
      </c>
      <c r="AK33" s="25">
        <f>H27</f>
        <v>131157</v>
      </c>
      <c r="AL33" s="25">
        <f t="shared" ref="AL33:AM33" si="4">I27</f>
        <v>101889</v>
      </c>
      <c r="AM33" s="25">
        <f t="shared" si="4"/>
        <v>107089</v>
      </c>
      <c r="AN33" s="25">
        <f>K27</f>
        <v>108987</v>
      </c>
      <c r="AO33" s="31" t="s">
        <v>62</v>
      </c>
    </row>
    <row r="34" spans="1:41" ht="15" customHeight="1" x14ac:dyDescent="0.25">
      <c r="AF34" s="31" t="s">
        <v>63</v>
      </c>
      <c r="AG34" s="31">
        <v>215552</v>
      </c>
      <c r="AH34" s="31">
        <v>221753</v>
      </c>
      <c r="AI34" s="31">
        <v>227748</v>
      </c>
      <c r="AJ34" s="31">
        <v>233494</v>
      </c>
      <c r="AK34" s="31">
        <v>238947</v>
      </c>
      <c r="AL34" s="31">
        <v>244106</v>
      </c>
      <c r="AM34" s="31">
        <v>248487</v>
      </c>
      <c r="AN34" s="31">
        <v>252733</v>
      </c>
    </row>
    <row r="39" spans="1:41" x14ac:dyDescent="0.25">
      <c r="AL39" s="26" t="s">
        <v>64</v>
      </c>
      <c r="AM39" s="31">
        <v>252728</v>
      </c>
    </row>
    <row r="40" spans="1:41" x14ac:dyDescent="0.25">
      <c r="AL40" s="26" t="s">
        <v>65</v>
      </c>
      <c r="AM40" s="31">
        <v>262135</v>
      </c>
    </row>
    <row r="42" spans="1:41" x14ac:dyDescent="0.25">
      <c r="AM42" s="31">
        <f>AM40-AM39</f>
        <v>9407</v>
      </c>
    </row>
    <row r="48" spans="1:41" ht="80.25" customHeight="1" x14ac:dyDescent="0.25">
      <c r="A48" s="31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</row>
    <row r="49" spans="1:26" x14ac:dyDescent="0.25">
      <c r="A49" s="31"/>
      <c r="B49" s="9"/>
    </row>
    <row r="50" spans="1:26" x14ac:dyDescent="0.25">
      <c r="A50" s="31"/>
      <c r="B50" s="9"/>
    </row>
    <row r="51" spans="1:26" x14ac:dyDescent="0.25">
      <c r="A51" s="31"/>
      <c r="B51" s="9"/>
    </row>
    <row r="52" spans="1:26" x14ac:dyDescent="0.25">
      <c r="A52" s="31"/>
      <c r="B52" s="9"/>
    </row>
    <row r="53" spans="1:26" x14ac:dyDescent="0.25">
      <c r="A53" s="31"/>
      <c r="B53" s="9"/>
    </row>
    <row r="54" spans="1:26" x14ac:dyDescent="0.25">
      <c r="A54" s="31"/>
      <c r="B54" s="9"/>
    </row>
    <row r="55" spans="1:26" x14ac:dyDescent="0.25">
      <c r="A55" s="31"/>
      <c r="B55" s="9"/>
    </row>
    <row r="56" spans="1:26" x14ac:dyDescent="0.25">
      <c r="A56" s="31"/>
      <c r="B56" s="9"/>
    </row>
    <row r="61" spans="1:26" x14ac:dyDescent="0.25"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28"/>
      <c r="Z61" s="30"/>
    </row>
    <row r="62" spans="1:26" x14ac:dyDescent="0.25"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28"/>
      <c r="Z62" s="30"/>
    </row>
    <row r="63" spans="1:26" x14ac:dyDescent="0.25"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28"/>
      <c r="Z63" s="30"/>
    </row>
    <row r="64" spans="1:26" x14ac:dyDescent="0.25">
      <c r="A64" s="31"/>
      <c r="B64" s="28"/>
      <c r="C64" s="30"/>
      <c r="D64" s="11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28"/>
      <c r="Z64" s="30"/>
    </row>
    <row r="65" spans="1:26" x14ac:dyDescent="0.25">
      <c r="A65" s="31"/>
      <c r="B65" s="28"/>
      <c r="C65" s="30"/>
      <c r="D65" s="11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28"/>
      <c r="Z65" s="30"/>
    </row>
    <row r="66" spans="1:26" x14ac:dyDescent="0.25">
      <c r="A66" s="31"/>
      <c r="B66" s="28"/>
      <c r="C66" s="30"/>
      <c r="D66" s="11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28"/>
      <c r="Z66" s="30"/>
    </row>
    <row r="67" spans="1:26" x14ac:dyDescent="0.25">
      <c r="A67" s="31"/>
      <c r="B67" s="28"/>
      <c r="C67" s="30"/>
      <c r="D67" s="11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28"/>
      <c r="Z67" s="30"/>
    </row>
    <row r="68" spans="1:26" x14ac:dyDescent="0.25">
      <c r="A68" s="31"/>
      <c r="B68" s="28"/>
      <c r="C68" s="30"/>
      <c r="D68" s="11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28"/>
      <c r="Z68" s="30"/>
    </row>
    <row r="69" spans="1:26" x14ac:dyDescent="0.25">
      <c r="A69" s="31"/>
      <c r="B69" s="28"/>
      <c r="C69" s="30"/>
      <c r="D69" s="11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28"/>
      <c r="Z69" s="30"/>
    </row>
    <row r="70" spans="1:26" x14ac:dyDescent="0.25">
      <c r="A70" s="31"/>
      <c r="B70" s="28"/>
      <c r="C70" s="30"/>
      <c r="D70" s="11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28"/>
      <c r="Z70" s="30"/>
    </row>
    <row r="71" spans="1:26" x14ac:dyDescent="0.25">
      <c r="A71" s="31"/>
      <c r="B71" s="28"/>
      <c r="C71" s="30"/>
      <c r="D71" s="11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28"/>
      <c r="Z71" s="30"/>
    </row>
    <row r="72" spans="1:26" x14ac:dyDescent="0.25">
      <c r="A72" s="31"/>
      <c r="B72" s="28"/>
      <c r="C72" s="30"/>
      <c r="D72" s="11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28"/>
      <c r="Z72" s="30"/>
    </row>
    <row r="73" spans="1:26" x14ac:dyDescent="0.25">
      <c r="A73" s="31"/>
      <c r="B73" s="28"/>
      <c r="C73" s="30"/>
      <c r="D73" s="11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28"/>
      <c r="Z73" s="30"/>
    </row>
    <row r="74" spans="1:26" x14ac:dyDescent="0.25">
      <c r="A74" s="31"/>
      <c r="B74" s="28"/>
      <c r="C74" s="30"/>
      <c r="D74" s="11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28"/>
      <c r="Z74" s="30"/>
    </row>
    <row r="75" spans="1:26" x14ac:dyDescent="0.25">
      <c r="A75" s="31"/>
      <c r="B75" s="28"/>
      <c r="C75" s="30"/>
      <c r="D75" s="11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28"/>
      <c r="Z75" s="30"/>
    </row>
    <row r="76" spans="1:26" x14ac:dyDescent="0.25">
      <c r="A76" s="31"/>
      <c r="B76" s="28"/>
      <c r="C76" s="30"/>
      <c r="D76" s="11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28"/>
      <c r="Z76" s="30"/>
    </row>
    <row r="77" spans="1:26" x14ac:dyDescent="0.25">
      <c r="A77" s="31"/>
      <c r="B77" s="28"/>
      <c r="C77" s="30"/>
      <c r="D77" s="11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28"/>
      <c r="Z77" s="30"/>
    </row>
    <row r="78" spans="1:26" x14ac:dyDescent="0.25">
      <c r="A78" s="31"/>
      <c r="B78" s="28"/>
      <c r="C78" s="30"/>
      <c r="D78" s="11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28"/>
      <c r="Z78" s="30"/>
    </row>
    <row r="79" spans="1:26" x14ac:dyDescent="0.25">
      <c r="A79" s="31"/>
      <c r="B79" s="28"/>
      <c r="C79" s="30"/>
      <c r="D79" s="11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28"/>
      <c r="Z79" s="30"/>
    </row>
    <row r="80" spans="1:26" x14ac:dyDescent="0.25"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28"/>
      <c r="Z80" s="30"/>
    </row>
    <row r="81" spans="2:26" x14ac:dyDescent="0.25"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28"/>
      <c r="Z81" s="30"/>
    </row>
    <row r="82" spans="2:26" x14ac:dyDescent="0.25"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28"/>
      <c r="Z82" s="30"/>
    </row>
    <row r="83" spans="2:26" x14ac:dyDescent="0.25"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28"/>
      <c r="Z83" s="30"/>
    </row>
    <row r="84" spans="2:26" x14ac:dyDescent="0.25"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28"/>
      <c r="Z84" s="30"/>
    </row>
    <row r="85" spans="2:26" x14ac:dyDescent="0.25"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28"/>
      <c r="Z85" s="30"/>
    </row>
    <row r="86" spans="2:26" x14ac:dyDescent="0.25"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28"/>
      <c r="Z86" s="30"/>
    </row>
    <row r="87" spans="2:26" x14ac:dyDescent="0.25"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28"/>
      <c r="Z87" s="30"/>
    </row>
    <row r="88" spans="2:26" x14ac:dyDescent="0.25"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28"/>
      <c r="Z88" s="30"/>
    </row>
    <row r="89" spans="2:26" x14ac:dyDescent="0.25"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28"/>
      <c r="Z89" s="30"/>
    </row>
    <row r="90" spans="2:26" x14ac:dyDescent="0.25"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28"/>
      <c r="Z90" s="30"/>
    </row>
    <row r="91" spans="2:26" x14ac:dyDescent="0.25"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28"/>
      <c r="Z91" s="30"/>
    </row>
    <row r="92" spans="2:26" x14ac:dyDescent="0.25"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28"/>
      <c r="Z92" s="30"/>
    </row>
    <row r="93" spans="2:26" x14ac:dyDescent="0.25"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28"/>
      <c r="Z93" s="30"/>
    </row>
    <row r="94" spans="2:26" x14ac:dyDescent="0.25"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28"/>
      <c r="Z94" s="30"/>
    </row>
    <row r="95" spans="2:26" x14ac:dyDescent="0.25"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28"/>
      <c r="Z95" s="30"/>
    </row>
    <row r="96" spans="2:26" x14ac:dyDescent="0.25"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28"/>
      <c r="Z96" s="30"/>
    </row>
    <row r="97" spans="2:26" x14ac:dyDescent="0.25"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28"/>
      <c r="Z97" s="30"/>
    </row>
    <row r="98" spans="2:26" x14ac:dyDescent="0.25"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28"/>
      <c r="Z98" s="30"/>
    </row>
    <row r="99" spans="2:26" x14ac:dyDescent="0.25"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28"/>
      <c r="Z99" s="30"/>
    </row>
    <row r="100" spans="2:26" x14ac:dyDescent="0.25"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28"/>
      <c r="Z100" s="30"/>
    </row>
    <row r="101" spans="2:26" x14ac:dyDescent="0.25"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28"/>
      <c r="Z101" s="30"/>
    </row>
    <row r="102" spans="2:26" x14ac:dyDescent="0.25"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28"/>
      <c r="Z102" s="30"/>
    </row>
    <row r="103" spans="2:26" x14ac:dyDescent="0.25"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28"/>
      <c r="Z103" s="30"/>
    </row>
    <row r="104" spans="2:26" x14ac:dyDescent="0.25"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28"/>
      <c r="Z104" s="30"/>
    </row>
    <row r="105" spans="2:26" x14ac:dyDescent="0.25"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28"/>
      <c r="Z105" s="30"/>
    </row>
    <row r="106" spans="2:26" x14ac:dyDescent="0.25"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28"/>
      <c r="Z106" s="30"/>
    </row>
    <row r="107" spans="2:26" x14ac:dyDescent="0.25"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28"/>
      <c r="Z107" s="30"/>
    </row>
    <row r="108" spans="2:26" x14ac:dyDescent="0.25"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28"/>
      <c r="Z108" s="30"/>
    </row>
    <row r="109" spans="2:26" x14ac:dyDescent="0.25"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28"/>
      <c r="Z109" s="30"/>
    </row>
    <row r="110" spans="2:26" x14ac:dyDescent="0.25"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28"/>
      <c r="Z110" s="30"/>
    </row>
    <row r="111" spans="2:26" x14ac:dyDescent="0.25"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28"/>
      <c r="Z111" s="30"/>
    </row>
    <row r="112" spans="2:26" x14ac:dyDescent="0.25"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28"/>
      <c r="Z112" s="30"/>
    </row>
    <row r="113" spans="2:26" x14ac:dyDescent="0.25"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28"/>
      <c r="Z113" s="30"/>
    </row>
    <row r="114" spans="2:26" x14ac:dyDescent="0.25"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28"/>
      <c r="Z114" s="30"/>
    </row>
    <row r="115" spans="2:26" x14ac:dyDescent="0.25"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28"/>
      <c r="Z115" s="30"/>
    </row>
    <row r="116" spans="2:26" x14ac:dyDescent="0.25"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28"/>
      <c r="Z116" s="30"/>
    </row>
    <row r="117" spans="2:26" x14ac:dyDescent="0.25"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28"/>
      <c r="Z117" s="30"/>
    </row>
    <row r="118" spans="2:26" x14ac:dyDescent="0.25"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28"/>
      <c r="Z118" s="30"/>
    </row>
    <row r="119" spans="2:26" x14ac:dyDescent="0.25"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28"/>
      <c r="Z119" s="30"/>
    </row>
    <row r="120" spans="2:26" x14ac:dyDescent="0.25"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28"/>
      <c r="Z120" s="30"/>
    </row>
    <row r="121" spans="2:26" x14ac:dyDescent="0.25"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28"/>
      <c r="Z121" s="30"/>
    </row>
    <row r="122" spans="2:26" x14ac:dyDescent="0.25"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28"/>
      <c r="Z122" s="30"/>
    </row>
    <row r="123" spans="2:26" x14ac:dyDescent="0.25"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28"/>
      <c r="Z123" s="30"/>
    </row>
    <row r="124" spans="2:26" x14ac:dyDescent="0.25"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28"/>
      <c r="Z124" s="30"/>
    </row>
    <row r="125" spans="2:26" x14ac:dyDescent="0.25"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28"/>
      <c r="Z125" s="30"/>
    </row>
    <row r="126" spans="2:26" x14ac:dyDescent="0.25"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28"/>
      <c r="Z126" s="30"/>
    </row>
    <row r="127" spans="2:26" x14ac:dyDescent="0.25"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28"/>
      <c r="Z127" s="30"/>
    </row>
    <row r="128" spans="2:26" x14ac:dyDescent="0.25"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28"/>
      <c r="Z128" s="30"/>
    </row>
    <row r="129" spans="2:26" x14ac:dyDescent="0.25"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28"/>
      <c r="Z129" s="30"/>
    </row>
    <row r="130" spans="2:26" x14ac:dyDescent="0.25"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28"/>
      <c r="Z130" s="30"/>
    </row>
    <row r="131" spans="2:26" x14ac:dyDescent="0.25"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28"/>
      <c r="Z131" s="30"/>
    </row>
    <row r="132" spans="2:26" x14ac:dyDescent="0.25"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28"/>
      <c r="Z132" s="30"/>
    </row>
    <row r="133" spans="2:26" x14ac:dyDescent="0.25"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28"/>
      <c r="Z133" s="30"/>
    </row>
    <row r="134" spans="2:26" x14ac:dyDescent="0.25"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28"/>
      <c r="Z134" s="30"/>
    </row>
    <row r="135" spans="2:26" x14ac:dyDescent="0.25"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28"/>
      <c r="Z135" s="30"/>
    </row>
    <row r="136" spans="2:26" x14ac:dyDescent="0.25"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28"/>
      <c r="Z136" s="30"/>
    </row>
    <row r="137" spans="2:26" x14ac:dyDescent="0.25"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28"/>
      <c r="Z137" s="30"/>
    </row>
    <row r="138" spans="2:26" x14ac:dyDescent="0.25"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28"/>
      <c r="Z138" s="30"/>
    </row>
    <row r="139" spans="2:26" x14ac:dyDescent="0.25"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28"/>
      <c r="Z139" s="30"/>
    </row>
    <row r="140" spans="2:26" x14ac:dyDescent="0.25"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28"/>
      <c r="Z140" s="30"/>
    </row>
    <row r="141" spans="2:26" x14ac:dyDescent="0.25"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28"/>
      <c r="Z141" s="30"/>
    </row>
    <row r="142" spans="2:26" x14ac:dyDescent="0.25"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28"/>
      <c r="Z142" s="30"/>
    </row>
    <row r="143" spans="2:26" x14ac:dyDescent="0.25"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28"/>
      <c r="Z143" s="30"/>
    </row>
    <row r="144" spans="2:26" x14ac:dyDescent="0.25"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28"/>
      <c r="Z144" s="30"/>
    </row>
    <row r="145" spans="2:26" x14ac:dyDescent="0.25"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28"/>
      <c r="Z145" s="30"/>
    </row>
    <row r="146" spans="2:26" x14ac:dyDescent="0.25"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28"/>
      <c r="Z146" s="30"/>
    </row>
    <row r="147" spans="2:26" x14ac:dyDescent="0.25"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28"/>
      <c r="Z147" s="30"/>
    </row>
    <row r="148" spans="2:26" x14ac:dyDescent="0.25"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28"/>
      <c r="Z148" s="30"/>
    </row>
    <row r="149" spans="2:26" x14ac:dyDescent="0.25"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28"/>
      <c r="Z149" s="30"/>
    </row>
    <row r="150" spans="2:26" x14ac:dyDescent="0.25"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28"/>
      <c r="Z150" s="30"/>
    </row>
    <row r="151" spans="2:26" x14ac:dyDescent="0.25"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28"/>
      <c r="Z151" s="30"/>
    </row>
    <row r="152" spans="2:26" x14ac:dyDescent="0.25"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28"/>
      <c r="Z152" s="30"/>
    </row>
    <row r="153" spans="2:26" x14ac:dyDescent="0.25"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28"/>
      <c r="Z153" s="30"/>
    </row>
    <row r="154" spans="2:26" x14ac:dyDescent="0.25"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28"/>
      <c r="Z154" s="30"/>
    </row>
    <row r="155" spans="2:26" x14ac:dyDescent="0.25"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28"/>
      <c r="Z155" s="30"/>
    </row>
    <row r="156" spans="2:26" x14ac:dyDescent="0.25"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28"/>
      <c r="Z156" s="30"/>
    </row>
    <row r="157" spans="2:26" x14ac:dyDescent="0.25"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28"/>
      <c r="Z157" s="30"/>
    </row>
    <row r="158" spans="2:26" x14ac:dyDescent="0.25"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28"/>
      <c r="Z158" s="30"/>
    </row>
    <row r="159" spans="2:26" x14ac:dyDescent="0.25"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28"/>
      <c r="Z159" s="30"/>
    </row>
    <row r="160" spans="2:26" x14ac:dyDescent="0.25"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28"/>
      <c r="Z160" s="30"/>
    </row>
    <row r="161" spans="2:26" x14ac:dyDescent="0.25"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28"/>
      <c r="Z161" s="30"/>
    </row>
    <row r="162" spans="2:26" x14ac:dyDescent="0.25"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28"/>
      <c r="Z162" s="30"/>
    </row>
    <row r="163" spans="2:26" x14ac:dyDescent="0.25"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28"/>
      <c r="Z163" s="30"/>
    </row>
    <row r="164" spans="2:26" x14ac:dyDescent="0.25"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28"/>
      <c r="Z164" s="30"/>
    </row>
    <row r="165" spans="2:26" x14ac:dyDescent="0.25"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28"/>
      <c r="Z165" s="30"/>
    </row>
    <row r="166" spans="2:26" x14ac:dyDescent="0.25"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28"/>
      <c r="Z166" s="30"/>
    </row>
    <row r="167" spans="2:26" x14ac:dyDescent="0.25"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28"/>
      <c r="Z167" s="30"/>
    </row>
    <row r="168" spans="2:26" x14ac:dyDescent="0.25"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28"/>
      <c r="Z168" s="30"/>
    </row>
    <row r="169" spans="2:26" x14ac:dyDescent="0.25"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28"/>
      <c r="Z169" s="30"/>
    </row>
    <row r="170" spans="2:26" x14ac:dyDescent="0.25"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28"/>
      <c r="Z170" s="30"/>
    </row>
    <row r="171" spans="2:26" x14ac:dyDescent="0.25"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28"/>
      <c r="Z171" s="30"/>
    </row>
    <row r="172" spans="2:26" x14ac:dyDescent="0.25"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28"/>
      <c r="Z172" s="30"/>
    </row>
    <row r="173" spans="2:26" x14ac:dyDescent="0.25"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28"/>
      <c r="Z173" s="30"/>
    </row>
    <row r="174" spans="2:26" x14ac:dyDescent="0.25"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28"/>
      <c r="Z174" s="30"/>
    </row>
    <row r="175" spans="2:26" x14ac:dyDescent="0.25"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28"/>
      <c r="Z175" s="30"/>
    </row>
    <row r="176" spans="2:26" x14ac:dyDescent="0.25"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28"/>
      <c r="Z176" s="30"/>
    </row>
    <row r="177" spans="2:26" x14ac:dyDescent="0.25"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28"/>
      <c r="Z177" s="30"/>
    </row>
    <row r="178" spans="2:26" x14ac:dyDescent="0.25"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28"/>
      <c r="Z178" s="30"/>
    </row>
    <row r="179" spans="2:26" x14ac:dyDescent="0.25"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28"/>
      <c r="Z179" s="30"/>
    </row>
    <row r="180" spans="2:26" x14ac:dyDescent="0.25"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28"/>
      <c r="Z180" s="30"/>
    </row>
    <row r="181" spans="2:26" x14ac:dyDescent="0.25"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28"/>
      <c r="Z181" s="30"/>
    </row>
    <row r="182" spans="2:26" x14ac:dyDescent="0.25"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28"/>
      <c r="Z182" s="30"/>
    </row>
    <row r="183" spans="2:26" x14ac:dyDescent="0.25"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28"/>
      <c r="Z183" s="30"/>
    </row>
    <row r="184" spans="2:26" x14ac:dyDescent="0.25"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28"/>
      <c r="Z184" s="30"/>
    </row>
    <row r="185" spans="2:26" x14ac:dyDescent="0.25"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28"/>
      <c r="Z185" s="30"/>
    </row>
    <row r="186" spans="2:26" x14ac:dyDescent="0.25"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28"/>
      <c r="Z186" s="30"/>
    </row>
    <row r="187" spans="2:26" x14ac:dyDescent="0.25"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28"/>
      <c r="Z187" s="30"/>
    </row>
    <row r="188" spans="2:26" x14ac:dyDescent="0.25"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28"/>
      <c r="Z188" s="30"/>
    </row>
    <row r="189" spans="2:26" x14ac:dyDescent="0.25"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28"/>
      <c r="Z189" s="30"/>
    </row>
    <row r="190" spans="2:26" x14ac:dyDescent="0.25"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28"/>
      <c r="Z190" s="30"/>
    </row>
    <row r="191" spans="2:26" x14ac:dyDescent="0.25"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28"/>
      <c r="Z191" s="30"/>
    </row>
    <row r="192" spans="2:26" x14ac:dyDescent="0.25"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28"/>
      <c r="Z192" s="30"/>
    </row>
    <row r="193" spans="2:26" x14ac:dyDescent="0.25"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28"/>
      <c r="Z193" s="30"/>
    </row>
    <row r="194" spans="2:26" x14ac:dyDescent="0.25"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28"/>
      <c r="Z194" s="30"/>
    </row>
    <row r="195" spans="2:26" x14ac:dyDescent="0.25"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28"/>
      <c r="Z195" s="30"/>
    </row>
    <row r="196" spans="2:26" x14ac:dyDescent="0.25"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28"/>
      <c r="Z196" s="30"/>
    </row>
    <row r="197" spans="2:26" x14ac:dyDescent="0.25"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28"/>
      <c r="Z197" s="30"/>
    </row>
    <row r="198" spans="2:26" x14ac:dyDescent="0.25"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28"/>
      <c r="Z198" s="30"/>
    </row>
    <row r="199" spans="2:26" x14ac:dyDescent="0.25"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28"/>
      <c r="Z199" s="30"/>
    </row>
    <row r="200" spans="2:26" x14ac:dyDescent="0.25"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28"/>
      <c r="Z200" s="30"/>
    </row>
    <row r="201" spans="2:26" x14ac:dyDescent="0.25"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28"/>
      <c r="Z201" s="30"/>
    </row>
    <row r="202" spans="2:26" x14ac:dyDescent="0.25"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28"/>
      <c r="Z202" s="30"/>
    </row>
    <row r="203" spans="2:26" x14ac:dyDescent="0.25"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28"/>
      <c r="Z203" s="30"/>
    </row>
    <row r="204" spans="2:26" x14ac:dyDescent="0.25"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28"/>
      <c r="Z204" s="30"/>
    </row>
    <row r="205" spans="2:26" x14ac:dyDescent="0.25"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28"/>
      <c r="Z205" s="30"/>
    </row>
    <row r="206" spans="2:26" x14ac:dyDescent="0.25"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28"/>
      <c r="Z206" s="30"/>
    </row>
    <row r="207" spans="2:26" x14ac:dyDescent="0.25"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28"/>
      <c r="Z207" s="30"/>
    </row>
    <row r="208" spans="2:26" x14ac:dyDescent="0.25"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28"/>
      <c r="Z208" s="30"/>
    </row>
    <row r="209" spans="2:26" x14ac:dyDescent="0.25"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28"/>
      <c r="Z209" s="30"/>
    </row>
    <row r="210" spans="2:26" x14ac:dyDescent="0.25"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28"/>
      <c r="Z210" s="30"/>
    </row>
    <row r="211" spans="2:26" x14ac:dyDescent="0.25"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28"/>
      <c r="Z211" s="30"/>
    </row>
    <row r="212" spans="2:26" x14ac:dyDescent="0.25"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28"/>
      <c r="Z212" s="30"/>
    </row>
    <row r="213" spans="2:26" x14ac:dyDescent="0.25"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28"/>
      <c r="Z213" s="30"/>
    </row>
    <row r="214" spans="2:26" x14ac:dyDescent="0.25"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28"/>
      <c r="Z214" s="30"/>
    </row>
    <row r="215" spans="2:26" x14ac:dyDescent="0.25"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28"/>
      <c r="Z215" s="30"/>
    </row>
    <row r="216" spans="2:26" x14ac:dyDescent="0.25"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28"/>
      <c r="Z216" s="30"/>
    </row>
    <row r="217" spans="2:26" x14ac:dyDescent="0.25"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28"/>
      <c r="Z217" s="30"/>
    </row>
    <row r="218" spans="2:26" x14ac:dyDescent="0.25"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28"/>
      <c r="Z218" s="30"/>
    </row>
    <row r="219" spans="2:26" x14ac:dyDescent="0.25"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28"/>
      <c r="Z219" s="30"/>
    </row>
    <row r="220" spans="2:26" x14ac:dyDescent="0.25"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28"/>
      <c r="Z220" s="30"/>
    </row>
    <row r="221" spans="2:26" x14ac:dyDescent="0.25"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28"/>
      <c r="Z221" s="30"/>
    </row>
    <row r="222" spans="2:26" x14ac:dyDescent="0.25"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28"/>
      <c r="Z222" s="30"/>
    </row>
    <row r="223" spans="2:26" x14ac:dyDescent="0.25"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28"/>
      <c r="Z223" s="30"/>
    </row>
    <row r="224" spans="2:26" x14ac:dyDescent="0.25"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28"/>
      <c r="Z224" s="30"/>
    </row>
    <row r="225" spans="2:26" x14ac:dyDescent="0.25"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28"/>
      <c r="Z225" s="30"/>
    </row>
    <row r="226" spans="2:26" x14ac:dyDescent="0.25"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28"/>
      <c r="Z226" s="30"/>
    </row>
    <row r="227" spans="2:26" x14ac:dyDescent="0.25"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28"/>
      <c r="Z227" s="30"/>
    </row>
    <row r="228" spans="2:26" x14ac:dyDescent="0.25"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28"/>
      <c r="Z228" s="30"/>
    </row>
    <row r="229" spans="2:26" x14ac:dyDescent="0.25"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28"/>
      <c r="Z229" s="30"/>
    </row>
    <row r="230" spans="2:26" x14ac:dyDescent="0.25"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28"/>
      <c r="Z230" s="30"/>
    </row>
    <row r="231" spans="2:26" x14ac:dyDescent="0.25"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28"/>
      <c r="Z231" s="30"/>
    </row>
    <row r="232" spans="2:26" x14ac:dyDescent="0.25"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28"/>
      <c r="Z232" s="30"/>
    </row>
    <row r="233" spans="2:26" x14ac:dyDescent="0.25"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28"/>
      <c r="Z233" s="30"/>
    </row>
    <row r="234" spans="2:26" x14ac:dyDescent="0.25"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28"/>
      <c r="Z234" s="30"/>
    </row>
    <row r="235" spans="2:26" x14ac:dyDescent="0.25"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28"/>
      <c r="Z235" s="30"/>
    </row>
    <row r="236" spans="2:26" x14ac:dyDescent="0.25"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28"/>
      <c r="Z236" s="30"/>
    </row>
    <row r="237" spans="2:26" x14ac:dyDescent="0.25"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28"/>
      <c r="Z237" s="30"/>
    </row>
    <row r="238" spans="2:26" x14ac:dyDescent="0.25"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28"/>
      <c r="Z238" s="30"/>
    </row>
    <row r="239" spans="2:26" x14ac:dyDescent="0.25"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28"/>
      <c r="Z239" s="30"/>
    </row>
    <row r="240" spans="2:26" x14ac:dyDescent="0.25"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28"/>
      <c r="Z240" s="30"/>
    </row>
    <row r="241" spans="2:26" x14ac:dyDescent="0.25"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28"/>
      <c r="Z241" s="30"/>
    </row>
    <row r="242" spans="2:26" x14ac:dyDescent="0.25"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28"/>
      <c r="Z242" s="30"/>
    </row>
    <row r="243" spans="2:26" x14ac:dyDescent="0.25"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28"/>
      <c r="Z243" s="30"/>
    </row>
    <row r="244" spans="2:26" x14ac:dyDescent="0.25"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28"/>
      <c r="Z244" s="30"/>
    </row>
    <row r="245" spans="2:26" x14ac:dyDescent="0.25"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28"/>
      <c r="Z245" s="30"/>
    </row>
    <row r="246" spans="2:26" x14ac:dyDescent="0.25"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28"/>
      <c r="Z246" s="30"/>
    </row>
    <row r="247" spans="2:26" x14ac:dyDescent="0.25"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28"/>
      <c r="Z247" s="30"/>
    </row>
    <row r="248" spans="2:26" x14ac:dyDescent="0.25"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28"/>
      <c r="Z248" s="30"/>
    </row>
    <row r="249" spans="2:26" x14ac:dyDescent="0.25"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28"/>
      <c r="Z249" s="30"/>
    </row>
    <row r="250" spans="2:26" x14ac:dyDescent="0.25"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28"/>
      <c r="Z250" s="30"/>
    </row>
    <row r="251" spans="2:26" x14ac:dyDescent="0.25"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28"/>
      <c r="Z251" s="30"/>
    </row>
  </sheetData>
  <mergeCells count="13">
    <mergeCell ref="A27:C27"/>
    <mergeCell ref="A28:D28"/>
    <mergeCell ref="A4:A6"/>
    <mergeCell ref="B4:B6"/>
    <mergeCell ref="A2:Y2"/>
    <mergeCell ref="A3:Y3"/>
    <mergeCell ref="D4:M4"/>
    <mergeCell ref="X27:Y27"/>
    <mergeCell ref="N4:W4"/>
    <mergeCell ref="X4:X6"/>
    <mergeCell ref="Y4:Y6"/>
    <mergeCell ref="D5:M5"/>
    <mergeCell ref="N5:W5"/>
  </mergeCells>
  <pageMargins left="0.7" right="0.7" top="0.75" bottom="0.75" header="0.3" footer="0.3"/>
  <pageSetup scale="30" orientation="portrait" horizontalDpi="0" verticalDpi="0" r:id="rId1"/>
  <ignoredErrors>
    <ignoredError sqref="D27:F27 N27:V2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20.1</vt:lpstr>
      <vt:lpstr>'20.1'!Print_Area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2021-06-20T07:27:58Z</cp:lastPrinted>
  <dcterms:created xsi:type="dcterms:W3CDTF">2019-09-10T03:17:03Z</dcterms:created>
  <dcterms:modified xsi:type="dcterms:W3CDTF">2021-06-20T07:32:01Z</dcterms:modified>
</cp:coreProperties>
</file>