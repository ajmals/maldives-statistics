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20. Political Parties and Election\"/>
    </mc:Choice>
  </mc:AlternateContent>
  <bookViews>
    <workbookView xWindow="0" yWindow="0" windowWidth="28800" windowHeight="12435" tabRatio="682"/>
  </bookViews>
  <sheets>
    <sheet name="20.8" sheetId="11" r:id="rId1"/>
  </sheets>
  <definedNames>
    <definedName name="_xlnm.Print_Area" localSheetId="0">'20.8'!$A$1:$L$24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1" l="1"/>
  <c r="E9" i="11"/>
  <c r="B9" i="11" s="1"/>
  <c r="D9" i="11"/>
  <c r="C9" i="11"/>
  <c r="H8" i="11"/>
  <c r="B8" i="11" s="1"/>
  <c r="D8" i="11"/>
  <c r="C8" i="11"/>
  <c r="H7" i="11"/>
  <c r="B7" i="11" s="1"/>
  <c r="D7" i="11"/>
  <c r="C7" i="11"/>
  <c r="J6" i="11"/>
  <c r="I6" i="11"/>
  <c r="C6" i="11" s="1"/>
  <c r="G6" i="11"/>
  <c r="F6" i="11"/>
  <c r="E6" i="11" l="1"/>
  <c r="D6" i="11"/>
  <c r="H6" i="11"/>
  <c r="B6" i="11" s="1"/>
</calcChain>
</file>

<file path=xl/sharedStrings.xml><?xml version="1.0" encoding="utf-8"?>
<sst xmlns="http://schemas.openxmlformats.org/spreadsheetml/2006/main" count="32" uniqueCount="21">
  <si>
    <t>-</t>
  </si>
  <si>
    <t>Female</t>
  </si>
  <si>
    <t>Total</t>
  </si>
  <si>
    <t>Male</t>
  </si>
  <si>
    <t xml:space="preserve"> Councils</t>
  </si>
  <si>
    <r>
      <t xml:space="preserve">Republic                      </t>
    </r>
    <r>
      <rPr>
        <b/>
        <sz val="11"/>
        <color theme="1"/>
        <rFont val="Faruma"/>
      </rPr>
      <t xml:space="preserve">މުޅިރާއްޖެ </t>
    </r>
  </si>
  <si>
    <r>
      <t xml:space="preserve">Male'                          </t>
    </r>
    <r>
      <rPr>
        <b/>
        <sz val="11"/>
        <color theme="1"/>
        <rFont val="Faruma"/>
      </rPr>
      <t xml:space="preserve"> މާލެ</t>
    </r>
  </si>
  <si>
    <r>
      <t xml:space="preserve">Atolls                  </t>
    </r>
    <r>
      <rPr>
        <b/>
        <sz val="11"/>
        <color theme="1"/>
        <rFont val="Faruma"/>
      </rPr>
      <t xml:space="preserve"> އަތޮޅުތައް</t>
    </r>
  </si>
  <si>
    <t>ކައުންސިލްތައް</t>
  </si>
  <si>
    <t>ލޯކަލް ކައުންސިލްތައް</t>
  </si>
  <si>
    <t>Atoll councils</t>
  </si>
  <si>
    <t>އަތޮޅު ކައުންސިލް</t>
  </si>
  <si>
    <t>Island councils</t>
  </si>
  <si>
    <t>ރަށު ކައުންސިލް</t>
  </si>
  <si>
    <t>City councils</t>
  </si>
  <si>
    <t>ސިޓީ ކައުންސިލް</t>
  </si>
  <si>
    <t>Source: Local Government Authority</t>
  </si>
  <si>
    <t xml:space="preserve">މަޢުލޫމާތު ދެއްވި ފަރާތް: ލޯކަލް ގަވަރމަންޓް އޮތޯރިޓީ </t>
  </si>
  <si>
    <t>ތާވަލު 20.8: ލޯކަލް ކައުންސިލް މެމްބަރުންގެ އަދަދު އަދި ޖިންސް، 2020</t>
  </si>
  <si>
    <t>TABLE 20.8: LOCAL COUNCIL MEMBERS BY SEX, 2020</t>
  </si>
  <si>
    <t>Total Local Council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</si>
</sst>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0" fontId="11" fillId="0" borderId="0"/>
    <xf numFmtId="0" fontId="1" fillId="0" borderId="0"/>
  </cellStyleXfs>
  <cellXfs count="42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7" fillId="2" borderId="0" xfId="0" applyFont="1" applyFill="1"/>
    <xf numFmtId="0" fontId="6" fillId="2" borderId="0" xfId="0" applyFont="1" applyFill="1"/>
    <xf numFmtId="0" fontId="0" fillId="2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ont="1" applyFill="1" applyBorder="1"/>
    <xf numFmtId="165" fontId="0" fillId="2" borderId="0" xfId="1" applyNumberFormat="1" applyFont="1" applyFill="1" applyBorder="1" applyAlignment="1">
      <alignment horizontal="center" vertical="center"/>
    </xf>
    <xf numFmtId="0" fontId="0" fillId="2" borderId="0" xfId="0" applyFont="1" applyFill="1"/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37" fontId="2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37" fontId="1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left" vertical="center"/>
    </xf>
    <xf numFmtId="37" fontId="2" fillId="2" borderId="1" xfId="1" applyNumberFormat="1" applyFont="1" applyFill="1" applyBorder="1" applyAlignment="1">
      <alignment horizontal="right" vertical="center"/>
    </xf>
    <xf numFmtId="37" fontId="1" fillId="2" borderId="1" xfId="1" applyNumberFormat="1" applyFont="1" applyFill="1" applyBorder="1" applyAlignment="1">
      <alignment horizontal="right" vertical="center"/>
    </xf>
    <xf numFmtId="37" fontId="2" fillId="2" borderId="6" xfId="1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37" fontId="0" fillId="2" borderId="0" xfId="1" applyNumberFormat="1" applyFont="1" applyFill="1" applyBorder="1" applyAlignment="1">
      <alignment horizontal="right" vertical="center"/>
    </xf>
    <xf numFmtId="37" fontId="0" fillId="2" borderId="1" xfId="1" applyNumberFormat="1" applyFont="1" applyFill="1" applyBorder="1" applyAlignment="1">
      <alignment horizontal="right" vertical="center"/>
    </xf>
    <xf numFmtId="37" fontId="0" fillId="2" borderId="7" xfId="1" applyNumberFormat="1" applyFont="1" applyFill="1" applyBorder="1" applyAlignment="1">
      <alignment horizontal="right" vertical="center"/>
    </xf>
    <xf numFmtId="37" fontId="0" fillId="2" borderId="0" xfId="0" applyNumberFormat="1" applyFont="1" applyFill="1"/>
    <xf numFmtId="37" fontId="1" fillId="2" borderId="9" xfId="1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37" fontId="2" fillId="2" borderId="11" xfId="1" applyNumberFormat="1" applyFont="1" applyFill="1" applyBorder="1" applyAlignment="1">
      <alignment horizontal="right" vertical="center"/>
    </xf>
    <xf numFmtId="37" fontId="0" fillId="2" borderId="2" xfId="1" applyNumberFormat="1" applyFont="1" applyFill="1" applyBorder="1" applyAlignment="1">
      <alignment horizontal="right" vertical="center"/>
    </xf>
    <xf numFmtId="165" fontId="0" fillId="2" borderId="8" xfId="1" applyNumberFormat="1" applyFont="1" applyFill="1" applyBorder="1" applyAlignment="1">
      <alignment horizontal="center" vertical="center"/>
    </xf>
    <xf numFmtId="165" fontId="0" fillId="2" borderId="10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9">
    <cellStyle name="Comma" xfId="1" builtinId="3"/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</cellStyles>
  <dxfs count="0"/>
  <tableStyles count="0" defaultTableStyle="TableStyleMedium2" defaultPivotStyle="PivotStyleLight16"/>
  <colors>
    <mruColors>
      <color rgb="FFEFFFFF"/>
      <color rgb="FF00A29E"/>
      <color rgb="FFFFCC66"/>
      <color rgb="FFE7FFFF"/>
      <color rgb="FFD9FFFF"/>
      <color rgb="FFA7FFFF"/>
      <color rgb="FFF6ECE2"/>
      <color rgb="FFE1C2A3"/>
      <color rgb="FF996633"/>
      <color rgb="FF714B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andara" panose="020E0502030303020204" pitchFamily="34" charset="0"/>
                <a:cs typeface="Consolas" pitchFamily="49" charset="0"/>
              </a:defRPr>
            </a:pPr>
            <a:r>
              <a:rPr lang="en-US" sz="1100">
                <a:latin typeface="Candara" panose="020E0502030303020204" pitchFamily="34" charset="0"/>
                <a:cs typeface="Consolas" pitchFamily="49" charset="0"/>
              </a:rPr>
              <a:t>Figure</a:t>
            </a:r>
            <a:r>
              <a:rPr lang="en-US" sz="1100" baseline="0">
                <a:latin typeface="Candara" panose="020E0502030303020204" pitchFamily="34" charset="0"/>
                <a:cs typeface="Consolas" pitchFamily="49" charset="0"/>
              </a:rPr>
              <a:t>  20.5: </a:t>
            </a:r>
            <a:r>
              <a:rPr lang="en-US" sz="1100">
                <a:latin typeface="Candara" panose="020E0502030303020204" pitchFamily="34" charset="0"/>
                <a:cs typeface="Consolas" pitchFamily="49" charset="0"/>
              </a:rPr>
              <a:t>Number of local council members by sex, 2020</a:t>
            </a:r>
          </a:p>
        </c:rich>
      </c:tx>
      <c:layout>
        <c:manualLayout>
          <c:xMode val="edge"/>
          <c:yMode val="edge"/>
          <c:x val="0.26693366351467901"/>
          <c:y val="3.66158602352983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687611396377778"/>
          <c:y val="0.17101665622116047"/>
          <c:w val="0.86935468199437371"/>
          <c:h val="0.679592474319184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'20.8'!$C$5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CC6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'20.8'!$A$7:$A$9</c:f>
              <c:strCache>
                <c:ptCount val="3"/>
                <c:pt idx="0">
                  <c:v>Atoll councils</c:v>
                </c:pt>
                <c:pt idx="1">
                  <c:v>Island councils</c:v>
                </c:pt>
                <c:pt idx="2">
                  <c:v>City councils</c:v>
                </c:pt>
              </c:strCache>
            </c:strRef>
          </c:cat>
          <c:val>
            <c:numRef>
              <c:f>'20.8'!$C$7:$C$9</c:f>
              <c:numCache>
                <c:formatCode>#,##0_);\(#,##0\)</c:formatCode>
                <c:ptCount val="3"/>
                <c:pt idx="0">
                  <c:v>61</c:v>
                </c:pt>
                <c:pt idx="1">
                  <c:v>500</c:v>
                </c:pt>
                <c:pt idx="2">
                  <c:v>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8D5-49A7-9AA8-932C53F590C7}"/>
            </c:ext>
          </c:extLst>
        </c:ser>
        <c:ser>
          <c:idx val="1"/>
          <c:order val="1"/>
          <c:tx>
            <c:strRef>
              <c:f>'20.8'!$D$5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A29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'20.8'!$A$7:$A$9</c:f>
              <c:strCache>
                <c:ptCount val="3"/>
                <c:pt idx="0">
                  <c:v>Atoll councils</c:v>
                </c:pt>
                <c:pt idx="1">
                  <c:v>Island councils</c:v>
                </c:pt>
                <c:pt idx="2">
                  <c:v>City councils</c:v>
                </c:pt>
              </c:strCache>
            </c:strRef>
          </c:cat>
          <c:val>
            <c:numRef>
              <c:f>'20.8'!$D$7:$D$9</c:f>
              <c:numCache>
                <c:formatCode>#,##0_);\(#,##0\)</c:formatCode>
                <c:ptCount val="3"/>
                <c:pt idx="0">
                  <c:v>1</c:v>
                </c:pt>
                <c:pt idx="1">
                  <c:v>32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8D5-49A7-9AA8-932C53F590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75691400"/>
        <c:axId val="475691792"/>
      </c:barChart>
      <c:catAx>
        <c:axId val="475691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75691792"/>
        <c:crosses val="autoZero"/>
        <c:auto val="1"/>
        <c:lblAlgn val="ctr"/>
        <c:lblOffset val="100"/>
        <c:noMultiLvlLbl val="0"/>
      </c:catAx>
      <c:valAx>
        <c:axId val="4756917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50"/>
                </a:pPr>
                <a:r>
                  <a:rPr lang="en-US" sz="1050"/>
                  <a:t>No.</a:t>
                </a:r>
                <a:r>
                  <a:rPr lang="en-US" sz="1050" baseline="0"/>
                  <a:t> of persons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1.5168436987476074E-2"/>
              <c:y val="0.35349284110534296"/>
            </c:manualLayout>
          </c:layout>
          <c:overlay val="0"/>
        </c:title>
        <c:numFmt formatCode="#,##0_);\(#,##0\)" sourceLinked="1"/>
        <c:majorTickMark val="out"/>
        <c:minorTickMark val="none"/>
        <c:tickLblPos val="nextTo"/>
        <c:crossAx val="475691400"/>
        <c:crosses val="autoZero"/>
        <c:crossBetween val="between"/>
        <c:majorUnit val="200"/>
      </c:valAx>
      <c:spPr>
        <a:solidFill>
          <a:srgbClr val="EFFFFF"/>
        </a:solidFill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16665463030216612"/>
          <c:y val="0.22749929476877989"/>
          <c:w val="0.21579249374644505"/>
          <c:h val="7.6815522792366558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1011491</xdr:colOff>
      <xdr:row>11</xdr:row>
      <xdr:rowOff>1</xdr:rowOff>
    </xdr:from>
    <xdr:to>
      <xdr:col>10</xdr:col>
      <xdr:colOff>476250</xdr:colOff>
      <xdr:row>22</xdr:row>
      <xdr:rowOff>200025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0"/>
  <sheetViews>
    <sheetView tabSelected="1" zoomScaleNormal="100" workbookViewId="0">
      <selection activeCell="Q22" sqref="Q22"/>
    </sheetView>
  </sheetViews>
  <sheetFormatPr defaultColWidth="9.140625" defaultRowHeight="21" x14ac:dyDescent="0.55000000000000004"/>
  <cols>
    <col min="1" max="1" width="29.7109375" style="9" customWidth="1"/>
    <col min="2" max="10" width="9.7109375" style="9" customWidth="1"/>
    <col min="11" max="11" width="20.140625" style="2" customWidth="1"/>
    <col min="12" max="12" width="2.42578125" style="9" customWidth="1"/>
    <col min="13" max="14" width="9.140625" style="9"/>
    <col min="15" max="15" width="18.28515625" style="9" customWidth="1"/>
    <col min="16" max="16" width="15" style="9" customWidth="1"/>
    <col min="17" max="16384" width="9.140625" style="9"/>
  </cols>
  <sheetData>
    <row r="1" spans="1:11" s="1" customFormat="1" ht="21.75" x14ac:dyDescent="0.55000000000000004">
      <c r="A1" s="34" t="s">
        <v>18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s="1" customFormat="1" ht="15.75" x14ac:dyDescent="0.25">
      <c r="A2" s="38" t="s">
        <v>19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4" spans="1:11" s="11" customFormat="1" x14ac:dyDescent="0.25">
      <c r="A4" s="35" t="s">
        <v>4</v>
      </c>
      <c r="B4" s="39" t="s">
        <v>5</v>
      </c>
      <c r="C4" s="39"/>
      <c r="D4" s="39"/>
      <c r="E4" s="40" t="s">
        <v>6</v>
      </c>
      <c r="F4" s="39"/>
      <c r="G4" s="41"/>
      <c r="H4" s="39" t="s">
        <v>7</v>
      </c>
      <c r="I4" s="39"/>
      <c r="J4" s="39"/>
      <c r="K4" s="36" t="s">
        <v>8</v>
      </c>
    </row>
    <row r="5" spans="1:11" s="7" customFormat="1" ht="15" x14ac:dyDescent="0.25">
      <c r="A5" s="33"/>
      <c r="B5" s="10" t="s">
        <v>2</v>
      </c>
      <c r="C5" s="10" t="s">
        <v>3</v>
      </c>
      <c r="D5" s="10" t="s">
        <v>1</v>
      </c>
      <c r="E5" s="12" t="s">
        <v>2</v>
      </c>
      <c r="F5" s="10" t="s">
        <v>3</v>
      </c>
      <c r="G5" s="13" t="s">
        <v>1</v>
      </c>
      <c r="H5" s="10" t="s">
        <v>2</v>
      </c>
      <c r="I5" s="10" t="s">
        <v>3</v>
      </c>
      <c r="J5" s="10" t="s">
        <v>1</v>
      </c>
      <c r="K5" s="37"/>
    </row>
    <row r="6" spans="1:11" s="7" customFormat="1" x14ac:dyDescent="0.25">
      <c r="A6" s="28" t="s">
        <v>20</v>
      </c>
      <c r="B6" s="14">
        <f>E6+H6</f>
        <v>617</v>
      </c>
      <c r="C6" s="14">
        <f>F6+I6</f>
        <v>580</v>
      </c>
      <c r="D6" s="14">
        <f>G6+J6</f>
        <v>37</v>
      </c>
      <c r="E6" s="29">
        <f>SUM(F6:G6)</f>
        <v>13</v>
      </c>
      <c r="F6" s="30">
        <f>SUM(F7:F9)</f>
        <v>10</v>
      </c>
      <c r="G6" s="27">
        <f>SUM(G7:G9)</f>
        <v>3</v>
      </c>
      <c r="H6" s="14">
        <f>SUM(I6:J6)</f>
        <v>604</v>
      </c>
      <c r="I6" s="14">
        <f t="shared" ref="I6:J6" si="0">SUM(I7:I9)</f>
        <v>570</v>
      </c>
      <c r="J6" s="14">
        <f t="shared" si="0"/>
        <v>34</v>
      </c>
      <c r="K6" s="15" t="s">
        <v>9</v>
      </c>
    </row>
    <row r="7" spans="1:11" s="7" customFormat="1" x14ac:dyDescent="0.25">
      <c r="A7" s="5" t="s">
        <v>10</v>
      </c>
      <c r="B7" s="14">
        <f t="shared" ref="B7:D8" si="1">H7</f>
        <v>62</v>
      </c>
      <c r="C7" s="16">
        <f t="shared" si="1"/>
        <v>61</v>
      </c>
      <c r="D7" s="16">
        <f t="shared" si="1"/>
        <v>1</v>
      </c>
      <c r="E7" s="31" t="s">
        <v>0</v>
      </c>
      <c r="F7" s="8" t="s">
        <v>0</v>
      </c>
      <c r="G7" s="32" t="s">
        <v>0</v>
      </c>
      <c r="H7" s="14">
        <f t="shared" ref="H7:H9" si="2">SUM(I7:J7)</f>
        <v>62</v>
      </c>
      <c r="I7" s="23">
        <v>61</v>
      </c>
      <c r="J7" s="23">
        <v>1</v>
      </c>
      <c r="K7" s="17" t="s">
        <v>11</v>
      </c>
    </row>
    <row r="8" spans="1:11" s="7" customFormat="1" x14ac:dyDescent="0.25">
      <c r="A8" s="5" t="s">
        <v>12</v>
      </c>
      <c r="B8" s="14">
        <f t="shared" si="1"/>
        <v>532</v>
      </c>
      <c r="C8" s="16">
        <f t="shared" si="1"/>
        <v>500</v>
      </c>
      <c r="D8" s="16">
        <f t="shared" si="1"/>
        <v>32</v>
      </c>
      <c r="E8" s="31" t="s">
        <v>0</v>
      </c>
      <c r="F8" s="8" t="s">
        <v>0</v>
      </c>
      <c r="G8" s="32" t="s">
        <v>0</v>
      </c>
      <c r="H8" s="14">
        <f t="shared" si="2"/>
        <v>532</v>
      </c>
      <c r="I8" s="23">
        <v>500</v>
      </c>
      <c r="J8" s="23">
        <v>32</v>
      </c>
      <c r="K8" s="17" t="s">
        <v>13</v>
      </c>
    </row>
    <row r="9" spans="1:11" s="7" customFormat="1" x14ac:dyDescent="0.25">
      <c r="A9" s="18" t="s">
        <v>14</v>
      </c>
      <c r="B9" s="19">
        <f>E9+H9</f>
        <v>23</v>
      </c>
      <c r="C9" s="20">
        <f t="shared" ref="C9:D9" si="3">F9+I9</f>
        <v>19</v>
      </c>
      <c r="D9" s="20">
        <f t="shared" si="3"/>
        <v>4</v>
      </c>
      <c r="E9" s="21">
        <f t="shared" ref="E9" si="4">SUM(F9:G9)</f>
        <v>13</v>
      </c>
      <c r="F9" s="24">
        <v>10</v>
      </c>
      <c r="G9" s="25">
        <v>3</v>
      </c>
      <c r="H9" s="19">
        <f t="shared" si="2"/>
        <v>10</v>
      </c>
      <c r="I9" s="24">
        <v>9</v>
      </c>
      <c r="J9" s="24">
        <v>1</v>
      </c>
      <c r="K9" s="22" t="s">
        <v>15</v>
      </c>
    </row>
    <row r="10" spans="1:11" s="7" customFormat="1" ht="18" x14ac:dyDescent="0.45">
      <c r="A10" s="6" t="s">
        <v>16</v>
      </c>
      <c r="B10" s="3"/>
      <c r="C10" s="3"/>
      <c r="D10" s="3"/>
      <c r="E10" s="3"/>
      <c r="F10" s="3"/>
      <c r="G10" s="3"/>
      <c r="H10" s="3"/>
      <c r="I10" s="3"/>
      <c r="J10" s="3"/>
      <c r="K10" s="4" t="s">
        <v>17</v>
      </c>
    </row>
    <row r="16" spans="1:11" x14ac:dyDescent="0.55000000000000004">
      <c r="E16" s="11"/>
      <c r="F16" s="11"/>
      <c r="G16" s="11"/>
    </row>
    <row r="17" spans="5:7" x14ac:dyDescent="0.55000000000000004">
      <c r="E17" s="26"/>
      <c r="F17" s="26"/>
      <c r="G17" s="26"/>
    </row>
    <row r="18" spans="5:7" x14ac:dyDescent="0.55000000000000004">
      <c r="E18" s="26"/>
      <c r="F18" s="26"/>
      <c r="G18" s="26"/>
    </row>
    <row r="19" spans="5:7" x14ac:dyDescent="0.55000000000000004">
      <c r="E19" s="26"/>
      <c r="F19" s="26"/>
      <c r="G19" s="26"/>
    </row>
    <row r="20" spans="5:7" x14ac:dyDescent="0.55000000000000004">
      <c r="E20" s="26"/>
      <c r="F20" s="26"/>
      <c r="G20" s="26"/>
    </row>
  </sheetData>
  <mergeCells count="7">
    <mergeCell ref="A1:K1"/>
    <mergeCell ref="A2:K2"/>
    <mergeCell ref="A4:A5"/>
    <mergeCell ref="B4:D4"/>
    <mergeCell ref="E4:G4"/>
    <mergeCell ref="H4:J4"/>
    <mergeCell ref="K4:K5"/>
  </mergeCells>
  <pageMargins left="0.7" right="0.7" top="0.75" bottom="0.75" header="0.3" footer="0.3"/>
  <pageSetup scale="64" orientation="portrait" horizontalDpi="0" verticalDpi="0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20.8</vt:lpstr>
      <vt:lpstr>'20.8'!Print_Area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2021-06-20T07:35:41Z</cp:lastPrinted>
  <dcterms:created xsi:type="dcterms:W3CDTF">2019-09-10T03:17:03Z</dcterms:created>
  <dcterms:modified xsi:type="dcterms:W3CDTF">2021-06-20T07:36:08Z</dcterms:modified>
</cp:coreProperties>
</file>