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. Geography\"/>
    </mc:Choice>
  </mc:AlternateContent>
  <bookViews>
    <workbookView xWindow="0" yWindow="0" windowWidth="28800" windowHeight="11130" tabRatio="799"/>
  </bookViews>
  <sheets>
    <sheet name="1.2" sheetId="2" r:id="rId1"/>
    <sheet name="Sheet1" sheetId="5" state="hidden" r:id="rId2"/>
  </sheets>
  <definedNames>
    <definedName name="_xlnm.Print_Area" localSheetId="0">'1.2'!$A$1:$P$63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7" i="2" l="1"/>
  <c r="B18" i="2" l="1"/>
  <c r="AK21" i="2" s="1"/>
  <c r="B17" i="2"/>
  <c r="AK20" i="2" s="1"/>
  <c r="B16" i="2"/>
  <c r="AK19" i="2" s="1"/>
  <c r="B15" i="2"/>
  <c r="AK18" i="2" s="1"/>
  <c r="B14" i="2"/>
  <c r="AK17" i="2" s="1"/>
  <c r="B12" i="2"/>
  <c r="AJ21" i="2" s="1"/>
  <c r="B11" i="2"/>
  <c r="AJ20" i="2" s="1"/>
  <c r="B10" i="2"/>
  <c r="AJ19" i="2" s="1"/>
  <c r="B9" i="2"/>
  <c r="AJ18" i="2" s="1"/>
  <c r="B8" i="2"/>
</calcChain>
</file>

<file path=xl/sharedStrings.xml><?xml version="1.0" encoding="utf-8"?>
<sst xmlns="http://schemas.openxmlformats.org/spreadsheetml/2006/main" count="65" uniqueCount="50">
  <si>
    <t>Locality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</si>
  <si>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</si>
  <si>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</si>
  <si>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</si>
  <si>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</si>
  <si>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</si>
  <si>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</si>
  <si>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</si>
  <si>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</si>
  <si>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</si>
  <si>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</si>
  <si>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</si>
  <si>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</si>
  <si>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</si>
  <si>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</si>
  <si>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</si>
  <si>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</si>
  <si>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</si>
  <si>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</si>
  <si>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</si>
  <si>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</si>
  <si>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</si>
  <si>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</si>
  <si>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</si>
  <si>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</si>
  <si>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</si>
  <si>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</si>
  <si>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</si>
  <si>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</si>
  <si>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</si>
  <si>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</si>
  <si>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</si>
  <si>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</si>
  <si>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</si>
  <si>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</si>
  <si>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</si>
  <si>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</si>
  <si>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</si>
  <si>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  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</si>
  <si>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</si>
  <si>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</si>
  <si>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</si>
  <si>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</si>
  <si>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</si>
  <si>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</si>
  <si>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</si>
  <si>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Rain fall</t>
  </si>
  <si>
    <t>Sunshine</t>
  </si>
  <si>
    <t>2020 ,urwvcnim Wviawfcsog cSwSwd idwa cSwCcawm emcnea cnimunUh uhwmcswmikea : 1.2 clwvWt</t>
  </si>
  <si>
    <t>Table 1.2 : AVERAGE OF DAILY MAXIMUM AND MINIMUM TEMPERATURE,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</si>
</sst>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"/>
    <numFmt numFmtId="167" formatCode="0.0"/>
  </numFmts>
  <fonts count="18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A_Randhoo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0" fontId="2" fillId="0" borderId="0"/>
    <xf numFmtId="0" fontId="2" fillId="0" borderId="0"/>
    <xf numFmtId="164" fontId="17" fillId="0" borderId="0" applyFont="0" applyFill="0" applyBorder="0" applyAlignment="0" applyProtection="0"/>
  </cellStyleXfs>
  <cellXfs count="52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top"/>
      <protection hidden="1"/>
    </xf>
    <xf numFmtId="0" fontId="5" fillId="2" borderId="2" xfId="0" applyFont="1" applyFill="1" applyBorder="1" applyAlignment="1" applyProtection="1">
      <alignment horizontal="center" vertical="top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0" fontId="6" fillId="2" borderId="0" xfId="0" applyFont="1" applyFill="1" applyAlignment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 wrapText="1"/>
      <protection hidden="1"/>
    </xf>
    <xf numFmtId="165" fontId="4" fillId="2" borderId="2" xfId="0" applyNumberFormat="1" applyFont="1" applyFill="1" applyBorder="1" applyAlignment="1" applyProtection="1">
      <alignment horizontal="right" vertical="center"/>
      <protection hidden="1"/>
    </xf>
    <xf numFmtId="165" fontId="4" fillId="2" borderId="0" xfId="0" applyNumberFormat="1" applyFont="1" applyFill="1" applyBorder="1" applyAlignment="1" applyProtection="1">
      <alignment horizontal="right" vertical="center" wrapText="1"/>
      <protection hidden="1"/>
    </xf>
    <xf numFmtId="165" fontId="4" fillId="2" borderId="0" xfId="0" applyNumberFormat="1" applyFont="1" applyFill="1" applyBorder="1" applyAlignment="1" applyProtection="1">
      <alignment horizontal="right" vertical="center"/>
      <protection hidden="1"/>
    </xf>
    <xf numFmtId="165" fontId="4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165" fontId="5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center"/>
    </xf>
    <xf numFmtId="0" fontId="8" fillId="2" borderId="2" xfId="0" applyFont="1" applyFill="1" applyBorder="1" applyAlignment="1" applyProtection="1">
      <alignment horizontal="left" vertical="center"/>
      <protection hidden="1"/>
    </xf>
    <xf numFmtId="165" fontId="5" fillId="2" borderId="2" xfId="0" applyNumberFormat="1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0" fontId="14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5" fontId="7" fillId="2" borderId="0" xfId="0" applyNumberFormat="1" applyFont="1" applyFill="1" applyBorder="1" applyAlignment="1" applyProtection="1">
      <alignment vertical="center"/>
      <protection hidden="1"/>
    </xf>
    <xf numFmtId="167" fontId="2" fillId="2" borderId="0" xfId="0" applyNumberFormat="1" applyFont="1" applyFill="1" applyBorder="1" applyAlignment="1" applyProtection="1">
      <alignment horizontal="right" vertical="center"/>
      <protection hidden="1"/>
    </xf>
    <xf numFmtId="167" fontId="7" fillId="2" borderId="0" xfId="0" applyNumberFormat="1" applyFont="1" applyFill="1" applyBorder="1" applyAlignment="1" applyProtection="1">
      <alignment horizontal="right" vertical="center"/>
      <protection hidden="1"/>
    </xf>
    <xf numFmtId="167" fontId="8" fillId="2" borderId="0" xfId="0" applyNumberFormat="1" applyFont="1" applyFill="1" applyAlignment="1" applyProtection="1">
      <alignment horizontal="right" vertical="center"/>
      <protection locked="0"/>
    </xf>
    <xf numFmtId="167" fontId="8" fillId="2" borderId="0" xfId="0" applyNumberFormat="1" applyFont="1" applyFill="1" applyBorder="1" applyAlignment="1" applyProtection="1">
      <alignment horizontal="right" vertical="center"/>
      <protection locked="0"/>
    </xf>
    <xf numFmtId="167" fontId="8" fillId="2" borderId="2" xfId="0" applyNumberFormat="1" applyFont="1" applyFill="1" applyBorder="1" applyAlignment="1" applyProtection="1">
      <alignment horizontal="right" vertical="center"/>
      <protection locked="0"/>
    </xf>
    <xf numFmtId="167" fontId="0" fillId="2" borderId="2" xfId="0" applyNumberFormat="1" applyFon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0" fillId="2" borderId="0" xfId="0" applyFill="1" applyBorder="1"/>
    <xf numFmtId="0" fontId="5" fillId="2" borderId="0" xfId="0" applyFont="1" applyFill="1" applyBorder="1" applyAlignment="1" applyProtection="1">
      <alignment horizontal="center" vertical="top"/>
      <protection hidden="1"/>
    </xf>
    <xf numFmtId="0" fontId="6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 applyProtection="1">
      <alignment horizontal="right" vertical="center"/>
      <protection hidden="1"/>
    </xf>
    <xf numFmtId="0" fontId="6" fillId="2" borderId="0" xfId="0" applyFont="1" applyFill="1" applyBorder="1" applyAlignment="1">
      <alignment vertical="center"/>
    </xf>
    <xf numFmtId="165" fontId="4" fillId="3" borderId="0" xfId="1" applyNumberFormat="1" applyFont="1" applyFill="1" applyBorder="1" applyAlignment="1">
      <alignment horizontal="right" vertical="center"/>
    </xf>
    <xf numFmtId="0" fontId="0" fillId="4" borderId="0" xfId="0" applyFill="1"/>
    <xf numFmtId="0" fontId="4" fillId="2" borderId="0" xfId="0" applyFont="1" applyFill="1" applyBorder="1" applyAlignment="1" applyProtection="1">
      <alignment horizontal="left" vertical="center"/>
      <protection hidden="1"/>
    </xf>
    <xf numFmtId="2" fontId="0" fillId="4" borderId="0" xfId="0" applyNumberFormat="1" applyFill="1"/>
    <xf numFmtId="0" fontId="4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top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</cellXfs>
  <cellStyles count="5">
    <cellStyle name="Comma 2" xfId="4"/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colors>
    <mruColors>
      <color rgb="FFFFFFC1"/>
      <color rgb="FFFFFFE5"/>
      <color rgb="FFFFF9E7"/>
      <color rgb="FFFFA86D"/>
      <color rgb="FFFF832F"/>
      <color rgb="FFFF6600"/>
      <color rgb="FFFF6161"/>
      <color rgb="FFFF0000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58167613768E-2"/>
          <c:y val="0.18192706643635631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FF9900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31.724655790384379</c:v>
                </c:pt>
                <c:pt idx="1">
                  <c:v>32.303043505129153</c:v>
                </c:pt>
                <c:pt idx="2">
                  <c:v>31.71394697812384</c:v>
                </c:pt>
                <c:pt idx="3">
                  <c:v>31.438455691509091</c:v>
                </c:pt>
                <c:pt idx="4">
                  <c:v>31.671394450624149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A0D-4640-A355-B24E7A19A9D4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26.749106723519962</c:v>
                </c:pt>
                <c:pt idx="1">
                  <c:v>25.297726201143536</c:v>
                </c:pt>
                <c:pt idx="2">
                  <c:v>26.321342232109746</c:v>
                </c:pt>
                <c:pt idx="3">
                  <c:v>25.654550426399705</c:v>
                </c:pt>
                <c:pt idx="4">
                  <c:v>26.130736311951548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A0D-4640-A355-B24E7A19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354160"/>
        <c:axId val="359354544"/>
      </c:barChart>
      <c:catAx>
        <c:axId val="35935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9354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5935454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9354160"/>
        <c:crosses val="autoZero"/>
        <c:crossBetween val="between"/>
      </c:valAx>
      <c:spPr>
        <a:solidFill>
          <a:srgbClr val="EAFAFA"/>
        </a:solidFill>
        <a:ln>
          <a:solidFill>
            <a:srgbClr val="33CCCC"/>
          </a:solidFill>
        </a:ln>
      </c:spPr>
    </c:plotArea>
    <c:legend>
      <c:legendPos val="r"/>
      <c:layout>
        <c:manualLayout>
          <c:xMode val="edge"/>
          <c:yMode val="edge"/>
          <c:x val="0.51880960110473318"/>
          <c:y val="0.18696320587349885"/>
          <c:w val="0.17055312793875702"/>
          <c:h val="8.4064875478884721E-2"/>
        </c:manualLayout>
      </c:layout>
      <c:overlay val="0"/>
      <c:spPr>
        <a:ln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1.3: Monthly maximum daily temperature by locality, 2020</a:t>
            </a:r>
          </a:p>
        </c:rich>
      </c:tx>
      <c:layout>
        <c:manualLayout>
          <c:xMode val="edge"/>
          <c:yMode val="edge"/>
          <c:x val="0.22220038001465045"/>
          <c:y val="1.9532611771654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2449448377574E-2"/>
          <c:y val="0.12803011815948456"/>
          <c:w val="0.92432739194075075"/>
          <c:h val="0.79400548741463428"/>
        </c:manualLayout>
      </c:layout>
      <c:lineChart>
        <c:grouping val="standard"/>
        <c:varyColors val="0"/>
        <c:ser>
          <c:idx val="0"/>
          <c:order val="0"/>
          <c:tx>
            <c:strRef>
              <c:f>'1.2'!$A$8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rgbClr val="1965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'1.2'!$C$5:$N$5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'1.2'!$C$8:$N$8</c:f>
              <c:numCache>
                <c:formatCode>0.0</c:formatCode>
                <c:ptCount val="12"/>
                <c:pt idx="0">
                  <c:v>31.238709677419362</c:v>
                </c:pt>
                <c:pt idx="1">
                  <c:v>31.679310344827591</c:v>
                </c:pt>
                <c:pt idx="2">
                  <c:v>32.21612903225806</c:v>
                </c:pt>
                <c:pt idx="3">
                  <c:v>32.673333333333332</c:v>
                </c:pt>
                <c:pt idx="4">
                  <c:v>31.9225806451613</c:v>
                </c:pt>
                <c:pt idx="5">
                  <c:v>32.20333333333334</c:v>
                </c:pt>
                <c:pt idx="6">
                  <c:v>31.661290322580644</c:v>
                </c:pt>
                <c:pt idx="7">
                  <c:v>31.893548387096768</c:v>
                </c:pt>
                <c:pt idx="8">
                  <c:v>31.196666666666662</c:v>
                </c:pt>
                <c:pt idx="9">
                  <c:v>31.158064516129034</c:v>
                </c:pt>
                <c:pt idx="10">
                  <c:v>31.54</c:v>
                </c:pt>
                <c:pt idx="11">
                  <c:v>31.312903225806455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F8E-4D4E-8DC3-128199FBB3EF}"/>
            </c:ext>
          </c:extLst>
        </c:ser>
        <c:ser>
          <c:idx val="1"/>
          <c:order val="1"/>
          <c:tx>
            <c:strRef>
              <c:f>'1.2'!$A$9</c:f>
              <c:strCache>
                <c:ptCount val="1"/>
                <c:pt idx="0">
                  <c:v>HDh.Hanimaadhoo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'1.2'!$C$5:$N$5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'1.2'!$C$9:$N$9</c:f>
              <c:numCache>
                <c:formatCode>0.0</c:formatCode>
                <c:ptCount val="12"/>
                <c:pt idx="0">
                  <c:v>31.706451612903223</c:v>
                </c:pt>
                <c:pt idx="1">
                  <c:v>32.282758620689663</c:v>
                </c:pt>
                <c:pt idx="2">
                  <c:v>33.112903225806448</c:v>
                </c:pt>
                <c:pt idx="3">
                  <c:v>33.803333333333335</c:v>
                </c:pt>
                <c:pt idx="4">
                  <c:v>32.890322580645162</c:v>
                </c:pt>
                <c:pt idx="5">
                  <c:v>32.299999999999997</c:v>
                </c:pt>
                <c:pt idx="6">
                  <c:v>31.977419354838709</c:v>
                </c:pt>
                <c:pt idx="7">
                  <c:v>31.977419354838709</c:v>
                </c:pt>
                <c:pt idx="8">
                  <c:v>31.736666666666665</c:v>
                </c:pt>
                <c:pt idx="9">
                  <c:v>32.20967741935484</c:v>
                </c:pt>
                <c:pt idx="10">
                  <c:v>31.926666666666666</c:v>
                </c:pt>
                <c:pt idx="11">
                  <c:v>31.712903225806453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F8E-4D4E-8DC3-128199FBB3EF}"/>
            </c:ext>
          </c:extLst>
        </c:ser>
        <c:ser>
          <c:idx val="2"/>
          <c:order val="2"/>
          <c:tx>
            <c:strRef>
              <c:f>'1.2'!$A$10</c:f>
              <c:strCache>
                <c:ptCount val="1"/>
                <c:pt idx="0">
                  <c:v>L.Kadhdhoo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'1.2'!$C$5:$N$5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'1.2'!$C$10:$N$10</c:f>
              <c:numCache>
                <c:formatCode>0.0</c:formatCode>
                <c:ptCount val="12"/>
                <c:pt idx="0">
                  <c:v>31.345161290322583</c:v>
                </c:pt>
                <c:pt idx="1">
                  <c:v>31.42413793103449</c:v>
                </c:pt>
                <c:pt idx="2">
                  <c:v>32.022580645161298</c:v>
                </c:pt>
                <c:pt idx="3">
                  <c:v>32.516666666666666</c:v>
                </c:pt>
                <c:pt idx="4">
                  <c:v>32.025806451612901</c:v>
                </c:pt>
                <c:pt idx="5">
                  <c:v>32.326666666666668</c:v>
                </c:pt>
                <c:pt idx="6">
                  <c:v>31.622580645161289</c:v>
                </c:pt>
                <c:pt idx="7">
                  <c:v>31.658064516129031</c:v>
                </c:pt>
                <c:pt idx="8">
                  <c:v>31.3</c:v>
                </c:pt>
                <c:pt idx="9">
                  <c:v>31.441935483870957</c:v>
                </c:pt>
                <c:pt idx="10">
                  <c:v>31.396666666666665</c:v>
                </c:pt>
                <c:pt idx="11">
                  <c:v>31.487096774193546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F8E-4D4E-8DC3-128199FBB3EF}"/>
            </c:ext>
          </c:extLst>
        </c:ser>
        <c:ser>
          <c:idx val="3"/>
          <c:order val="3"/>
          <c:tx>
            <c:strRef>
              <c:f>'1.2'!$A$11</c:f>
              <c:strCache>
                <c:ptCount val="1"/>
                <c:pt idx="0">
                  <c:v>GDh.Kaadedhdhoo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'1.2'!$C$5:$N$5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'1.2'!$C$11:$N$11</c:f>
              <c:numCache>
                <c:formatCode>0.0</c:formatCode>
                <c:ptCount val="12"/>
                <c:pt idx="0">
                  <c:v>31.358064516129037</c:v>
                </c:pt>
                <c:pt idx="1">
                  <c:v>31.382758620689653</c:v>
                </c:pt>
                <c:pt idx="2">
                  <c:v>31.870967741935491</c:v>
                </c:pt>
                <c:pt idx="3">
                  <c:v>31.933333333333337</c:v>
                </c:pt>
                <c:pt idx="4">
                  <c:v>31.619354838709686</c:v>
                </c:pt>
                <c:pt idx="5">
                  <c:v>31.749999999999996</c:v>
                </c:pt>
                <c:pt idx="6">
                  <c:v>31.532258064516128</c:v>
                </c:pt>
                <c:pt idx="7">
                  <c:v>31.829032258064519</c:v>
                </c:pt>
                <c:pt idx="8">
                  <c:v>31.100000000000005</c:v>
                </c:pt>
                <c:pt idx="9">
                  <c:v>31.258064516129032</c:v>
                </c:pt>
                <c:pt idx="10">
                  <c:v>30.65666666666667</c:v>
                </c:pt>
                <c:pt idx="11">
                  <c:v>30.970967741935489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BF8E-4D4E-8DC3-128199FBB3EF}"/>
            </c:ext>
          </c:extLst>
        </c:ser>
        <c:ser>
          <c:idx val="4"/>
          <c:order val="4"/>
          <c:tx>
            <c:strRef>
              <c:f>'1.2'!$A$12</c:f>
              <c:strCache>
                <c:ptCount val="1"/>
                <c:pt idx="0">
                  <c:v>S.Gan</c:v>
                </c:pt>
              </c:strCache>
            </c:strRef>
          </c:tx>
          <c:spPr>
            <a:ln w="28575" cap="rnd">
              <a:solidFill>
                <a:srgbClr val="24939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'1.2'!$C$5:$N$5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'1.2'!$C$12:$N$12</c:f>
              <c:numCache>
                <c:formatCode>0.0</c:formatCode>
                <c:ptCount val="12"/>
                <c:pt idx="0">
                  <c:v>31.393548387096775</c:v>
                </c:pt>
                <c:pt idx="1">
                  <c:v>31.731034482758613</c:v>
                </c:pt>
                <c:pt idx="2">
                  <c:v>32.232258064516131</c:v>
                </c:pt>
                <c:pt idx="3">
                  <c:v>32.06666666666667</c:v>
                </c:pt>
                <c:pt idx="4">
                  <c:v>31.464516129032255</c:v>
                </c:pt>
                <c:pt idx="5">
                  <c:v>31.953333333333333</c:v>
                </c:pt>
                <c:pt idx="6">
                  <c:v>31.767741935483865</c:v>
                </c:pt>
                <c:pt idx="7">
                  <c:v>31.754838709677419</c:v>
                </c:pt>
                <c:pt idx="8">
                  <c:v>31.35</c:v>
                </c:pt>
                <c:pt idx="9">
                  <c:v>31.838709677419356</c:v>
                </c:pt>
                <c:pt idx="10">
                  <c:v>31.026666666666664</c:v>
                </c:pt>
                <c:pt idx="11">
                  <c:v>31.477419354838709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F8E-4D4E-8DC3-128199FBB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084336"/>
        <c:axId val="331076888"/>
      </c:lineChart>
      <c:catAx>
        <c:axId val="33108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76888"/>
        <c:crosses val="autoZero"/>
        <c:auto val="1"/>
        <c:lblAlgn val="ctr"/>
        <c:lblOffset val="100"/>
        <c:noMultiLvlLbl val="0"/>
      </c:catAx>
      <c:valAx>
        <c:axId val="331076888"/>
        <c:scaling>
          <c:orientation val="minMax"/>
          <c:max val="34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84336"/>
        <c:crosses val="autoZero"/>
        <c:crossBetween val="between"/>
      </c:valAx>
      <c:spPr>
        <a:solidFill>
          <a:srgbClr val="EAFAFA"/>
        </a:solidFill>
        <a:ln>
          <a:solidFill>
            <a:srgbClr val="33CCCC"/>
          </a:solidFill>
        </a:ln>
        <a:effectLst/>
      </c:spPr>
    </c:plotArea>
    <c:legend>
      <c:legendPos val="b"/>
      <c:layout>
        <c:manualLayout>
          <c:xMode val="edge"/>
          <c:yMode val="edge"/>
          <c:x val="0.10807693954727704"/>
          <c:y val="0.79462612222800966"/>
          <c:w val="0.83220536488885555"/>
          <c:h val="6.281580285699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31083160"/>
        <c:axId val="33107963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083552"/>
        <c:axId val="331080416"/>
      </c:lineChart>
      <c:catAx>
        <c:axId val="33108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79632"/>
        <c:crosses val="autoZero"/>
        <c:auto val="1"/>
        <c:lblAlgn val="ctr"/>
        <c:lblOffset val="100"/>
        <c:noMultiLvlLbl val="0"/>
      </c:catAx>
      <c:valAx>
        <c:axId val="33107963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83160"/>
        <c:crosses val="autoZero"/>
        <c:crossBetween val="between"/>
      </c:valAx>
      <c:valAx>
        <c:axId val="331080416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83552"/>
        <c:crosses val="max"/>
        <c:crossBetween val="between"/>
      </c:valAx>
      <c:catAx>
        <c:axId val="331083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1080416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76926</xdr:rowOff>
    </xdr:from>
    <xdr:to>
      <xdr:col>14</xdr:col>
      <xdr:colOff>266700</xdr:colOff>
      <xdr:row>40</xdr:row>
      <xdr:rowOff>136071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828675</xdr:colOff>
      <xdr:row>42</xdr:row>
      <xdr:rowOff>104775</xdr:rowOff>
    </xdr:from>
    <xdr:to>
      <xdr:col>14</xdr:col>
      <xdr:colOff>325211</xdr:colOff>
      <xdr:row>62</xdr:row>
      <xdr:rowOff>138793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0.13031</cdr:x>
      <cdr:y>0.05198</cdr:y>
    </cdr:from>
    <cdr:to>
      <cdr:x>0.89834</cdr:x>
      <cdr:y>0.12954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532" y="175772"/>
          <a:ext cx="6409754" cy="2622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Figure</a:t>
          </a: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1.2: Yearly Average of daily maximum and minimum temperature, 2020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0.44613</cdr:x>
      <cdr:y>0.25206</cdr:y>
    </cdr:from>
    <cdr:to>
      <cdr:x>0.97214</cdr:x>
      <cdr:y>0.37502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740063" y="983343"/>
          <a:ext cx="4409709" cy="4796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0" i="1">
              <a:solidFill>
                <a:schemeClr val="tx1"/>
              </a:solidFill>
              <a:latin typeface="Consolas" panose="020B0609020204030204" pitchFamily="49" charset="0"/>
            </a:rPr>
            <a:t>The highest</a:t>
          </a:r>
          <a:r>
            <a:rPr lang="en-US" sz="1100" b="0" i="1" baseline="0">
              <a:solidFill>
                <a:schemeClr val="tx1"/>
              </a:solidFill>
              <a:latin typeface="Consolas" panose="020B0609020204030204" pitchFamily="49" charset="0"/>
            </a:rPr>
            <a:t> temprature recorded in Maldives was 33.8 </a:t>
          </a:r>
          <a:r>
            <a:rPr lang="en-US" sz="1100" b="0" i="1" baseline="30000">
              <a:solidFill>
                <a:schemeClr val="tx1"/>
              </a:solidFill>
              <a:latin typeface="Consolas" panose="020B0609020204030204" pitchFamily="49" charset="0"/>
            </a:rPr>
            <a:t>0</a:t>
          </a:r>
          <a:r>
            <a:rPr lang="en-US" sz="1100" b="0" i="1" baseline="0">
              <a:solidFill>
                <a:schemeClr val="tx1"/>
              </a:solidFill>
              <a:latin typeface="Consolas" panose="020B0609020204030204" pitchFamily="49" charset="0"/>
            </a:rPr>
            <a:t>C on April 2020 at HDh.Hanimadhoo</a:t>
          </a:r>
          <a:endParaRPr lang="en-US" sz="1100" b="0" i="1">
            <a:solidFill>
              <a:schemeClr val="tx1"/>
            </a:solidFill>
            <a:latin typeface="Consolas" panose="020B0609020204030204" pitchFamily="49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/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/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abSelected="1" zoomScale="118" zoomScaleNormal="118" workbookViewId="0">
      <selection activeCell="R14" sqref="R14"/>
    </sheetView>
  </sheetViews>
  <sheetFormatPr defaultColWidth="8.85546875" defaultRowHeight="15"/>
  <cols>
    <col min="1" max="1" width="18.140625" style="25" customWidth="1"/>
    <col min="2" max="14" width="8.85546875" style="25"/>
    <col min="15" max="15" width="19.5703125" style="25" customWidth="1"/>
    <col min="16" max="16384" width="8.85546875" style="25"/>
  </cols>
  <sheetData>
    <row r="1" spans="1:37" s="1" customFormat="1" ht="18">
      <c r="A1" s="48" t="s">
        <v>48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37" s="5" customFormat="1" ht="15.75">
      <c r="A2" s="49" t="s">
        <v>49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37" s="5" customForma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37" s="1" customFormat="1" ht="15.75" customHeight="1">
      <c r="A4" s="50" t="s">
        <v>0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 t="s">
        <v>33</v>
      </c>
      <c r="N4" s="8" t="s">
        <v>34</v>
      </c>
      <c r="O4" s="8" t="s">
        <v>35</v>
      </c>
    </row>
    <row r="5" spans="1:37" s="4" customFormat="1" ht="24.75" customHeight="1">
      <c r="A5" s="51"/>
      <c r="B5" s="9" t="s">
        <v>36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8"/>
    </row>
    <row r="6" spans="1:37" s="4" customFormat="1" ht="12.75">
      <c r="A6" s="45"/>
      <c r="B6" s="11"/>
      <c r="C6" s="12"/>
      <c r="D6" s="12"/>
      <c r="E6" s="12"/>
      <c r="F6" s="12"/>
      <c r="G6" s="12"/>
      <c r="H6" s="12"/>
      <c r="I6" s="12"/>
      <c r="J6" s="13"/>
      <c r="K6" s="13"/>
      <c r="L6" s="13"/>
      <c r="M6" s="13"/>
      <c r="N6" s="13"/>
      <c r="O6" s="14"/>
    </row>
    <row r="7" spans="1:37" s="4" customFormat="1" ht="19.5" customHeight="1">
      <c r="A7" s="15" t="s">
        <v>37</v>
      </c>
      <c r="B7" s="16"/>
      <c r="C7" s="16"/>
      <c r="D7" s="16"/>
      <c r="E7" s="16"/>
      <c r="F7" s="16"/>
      <c r="G7" s="16"/>
      <c r="H7" s="16"/>
      <c r="I7" s="16"/>
      <c r="K7" s="8"/>
      <c r="L7" s="8"/>
      <c r="M7" s="8"/>
      <c r="N7" s="8"/>
      <c r="O7" s="8" t="s">
        <v>38</v>
      </c>
    </row>
    <row r="8" spans="1:37" s="1" customFormat="1" ht="22.9" customHeight="1">
      <c r="A8" s="17" t="s">
        <v>1</v>
      </c>
      <c r="B8" s="18">
        <f>AVERAGE(C8:N8)</f>
        <v>31.724655790384379</v>
      </c>
      <c r="C8" s="32">
        <v>31.238709677419362</v>
      </c>
      <c r="D8" s="32">
        <v>31.679310344827591</v>
      </c>
      <c r="E8" s="32">
        <v>32.21612903225806</v>
      </c>
      <c r="F8" s="32">
        <v>32.673333333333332</v>
      </c>
      <c r="G8" s="32">
        <v>31.9225806451613</v>
      </c>
      <c r="H8" s="32">
        <v>32.20333333333334</v>
      </c>
      <c r="I8" s="32">
        <v>31.661290322580644</v>
      </c>
      <c r="J8" s="32">
        <v>31.893548387096768</v>
      </c>
      <c r="K8" s="32">
        <v>31.196666666666662</v>
      </c>
      <c r="L8" s="32">
        <v>31.158064516129034</v>
      </c>
      <c r="M8" s="32">
        <v>31.54</v>
      </c>
      <c r="N8" s="32">
        <v>31.312903225806455</v>
      </c>
      <c r="O8" s="8" t="s">
        <v>2</v>
      </c>
    </row>
    <row r="9" spans="1:37" s="1" customFormat="1" ht="22.9" customHeight="1">
      <c r="A9" s="17" t="s">
        <v>4</v>
      </c>
      <c r="B9" s="18">
        <f>AVERAGE(C9:N9)</f>
        <v>32.303043505129153</v>
      </c>
      <c r="C9" s="32">
        <v>31.706451612903223</v>
      </c>
      <c r="D9" s="32">
        <v>32.282758620689663</v>
      </c>
      <c r="E9" s="32">
        <v>33.112903225806448</v>
      </c>
      <c r="F9" s="32">
        <v>33.803333333333335</v>
      </c>
      <c r="G9" s="32">
        <v>32.890322580645162</v>
      </c>
      <c r="H9" s="32">
        <v>32.299999999999997</v>
      </c>
      <c r="I9" s="32">
        <v>31.977419354838709</v>
      </c>
      <c r="J9" s="32">
        <v>31.977419354838709</v>
      </c>
      <c r="K9" s="32">
        <v>31.736666666666665</v>
      </c>
      <c r="L9" s="32">
        <v>32.20967741935484</v>
      </c>
      <c r="M9" s="32">
        <v>31.926666666666666</v>
      </c>
      <c r="N9" s="32">
        <v>31.712903225806453</v>
      </c>
      <c r="O9" s="8" t="s">
        <v>5</v>
      </c>
    </row>
    <row r="10" spans="1:37" s="1" customFormat="1" ht="22.9" customHeight="1">
      <c r="A10" s="17" t="s">
        <v>6</v>
      </c>
      <c r="B10" s="18">
        <f>AVERAGE(C10:N10)</f>
        <v>31.71394697812384</v>
      </c>
      <c r="C10" s="32">
        <v>31.345161290322583</v>
      </c>
      <c r="D10" s="32">
        <v>31.42413793103449</v>
      </c>
      <c r="E10" s="32">
        <v>32.022580645161298</v>
      </c>
      <c r="F10" s="32">
        <v>32.516666666666666</v>
      </c>
      <c r="G10" s="32">
        <v>32.025806451612901</v>
      </c>
      <c r="H10" s="32">
        <v>32.326666666666668</v>
      </c>
      <c r="I10" s="32">
        <v>31.622580645161289</v>
      </c>
      <c r="J10" s="32">
        <v>31.658064516129031</v>
      </c>
      <c r="K10" s="32">
        <v>31.3</v>
      </c>
      <c r="L10" s="32">
        <v>31.441935483870957</v>
      </c>
      <c r="M10" s="32">
        <v>31.396666666666665</v>
      </c>
      <c r="N10" s="32">
        <v>31.487096774193546</v>
      </c>
      <c r="O10" s="8" t="s">
        <v>39</v>
      </c>
    </row>
    <row r="11" spans="1:37" s="1" customFormat="1" ht="22.9" customHeight="1">
      <c r="A11" s="17" t="s">
        <v>7</v>
      </c>
      <c r="B11" s="18">
        <f>AVERAGE(C11:N11)</f>
        <v>31.438455691509091</v>
      </c>
      <c r="C11" s="32">
        <v>31.358064516129037</v>
      </c>
      <c r="D11" s="32">
        <v>31.382758620689653</v>
      </c>
      <c r="E11" s="32">
        <v>31.870967741935491</v>
      </c>
      <c r="F11" s="32">
        <v>31.933333333333337</v>
      </c>
      <c r="G11" s="32">
        <v>31.619354838709686</v>
      </c>
      <c r="H11" s="32">
        <v>31.749999999999996</v>
      </c>
      <c r="I11" s="32">
        <v>31.532258064516128</v>
      </c>
      <c r="J11" s="32">
        <v>31.829032258064519</v>
      </c>
      <c r="K11" s="32">
        <v>31.100000000000005</v>
      </c>
      <c r="L11" s="32">
        <v>31.258064516129032</v>
      </c>
      <c r="M11" s="32">
        <v>30.65666666666667</v>
      </c>
      <c r="N11" s="32">
        <v>30.970967741935489</v>
      </c>
      <c r="O11" s="8" t="s">
        <v>40</v>
      </c>
    </row>
    <row r="12" spans="1:37" s="1" customFormat="1" ht="22.9" customHeight="1">
      <c r="A12" s="17" t="s">
        <v>3</v>
      </c>
      <c r="B12" s="18">
        <f>AVERAGE(C12:N12)</f>
        <v>31.671394450624149</v>
      </c>
      <c r="C12" s="33">
        <v>31.393548387096775</v>
      </c>
      <c r="D12" s="32">
        <v>31.731034482758613</v>
      </c>
      <c r="E12" s="32">
        <v>32.232258064516131</v>
      </c>
      <c r="F12" s="32">
        <v>32.06666666666667</v>
      </c>
      <c r="G12" s="32">
        <v>31.464516129032255</v>
      </c>
      <c r="H12" s="32">
        <v>31.953333333333333</v>
      </c>
      <c r="I12" s="32">
        <v>31.767741935483865</v>
      </c>
      <c r="J12" s="32">
        <v>31.754838709677419</v>
      </c>
      <c r="K12" s="32">
        <v>31.35</v>
      </c>
      <c r="L12" s="32">
        <v>31.838709677419356</v>
      </c>
      <c r="M12" s="32">
        <v>31.026666666666664</v>
      </c>
      <c r="N12" s="32">
        <v>31.477419354838709</v>
      </c>
      <c r="O12" s="8" t="s">
        <v>41</v>
      </c>
    </row>
    <row r="13" spans="1:37" s="1" customFormat="1" ht="19.5" customHeight="1">
      <c r="A13" s="15" t="s">
        <v>42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8" t="s">
        <v>43</v>
      </c>
    </row>
    <row r="14" spans="1:37" s="1" customFormat="1" ht="22.9" customHeight="1">
      <c r="A14" s="17" t="s">
        <v>1</v>
      </c>
      <c r="B14" s="18">
        <f>AVERAGE(C14:N14)</f>
        <v>26.749106723519962</v>
      </c>
      <c r="C14" s="32">
        <v>26.964516129032301</v>
      </c>
      <c r="D14" s="32">
        <v>27.26551724137931</v>
      </c>
      <c r="E14" s="32">
        <v>27.299999999999997</v>
      </c>
      <c r="F14" s="32">
        <v>27.630000000000003</v>
      </c>
      <c r="G14" s="32">
        <v>27.087096774193544</v>
      </c>
      <c r="H14" s="32">
        <v>26.90333333333334</v>
      </c>
      <c r="I14" s="32">
        <v>26.161290322580641</v>
      </c>
      <c r="J14" s="32">
        <v>26.861290322580651</v>
      </c>
      <c r="K14" s="32">
        <v>26.280000000000005</v>
      </c>
      <c r="L14" s="32">
        <v>25.961290322580648</v>
      </c>
      <c r="M14" s="32">
        <v>26.323333333333334</v>
      </c>
      <c r="N14" s="32">
        <v>26.251612903225798</v>
      </c>
      <c r="O14" s="8" t="s">
        <v>2</v>
      </c>
    </row>
    <row r="15" spans="1:37" s="1" customFormat="1" ht="22.9" customHeight="1">
      <c r="A15" s="17" t="s">
        <v>4</v>
      </c>
      <c r="B15" s="18">
        <f>AVERAGE(C15:N15)</f>
        <v>25.297726201143536</v>
      </c>
      <c r="C15" s="32">
        <v>23.803225806451611</v>
      </c>
      <c r="D15" s="32">
        <v>25.446428571428573</v>
      </c>
      <c r="E15" s="32">
        <v>25.564516129032253</v>
      </c>
      <c r="F15" s="32">
        <v>26.874027777777783</v>
      </c>
      <c r="G15" s="32">
        <v>25.770967741935486</v>
      </c>
      <c r="H15" s="32">
        <v>25.01</v>
      </c>
      <c r="I15" s="32">
        <v>25.545161290322579</v>
      </c>
      <c r="J15" s="32">
        <v>25.877419354838707</v>
      </c>
      <c r="K15" s="32">
        <v>25.376666666666665</v>
      </c>
      <c r="L15" s="32">
        <v>24.58064516129032</v>
      </c>
      <c r="M15" s="32">
        <v>25.233333333333331</v>
      </c>
      <c r="N15" s="32">
        <v>24.490322580645159</v>
      </c>
      <c r="O15" s="8" t="s">
        <v>5</v>
      </c>
    </row>
    <row r="16" spans="1:37" s="1" customFormat="1" ht="22.9" customHeight="1">
      <c r="A16" s="17" t="s">
        <v>6</v>
      </c>
      <c r="B16" s="18">
        <f>AVERAGE(C16:N16)</f>
        <v>26.321342232109746</v>
      </c>
      <c r="C16" s="32">
        <v>26.9</v>
      </c>
      <c r="D16" s="32">
        <v>26.889655172413796</v>
      </c>
      <c r="E16" s="32">
        <v>26.577419354838714</v>
      </c>
      <c r="F16" s="32">
        <v>26.826666666666661</v>
      </c>
      <c r="G16" s="32">
        <v>26.5</v>
      </c>
      <c r="H16" s="32">
        <v>26.646666666666658</v>
      </c>
      <c r="I16" s="32">
        <v>26.032258064516121</v>
      </c>
      <c r="J16" s="32">
        <v>26.235483870967744</v>
      </c>
      <c r="K16" s="32">
        <v>25.91</v>
      </c>
      <c r="L16" s="32">
        <v>25.86129032258064</v>
      </c>
      <c r="M16" s="32">
        <v>25.576666666666664</v>
      </c>
      <c r="N16" s="32">
        <v>25.899999999999995</v>
      </c>
      <c r="O16" s="8" t="s">
        <v>39</v>
      </c>
      <c r="AJ16" s="20" t="s">
        <v>44</v>
      </c>
      <c r="AK16" s="20" t="s">
        <v>45</v>
      </c>
    </row>
    <row r="17" spans="1:37" s="1" customFormat="1" ht="22.9" customHeight="1">
      <c r="A17" s="17" t="s">
        <v>7</v>
      </c>
      <c r="B17" s="18">
        <f>AVERAGE(C17:N17)</f>
        <v>25.654550426399705</v>
      </c>
      <c r="C17" s="32">
        <v>26.090322580645168</v>
      </c>
      <c r="D17" s="32">
        <v>26.641379310344831</v>
      </c>
      <c r="E17" s="32">
        <v>25.964516129032262</v>
      </c>
      <c r="F17" s="32">
        <v>25.643333333333334</v>
      </c>
      <c r="G17" s="32">
        <v>25.583870967741937</v>
      </c>
      <c r="H17" s="32">
        <v>25.26</v>
      </c>
      <c r="I17" s="32">
        <v>25.748387096774195</v>
      </c>
      <c r="J17" s="32">
        <v>25.464516129032262</v>
      </c>
      <c r="K17" s="32">
        <v>25.519999999999996</v>
      </c>
      <c r="L17" s="32">
        <v>25.767741935483869</v>
      </c>
      <c r="M17" s="32">
        <v>24.786666666666669</v>
      </c>
      <c r="N17" s="32">
        <v>25.383870967741931</v>
      </c>
      <c r="O17" s="8" t="s">
        <v>40</v>
      </c>
      <c r="AH17" s="3" t="s">
        <v>1</v>
      </c>
      <c r="AJ17" s="18">
        <f>B8</f>
        <v>31.724655790384379</v>
      </c>
      <c r="AK17" s="18">
        <f>B14</f>
        <v>26.749106723519962</v>
      </c>
    </row>
    <row r="18" spans="1:37" s="1" customFormat="1" ht="22.9" customHeight="1">
      <c r="A18" s="21" t="s">
        <v>3</v>
      </c>
      <c r="B18" s="22">
        <f>AVERAGE(C18:N18)</f>
        <v>26.130736311951548</v>
      </c>
      <c r="C18" s="34">
        <v>26.21612903225807</v>
      </c>
      <c r="D18" s="35">
        <v>26.858620689655176</v>
      </c>
      <c r="E18" s="34">
        <v>27.016129032258075</v>
      </c>
      <c r="F18" s="34">
        <v>25.993333333333329</v>
      </c>
      <c r="G18" s="34">
        <v>25.85483870967742</v>
      </c>
      <c r="H18" s="34">
        <v>26.166666666666668</v>
      </c>
      <c r="I18" s="34">
        <v>25.92258064516129</v>
      </c>
      <c r="J18" s="34">
        <v>26.154838709677417</v>
      </c>
      <c r="K18" s="34">
        <v>25.750000000000004</v>
      </c>
      <c r="L18" s="34">
        <v>26.309677419354831</v>
      </c>
      <c r="M18" s="34">
        <v>25.306666666666672</v>
      </c>
      <c r="N18" s="34">
        <v>26.019354838709678</v>
      </c>
      <c r="O18" s="36" t="s">
        <v>41</v>
      </c>
      <c r="AH18" s="3" t="s">
        <v>4</v>
      </c>
      <c r="AJ18" s="18">
        <f>B9</f>
        <v>32.303043505129153</v>
      </c>
      <c r="AK18" s="18">
        <f>B15</f>
        <v>25.297726201143536</v>
      </c>
    </row>
    <row r="19" spans="1:37" s="1" customFormat="1" ht="14.25" customHeight="1">
      <c r="A19" s="2" t="s">
        <v>20</v>
      </c>
      <c r="B19" s="23"/>
      <c r="O19" s="37" t="s">
        <v>21</v>
      </c>
      <c r="AH19" s="3" t="s">
        <v>6</v>
      </c>
      <c r="AJ19" s="18">
        <f>B10</f>
        <v>31.71394697812384</v>
      </c>
      <c r="AK19" s="18">
        <f>B16</f>
        <v>26.321342232109746</v>
      </c>
    </row>
    <row r="20" spans="1:37" s="1" customFormat="1">
      <c r="A20" s="2"/>
      <c r="B20" s="23"/>
      <c r="O20" s="24"/>
      <c r="AH20" s="3" t="s">
        <v>7</v>
      </c>
      <c r="AJ20" s="18">
        <f>B11</f>
        <v>31.438455691509091</v>
      </c>
      <c r="AK20" s="18">
        <f>B17</f>
        <v>25.654550426399705</v>
      </c>
    </row>
    <row r="21" spans="1:37">
      <c r="AH21" s="3" t="s">
        <v>3</v>
      </c>
      <c r="AI21" s="1"/>
      <c r="AJ21" s="18">
        <f>B12</f>
        <v>31.671394450624149</v>
      </c>
      <c r="AK21" s="18">
        <f>B18</f>
        <v>26.130736311951548</v>
      </c>
    </row>
    <row r="22" spans="1:37">
      <c r="AH22" s="26"/>
      <c r="AI22" s="1"/>
      <c r="AJ22" s="1"/>
      <c r="AK22" s="1"/>
    </row>
    <row r="24" spans="1:37" s="1" customFormat="1" ht="12.75">
      <c r="A24" s="2"/>
      <c r="B24" s="23"/>
      <c r="O24" s="24"/>
    </row>
    <row r="25" spans="1:37" s="1" customFormat="1" ht="12.75"/>
    <row r="26" spans="1:37" s="1" customFormat="1" ht="12.75">
      <c r="A26" s="27"/>
    </row>
    <row r="27" spans="1:37" s="1" customFormat="1" ht="12.75">
      <c r="A27" s="27"/>
      <c r="B27" s="28"/>
    </row>
    <row r="28" spans="1:37" s="1" customFormat="1" ht="12.75">
      <c r="A28" s="3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>
      <c r="A29" s="3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>
      <c r="A30" s="3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Q30" s="4"/>
    </row>
    <row r="31" spans="1:37" s="1" customFormat="1" ht="12.75">
      <c r="A31" s="3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>
      <c r="A32" s="3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6"/>
    </row>
    <row r="33" spans="1:14" s="1" customFormat="1" ht="12.75">
      <c r="A33" s="3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>
      <c r="A34" s="3"/>
    </row>
    <row r="35" spans="1:14" s="1" customFormat="1" ht="12.75">
      <c r="A35" s="3"/>
      <c r="B35" s="28"/>
    </row>
    <row r="36" spans="1:14" s="1" customFormat="1" ht="12.75">
      <c r="A36" s="3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>
      <c r="A37" s="3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>
      <c r="A38" s="3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>
      <c r="A39" s="3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>
      <c r="A40" s="3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/>
    <row r="42" spans="1:14" s="1" customFormat="1" ht="12.75"/>
    <row r="43" spans="1:14" s="1" customFormat="1" ht="12.75"/>
    <row r="44" spans="1:14" s="1" customFormat="1" ht="12.75"/>
    <row r="51" spans="1:1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</row>
    <row r="52" spans="1:1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</row>
    <row r="53" spans="1:15" ht="18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</row>
    <row r="54" spans="1:15" ht="15.7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1:1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 spans="1:15" ht="15.75">
      <c r="A56" s="47"/>
      <c r="B56" s="7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spans="1:15" ht="15.75">
      <c r="A57" s="47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40"/>
    </row>
    <row r="58" spans="1:15">
      <c r="A58" s="45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41"/>
    </row>
    <row r="59" spans="1:15" ht="15.75">
      <c r="A59" s="15"/>
      <c r="B59" s="16"/>
      <c r="C59" s="16"/>
      <c r="D59" s="16"/>
      <c r="E59" s="16"/>
      <c r="F59" s="16"/>
      <c r="G59" s="16"/>
      <c r="H59" s="16"/>
      <c r="I59" s="16"/>
      <c r="J59" s="42"/>
      <c r="K59" s="40"/>
      <c r="L59" s="40"/>
      <c r="M59" s="40"/>
      <c r="N59" s="40"/>
      <c r="O59" s="40"/>
    </row>
    <row r="60" spans="1:15" ht="15.75">
      <c r="A60" s="17"/>
      <c r="B60" s="18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40"/>
    </row>
    <row r="61" spans="1:15" ht="15.75">
      <c r="A61" s="17"/>
      <c r="B61" s="18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40"/>
    </row>
    <row r="62" spans="1:15" ht="15.75">
      <c r="A62" s="17"/>
      <c r="B62" s="18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40"/>
    </row>
    <row r="63" spans="1:15" ht="15.75">
      <c r="A63" s="17"/>
      <c r="B63" s="18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40"/>
    </row>
    <row r="64" spans="1:15" ht="15.75">
      <c r="A64" s="17"/>
      <c r="B64" s="18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40"/>
    </row>
    <row r="65" spans="1:15" ht="15.75">
      <c r="A65" s="15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40"/>
    </row>
    <row r="66" spans="1:15" ht="15.75">
      <c r="A66" s="17"/>
      <c r="B66" s="18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40"/>
    </row>
    <row r="67" spans="1:15" ht="15.75">
      <c r="A67" s="17"/>
      <c r="B67" s="18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40"/>
    </row>
  </sheetData>
  <protectedRanges>
    <protectedRange sqref="C13:N13 M7:N7 C7:I7 K7 C65:N65 M59:N59 C59:I59 K59" name="Range1_1"/>
    <protectedRange sqref="C8:N12 C60:N64" name="Range1_1_1_1_1"/>
    <protectedRange sqref="C14:N17 C66:N67" name="Range1_1_2_1_1"/>
  </protectedRanges>
  <mergeCells count="6">
    <mergeCell ref="A56:A57"/>
    <mergeCell ref="A1:O1"/>
    <mergeCell ref="A2:O2"/>
    <mergeCell ref="A4:A5"/>
    <mergeCell ref="A53:O53"/>
    <mergeCell ref="A54:O5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 C60:N67">
      <formula1>0</formula1>
      <formula2>1000</formula2>
    </dataValidation>
  </dataValidations>
  <pageMargins left="0.7" right="0.7" top="0.75" bottom="0.75" header="0.3" footer="0.3"/>
  <pageSetup scale="55" orientation="portrait" horizontalDpi="4294967295" verticalDpi="4294967295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U49"/>
  <sheetViews>
    <sheetView topLeftCell="G1" zoomScale="84" zoomScaleNormal="84" workbookViewId="0">
      <selection activeCell="AI29" sqref="AI29"/>
    </sheetView>
  </sheetViews>
  <sheetFormatPr defaultRowHeight="15"/>
  <sheetData>
    <row r="3" spans="8:21">
      <c r="J3" t="s">
        <v>47</v>
      </c>
      <c r="K3" t="s">
        <v>46</v>
      </c>
    </row>
    <row r="4" spans="8:21">
      <c r="H4">
        <v>1</v>
      </c>
      <c r="I4">
        <v>1975</v>
      </c>
      <c r="J4">
        <v>2774.0000000000005</v>
      </c>
      <c r="K4">
        <v>2202.0000000000005</v>
      </c>
    </row>
    <row r="5" spans="8:21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3">
        <v>2204.6999999999998</v>
      </c>
      <c r="T12">
        <v>2009</v>
      </c>
      <c r="U12">
        <v>2896.6</v>
      </c>
    </row>
    <row r="13" spans="8:21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>
      <c r="H45">
        <v>42</v>
      </c>
      <c r="I45">
        <v>2016</v>
      </c>
      <c r="J45">
        <v>2763.8999999999996</v>
      </c>
      <c r="K45" s="43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>
      <c r="H49">
        <v>46</v>
      </c>
      <c r="I49">
        <v>2020</v>
      </c>
      <c r="J49" s="46">
        <v>2732</v>
      </c>
      <c r="K49" s="44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1.2</vt:lpstr>
      <vt:lpstr>Sheet1</vt:lpstr>
      <vt:lpstr>'1.2'!Print_Area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2021-06-11T15:42:49Z</cp:lastPrinted>
  <dcterms:created xsi:type="dcterms:W3CDTF">2019-04-10T06:39:10Z</dcterms:created>
  <dcterms:modified xsi:type="dcterms:W3CDTF">2021-06-11T15:43:15Z</dcterms:modified>
</cp:coreProperties>
</file>