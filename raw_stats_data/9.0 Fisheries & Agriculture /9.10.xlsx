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9. Fisheries and Agriculture\"/>
    </mc:Choice>
  </mc:AlternateContent>
  <bookViews>
    <workbookView xWindow="0" yWindow="0" windowWidth="28800" windowHeight="11730" tabRatio="831"/>
  </bookViews>
  <sheets>
    <sheet name="9.10" sheetId="10" r:id="rId1"/>
  </sheets>
  <externalReferences>
    <externalReference r:id="rId2"/>
  </externalReferences>
  <definedNames>
    <definedName name="_xlnm.Print_Area" localSheetId="0">'9.10'!$A$1:$I$64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2" i="10" l="1"/>
  <c r="E62" i="10"/>
  <c r="F61" i="10"/>
  <c r="E61" i="10"/>
  <c r="F60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H41" i="10"/>
  <c r="H39" i="10" s="1"/>
  <c r="G41" i="10"/>
  <c r="G39" i="10" s="1"/>
  <c r="C41" i="10"/>
  <c r="B41" i="10"/>
  <c r="E41" i="10" s="1"/>
  <c r="E39" i="10" s="1"/>
  <c r="I39" i="10"/>
  <c r="D39" i="10"/>
  <c r="F30" i="10"/>
  <c r="E30" i="10"/>
  <c r="F29" i="10"/>
  <c r="E29" i="10"/>
  <c r="E28" i="10"/>
  <c r="E27" i="10"/>
  <c r="F26" i="10"/>
  <c r="E26" i="10"/>
  <c r="F25" i="10"/>
  <c r="E25" i="10"/>
  <c r="F24" i="10"/>
  <c r="E24" i="10"/>
  <c r="F23" i="10"/>
  <c r="E23" i="10"/>
  <c r="F22" i="10"/>
  <c r="E22" i="10"/>
  <c r="E21" i="10"/>
  <c r="F20" i="10"/>
  <c r="E20" i="10"/>
  <c r="F19" i="10"/>
  <c r="E19" i="10"/>
  <c r="F18" i="10"/>
  <c r="E18" i="10"/>
  <c r="E17" i="10"/>
  <c r="E16" i="10"/>
  <c r="E15" i="10"/>
  <c r="F14" i="10"/>
  <c r="E14" i="10"/>
  <c r="E13" i="10"/>
  <c r="E12" i="10"/>
  <c r="E11" i="10"/>
  <c r="H9" i="10"/>
  <c r="H7" i="10" s="1"/>
  <c r="G9" i="10"/>
  <c r="G7" i="10" s="1"/>
  <c r="C9" i="10"/>
  <c r="F9" i="10" s="1"/>
  <c r="F7" i="10" s="1"/>
  <c r="B9" i="10"/>
  <c r="B7" i="10" s="1"/>
  <c r="F41" i="10" l="1"/>
  <c r="F39" i="10" s="1"/>
  <c r="B39" i="10"/>
  <c r="C7" i="10"/>
  <c r="C39" i="10"/>
  <c r="E9" i="10"/>
  <c r="E7" i="10" s="1"/>
</calcChain>
</file>

<file path=xl/sharedStrings.xml><?xml version="1.0" encoding="utf-8"?>
<sst xmlns="http://schemas.openxmlformats.org/spreadsheetml/2006/main" count="84" uniqueCount="39">
  <si>
    <t>Republic</t>
  </si>
  <si>
    <t>Male'</t>
  </si>
  <si>
    <t>Atolls</t>
  </si>
  <si>
    <t>Longline</t>
  </si>
  <si>
    <t xml:space="preserve"> HA</t>
  </si>
  <si>
    <t xml:space="preserve"> HDh</t>
  </si>
  <si>
    <t xml:space="preserve"> Sh</t>
  </si>
  <si>
    <t>S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</si>
  <si>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</si>
  <si>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</si>
  <si>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</si>
  <si>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</si>
  <si>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</si>
  <si>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</si>
  <si>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</si>
  <si>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</si>
  <si>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</si>
  <si>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</si>
  <si>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</si>
  <si>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</si>
  <si>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</si>
  <si>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</si>
  <si>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</si>
  <si>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</si>
  <si>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Locality</t>
  </si>
  <si>
    <t>Other vessels</t>
  </si>
  <si>
    <t>Longline vessels</t>
  </si>
  <si>
    <t>Mechanised</t>
  </si>
  <si>
    <t xml:space="preserve"> AA</t>
  </si>
  <si>
    <t>Fish Catch (metric tonnes)</t>
  </si>
  <si>
    <t>Catch per unit effort (metric tonnes)</t>
  </si>
  <si>
    <t>Fishing Trips</t>
  </si>
  <si>
    <t>Longline Vessels</t>
  </si>
  <si>
    <t>Masdhonis</t>
  </si>
  <si>
    <t xml:space="preserve">މައުލޫމާތު ދެއްވި ފަރާތް: މިނިސްޓްރީ އޮފް ފިޝަރީޒް އެންޑް އެގްރިކަލްޗަރ </t>
  </si>
  <si>
    <t>ތާވަލު 9.10: ބޭނުނު މަހުގެ އަދަދު، މަސްދަތުރުގެ އަދަދު އަދި ތަނުގެ ގޮތުން ބޭނިފައިވާ މަހުގެ ނިސްބަތް، 2019</t>
  </si>
  <si>
    <t>Table 9.10: FISH CATCH, FISHING TRIPS AND CATCH PER UNIT EFFORT BY LOCALITY, 2019</t>
  </si>
  <si>
    <t>ތާވަލު 9.10: ބޭނުނު މަހުގެ އަދަދު، މަސްދަތުރުގެ އަދަދު އަދި ތަނުގެ ގޮތުން ބޭނިފައިވާ މަހުގެ ނިސްބަތް، 2020</t>
  </si>
  <si>
    <t>Table 9.10: FISH CATCH, FISHING TRIPS AND CATCH PER UNIT EFFORT BY LOCALITY,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</si>
</sst>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"/>
    <numFmt numFmtId="170" formatCode="[$-409]mmmm\ d\,\ yyyy;@"/>
  </numFmts>
  <fonts count="1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9"/>
      <name val="Arial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</font>
    <font>
      <b/>
      <sz val="10"/>
      <name val="Arial"/>
      <family val="2"/>
    </font>
    <font>
      <sz val="9"/>
      <name val="Calibri"/>
      <family val="2"/>
    </font>
    <font>
      <sz val="10"/>
      <name val="MS Sans Serif"/>
      <family val="2"/>
    </font>
    <font>
      <b/>
      <sz val="11"/>
      <name val="Faruma"/>
    </font>
    <font>
      <b/>
      <sz val="11"/>
      <color theme="1"/>
      <name val="Calibri"/>
      <family val="2"/>
    </font>
    <font>
      <sz val="9"/>
      <color theme="1"/>
      <name val="Faruma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7">
    <xf numFmtId="0" fontId="0" fillId="0" borderId="0"/>
    <xf numFmtId="164" fontId="1" fillId="0" borderId="0"/>
    <xf numFmtId="40" fontId="10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5" fillId="0" borderId="0"/>
  </cellStyleXfs>
  <cellXfs count="59">
    <xf numFmtId="0" fontId="0" fillId="0" borderId="0" xfId="0"/>
    <xf numFmtId="164" fontId="5" fillId="2" borderId="0" xfId="1" applyFont="1" applyFill="1" applyAlignment="1">
      <alignment vertical="center"/>
    </xf>
    <xf numFmtId="164" fontId="7" fillId="2" borderId="0" xfId="1" applyFont="1" applyFill="1" applyAlignment="1" applyProtection="1">
      <alignment horizontal="left" vertical="center"/>
    </xf>
    <xf numFmtId="164" fontId="8" fillId="2" borderId="0" xfId="1" applyFont="1" applyFill="1" applyAlignment="1">
      <alignment vertical="center"/>
    </xf>
    <xf numFmtId="164" fontId="4" fillId="2" borderId="1" xfId="0" applyNumberFormat="1" applyFont="1" applyFill="1" applyBorder="1" applyAlignment="1" applyProtection="1">
      <alignment horizontal="left" vertical="center" indent="1"/>
    </xf>
    <xf numFmtId="164" fontId="5" fillId="2" borderId="0" xfId="1" applyFont="1" applyFill="1" applyBorder="1" applyAlignment="1">
      <alignment vertical="center"/>
    </xf>
    <xf numFmtId="164" fontId="3" fillId="2" borderId="0" xfId="1" applyFont="1" applyFill="1" applyAlignment="1">
      <alignment horizontal="right" vertical="center"/>
    </xf>
    <xf numFmtId="164" fontId="3" fillId="2" borderId="0" xfId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 applyProtection="1">
      <alignment horizontal="right" vertical="center"/>
    </xf>
    <xf numFmtId="3" fontId="4" fillId="2" borderId="0" xfId="1" applyNumberFormat="1" applyFont="1" applyFill="1" applyBorder="1" applyAlignment="1" applyProtection="1">
      <alignment horizontal="right" vertical="center"/>
    </xf>
    <xf numFmtId="164" fontId="6" fillId="2" borderId="1" xfId="1" applyFont="1" applyFill="1" applyBorder="1" applyAlignment="1" applyProtection="1">
      <alignment horizontal="right" vertical="center"/>
    </xf>
    <xf numFmtId="164" fontId="9" fillId="2" borderId="0" xfId="1" applyFont="1" applyFill="1" applyBorder="1" applyAlignment="1">
      <alignment horizontal="right" vertical="center"/>
    </xf>
    <xf numFmtId="164" fontId="6" fillId="2" borderId="10" xfId="1" applyFont="1" applyFill="1" applyBorder="1" applyAlignment="1" applyProtection="1">
      <alignment horizontal="right"/>
    </xf>
    <xf numFmtId="164" fontId="6" fillId="2" borderId="0" xfId="1" applyFont="1" applyFill="1" applyBorder="1" applyAlignment="1" applyProtection="1">
      <alignment horizontal="right"/>
    </xf>
    <xf numFmtId="164" fontId="8" fillId="2" borderId="0" xfId="1" applyFont="1" applyFill="1" applyBorder="1" applyAlignment="1">
      <alignment vertical="center"/>
    </xf>
    <xf numFmtId="164" fontId="11" fillId="2" borderId="0" xfId="1" applyFont="1" applyFill="1" applyAlignment="1">
      <alignment vertical="center"/>
    </xf>
    <xf numFmtId="164" fontId="12" fillId="2" borderId="0" xfId="1" applyFont="1" applyFill="1" applyBorder="1" applyAlignment="1" applyProtection="1">
      <alignment vertical="center"/>
    </xf>
    <xf numFmtId="164" fontId="8" fillId="2" borderId="0" xfId="1" applyFont="1" applyFill="1" applyBorder="1" applyAlignment="1" applyProtection="1">
      <alignment vertical="center"/>
    </xf>
    <xf numFmtId="164" fontId="6" fillId="2" borderId="0" xfId="1" applyFont="1" applyFill="1" applyBorder="1" applyAlignment="1" applyProtection="1">
      <alignment horizontal="right" vertical="center"/>
    </xf>
    <xf numFmtId="164" fontId="6" fillId="2" borderId="7" xfId="1" applyFont="1" applyFill="1" applyBorder="1" applyAlignment="1" applyProtection="1">
      <alignment horizontal="right" vertical="center"/>
    </xf>
    <xf numFmtId="164" fontId="6" fillId="2" borderId="12" xfId="1" applyFont="1" applyFill="1" applyBorder="1" applyAlignment="1" applyProtection="1">
      <alignment horizontal="right"/>
    </xf>
    <xf numFmtId="164" fontId="8" fillId="2" borderId="0" xfId="1" applyFont="1" applyFill="1" applyBorder="1" applyAlignment="1">
      <alignment horizontal="right" vertical="center"/>
    </xf>
    <xf numFmtId="164" fontId="6" fillId="2" borderId="8" xfId="1" applyFont="1" applyFill="1" applyBorder="1" applyAlignment="1" applyProtection="1">
      <alignment horizontal="right" vertical="center"/>
    </xf>
    <xf numFmtId="164" fontId="6" fillId="2" borderId="4" xfId="1" applyFont="1" applyFill="1" applyBorder="1" applyAlignment="1" applyProtection="1">
      <alignment horizontal="right" vertical="center"/>
    </xf>
    <xf numFmtId="164" fontId="6" fillId="2" borderId="0" xfId="1" applyFont="1" applyFill="1" applyBorder="1" applyAlignment="1" applyProtection="1">
      <alignment horizontal="left" vertical="center"/>
    </xf>
    <xf numFmtId="3" fontId="6" fillId="2" borderId="2" xfId="1" applyNumberFormat="1" applyFont="1" applyFill="1" applyBorder="1" applyAlignment="1" applyProtection="1">
      <alignment horizontal="right" vertical="center"/>
    </xf>
    <xf numFmtId="165" fontId="6" fillId="2" borderId="6" xfId="1" applyNumberFormat="1" applyFont="1" applyFill="1" applyBorder="1" applyAlignment="1" applyProtection="1">
      <alignment horizontal="right" vertical="center" indent="3"/>
    </xf>
    <xf numFmtId="165" fontId="6" fillId="2" borderId="3" xfId="1" applyNumberFormat="1" applyFont="1" applyFill="1" applyBorder="1" applyAlignment="1" applyProtection="1">
      <alignment horizontal="right" vertical="center" indent="3"/>
    </xf>
    <xf numFmtId="3" fontId="6" fillId="2" borderId="2" xfId="1" applyNumberFormat="1" applyFont="1" applyFill="1" applyBorder="1" applyAlignment="1" applyProtection="1">
      <alignment horizontal="right" vertical="center" indent="1"/>
    </xf>
    <xf numFmtId="3" fontId="3" fillId="2" borderId="0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3" fontId="4" fillId="2" borderId="0" xfId="1" applyNumberFormat="1" applyFont="1" applyFill="1" applyBorder="1" applyAlignment="1">
      <alignment horizontal="right" vertical="center"/>
    </xf>
    <xf numFmtId="165" fontId="6" fillId="2" borderId="7" xfId="1" applyNumberFormat="1" applyFont="1" applyFill="1" applyBorder="1" applyAlignment="1" applyProtection="1">
      <alignment horizontal="right" vertical="center" indent="3"/>
    </xf>
    <xf numFmtId="3" fontId="6" fillId="2" borderId="0" xfId="1" applyNumberFormat="1" applyFont="1" applyFill="1" applyBorder="1" applyAlignment="1">
      <alignment horizontal="right" vertical="center" indent="1"/>
    </xf>
    <xf numFmtId="3" fontId="6" fillId="2" borderId="0" xfId="1" applyNumberFormat="1" applyFont="1" applyFill="1" applyBorder="1" applyAlignment="1" applyProtection="1">
      <alignment horizontal="right" vertical="center" indent="1"/>
    </xf>
    <xf numFmtId="164" fontId="4" fillId="2" borderId="0" xfId="0" applyNumberFormat="1" applyFont="1" applyFill="1" applyBorder="1" applyAlignment="1" applyProtection="1">
      <alignment horizontal="left" vertical="center" indent="1"/>
    </xf>
    <xf numFmtId="165" fontId="4" fillId="2" borderId="7" xfId="1" applyNumberFormat="1" applyFont="1" applyFill="1" applyBorder="1" applyAlignment="1" applyProtection="1">
      <alignment horizontal="right" vertical="center" indent="3"/>
    </xf>
    <xf numFmtId="165" fontId="4" fillId="2" borderId="3" xfId="1" applyNumberFormat="1" applyFont="1" applyFill="1" applyBorder="1" applyAlignment="1" applyProtection="1">
      <alignment horizontal="right" vertical="center" indent="3"/>
    </xf>
    <xf numFmtId="3" fontId="4" fillId="2" borderId="0" xfId="1" applyNumberFormat="1" applyFont="1" applyFill="1" applyBorder="1" applyAlignment="1">
      <alignment horizontal="right" vertical="center" indent="1"/>
    </xf>
    <xf numFmtId="164" fontId="2" fillId="2" borderId="0" xfId="1" applyFont="1" applyFill="1" applyBorder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3" fontId="4" fillId="2" borderId="1" xfId="1" applyNumberFormat="1" applyFont="1" applyFill="1" applyBorder="1" applyAlignment="1">
      <alignment horizontal="right" vertical="center"/>
    </xf>
    <xf numFmtId="165" fontId="4" fillId="2" borderId="8" xfId="1" applyNumberFormat="1" applyFont="1" applyFill="1" applyBorder="1" applyAlignment="1" applyProtection="1">
      <alignment horizontal="right" vertical="center" indent="3"/>
    </xf>
    <xf numFmtId="165" fontId="4" fillId="2" borderId="4" xfId="1" applyNumberFormat="1" applyFont="1" applyFill="1" applyBorder="1" applyAlignment="1" applyProtection="1">
      <alignment horizontal="right" vertical="center" indent="3"/>
    </xf>
    <xf numFmtId="3" fontId="4" fillId="2" borderId="1" xfId="1" applyNumberFormat="1" applyFont="1" applyFill="1" applyBorder="1" applyAlignment="1">
      <alignment horizontal="right" vertical="center" indent="1"/>
    </xf>
    <xf numFmtId="164" fontId="9" fillId="2" borderId="0" xfId="1" applyFont="1" applyFill="1" applyBorder="1" applyAlignment="1">
      <alignment horizontal="right" vertical="center" indent="1"/>
    </xf>
    <xf numFmtId="0" fontId="13" fillId="2" borderId="0" xfId="0" applyNumberFormat="1" applyFont="1" applyFill="1" applyBorder="1" applyAlignment="1">
      <alignment horizontal="right" indent="1"/>
    </xf>
    <xf numFmtId="164" fontId="6" fillId="2" borderId="0" xfId="1" applyFont="1" applyFill="1" applyBorder="1" applyAlignment="1" applyProtection="1">
      <alignment horizontal="center" vertical="center"/>
    </xf>
    <xf numFmtId="164" fontId="6" fillId="2" borderId="1" xfId="1" applyFont="1" applyFill="1" applyBorder="1" applyAlignment="1" applyProtection="1">
      <alignment horizontal="center" vertical="center"/>
    </xf>
    <xf numFmtId="3" fontId="4" fillId="2" borderId="3" xfId="1" applyNumberFormat="1" applyFont="1" applyFill="1" applyBorder="1" applyAlignment="1" applyProtection="1">
      <alignment horizontal="right" vertical="center"/>
    </xf>
    <xf numFmtId="3" fontId="4" fillId="2" borderId="4" xfId="1" applyNumberFormat="1" applyFont="1" applyFill="1" applyBorder="1" applyAlignment="1" applyProtection="1">
      <alignment horizontal="right" vertical="center"/>
    </xf>
    <xf numFmtId="164" fontId="6" fillId="2" borderId="0" xfId="1" applyFont="1" applyFill="1" applyBorder="1" applyAlignment="1" applyProtection="1">
      <alignment horizontal="center" vertical="center"/>
    </xf>
    <xf numFmtId="164" fontId="6" fillId="2" borderId="1" xfId="1" applyFont="1" applyFill="1" applyBorder="1" applyAlignment="1" applyProtection="1">
      <alignment horizontal="center" vertical="center"/>
    </xf>
    <xf numFmtId="164" fontId="11" fillId="2" borderId="0" xfId="1" applyFont="1" applyFill="1" applyAlignment="1">
      <alignment horizontal="center" vertical="center"/>
    </xf>
    <xf numFmtId="164" fontId="12" fillId="2" borderId="0" xfId="1" applyFont="1" applyFill="1" applyBorder="1" applyAlignment="1" applyProtection="1">
      <alignment horizontal="center" vertical="center"/>
    </xf>
    <xf numFmtId="164" fontId="6" fillId="2" borderId="2" xfId="1" applyFont="1" applyFill="1" applyBorder="1" applyAlignment="1" applyProtection="1">
      <alignment horizontal="center" vertical="center"/>
    </xf>
    <xf numFmtId="164" fontId="6" fillId="2" borderId="5" xfId="1" applyFont="1" applyFill="1" applyBorder="1" applyAlignment="1" applyProtection="1">
      <alignment horizontal="center" vertical="center"/>
    </xf>
    <xf numFmtId="164" fontId="6" fillId="2" borderId="11" xfId="1" applyFont="1" applyFill="1" applyBorder="1" applyAlignment="1" applyProtection="1">
      <alignment horizontal="center" vertical="center"/>
    </xf>
    <xf numFmtId="164" fontId="6" fillId="2" borderId="9" xfId="1" applyFont="1" applyFill="1" applyBorder="1" applyAlignment="1" applyProtection="1">
      <alignment horizontal="center" vertical="center"/>
    </xf>
  </cellXfs>
  <cellStyles count="7">
    <cellStyle name="1" xfId="6"/>
    <cellStyle name="Comma 2" xfId="2"/>
    <cellStyle name="Normal" xfId="0" builtinId="0"/>
    <cellStyle name="Normal 2_agri planning 2009 year book(final)" xfId="3"/>
    <cellStyle name="Normal 3_agri planning 2009 year book(final)" xfId="5"/>
    <cellStyle name="Normal 4_agri planning 2009 year book(final)" xfId="4"/>
    <cellStyle name="Normal_Fish &amp;  Agri - 8" xfId="1"/>
  </cellStyles>
  <dxfs count="0"/>
  <tableStyles count="0" defaultTableStyle="TableStyleMedium2" defaultPivotStyle="PivotStyleLight16"/>
  <colors>
    <mruColors>
      <color rgb="FF249390"/>
      <color rgb="FF33CCCC"/>
      <color rgb="FFEAFAFA"/>
      <color rgb="FFFF9900"/>
      <color rgb="FF196563"/>
      <color rgb="FF00FFCC"/>
      <color rgb="FFC89058"/>
      <color rgb="FF7E542A"/>
      <color rgb="FFD3A77B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CHECKING/9.%20%20FISHERIES%20AND%20AGRICULT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8"/>
      <sheetName val="9.9"/>
      <sheetName val="9.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C4" t="str">
            <v>Pole and Line</v>
          </cell>
          <cell r="AD4" t="str">
            <v>Hand  Line</v>
          </cell>
          <cell r="AE4" t="str">
            <v>Other methods</v>
          </cell>
        </row>
        <row r="5">
          <cell r="AC5">
            <v>80.172670134023591</v>
          </cell>
          <cell r="AD5">
            <v>18.70465755671324</v>
          </cell>
          <cell r="AE5">
            <v>1.1226723092631659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227"/>
  <sheetViews>
    <sheetView tabSelected="1" zoomScaleNormal="100" workbookViewId="0">
      <selection activeCell="K30" sqref="K30"/>
    </sheetView>
  </sheetViews>
  <sheetFormatPr defaultColWidth="10" defaultRowHeight="12.75" x14ac:dyDescent="0.25"/>
  <cols>
    <col min="1" max="1" width="10" style="1"/>
    <col min="2" max="2" width="13" style="1" customWidth="1"/>
    <col min="3" max="3" width="14.28515625" style="1" customWidth="1"/>
    <col min="4" max="4" width="14.28515625" style="5" customWidth="1"/>
    <col min="5" max="6" width="15.5703125" style="5" customWidth="1"/>
    <col min="7" max="8" width="13.140625" style="1" customWidth="1"/>
    <col min="9" max="9" width="15.7109375" style="5" customWidth="1"/>
    <col min="10" max="10" width="13.42578125" style="1" customWidth="1"/>
    <col min="11" max="11" width="12.28515625" style="1" customWidth="1"/>
    <col min="12" max="12" width="11.7109375" style="1" customWidth="1"/>
    <col min="13" max="16384" width="10" style="1"/>
  </cols>
  <sheetData>
    <row r="1" spans="1:13" ht="21" x14ac:dyDescent="0.25">
      <c r="A1" s="53" t="s">
        <v>37</v>
      </c>
      <c r="B1" s="53"/>
      <c r="C1" s="53"/>
      <c r="D1" s="53"/>
      <c r="E1" s="53"/>
      <c r="F1" s="53"/>
      <c r="G1" s="53"/>
      <c r="H1" s="53"/>
      <c r="I1" s="53"/>
      <c r="J1" s="15"/>
      <c r="K1" s="15"/>
      <c r="L1" s="15"/>
    </row>
    <row r="2" spans="1:13" s="3" customFormat="1" ht="15" x14ac:dyDescent="0.25">
      <c r="A2" s="54" t="s">
        <v>38</v>
      </c>
      <c r="B2" s="54"/>
      <c r="C2" s="54"/>
      <c r="D2" s="54"/>
      <c r="E2" s="54"/>
      <c r="F2" s="54"/>
      <c r="G2" s="54"/>
      <c r="H2" s="54"/>
      <c r="I2" s="54"/>
      <c r="J2" s="16"/>
      <c r="K2" s="16"/>
      <c r="L2" s="16"/>
    </row>
    <row r="3" spans="1:13" s="14" customFormat="1" x14ac:dyDescent="0.25">
      <c r="A3" s="47"/>
      <c r="B3" s="48"/>
      <c r="C3" s="48"/>
      <c r="D3" s="48"/>
      <c r="E3" s="48"/>
      <c r="F3" s="48"/>
      <c r="G3" s="48"/>
      <c r="H3" s="48"/>
      <c r="I3" s="48"/>
      <c r="J3" s="47"/>
      <c r="K3" s="47"/>
      <c r="L3" s="47"/>
    </row>
    <row r="4" spans="1:13" s="3" customFormat="1" x14ac:dyDescent="0.25">
      <c r="A4" s="55" t="s">
        <v>24</v>
      </c>
      <c r="B4" s="56" t="s">
        <v>29</v>
      </c>
      <c r="C4" s="56"/>
      <c r="D4" s="57"/>
      <c r="E4" s="58" t="s">
        <v>30</v>
      </c>
      <c r="F4" s="57"/>
      <c r="G4" s="56" t="s">
        <v>31</v>
      </c>
      <c r="H4" s="56"/>
      <c r="I4" s="56"/>
      <c r="J4" s="14"/>
      <c r="K4" s="14"/>
      <c r="L4" s="14"/>
      <c r="M4" s="17"/>
    </row>
    <row r="5" spans="1:13" s="3" customFormat="1" x14ac:dyDescent="0.2">
      <c r="A5" s="51"/>
      <c r="B5" s="18" t="s">
        <v>27</v>
      </c>
      <c r="C5" s="12" t="s">
        <v>25</v>
      </c>
      <c r="D5" s="13"/>
      <c r="E5" s="19" t="s">
        <v>27</v>
      </c>
      <c r="F5" s="20" t="s">
        <v>25</v>
      </c>
      <c r="G5" s="18" t="s">
        <v>27</v>
      </c>
      <c r="H5" s="12" t="s">
        <v>25</v>
      </c>
      <c r="I5" s="18"/>
      <c r="J5" s="14"/>
      <c r="K5" s="14"/>
      <c r="L5" s="14"/>
      <c r="M5" s="21"/>
    </row>
    <row r="6" spans="1:13" s="3" customFormat="1" x14ac:dyDescent="0.25">
      <c r="A6" s="52"/>
      <c r="B6" s="10" t="s">
        <v>33</v>
      </c>
      <c r="C6" s="10"/>
      <c r="D6" s="10"/>
      <c r="E6" s="22" t="s">
        <v>33</v>
      </c>
      <c r="F6" s="23"/>
      <c r="G6" s="18" t="s">
        <v>33</v>
      </c>
      <c r="H6" s="18"/>
      <c r="I6" s="10"/>
      <c r="J6" s="14"/>
      <c r="K6" s="14"/>
      <c r="L6" s="14"/>
      <c r="M6" s="14"/>
    </row>
    <row r="7" spans="1:13" s="6" customFormat="1" x14ac:dyDescent="0.25">
      <c r="A7" s="24" t="s">
        <v>0</v>
      </c>
      <c r="B7" s="8">
        <f t="shared" ref="B7:H7" si="0">B8+B9+B10</f>
        <v>148465.82010228076</v>
      </c>
      <c r="C7" s="8">
        <f t="shared" si="0"/>
        <v>117.14908033448832</v>
      </c>
      <c r="D7" s="25"/>
      <c r="E7" s="26">
        <f>E8+E9+E10</f>
        <v>2.7218512640216113</v>
      </c>
      <c r="F7" s="27">
        <f t="shared" si="0"/>
        <v>1.6675397973172406</v>
      </c>
      <c r="G7" s="25">
        <f t="shared" si="0"/>
        <v>52604</v>
      </c>
      <c r="H7" s="28">
        <f t="shared" si="0"/>
        <v>70</v>
      </c>
      <c r="I7" s="28"/>
      <c r="J7" s="7"/>
      <c r="K7" s="7"/>
      <c r="L7" s="7"/>
      <c r="M7" s="29"/>
    </row>
    <row r="8" spans="1:13" s="6" customFormat="1" x14ac:dyDescent="0.25">
      <c r="A8" s="24" t="s">
        <v>1</v>
      </c>
      <c r="B8" s="30">
        <v>24812.117177778971</v>
      </c>
      <c r="C8" s="31">
        <v>5.423913914233192</v>
      </c>
      <c r="D8" s="30"/>
      <c r="E8" s="32">
        <v>0</v>
      </c>
      <c r="F8" s="27">
        <v>0</v>
      </c>
      <c r="G8" s="30">
        <v>7174</v>
      </c>
      <c r="H8" s="33">
        <v>3</v>
      </c>
      <c r="I8" s="33"/>
      <c r="J8" s="7"/>
      <c r="K8" s="7"/>
      <c r="L8" s="7"/>
      <c r="M8" s="29"/>
    </row>
    <row r="9" spans="1:13" s="6" customFormat="1" x14ac:dyDescent="0.25">
      <c r="A9" s="24" t="s">
        <v>2</v>
      </c>
      <c r="B9" s="8">
        <f>SUM(B11:B30)</f>
        <v>123653.70292450179</v>
      </c>
      <c r="C9" s="8">
        <f>SUM(C11:C30)</f>
        <v>111.72516642025512</v>
      </c>
      <c r="D9" s="8"/>
      <c r="E9" s="32">
        <f>B9/G9</f>
        <v>2.7218512640216113</v>
      </c>
      <c r="F9" s="27">
        <f>C9/H9</f>
        <v>1.6675397973172406</v>
      </c>
      <c r="G9" s="8">
        <f>SUM(G11:G30)</f>
        <v>45430</v>
      </c>
      <c r="H9" s="34">
        <f>SUM(H11:H30)</f>
        <v>67</v>
      </c>
      <c r="I9" s="34"/>
      <c r="J9" s="7"/>
      <c r="K9" s="7"/>
      <c r="L9" s="7"/>
      <c r="M9" s="29"/>
    </row>
    <row r="10" spans="1:13" s="6" customFormat="1" hidden="1" x14ac:dyDescent="0.25">
      <c r="A10" s="24" t="s">
        <v>3</v>
      </c>
      <c r="B10" s="8"/>
      <c r="C10" s="8"/>
      <c r="D10" s="8"/>
      <c r="E10" s="32"/>
      <c r="F10" s="27"/>
      <c r="G10" s="8"/>
      <c r="H10" s="34"/>
      <c r="I10" s="34"/>
      <c r="J10" s="7"/>
      <c r="K10" s="7"/>
      <c r="L10" s="7"/>
      <c r="M10" s="29"/>
    </row>
    <row r="11" spans="1:13" s="6" customFormat="1" x14ac:dyDescent="0.25">
      <c r="A11" s="35" t="s">
        <v>4</v>
      </c>
      <c r="B11" s="31">
        <v>7837.2333079125583</v>
      </c>
      <c r="C11" s="31">
        <v>0</v>
      </c>
      <c r="D11" s="31"/>
      <c r="E11" s="36">
        <f>B11/G11</f>
        <v>3.2027925246884177</v>
      </c>
      <c r="F11" s="37">
        <v>0</v>
      </c>
      <c r="G11" s="31">
        <v>2447</v>
      </c>
      <c r="H11" s="38">
        <v>0</v>
      </c>
      <c r="I11" s="38"/>
      <c r="J11" s="7"/>
      <c r="K11" s="7"/>
      <c r="L11" s="7"/>
      <c r="M11" s="29"/>
    </row>
    <row r="12" spans="1:13" s="6" customFormat="1" x14ac:dyDescent="0.25">
      <c r="A12" s="35" t="s">
        <v>5</v>
      </c>
      <c r="B12" s="31">
        <v>1742.5440616363164</v>
      </c>
      <c r="C12" s="31">
        <v>0</v>
      </c>
      <c r="D12" s="31"/>
      <c r="E12" s="36">
        <f t="shared" ref="E12:F30" si="1">B12/G12</f>
        <v>1.159377286517842</v>
      </c>
      <c r="F12" s="37">
        <v>0</v>
      </c>
      <c r="G12" s="31">
        <v>1503</v>
      </c>
      <c r="H12" s="38">
        <v>0</v>
      </c>
      <c r="I12" s="38"/>
      <c r="J12" s="7"/>
      <c r="K12" s="7"/>
      <c r="L12" s="7"/>
      <c r="M12" s="29"/>
    </row>
    <row r="13" spans="1:13" s="6" customFormat="1" x14ac:dyDescent="0.25">
      <c r="A13" s="35" t="s">
        <v>6</v>
      </c>
      <c r="B13" s="31">
        <v>3916.1276980237212</v>
      </c>
      <c r="C13" s="31">
        <v>0</v>
      </c>
      <c r="D13" s="31"/>
      <c r="E13" s="36">
        <f t="shared" si="1"/>
        <v>1.5497141662143732</v>
      </c>
      <c r="F13" s="37">
        <v>0</v>
      </c>
      <c r="G13" s="31">
        <v>2527</v>
      </c>
      <c r="H13" s="38">
        <v>0</v>
      </c>
      <c r="I13" s="38"/>
      <c r="J13" s="7"/>
      <c r="K13" s="7"/>
      <c r="L13" s="7"/>
      <c r="M13" s="29"/>
    </row>
    <row r="14" spans="1:13" s="6" customFormat="1" x14ac:dyDescent="0.25">
      <c r="A14" s="35" t="s">
        <v>8</v>
      </c>
      <c r="B14" s="31">
        <v>2615.9691268664783</v>
      </c>
      <c r="C14" s="31">
        <v>0.65276863300399468</v>
      </c>
      <c r="D14" s="31"/>
      <c r="E14" s="36">
        <f t="shared" si="1"/>
        <v>1.6920886978437764</v>
      </c>
      <c r="F14" s="37">
        <f t="shared" si="1"/>
        <v>0.65276863300399468</v>
      </c>
      <c r="G14" s="31">
        <v>1546</v>
      </c>
      <c r="H14" s="38">
        <v>1</v>
      </c>
      <c r="I14" s="38"/>
      <c r="J14" s="7"/>
      <c r="K14" s="7"/>
      <c r="L14" s="7"/>
      <c r="M14" s="29"/>
    </row>
    <row r="15" spans="1:13" s="6" customFormat="1" x14ac:dyDescent="0.25">
      <c r="A15" s="35" t="s">
        <v>9</v>
      </c>
      <c r="B15" s="31">
        <v>7759.514216681293</v>
      </c>
      <c r="C15" s="31">
        <v>0</v>
      </c>
      <c r="D15" s="31"/>
      <c r="E15" s="36">
        <f t="shared" si="1"/>
        <v>2.7584479973982554</v>
      </c>
      <c r="F15" s="37">
        <v>0</v>
      </c>
      <c r="G15" s="31">
        <v>2813</v>
      </c>
      <c r="H15" s="38">
        <v>0</v>
      </c>
      <c r="I15" s="38"/>
      <c r="J15" s="7"/>
      <c r="K15" s="7"/>
      <c r="L15" s="7"/>
      <c r="M15" s="29"/>
    </row>
    <row r="16" spans="1:13" s="6" customFormat="1" x14ac:dyDescent="0.25">
      <c r="A16" s="35" t="s">
        <v>10</v>
      </c>
      <c r="B16" s="31">
        <v>2242.4289738665652</v>
      </c>
      <c r="C16" s="31">
        <v>0</v>
      </c>
      <c r="D16" s="31"/>
      <c r="E16" s="36">
        <f t="shared" si="1"/>
        <v>1.7615310085361864</v>
      </c>
      <c r="F16" s="37">
        <v>0</v>
      </c>
      <c r="G16" s="31">
        <v>1273</v>
      </c>
      <c r="H16" s="38">
        <v>0</v>
      </c>
      <c r="I16" s="38"/>
      <c r="J16" s="7"/>
      <c r="K16" s="7"/>
      <c r="L16" s="7"/>
      <c r="M16" s="29"/>
    </row>
    <row r="17" spans="1:13" s="6" customFormat="1" x14ac:dyDescent="0.25">
      <c r="A17" s="35" t="s">
        <v>11</v>
      </c>
      <c r="B17" s="31">
        <v>4714.9029731799847</v>
      </c>
      <c r="C17" s="31">
        <v>0</v>
      </c>
      <c r="D17" s="31"/>
      <c r="E17" s="36">
        <f t="shared" si="1"/>
        <v>3.935645219682792</v>
      </c>
      <c r="F17" s="37">
        <v>0</v>
      </c>
      <c r="G17" s="31">
        <v>1198</v>
      </c>
      <c r="H17" s="38">
        <v>0</v>
      </c>
      <c r="I17" s="38"/>
      <c r="J17" s="7"/>
      <c r="K17" s="7"/>
      <c r="L17" s="7"/>
      <c r="M17" s="29"/>
    </row>
    <row r="18" spans="1:13" s="6" customFormat="1" x14ac:dyDescent="0.25">
      <c r="A18" s="35" t="s">
        <v>12</v>
      </c>
      <c r="B18" s="31">
        <v>6947.6623581231324</v>
      </c>
      <c r="C18" s="31">
        <v>1.3021462601222542</v>
      </c>
      <c r="D18" s="31"/>
      <c r="E18" s="36">
        <f t="shared" si="1"/>
        <v>3.1211421195521707</v>
      </c>
      <c r="F18" s="37">
        <f t="shared" si="1"/>
        <v>1.3021462601222542</v>
      </c>
      <c r="G18" s="31">
        <v>2226</v>
      </c>
      <c r="H18" s="38">
        <v>1</v>
      </c>
      <c r="I18" s="38"/>
      <c r="J18" s="7"/>
      <c r="K18" s="7"/>
      <c r="L18" s="7"/>
      <c r="M18" s="29"/>
    </row>
    <row r="19" spans="1:13" s="6" customFormat="1" x14ac:dyDescent="0.25">
      <c r="A19" s="35" t="s">
        <v>28</v>
      </c>
      <c r="B19" s="31">
        <v>3213.1619370730741</v>
      </c>
      <c r="C19" s="31">
        <v>8.5063382643663399</v>
      </c>
      <c r="D19" s="31"/>
      <c r="E19" s="36">
        <f t="shared" si="1"/>
        <v>1.27810737353742</v>
      </c>
      <c r="F19" s="37">
        <f t="shared" si="1"/>
        <v>2.8354460881221133</v>
      </c>
      <c r="G19" s="31">
        <v>2514</v>
      </c>
      <c r="H19" s="38">
        <v>3</v>
      </c>
      <c r="I19" s="38"/>
      <c r="J19" s="7"/>
      <c r="K19" s="7"/>
      <c r="L19" s="7"/>
      <c r="M19" s="29"/>
    </row>
    <row r="20" spans="1:13" s="6" customFormat="1" x14ac:dyDescent="0.25">
      <c r="A20" s="35" t="s">
        <v>13</v>
      </c>
      <c r="B20" s="31">
        <v>3055.4361311749635</v>
      </c>
      <c r="C20" s="31">
        <v>5.4442599495476021</v>
      </c>
      <c r="D20" s="31"/>
      <c r="E20" s="36">
        <f t="shared" si="1"/>
        <v>1.0280740683630429</v>
      </c>
      <c r="F20" s="37">
        <f t="shared" si="1"/>
        <v>5.4442599495476021</v>
      </c>
      <c r="G20" s="31">
        <v>2972</v>
      </c>
      <c r="H20" s="38">
        <v>1</v>
      </c>
      <c r="I20" s="38"/>
      <c r="J20" s="7"/>
      <c r="K20" s="7"/>
      <c r="L20" s="7"/>
      <c r="M20" s="29"/>
    </row>
    <row r="21" spans="1:13" s="6" customFormat="1" x14ac:dyDescent="0.25">
      <c r="A21" s="35" t="s">
        <v>14</v>
      </c>
      <c r="B21" s="31">
        <v>639.55167891345945</v>
      </c>
      <c r="C21" s="31">
        <v>0</v>
      </c>
      <c r="D21" s="31"/>
      <c r="E21" s="36">
        <f t="shared" si="1"/>
        <v>3.1046198005507741</v>
      </c>
      <c r="F21" s="37">
        <v>0</v>
      </c>
      <c r="G21" s="31">
        <v>206</v>
      </c>
      <c r="H21" s="38">
        <v>0</v>
      </c>
      <c r="I21" s="38"/>
      <c r="J21" s="7"/>
      <c r="K21" s="7"/>
      <c r="L21" s="7"/>
      <c r="M21" s="29"/>
    </row>
    <row r="22" spans="1:13" s="40" customFormat="1" x14ac:dyDescent="0.25">
      <c r="A22" s="35" t="s">
        <v>15</v>
      </c>
      <c r="B22" s="31">
        <v>4060.603860534547</v>
      </c>
      <c r="C22" s="31">
        <v>25.422371125355575</v>
      </c>
      <c r="D22" s="31"/>
      <c r="E22" s="36">
        <f t="shared" si="1"/>
        <v>3.2150466037486516</v>
      </c>
      <c r="F22" s="37">
        <f t="shared" si="1"/>
        <v>12.711185562677787</v>
      </c>
      <c r="G22" s="31">
        <v>1263</v>
      </c>
      <c r="H22" s="38">
        <v>2</v>
      </c>
      <c r="I22" s="38"/>
      <c r="J22" s="39"/>
      <c r="K22" s="7"/>
      <c r="L22" s="39"/>
      <c r="M22" s="29"/>
    </row>
    <row r="23" spans="1:13" s="40" customFormat="1" x14ac:dyDescent="0.25">
      <c r="A23" s="35" t="s">
        <v>16</v>
      </c>
      <c r="B23" s="31">
        <v>3075.0253787508314</v>
      </c>
      <c r="C23" s="31">
        <v>8.7081031145675745</v>
      </c>
      <c r="D23" s="31"/>
      <c r="E23" s="36">
        <f t="shared" si="1"/>
        <v>1.6099609312831578</v>
      </c>
      <c r="F23" s="37">
        <f t="shared" si="1"/>
        <v>1.4513505190945957</v>
      </c>
      <c r="G23" s="31">
        <v>1910</v>
      </c>
      <c r="H23" s="38">
        <v>6</v>
      </c>
      <c r="I23" s="38"/>
      <c r="J23" s="39"/>
      <c r="K23" s="7"/>
      <c r="L23" s="39"/>
      <c r="M23" s="29"/>
    </row>
    <row r="24" spans="1:13" s="40" customFormat="1" x14ac:dyDescent="0.25">
      <c r="A24" s="35" t="s">
        <v>17</v>
      </c>
      <c r="B24" s="31">
        <v>11378.1622271825</v>
      </c>
      <c r="C24" s="31">
        <v>11.578589596842283</v>
      </c>
      <c r="D24" s="31"/>
      <c r="E24" s="36">
        <f t="shared" si="1"/>
        <v>2.3630658831116302</v>
      </c>
      <c r="F24" s="37">
        <f t="shared" si="1"/>
        <v>1.1578589596842284</v>
      </c>
      <c r="G24" s="31">
        <v>4815</v>
      </c>
      <c r="H24" s="38">
        <v>10</v>
      </c>
      <c r="I24" s="38"/>
      <c r="J24" s="39"/>
      <c r="K24" s="7"/>
      <c r="L24" s="39"/>
      <c r="M24" s="29"/>
    </row>
    <row r="25" spans="1:13" s="40" customFormat="1" x14ac:dyDescent="0.25">
      <c r="A25" s="35" t="s">
        <v>18</v>
      </c>
      <c r="B25" s="31">
        <v>7535.0427332834015</v>
      </c>
      <c r="C25" s="31">
        <v>18.608144797971018</v>
      </c>
      <c r="D25" s="31"/>
      <c r="E25" s="36">
        <f t="shared" si="1"/>
        <v>3.593248799849023</v>
      </c>
      <c r="F25" s="37">
        <f t="shared" si="1"/>
        <v>6.2027149326570061</v>
      </c>
      <c r="G25" s="31">
        <v>2097</v>
      </c>
      <c r="H25" s="38">
        <v>3</v>
      </c>
      <c r="I25" s="38"/>
      <c r="J25" s="39"/>
      <c r="K25" s="7"/>
      <c r="L25" s="39"/>
      <c r="M25" s="29"/>
    </row>
    <row r="26" spans="1:13" s="40" customFormat="1" x14ac:dyDescent="0.25">
      <c r="A26" s="35" t="s">
        <v>19</v>
      </c>
      <c r="B26" s="31">
        <v>10580.731265444609</v>
      </c>
      <c r="C26" s="31">
        <v>19.515238872405138</v>
      </c>
      <c r="D26" s="31"/>
      <c r="E26" s="36">
        <f t="shared" si="1"/>
        <v>3.0642140936706079</v>
      </c>
      <c r="F26" s="37">
        <f t="shared" si="1"/>
        <v>1.7741126247641035</v>
      </c>
      <c r="G26" s="31">
        <v>3453</v>
      </c>
      <c r="H26" s="38">
        <v>11</v>
      </c>
      <c r="I26" s="38"/>
      <c r="J26" s="39"/>
      <c r="K26" s="7"/>
      <c r="L26" s="39"/>
      <c r="M26" s="29"/>
    </row>
    <row r="27" spans="1:13" s="40" customFormat="1" x14ac:dyDescent="0.25">
      <c r="A27" s="35" t="s">
        <v>20</v>
      </c>
      <c r="B27" s="31">
        <v>21156.044330819728</v>
      </c>
      <c r="C27" s="31">
        <v>0</v>
      </c>
      <c r="D27" s="31"/>
      <c r="E27" s="36">
        <f t="shared" si="1"/>
        <v>4.2017962921191119</v>
      </c>
      <c r="F27" s="37">
        <v>0</v>
      </c>
      <c r="G27" s="31">
        <v>5035</v>
      </c>
      <c r="H27" s="38">
        <v>0</v>
      </c>
      <c r="I27" s="38"/>
      <c r="J27" s="39"/>
      <c r="K27" s="7"/>
      <c r="L27" s="39"/>
      <c r="M27" s="29"/>
    </row>
    <row r="28" spans="1:13" s="40" customFormat="1" x14ac:dyDescent="0.25">
      <c r="A28" s="35" t="s">
        <v>21</v>
      </c>
      <c r="B28" s="31">
        <v>11610.003248031655</v>
      </c>
      <c r="C28" s="31">
        <v>0</v>
      </c>
      <c r="D28" s="31"/>
      <c r="E28" s="36">
        <f t="shared" si="1"/>
        <v>3.9979350027657214</v>
      </c>
      <c r="F28" s="37">
        <v>0</v>
      </c>
      <c r="G28" s="31">
        <v>2904</v>
      </c>
      <c r="H28" s="38">
        <v>0</v>
      </c>
      <c r="I28" s="38"/>
      <c r="J28" s="39"/>
      <c r="K28" s="7"/>
      <c r="L28" s="39"/>
      <c r="M28" s="29"/>
    </row>
    <row r="29" spans="1:13" s="40" customFormat="1" x14ac:dyDescent="0.25">
      <c r="A29" s="35" t="s">
        <v>22</v>
      </c>
      <c r="B29" s="31">
        <v>2152.5513632118946</v>
      </c>
      <c r="C29" s="31">
        <v>3.0213862441899177</v>
      </c>
      <c r="D29" s="31"/>
      <c r="E29" s="36">
        <f t="shared" si="1"/>
        <v>1.8572488034615138</v>
      </c>
      <c r="F29" s="37">
        <f t="shared" si="1"/>
        <v>0.23241432647614751</v>
      </c>
      <c r="G29" s="31">
        <v>1159</v>
      </c>
      <c r="H29" s="38">
        <v>13</v>
      </c>
      <c r="I29" s="38"/>
      <c r="J29" s="39"/>
      <c r="K29" s="7"/>
      <c r="L29" s="39"/>
      <c r="M29" s="29"/>
    </row>
    <row r="30" spans="1:13" s="40" customFormat="1" x14ac:dyDescent="0.25">
      <c r="A30" s="4" t="s">
        <v>7</v>
      </c>
      <c r="B30" s="41">
        <v>7421.0060537910667</v>
      </c>
      <c r="C30" s="41">
        <v>8.9658195618834391</v>
      </c>
      <c r="D30" s="41"/>
      <c r="E30" s="42">
        <f t="shared" si="1"/>
        <v>4.7297680393824519</v>
      </c>
      <c r="F30" s="43">
        <f t="shared" si="1"/>
        <v>0.56036372261771494</v>
      </c>
      <c r="G30" s="41">
        <v>1569</v>
      </c>
      <c r="H30" s="44">
        <v>16</v>
      </c>
      <c r="I30" s="44"/>
      <c r="J30" s="39"/>
      <c r="K30" s="7"/>
      <c r="L30" s="39"/>
      <c r="M30" s="29"/>
    </row>
    <row r="31" spans="1:13" s="40" customFormat="1" ht="17.25" x14ac:dyDescent="0.45">
      <c r="A31" s="2" t="s">
        <v>23</v>
      </c>
      <c r="B31" s="11"/>
      <c r="C31" s="11"/>
      <c r="D31" s="11"/>
      <c r="E31" s="11"/>
      <c r="F31" s="11"/>
      <c r="G31" s="11"/>
      <c r="H31" s="45"/>
      <c r="I31" s="46" t="s">
        <v>34</v>
      </c>
      <c r="M31" s="39"/>
    </row>
    <row r="32" spans="1:13" s="40" customFormat="1" ht="17.25" x14ac:dyDescent="0.45">
      <c r="A32" s="2"/>
      <c r="B32" s="11"/>
      <c r="C32" s="11"/>
      <c r="D32" s="11"/>
      <c r="E32" s="11"/>
      <c r="F32" s="11"/>
      <c r="G32" s="11"/>
      <c r="H32" s="45"/>
      <c r="I32" s="46"/>
      <c r="M32" s="39"/>
    </row>
    <row r="33" spans="1:13" s="40" customFormat="1" ht="21" x14ac:dyDescent="0.25">
      <c r="A33" s="53" t="s">
        <v>35</v>
      </c>
      <c r="B33" s="53"/>
      <c r="C33" s="53"/>
      <c r="D33" s="53"/>
      <c r="E33" s="53"/>
      <c r="F33" s="53"/>
      <c r="G33" s="53"/>
      <c r="H33" s="53"/>
      <c r="I33" s="53"/>
      <c r="M33" s="39"/>
    </row>
    <row r="34" spans="1:13" s="40" customFormat="1" ht="15" x14ac:dyDescent="0.25">
      <c r="A34" s="54" t="s">
        <v>36</v>
      </c>
      <c r="B34" s="54"/>
      <c r="C34" s="54"/>
      <c r="D34" s="54"/>
      <c r="E34" s="54"/>
      <c r="F34" s="54"/>
      <c r="G34" s="54"/>
      <c r="H34" s="54"/>
      <c r="I34" s="54"/>
      <c r="M34" s="39"/>
    </row>
    <row r="35" spans="1:13" s="40" customFormat="1" x14ac:dyDescent="0.25">
      <c r="A35" s="47"/>
      <c r="B35" s="48"/>
      <c r="C35" s="48"/>
      <c r="D35" s="48"/>
      <c r="E35" s="48"/>
      <c r="F35" s="48"/>
      <c r="G35" s="48"/>
      <c r="H35" s="48"/>
      <c r="I35" s="48"/>
      <c r="M35" s="39"/>
    </row>
    <row r="36" spans="1:13" s="40" customFormat="1" x14ac:dyDescent="0.25">
      <c r="A36" s="55" t="s">
        <v>24</v>
      </c>
      <c r="B36" s="56" t="s">
        <v>29</v>
      </c>
      <c r="C36" s="56"/>
      <c r="D36" s="57"/>
      <c r="E36" s="58" t="s">
        <v>30</v>
      </c>
      <c r="F36" s="57"/>
      <c r="G36" s="56" t="s">
        <v>31</v>
      </c>
      <c r="H36" s="56"/>
      <c r="I36" s="56"/>
      <c r="M36" s="39"/>
    </row>
    <row r="37" spans="1:13" s="40" customFormat="1" x14ac:dyDescent="0.2">
      <c r="A37" s="51"/>
      <c r="B37" s="18" t="s">
        <v>27</v>
      </c>
      <c r="C37" s="12" t="s">
        <v>25</v>
      </c>
      <c r="D37" s="13" t="s">
        <v>32</v>
      </c>
      <c r="E37" s="19" t="s">
        <v>27</v>
      </c>
      <c r="F37" s="20" t="s">
        <v>25</v>
      </c>
      <c r="G37" s="18" t="s">
        <v>27</v>
      </c>
      <c r="H37" s="12" t="s">
        <v>25</v>
      </c>
      <c r="I37" s="18" t="s">
        <v>26</v>
      </c>
      <c r="M37" s="39"/>
    </row>
    <row r="38" spans="1:13" s="40" customFormat="1" x14ac:dyDescent="0.25">
      <c r="A38" s="52"/>
      <c r="B38" s="10" t="s">
        <v>33</v>
      </c>
      <c r="C38" s="10"/>
      <c r="D38" s="10"/>
      <c r="E38" s="22" t="s">
        <v>33</v>
      </c>
      <c r="F38" s="23"/>
      <c r="G38" s="18" t="s">
        <v>33</v>
      </c>
      <c r="H38" s="18"/>
      <c r="I38" s="10"/>
      <c r="M38" s="39"/>
    </row>
    <row r="39" spans="1:13" ht="21" x14ac:dyDescent="0.25">
      <c r="A39" s="24" t="s">
        <v>0</v>
      </c>
      <c r="B39" s="8">
        <f>B40+B41+B42</f>
        <v>134358.10824123875</v>
      </c>
      <c r="C39" s="8">
        <f t="shared" ref="C39:I39" si="2">C40+C41+C42</f>
        <v>11.140278948910922</v>
      </c>
      <c r="D39" s="25">
        <f t="shared" si="2"/>
        <v>699.67705000000001</v>
      </c>
      <c r="E39" s="26">
        <f t="shared" si="2"/>
        <v>2.1877589175603194</v>
      </c>
      <c r="F39" s="27">
        <f t="shared" si="2"/>
        <v>0.79573421063649441</v>
      </c>
      <c r="G39" s="25">
        <f t="shared" si="2"/>
        <v>58759</v>
      </c>
      <c r="H39" s="28">
        <f t="shared" si="2"/>
        <v>14</v>
      </c>
      <c r="I39" s="28">
        <f t="shared" si="2"/>
        <v>2760</v>
      </c>
      <c r="J39" s="15"/>
      <c r="K39" s="15"/>
      <c r="L39" s="15"/>
    </row>
    <row r="40" spans="1:13" s="3" customFormat="1" ht="15" x14ac:dyDescent="0.25">
      <c r="A40" s="24" t="s">
        <v>1</v>
      </c>
      <c r="B40" s="30">
        <v>23902.536011453336</v>
      </c>
      <c r="C40" s="31">
        <v>0</v>
      </c>
      <c r="D40" s="30">
        <v>0</v>
      </c>
      <c r="E40" s="32">
        <v>0</v>
      </c>
      <c r="F40" s="27">
        <v>0</v>
      </c>
      <c r="G40" s="30">
        <v>8271</v>
      </c>
      <c r="H40" s="33">
        <v>0</v>
      </c>
      <c r="I40" s="33">
        <v>0</v>
      </c>
      <c r="J40" s="16"/>
      <c r="K40" s="16"/>
      <c r="L40" s="16"/>
    </row>
    <row r="41" spans="1:13" s="14" customFormat="1" x14ac:dyDescent="0.25">
      <c r="A41" s="24" t="s">
        <v>2</v>
      </c>
      <c r="B41" s="8">
        <f>SUM(B43:B62)</f>
        <v>110455.57222978541</v>
      </c>
      <c r="C41" s="8">
        <f>SUM(C43:C62)</f>
        <v>11.140278948910922</v>
      </c>
      <c r="D41" s="8">
        <v>0</v>
      </c>
      <c r="E41" s="32">
        <f>B41/G41</f>
        <v>2.1877589175603194</v>
      </c>
      <c r="F41" s="27">
        <f>C41/H41</f>
        <v>0.79573421063649441</v>
      </c>
      <c r="G41" s="8">
        <f>SUM(G43:G62)</f>
        <v>50488</v>
      </c>
      <c r="H41" s="34">
        <f>SUM(H43:H62)</f>
        <v>14</v>
      </c>
      <c r="I41" s="34">
        <v>0</v>
      </c>
      <c r="J41" s="47"/>
      <c r="K41" s="47"/>
      <c r="L41" s="47"/>
    </row>
    <row r="42" spans="1:13" s="3" customFormat="1" x14ac:dyDescent="0.25">
      <c r="A42" s="24" t="s">
        <v>3</v>
      </c>
      <c r="B42" s="8">
        <v>0</v>
      </c>
      <c r="C42" s="8">
        <v>0</v>
      </c>
      <c r="D42" s="8">
        <v>699.67705000000001</v>
      </c>
      <c r="E42" s="32">
        <v>0</v>
      </c>
      <c r="F42" s="27">
        <v>0</v>
      </c>
      <c r="G42" s="8">
        <v>0</v>
      </c>
      <c r="H42" s="34">
        <v>0</v>
      </c>
      <c r="I42" s="34">
        <v>2760</v>
      </c>
      <c r="J42" s="14"/>
      <c r="K42" s="14"/>
      <c r="L42" s="14"/>
      <c r="M42" s="17"/>
    </row>
    <row r="43" spans="1:13" s="3" customFormat="1" x14ac:dyDescent="0.25">
      <c r="A43" s="35" t="s">
        <v>4</v>
      </c>
      <c r="B43" s="31">
        <v>4820.649337796398</v>
      </c>
      <c r="C43" s="31">
        <v>0</v>
      </c>
      <c r="D43" s="9">
        <v>0</v>
      </c>
      <c r="E43" s="36">
        <f>B43/G43</f>
        <v>1.4692622181640957</v>
      </c>
      <c r="F43" s="37">
        <v>0</v>
      </c>
      <c r="G43" s="31">
        <v>3281</v>
      </c>
      <c r="H43" s="38">
        <v>0</v>
      </c>
      <c r="I43" s="38">
        <v>0</v>
      </c>
      <c r="J43" s="14"/>
      <c r="K43" s="14"/>
      <c r="L43" s="14"/>
      <c r="M43" s="21"/>
    </row>
    <row r="44" spans="1:13" s="3" customFormat="1" x14ac:dyDescent="0.25">
      <c r="A44" s="35" t="s">
        <v>5</v>
      </c>
      <c r="B44" s="31">
        <v>2061.3592502634656</v>
      </c>
      <c r="C44" s="31">
        <v>0</v>
      </c>
      <c r="D44" s="9">
        <v>0</v>
      </c>
      <c r="E44" s="36">
        <f t="shared" ref="E44:F62" si="3">B44/G44</f>
        <v>0.95081146229864644</v>
      </c>
      <c r="F44" s="37">
        <v>0</v>
      </c>
      <c r="G44" s="31">
        <v>2168</v>
      </c>
      <c r="H44" s="38">
        <v>0</v>
      </c>
      <c r="I44" s="38">
        <v>0</v>
      </c>
      <c r="J44" s="14"/>
      <c r="K44" s="14"/>
      <c r="L44" s="14"/>
      <c r="M44" s="14"/>
    </row>
    <row r="45" spans="1:13" s="6" customFormat="1" x14ac:dyDescent="0.25">
      <c r="A45" s="35" t="s">
        <v>6</v>
      </c>
      <c r="B45" s="31">
        <v>3194.6032976825441</v>
      </c>
      <c r="C45" s="31">
        <v>0</v>
      </c>
      <c r="D45" s="9">
        <v>0</v>
      </c>
      <c r="E45" s="36">
        <f t="shared" si="3"/>
        <v>1.2329615197539729</v>
      </c>
      <c r="F45" s="37">
        <v>0</v>
      </c>
      <c r="G45" s="31">
        <v>2591</v>
      </c>
      <c r="H45" s="38">
        <v>0</v>
      </c>
      <c r="I45" s="38">
        <v>0</v>
      </c>
      <c r="J45" s="7"/>
      <c r="K45" s="7"/>
      <c r="L45" s="7"/>
      <c r="M45" s="29"/>
    </row>
    <row r="46" spans="1:13" s="6" customFormat="1" x14ac:dyDescent="0.25">
      <c r="A46" s="35" t="s">
        <v>8</v>
      </c>
      <c r="B46" s="31">
        <v>3699.9022280220142</v>
      </c>
      <c r="C46" s="31">
        <v>0</v>
      </c>
      <c r="D46" s="9">
        <v>0</v>
      </c>
      <c r="E46" s="36">
        <f t="shared" si="3"/>
        <v>1.8416636276864182</v>
      </c>
      <c r="F46" s="37">
        <v>0</v>
      </c>
      <c r="G46" s="31">
        <v>2009</v>
      </c>
      <c r="H46" s="38">
        <v>0</v>
      </c>
      <c r="I46" s="38">
        <v>0</v>
      </c>
      <c r="J46" s="7"/>
      <c r="K46" s="7"/>
      <c r="L46" s="7"/>
      <c r="M46" s="29"/>
    </row>
    <row r="47" spans="1:13" s="6" customFormat="1" x14ac:dyDescent="0.25">
      <c r="A47" s="35" t="s">
        <v>9</v>
      </c>
      <c r="B47" s="31">
        <v>6474.1999351819668</v>
      </c>
      <c r="C47" s="31">
        <v>0</v>
      </c>
      <c r="D47" s="9">
        <v>0</v>
      </c>
      <c r="E47" s="36">
        <f t="shared" si="3"/>
        <v>2.110234659446534</v>
      </c>
      <c r="F47" s="37">
        <v>0</v>
      </c>
      <c r="G47" s="31">
        <v>3068</v>
      </c>
      <c r="H47" s="38">
        <v>0</v>
      </c>
      <c r="I47" s="38">
        <v>0</v>
      </c>
      <c r="J47" s="7"/>
      <c r="K47" s="7"/>
      <c r="L47" s="7"/>
      <c r="M47" s="29"/>
    </row>
    <row r="48" spans="1:13" s="6" customFormat="1" x14ac:dyDescent="0.25">
      <c r="A48" s="35" t="s">
        <v>10</v>
      </c>
      <c r="B48" s="31">
        <v>1655.162966646096</v>
      </c>
      <c r="C48" s="31">
        <v>0</v>
      </c>
      <c r="D48" s="9">
        <v>0</v>
      </c>
      <c r="E48" s="36">
        <f t="shared" si="3"/>
        <v>1.6069543365496077</v>
      </c>
      <c r="F48" s="37">
        <v>0</v>
      </c>
      <c r="G48" s="31">
        <v>1030</v>
      </c>
      <c r="H48" s="38">
        <v>0</v>
      </c>
      <c r="I48" s="38">
        <v>0</v>
      </c>
      <c r="J48" s="7"/>
      <c r="K48" s="7"/>
      <c r="L48" s="7"/>
      <c r="M48" s="29"/>
    </row>
    <row r="49" spans="1:13" s="6" customFormat="1" x14ac:dyDescent="0.25">
      <c r="A49" s="35" t="s">
        <v>11</v>
      </c>
      <c r="B49" s="31">
        <v>4554.6509441370627</v>
      </c>
      <c r="C49" s="31">
        <v>0</v>
      </c>
      <c r="D49" s="9">
        <v>0</v>
      </c>
      <c r="E49" s="36">
        <f t="shared" si="3"/>
        <v>3.0984020028143284</v>
      </c>
      <c r="F49" s="37">
        <v>0</v>
      </c>
      <c r="G49" s="31">
        <v>1470</v>
      </c>
      <c r="H49" s="38">
        <v>0</v>
      </c>
      <c r="I49" s="38">
        <v>0</v>
      </c>
      <c r="J49" s="7"/>
      <c r="K49" s="7"/>
      <c r="L49" s="7"/>
      <c r="M49" s="29"/>
    </row>
    <row r="50" spans="1:13" s="6" customFormat="1" x14ac:dyDescent="0.25">
      <c r="A50" s="35" t="s">
        <v>12</v>
      </c>
      <c r="B50" s="31">
        <v>4040.3289710183249</v>
      </c>
      <c r="C50" s="31">
        <v>0</v>
      </c>
      <c r="D50" s="9">
        <v>0</v>
      </c>
      <c r="E50" s="36">
        <f t="shared" si="3"/>
        <v>2.6459259797107562</v>
      </c>
      <c r="F50" s="37">
        <v>0</v>
      </c>
      <c r="G50" s="31">
        <v>1527</v>
      </c>
      <c r="H50" s="38">
        <v>0</v>
      </c>
      <c r="I50" s="38">
        <v>0</v>
      </c>
      <c r="J50" s="7"/>
      <c r="K50" s="7"/>
      <c r="L50" s="7"/>
      <c r="M50" s="29"/>
    </row>
    <row r="51" spans="1:13" s="6" customFormat="1" x14ac:dyDescent="0.25">
      <c r="A51" s="35" t="s">
        <v>28</v>
      </c>
      <c r="B51" s="31">
        <v>2836.170164942137</v>
      </c>
      <c r="C51" s="31">
        <v>0</v>
      </c>
      <c r="D51" s="9">
        <v>0</v>
      </c>
      <c r="E51" s="36">
        <f t="shared" si="3"/>
        <v>1.1647516077791118</v>
      </c>
      <c r="F51" s="37">
        <v>0</v>
      </c>
      <c r="G51" s="31">
        <v>2435</v>
      </c>
      <c r="H51" s="38">
        <v>0</v>
      </c>
      <c r="I51" s="38">
        <v>0</v>
      </c>
      <c r="J51" s="7"/>
      <c r="K51" s="7"/>
      <c r="L51" s="7"/>
      <c r="M51" s="29"/>
    </row>
    <row r="52" spans="1:13" s="6" customFormat="1" x14ac:dyDescent="0.25">
      <c r="A52" s="35" t="s">
        <v>13</v>
      </c>
      <c r="B52" s="31">
        <v>3008.0433639696066</v>
      </c>
      <c r="C52" s="31">
        <v>0</v>
      </c>
      <c r="D52" s="9">
        <v>0</v>
      </c>
      <c r="E52" s="36">
        <f t="shared" si="3"/>
        <v>0.96877403026396347</v>
      </c>
      <c r="F52" s="37">
        <v>0</v>
      </c>
      <c r="G52" s="31">
        <v>3105</v>
      </c>
      <c r="H52" s="38">
        <v>0</v>
      </c>
      <c r="I52" s="38">
        <v>0</v>
      </c>
      <c r="J52" s="7"/>
      <c r="K52" s="7"/>
      <c r="L52" s="7"/>
      <c r="M52" s="29"/>
    </row>
    <row r="53" spans="1:13" s="6" customFormat="1" x14ac:dyDescent="0.25">
      <c r="A53" s="35" t="s">
        <v>14</v>
      </c>
      <c r="B53" s="31">
        <v>256.77748611255851</v>
      </c>
      <c r="C53" s="31">
        <v>0</v>
      </c>
      <c r="D53" s="9">
        <v>0</v>
      </c>
      <c r="E53" s="36">
        <f t="shared" si="3"/>
        <v>1.1998947949184977</v>
      </c>
      <c r="F53" s="37">
        <v>0</v>
      </c>
      <c r="G53" s="31">
        <v>214</v>
      </c>
      <c r="H53" s="38">
        <v>0</v>
      </c>
      <c r="I53" s="38">
        <v>0</v>
      </c>
      <c r="J53" s="7"/>
      <c r="K53" s="7"/>
      <c r="L53" s="7"/>
      <c r="M53" s="29"/>
    </row>
    <row r="54" spans="1:13" s="6" customFormat="1" x14ac:dyDescent="0.25">
      <c r="A54" s="35" t="s">
        <v>15</v>
      </c>
      <c r="B54" s="31">
        <v>3660.9335097969492</v>
      </c>
      <c r="C54" s="31">
        <v>0</v>
      </c>
      <c r="D54" s="9">
        <v>0</v>
      </c>
      <c r="E54" s="36">
        <f t="shared" si="3"/>
        <v>2.6037933924587122</v>
      </c>
      <c r="F54" s="37">
        <v>0</v>
      </c>
      <c r="G54" s="31">
        <v>1406</v>
      </c>
      <c r="H54" s="38">
        <v>0</v>
      </c>
      <c r="I54" s="38">
        <v>0</v>
      </c>
      <c r="J54" s="7"/>
      <c r="K54" s="7"/>
      <c r="L54" s="7"/>
      <c r="M54" s="29"/>
    </row>
    <row r="55" spans="1:13" s="6" customFormat="1" x14ac:dyDescent="0.25">
      <c r="A55" s="35" t="s">
        <v>16</v>
      </c>
      <c r="B55" s="31">
        <v>2658.2474096926726</v>
      </c>
      <c r="C55" s="31">
        <v>0</v>
      </c>
      <c r="D55" s="9">
        <v>0</v>
      </c>
      <c r="E55" s="36">
        <f t="shared" si="3"/>
        <v>1.3660058631514247</v>
      </c>
      <c r="F55" s="37">
        <v>0</v>
      </c>
      <c r="G55" s="31">
        <v>1946</v>
      </c>
      <c r="H55" s="38">
        <v>0</v>
      </c>
      <c r="I55" s="38">
        <v>0</v>
      </c>
      <c r="J55" s="7"/>
      <c r="K55" s="7"/>
      <c r="L55" s="7"/>
      <c r="M55" s="29"/>
    </row>
    <row r="56" spans="1:13" s="6" customFormat="1" x14ac:dyDescent="0.25">
      <c r="A56" s="35" t="s">
        <v>17</v>
      </c>
      <c r="B56" s="31">
        <v>9900.4574381934217</v>
      </c>
      <c r="C56" s="31">
        <v>0</v>
      </c>
      <c r="D56" s="9">
        <v>0</v>
      </c>
      <c r="E56" s="36">
        <f t="shared" si="3"/>
        <v>2.0712254054797952</v>
      </c>
      <c r="F56" s="37">
        <v>0</v>
      </c>
      <c r="G56" s="31">
        <v>4780</v>
      </c>
      <c r="H56" s="38">
        <v>0</v>
      </c>
      <c r="I56" s="38">
        <v>0</v>
      </c>
      <c r="J56" s="7"/>
      <c r="K56" s="7"/>
      <c r="L56" s="7"/>
      <c r="M56" s="29"/>
    </row>
    <row r="57" spans="1:13" s="6" customFormat="1" x14ac:dyDescent="0.25">
      <c r="A57" s="35" t="s">
        <v>18</v>
      </c>
      <c r="B57" s="31">
        <v>7198.979222843951</v>
      </c>
      <c r="C57" s="31">
        <v>0</v>
      </c>
      <c r="D57" s="9">
        <v>0</v>
      </c>
      <c r="E57" s="36">
        <f t="shared" si="3"/>
        <v>2.5573638447047782</v>
      </c>
      <c r="F57" s="37">
        <v>0</v>
      </c>
      <c r="G57" s="31">
        <v>2815</v>
      </c>
      <c r="H57" s="38">
        <v>0</v>
      </c>
      <c r="I57" s="38">
        <v>0</v>
      </c>
      <c r="J57" s="7"/>
      <c r="K57" s="7"/>
      <c r="L57" s="7"/>
      <c r="M57" s="29"/>
    </row>
    <row r="58" spans="1:13" s="6" customFormat="1" x14ac:dyDescent="0.25">
      <c r="A58" s="35" t="s">
        <v>19</v>
      </c>
      <c r="B58" s="31">
        <v>9774.0388693018049</v>
      </c>
      <c r="C58" s="31">
        <v>0</v>
      </c>
      <c r="D58" s="9">
        <v>0</v>
      </c>
      <c r="E58" s="36">
        <f t="shared" si="3"/>
        <v>2.4325631830019425</v>
      </c>
      <c r="F58" s="37">
        <v>0</v>
      </c>
      <c r="G58" s="31">
        <v>4018</v>
      </c>
      <c r="H58" s="38">
        <v>0</v>
      </c>
      <c r="I58" s="38">
        <v>0</v>
      </c>
      <c r="J58" s="7"/>
      <c r="K58" s="7"/>
      <c r="L58" s="7"/>
      <c r="M58" s="29"/>
    </row>
    <row r="59" spans="1:13" s="6" customFormat="1" x14ac:dyDescent="0.25">
      <c r="A59" s="35" t="s">
        <v>20</v>
      </c>
      <c r="B59" s="31">
        <v>18765.171841803924</v>
      </c>
      <c r="C59" s="31">
        <v>0</v>
      </c>
      <c r="D59" s="49">
        <v>0</v>
      </c>
      <c r="E59" s="36">
        <f t="shared" si="3"/>
        <v>3.7144045609271426</v>
      </c>
      <c r="F59" s="37">
        <v>0</v>
      </c>
      <c r="G59" s="31">
        <v>5052</v>
      </c>
      <c r="H59" s="38">
        <v>0</v>
      </c>
      <c r="I59" s="38">
        <v>0</v>
      </c>
      <c r="J59" s="7"/>
      <c r="K59" s="7"/>
      <c r="L59" s="7"/>
      <c r="M59" s="29"/>
    </row>
    <row r="60" spans="1:13" s="40" customFormat="1" x14ac:dyDescent="0.25">
      <c r="A60" s="35" t="s">
        <v>21</v>
      </c>
      <c r="B60" s="31">
        <v>12206.472782385414</v>
      </c>
      <c r="C60" s="31">
        <v>7.1514180082576013</v>
      </c>
      <c r="D60" s="49">
        <v>0</v>
      </c>
      <c r="E60" s="36">
        <f t="shared" si="3"/>
        <v>3.4835824150643302</v>
      </c>
      <c r="F60" s="37">
        <f t="shared" si="3"/>
        <v>7.1514180082576013</v>
      </c>
      <c r="G60" s="31">
        <v>3504</v>
      </c>
      <c r="H60" s="38">
        <v>1</v>
      </c>
      <c r="I60" s="38">
        <v>0</v>
      </c>
      <c r="J60" s="39"/>
      <c r="K60" s="39"/>
      <c r="L60" s="39"/>
      <c r="M60" s="29"/>
    </row>
    <row r="61" spans="1:13" s="40" customFormat="1" x14ac:dyDescent="0.25">
      <c r="A61" s="35" t="s">
        <v>22</v>
      </c>
      <c r="B61" s="31">
        <v>2514.6250002798993</v>
      </c>
      <c r="C61" s="31">
        <v>1.6147098023605655</v>
      </c>
      <c r="D61" s="49">
        <v>0</v>
      </c>
      <c r="E61" s="36">
        <f t="shared" si="3"/>
        <v>1.1679633071434739</v>
      </c>
      <c r="F61" s="37">
        <f t="shared" si="3"/>
        <v>0.23067282890865221</v>
      </c>
      <c r="G61" s="31">
        <v>2153</v>
      </c>
      <c r="H61" s="38">
        <v>7</v>
      </c>
      <c r="I61" s="38">
        <v>0</v>
      </c>
      <c r="J61" s="39"/>
      <c r="K61" s="39"/>
      <c r="L61" s="39"/>
      <c r="M61" s="29"/>
    </row>
    <row r="62" spans="1:13" s="40" customFormat="1" x14ac:dyDescent="0.25">
      <c r="A62" s="4" t="s">
        <v>7</v>
      </c>
      <c r="B62" s="41">
        <v>7174.7982097151826</v>
      </c>
      <c r="C62" s="41">
        <v>2.3741511382927554</v>
      </c>
      <c r="D62" s="50">
        <v>0</v>
      </c>
      <c r="E62" s="42">
        <f t="shared" si="3"/>
        <v>3.744675474799156</v>
      </c>
      <c r="F62" s="43">
        <f t="shared" si="3"/>
        <v>0.39569185638212589</v>
      </c>
      <c r="G62" s="41">
        <v>1916</v>
      </c>
      <c r="H62" s="44">
        <v>6</v>
      </c>
      <c r="I62" s="44">
        <v>0</v>
      </c>
      <c r="J62" s="39"/>
      <c r="K62" s="39"/>
      <c r="L62" s="39"/>
      <c r="M62" s="29"/>
    </row>
    <row r="63" spans="1:13" s="40" customFormat="1" ht="17.25" x14ac:dyDescent="0.45">
      <c r="A63" s="2" t="s">
        <v>23</v>
      </c>
      <c r="B63" s="11"/>
      <c r="C63" s="11"/>
      <c r="D63" s="11"/>
      <c r="E63" s="11"/>
      <c r="F63" s="11"/>
      <c r="G63" s="11"/>
      <c r="H63" s="45"/>
      <c r="I63" s="46" t="s">
        <v>34</v>
      </c>
      <c r="J63" s="39"/>
      <c r="K63" s="39"/>
      <c r="L63" s="39"/>
      <c r="M63" s="29"/>
    </row>
    <row r="64" spans="1:13" s="40" customFormat="1" ht="17.25" x14ac:dyDescent="0.45">
      <c r="A64" s="2"/>
      <c r="B64" s="11"/>
      <c r="C64" s="11"/>
      <c r="D64" s="11"/>
      <c r="E64" s="11"/>
      <c r="F64" s="11"/>
      <c r="G64" s="11"/>
      <c r="H64" s="45"/>
      <c r="I64" s="46"/>
      <c r="J64" s="39"/>
      <c r="K64" s="39"/>
      <c r="L64" s="39"/>
      <c r="M64" s="29"/>
    </row>
    <row r="65" spans="4:9" x14ac:dyDescent="0.25">
      <c r="D65" s="1"/>
      <c r="E65" s="1"/>
      <c r="F65" s="1"/>
      <c r="I65" s="1"/>
    </row>
    <row r="66" spans="4:9" x14ac:dyDescent="0.25">
      <c r="D66" s="1"/>
      <c r="E66" s="1"/>
      <c r="F66" s="1"/>
      <c r="I66" s="1"/>
    </row>
    <row r="67" spans="4:9" x14ac:dyDescent="0.25">
      <c r="D67" s="1"/>
      <c r="E67" s="1"/>
      <c r="F67" s="1"/>
      <c r="I67" s="1"/>
    </row>
    <row r="68" spans="4:9" x14ac:dyDescent="0.25">
      <c r="D68" s="1"/>
      <c r="E68" s="1"/>
      <c r="F68" s="1"/>
      <c r="I68" s="1"/>
    </row>
    <row r="69" spans="4:9" x14ac:dyDescent="0.25">
      <c r="D69" s="1"/>
      <c r="E69" s="1"/>
      <c r="F69" s="1"/>
      <c r="I69" s="1"/>
    </row>
    <row r="70" spans="4:9" x14ac:dyDescent="0.25">
      <c r="D70" s="1"/>
      <c r="E70" s="1"/>
      <c r="F70" s="1"/>
      <c r="I70" s="1"/>
    </row>
    <row r="71" spans="4:9" x14ac:dyDescent="0.25">
      <c r="D71" s="1"/>
      <c r="E71" s="1"/>
      <c r="F71" s="1"/>
      <c r="I71" s="1"/>
    </row>
    <row r="72" spans="4:9" x14ac:dyDescent="0.25">
      <c r="D72" s="1"/>
      <c r="E72" s="1"/>
      <c r="F72" s="1"/>
      <c r="I72" s="1"/>
    </row>
    <row r="73" spans="4:9" x14ac:dyDescent="0.25">
      <c r="D73" s="1"/>
      <c r="E73" s="1"/>
      <c r="F73" s="1"/>
      <c r="I73" s="1"/>
    </row>
    <row r="74" spans="4:9" x14ac:dyDescent="0.25">
      <c r="D74" s="1"/>
      <c r="E74" s="1"/>
      <c r="F74" s="1"/>
      <c r="I74" s="1"/>
    </row>
    <row r="75" spans="4:9" x14ac:dyDescent="0.25">
      <c r="D75" s="1"/>
      <c r="E75" s="1"/>
      <c r="F75" s="1"/>
      <c r="I75" s="1"/>
    </row>
    <row r="76" spans="4:9" x14ac:dyDescent="0.25">
      <c r="D76" s="1"/>
      <c r="E76" s="1"/>
      <c r="F76" s="1"/>
      <c r="I76" s="1"/>
    </row>
    <row r="77" spans="4:9" x14ac:dyDescent="0.25">
      <c r="D77" s="1"/>
      <c r="E77" s="1"/>
      <c r="F77" s="1"/>
      <c r="I77" s="1"/>
    </row>
    <row r="78" spans="4:9" x14ac:dyDescent="0.25">
      <c r="D78" s="1"/>
      <c r="E78" s="1"/>
      <c r="F78" s="1"/>
      <c r="I78" s="1"/>
    </row>
    <row r="79" spans="4:9" x14ac:dyDescent="0.25">
      <c r="D79" s="1"/>
      <c r="E79" s="1"/>
      <c r="F79" s="1"/>
      <c r="I79" s="1"/>
    </row>
    <row r="80" spans="4:9" x14ac:dyDescent="0.25">
      <c r="D80" s="1"/>
      <c r="E80" s="1"/>
      <c r="F80" s="1"/>
      <c r="I80" s="1"/>
    </row>
    <row r="81" spans="4:9" x14ac:dyDescent="0.25">
      <c r="D81" s="1"/>
      <c r="E81" s="1"/>
      <c r="F81" s="1"/>
      <c r="I81" s="1"/>
    </row>
    <row r="82" spans="4:9" x14ac:dyDescent="0.25">
      <c r="D82" s="1"/>
      <c r="E82" s="1"/>
      <c r="F82" s="1"/>
      <c r="I82" s="1"/>
    </row>
    <row r="83" spans="4:9" x14ac:dyDescent="0.25">
      <c r="D83" s="1"/>
      <c r="E83" s="1"/>
      <c r="F83" s="1"/>
      <c r="I83" s="1"/>
    </row>
    <row r="84" spans="4:9" x14ac:dyDescent="0.25">
      <c r="D84" s="1"/>
      <c r="E84" s="1"/>
      <c r="F84" s="1"/>
      <c r="I84" s="1"/>
    </row>
    <row r="85" spans="4:9" x14ac:dyDescent="0.25">
      <c r="D85" s="1"/>
      <c r="E85" s="1"/>
      <c r="F85" s="1"/>
      <c r="I85" s="1"/>
    </row>
    <row r="86" spans="4:9" x14ac:dyDescent="0.25">
      <c r="D86" s="1"/>
      <c r="E86" s="1"/>
      <c r="F86" s="1"/>
      <c r="I86" s="1"/>
    </row>
    <row r="87" spans="4:9" x14ac:dyDescent="0.25">
      <c r="D87" s="1"/>
      <c r="E87" s="1"/>
      <c r="F87" s="1"/>
      <c r="I87" s="1"/>
    </row>
    <row r="88" spans="4:9" x14ac:dyDescent="0.25">
      <c r="D88" s="1"/>
      <c r="E88" s="1"/>
      <c r="F88" s="1"/>
      <c r="I88" s="1"/>
    </row>
    <row r="89" spans="4:9" x14ac:dyDescent="0.25">
      <c r="D89" s="1"/>
      <c r="E89" s="1"/>
      <c r="F89" s="1"/>
      <c r="I89" s="1"/>
    </row>
    <row r="90" spans="4:9" x14ac:dyDescent="0.25">
      <c r="D90" s="1"/>
      <c r="E90" s="1"/>
      <c r="F90" s="1"/>
      <c r="I90" s="1"/>
    </row>
    <row r="91" spans="4:9" x14ac:dyDescent="0.25">
      <c r="D91" s="1"/>
      <c r="E91" s="1"/>
      <c r="F91" s="1"/>
      <c r="I91" s="1"/>
    </row>
    <row r="92" spans="4:9" x14ac:dyDescent="0.25">
      <c r="D92" s="1"/>
      <c r="E92" s="1"/>
      <c r="F92" s="1"/>
      <c r="I92" s="1"/>
    </row>
    <row r="93" spans="4:9" x14ac:dyDescent="0.25">
      <c r="D93" s="1"/>
      <c r="E93" s="1"/>
      <c r="F93" s="1"/>
      <c r="I93" s="1"/>
    </row>
    <row r="94" spans="4:9" x14ac:dyDescent="0.25">
      <c r="D94" s="1"/>
      <c r="E94" s="1"/>
      <c r="F94" s="1"/>
      <c r="I94" s="1"/>
    </row>
    <row r="95" spans="4:9" x14ac:dyDescent="0.25">
      <c r="D95" s="1"/>
      <c r="E95" s="1"/>
      <c r="F95" s="1"/>
      <c r="I95" s="1"/>
    </row>
    <row r="96" spans="4:9" x14ac:dyDescent="0.25">
      <c r="D96" s="1"/>
      <c r="E96" s="1"/>
      <c r="F96" s="1"/>
      <c r="I96" s="1"/>
    </row>
    <row r="97" spans="4:9" x14ac:dyDescent="0.25">
      <c r="D97" s="1"/>
      <c r="E97" s="1"/>
      <c r="F97" s="1"/>
      <c r="I97" s="1"/>
    </row>
    <row r="98" spans="4:9" x14ac:dyDescent="0.25">
      <c r="D98" s="1"/>
      <c r="E98" s="1"/>
      <c r="F98" s="1"/>
      <c r="I98" s="1"/>
    </row>
    <row r="99" spans="4:9" x14ac:dyDescent="0.25">
      <c r="D99" s="1"/>
      <c r="E99" s="1"/>
      <c r="F99" s="1"/>
      <c r="I99" s="1"/>
    </row>
    <row r="100" spans="4:9" x14ac:dyDescent="0.25">
      <c r="D100" s="1"/>
      <c r="E100" s="1"/>
      <c r="F100" s="1"/>
      <c r="I100" s="1"/>
    </row>
    <row r="101" spans="4:9" x14ac:dyDescent="0.25">
      <c r="D101" s="1"/>
      <c r="E101" s="1"/>
      <c r="F101" s="1"/>
      <c r="I101" s="1"/>
    </row>
    <row r="102" spans="4:9" x14ac:dyDescent="0.25">
      <c r="D102" s="1"/>
      <c r="E102" s="1"/>
      <c r="F102" s="1"/>
      <c r="I102" s="1"/>
    </row>
    <row r="103" spans="4:9" x14ac:dyDescent="0.25">
      <c r="D103" s="1"/>
      <c r="E103" s="1"/>
      <c r="F103" s="1"/>
      <c r="I103" s="1"/>
    </row>
    <row r="104" spans="4:9" x14ac:dyDescent="0.25">
      <c r="D104" s="1"/>
      <c r="E104" s="1"/>
      <c r="F104" s="1"/>
      <c r="I104" s="1"/>
    </row>
    <row r="105" spans="4:9" x14ac:dyDescent="0.25">
      <c r="D105" s="1"/>
      <c r="E105" s="1"/>
      <c r="F105" s="1"/>
      <c r="I105" s="1"/>
    </row>
    <row r="106" spans="4:9" x14ac:dyDescent="0.25">
      <c r="D106" s="1"/>
      <c r="E106" s="1"/>
      <c r="F106" s="1"/>
      <c r="I106" s="1"/>
    </row>
    <row r="107" spans="4:9" x14ac:dyDescent="0.25">
      <c r="D107" s="1"/>
      <c r="E107" s="1"/>
      <c r="F107" s="1"/>
      <c r="I107" s="1"/>
    </row>
    <row r="108" spans="4:9" x14ac:dyDescent="0.25">
      <c r="D108" s="1"/>
      <c r="E108" s="1"/>
      <c r="F108" s="1"/>
      <c r="I108" s="1"/>
    </row>
    <row r="109" spans="4:9" x14ac:dyDescent="0.25">
      <c r="D109" s="1"/>
      <c r="E109" s="1"/>
      <c r="F109" s="1"/>
      <c r="I109" s="1"/>
    </row>
    <row r="110" spans="4:9" x14ac:dyDescent="0.25">
      <c r="D110" s="1"/>
      <c r="E110" s="1"/>
      <c r="F110" s="1"/>
      <c r="I110" s="1"/>
    </row>
    <row r="111" spans="4:9" x14ac:dyDescent="0.25">
      <c r="D111" s="1"/>
      <c r="E111" s="1"/>
      <c r="F111" s="1"/>
      <c r="I111" s="1"/>
    </row>
    <row r="112" spans="4:9" x14ac:dyDescent="0.25">
      <c r="D112" s="1"/>
      <c r="E112" s="1"/>
      <c r="F112" s="1"/>
      <c r="I112" s="1"/>
    </row>
    <row r="113" spans="4:9" x14ac:dyDescent="0.25">
      <c r="D113" s="1"/>
      <c r="E113" s="1"/>
      <c r="F113" s="1"/>
      <c r="I113" s="1"/>
    </row>
    <row r="114" spans="4:9" x14ac:dyDescent="0.25">
      <c r="D114" s="1"/>
      <c r="E114" s="1"/>
      <c r="F114" s="1"/>
      <c r="I114" s="1"/>
    </row>
    <row r="115" spans="4:9" x14ac:dyDescent="0.25">
      <c r="D115" s="1"/>
      <c r="E115" s="1"/>
      <c r="F115" s="1"/>
      <c r="I115" s="1"/>
    </row>
    <row r="116" spans="4:9" x14ac:dyDescent="0.25">
      <c r="D116" s="1"/>
      <c r="E116" s="1"/>
      <c r="F116" s="1"/>
      <c r="I116" s="1"/>
    </row>
    <row r="117" spans="4:9" x14ac:dyDescent="0.25">
      <c r="D117" s="1"/>
      <c r="E117" s="1"/>
      <c r="F117" s="1"/>
      <c r="I117" s="1"/>
    </row>
    <row r="118" spans="4:9" x14ac:dyDescent="0.25">
      <c r="D118" s="1"/>
      <c r="E118" s="1"/>
      <c r="F118" s="1"/>
      <c r="I118" s="1"/>
    </row>
    <row r="119" spans="4:9" x14ac:dyDescent="0.25">
      <c r="D119" s="1"/>
      <c r="E119" s="1"/>
      <c r="F119" s="1"/>
      <c r="I119" s="1"/>
    </row>
    <row r="120" spans="4:9" x14ac:dyDescent="0.25">
      <c r="D120" s="1"/>
      <c r="E120" s="1"/>
      <c r="F120" s="1"/>
      <c r="I120" s="1"/>
    </row>
    <row r="121" spans="4:9" x14ac:dyDescent="0.25">
      <c r="D121" s="1"/>
      <c r="E121" s="1"/>
      <c r="F121" s="1"/>
      <c r="I121" s="1"/>
    </row>
    <row r="122" spans="4:9" x14ac:dyDescent="0.25">
      <c r="D122" s="1"/>
      <c r="E122" s="1"/>
      <c r="F122" s="1"/>
      <c r="I122" s="1"/>
    </row>
    <row r="123" spans="4:9" x14ac:dyDescent="0.25">
      <c r="D123" s="1"/>
      <c r="E123" s="1"/>
      <c r="F123" s="1"/>
      <c r="I123" s="1"/>
    </row>
    <row r="124" spans="4:9" x14ac:dyDescent="0.25">
      <c r="D124" s="1"/>
      <c r="E124" s="1"/>
      <c r="F124" s="1"/>
      <c r="I124" s="1"/>
    </row>
    <row r="125" spans="4:9" x14ac:dyDescent="0.25">
      <c r="D125" s="1"/>
      <c r="E125" s="1"/>
      <c r="F125" s="1"/>
      <c r="I125" s="1"/>
    </row>
    <row r="126" spans="4:9" x14ac:dyDescent="0.25">
      <c r="D126" s="1"/>
      <c r="E126" s="1"/>
      <c r="F126" s="1"/>
      <c r="I126" s="1"/>
    </row>
    <row r="127" spans="4:9" x14ac:dyDescent="0.25">
      <c r="D127" s="1"/>
      <c r="E127" s="1"/>
      <c r="F127" s="1"/>
      <c r="I127" s="1"/>
    </row>
    <row r="128" spans="4:9" x14ac:dyDescent="0.25">
      <c r="D128" s="1"/>
      <c r="E128" s="1"/>
      <c r="F128" s="1"/>
      <c r="I128" s="1"/>
    </row>
    <row r="129" spans="4:9" x14ac:dyDescent="0.25">
      <c r="D129" s="1"/>
      <c r="E129" s="1"/>
      <c r="F129" s="1"/>
      <c r="I129" s="1"/>
    </row>
    <row r="130" spans="4:9" x14ac:dyDescent="0.25">
      <c r="D130" s="1"/>
      <c r="E130" s="1"/>
      <c r="F130" s="1"/>
      <c r="I130" s="1"/>
    </row>
    <row r="131" spans="4:9" x14ac:dyDescent="0.25">
      <c r="D131" s="1"/>
      <c r="E131" s="1"/>
      <c r="F131" s="1"/>
      <c r="I131" s="1"/>
    </row>
    <row r="132" spans="4:9" x14ac:dyDescent="0.25">
      <c r="D132" s="1"/>
      <c r="E132" s="1"/>
      <c r="F132" s="1"/>
      <c r="I132" s="1"/>
    </row>
    <row r="133" spans="4:9" x14ac:dyDescent="0.25">
      <c r="D133" s="1"/>
      <c r="E133" s="1"/>
      <c r="F133" s="1"/>
      <c r="I133" s="1"/>
    </row>
    <row r="134" spans="4:9" x14ac:dyDescent="0.25">
      <c r="D134" s="1"/>
      <c r="E134" s="1"/>
      <c r="F134" s="1"/>
      <c r="I134" s="1"/>
    </row>
    <row r="135" spans="4:9" x14ac:dyDescent="0.25">
      <c r="D135" s="1"/>
      <c r="E135" s="1"/>
      <c r="F135" s="1"/>
      <c r="I135" s="1"/>
    </row>
    <row r="136" spans="4:9" x14ac:dyDescent="0.25">
      <c r="D136" s="1"/>
      <c r="E136" s="1"/>
      <c r="F136" s="1"/>
      <c r="I136" s="1"/>
    </row>
    <row r="137" spans="4:9" x14ac:dyDescent="0.25">
      <c r="D137" s="1"/>
      <c r="E137" s="1"/>
      <c r="F137" s="1"/>
      <c r="I137" s="1"/>
    </row>
    <row r="138" spans="4:9" x14ac:dyDescent="0.25">
      <c r="D138" s="1"/>
      <c r="E138" s="1"/>
      <c r="F138" s="1"/>
      <c r="I138" s="1"/>
    </row>
    <row r="139" spans="4:9" x14ac:dyDescent="0.25">
      <c r="D139" s="1"/>
      <c r="E139" s="1"/>
      <c r="F139" s="1"/>
      <c r="I139" s="1"/>
    </row>
    <row r="140" spans="4:9" x14ac:dyDescent="0.25">
      <c r="D140" s="1"/>
      <c r="E140" s="1"/>
      <c r="F140" s="1"/>
      <c r="I140" s="1"/>
    </row>
    <row r="141" spans="4:9" x14ac:dyDescent="0.25">
      <c r="D141" s="1"/>
      <c r="E141" s="1"/>
      <c r="F141" s="1"/>
      <c r="I141" s="1"/>
    </row>
    <row r="142" spans="4:9" x14ac:dyDescent="0.25">
      <c r="D142" s="1"/>
      <c r="E142" s="1"/>
      <c r="F142" s="1"/>
      <c r="I142" s="1"/>
    </row>
    <row r="143" spans="4:9" x14ac:dyDescent="0.25">
      <c r="D143" s="1"/>
      <c r="E143" s="1"/>
      <c r="F143" s="1"/>
      <c r="I143" s="1"/>
    </row>
    <row r="144" spans="4:9" x14ac:dyDescent="0.25">
      <c r="D144" s="1"/>
      <c r="E144" s="1"/>
      <c r="F144" s="1"/>
      <c r="I144" s="1"/>
    </row>
    <row r="145" spans="4:9" x14ac:dyDescent="0.25">
      <c r="D145" s="1"/>
      <c r="E145" s="1"/>
      <c r="F145" s="1"/>
      <c r="I145" s="1"/>
    </row>
    <row r="146" spans="4:9" x14ac:dyDescent="0.25">
      <c r="D146" s="1"/>
      <c r="E146" s="1"/>
      <c r="F146" s="1"/>
      <c r="I146" s="1"/>
    </row>
    <row r="147" spans="4:9" x14ac:dyDescent="0.25">
      <c r="D147" s="1"/>
      <c r="E147" s="1"/>
      <c r="F147" s="1"/>
      <c r="I147" s="1"/>
    </row>
    <row r="148" spans="4:9" x14ac:dyDescent="0.25">
      <c r="D148" s="1"/>
      <c r="E148" s="1"/>
      <c r="F148" s="1"/>
      <c r="I148" s="1"/>
    </row>
    <row r="149" spans="4:9" x14ac:dyDescent="0.25">
      <c r="D149" s="1"/>
      <c r="E149" s="1"/>
      <c r="F149" s="1"/>
      <c r="I149" s="1"/>
    </row>
    <row r="150" spans="4:9" x14ac:dyDescent="0.25">
      <c r="D150" s="1"/>
      <c r="E150" s="1"/>
      <c r="F150" s="1"/>
      <c r="I150" s="1"/>
    </row>
    <row r="151" spans="4:9" x14ac:dyDescent="0.25">
      <c r="D151" s="1"/>
      <c r="E151" s="1"/>
      <c r="F151" s="1"/>
      <c r="I151" s="1"/>
    </row>
    <row r="152" spans="4:9" x14ac:dyDescent="0.25">
      <c r="D152" s="1"/>
      <c r="E152" s="1"/>
      <c r="F152" s="1"/>
      <c r="I152" s="1"/>
    </row>
    <row r="153" spans="4:9" x14ac:dyDescent="0.25">
      <c r="D153" s="1"/>
      <c r="E153" s="1"/>
      <c r="F153" s="1"/>
      <c r="I153" s="1"/>
    </row>
    <row r="154" spans="4:9" x14ac:dyDescent="0.25">
      <c r="D154" s="1"/>
      <c r="E154" s="1"/>
      <c r="F154" s="1"/>
      <c r="I154" s="1"/>
    </row>
    <row r="155" spans="4:9" x14ac:dyDescent="0.25">
      <c r="D155" s="1"/>
      <c r="E155" s="1"/>
      <c r="F155" s="1"/>
      <c r="I155" s="1"/>
    </row>
    <row r="156" spans="4:9" x14ac:dyDescent="0.25">
      <c r="D156" s="1"/>
      <c r="E156" s="1"/>
      <c r="F156" s="1"/>
      <c r="I156" s="1"/>
    </row>
    <row r="157" spans="4:9" x14ac:dyDescent="0.25">
      <c r="D157" s="1"/>
      <c r="E157" s="1"/>
      <c r="F157" s="1"/>
      <c r="I157" s="1"/>
    </row>
    <row r="158" spans="4:9" x14ac:dyDescent="0.25">
      <c r="D158" s="1"/>
      <c r="E158" s="1"/>
      <c r="F158" s="1"/>
      <c r="I158" s="1"/>
    </row>
    <row r="159" spans="4:9" x14ac:dyDescent="0.25">
      <c r="D159" s="1"/>
      <c r="E159" s="1"/>
      <c r="F159" s="1"/>
      <c r="I159" s="1"/>
    </row>
    <row r="160" spans="4:9" x14ac:dyDescent="0.25">
      <c r="D160" s="1"/>
      <c r="E160" s="1"/>
      <c r="F160" s="1"/>
      <c r="I160" s="1"/>
    </row>
    <row r="161" spans="4:9" x14ac:dyDescent="0.25">
      <c r="D161" s="1"/>
      <c r="E161" s="1"/>
      <c r="F161" s="1"/>
      <c r="I161" s="1"/>
    </row>
    <row r="162" spans="4:9" x14ac:dyDescent="0.25">
      <c r="D162" s="1"/>
      <c r="E162" s="1"/>
      <c r="F162" s="1"/>
      <c r="I162" s="1"/>
    </row>
    <row r="163" spans="4:9" x14ac:dyDescent="0.25">
      <c r="D163" s="1"/>
      <c r="E163" s="1"/>
      <c r="F163" s="1"/>
      <c r="I163" s="1"/>
    </row>
    <row r="164" spans="4:9" x14ac:dyDescent="0.25">
      <c r="D164" s="1"/>
      <c r="E164" s="1"/>
      <c r="F164" s="1"/>
      <c r="I164" s="1"/>
    </row>
    <row r="165" spans="4:9" x14ac:dyDescent="0.25">
      <c r="D165" s="1"/>
      <c r="E165" s="1"/>
      <c r="F165" s="1"/>
      <c r="I165" s="1"/>
    </row>
    <row r="166" spans="4:9" x14ac:dyDescent="0.25">
      <c r="D166" s="1"/>
      <c r="E166" s="1"/>
      <c r="F166" s="1"/>
      <c r="I166" s="1"/>
    </row>
    <row r="167" spans="4:9" x14ac:dyDescent="0.25">
      <c r="D167" s="1"/>
      <c r="E167" s="1"/>
      <c r="F167" s="1"/>
      <c r="I167" s="1"/>
    </row>
    <row r="168" spans="4:9" x14ac:dyDescent="0.25">
      <c r="D168" s="1"/>
      <c r="E168" s="1"/>
      <c r="F168" s="1"/>
      <c r="I168" s="1"/>
    </row>
    <row r="169" spans="4:9" x14ac:dyDescent="0.25">
      <c r="D169" s="1"/>
      <c r="E169" s="1"/>
      <c r="F169" s="1"/>
      <c r="I169" s="1"/>
    </row>
    <row r="170" spans="4:9" x14ac:dyDescent="0.25">
      <c r="D170" s="1"/>
      <c r="E170" s="1"/>
      <c r="F170" s="1"/>
      <c r="I170" s="1"/>
    </row>
    <row r="171" spans="4:9" x14ac:dyDescent="0.25">
      <c r="D171" s="1"/>
      <c r="E171" s="1"/>
      <c r="F171" s="1"/>
      <c r="I171" s="1"/>
    </row>
    <row r="172" spans="4:9" x14ac:dyDescent="0.25">
      <c r="D172" s="1"/>
      <c r="E172" s="1"/>
      <c r="F172" s="1"/>
      <c r="I172" s="1"/>
    </row>
    <row r="173" spans="4:9" x14ac:dyDescent="0.25">
      <c r="D173" s="1"/>
      <c r="E173" s="1"/>
      <c r="F173" s="1"/>
      <c r="I173" s="1"/>
    </row>
    <row r="174" spans="4:9" x14ac:dyDescent="0.25">
      <c r="D174" s="1"/>
      <c r="E174" s="1"/>
      <c r="F174" s="1"/>
      <c r="I174" s="1"/>
    </row>
    <row r="175" spans="4:9" x14ac:dyDescent="0.25">
      <c r="D175" s="1"/>
      <c r="E175" s="1"/>
      <c r="F175" s="1"/>
      <c r="I175" s="1"/>
    </row>
    <row r="176" spans="4:9" x14ac:dyDescent="0.25">
      <c r="D176" s="1"/>
      <c r="E176" s="1"/>
      <c r="F176" s="1"/>
      <c r="I176" s="1"/>
    </row>
    <row r="177" spans="4:9" x14ac:dyDescent="0.25">
      <c r="D177" s="1"/>
      <c r="E177" s="1"/>
      <c r="F177" s="1"/>
      <c r="I177" s="1"/>
    </row>
    <row r="178" spans="4:9" x14ac:dyDescent="0.25">
      <c r="D178" s="1"/>
      <c r="E178" s="1"/>
      <c r="F178" s="1"/>
      <c r="I178" s="1"/>
    </row>
    <row r="179" spans="4:9" x14ac:dyDescent="0.25">
      <c r="D179" s="1"/>
      <c r="E179" s="1"/>
      <c r="F179" s="1"/>
      <c r="I179" s="1"/>
    </row>
    <row r="180" spans="4:9" x14ac:dyDescent="0.25">
      <c r="D180" s="1"/>
      <c r="E180" s="1"/>
      <c r="F180" s="1"/>
      <c r="I180" s="1"/>
    </row>
    <row r="181" spans="4:9" x14ac:dyDescent="0.25">
      <c r="D181" s="1"/>
      <c r="E181" s="1"/>
      <c r="F181" s="1"/>
      <c r="I181" s="1"/>
    </row>
    <row r="182" spans="4:9" x14ac:dyDescent="0.25">
      <c r="D182" s="1"/>
      <c r="E182" s="1"/>
      <c r="F182" s="1"/>
      <c r="I182" s="1"/>
    </row>
    <row r="183" spans="4:9" x14ac:dyDescent="0.25">
      <c r="D183" s="1"/>
      <c r="E183" s="1"/>
      <c r="F183" s="1"/>
      <c r="I183" s="1"/>
    </row>
    <row r="184" spans="4:9" x14ac:dyDescent="0.25">
      <c r="D184" s="1"/>
      <c r="E184" s="1"/>
      <c r="F184" s="1"/>
      <c r="I184" s="1"/>
    </row>
    <row r="185" spans="4:9" x14ac:dyDescent="0.25">
      <c r="D185" s="1"/>
      <c r="E185" s="1"/>
      <c r="F185" s="1"/>
      <c r="I185" s="1"/>
    </row>
    <row r="186" spans="4:9" x14ac:dyDescent="0.25">
      <c r="D186" s="1"/>
      <c r="E186" s="1"/>
      <c r="F186" s="1"/>
      <c r="I186" s="1"/>
    </row>
    <row r="187" spans="4:9" x14ac:dyDescent="0.25">
      <c r="D187" s="1"/>
      <c r="E187" s="1"/>
      <c r="F187" s="1"/>
      <c r="I187" s="1"/>
    </row>
    <row r="188" spans="4:9" x14ac:dyDescent="0.25">
      <c r="D188" s="1"/>
      <c r="E188" s="1"/>
      <c r="F188" s="1"/>
      <c r="I188" s="1"/>
    </row>
    <row r="189" spans="4:9" x14ac:dyDescent="0.25">
      <c r="D189" s="1"/>
      <c r="E189" s="1"/>
      <c r="F189" s="1"/>
      <c r="I189" s="1"/>
    </row>
    <row r="190" spans="4:9" x14ac:dyDescent="0.25">
      <c r="D190" s="1"/>
      <c r="E190" s="1"/>
      <c r="F190" s="1"/>
      <c r="I190" s="1"/>
    </row>
    <row r="191" spans="4:9" x14ac:dyDescent="0.25">
      <c r="D191" s="1"/>
      <c r="E191" s="1"/>
      <c r="F191" s="1"/>
      <c r="I191" s="1"/>
    </row>
    <row r="192" spans="4:9" x14ac:dyDescent="0.25">
      <c r="D192" s="1"/>
      <c r="E192" s="1"/>
      <c r="F192" s="1"/>
      <c r="I192" s="1"/>
    </row>
    <row r="193" spans="4:9" x14ac:dyDescent="0.25">
      <c r="D193" s="1"/>
      <c r="E193" s="1"/>
      <c r="F193" s="1"/>
      <c r="I193" s="1"/>
    </row>
    <row r="194" spans="4:9" x14ac:dyDescent="0.25">
      <c r="D194" s="1"/>
      <c r="E194" s="1"/>
      <c r="F194" s="1"/>
      <c r="I194" s="1"/>
    </row>
    <row r="195" spans="4:9" x14ac:dyDescent="0.25">
      <c r="D195" s="1"/>
      <c r="E195" s="1"/>
      <c r="F195" s="1"/>
      <c r="I195" s="1"/>
    </row>
    <row r="196" spans="4:9" x14ac:dyDescent="0.25">
      <c r="D196" s="1"/>
      <c r="E196" s="1"/>
      <c r="F196" s="1"/>
      <c r="I196" s="1"/>
    </row>
    <row r="197" spans="4:9" x14ac:dyDescent="0.25">
      <c r="D197" s="1"/>
      <c r="E197" s="1"/>
      <c r="F197" s="1"/>
      <c r="I197" s="1"/>
    </row>
    <row r="198" spans="4:9" x14ac:dyDescent="0.25">
      <c r="D198" s="1"/>
      <c r="E198" s="1"/>
      <c r="F198" s="1"/>
      <c r="I198" s="1"/>
    </row>
    <row r="199" spans="4:9" x14ac:dyDescent="0.25">
      <c r="D199" s="1"/>
      <c r="E199" s="1"/>
      <c r="F199" s="1"/>
      <c r="I199" s="1"/>
    </row>
    <row r="200" spans="4:9" x14ac:dyDescent="0.25">
      <c r="D200" s="1"/>
      <c r="E200" s="1"/>
      <c r="F200" s="1"/>
      <c r="I200" s="1"/>
    </row>
    <row r="201" spans="4:9" x14ac:dyDescent="0.25">
      <c r="D201" s="1"/>
      <c r="E201" s="1"/>
      <c r="F201" s="1"/>
      <c r="I201" s="1"/>
    </row>
    <row r="202" spans="4:9" x14ac:dyDescent="0.25">
      <c r="D202" s="1"/>
      <c r="E202" s="1"/>
      <c r="F202" s="1"/>
      <c r="I202" s="1"/>
    </row>
    <row r="203" spans="4:9" x14ac:dyDescent="0.25">
      <c r="D203" s="1"/>
      <c r="E203" s="1"/>
      <c r="F203" s="1"/>
      <c r="I203" s="1"/>
    </row>
    <row r="204" spans="4:9" x14ac:dyDescent="0.25">
      <c r="D204" s="1"/>
      <c r="E204" s="1"/>
      <c r="F204" s="1"/>
      <c r="I204" s="1"/>
    </row>
    <row r="205" spans="4:9" x14ac:dyDescent="0.25">
      <c r="D205" s="1"/>
      <c r="E205" s="1"/>
      <c r="F205" s="1"/>
      <c r="I205" s="1"/>
    </row>
    <row r="206" spans="4:9" x14ac:dyDescent="0.25">
      <c r="D206" s="1"/>
      <c r="E206" s="1"/>
      <c r="F206" s="1"/>
      <c r="I206" s="1"/>
    </row>
    <row r="207" spans="4:9" x14ac:dyDescent="0.25">
      <c r="D207" s="1"/>
      <c r="E207" s="1"/>
      <c r="F207" s="1"/>
      <c r="I207" s="1"/>
    </row>
    <row r="208" spans="4:9" x14ac:dyDescent="0.25">
      <c r="D208" s="1"/>
      <c r="E208" s="1"/>
      <c r="F208" s="1"/>
      <c r="I208" s="1"/>
    </row>
    <row r="209" spans="4:9" x14ac:dyDescent="0.25">
      <c r="D209" s="1"/>
      <c r="E209" s="1"/>
      <c r="F209" s="1"/>
      <c r="I209" s="1"/>
    </row>
    <row r="210" spans="4:9" x14ac:dyDescent="0.25">
      <c r="D210" s="1"/>
      <c r="E210" s="1"/>
      <c r="F210" s="1"/>
      <c r="I210" s="1"/>
    </row>
    <row r="211" spans="4:9" x14ac:dyDescent="0.25">
      <c r="D211" s="1"/>
      <c r="E211" s="1"/>
      <c r="F211" s="1"/>
      <c r="I211" s="1"/>
    </row>
    <row r="212" spans="4:9" x14ac:dyDescent="0.25">
      <c r="D212" s="1"/>
      <c r="E212" s="1"/>
      <c r="F212" s="1"/>
      <c r="I212" s="1"/>
    </row>
    <row r="213" spans="4:9" x14ac:dyDescent="0.25">
      <c r="D213" s="1"/>
      <c r="E213" s="1"/>
      <c r="F213" s="1"/>
      <c r="I213" s="1"/>
    </row>
    <row r="214" spans="4:9" x14ac:dyDescent="0.25">
      <c r="D214" s="1"/>
      <c r="E214" s="1"/>
      <c r="F214" s="1"/>
      <c r="I214" s="1"/>
    </row>
    <row r="215" spans="4:9" x14ac:dyDescent="0.25">
      <c r="D215" s="1"/>
      <c r="E215" s="1"/>
      <c r="F215" s="1"/>
      <c r="I215" s="1"/>
    </row>
    <row r="216" spans="4:9" x14ac:dyDescent="0.25">
      <c r="D216" s="1"/>
      <c r="E216" s="1"/>
      <c r="F216" s="1"/>
      <c r="I216" s="1"/>
    </row>
    <row r="217" spans="4:9" x14ac:dyDescent="0.25">
      <c r="D217" s="1"/>
      <c r="E217" s="1"/>
      <c r="F217" s="1"/>
      <c r="I217" s="1"/>
    </row>
    <row r="218" spans="4:9" x14ac:dyDescent="0.25">
      <c r="D218" s="1"/>
      <c r="E218" s="1"/>
      <c r="F218" s="1"/>
      <c r="I218" s="1"/>
    </row>
    <row r="219" spans="4:9" x14ac:dyDescent="0.25">
      <c r="D219" s="1"/>
      <c r="E219" s="1"/>
      <c r="F219" s="1"/>
      <c r="I219" s="1"/>
    </row>
    <row r="220" spans="4:9" x14ac:dyDescent="0.25">
      <c r="D220" s="1"/>
      <c r="E220" s="1"/>
      <c r="F220" s="1"/>
      <c r="I220" s="1"/>
    </row>
    <row r="221" spans="4:9" x14ac:dyDescent="0.25">
      <c r="D221" s="1"/>
      <c r="E221" s="1"/>
      <c r="F221" s="1"/>
      <c r="I221" s="1"/>
    </row>
    <row r="222" spans="4:9" x14ac:dyDescent="0.25">
      <c r="D222" s="1"/>
      <c r="E222" s="1"/>
      <c r="F222" s="1"/>
      <c r="I222" s="1"/>
    </row>
    <row r="223" spans="4:9" x14ac:dyDescent="0.25">
      <c r="D223" s="1"/>
      <c r="E223" s="1"/>
      <c r="F223" s="1"/>
      <c r="I223" s="1"/>
    </row>
    <row r="224" spans="4:9" x14ac:dyDescent="0.25">
      <c r="D224" s="1"/>
      <c r="E224" s="1"/>
      <c r="F224" s="1"/>
      <c r="I224" s="1"/>
    </row>
    <row r="225" spans="4:9" x14ac:dyDescent="0.25">
      <c r="D225" s="1"/>
      <c r="E225" s="1"/>
      <c r="F225" s="1"/>
      <c r="I225" s="1"/>
    </row>
    <row r="226" spans="4:9" x14ac:dyDescent="0.25">
      <c r="D226" s="1"/>
      <c r="E226" s="1"/>
      <c r="F226" s="1"/>
      <c r="I226" s="1"/>
    </row>
    <row r="227" spans="4:9" x14ac:dyDescent="0.25">
      <c r="D227" s="1"/>
      <c r="E227" s="1"/>
      <c r="F227" s="1"/>
      <c r="I227" s="1"/>
    </row>
  </sheetData>
  <mergeCells count="12">
    <mergeCell ref="A33:I33"/>
    <mergeCell ref="A34:I34"/>
    <mergeCell ref="A36:A38"/>
    <mergeCell ref="B36:D36"/>
    <mergeCell ref="E36:F36"/>
    <mergeCell ref="G36:I36"/>
    <mergeCell ref="A1:I1"/>
    <mergeCell ref="A2:I2"/>
    <mergeCell ref="A4:A6"/>
    <mergeCell ref="B4:D4"/>
    <mergeCell ref="E4:F4"/>
    <mergeCell ref="G4:I4"/>
  </mergeCells>
  <pageMargins left="0.7" right="0.7" top="0.75" bottom="0.75" header="0.3" footer="0.3"/>
  <pageSetup paperSize="9" scale="7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9.10</vt:lpstr>
      <vt:lpstr>'9.10'!Print_Area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2021-07-14T08:38:11Z</cp:lastPrinted>
  <dcterms:created xsi:type="dcterms:W3CDTF">2019-09-09T05:11:24Z</dcterms:created>
  <dcterms:modified xsi:type="dcterms:W3CDTF">2021-07-14T08:38:25Z</dcterms:modified>
</cp:coreProperties>
</file>