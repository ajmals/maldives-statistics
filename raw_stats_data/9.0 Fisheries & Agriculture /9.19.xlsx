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9" sheetId="19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9" l="1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 l="1"/>
</calcChain>
</file>

<file path=xl/sharedStrings.xml><?xml version="1.0" encoding="utf-8"?>
<sst xmlns="http://schemas.openxmlformats.org/spreadsheetml/2006/main" count="86" uniqueCount="84">
  <si>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</si>
  <si>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</si>
  <si>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</si>
  <si>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</si>
  <si>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</si>
  <si>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</si>
  <si>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</si>
  <si>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</si>
  <si>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</si>
  <si>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</si>
  <si>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</si>
  <si>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</si>
  <si>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</si>
  <si>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</si>
  <si>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</si>
  <si>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</si>
  <si>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</si>
  <si>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</si>
  <si>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</si>
  <si>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</si>
  <si>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</si>
  <si>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</si>
  <si>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</si>
  <si>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</si>
  <si>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</si>
  <si>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</si>
  <si>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</si>
  <si>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</si>
  <si>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</si>
  <si>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</si>
  <si>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</si>
  <si>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</si>
  <si>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</si>
  <si>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</si>
  <si>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</si>
  <si>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</si>
  <si>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</si>
  <si>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</si>
  <si>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</si>
  <si>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ޖުމްލަ</t>
  </si>
  <si>
    <t xml:space="preserve"> AA</t>
  </si>
  <si>
    <t>Agricultural crops</t>
  </si>
  <si>
    <t>ފަތްކެޔޮ</t>
  </si>
  <si>
    <t>ކިއުކަމްބަރ</t>
  </si>
  <si>
    <t>އަނބު</t>
  </si>
  <si>
    <t>ފަޅޯ</t>
  </si>
  <si>
    <t>ބަރަބޯ</t>
  </si>
  <si>
    <t>ކަރާ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</si>
  <si>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</si>
  <si>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</si>
  <si>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</si>
  <si>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</si>
  <si>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</si>
  <si>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</si>
  <si>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</si>
  <si>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</si>
  <si>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</si>
  <si>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</si>
  <si>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</si>
  <si>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</si>
  <si>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</si>
  <si>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</si>
  <si>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</si>
  <si>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</si>
  <si>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</si>
  <si>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</si>
  <si>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</si>
  <si>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</si>
  <si>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</si>
  <si>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>ނޯޓް: ހދ،ނ، ރ، ޅ، ވ، ފ، ދ، ގއ އަދި ގދ ގެ މައުލޫމާތު ނެތީ އެ އަތޮޅު ތަކުން މާލެއަށް ތަރުކަރީ އަދި މޭވާ ވިއްކަން ގެނެސްފައި ކަމުގެ މައުލޫމާތު މިނިސްޓްރީއަށް ލިބިފައި ނުވާތީއެވެ.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</si>
  <si>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</si>
  <si>
    <t xml:space="preserve">      ތާވަލު 9.19: އަތޮޅުތަކުން މާލޭ މާރުކޭޓަށް ވިއްކި ދަނޑުވެރިކަމުގެ ތަކެތި 2019</t>
  </si>
  <si>
    <t>Table 9.19: AGRICULTURAL PRODUCTS TRADED IN MALE' MARKET BY ATOLLS, 2019</t>
  </si>
  <si>
    <r>
      <t xml:space="preserve">( In Kgs/ </t>
    </r>
    <r>
      <rPr>
        <b/>
        <sz val="11"/>
        <color indexed="8"/>
        <rFont val="Faruma"/>
      </rPr>
      <t>ކިލޯއިން)</t>
    </r>
  </si>
  <si>
    <t>Production by Atolls</t>
  </si>
  <si>
    <t>ބާވަތް</t>
  </si>
  <si>
    <t>Papayas</t>
  </si>
  <si>
    <t>chillies</t>
  </si>
  <si>
    <t>މިރުސް</t>
  </si>
  <si>
    <t>ގިއްސާ</t>
  </si>
  <si>
    <t>Betel leaves</t>
  </si>
  <si>
    <t>ބިލެތް</t>
  </si>
  <si>
    <t>Source:  Agriculture Data Management Unit/Min. Fisheries, Marine Resources and Agriculture</t>
  </si>
  <si>
    <t xml:space="preserve">Note: 2020 data are missing as unable to take data on the Male’ Local Market due to the COVID pandemic.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</si>
</sst>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22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_Faseyha"/>
    </font>
    <font>
      <sz val="10"/>
      <color indexed="8"/>
      <name val="Calibri"/>
      <family val="2"/>
    </font>
    <font>
      <sz val="10"/>
      <name val="Faruma"/>
    </font>
    <font>
      <b/>
      <sz val="10"/>
      <name val="Courier"/>
      <family val="3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indexed="8"/>
      <name val="Faruma"/>
    </font>
    <font>
      <sz val="11"/>
      <color theme="1"/>
      <name val="Calibri"/>
      <family val="2"/>
    </font>
    <font>
      <b/>
      <sz val="10"/>
      <name val="ަރިެ"/>
    </font>
    <font>
      <sz val="11"/>
      <name val="Faruma"/>
    </font>
    <font>
      <sz val="10"/>
      <name val="Arie"/>
      <charset val="1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0" fontId="12" fillId="0" borderId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48">
    <xf numFmtId="0" fontId="0" fillId="0" borderId="0" xfId="0"/>
    <xf numFmtId="0" fontId="14" fillId="2" borderId="3" xfId="4" applyNumberFormat="1" applyFont="1" applyFill="1" applyBorder="1" applyAlignment="1">
      <alignment vertical="center"/>
    </xf>
    <xf numFmtId="0" fontId="1" fillId="2" borderId="3" xfId="4" applyNumberFormat="1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164" fontId="11" fillId="2" borderId="0" xfId="4" applyNumberFormat="1" applyFont="1" applyFill="1"/>
    <xf numFmtId="0" fontId="3" fillId="2" borderId="0" xfId="4" applyNumberFormat="1" applyFont="1" applyFill="1" applyBorder="1" applyAlignment="1">
      <alignment vertical="center"/>
    </xf>
    <xf numFmtId="0" fontId="16" fillId="2" borderId="0" xfId="3" applyNumberFormat="1" applyFont="1" applyFill="1" applyBorder="1" applyAlignment="1">
      <alignment horizontal="right" vertical="center"/>
    </xf>
    <xf numFmtId="164" fontId="1" fillId="2" borderId="0" xfId="4" applyNumberFormat="1" applyFill="1"/>
    <xf numFmtId="0" fontId="1" fillId="2" borderId="0" xfId="4" applyNumberFormat="1" applyFont="1" applyFill="1" applyAlignment="1">
      <alignment vertical="center"/>
    </xf>
    <xf numFmtId="43" fontId="1" fillId="2" borderId="0" xfId="4" applyNumberFormat="1" applyFill="1"/>
    <xf numFmtId="43" fontId="1" fillId="2" borderId="0" xfId="4" applyNumberFormat="1" applyFont="1" applyFill="1" applyAlignment="1">
      <alignment vertical="center"/>
    </xf>
    <xf numFmtId="0" fontId="1" fillId="2" borderId="2" xfId="4" applyNumberFormat="1" applyFont="1" applyFill="1" applyBorder="1" applyAlignment="1">
      <alignment vertical="center"/>
    </xf>
    <xf numFmtId="0" fontId="18" fillId="2" borderId="0" xfId="4" applyNumberFormat="1" applyFont="1" applyFill="1" applyBorder="1" applyAlignment="1">
      <alignment vertical="center" wrapText="1"/>
    </xf>
    <xf numFmtId="164" fontId="9" fillId="2" borderId="0" xfId="4" applyNumberFormat="1" applyFont="1" applyFill="1"/>
    <xf numFmtId="164" fontId="1" fillId="2" borderId="0" xfId="4" applyNumberFormat="1" applyFill="1" applyBorder="1"/>
    <xf numFmtId="164" fontId="1" fillId="2" borderId="0" xfId="4" applyNumberFormat="1" applyFont="1" applyFill="1"/>
    <xf numFmtId="0" fontId="14" fillId="2" borderId="2" xfId="4" applyNumberFormat="1" applyFont="1" applyFill="1" applyBorder="1" applyAlignment="1">
      <alignment vertical="center"/>
    </xf>
    <xf numFmtId="38" fontId="14" fillId="2" borderId="2" xfId="4" applyNumberFormat="1" applyFont="1" applyFill="1" applyBorder="1" applyAlignment="1">
      <alignment horizontal="right"/>
    </xf>
    <xf numFmtId="0" fontId="13" fillId="2" borderId="2" xfId="4" applyNumberFormat="1" applyFont="1" applyFill="1" applyBorder="1" applyAlignment="1">
      <alignment vertical="center"/>
    </xf>
    <xf numFmtId="0" fontId="7" fillId="2" borderId="0" xfId="2" applyNumberFormat="1" applyFont="1" applyFill="1" applyBorder="1" applyAlignment="1">
      <alignment horizontal="left" vertical="center"/>
    </xf>
    <xf numFmtId="38" fontId="14" fillId="2" borderId="0" xfId="4" applyNumberFormat="1" applyFont="1" applyFill="1" applyBorder="1" applyAlignment="1">
      <alignment horizontal="right"/>
    </xf>
    <xf numFmtId="0" fontId="15" fillId="2" borderId="0" xfId="4" applyNumberFormat="1" applyFont="1" applyFill="1" applyBorder="1" applyAlignment="1">
      <alignment vertical="center"/>
    </xf>
    <xf numFmtId="164" fontId="19" fillId="2" borderId="0" xfId="4" applyNumberFormat="1" applyFont="1" applyFill="1" applyBorder="1"/>
    <xf numFmtId="0" fontId="3" fillId="2" borderId="1" xfId="4" applyNumberFormat="1" applyFont="1" applyFill="1" applyBorder="1" applyAlignment="1">
      <alignment vertical="center"/>
    </xf>
    <xf numFmtId="38" fontId="14" fillId="2" borderId="1" xfId="4" applyNumberFormat="1" applyFont="1" applyFill="1" applyBorder="1" applyAlignment="1">
      <alignment horizontal="right"/>
    </xf>
    <xf numFmtId="0" fontId="15" fillId="2" borderId="1" xfId="4" applyNumberFormat="1" applyFont="1" applyFill="1" applyBorder="1" applyAlignment="1">
      <alignment vertical="center"/>
    </xf>
    <xf numFmtId="0" fontId="20" fillId="2" borderId="0" xfId="4" applyNumberFormat="1" applyFont="1" applyFill="1" applyBorder="1" applyAlignment="1">
      <alignment vertical="center" wrapText="1"/>
    </xf>
    <xf numFmtId="0" fontId="20" fillId="2" borderId="0" xfId="4" applyNumberFormat="1" applyFont="1" applyFill="1" applyAlignment="1">
      <alignment vertical="center" wrapText="1"/>
    </xf>
    <xf numFmtId="0" fontId="20" fillId="2" borderId="0" xfId="4" applyNumberFormat="1" applyFont="1" applyFill="1" applyAlignment="1">
      <alignment vertical="center"/>
    </xf>
    <xf numFmtId="0" fontId="20" fillId="2" borderId="0" xfId="4" applyNumberFormat="1" applyFont="1" applyFill="1" applyBorder="1" applyAlignment="1">
      <alignment vertical="center"/>
    </xf>
    <xf numFmtId="0" fontId="8" fillId="2" borderId="0" xfId="4" applyNumberFormat="1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/>
    </xf>
    <xf numFmtId="38" fontId="7" fillId="2" borderId="0" xfId="1" applyNumberFormat="1" applyFont="1" applyFill="1" applyBorder="1" applyAlignment="1">
      <alignment horizontal="right"/>
    </xf>
    <xf numFmtId="38" fontId="12" fillId="2" borderId="1" xfId="4" applyNumberFormat="1" applyFont="1" applyFill="1" applyBorder="1" applyAlignment="1">
      <alignment horizontal="right"/>
    </xf>
    <xf numFmtId="38" fontId="7" fillId="2" borderId="1" xfId="1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38" fontId="17" fillId="2" borderId="0" xfId="4" applyNumberFormat="1" applyFont="1" applyFill="1" applyBorder="1" applyAlignment="1">
      <alignment horizontal="right"/>
    </xf>
    <xf numFmtId="0" fontId="10" fillId="2" borderId="2" xfId="4" applyNumberFormat="1" applyFont="1" applyFill="1" applyBorder="1" applyAlignment="1">
      <alignment horizontal="left" vertical="center" wrapText="1"/>
    </xf>
    <xf numFmtId="0" fontId="8" fillId="2" borderId="2" xfId="4" applyNumberFormat="1" applyFont="1" applyFill="1" applyBorder="1" applyAlignment="1">
      <alignment horizontal="right" vertical="center" wrapText="1"/>
    </xf>
    <xf numFmtId="0" fontId="13" fillId="2" borderId="0" xfId="4" applyNumberFormat="1" applyFont="1" applyFill="1" applyAlignment="1">
      <alignment horizontal="center" vertical="center"/>
    </xf>
    <xf numFmtId="0" fontId="14" fillId="2" borderId="0" xfId="4" applyNumberFormat="1" applyFont="1" applyFill="1" applyAlignment="1">
      <alignment horizontal="center" vertical="center"/>
    </xf>
    <xf numFmtId="0" fontId="14" fillId="2" borderId="2" xfId="4" applyNumberFormat="1" applyFont="1" applyFill="1" applyBorder="1" applyAlignment="1">
      <alignment horizontal="right" vertical="center"/>
    </xf>
    <xf numFmtId="0" fontId="14" fillId="2" borderId="0" xfId="4" applyNumberFormat="1" applyFont="1" applyFill="1" applyBorder="1" applyAlignment="1">
      <alignment horizontal="right" vertical="center"/>
    </xf>
    <xf numFmtId="0" fontId="14" fillId="2" borderId="3" xfId="4" applyNumberFormat="1" applyFont="1" applyFill="1" applyBorder="1" applyAlignment="1">
      <alignment horizontal="center" vertical="center"/>
    </xf>
    <xf numFmtId="0" fontId="13" fillId="2" borderId="3" xfId="4" applyNumberFormat="1" applyFont="1" applyFill="1" applyBorder="1" applyAlignment="1">
      <alignment horizontal="center" vertical="center"/>
    </xf>
    <xf numFmtId="0" fontId="13" fillId="2" borderId="2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</cellXfs>
  <cellStyles count="7">
    <cellStyle name="1" xfId="6"/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agri planning 2009 year book(final)" xfId="2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W29"/>
  <sheetViews>
    <sheetView tabSelected="1" zoomScaleNormal="100" workbookViewId="0">
      <selection activeCell="AA39" sqref="AA39"/>
    </sheetView>
  </sheetViews>
  <sheetFormatPr defaultColWidth="10" defaultRowHeight="12"/>
  <cols>
    <col min="1" max="1" width="16.28515625" style="7" customWidth="1"/>
    <col min="2" max="2" width="13.7109375" style="7" customWidth="1"/>
    <col min="3" max="3" width="9.7109375" style="7" customWidth="1"/>
    <col min="4" max="4" width="9.7109375" style="7" hidden="1" customWidth="1"/>
    <col min="5" max="5" width="9.7109375" style="7" customWidth="1"/>
    <col min="6" max="7" width="9.7109375" style="7" hidden="1" customWidth="1"/>
    <col min="8" max="8" width="9.7109375" style="7" customWidth="1"/>
    <col min="9" max="9" width="9.7109375" style="7" hidden="1" customWidth="1"/>
    <col min="10" max="12" width="9.7109375" style="7" customWidth="1"/>
    <col min="13" max="13" width="9.7109375" style="7" hidden="1" customWidth="1"/>
    <col min="14" max="14" width="9.7109375" style="7" customWidth="1"/>
    <col min="15" max="16" width="9.7109375" style="7" hidden="1" customWidth="1"/>
    <col min="17" max="18" width="9.7109375" style="7" customWidth="1"/>
    <col min="19" max="20" width="9.7109375" style="7" hidden="1" customWidth="1"/>
    <col min="21" max="22" width="9.7109375" style="7" customWidth="1"/>
    <col min="23" max="23" width="11.7109375" style="7" customWidth="1"/>
    <col min="24" max="16384" width="10" style="7"/>
  </cols>
  <sheetData>
    <row r="3" spans="1:23" ht="21">
      <c r="A3" s="40" t="s">
        <v>71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ht="15">
      <c r="A4" s="41" t="s">
        <v>72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21">
      <c r="A5" s="41" t="s">
        <v>73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>
      <c r="A6" s="8"/>
      <c r="B6" s="8"/>
      <c r="C6" s="8"/>
      <c r="D6" s="8"/>
      <c r="E6" s="8"/>
      <c r="F6" s="8"/>
      <c r="G6" s="9"/>
      <c r="H6" s="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21" customHeight="1">
      <c r="A7" s="11"/>
      <c r="B7" s="42" t="s">
        <v>38</v>
      </c>
      <c r="C7" s="44" t="s">
        <v>74</v>
      </c>
      <c r="D7" s="44"/>
      <c r="E7" s="44"/>
      <c r="F7" s="44"/>
      <c r="G7" s="44"/>
      <c r="H7" s="1"/>
      <c r="I7" s="2"/>
      <c r="J7" s="2"/>
      <c r="K7" s="2"/>
      <c r="L7" s="2"/>
      <c r="M7" s="2"/>
      <c r="N7" s="2"/>
      <c r="O7" s="2"/>
      <c r="P7" s="45" t="s">
        <v>48</v>
      </c>
      <c r="Q7" s="45"/>
      <c r="R7" s="45"/>
      <c r="S7" s="45"/>
      <c r="T7" s="45"/>
      <c r="U7" s="45"/>
      <c r="V7" s="45"/>
      <c r="W7" s="46" t="s">
        <v>75</v>
      </c>
    </row>
    <row r="8" spans="1:23" s="13" customFormat="1" ht="27" customHeight="1">
      <c r="A8" s="12" t="s">
        <v>41</v>
      </c>
      <c r="B8" s="43"/>
      <c r="C8" s="35" t="s">
        <v>1</v>
      </c>
      <c r="D8" s="35" t="s">
        <v>3</v>
      </c>
      <c r="E8" s="35" t="s">
        <v>5</v>
      </c>
      <c r="F8" s="35" t="s">
        <v>7</v>
      </c>
      <c r="G8" s="35" t="s">
        <v>9</v>
      </c>
      <c r="H8" s="35" t="s">
        <v>11</v>
      </c>
      <c r="I8" s="35" t="s">
        <v>13</v>
      </c>
      <c r="J8" s="35" t="s">
        <v>15</v>
      </c>
      <c r="K8" s="35" t="s">
        <v>16</v>
      </c>
      <c r="L8" s="35" t="s">
        <v>18</v>
      </c>
      <c r="M8" s="35" t="s">
        <v>20</v>
      </c>
      <c r="N8" s="35" t="s">
        <v>22</v>
      </c>
      <c r="O8" s="35" t="s">
        <v>24</v>
      </c>
      <c r="P8" s="35" t="s">
        <v>26</v>
      </c>
      <c r="Q8" s="35" t="s">
        <v>28</v>
      </c>
      <c r="R8" s="35" t="s">
        <v>30</v>
      </c>
      <c r="S8" s="35" t="s">
        <v>32</v>
      </c>
      <c r="T8" s="35" t="s">
        <v>34</v>
      </c>
      <c r="U8" s="35" t="s">
        <v>36</v>
      </c>
      <c r="V8" s="35" t="s">
        <v>37</v>
      </c>
      <c r="W8" s="47"/>
    </row>
    <row r="9" spans="1:23" s="15" customFormat="1" ht="12" customHeight="1">
      <c r="A9" s="14"/>
      <c r="B9" s="43"/>
      <c r="C9" s="3" t="s">
        <v>0</v>
      </c>
      <c r="D9" s="3" t="s">
        <v>2</v>
      </c>
      <c r="E9" s="3" t="s">
        <v>4</v>
      </c>
      <c r="F9" s="3" t="s">
        <v>6</v>
      </c>
      <c r="G9" s="3" t="s">
        <v>8</v>
      </c>
      <c r="H9" s="3" t="s">
        <v>10</v>
      </c>
      <c r="I9" s="3" t="s">
        <v>12</v>
      </c>
      <c r="J9" s="3" t="s">
        <v>14</v>
      </c>
      <c r="K9" s="3" t="s">
        <v>40</v>
      </c>
      <c r="L9" s="3" t="s">
        <v>17</v>
      </c>
      <c r="M9" s="3" t="s">
        <v>19</v>
      </c>
      <c r="N9" s="3" t="s">
        <v>21</v>
      </c>
      <c r="O9" s="3" t="s">
        <v>23</v>
      </c>
      <c r="P9" s="3" t="s">
        <v>25</v>
      </c>
      <c r="Q9" s="3" t="s">
        <v>27</v>
      </c>
      <c r="R9" s="3" t="s">
        <v>29</v>
      </c>
      <c r="S9" s="3" t="s">
        <v>31</v>
      </c>
      <c r="T9" s="3" t="s">
        <v>33</v>
      </c>
      <c r="U9" s="3" t="s">
        <v>35</v>
      </c>
      <c r="V9" s="3" t="s">
        <v>5</v>
      </c>
      <c r="W9" s="47"/>
    </row>
    <row r="10" spans="1:23" s="4" customFormat="1" ht="21">
      <c r="A10" s="16" t="s">
        <v>38</v>
      </c>
      <c r="B10" s="17">
        <f>SUM(C10:V10)</f>
        <v>1749535.0450000002</v>
      </c>
      <c r="C10" s="17">
        <f>SUM(C11:C26)</f>
        <v>3550</v>
      </c>
      <c r="D10" s="17">
        <f>SUM(D11:D26)</f>
        <v>0</v>
      </c>
      <c r="E10" s="17">
        <f>SUM(E11:E26)</f>
        <v>87016.2</v>
      </c>
      <c r="F10" s="17">
        <f t="shared" ref="F10:V10" si="0">SUM(F11:F26)</f>
        <v>0</v>
      </c>
      <c r="G10" s="17">
        <f t="shared" si="0"/>
        <v>0</v>
      </c>
      <c r="H10" s="17">
        <f t="shared" si="0"/>
        <v>49415</v>
      </c>
      <c r="I10" s="17">
        <f t="shared" si="0"/>
        <v>0</v>
      </c>
      <c r="J10" s="17">
        <f t="shared" si="0"/>
        <v>394864.52</v>
      </c>
      <c r="K10" s="17">
        <f t="shared" si="0"/>
        <v>687512.81500000006</v>
      </c>
      <c r="L10" s="17">
        <f t="shared" si="0"/>
        <v>7571.5</v>
      </c>
      <c r="M10" s="17">
        <f t="shared" si="0"/>
        <v>0</v>
      </c>
      <c r="N10" s="17">
        <f t="shared" si="0"/>
        <v>133875</v>
      </c>
      <c r="O10" s="17">
        <f t="shared" si="0"/>
        <v>0</v>
      </c>
      <c r="P10" s="17">
        <f t="shared" si="0"/>
        <v>0</v>
      </c>
      <c r="Q10" s="17">
        <f t="shared" si="0"/>
        <v>60816.14</v>
      </c>
      <c r="R10" s="17">
        <f t="shared" si="0"/>
        <v>266929.90000000002</v>
      </c>
      <c r="S10" s="17">
        <f t="shared" si="0"/>
        <v>0</v>
      </c>
      <c r="T10" s="17">
        <f t="shared" si="0"/>
        <v>0</v>
      </c>
      <c r="U10" s="17">
        <f t="shared" si="0"/>
        <v>54934.22</v>
      </c>
      <c r="V10" s="17">
        <f t="shared" si="0"/>
        <v>3049.75</v>
      </c>
      <c r="W10" s="18" t="s">
        <v>39</v>
      </c>
    </row>
    <row r="11" spans="1:23" s="4" customFormat="1" ht="21">
      <c r="A11" s="19" t="s">
        <v>49</v>
      </c>
      <c r="B11" s="20">
        <f>SUM(C11:V11)</f>
        <v>50900</v>
      </c>
      <c r="C11" s="4">
        <v>0</v>
      </c>
      <c r="D11" s="31"/>
      <c r="E11" s="31">
        <v>0</v>
      </c>
      <c r="F11" s="31">
        <v>0</v>
      </c>
      <c r="G11" s="32"/>
      <c r="H11" s="32">
        <v>9500</v>
      </c>
      <c r="I11" s="32"/>
      <c r="J11" s="32">
        <v>23700</v>
      </c>
      <c r="K11" s="37">
        <v>5200</v>
      </c>
      <c r="L11" s="32">
        <v>0</v>
      </c>
      <c r="M11" s="32"/>
      <c r="N11" s="32">
        <v>0</v>
      </c>
      <c r="O11" s="32"/>
      <c r="P11" s="32"/>
      <c r="Q11" s="32">
        <v>0</v>
      </c>
      <c r="R11" s="32">
        <v>12500</v>
      </c>
      <c r="S11" s="32"/>
      <c r="T11" s="32"/>
      <c r="U11" s="32">
        <v>0</v>
      </c>
      <c r="V11" s="32">
        <v>0</v>
      </c>
      <c r="W11" s="21" t="s">
        <v>47</v>
      </c>
    </row>
    <row r="12" spans="1:23" s="4" customFormat="1" ht="21">
      <c r="A12" s="5" t="s">
        <v>50</v>
      </c>
      <c r="B12" s="20">
        <f>SUM(C12:V12)</f>
        <v>579348</v>
      </c>
      <c r="C12" s="31">
        <v>3000</v>
      </c>
      <c r="D12" s="31"/>
      <c r="E12" s="31">
        <v>36900</v>
      </c>
      <c r="F12" s="31">
        <v>0</v>
      </c>
      <c r="G12" s="32"/>
      <c r="H12" s="32">
        <v>0</v>
      </c>
      <c r="I12" s="32"/>
      <c r="J12" s="32">
        <v>163980</v>
      </c>
      <c r="K12" s="32">
        <v>15780</v>
      </c>
      <c r="L12" s="32">
        <v>0</v>
      </c>
      <c r="M12" s="32"/>
      <c r="N12" s="32">
        <v>126000</v>
      </c>
      <c r="O12" s="32"/>
      <c r="P12" s="32"/>
      <c r="Q12" s="32">
        <v>38610</v>
      </c>
      <c r="R12" s="32">
        <v>144330</v>
      </c>
      <c r="S12" s="32"/>
      <c r="T12" s="32"/>
      <c r="U12" s="32">
        <v>50700</v>
      </c>
      <c r="V12" s="32">
        <v>48</v>
      </c>
      <c r="W12" s="21" t="s">
        <v>51</v>
      </c>
    </row>
    <row r="13" spans="1:23" s="4" customFormat="1" ht="21">
      <c r="A13" s="19" t="s">
        <v>76</v>
      </c>
      <c r="B13" s="20">
        <f t="shared" ref="B13:B25" si="1">SUM(C13:V13)</f>
        <v>383950</v>
      </c>
      <c r="C13" s="31">
        <v>0</v>
      </c>
      <c r="D13" s="31"/>
      <c r="E13" s="31"/>
      <c r="F13" s="31">
        <v>0</v>
      </c>
      <c r="G13" s="32"/>
      <c r="H13" s="32">
        <v>0</v>
      </c>
      <c r="I13" s="32"/>
      <c r="J13" s="32">
        <v>1300</v>
      </c>
      <c r="K13" s="32">
        <v>381450</v>
      </c>
      <c r="L13" s="32">
        <v>1200</v>
      </c>
      <c r="M13" s="32"/>
      <c r="N13" s="32">
        <v>0</v>
      </c>
      <c r="O13" s="32"/>
      <c r="P13" s="32"/>
      <c r="Q13" s="32">
        <v>0</v>
      </c>
      <c r="R13" s="32">
        <v>0</v>
      </c>
      <c r="S13" s="32"/>
      <c r="T13" s="32"/>
      <c r="U13" s="32">
        <v>0</v>
      </c>
      <c r="V13" s="32">
        <v>0</v>
      </c>
      <c r="W13" s="21" t="s">
        <v>45</v>
      </c>
    </row>
    <row r="14" spans="1:23" s="4" customFormat="1" ht="21">
      <c r="A14" s="19" t="s">
        <v>52</v>
      </c>
      <c r="B14" s="20">
        <f t="shared" si="1"/>
        <v>39540</v>
      </c>
      <c r="C14" s="31">
        <v>0</v>
      </c>
      <c r="D14" s="31"/>
      <c r="E14" s="31">
        <v>2440</v>
      </c>
      <c r="F14" s="31">
        <v>0</v>
      </c>
      <c r="G14" s="32"/>
      <c r="H14" s="32">
        <v>4400</v>
      </c>
      <c r="I14" s="32"/>
      <c r="J14" s="32">
        <v>7640</v>
      </c>
      <c r="K14" s="32">
        <v>16100</v>
      </c>
      <c r="L14" s="32">
        <v>0</v>
      </c>
      <c r="M14" s="32"/>
      <c r="N14" s="32">
        <v>0</v>
      </c>
      <c r="O14" s="32"/>
      <c r="P14" s="32"/>
      <c r="Q14" s="32">
        <v>0</v>
      </c>
      <c r="R14" s="32">
        <v>8960</v>
      </c>
      <c r="S14" s="32"/>
      <c r="T14" s="32"/>
      <c r="U14" s="32">
        <v>0</v>
      </c>
      <c r="V14" s="32">
        <v>0</v>
      </c>
      <c r="W14" s="22" t="s">
        <v>46</v>
      </c>
    </row>
    <row r="15" spans="1:23" s="4" customFormat="1" ht="21">
      <c r="A15" s="5" t="s">
        <v>53</v>
      </c>
      <c r="B15" s="20">
        <f t="shared" si="1"/>
        <v>87665</v>
      </c>
      <c r="C15" s="31">
        <v>0</v>
      </c>
      <c r="D15" s="31"/>
      <c r="E15" s="31">
        <v>2650</v>
      </c>
      <c r="F15" s="31">
        <v>0</v>
      </c>
      <c r="G15" s="32"/>
      <c r="H15" s="32">
        <v>12500</v>
      </c>
      <c r="I15" s="32"/>
      <c r="J15" s="32">
        <v>3500</v>
      </c>
      <c r="K15" s="32">
        <v>65950</v>
      </c>
      <c r="L15" s="32">
        <v>2200</v>
      </c>
      <c r="M15" s="32"/>
      <c r="N15" s="32">
        <v>0</v>
      </c>
      <c r="O15" s="32"/>
      <c r="P15" s="32"/>
      <c r="Q15" s="32">
        <v>0</v>
      </c>
      <c r="R15" s="32">
        <v>865</v>
      </c>
      <c r="S15" s="32"/>
      <c r="T15" s="32"/>
      <c r="U15" s="32">
        <v>0</v>
      </c>
      <c r="V15" s="32">
        <v>0</v>
      </c>
      <c r="W15" s="21" t="s">
        <v>43</v>
      </c>
    </row>
    <row r="16" spans="1:23" s="4" customFormat="1" ht="21">
      <c r="A16" s="19" t="s">
        <v>54</v>
      </c>
      <c r="B16" s="20">
        <f t="shared" si="1"/>
        <v>219570</v>
      </c>
      <c r="C16" s="31">
        <v>450</v>
      </c>
      <c r="D16" s="31"/>
      <c r="E16" s="31">
        <v>19350</v>
      </c>
      <c r="F16" s="31">
        <v>0</v>
      </c>
      <c r="G16" s="32"/>
      <c r="H16" s="32">
        <v>0</v>
      </c>
      <c r="I16" s="32"/>
      <c r="J16" s="32">
        <v>119520</v>
      </c>
      <c r="K16" s="32">
        <v>3615</v>
      </c>
      <c r="L16" s="32">
        <v>0</v>
      </c>
      <c r="M16" s="32"/>
      <c r="N16" s="32">
        <v>0</v>
      </c>
      <c r="O16" s="32"/>
      <c r="P16" s="32"/>
      <c r="Q16" s="32">
        <v>540</v>
      </c>
      <c r="R16" s="32">
        <v>71445</v>
      </c>
      <c r="S16" s="32"/>
      <c r="T16" s="32"/>
      <c r="U16" s="32">
        <v>1650</v>
      </c>
      <c r="V16" s="32">
        <v>3000</v>
      </c>
      <c r="W16" s="21" t="s">
        <v>42</v>
      </c>
    </row>
    <row r="17" spans="1:23" s="4" customFormat="1" ht="21">
      <c r="A17" s="19" t="s">
        <v>55</v>
      </c>
      <c r="B17" s="20">
        <f t="shared" si="1"/>
        <v>21685</v>
      </c>
      <c r="C17" s="31">
        <v>0</v>
      </c>
      <c r="D17" s="31"/>
      <c r="E17" s="31">
        <v>290</v>
      </c>
      <c r="F17" s="31">
        <v>0</v>
      </c>
      <c r="G17" s="32"/>
      <c r="H17" s="32">
        <v>3040</v>
      </c>
      <c r="I17" s="32"/>
      <c r="J17" s="32">
        <v>4900</v>
      </c>
      <c r="K17" s="32">
        <v>9520</v>
      </c>
      <c r="L17" s="32">
        <v>3200</v>
      </c>
      <c r="M17" s="32"/>
      <c r="N17" s="32">
        <v>0</v>
      </c>
      <c r="O17" s="32"/>
      <c r="P17" s="32"/>
      <c r="Q17" s="32">
        <v>70</v>
      </c>
      <c r="R17" s="32">
        <v>665</v>
      </c>
      <c r="S17" s="32"/>
      <c r="T17" s="32"/>
      <c r="U17" s="32">
        <v>0</v>
      </c>
      <c r="V17" s="32">
        <v>0</v>
      </c>
      <c r="W17" s="22" t="s">
        <v>56</v>
      </c>
    </row>
    <row r="18" spans="1:23" s="4" customFormat="1" ht="21">
      <c r="A18" s="5" t="s">
        <v>57</v>
      </c>
      <c r="B18" s="20">
        <f t="shared" si="1"/>
        <v>52461.75</v>
      </c>
      <c r="C18" s="31">
        <v>100</v>
      </c>
      <c r="D18" s="31"/>
      <c r="E18" s="31">
        <v>2325</v>
      </c>
      <c r="F18" s="31">
        <v>0</v>
      </c>
      <c r="G18" s="32"/>
      <c r="H18" s="32">
        <v>0</v>
      </c>
      <c r="I18" s="32"/>
      <c r="J18" s="32">
        <v>4525</v>
      </c>
      <c r="K18" s="32">
        <v>1472.5</v>
      </c>
      <c r="L18" s="32">
        <v>0</v>
      </c>
      <c r="M18" s="32"/>
      <c r="N18" s="32">
        <v>7875</v>
      </c>
      <c r="O18" s="32"/>
      <c r="P18" s="32"/>
      <c r="Q18" s="32">
        <v>18087.5</v>
      </c>
      <c r="R18" s="32">
        <v>17950</v>
      </c>
      <c r="S18" s="32"/>
      <c r="T18" s="32"/>
      <c r="U18" s="32">
        <v>125</v>
      </c>
      <c r="V18" s="32">
        <v>1.75</v>
      </c>
      <c r="W18" s="21" t="s">
        <v>58</v>
      </c>
    </row>
    <row r="19" spans="1:23" s="4" customFormat="1" ht="21">
      <c r="A19" s="5" t="s">
        <v>77</v>
      </c>
      <c r="B19" s="20">
        <f t="shared" si="1"/>
        <v>2736</v>
      </c>
      <c r="C19" s="31">
        <v>0</v>
      </c>
      <c r="D19" s="31"/>
      <c r="E19" s="31">
        <v>0</v>
      </c>
      <c r="F19" s="31">
        <v>0</v>
      </c>
      <c r="G19" s="32"/>
      <c r="H19" s="32">
        <v>0</v>
      </c>
      <c r="I19" s="32"/>
      <c r="J19" s="32">
        <v>406</v>
      </c>
      <c r="K19" s="32">
        <v>275</v>
      </c>
      <c r="L19" s="32">
        <v>0</v>
      </c>
      <c r="M19" s="32"/>
      <c r="N19" s="32">
        <v>0</v>
      </c>
      <c r="O19" s="32"/>
      <c r="P19" s="32"/>
      <c r="Q19" s="32">
        <v>1239</v>
      </c>
      <c r="R19" s="32">
        <v>816</v>
      </c>
      <c r="S19" s="32"/>
      <c r="T19" s="32"/>
      <c r="U19" s="32">
        <v>0</v>
      </c>
      <c r="V19" s="32">
        <v>0</v>
      </c>
      <c r="W19" s="21" t="s">
        <v>78</v>
      </c>
    </row>
    <row r="20" spans="1:23" s="4" customFormat="1" ht="21">
      <c r="A20" s="5" t="s">
        <v>59</v>
      </c>
      <c r="B20" s="20">
        <f t="shared" si="1"/>
        <v>24310</v>
      </c>
      <c r="C20" s="31">
        <v>0</v>
      </c>
      <c r="D20" s="31"/>
      <c r="E20" s="31">
        <v>750</v>
      </c>
      <c r="F20" s="31">
        <v>0</v>
      </c>
      <c r="G20" s="32"/>
      <c r="H20" s="32">
        <v>2200</v>
      </c>
      <c r="I20" s="32"/>
      <c r="J20" s="32">
        <v>5690</v>
      </c>
      <c r="K20" s="32">
        <v>15670</v>
      </c>
      <c r="L20" s="32">
        <v>0</v>
      </c>
      <c r="M20" s="32"/>
      <c r="N20" s="32">
        <v>0</v>
      </c>
      <c r="O20" s="32"/>
      <c r="P20" s="32"/>
      <c r="Q20" s="32">
        <v>0</v>
      </c>
      <c r="R20" s="32">
        <v>0</v>
      </c>
      <c r="S20" s="32"/>
      <c r="T20" s="32"/>
      <c r="U20" s="32">
        <v>0</v>
      </c>
      <c r="V20" s="32">
        <v>0</v>
      </c>
      <c r="W20" s="21" t="s">
        <v>79</v>
      </c>
    </row>
    <row r="21" spans="1:23" s="4" customFormat="1" ht="21">
      <c r="A21" s="5" t="s">
        <v>60</v>
      </c>
      <c r="B21" s="20">
        <f t="shared" si="1"/>
        <v>12263</v>
      </c>
      <c r="C21" s="31">
        <v>0</v>
      </c>
      <c r="D21" s="31"/>
      <c r="E21" s="31">
        <v>420</v>
      </c>
      <c r="F21" s="31">
        <v>0</v>
      </c>
      <c r="G21" s="32"/>
      <c r="H21" s="32">
        <v>10425</v>
      </c>
      <c r="I21" s="32"/>
      <c r="J21" s="32">
        <v>140</v>
      </c>
      <c r="K21" s="32">
        <v>0</v>
      </c>
      <c r="L21" s="32">
        <v>0</v>
      </c>
      <c r="M21" s="32"/>
      <c r="N21" s="32">
        <v>0</v>
      </c>
      <c r="O21" s="32"/>
      <c r="P21" s="32"/>
      <c r="Q21" s="32">
        <v>1050</v>
      </c>
      <c r="R21" s="32">
        <v>228</v>
      </c>
      <c r="S21" s="32"/>
      <c r="T21" s="32"/>
      <c r="U21" s="32">
        <v>0</v>
      </c>
      <c r="V21" s="32">
        <v>0</v>
      </c>
      <c r="W21" s="21" t="s">
        <v>61</v>
      </c>
    </row>
    <row r="22" spans="1:23" s="4" customFormat="1" ht="21">
      <c r="A22" s="5" t="s">
        <v>62</v>
      </c>
      <c r="B22" s="20">
        <f t="shared" si="1"/>
        <v>42070</v>
      </c>
      <c r="C22" s="31">
        <v>0</v>
      </c>
      <c r="D22" s="31"/>
      <c r="E22" s="31">
        <v>0</v>
      </c>
      <c r="F22" s="31">
        <v>0</v>
      </c>
      <c r="G22" s="32"/>
      <c r="H22" s="32">
        <v>0</v>
      </c>
      <c r="I22" s="32"/>
      <c r="J22" s="32">
        <v>9770</v>
      </c>
      <c r="K22" s="32">
        <v>32300</v>
      </c>
      <c r="L22" s="32">
        <v>0</v>
      </c>
      <c r="M22" s="32"/>
      <c r="N22" s="32">
        <v>0</v>
      </c>
      <c r="O22" s="32"/>
      <c r="P22" s="32"/>
      <c r="Q22" s="32">
        <v>0</v>
      </c>
      <c r="R22" s="32">
        <v>0</v>
      </c>
      <c r="S22" s="32"/>
      <c r="T22" s="32"/>
      <c r="U22" s="32">
        <v>0</v>
      </c>
      <c r="V22" s="32">
        <v>0</v>
      </c>
      <c r="W22" s="21" t="s">
        <v>63</v>
      </c>
    </row>
    <row r="23" spans="1:23" s="4" customFormat="1" ht="21">
      <c r="A23" s="19" t="s">
        <v>64</v>
      </c>
      <c r="B23" s="20">
        <f t="shared" si="1"/>
        <v>5158.24</v>
      </c>
      <c r="C23" s="31">
        <v>0</v>
      </c>
      <c r="D23" s="31"/>
      <c r="E23" s="31">
        <v>648</v>
      </c>
      <c r="F23" s="31">
        <v>0</v>
      </c>
      <c r="G23" s="32"/>
      <c r="H23" s="32">
        <v>0</v>
      </c>
      <c r="I23" s="32"/>
      <c r="J23" s="32">
        <v>700</v>
      </c>
      <c r="K23" s="32">
        <v>0</v>
      </c>
      <c r="L23" s="32">
        <v>0</v>
      </c>
      <c r="M23" s="32"/>
      <c r="N23" s="32">
        <v>0</v>
      </c>
      <c r="O23" s="32"/>
      <c r="P23" s="32"/>
      <c r="Q23" s="32">
        <v>138.24</v>
      </c>
      <c r="R23" s="32">
        <v>2592</v>
      </c>
      <c r="S23" s="32"/>
      <c r="T23" s="32"/>
      <c r="U23" s="32">
        <v>1080</v>
      </c>
      <c r="V23" s="32">
        <v>0</v>
      </c>
      <c r="W23" s="21" t="s">
        <v>44</v>
      </c>
    </row>
    <row r="24" spans="1:23" s="4" customFormat="1" ht="21">
      <c r="A24" s="19" t="s">
        <v>65</v>
      </c>
      <c r="B24" s="20">
        <f t="shared" si="1"/>
        <v>22815</v>
      </c>
      <c r="C24" s="31">
        <v>0</v>
      </c>
      <c r="D24" s="31"/>
      <c r="E24" s="31">
        <v>700</v>
      </c>
      <c r="F24" s="31">
        <v>0</v>
      </c>
      <c r="G24" s="32"/>
      <c r="H24" s="32">
        <v>0</v>
      </c>
      <c r="I24" s="32"/>
      <c r="J24" s="32">
        <v>10070</v>
      </c>
      <c r="K24" s="32">
        <v>11395</v>
      </c>
      <c r="L24" s="32">
        <v>250</v>
      </c>
      <c r="M24" s="32"/>
      <c r="N24" s="32">
        <v>0</v>
      </c>
      <c r="O24" s="32"/>
      <c r="P24" s="32"/>
      <c r="Q24" s="32">
        <v>0</v>
      </c>
      <c r="R24" s="32">
        <v>400</v>
      </c>
      <c r="S24" s="32"/>
      <c r="T24" s="32"/>
      <c r="U24" s="32">
        <v>0</v>
      </c>
      <c r="V24" s="32">
        <v>0</v>
      </c>
      <c r="W24" s="22" t="s">
        <v>66</v>
      </c>
    </row>
    <row r="25" spans="1:23" s="4" customFormat="1" ht="21">
      <c r="A25" s="19" t="s">
        <v>80</v>
      </c>
      <c r="B25" s="20">
        <f t="shared" si="1"/>
        <v>25355.915000000001</v>
      </c>
      <c r="C25" s="31">
        <v>0</v>
      </c>
      <c r="D25" s="31"/>
      <c r="E25" s="31">
        <v>0</v>
      </c>
      <c r="F25" s="31">
        <v>0</v>
      </c>
      <c r="G25" s="32"/>
      <c r="H25" s="32">
        <v>0</v>
      </c>
      <c r="I25" s="32"/>
      <c r="J25" s="32">
        <v>0</v>
      </c>
      <c r="K25" s="32">
        <v>25355.915000000001</v>
      </c>
      <c r="L25" s="32">
        <v>0</v>
      </c>
      <c r="M25" s="32"/>
      <c r="N25" s="32">
        <v>0</v>
      </c>
      <c r="O25" s="32"/>
      <c r="P25" s="32"/>
      <c r="Q25" s="32">
        <v>0</v>
      </c>
      <c r="R25" s="32">
        <v>0</v>
      </c>
      <c r="S25" s="32"/>
      <c r="T25" s="32"/>
      <c r="U25" s="32">
        <v>0</v>
      </c>
      <c r="V25" s="32">
        <v>0</v>
      </c>
      <c r="W25" s="22" t="s">
        <v>81</v>
      </c>
    </row>
    <row r="26" spans="1:23" s="4" customFormat="1" ht="21">
      <c r="A26" s="23" t="s">
        <v>67</v>
      </c>
      <c r="B26" s="24">
        <f>SUM(C26:V26)</f>
        <v>179707.13999999998</v>
      </c>
      <c r="C26" s="33">
        <v>0</v>
      </c>
      <c r="D26" s="33"/>
      <c r="E26" s="33">
        <v>20543.2</v>
      </c>
      <c r="F26" s="33">
        <v>0</v>
      </c>
      <c r="G26" s="34"/>
      <c r="H26" s="34">
        <v>7350</v>
      </c>
      <c r="I26" s="34"/>
      <c r="J26" s="34">
        <v>39023.519999999997</v>
      </c>
      <c r="K26" s="34">
        <v>103429.40000000001</v>
      </c>
      <c r="L26" s="34">
        <v>721.5</v>
      </c>
      <c r="M26" s="34"/>
      <c r="N26" s="34">
        <v>0</v>
      </c>
      <c r="O26" s="34"/>
      <c r="P26" s="34"/>
      <c r="Q26" s="34">
        <v>1081.4000000000001</v>
      </c>
      <c r="R26" s="34">
        <v>6178.9000000000005</v>
      </c>
      <c r="S26" s="34"/>
      <c r="T26" s="34"/>
      <c r="U26" s="34">
        <v>1379.22</v>
      </c>
      <c r="V26" s="34">
        <v>0</v>
      </c>
      <c r="W26" s="25" t="s">
        <v>68</v>
      </c>
    </row>
    <row r="27" spans="1:23" s="4" customFormat="1" ht="45" customHeight="1">
      <c r="A27" s="38" t="s">
        <v>82</v>
      </c>
      <c r="B27" s="38"/>
      <c r="C27" s="38"/>
      <c r="D27" s="38"/>
      <c r="E27" s="38"/>
      <c r="F27" s="26"/>
      <c r="G27" s="27"/>
      <c r="H27" s="27"/>
      <c r="I27" s="28"/>
      <c r="J27" s="39" t="s">
        <v>69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s="4" customFormat="1" ht="13.5" customHeight="1">
      <c r="A28" s="5"/>
      <c r="B28" s="29"/>
      <c r="C28" s="29"/>
      <c r="D28" s="29"/>
      <c r="E28" s="29"/>
      <c r="F28" s="29"/>
      <c r="G28" s="28"/>
      <c r="H28" s="28"/>
      <c r="I28" s="28"/>
      <c r="J28" s="28"/>
      <c r="K28" s="8"/>
      <c r="L28" s="8"/>
      <c r="M28" s="8"/>
      <c r="N28" s="8"/>
      <c r="O28" s="8"/>
      <c r="P28" s="30"/>
      <c r="Q28" s="30"/>
      <c r="R28" s="30"/>
      <c r="S28" s="30"/>
      <c r="T28" s="30"/>
      <c r="U28" s="30"/>
      <c r="V28" s="6"/>
      <c r="W28" s="6" t="s">
        <v>70</v>
      </c>
    </row>
    <row r="29" spans="1:23" ht="12.75">
      <c r="A29" s="36" t="s">
        <v>83</v>
      </c>
    </row>
  </sheetData>
  <mergeCells count="9">
    <mergeCell ref="A27:E27"/>
    <mergeCell ref="J27:W27"/>
    <mergeCell ref="A3:W3"/>
    <mergeCell ref="A4:W4"/>
    <mergeCell ref="A5:W5"/>
    <mergeCell ref="B7:B9"/>
    <mergeCell ref="C7:G7"/>
    <mergeCell ref="P7:V7"/>
    <mergeCell ref="W7:W9"/>
  </mergeCells>
  <pageMargins left="0.7" right="0.7" top="0.75" bottom="0.75" header="0.3" footer="0.3"/>
  <pageSetup scale="6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2021-07-15T03:05:46Z</cp:lastPrinted>
  <dcterms:created xsi:type="dcterms:W3CDTF">2019-09-09T05:11:24Z</dcterms:created>
  <dcterms:modified xsi:type="dcterms:W3CDTF">2021-07-15T03:06:01Z</dcterms:modified>
</cp:coreProperties>
</file>