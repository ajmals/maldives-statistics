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9. Fisheries and Agriculture\"/>
    </mc:Choice>
  </mc:AlternateContent>
  <bookViews>
    <workbookView xWindow="0" yWindow="0" windowWidth="28800" windowHeight="11730" tabRatio="831"/>
  </bookViews>
  <sheets>
    <sheet name="9.2" sheetId="2" r:id="rId1"/>
  </sheets>
  <externalReferences>
    <externalReference r:id="rId2"/>
  </externalReferences>
  <definedNames>
    <definedName name="_xlnm.Print_Area" localSheetId="0">'9.2'!$A$1:$W$33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2" l="1"/>
  <c r="C8" i="2" s="1"/>
  <c r="U31" i="2" l="1"/>
  <c r="T31" i="2"/>
  <c r="S31" i="2"/>
  <c r="R31" i="2"/>
  <c r="Q31" i="2"/>
  <c r="P31" i="2"/>
  <c r="U30" i="2"/>
  <c r="T30" i="2"/>
  <c r="S30" i="2"/>
  <c r="R30" i="2"/>
  <c r="Q30" i="2"/>
  <c r="P30" i="2"/>
  <c r="U29" i="2"/>
  <c r="T29" i="2"/>
  <c r="S29" i="2"/>
  <c r="R29" i="2"/>
  <c r="Q29" i="2"/>
  <c r="P29" i="2"/>
  <c r="U28" i="2"/>
  <c r="T28" i="2"/>
  <c r="S28" i="2"/>
  <c r="R28" i="2"/>
  <c r="Q28" i="2"/>
  <c r="P28" i="2"/>
  <c r="U27" i="2"/>
  <c r="T27" i="2"/>
  <c r="S27" i="2"/>
  <c r="R27" i="2"/>
  <c r="Q27" i="2"/>
  <c r="P27" i="2"/>
  <c r="U26" i="2"/>
  <c r="T26" i="2"/>
  <c r="S26" i="2"/>
  <c r="R26" i="2"/>
  <c r="Q26" i="2"/>
  <c r="P26" i="2"/>
  <c r="U25" i="2"/>
  <c r="T25" i="2"/>
  <c r="S25" i="2"/>
  <c r="R25" i="2"/>
  <c r="Q25" i="2"/>
  <c r="P25" i="2"/>
  <c r="U24" i="2"/>
  <c r="T24" i="2"/>
  <c r="S24" i="2"/>
  <c r="R24" i="2"/>
  <c r="Q24" i="2"/>
  <c r="P24" i="2"/>
  <c r="U23" i="2"/>
  <c r="T23" i="2"/>
  <c r="S23" i="2"/>
  <c r="R23" i="2"/>
  <c r="Q23" i="2"/>
  <c r="P23" i="2"/>
  <c r="U22" i="2"/>
  <c r="T22" i="2"/>
  <c r="S22" i="2"/>
  <c r="R22" i="2"/>
  <c r="Q22" i="2"/>
  <c r="P22" i="2"/>
  <c r="U21" i="2"/>
  <c r="T21" i="2"/>
  <c r="S21" i="2"/>
  <c r="R21" i="2"/>
  <c r="Q21" i="2"/>
  <c r="P21" i="2"/>
  <c r="U20" i="2"/>
  <c r="T20" i="2"/>
  <c r="S20" i="2"/>
  <c r="R20" i="2"/>
  <c r="Q20" i="2"/>
  <c r="P20" i="2"/>
  <c r="U19" i="2"/>
  <c r="T19" i="2"/>
  <c r="S19" i="2"/>
  <c r="R19" i="2"/>
  <c r="Q19" i="2"/>
  <c r="P19" i="2"/>
  <c r="U18" i="2"/>
  <c r="T18" i="2"/>
  <c r="S18" i="2"/>
  <c r="R18" i="2"/>
  <c r="Q18" i="2"/>
  <c r="P18" i="2"/>
  <c r="U17" i="2"/>
  <c r="T17" i="2"/>
  <c r="S17" i="2"/>
  <c r="R17" i="2"/>
  <c r="Q17" i="2"/>
  <c r="P17" i="2"/>
  <c r="U16" i="2"/>
  <c r="T16" i="2"/>
  <c r="S16" i="2"/>
  <c r="R16" i="2"/>
  <c r="Q16" i="2"/>
  <c r="P16" i="2"/>
  <c r="U15" i="2"/>
  <c r="T15" i="2"/>
  <c r="S15" i="2"/>
  <c r="R15" i="2"/>
  <c r="Q15" i="2"/>
  <c r="P15" i="2"/>
  <c r="U14" i="2"/>
  <c r="T14" i="2"/>
  <c r="S14" i="2"/>
  <c r="R14" i="2"/>
  <c r="Q14" i="2"/>
  <c r="P14" i="2"/>
  <c r="U13" i="2"/>
  <c r="T13" i="2"/>
  <c r="S13" i="2"/>
  <c r="R13" i="2"/>
  <c r="Q13" i="2"/>
  <c r="P13" i="2"/>
  <c r="U12" i="2"/>
  <c r="T12" i="2"/>
  <c r="S12" i="2"/>
  <c r="R12" i="2"/>
  <c r="Q12" i="2"/>
  <c r="P12" i="2"/>
  <c r="U11" i="2"/>
  <c r="T11" i="2"/>
  <c r="S11" i="2"/>
  <c r="R11" i="2"/>
  <c r="Q11" i="2"/>
  <c r="P11" i="2"/>
  <c r="I10" i="2"/>
  <c r="H10" i="2"/>
  <c r="T10" i="2" s="1"/>
  <c r="G10" i="2"/>
  <c r="G8" i="2" s="1"/>
  <c r="F10" i="2"/>
  <c r="E10" i="2"/>
  <c r="D10" i="2"/>
  <c r="B10" i="2"/>
  <c r="B8" i="2" s="1"/>
  <c r="U9" i="2"/>
  <c r="T9" i="2"/>
  <c r="S9" i="2"/>
  <c r="R9" i="2"/>
  <c r="Q9" i="2"/>
  <c r="P9" i="2"/>
  <c r="H8" i="2" l="1"/>
  <c r="O19" i="2" s="1"/>
  <c r="M31" i="2"/>
  <c r="M9" i="2"/>
  <c r="I8" i="2"/>
  <c r="R10" i="2"/>
  <c r="U10" i="2"/>
  <c r="M12" i="2"/>
  <c r="M20" i="2"/>
  <c r="F8" i="2"/>
  <c r="L10" i="2" s="1"/>
  <c r="S10" i="2"/>
  <c r="M18" i="2"/>
  <c r="N10" i="2"/>
  <c r="M24" i="2"/>
  <c r="M16" i="2"/>
  <c r="M10" i="2"/>
  <c r="M14" i="2"/>
  <c r="M22" i="2"/>
  <c r="O11" i="2"/>
  <c r="O15" i="2"/>
  <c r="O17" i="2"/>
  <c r="N25" i="2"/>
  <c r="N27" i="2"/>
  <c r="N29" i="2"/>
  <c r="N31" i="2"/>
  <c r="N9" i="2"/>
  <c r="N12" i="2"/>
  <c r="N14" i="2"/>
  <c r="N16" i="2"/>
  <c r="N18" i="2"/>
  <c r="N20" i="2"/>
  <c r="N22" i="2"/>
  <c r="N24" i="2"/>
  <c r="M26" i="2"/>
  <c r="M28" i="2"/>
  <c r="M30" i="2"/>
  <c r="O9" i="2"/>
  <c r="O12" i="2"/>
  <c r="O14" i="2"/>
  <c r="O16" i="2"/>
  <c r="O18" i="2"/>
  <c r="N26" i="2"/>
  <c r="N28" i="2"/>
  <c r="N30" i="2"/>
  <c r="D8" i="2"/>
  <c r="P10" i="2"/>
  <c r="L11" i="2"/>
  <c r="L13" i="2"/>
  <c r="L21" i="2"/>
  <c r="L23" i="2"/>
  <c r="O26" i="2"/>
  <c r="O28" i="2"/>
  <c r="O30" i="2"/>
  <c r="O29" i="2"/>
  <c r="T8" i="2"/>
  <c r="E8" i="2"/>
  <c r="M8" i="2"/>
  <c r="Q10" i="2"/>
  <c r="M11" i="2"/>
  <c r="M13" i="2"/>
  <c r="M15" i="2"/>
  <c r="M17" i="2"/>
  <c r="M19" i="2"/>
  <c r="M21" i="2"/>
  <c r="M23" i="2"/>
  <c r="L25" i="2"/>
  <c r="L27" i="2"/>
  <c r="N11" i="2"/>
  <c r="N13" i="2"/>
  <c r="N15" i="2"/>
  <c r="N17" i="2"/>
  <c r="N19" i="2"/>
  <c r="N21" i="2"/>
  <c r="N23" i="2"/>
  <c r="M25" i="2"/>
  <c r="M27" i="2"/>
  <c r="M29" i="2"/>
  <c r="O13" i="2" l="1"/>
  <c r="N8" i="2"/>
  <c r="O31" i="2"/>
  <c r="O24" i="2"/>
  <c r="O25" i="2"/>
  <c r="O23" i="2"/>
  <c r="O27" i="2"/>
  <c r="O10" i="2"/>
  <c r="U8" i="2"/>
  <c r="O22" i="2"/>
  <c r="O21" i="2"/>
  <c r="O20" i="2"/>
  <c r="L29" i="2"/>
  <c r="L31" i="2"/>
  <c r="L20" i="2"/>
  <c r="L12" i="2"/>
  <c r="L28" i="2"/>
  <c r="L9" i="2"/>
  <c r="L8" i="2"/>
  <c r="L22" i="2"/>
  <c r="L14" i="2"/>
  <c r="L30" i="2"/>
  <c r="L24" i="2"/>
  <c r="L16" i="2"/>
  <c r="L18" i="2"/>
  <c r="L26" i="2"/>
  <c r="L19" i="2"/>
  <c r="L17" i="2"/>
  <c r="L15" i="2"/>
  <c r="S8" i="2"/>
  <c r="O8" i="2"/>
  <c r="K28" i="2"/>
  <c r="K31" i="2"/>
  <c r="K29" i="2"/>
  <c r="K27" i="2"/>
  <c r="K25" i="2"/>
  <c r="K23" i="2"/>
  <c r="K21" i="2"/>
  <c r="K19" i="2"/>
  <c r="K17" i="2"/>
  <c r="K15" i="2"/>
  <c r="K13" i="2"/>
  <c r="K11" i="2"/>
  <c r="K8" i="2"/>
  <c r="Q8" i="2"/>
  <c r="K30" i="2"/>
  <c r="K24" i="2"/>
  <c r="K22" i="2"/>
  <c r="K20" i="2"/>
  <c r="K18" i="2"/>
  <c r="K16" i="2"/>
  <c r="K14" i="2"/>
  <c r="K12" i="2"/>
  <c r="K9" i="2"/>
  <c r="K26" i="2"/>
  <c r="K10" i="2"/>
  <c r="J24" i="2"/>
  <c r="J22" i="2"/>
  <c r="J20" i="2"/>
  <c r="J18" i="2"/>
  <c r="J16" i="2"/>
  <c r="J14" i="2"/>
  <c r="J12" i="2"/>
  <c r="J31" i="2"/>
  <c r="J29" i="2"/>
  <c r="J27" i="2"/>
  <c r="J25" i="2"/>
  <c r="J23" i="2"/>
  <c r="J21" i="2"/>
  <c r="J19" i="2"/>
  <c r="J17" i="2"/>
  <c r="J15" i="2"/>
  <c r="J13" i="2"/>
  <c r="J11" i="2"/>
  <c r="J8" i="2"/>
  <c r="P8" i="2"/>
  <c r="J30" i="2"/>
  <c r="J28" i="2"/>
  <c r="J26" i="2"/>
  <c r="J9" i="2"/>
  <c r="R8" i="2"/>
  <c r="J10" i="2"/>
</calcChain>
</file>

<file path=xl/sharedStrings.xml><?xml version="1.0" encoding="utf-8"?>
<sst xmlns="http://schemas.openxmlformats.org/spreadsheetml/2006/main" count="62" uniqueCount="61">
  <si>
    <t>(cnuhWh cnwT ckircTem )</t>
  </si>
  <si>
    <t>(In '000 metric tons)</t>
  </si>
  <si>
    <t>cniawtcaws ctogWviawfiheb</t>
  </si>
  <si>
    <t>Percentage share</t>
  </si>
  <si>
    <t xml:space="preserve"> Locality</t>
  </si>
  <si>
    <t>(cnia % ) urwvcnim ivurutia eruvcSwrwhwa wyidim</t>
  </si>
  <si>
    <t>cnwt</t>
  </si>
  <si>
    <t xml:space="preserve">% change over  previous year </t>
  </si>
  <si>
    <t>Republic</t>
  </si>
  <si>
    <t>ejcaWriLum</t>
  </si>
  <si>
    <t>Male'</t>
  </si>
  <si>
    <t>elWm</t>
  </si>
  <si>
    <t>Atolls</t>
  </si>
  <si>
    <t>cawtuLotwa</t>
  </si>
  <si>
    <t>Longline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</si>
  <si>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</si>
  <si>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</si>
  <si>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</si>
  <si>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</si>
  <si>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</si>
  <si>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</si>
  <si>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</si>
  <si>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</si>
  <si>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</si>
  <si>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</si>
  <si>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</si>
  <si>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</si>
  <si>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</si>
  <si>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</si>
  <si>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</si>
  <si>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</si>
  <si>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</si>
  <si>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</si>
  <si>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</si>
  <si>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</si>
  <si>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</si>
  <si>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</si>
  <si>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</si>
  <si>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</si>
  <si>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</si>
  <si>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</si>
  <si>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</si>
  <si>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</si>
  <si>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</si>
  <si>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</si>
  <si>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</si>
  <si>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</si>
  <si>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</si>
  <si>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</si>
  <si>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</si>
  <si>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</si>
  <si>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</si>
  <si>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</si>
  <si>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</si>
  <si>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މަޢުލޫމާތުދެއްވި ފަރާތް: މިނިސްޓްރީ އޮފް ފިޝަރީޒް، މެރިންރިސޯސަސް އެންޑް އެގްރިކަލްޗަރ</t>
  </si>
  <si>
    <t>cnwkirevcswmunEl</t>
  </si>
  <si>
    <t>Source:  Ministry of Fisheries, Marine Resources and Agriculture</t>
  </si>
  <si>
    <t>Note: This table does not in any way or form represent the area of fish catch but the catches from the vessels regisered to islands in the specific atoll</t>
  </si>
  <si>
    <t xml:space="preserve">ނޯޓް: މި ތާވަލުން ރަމްޒުކޮށްދެނީ މަސްވެރިކަން ކޮށްފައިވާ ސަރަޙައްދުތަކެއް ނޫނެވެ. މިތާވަލުން ރަމްޒުކޮށްދެނީ ވަކިވަކި އަތޮޅުތަކަށް ރަޖިސްޓްރީކޮށްފައިވާ އުޅާނދުން މަސް ބާނާފައިވާ މިންވަރެވެ. </t>
  </si>
  <si>
    <r>
      <t>2020 - 2015 ,urwvcnim eguhwm inEb wtwvun ifih cnutog eguLotwa WviawfcSokIrcTcsijwr udnwLua</t>
    </r>
    <r>
      <rPr>
        <b/>
        <sz val="10"/>
        <rFont val="A_Waheed"/>
      </rPr>
      <t xml:space="preserve"> : </t>
    </r>
    <r>
      <rPr>
        <b/>
        <sz val="12"/>
        <rFont val="A_Waheed"/>
      </rPr>
      <t>9.2 ulwvWt</t>
    </r>
  </si>
  <si>
    <t>Table 9.2 :  FISH CATCH BY VESSEL LOCALITY, 2015 - 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</si>
</sst>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#,##0.0"/>
    <numFmt numFmtId="166" formatCode="_(* #,##0.0_);_(* \(#,##0.0\);_(* &quot;-&quot;??_);_(@_)"/>
    <numFmt numFmtId="170" formatCode="[$-409]mmmm\ d\,\ yy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Waheed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b/>
      <sz val="9"/>
      <name val="A_Waheed"/>
    </font>
    <font>
      <sz val="10"/>
      <name val="Calibri"/>
      <family val="2"/>
    </font>
    <font>
      <sz val="10"/>
      <name val="A_Waheed"/>
    </font>
    <font>
      <sz val="10"/>
      <name val="Arial"/>
      <family val="2"/>
    </font>
    <font>
      <b/>
      <sz val="10"/>
      <name val="Calibri"/>
      <family val="2"/>
    </font>
    <font>
      <b/>
      <sz val="10"/>
      <name val="A_Waheed"/>
    </font>
    <font>
      <i/>
      <sz val="9"/>
      <name val="Calibri"/>
      <family val="2"/>
      <scheme val="minor"/>
    </font>
    <font>
      <sz val="9"/>
      <name val="Faruma"/>
    </font>
    <font>
      <i/>
      <sz val="9"/>
      <name val="Calibri"/>
      <family val="2"/>
    </font>
    <font>
      <i/>
      <sz val="9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11"/>
      <name val="Calibri"/>
      <family val="2"/>
    </font>
    <font>
      <sz val="10"/>
      <name val="MS Sans Serif"/>
      <family val="2"/>
    </font>
    <font>
      <b/>
      <sz val="10"/>
      <color theme="1"/>
      <name val="A_Waheed"/>
    </font>
    <font>
      <i/>
      <sz val="9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22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</cellStyleXfs>
  <cellXfs count="87">
    <xf numFmtId="0" fontId="0" fillId="0" borderId="0" xfId="0"/>
    <xf numFmtId="164" fontId="2" fillId="2" borderId="0" xfId="2" applyFont="1" applyFill="1" applyAlignment="1">
      <alignment vertical="center"/>
    </xf>
    <xf numFmtId="164" fontId="4" fillId="2" borderId="0" xfId="2" applyFont="1" applyFill="1" applyAlignment="1">
      <alignment vertical="center"/>
    </xf>
    <xf numFmtId="164" fontId="11" fillId="2" borderId="0" xfId="2" applyFont="1" applyFill="1" applyAlignment="1">
      <alignment vertical="center"/>
    </xf>
    <xf numFmtId="164" fontId="12" fillId="2" borderId="0" xfId="2" applyFont="1" applyFill="1" applyAlignment="1" applyProtection="1">
      <alignment horizontal="left" vertical="center"/>
    </xf>
    <xf numFmtId="164" fontId="15" fillId="2" borderId="0" xfId="2" applyFont="1" applyFill="1" applyBorder="1" applyAlignment="1">
      <alignment horizontal="right" vertical="center"/>
    </xf>
    <xf numFmtId="164" fontId="17" fillId="2" borderId="0" xfId="2" applyFont="1" applyFill="1" applyAlignment="1" applyProtection="1">
      <alignment horizontal="left" vertical="center"/>
    </xf>
    <xf numFmtId="164" fontId="18" fillId="2" borderId="0" xfId="2" applyFont="1" applyFill="1" applyAlignment="1">
      <alignment vertical="center"/>
    </xf>
    <xf numFmtId="164" fontId="16" fillId="2" borderId="0" xfId="2" applyFont="1" applyFill="1" applyAlignment="1" applyProtection="1">
      <alignment horizontal="left" vertical="center"/>
    </xf>
    <xf numFmtId="164" fontId="4" fillId="2" borderId="0" xfId="2" applyFont="1" applyFill="1" applyBorder="1" applyAlignment="1">
      <alignment vertical="center"/>
    </xf>
    <xf numFmtId="164" fontId="14" fillId="2" borderId="0" xfId="2" applyFont="1" applyFill="1" applyBorder="1" applyAlignment="1">
      <alignment horizontal="left" vertical="top"/>
    </xf>
    <xf numFmtId="164" fontId="19" fillId="2" borderId="0" xfId="2" applyFont="1" applyFill="1" applyAlignment="1">
      <alignment vertical="center"/>
    </xf>
    <xf numFmtId="164" fontId="6" fillId="2" borderId="0" xfId="2" applyFont="1" applyFill="1" applyAlignment="1">
      <alignment vertical="center"/>
    </xf>
    <xf numFmtId="164" fontId="8" fillId="2" borderId="0" xfId="2" applyFont="1" applyFill="1" applyBorder="1" applyAlignment="1">
      <alignment horizontal="centerContinuous" vertical="center" wrapText="1"/>
    </xf>
    <xf numFmtId="164" fontId="4" fillId="2" borderId="0" xfId="2" applyFont="1" applyFill="1" applyBorder="1" applyAlignment="1">
      <alignment horizontal="centerContinuous" vertical="center"/>
    </xf>
    <xf numFmtId="164" fontId="7" fillId="2" borderId="1" xfId="2" applyFont="1" applyFill="1" applyBorder="1" applyAlignment="1" applyProtection="1">
      <alignment horizontal="centerContinuous" vertical="center"/>
    </xf>
    <xf numFmtId="164" fontId="6" fillId="2" borderId="1" xfId="2" applyFont="1" applyFill="1" applyBorder="1" applyAlignment="1">
      <alignment horizontal="centerContinuous" vertical="center"/>
    </xf>
    <xf numFmtId="164" fontId="20" fillId="2" borderId="2" xfId="2" applyFont="1" applyFill="1" applyBorder="1" applyAlignment="1">
      <alignment vertical="center"/>
    </xf>
    <xf numFmtId="164" fontId="20" fillId="2" borderId="2" xfId="2" applyFont="1" applyFill="1" applyBorder="1" applyAlignment="1">
      <alignment horizontal="center" vertical="center"/>
    </xf>
    <xf numFmtId="164" fontId="5" fillId="2" borderId="1" xfId="2" applyFont="1" applyFill="1" applyBorder="1" applyAlignment="1">
      <alignment vertical="center"/>
    </xf>
    <xf numFmtId="164" fontId="5" fillId="2" borderId="0" xfId="2" applyFont="1" applyFill="1" applyBorder="1" applyAlignment="1">
      <alignment horizontal="center" vertical="center" wrapText="1"/>
    </xf>
    <xf numFmtId="164" fontId="5" fillId="2" borderId="0" xfId="2" applyFont="1" applyFill="1" applyAlignment="1">
      <alignment vertical="center"/>
    </xf>
    <xf numFmtId="164" fontId="21" fillId="2" borderId="0" xfId="2" applyFont="1" applyFill="1" applyAlignment="1">
      <alignment vertical="center"/>
    </xf>
    <xf numFmtId="1" fontId="12" fillId="2" borderId="1" xfId="2" applyNumberFormat="1" applyFont="1" applyFill="1" applyBorder="1" applyAlignment="1" applyProtection="1">
      <alignment horizontal="right" vertical="center"/>
    </xf>
    <xf numFmtId="1" fontId="12" fillId="2" borderId="4" xfId="2" applyNumberFormat="1" applyFont="1" applyFill="1" applyBorder="1" applyAlignment="1" applyProtection="1">
      <alignment horizontal="right" vertical="center"/>
    </xf>
    <xf numFmtId="164" fontId="12" fillId="2" borderId="8" xfId="2" applyFont="1" applyFill="1" applyBorder="1" applyAlignment="1">
      <alignment horizontal="right" vertical="center" wrapText="1"/>
    </xf>
    <xf numFmtId="164" fontId="12" fillId="2" borderId="4" xfId="2" applyFont="1" applyFill="1" applyBorder="1" applyAlignment="1">
      <alignment horizontal="right" vertical="center" wrapText="1"/>
    </xf>
    <xf numFmtId="164" fontId="19" fillId="2" borderId="1" xfId="2" applyFont="1" applyFill="1" applyBorder="1" applyAlignment="1">
      <alignment horizontal="right" vertical="center" wrapText="1"/>
    </xf>
    <xf numFmtId="164" fontId="2" fillId="2" borderId="0" xfId="2" applyFont="1" applyFill="1" applyAlignment="1">
      <alignment horizontal="right" vertical="center"/>
    </xf>
    <xf numFmtId="164" fontId="12" fillId="2" borderId="0" xfId="2" applyFont="1" applyFill="1" applyBorder="1" applyAlignment="1">
      <alignment horizontal="center" vertical="center" wrapText="1"/>
    </xf>
    <xf numFmtId="164" fontId="19" fillId="2" borderId="0" xfId="2" applyFont="1" applyFill="1" applyAlignment="1">
      <alignment horizontal="right" vertical="center"/>
    </xf>
    <xf numFmtId="165" fontId="12" fillId="2" borderId="0" xfId="2" applyNumberFormat="1" applyFont="1" applyFill="1" applyAlignment="1" applyProtection="1">
      <alignment horizontal="right"/>
    </xf>
    <xf numFmtId="165" fontId="12" fillId="2" borderId="0" xfId="2" applyNumberFormat="1" applyFont="1" applyFill="1" applyBorder="1" applyAlignment="1" applyProtection="1">
      <alignment horizontal="right"/>
    </xf>
    <xf numFmtId="165" fontId="12" fillId="2" borderId="11" xfId="2" applyNumberFormat="1" applyFont="1" applyFill="1" applyBorder="1" applyAlignment="1" applyProtection="1">
      <alignment horizontal="right"/>
    </xf>
    <xf numFmtId="165" fontId="12" fillId="2" borderId="10" xfId="2" applyNumberFormat="1" applyFont="1" applyFill="1" applyBorder="1" applyAlignment="1">
      <alignment horizontal="right" vertical="center"/>
    </xf>
    <xf numFmtId="165" fontId="12" fillId="2" borderId="0" xfId="2" applyNumberFormat="1" applyFont="1" applyFill="1" applyBorder="1" applyAlignment="1">
      <alignment horizontal="right" vertical="center"/>
    </xf>
    <xf numFmtId="165" fontId="19" fillId="2" borderId="0" xfId="2" applyNumberFormat="1" applyFont="1" applyFill="1" applyBorder="1" applyAlignment="1">
      <alignment horizontal="right" vertical="center"/>
    </xf>
    <xf numFmtId="164" fontId="13" fillId="2" borderId="0" xfId="2" applyFont="1" applyFill="1" applyAlignment="1">
      <alignment horizontal="right" vertical="center" indent="1"/>
    </xf>
    <xf numFmtId="166" fontId="18" fillId="2" borderId="0" xfId="1" applyNumberFormat="1" applyFont="1" applyFill="1" applyAlignment="1">
      <alignment vertical="center"/>
    </xf>
    <xf numFmtId="165" fontId="12" fillId="2" borderId="0" xfId="2" applyNumberFormat="1" applyFont="1" applyFill="1" applyAlignment="1">
      <alignment horizontal="right" vertical="center"/>
    </xf>
    <xf numFmtId="164" fontId="8" fillId="2" borderId="0" xfId="2" applyFont="1" applyFill="1" applyBorder="1" applyAlignment="1">
      <alignment horizontal="center" vertical="center"/>
    </xf>
    <xf numFmtId="164" fontId="9" fillId="2" borderId="0" xfId="0" applyNumberFormat="1" applyFont="1" applyFill="1" applyAlignment="1" applyProtection="1">
      <alignment horizontal="left" vertical="center" indent="1"/>
    </xf>
    <xf numFmtId="165" fontId="9" fillId="2" borderId="0" xfId="2" applyNumberFormat="1" applyFont="1" applyFill="1" applyBorder="1" applyAlignment="1" applyProtection="1">
      <alignment horizontal="right"/>
    </xf>
    <xf numFmtId="165" fontId="9" fillId="2" borderId="10" xfId="2" applyNumberFormat="1" applyFont="1" applyFill="1" applyBorder="1" applyAlignment="1">
      <alignment horizontal="right" vertical="center"/>
    </xf>
    <xf numFmtId="165" fontId="9" fillId="2" borderId="0" xfId="2" applyNumberFormat="1" applyFont="1" applyFill="1" applyBorder="1" applyAlignment="1">
      <alignment horizontal="right" vertical="center"/>
    </xf>
    <xf numFmtId="165" fontId="11" fillId="2" borderId="0" xfId="2" applyNumberFormat="1" applyFont="1" applyFill="1" applyBorder="1" applyAlignment="1">
      <alignment horizontal="right" vertical="center"/>
    </xf>
    <xf numFmtId="164" fontId="10" fillId="2" borderId="0" xfId="0" applyNumberFormat="1" applyFont="1" applyFill="1" applyAlignment="1">
      <alignment horizontal="right" vertical="center" indent="3"/>
    </xf>
    <xf numFmtId="166" fontId="4" fillId="2" borderId="0" xfId="1" applyNumberFormat="1" applyFont="1" applyFill="1" applyAlignment="1">
      <alignment vertical="center"/>
    </xf>
    <xf numFmtId="164" fontId="9" fillId="2" borderId="1" xfId="0" applyNumberFormat="1" applyFont="1" applyFill="1" applyBorder="1" applyAlignment="1" applyProtection="1">
      <alignment horizontal="left" vertical="center" indent="1"/>
    </xf>
    <xf numFmtId="165" fontId="9" fillId="2" borderId="1" xfId="2" applyNumberFormat="1" applyFont="1" applyFill="1" applyBorder="1" applyAlignment="1" applyProtection="1">
      <alignment horizontal="right"/>
    </xf>
    <xf numFmtId="165" fontId="9" fillId="2" borderId="13" xfId="2" applyNumberFormat="1" applyFont="1" applyFill="1" applyBorder="1" applyAlignment="1" applyProtection="1">
      <alignment horizontal="right"/>
    </xf>
    <xf numFmtId="165" fontId="9" fillId="2" borderId="12" xfId="2" applyNumberFormat="1" applyFont="1" applyFill="1" applyBorder="1" applyAlignment="1">
      <alignment horizontal="right" vertical="center"/>
    </xf>
    <xf numFmtId="165" fontId="9" fillId="2" borderId="1" xfId="2" applyNumberFormat="1" applyFont="1" applyFill="1" applyBorder="1" applyAlignment="1">
      <alignment horizontal="right" vertical="center"/>
    </xf>
    <xf numFmtId="165" fontId="11" fillId="2" borderId="1" xfId="2" applyNumberFormat="1" applyFont="1" applyFill="1" applyBorder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 indent="3"/>
    </xf>
    <xf numFmtId="164" fontId="17" fillId="2" borderId="0" xfId="2" applyFont="1" applyFill="1" applyBorder="1" applyAlignment="1" applyProtection="1">
      <alignment horizontal="left" vertical="center"/>
    </xf>
    <xf numFmtId="164" fontId="4" fillId="2" borderId="0" xfId="2" applyFont="1" applyFill="1" applyAlignment="1">
      <alignment horizontal="left" vertical="center"/>
    </xf>
    <xf numFmtId="164" fontId="4" fillId="2" borderId="0" xfId="2" applyFont="1" applyFill="1" applyBorder="1" applyAlignment="1">
      <alignment horizontal="left" vertical="center"/>
    </xf>
    <xf numFmtId="165" fontId="12" fillId="2" borderId="0" xfId="2" applyNumberFormat="1" applyFont="1" applyFill="1" applyBorder="1" applyAlignment="1">
      <alignment horizontal="left" vertical="center"/>
    </xf>
    <xf numFmtId="164" fontId="11" fillId="2" borderId="0" xfId="2" applyFont="1" applyFill="1" applyBorder="1" applyAlignment="1">
      <alignment vertical="center"/>
    </xf>
    <xf numFmtId="1" fontId="12" fillId="2" borderId="9" xfId="2" applyNumberFormat="1" applyFont="1" applyFill="1" applyBorder="1" applyAlignment="1" applyProtection="1">
      <alignment horizontal="right" vertical="center"/>
    </xf>
    <xf numFmtId="165" fontId="12" fillId="2" borderId="11" xfId="2" applyNumberFormat="1" applyFont="1" applyFill="1" applyBorder="1" applyAlignment="1">
      <alignment horizontal="right" vertical="center"/>
    </xf>
    <xf numFmtId="164" fontId="23" fillId="2" borderId="0" xfId="2" applyFont="1" applyFill="1" applyAlignment="1">
      <alignment horizontal="right" vertical="center" indent="1"/>
    </xf>
    <xf numFmtId="164" fontId="24" fillId="2" borderId="0" xfId="2" applyFont="1" applyFill="1" applyAlignment="1" applyProtection="1">
      <alignment vertical="center" wrapText="1"/>
    </xf>
    <xf numFmtId="164" fontId="8" fillId="2" borderId="2" xfId="2" applyFont="1" applyFill="1" applyBorder="1" applyAlignment="1">
      <alignment horizontal="center" vertical="center"/>
    </xf>
    <xf numFmtId="164" fontId="5" fillId="2" borderId="0" xfId="2" applyFont="1" applyFill="1" applyBorder="1" applyAlignment="1">
      <alignment horizontal="center" vertical="center"/>
    </xf>
    <xf numFmtId="165" fontId="9" fillId="2" borderId="11" xfId="2" applyNumberFormat="1" applyFont="1" applyFill="1" applyBorder="1" applyAlignment="1" applyProtection="1">
      <alignment horizontal="right"/>
    </xf>
    <xf numFmtId="165" fontId="12" fillId="2" borderId="13" xfId="2" applyNumberFormat="1" applyFont="1" applyFill="1" applyBorder="1" applyAlignment="1" applyProtection="1">
      <alignment horizontal="right"/>
    </xf>
    <xf numFmtId="164" fontId="5" fillId="2" borderId="3" xfId="2" applyFont="1" applyFill="1" applyBorder="1" applyAlignment="1">
      <alignment horizontal="center" vertical="center"/>
    </xf>
    <xf numFmtId="164" fontId="16" fillId="2" borderId="0" xfId="2" applyFont="1" applyFill="1" applyAlignment="1" applyProtection="1">
      <alignment horizontal="left" vertical="top" wrapText="1"/>
    </xf>
    <xf numFmtId="164" fontId="15" fillId="2" borderId="0" xfId="2" applyFont="1" applyFill="1" applyAlignment="1" applyProtection="1">
      <alignment horizontal="right" vertical="top" wrapText="1"/>
    </xf>
    <xf numFmtId="164" fontId="16" fillId="2" borderId="0" xfId="2" applyFont="1" applyFill="1" applyAlignment="1" applyProtection="1">
      <alignment horizontal="right" vertical="top" wrapText="1"/>
    </xf>
    <xf numFmtId="164" fontId="7" fillId="2" borderId="2" xfId="2" applyFont="1" applyFill="1" applyBorder="1" applyAlignment="1" applyProtection="1">
      <alignment horizontal="left" vertical="center"/>
    </xf>
    <xf numFmtId="164" fontId="7" fillId="2" borderId="0" xfId="2" applyFont="1" applyFill="1" applyBorder="1" applyAlignment="1" applyProtection="1">
      <alignment horizontal="left" vertical="center"/>
    </xf>
    <xf numFmtId="164" fontId="7" fillId="2" borderId="1" xfId="2" applyFont="1" applyFill="1" applyBorder="1" applyAlignment="1" applyProtection="1">
      <alignment horizontal="left" vertical="center"/>
    </xf>
    <xf numFmtId="164" fontId="3" fillId="2" borderId="0" xfId="2" applyFont="1" applyFill="1" applyAlignment="1">
      <alignment horizontal="center" vertical="center"/>
    </xf>
    <xf numFmtId="164" fontId="12" fillId="2" borderId="0" xfId="2" applyFont="1" applyFill="1" applyBorder="1" applyAlignment="1" applyProtection="1">
      <alignment horizontal="center" vertical="center"/>
    </xf>
    <xf numFmtId="164" fontId="8" fillId="2" borderId="2" xfId="2" applyFont="1" applyFill="1" applyBorder="1" applyAlignment="1">
      <alignment horizontal="right" vertical="center"/>
    </xf>
    <xf numFmtId="164" fontId="8" fillId="2" borderId="0" xfId="2" applyFont="1" applyFill="1" applyBorder="1" applyAlignment="1">
      <alignment horizontal="right" vertical="center"/>
    </xf>
    <xf numFmtId="164" fontId="8" fillId="2" borderId="1" xfId="2" applyFont="1" applyFill="1" applyBorder="1" applyAlignment="1">
      <alignment horizontal="right" vertical="center"/>
    </xf>
    <xf numFmtId="164" fontId="8" fillId="2" borderId="5" xfId="2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center" vertical="center"/>
    </xf>
    <xf numFmtId="164" fontId="5" fillId="2" borderId="7" xfId="2" applyFont="1" applyFill="1" applyBorder="1" applyAlignment="1">
      <alignment horizontal="center" vertical="center"/>
    </xf>
    <xf numFmtId="164" fontId="8" fillId="2" borderId="6" xfId="2" applyFont="1" applyFill="1" applyBorder="1" applyAlignment="1">
      <alignment horizontal="center" vertical="center"/>
    </xf>
    <xf numFmtId="164" fontId="5" fillId="2" borderId="0" xfId="2" applyFont="1" applyFill="1" applyBorder="1" applyAlignment="1">
      <alignment horizontal="center" vertical="center"/>
    </xf>
    <xf numFmtId="164" fontId="5" fillId="2" borderId="11" xfId="2" applyFont="1" applyFill="1" applyBorder="1" applyAlignment="1">
      <alignment horizontal="center" vertical="center"/>
    </xf>
    <xf numFmtId="164" fontId="5" fillId="2" borderId="14" xfId="2" applyFont="1" applyFill="1" applyBorder="1" applyAlignment="1">
      <alignment horizontal="center" vertical="center"/>
    </xf>
  </cellXfs>
  <cellStyles count="7">
    <cellStyle name="Comma" xfId="1" builtinId="3"/>
    <cellStyle name="Comma 2" xfId="3"/>
    <cellStyle name="Normal" xfId="0" builtinId="0"/>
    <cellStyle name="Normal 2_agri planning 2009 year book(final)" xfId="4"/>
    <cellStyle name="Normal 3_agri planning 2009 year book(final)" xfId="6"/>
    <cellStyle name="Normal 4_agri planning 2009 year book(final)" xfId="5"/>
    <cellStyle name="Normal_Fish &amp;  Agri - 8" xfId="2"/>
  </cellStyles>
  <dxfs count="0"/>
  <tableStyles count="0" defaultTableStyle="TableStyleMedium2" defaultPivotStyle="PivotStyleLight16"/>
  <colors>
    <mruColors>
      <color rgb="FF33CCCC"/>
      <color rgb="FF00FFCC"/>
      <color rgb="FFC89058"/>
      <color rgb="FF7E542A"/>
      <color rgb="FFD3A77B"/>
      <color rgb="FF996633"/>
      <color rgb="FFFFFDF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CHECKING/9.%20%20FISHERIES%20AND%20AGRICULT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8"/>
      <sheetName val="9.9"/>
      <sheetName val="9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C4" t="str">
            <v>Pole and Line</v>
          </cell>
          <cell r="AD4" t="str">
            <v>Hand  Line</v>
          </cell>
          <cell r="AE4" t="str">
            <v>Other methods</v>
          </cell>
        </row>
        <row r="5">
          <cell r="AC5">
            <v>80.172670134023591</v>
          </cell>
          <cell r="AD5">
            <v>18.70465755671324</v>
          </cell>
          <cell r="AE5">
            <v>1.1226723092631659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N67"/>
  <sheetViews>
    <sheetView tabSelected="1" zoomScaleNormal="100" workbookViewId="0">
      <selection activeCell="H15" sqref="H15"/>
    </sheetView>
  </sheetViews>
  <sheetFormatPr defaultColWidth="8.85546875" defaultRowHeight="12.75" x14ac:dyDescent="0.25"/>
  <cols>
    <col min="1" max="1" width="7.85546875" style="3" customWidth="1"/>
    <col min="2" max="3" width="7.7109375" style="3" hidden="1" customWidth="1"/>
    <col min="4" max="9" width="9.28515625" style="3" customWidth="1"/>
    <col min="10" max="15" width="10" style="59" customWidth="1"/>
    <col min="16" max="21" width="9.28515625" style="3" customWidth="1"/>
    <col min="22" max="22" width="8.85546875" style="3"/>
    <col min="23" max="23" width="13" style="3" customWidth="1"/>
    <col min="24" max="25" width="10.140625" style="3" bestFit="1" customWidth="1"/>
    <col min="26" max="16384" width="8.85546875" style="3"/>
  </cols>
  <sheetData>
    <row r="1" spans="1:40" s="11" customFormat="1" ht="18.75" x14ac:dyDescent="0.25">
      <c r="A1" s="75" t="s">
        <v>59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s="12" customFormat="1" x14ac:dyDescent="0.25">
      <c r="A2" s="76" t="s">
        <v>60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spans="1:40" s="12" customFormat="1" ht="14.25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s="12" customFormat="1" ht="12" x14ac:dyDescent="0.25">
      <c r="A4" s="15" t="s">
        <v>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s="12" customFormat="1" ht="17.25" customHeight="1" x14ac:dyDescent="0.25">
      <c r="A5" s="72" t="s">
        <v>4</v>
      </c>
      <c r="B5" s="17"/>
      <c r="C5" s="81"/>
      <c r="D5" s="81"/>
      <c r="E5" s="81"/>
      <c r="F5" s="81"/>
      <c r="G5" s="81"/>
      <c r="H5" s="81"/>
      <c r="I5" s="83"/>
      <c r="J5" s="80" t="s">
        <v>2</v>
      </c>
      <c r="K5" s="81"/>
      <c r="L5" s="81"/>
      <c r="M5" s="81"/>
      <c r="N5" s="81"/>
      <c r="O5" s="83"/>
      <c r="P5" s="80" t="s">
        <v>5</v>
      </c>
      <c r="Q5" s="81"/>
      <c r="R5" s="81"/>
      <c r="S5" s="81"/>
      <c r="T5" s="81"/>
      <c r="U5" s="64"/>
      <c r="V5" s="18"/>
      <c r="W5" s="77" t="s">
        <v>6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s="21" customFormat="1" ht="16.5" customHeight="1" x14ac:dyDescent="0.25">
      <c r="A6" s="73"/>
      <c r="B6" s="19"/>
      <c r="C6" s="84"/>
      <c r="D6" s="84"/>
      <c r="E6" s="84"/>
      <c r="F6" s="84"/>
      <c r="G6" s="84"/>
      <c r="H6" s="84"/>
      <c r="I6" s="85"/>
      <c r="J6" s="82" t="s">
        <v>3</v>
      </c>
      <c r="K6" s="68"/>
      <c r="L6" s="68"/>
      <c r="M6" s="68"/>
      <c r="N6" s="68"/>
      <c r="O6" s="86"/>
      <c r="P6" s="82" t="s">
        <v>7</v>
      </c>
      <c r="Q6" s="68"/>
      <c r="R6" s="68"/>
      <c r="S6" s="68"/>
      <c r="T6" s="68"/>
      <c r="U6" s="65"/>
      <c r="V6" s="20"/>
      <c r="W6" s="78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</row>
    <row r="7" spans="1:40" s="30" customFormat="1" x14ac:dyDescent="0.25">
      <c r="A7" s="74"/>
      <c r="B7" s="23">
        <v>2009</v>
      </c>
      <c r="C7" s="24">
        <v>2014</v>
      </c>
      <c r="D7" s="24">
        <v>2015</v>
      </c>
      <c r="E7" s="24">
        <v>2016</v>
      </c>
      <c r="F7" s="24">
        <v>2017</v>
      </c>
      <c r="G7" s="24">
        <v>2018</v>
      </c>
      <c r="H7" s="24">
        <v>2019</v>
      </c>
      <c r="I7" s="60">
        <v>2020</v>
      </c>
      <c r="J7" s="26">
        <v>2015</v>
      </c>
      <c r="K7" s="26">
        <v>2016</v>
      </c>
      <c r="L7" s="26">
        <v>2017</v>
      </c>
      <c r="M7" s="26">
        <v>2018</v>
      </c>
      <c r="N7" s="26">
        <v>2019</v>
      </c>
      <c r="O7" s="26">
        <v>2020</v>
      </c>
      <c r="P7" s="25">
        <v>2015</v>
      </c>
      <c r="Q7" s="26">
        <v>2016</v>
      </c>
      <c r="R7" s="26">
        <v>2017</v>
      </c>
      <c r="S7" s="26">
        <v>2018</v>
      </c>
      <c r="T7" s="26">
        <v>2019</v>
      </c>
      <c r="U7" s="26">
        <v>2020</v>
      </c>
      <c r="V7" s="27"/>
      <c r="W7" s="79"/>
      <c r="X7" s="28"/>
      <c r="Y7" s="29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</row>
    <row r="8" spans="1:40" s="12" customFormat="1" ht="15" x14ac:dyDescent="0.2">
      <c r="A8" s="4" t="s">
        <v>8</v>
      </c>
      <c r="B8" s="31">
        <f t="shared" ref="B8:I8" si="0">B9+B10+B11</f>
        <v>116.73586114053799</v>
      </c>
      <c r="C8" s="32">
        <f t="shared" si="0"/>
        <v>128.68322700000019</v>
      </c>
      <c r="D8" s="32">
        <f t="shared" si="0"/>
        <v>127.35181848143279</v>
      </c>
      <c r="E8" s="32">
        <f t="shared" si="0"/>
        <v>129.19099510655224</v>
      </c>
      <c r="F8" s="32">
        <f t="shared" si="0"/>
        <v>143.15996433162485</v>
      </c>
      <c r="G8" s="32">
        <f t="shared" si="0"/>
        <v>151.02432375223395</v>
      </c>
      <c r="H8" s="32">
        <f t="shared" si="0"/>
        <v>135.06892557018762</v>
      </c>
      <c r="I8" s="33">
        <f t="shared" si="0"/>
        <v>148.58296918261513</v>
      </c>
      <c r="J8" s="32">
        <f>(D8/$D$8)*100</f>
        <v>100</v>
      </c>
      <c r="K8" s="32">
        <f t="shared" ref="K8:K31" si="1">(E8/$E$8)*100</f>
        <v>100</v>
      </c>
      <c r="L8" s="32">
        <f>(F8/$F$8)*100</f>
        <v>100</v>
      </c>
      <c r="M8" s="32">
        <f t="shared" ref="M8:N23" si="2">(G8/$G$8)*100</f>
        <v>100</v>
      </c>
      <c r="N8" s="32">
        <f t="shared" si="2"/>
        <v>89.435212960647121</v>
      </c>
      <c r="O8" s="32">
        <f>(I8/$H$8)*100</f>
        <v>110.00529437498562</v>
      </c>
      <c r="P8" s="34">
        <f>((D8-C8)/C8)*100</f>
        <v>-1.0346402943154343</v>
      </c>
      <c r="Q8" s="35">
        <f t="shared" ref="Q8:U31" si="3">((E8-D8)/D8)*100</f>
        <v>1.4441698964727321</v>
      </c>
      <c r="R8" s="35">
        <f t="shared" si="3"/>
        <v>10.81264929769408</v>
      </c>
      <c r="S8" s="35">
        <f t="shared" si="3"/>
        <v>5.4934069432928911</v>
      </c>
      <c r="T8" s="35">
        <f t="shared" si="3"/>
        <v>-10.564787039352874</v>
      </c>
      <c r="U8" s="35">
        <f t="shared" si="3"/>
        <v>10.005294374985633</v>
      </c>
      <c r="V8" s="36"/>
      <c r="W8" s="37" t="s">
        <v>9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s="12" customFormat="1" ht="15" x14ac:dyDescent="0.2">
      <c r="A9" s="4" t="s">
        <v>10</v>
      </c>
      <c r="B9" s="32">
        <v>14.241852868900001</v>
      </c>
      <c r="C9" s="32">
        <v>17.203263173371155</v>
      </c>
      <c r="D9" s="32">
        <v>14.788513434148374</v>
      </c>
      <c r="E9" s="32">
        <v>19.525542058911476</v>
      </c>
      <c r="F9" s="32">
        <v>25.501210143903222</v>
      </c>
      <c r="G9" s="32">
        <v>28.304114418123373</v>
      </c>
      <c r="H9" s="32">
        <v>23.90253601145335</v>
      </c>
      <c r="I9" s="33">
        <v>24.817541091693119</v>
      </c>
      <c r="J9" s="32">
        <f t="shared" ref="J9:J31" si="4">(D9/$D$8)*100</f>
        <v>11.612330008702985</v>
      </c>
      <c r="K9" s="32">
        <f t="shared" si="1"/>
        <v>15.113702036900861</v>
      </c>
      <c r="L9" s="32">
        <f>(F9/$F$8)*100</f>
        <v>17.813087802139009</v>
      </c>
      <c r="M9" s="32">
        <f t="shared" si="2"/>
        <v>18.741427681913191</v>
      </c>
      <c r="N9" s="32">
        <f t="shared" si="2"/>
        <v>15.826944572628673</v>
      </c>
      <c r="O9" s="32">
        <f t="shared" ref="O9:O31" si="5">(I9/$H$8)*100</f>
        <v>18.37398275504669</v>
      </c>
      <c r="P9" s="34">
        <f>((D9-C9)/C9)*100</f>
        <v>-14.036579658681037</v>
      </c>
      <c r="Q9" s="35">
        <f t="shared" si="3"/>
        <v>32.031810674254515</v>
      </c>
      <c r="R9" s="35">
        <f t="shared" si="3"/>
        <v>30.604364616164116</v>
      </c>
      <c r="S9" s="35">
        <f t="shared" si="3"/>
        <v>10.991259859447348</v>
      </c>
      <c r="T9" s="35">
        <f t="shared" si="3"/>
        <v>-15.551019691510481</v>
      </c>
      <c r="U9" s="35">
        <f t="shared" si="3"/>
        <v>3.8280669457053738</v>
      </c>
      <c r="V9" s="36"/>
      <c r="W9" s="37" t="s">
        <v>11</v>
      </c>
      <c r="X9" s="38"/>
      <c r="Y9" s="38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s="12" customFormat="1" ht="15" x14ac:dyDescent="0.2">
      <c r="A10" s="4" t="s">
        <v>12</v>
      </c>
      <c r="B10" s="39">
        <f>SUM(B12:B31)</f>
        <v>101.156123271136</v>
      </c>
      <c r="C10" s="35">
        <f t="shared" ref="C10:I10" si="6">SUM(C12:C31)</f>
        <v>109.35672582662903</v>
      </c>
      <c r="D10" s="35">
        <f t="shared" si="6"/>
        <v>112.07942735728442</v>
      </c>
      <c r="E10" s="35">
        <f t="shared" si="6"/>
        <v>107.82345804764077</v>
      </c>
      <c r="F10" s="35">
        <f t="shared" si="6"/>
        <v>115.12306910772161</v>
      </c>
      <c r="G10" s="35">
        <f t="shared" si="6"/>
        <v>121.37470435411061</v>
      </c>
      <c r="H10" s="35">
        <f t="shared" si="6"/>
        <v>110.46671250873428</v>
      </c>
      <c r="I10" s="61">
        <f t="shared" si="6"/>
        <v>123.76542809092201</v>
      </c>
      <c r="J10" s="32">
        <f t="shared" si="4"/>
        <v>88.007716492579959</v>
      </c>
      <c r="K10" s="32">
        <f t="shared" si="1"/>
        <v>83.460505864756087</v>
      </c>
      <c r="L10" s="32">
        <f>(F10/$F$8)*100</f>
        <v>80.415687196626578</v>
      </c>
      <c r="M10" s="32">
        <f t="shared" si="2"/>
        <v>80.367652930685765</v>
      </c>
      <c r="N10" s="32">
        <f t="shared" si="2"/>
        <v>73.14498073168842</v>
      </c>
      <c r="O10" s="32">
        <f t="shared" si="5"/>
        <v>91.631311619938955</v>
      </c>
      <c r="P10" s="34">
        <f>((D10-C10)/C10)*100</f>
        <v>2.4897430954286954</v>
      </c>
      <c r="Q10" s="35">
        <f t="shared" si="3"/>
        <v>-3.7972796703150147</v>
      </c>
      <c r="R10" s="35">
        <f t="shared" si="3"/>
        <v>6.7699656385121418</v>
      </c>
      <c r="S10" s="35">
        <f t="shared" si="3"/>
        <v>5.4303931391364264</v>
      </c>
      <c r="T10" s="35">
        <f t="shared" si="3"/>
        <v>-8.9870388590626522</v>
      </c>
      <c r="U10" s="35">
        <f t="shared" si="3"/>
        <v>12.038663304238595</v>
      </c>
      <c r="V10" s="36"/>
      <c r="W10" s="37" t="s">
        <v>13</v>
      </c>
      <c r="X10" s="38"/>
      <c r="Y10" s="38"/>
      <c r="Z10" s="7"/>
      <c r="AA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s="12" customFormat="1" ht="15" x14ac:dyDescent="0.2">
      <c r="A11" s="4" t="s">
        <v>14</v>
      </c>
      <c r="B11" s="32">
        <v>1.337885000502</v>
      </c>
      <c r="C11" s="32">
        <v>2.1232380000000006</v>
      </c>
      <c r="D11" s="32">
        <v>0.48387768999999992</v>
      </c>
      <c r="E11" s="32">
        <v>1.841995</v>
      </c>
      <c r="F11" s="32">
        <v>2.5356850800000004</v>
      </c>
      <c r="G11" s="32">
        <v>1.3455049800000001</v>
      </c>
      <c r="H11" s="32">
        <v>0.69967704999999991</v>
      </c>
      <c r="I11" s="33"/>
      <c r="J11" s="32">
        <f t="shared" si="4"/>
        <v>0.37995349871705736</v>
      </c>
      <c r="K11" s="32">
        <f t="shared" si="1"/>
        <v>1.425792098343067</v>
      </c>
      <c r="L11" s="32">
        <f>(F11/$F$8)*100</f>
        <v>1.771225001234408</v>
      </c>
      <c r="M11" s="32">
        <f t="shared" si="2"/>
        <v>0.89091938740106258</v>
      </c>
      <c r="N11" s="32">
        <f t="shared" si="2"/>
        <v>0.46328765633002894</v>
      </c>
      <c r="O11" s="32">
        <f t="shared" si="5"/>
        <v>0</v>
      </c>
      <c r="P11" s="34">
        <f>((D11-C11)/C11)*100</f>
        <v>-77.210388566896427</v>
      </c>
      <c r="Q11" s="35">
        <f t="shared" si="3"/>
        <v>280.67367809414822</v>
      </c>
      <c r="R11" s="35">
        <f t="shared" si="3"/>
        <v>37.659715688696238</v>
      </c>
      <c r="S11" s="35">
        <f t="shared" si="3"/>
        <v>-46.937220611007426</v>
      </c>
      <c r="T11" s="35">
        <f t="shared" si="3"/>
        <v>-47.998925280826541</v>
      </c>
      <c r="U11" s="35">
        <f t="shared" si="3"/>
        <v>-100</v>
      </c>
      <c r="V11" s="36"/>
      <c r="W11" s="62" t="s">
        <v>55</v>
      </c>
      <c r="X11" s="38"/>
      <c r="Y11" s="38"/>
      <c r="Z11" s="7"/>
      <c r="AA11" s="7"/>
      <c r="AB11" s="40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s="12" customFormat="1" ht="15" x14ac:dyDescent="0.2">
      <c r="A12" s="41" t="s">
        <v>15</v>
      </c>
      <c r="B12" s="42">
        <v>7.34610807412</v>
      </c>
      <c r="C12" s="42">
        <v>3.612260380041731</v>
      </c>
      <c r="D12" s="42">
        <v>3.4878232343030295</v>
      </c>
      <c r="E12" s="42">
        <v>5.4555677523293342</v>
      </c>
      <c r="F12" s="42">
        <v>3.5486896117828475</v>
      </c>
      <c r="G12" s="42">
        <v>4.8522798486124339</v>
      </c>
      <c r="H12" s="42">
        <v>4.8206493377963984</v>
      </c>
      <c r="I12" s="66">
        <v>7.8372333079125518</v>
      </c>
      <c r="J12" s="42">
        <f t="shared" si="4"/>
        <v>2.7387306093407182</v>
      </c>
      <c r="K12" s="42">
        <f t="shared" si="1"/>
        <v>4.2228699824084268</v>
      </c>
      <c r="L12" s="42">
        <f t="shared" ref="L12:L31" si="7">(F12/$F$8)*100</f>
        <v>2.4788282313080474</v>
      </c>
      <c r="M12" s="42">
        <f t="shared" si="2"/>
        <v>3.2129128130200675</v>
      </c>
      <c r="N12" s="42">
        <f t="shared" si="2"/>
        <v>3.1919688286140011</v>
      </c>
      <c r="O12" s="32">
        <f t="shared" si="5"/>
        <v>5.8023955360776069</v>
      </c>
      <c r="P12" s="43">
        <f>((D12-C12)/C12)*100</f>
        <v>-3.4448553716181411</v>
      </c>
      <c r="Q12" s="44">
        <f t="shared" si="3"/>
        <v>56.417552892972758</v>
      </c>
      <c r="R12" s="44">
        <f t="shared" si="3"/>
        <v>-34.952881663550365</v>
      </c>
      <c r="S12" s="44">
        <f t="shared" si="3"/>
        <v>36.734411273987639</v>
      </c>
      <c r="T12" s="44">
        <f t="shared" si="3"/>
        <v>-0.65186905543134799</v>
      </c>
      <c r="U12" s="44">
        <f t="shared" si="3"/>
        <v>62.576299555011516</v>
      </c>
      <c r="V12" s="45"/>
      <c r="W12" s="46" t="s">
        <v>16</v>
      </c>
      <c r="X12" s="38"/>
      <c r="Y12" s="38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s="12" customFormat="1" ht="15" x14ac:dyDescent="0.2">
      <c r="A13" s="41" t="s">
        <v>17</v>
      </c>
      <c r="B13" s="42">
        <v>4.9552801943000002</v>
      </c>
      <c r="C13" s="42">
        <v>2.9861145487854035</v>
      </c>
      <c r="D13" s="42">
        <v>2.1431918991752941</v>
      </c>
      <c r="E13" s="42">
        <v>3.4027214464188993</v>
      </c>
      <c r="F13" s="42">
        <v>2.6651350675685075</v>
      </c>
      <c r="G13" s="42">
        <v>2.5656526699013371</v>
      </c>
      <c r="H13" s="42">
        <v>2.0613592502634659</v>
      </c>
      <c r="I13" s="66">
        <v>1.7425440616363188</v>
      </c>
      <c r="J13" s="42">
        <f t="shared" si="4"/>
        <v>1.6828906918889108</v>
      </c>
      <c r="K13" s="42">
        <f t="shared" si="1"/>
        <v>2.6338689036433638</v>
      </c>
      <c r="L13" s="42">
        <f t="shared" si="7"/>
        <v>1.8616483176782712</v>
      </c>
      <c r="M13" s="42">
        <f t="shared" si="2"/>
        <v>1.6988340726560518</v>
      </c>
      <c r="N13" s="42">
        <f t="shared" si="2"/>
        <v>1.364918709151296</v>
      </c>
      <c r="O13" s="32">
        <f t="shared" si="5"/>
        <v>1.2901146983143936</v>
      </c>
      <c r="P13" s="43">
        <f>((D13-C13)/C13)*100</f>
        <v>-28.228074839023392</v>
      </c>
      <c r="Q13" s="44">
        <f t="shared" si="3"/>
        <v>58.768864688611202</v>
      </c>
      <c r="R13" s="44">
        <f t="shared" si="3"/>
        <v>-21.676366710141508</v>
      </c>
      <c r="S13" s="44">
        <f t="shared" si="3"/>
        <v>-3.7327338069185179</v>
      </c>
      <c r="T13" s="44">
        <f t="shared" si="3"/>
        <v>-19.655560768374151</v>
      </c>
      <c r="U13" s="44">
        <f t="shared" si="3"/>
        <v>-15.466260361283398</v>
      </c>
      <c r="V13" s="45"/>
      <c r="W13" s="46" t="s">
        <v>18</v>
      </c>
      <c r="X13" s="38"/>
      <c r="Y13" s="38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s="12" customFormat="1" ht="15" x14ac:dyDescent="0.2">
      <c r="A14" s="41" t="s">
        <v>19</v>
      </c>
      <c r="B14" s="42">
        <v>7.5944530101999996</v>
      </c>
      <c r="C14" s="42">
        <v>2.1018988912779415</v>
      </c>
      <c r="D14" s="42">
        <v>2.543805271979108</v>
      </c>
      <c r="E14" s="42">
        <v>3.1284374683669443</v>
      </c>
      <c r="F14" s="42">
        <v>3.2212989848185964</v>
      </c>
      <c r="G14" s="42">
        <v>2.7634444005300427</v>
      </c>
      <c r="H14" s="42">
        <v>3.1946032976825478</v>
      </c>
      <c r="I14" s="66">
        <v>3.916127698023721</v>
      </c>
      <c r="J14" s="42">
        <f t="shared" si="4"/>
        <v>1.9974628570772872</v>
      </c>
      <c r="K14" s="42">
        <f t="shared" si="1"/>
        <v>2.4215600056232387</v>
      </c>
      <c r="L14" s="42">
        <f t="shared" si="7"/>
        <v>2.2501395553274759</v>
      </c>
      <c r="M14" s="42">
        <f t="shared" si="2"/>
        <v>1.8298008770187697</v>
      </c>
      <c r="N14" s="42">
        <f t="shared" si="2"/>
        <v>2.1152905825445179</v>
      </c>
      <c r="O14" s="32">
        <f t="shared" si="5"/>
        <v>2.8993550378015946</v>
      </c>
      <c r="P14" s="43">
        <f>((D14-C14)/C14)*100</f>
        <v>21.024150235527749</v>
      </c>
      <c r="Q14" s="44">
        <f t="shared" si="3"/>
        <v>22.98258450942615</v>
      </c>
      <c r="R14" s="44">
        <f t="shared" si="3"/>
        <v>2.9683034227347442</v>
      </c>
      <c r="S14" s="44">
        <f t="shared" si="3"/>
        <v>-14.213352639613403</v>
      </c>
      <c r="T14" s="44">
        <f t="shared" si="3"/>
        <v>15.602228040839419</v>
      </c>
      <c r="U14" s="44">
        <f t="shared" si="3"/>
        <v>22.585727650897581</v>
      </c>
      <c r="V14" s="45"/>
      <c r="W14" s="46" t="s">
        <v>20</v>
      </c>
      <c r="X14" s="38"/>
      <c r="Y14" s="38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 s="12" customFormat="1" ht="15" x14ac:dyDescent="0.2">
      <c r="A15" s="41" t="s">
        <v>21</v>
      </c>
      <c r="B15" s="42">
        <v>1.0602176586599998</v>
      </c>
      <c r="C15" s="42">
        <v>1.4568490041561279</v>
      </c>
      <c r="D15" s="42">
        <v>1.6440892896197707</v>
      </c>
      <c r="E15" s="42">
        <v>2.0282570049295896</v>
      </c>
      <c r="F15" s="42">
        <v>2.0373695496846889</v>
      </c>
      <c r="G15" s="42">
        <v>2.6820970062263165</v>
      </c>
      <c r="H15" s="42">
        <v>3.6999022280220193</v>
      </c>
      <c r="I15" s="66">
        <v>2.616621895499482</v>
      </c>
      <c r="J15" s="42">
        <f t="shared" si="4"/>
        <v>1.2909821855896546</v>
      </c>
      <c r="K15" s="42">
        <f t="shared" si="1"/>
        <v>1.5699677854921341</v>
      </c>
      <c r="L15" s="42">
        <f t="shared" si="7"/>
        <v>1.4231419791116993</v>
      </c>
      <c r="M15" s="42">
        <f t="shared" si="2"/>
        <v>1.775937107075868</v>
      </c>
      <c r="N15" s="42">
        <f t="shared" si="2"/>
        <v>2.449871739927119</v>
      </c>
      <c r="O15" s="32">
        <f t="shared" si="5"/>
        <v>1.9372493595055458</v>
      </c>
      <c r="P15" s="43">
        <f>((D15-C15)/C15)*100</f>
        <v>12.852415379320711</v>
      </c>
      <c r="Q15" s="44">
        <f t="shared" si="3"/>
        <v>23.366596798320209</v>
      </c>
      <c r="R15" s="44">
        <f t="shared" si="3"/>
        <v>0.44927958996081963</v>
      </c>
      <c r="S15" s="44">
        <f t="shared" si="3"/>
        <v>31.645091419051006</v>
      </c>
      <c r="T15" s="44">
        <f t="shared" si="3"/>
        <v>37.948113712253253</v>
      </c>
      <c r="U15" s="44">
        <f t="shared" si="3"/>
        <v>-29.278620508349562</v>
      </c>
      <c r="V15" s="45"/>
      <c r="W15" s="46" t="s">
        <v>22</v>
      </c>
      <c r="X15" s="38"/>
      <c r="Y15" s="38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s="12" customFormat="1" ht="15" x14ac:dyDescent="0.2">
      <c r="A16" s="41" t="s">
        <v>23</v>
      </c>
      <c r="B16" s="42">
        <v>7.8325110090000001</v>
      </c>
      <c r="C16" s="42">
        <v>5.412259509708238</v>
      </c>
      <c r="D16" s="42">
        <v>4.7879967742133633</v>
      </c>
      <c r="E16" s="42">
        <v>6.4831043342321335</v>
      </c>
      <c r="F16" s="42">
        <v>4.7365105807719861</v>
      </c>
      <c r="G16" s="42">
        <v>5.7753810964430077</v>
      </c>
      <c r="H16" s="42">
        <v>6.4741999351819688</v>
      </c>
      <c r="I16" s="66">
        <v>7.7595142166813016</v>
      </c>
      <c r="J16" s="42">
        <f t="shared" si="4"/>
        <v>3.7596610957788781</v>
      </c>
      <c r="K16" s="42">
        <f t="shared" si="1"/>
        <v>5.0182323689705264</v>
      </c>
      <c r="L16" s="42">
        <f t="shared" si="7"/>
        <v>3.3085441190806892</v>
      </c>
      <c r="M16" s="42">
        <f t="shared" si="2"/>
        <v>3.8241396835637729</v>
      </c>
      <c r="N16" s="42">
        <f t="shared" si="2"/>
        <v>4.2868590796031967</v>
      </c>
      <c r="O16" s="32">
        <f t="shared" si="5"/>
        <v>5.7448552166420574</v>
      </c>
      <c r="P16" s="43">
        <f>((D16-C16)/C16)*100</f>
        <v>-11.534235089339372</v>
      </c>
      <c r="Q16" s="44">
        <f t="shared" si="3"/>
        <v>35.403272808120576</v>
      </c>
      <c r="R16" s="44">
        <f t="shared" si="3"/>
        <v>-26.940700988533699</v>
      </c>
      <c r="S16" s="44">
        <f t="shared" si="3"/>
        <v>21.93324596145418</v>
      </c>
      <c r="T16" s="44">
        <f t="shared" si="3"/>
        <v>12.099960627175854</v>
      </c>
      <c r="U16" s="44">
        <f t="shared" si="3"/>
        <v>19.852866676463041</v>
      </c>
      <c r="V16" s="45"/>
      <c r="W16" s="46" t="s">
        <v>24</v>
      </c>
      <c r="X16" s="38"/>
      <c r="Y16" s="38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s="2" customFormat="1" ht="15" x14ac:dyDescent="0.2">
      <c r="A17" s="41" t="s">
        <v>25</v>
      </c>
      <c r="B17" s="42">
        <v>2.3480398695</v>
      </c>
      <c r="C17" s="42">
        <v>3.2542377798601869</v>
      </c>
      <c r="D17" s="42">
        <v>3.8495688450349665</v>
      </c>
      <c r="E17" s="42">
        <v>1.8292509133074131</v>
      </c>
      <c r="F17" s="42">
        <v>1.6092743994481875</v>
      </c>
      <c r="G17" s="42">
        <v>1.8748629168399324</v>
      </c>
      <c r="H17" s="42">
        <v>1.6551629666460959</v>
      </c>
      <c r="I17" s="66">
        <v>2.2424289738665668</v>
      </c>
      <c r="J17" s="42">
        <f t="shared" si="4"/>
        <v>3.022782784681016</v>
      </c>
      <c r="K17" s="42">
        <f>(E17/$E$8)*100</f>
        <v>1.4159275666223567</v>
      </c>
      <c r="L17" s="42">
        <f t="shared" si="7"/>
        <v>1.1241092486725981</v>
      </c>
      <c r="M17" s="42">
        <f t="shared" si="2"/>
        <v>1.2414310955073549</v>
      </c>
      <c r="N17" s="42">
        <f t="shared" si="2"/>
        <v>1.095957873224122</v>
      </c>
      <c r="O17" s="32">
        <f t="shared" si="5"/>
        <v>1.6602108622692082</v>
      </c>
      <c r="P17" s="43">
        <f>((D17-C17)/C17)*100</f>
        <v>18.294024759320354</v>
      </c>
      <c r="Q17" s="44">
        <f t="shared" si="3"/>
        <v>-52.481667767373111</v>
      </c>
      <c r="R17" s="44">
        <f t="shared" si="3"/>
        <v>-12.025497008581109</v>
      </c>
      <c r="S17" s="44">
        <f t="shared" si="3"/>
        <v>16.503619114478795</v>
      </c>
      <c r="T17" s="44">
        <f t="shared" si="3"/>
        <v>-11.718187405623192</v>
      </c>
      <c r="U17" s="44">
        <f t="shared" si="3"/>
        <v>35.4808571152643</v>
      </c>
      <c r="V17" s="45"/>
      <c r="W17" s="46" t="s">
        <v>26</v>
      </c>
      <c r="X17" s="38"/>
      <c r="Y17" s="38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s="2" customFormat="1" ht="15" x14ac:dyDescent="0.2">
      <c r="A18" s="41" t="s">
        <v>27</v>
      </c>
      <c r="B18" s="42">
        <v>4.2243457271000002</v>
      </c>
      <c r="C18" s="42">
        <v>6.5635837207718097</v>
      </c>
      <c r="D18" s="42">
        <v>4.9655628535871399</v>
      </c>
      <c r="E18" s="42">
        <v>5.9191232883164666</v>
      </c>
      <c r="F18" s="42">
        <v>3.28562210783848</v>
      </c>
      <c r="G18" s="42">
        <v>4.8539717464144525</v>
      </c>
      <c r="H18" s="42">
        <v>4.5546509441370615</v>
      </c>
      <c r="I18" s="66">
        <v>4.7149029731799859</v>
      </c>
      <c r="J18" s="42">
        <f t="shared" si="4"/>
        <v>3.8990906551609958</v>
      </c>
      <c r="K18" s="42">
        <f t="shared" si="1"/>
        <v>4.5816841053314743</v>
      </c>
      <c r="L18" s="42">
        <f t="shared" si="7"/>
        <v>2.2950704990589799</v>
      </c>
      <c r="M18" s="42">
        <f t="shared" si="2"/>
        <v>3.2140330946806523</v>
      </c>
      <c r="N18" s="42">
        <f t="shared" si="2"/>
        <v>3.0158393237431658</v>
      </c>
      <c r="O18" s="32">
        <f t="shared" si="5"/>
        <v>3.4907384902013749</v>
      </c>
      <c r="P18" s="43">
        <f>((D18-C18)/C18)*100</f>
        <v>-24.346773579308579</v>
      </c>
      <c r="Q18" s="44">
        <f t="shared" si="3"/>
        <v>19.203471244764756</v>
      </c>
      <c r="R18" s="44">
        <f t="shared" si="3"/>
        <v>-44.491406112053028</v>
      </c>
      <c r="S18" s="44">
        <f t="shared" si="3"/>
        <v>47.733719432748352</v>
      </c>
      <c r="T18" s="44">
        <f t="shared" si="3"/>
        <v>-6.1665130724853157</v>
      </c>
      <c r="U18" s="44">
        <f t="shared" si="3"/>
        <v>3.5184261320663333</v>
      </c>
      <c r="V18" s="45"/>
      <c r="W18" s="46" t="s">
        <v>28</v>
      </c>
      <c r="X18" s="38"/>
      <c r="Y18" s="38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s="2" customFormat="1" ht="15" x14ac:dyDescent="0.2">
      <c r="A19" s="41" t="s">
        <v>29</v>
      </c>
      <c r="B19" s="42">
        <v>4.2046583994999995</v>
      </c>
      <c r="C19" s="42">
        <v>3.2771785756210088</v>
      </c>
      <c r="D19" s="42">
        <v>3.2643403035589014</v>
      </c>
      <c r="E19" s="42">
        <v>4.2727470002415435</v>
      </c>
      <c r="F19" s="42">
        <v>3.3523710822809956</v>
      </c>
      <c r="G19" s="42">
        <v>4.2366941379973797</v>
      </c>
      <c r="H19" s="42">
        <v>4.0403289710183294</v>
      </c>
      <c r="I19" s="66">
        <v>6.9489645043832642</v>
      </c>
      <c r="J19" s="42">
        <f t="shared" si="4"/>
        <v>2.56324592964868</v>
      </c>
      <c r="K19" s="42">
        <f t="shared" si="1"/>
        <v>3.3073102322011922</v>
      </c>
      <c r="L19" s="42">
        <f t="shared" si="7"/>
        <v>2.3416959468607788</v>
      </c>
      <c r="M19" s="42">
        <f t="shared" si="2"/>
        <v>2.8053058161332838</v>
      </c>
      <c r="N19" s="42">
        <f t="shared" si="2"/>
        <v>2.6752836037503296</v>
      </c>
      <c r="O19" s="32">
        <f t="shared" si="5"/>
        <v>5.1447544096826947</v>
      </c>
      <c r="P19" s="43">
        <f>((D19-C19)/C19)*100</f>
        <v>-0.39174771120535068</v>
      </c>
      <c r="Q19" s="44">
        <f t="shared" si="3"/>
        <v>30.891592263932804</v>
      </c>
      <c r="R19" s="44">
        <f t="shared" si="3"/>
        <v>-21.540613518856087</v>
      </c>
      <c r="S19" s="44">
        <f t="shared" si="3"/>
        <v>26.379032452298794</v>
      </c>
      <c r="T19" s="44">
        <f t="shared" si="3"/>
        <v>-4.6348676723656306</v>
      </c>
      <c r="U19" s="44">
        <f t="shared" si="3"/>
        <v>71.990067002683674</v>
      </c>
      <c r="V19" s="45"/>
      <c r="W19" s="46" t="s">
        <v>30</v>
      </c>
      <c r="X19" s="38"/>
      <c r="Y19" s="38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s="2" customFormat="1" ht="15" x14ac:dyDescent="0.2">
      <c r="A20" s="41" t="s">
        <v>31</v>
      </c>
      <c r="B20" s="42">
        <v>7.7565121393999998</v>
      </c>
      <c r="C20" s="42">
        <v>2.6868825685070652</v>
      </c>
      <c r="D20" s="42">
        <v>2.9063640120344196</v>
      </c>
      <c r="E20" s="42">
        <v>2.7524573718329695</v>
      </c>
      <c r="F20" s="42">
        <v>2.3493707511765831</v>
      </c>
      <c r="G20" s="42">
        <v>2.5766094130832551</v>
      </c>
      <c r="H20" s="42">
        <v>2.8361701649421343</v>
      </c>
      <c r="I20" s="66">
        <v>3.2216682753374388</v>
      </c>
      <c r="J20" s="42">
        <f t="shared" si="4"/>
        <v>2.2821535229653214</v>
      </c>
      <c r="K20" s="42">
        <f t="shared" si="1"/>
        <v>2.1305334551861286</v>
      </c>
      <c r="L20" s="42">
        <f t="shared" si="7"/>
        <v>1.6410808441767639</v>
      </c>
      <c r="M20" s="42">
        <f t="shared" si="2"/>
        <v>1.706089025308509</v>
      </c>
      <c r="N20" s="42">
        <f t="shared" si="2"/>
        <v>1.877955877885652</v>
      </c>
      <c r="O20" s="32">
        <f t="shared" si="5"/>
        <v>2.3852031558978544</v>
      </c>
      <c r="P20" s="43">
        <f>((D20-C20)/C20)*100</f>
        <v>8.1686280636115303</v>
      </c>
      <c r="Q20" s="44">
        <f t="shared" si="3"/>
        <v>-5.2955046086507727</v>
      </c>
      <c r="R20" s="44">
        <f t="shared" si="3"/>
        <v>-14.644609023970284</v>
      </c>
      <c r="S20" s="44">
        <f t="shared" si="3"/>
        <v>9.672320207139256</v>
      </c>
      <c r="T20" s="44">
        <f t="shared" si="3"/>
        <v>10.073732966312511</v>
      </c>
      <c r="U20" s="44">
        <f t="shared" si="3"/>
        <v>13.592206672238575</v>
      </c>
      <c r="V20" s="45"/>
      <c r="W20" s="46" t="s">
        <v>32</v>
      </c>
      <c r="X20" s="38"/>
      <c r="Y20" s="38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s="2" customFormat="1" ht="15" x14ac:dyDescent="0.2">
      <c r="A21" s="41" t="s">
        <v>33</v>
      </c>
      <c r="B21" s="42">
        <v>9.9887793546000001</v>
      </c>
      <c r="C21" s="42">
        <v>4.8564435251275615</v>
      </c>
      <c r="D21" s="42">
        <v>3.9660017230785827</v>
      </c>
      <c r="E21" s="42">
        <v>4.0751871960090158</v>
      </c>
      <c r="F21" s="42">
        <v>3.0697628263915906</v>
      </c>
      <c r="G21" s="42">
        <v>3.2696684813193393</v>
      </c>
      <c r="H21" s="42">
        <v>3.0080433639696103</v>
      </c>
      <c r="I21" s="66">
        <v>3.060880391124515</v>
      </c>
      <c r="J21" s="42">
        <f t="shared" si="4"/>
        <v>3.1142089452431372</v>
      </c>
      <c r="K21" s="42">
        <f t="shared" si="1"/>
        <v>3.154389508841497</v>
      </c>
      <c r="L21" s="42">
        <f t="shared" si="7"/>
        <v>2.1442886219785557</v>
      </c>
      <c r="M21" s="42">
        <f t="shared" si="2"/>
        <v>2.1649946181407578</v>
      </c>
      <c r="N21" s="42">
        <f t="shared" si="2"/>
        <v>1.9917608562873075</v>
      </c>
      <c r="O21" s="32">
        <f t="shared" si="5"/>
        <v>2.2661617971736585</v>
      </c>
      <c r="P21" s="43">
        <f>((D21-C21)/C21)*100</f>
        <v>-18.335265250008032</v>
      </c>
      <c r="Q21" s="44">
        <f t="shared" si="3"/>
        <v>2.7530364471369575</v>
      </c>
      <c r="R21" s="44">
        <f t="shared" si="3"/>
        <v>-24.671857297796652</v>
      </c>
      <c r="S21" s="44">
        <f t="shared" si="3"/>
        <v>6.512087944029588</v>
      </c>
      <c r="T21" s="44">
        <f t="shared" si="3"/>
        <v>-8.001579329662226</v>
      </c>
      <c r="U21" s="44">
        <f t="shared" si="3"/>
        <v>1.7565247824478702</v>
      </c>
      <c r="V21" s="45"/>
      <c r="W21" s="46" t="s">
        <v>34</v>
      </c>
      <c r="X21" s="38"/>
      <c r="Y21" s="38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s="2" customFormat="1" ht="15" x14ac:dyDescent="0.2">
      <c r="A22" s="41" t="s">
        <v>35</v>
      </c>
      <c r="B22" s="42">
        <v>0.70046734777999997</v>
      </c>
      <c r="C22" s="42">
        <v>0.7782534712837853</v>
      </c>
      <c r="D22" s="42">
        <v>0.30394247344899167</v>
      </c>
      <c r="E22" s="42">
        <v>0.31269729273595998</v>
      </c>
      <c r="F22" s="42">
        <v>0.24041875105324056</v>
      </c>
      <c r="G22" s="42">
        <v>0.23480660959918051</v>
      </c>
      <c r="H22" s="42">
        <v>0.25677748611255835</v>
      </c>
      <c r="I22" s="66">
        <v>0.63955167891345943</v>
      </c>
      <c r="J22" s="42">
        <f t="shared" si="4"/>
        <v>0.23866363046343531</v>
      </c>
      <c r="K22" s="42">
        <f t="shared" si="1"/>
        <v>0.24204263809413196</v>
      </c>
      <c r="L22" s="42">
        <f t="shared" si="7"/>
        <v>0.16793714092881393</v>
      </c>
      <c r="M22" s="42">
        <f t="shared" si="2"/>
        <v>0.15547602119006823</v>
      </c>
      <c r="N22" s="42">
        <f t="shared" si="2"/>
        <v>0.17002392709522732</v>
      </c>
      <c r="O22" s="32">
        <f t="shared" si="5"/>
        <v>0.47350023420532872</v>
      </c>
      <c r="P22" s="43">
        <f>((D22-C22)/C22)*100</f>
        <v>-60.945567907635976</v>
      </c>
      <c r="Q22" s="44">
        <f t="shared" si="3"/>
        <v>2.8804198332739968</v>
      </c>
      <c r="R22" s="44">
        <f t="shared" si="3"/>
        <v>-23.114540279615099</v>
      </c>
      <c r="S22" s="44">
        <f t="shared" si="3"/>
        <v>-2.3343193613119007</v>
      </c>
      <c r="T22" s="44">
        <f t="shared" si="3"/>
        <v>9.3570093920620714</v>
      </c>
      <c r="U22" s="44">
        <f t="shared" si="3"/>
        <v>149.06843999287076</v>
      </c>
      <c r="V22" s="45"/>
      <c r="W22" s="46" t="s">
        <v>36</v>
      </c>
      <c r="X22" s="38"/>
      <c r="Y22" s="38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s="2" customFormat="1" ht="15" x14ac:dyDescent="0.2">
      <c r="A23" s="41" t="s">
        <v>37</v>
      </c>
      <c r="B23" s="42">
        <v>4.9000881385799993</v>
      </c>
      <c r="C23" s="42">
        <v>3.6170414694011317</v>
      </c>
      <c r="D23" s="42">
        <v>3.8464425361310637</v>
      </c>
      <c r="E23" s="42">
        <v>2.2948781910587521</v>
      </c>
      <c r="F23" s="42">
        <v>3.3034787321652641</v>
      </c>
      <c r="G23" s="42">
        <v>2.6945335002029829</v>
      </c>
      <c r="H23" s="42">
        <v>3.6609335097969522</v>
      </c>
      <c r="I23" s="66">
        <v>4.0860262316599076</v>
      </c>
      <c r="J23" s="42">
        <f t="shared" si="4"/>
        <v>3.0203279246396111</v>
      </c>
      <c r="K23" s="42">
        <f t="shared" si="1"/>
        <v>1.7763453166112826</v>
      </c>
      <c r="L23" s="42">
        <f t="shared" si="7"/>
        <v>2.3075436960244526</v>
      </c>
      <c r="M23" s="42">
        <f t="shared" si="2"/>
        <v>1.7841718693099762</v>
      </c>
      <c r="N23" s="42">
        <f t="shared" si="2"/>
        <v>2.4240687982175451</v>
      </c>
      <c r="O23" s="32">
        <f t="shared" si="5"/>
        <v>3.0251415819078482</v>
      </c>
      <c r="P23" s="43">
        <f>((D23-C23)/C23)*100</f>
        <v>6.3422293791924256</v>
      </c>
      <c r="Q23" s="44">
        <f t="shared" si="3"/>
        <v>-40.337645252668956</v>
      </c>
      <c r="R23" s="44">
        <f t="shared" si="3"/>
        <v>43.950068680603465</v>
      </c>
      <c r="S23" s="44">
        <f t="shared" si="3"/>
        <v>-18.433453983920405</v>
      </c>
      <c r="T23" s="44">
        <f t="shared" si="3"/>
        <v>35.865206705397021</v>
      </c>
      <c r="U23" s="44">
        <f t="shared" si="3"/>
        <v>11.611593620189309</v>
      </c>
      <c r="V23" s="45"/>
      <c r="W23" s="46" t="s">
        <v>38</v>
      </c>
      <c r="X23" s="38"/>
      <c r="Y23" s="38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s="2" customFormat="1" ht="15" x14ac:dyDescent="0.2">
      <c r="A24" s="41" t="s">
        <v>39</v>
      </c>
      <c r="B24" s="42">
        <v>3.4896475003000003</v>
      </c>
      <c r="C24" s="42">
        <v>2.8558977392270024</v>
      </c>
      <c r="D24" s="42">
        <v>3.8642766938192219</v>
      </c>
      <c r="E24" s="42">
        <v>3.5967076673388623</v>
      </c>
      <c r="F24" s="42">
        <v>2.9696042037139136</v>
      </c>
      <c r="G24" s="42">
        <v>2.9324848575439835</v>
      </c>
      <c r="H24" s="42">
        <v>2.6582474096926743</v>
      </c>
      <c r="I24" s="66">
        <v>3.0837334818653956</v>
      </c>
      <c r="J24" s="42">
        <f t="shared" si="4"/>
        <v>3.0343317746833844</v>
      </c>
      <c r="K24" s="42">
        <f t="shared" si="1"/>
        <v>2.7840235028551508</v>
      </c>
      <c r="L24" s="42">
        <f t="shared" si="7"/>
        <v>2.074325889628565</v>
      </c>
      <c r="M24" s="42">
        <f t="shared" ref="M24:N31" si="8">(G24/$G$8)*100</f>
        <v>1.9417301694758331</v>
      </c>
      <c r="N24" s="42">
        <f t="shared" si="8"/>
        <v>1.7601452161134761</v>
      </c>
      <c r="O24" s="32">
        <f t="shared" si="5"/>
        <v>2.2830813740818243</v>
      </c>
      <c r="P24" s="43">
        <f>((D24-C24)/C24)*100</f>
        <v>35.30865061243945</v>
      </c>
      <c r="Q24" s="44">
        <f t="shared" si="3"/>
        <v>-6.9241684196250004</v>
      </c>
      <c r="R24" s="44">
        <f t="shared" si="3"/>
        <v>-17.435486050745151</v>
      </c>
      <c r="S24" s="44">
        <f t="shared" si="3"/>
        <v>-1.2499762131097181</v>
      </c>
      <c r="T24" s="44">
        <f t="shared" si="3"/>
        <v>-9.351708914909409</v>
      </c>
      <c r="U24" s="44">
        <f t="shared" si="3"/>
        <v>16.00626302206809</v>
      </c>
      <c r="V24" s="45"/>
      <c r="W24" s="46" t="s">
        <v>40</v>
      </c>
      <c r="X24" s="38"/>
      <c r="Y24" s="38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s="2" customFormat="1" ht="15" x14ac:dyDescent="0.2">
      <c r="A25" s="41" t="s">
        <v>41</v>
      </c>
      <c r="B25" s="42">
        <v>0.77320062969399994</v>
      </c>
      <c r="C25" s="42">
        <v>5.5584618312959835</v>
      </c>
      <c r="D25" s="42">
        <v>8.2203993305057246</v>
      </c>
      <c r="E25" s="42">
        <v>7.1836101718072625</v>
      </c>
      <c r="F25" s="42">
        <v>8.3901824668277172</v>
      </c>
      <c r="G25" s="42">
        <v>8.5304285251459255</v>
      </c>
      <c r="H25" s="42">
        <v>9.9004574381934045</v>
      </c>
      <c r="I25" s="66">
        <v>11.389740816779341</v>
      </c>
      <c r="J25" s="42">
        <f t="shared" si="4"/>
        <v>6.4548739299739282</v>
      </c>
      <c r="K25" s="42">
        <f t="shared" si="1"/>
        <v>5.560457341382401</v>
      </c>
      <c r="L25" s="42">
        <f t="shared" si="7"/>
        <v>5.8607044965393849</v>
      </c>
      <c r="M25" s="42">
        <f t="shared" si="8"/>
        <v>5.6483805477193822</v>
      </c>
      <c r="N25" s="42">
        <f t="shared" si="8"/>
        <v>6.5555383346299916</v>
      </c>
      <c r="O25" s="32">
        <f t="shared" si="5"/>
        <v>8.4325397338418462</v>
      </c>
      <c r="P25" s="43">
        <f>((D25-C25)/C25)*100</f>
        <v>47.889822400545242</v>
      </c>
      <c r="Q25" s="44">
        <f t="shared" si="3"/>
        <v>-12.612394082255346</v>
      </c>
      <c r="R25" s="44">
        <f t="shared" si="3"/>
        <v>16.796182785025813</v>
      </c>
      <c r="S25" s="44">
        <f t="shared" si="3"/>
        <v>1.6715495625118943</v>
      </c>
      <c r="T25" s="44">
        <f t="shared" si="3"/>
        <v>16.060493432527092</v>
      </c>
      <c r="U25" s="44">
        <f t="shared" si="3"/>
        <v>15.042571395142474</v>
      </c>
      <c r="V25" s="45"/>
      <c r="W25" s="46" t="s">
        <v>42</v>
      </c>
      <c r="X25" s="38"/>
      <c r="Y25" s="38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s="2" customFormat="1" ht="15" x14ac:dyDescent="0.2">
      <c r="A26" s="41" t="s">
        <v>43</v>
      </c>
      <c r="B26" s="42">
        <v>5.3193023869199996</v>
      </c>
      <c r="C26" s="42">
        <v>3.8321071489999445</v>
      </c>
      <c r="D26" s="42">
        <v>3.5789821165928566</v>
      </c>
      <c r="E26" s="42">
        <v>4.117024274419717</v>
      </c>
      <c r="F26" s="42">
        <v>5.7942599899738356</v>
      </c>
      <c r="G26" s="42">
        <v>6.0494795388263602</v>
      </c>
      <c r="H26" s="42">
        <v>7.1989792228439535</v>
      </c>
      <c r="I26" s="66">
        <v>7.5536508780813598</v>
      </c>
      <c r="J26" s="42">
        <f t="shared" si="4"/>
        <v>2.8103109631800454</v>
      </c>
      <c r="K26" s="42">
        <f t="shared" si="1"/>
        <v>3.1867734055490002</v>
      </c>
      <c r="L26" s="42">
        <f t="shared" si="7"/>
        <v>4.0474025102099374</v>
      </c>
      <c r="M26" s="42">
        <f t="shared" si="8"/>
        <v>4.005632595151333</v>
      </c>
      <c r="N26" s="42">
        <f t="shared" si="8"/>
        <v>4.7667680569484858</v>
      </c>
      <c r="O26" s="32">
        <f t="shared" si="5"/>
        <v>5.5924416709424092</v>
      </c>
      <c r="P26" s="43">
        <f>((D26-C26)/C26)*100</f>
        <v>-6.6053746037123569</v>
      </c>
      <c r="Q26" s="44">
        <f t="shared" si="3"/>
        <v>15.033384920600534</v>
      </c>
      <c r="R26" s="44">
        <f t="shared" si="3"/>
        <v>40.739029059781785</v>
      </c>
      <c r="S26" s="44">
        <f t="shared" si="3"/>
        <v>4.4046961871601678</v>
      </c>
      <c r="T26" s="44">
        <f t="shared" si="3"/>
        <v>19.00162942348928</v>
      </c>
      <c r="U26" s="44">
        <f t="shared" si="3"/>
        <v>4.926693691682769</v>
      </c>
      <c r="V26" s="45"/>
      <c r="W26" s="46" t="s">
        <v>44</v>
      </c>
      <c r="X26" s="47"/>
      <c r="Y26" s="38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s="2" customFormat="1" ht="15" x14ac:dyDescent="0.2">
      <c r="A27" s="41" t="s">
        <v>45</v>
      </c>
      <c r="B27" s="42">
        <v>10.323599863590001</v>
      </c>
      <c r="C27" s="42">
        <v>14.670648390734787</v>
      </c>
      <c r="D27" s="42">
        <v>12.555886331006292</v>
      </c>
      <c r="E27" s="42">
        <v>10.779729136313419</v>
      </c>
      <c r="F27" s="42">
        <v>12.223952593290209</v>
      </c>
      <c r="G27" s="42">
        <v>11.585481944996269</v>
      </c>
      <c r="H27" s="42">
        <v>9.7740388693018012</v>
      </c>
      <c r="I27" s="66">
        <v>10.600246504316949</v>
      </c>
      <c r="J27" s="42">
        <f t="shared" si="4"/>
        <v>9.8592124405643045</v>
      </c>
      <c r="K27" s="42">
        <f t="shared" si="1"/>
        <v>8.3440251601302968</v>
      </c>
      <c r="L27" s="42">
        <f t="shared" si="7"/>
        <v>8.5386669732425098</v>
      </c>
      <c r="M27" s="42">
        <f t="shared" si="8"/>
        <v>7.6712688771929676</v>
      </c>
      <c r="N27" s="42">
        <f t="shared" si="8"/>
        <v>6.4718309120435471</v>
      </c>
      <c r="O27" s="32">
        <f t="shared" si="5"/>
        <v>7.8480275604240344</v>
      </c>
      <c r="P27" s="43">
        <f>((D27-C27)/C27)*100</f>
        <v>-14.414918846150441</v>
      </c>
      <c r="Q27" s="44">
        <f t="shared" si="3"/>
        <v>-14.1460120605482</v>
      </c>
      <c r="R27" s="44">
        <f t="shared" si="3"/>
        <v>13.397585771535466</v>
      </c>
      <c r="S27" s="44">
        <f t="shared" si="3"/>
        <v>-5.2231112925323284</v>
      </c>
      <c r="T27" s="44">
        <f t="shared" si="3"/>
        <v>-15.635457241179546</v>
      </c>
      <c r="U27" s="44">
        <f t="shared" si="3"/>
        <v>8.4530831733245151</v>
      </c>
      <c r="V27" s="45"/>
      <c r="W27" s="46" t="s">
        <v>46</v>
      </c>
      <c r="X27" s="47"/>
      <c r="Y27" s="38"/>
      <c r="Z27" s="7"/>
      <c r="AA27" s="7"/>
    </row>
    <row r="28" spans="1:40" s="2" customFormat="1" ht="15" x14ac:dyDescent="0.2">
      <c r="A28" s="41" t="s">
        <v>47</v>
      </c>
      <c r="B28" s="42">
        <v>5.2756512949680001</v>
      </c>
      <c r="C28" s="42">
        <v>19.57691873198684</v>
      </c>
      <c r="D28" s="42">
        <v>20.006961722130814</v>
      </c>
      <c r="E28" s="42">
        <v>17.591605791181756</v>
      </c>
      <c r="F28" s="42">
        <v>24.21426468123731</v>
      </c>
      <c r="G28" s="42">
        <v>25.065136682070062</v>
      </c>
      <c r="H28" s="42">
        <v>18.765171841803927</v>
      </c>
      <c r="I28" s="66">
        <v>21.156044330819775</v>
      </c>
      <c r="J28" s="42">
        <f t="shared" si="4"/>
        <v>15.709992963349576</v>
      </c>
      <c r="K28" s="42">
        <f t="shared" si="1"/>
        <v>13.616743006486489</v>
      </c>
      <c r="L28" s="42">
        <f t="shared" si="7"/>
        <v>16.914131541096118</v>
      </c>
      <c r="M28" s="42">
        <f t="shared" si="8"/>
        <v>16.596754787123686</v>
      </c>
      <c r="N28" s="42">
        <f t="shared" si="8"/>
        <v>12.425264603461834</v>
      </c>
      <c r="O28" s="32">
        <f t="shared" si="5"/>
        <v>15.663146975894307</v>
      </c>
      <c r="P28" s="43">
        <f>((D28-C28)/C28)*100</f>
        <v>2.1966837377800648</v>
      </c>
      <c r="Q28" s="44">
        <f t="shared" si="3"/>
        <v>-12.07257735829673</v>
      </c>
      <c r="R28" s="44">
        <f t="shared" si="3"/>
        <v>37.646699048789124</v>
      </c>
      <c r="S28" s="44">
        <f t="shared" si="3"/>
        <v>3.5139287194298285</v>
      </c>
      <c r="T28" s="44">
        <f t="shared" si="3"/>
        <v>-25.134372575644932</v>
      </c>
      <c r="U28" s="44">
        <f t="shared" si="3"/>
        <v>12.741010363089805</v>
      </c>
      <c r="V28" s="45"/>
      <c r="W28" s="46" t="s">
        <v>48</v>
      </c>
      <c r="X28" s="47"/>
      <c r="Y28" s="38"/>
      <c r="Z28" s="7"/>
      <c r="AA28" s="7"/>
    </row>
    <row r="29" spans="1:40" s="2" customFormat="1" ht="15" x14ac:dyDescent="0.2">
      <c r="A29" s="41" t="s">
        <v>49</v>
      </c>
      <c r="B29" s="42">
        <v>7.9786564840130003</v>
      </c>
      <c r="C29" s="42">
        <v>10.485499486109854</v>
      </c>
      <c r="D29" s="42">
        <v>12.824944463209524</v>
      </c>
      <c r="E29" s="42">
        <v>8.5205992519975222</v>
      </c>
      <c r="F29" s="42">
        <v>13.637841725925478</v>
      </c>
      <c r="G29" s="42">
        <v>14.621351612458165</v>
      </c>
      <c r="H29" s="42">
        <v>12.213624200393626</v>
      </c>
      <c r="I29" s="66">
        <v>11.610003248031642</v>
      </c>
      <c r="J29" s="42">
        <f t="shared" si="4"/>
        <v>10.070483968063112</v>
      </c>
      <c r="K29" s="42">
        <f t="shared" si="1"/>
        <v>6.5953507401735152</v>
      </c>
      <c r="L29" s="42">
        <f t="shared" si="7"/>
        <v>9.5262958394805928</v>
      </c>
      <c r="M29" s="42">
        <f t="shared" si="8"/>
        <v>9.6814547810493909</v>
      </c>
      <c r="N29" s="42">
        <f t="shared" si="8"/>
        <v>8.0871901273538818</v>
      </c>
      <c r="O29" s="32">
        <f t="shared" si="5"/>
        <v>8.5956138312498727</v>
      </c>
      <c r="P29" s="43">
        <f>((D29-C29)/C29)*100</f>
        <v>22.311240205568982</v>
      </c>
      <c r="Q29" s="44">
        <f t="shared" si="3"/>
        <v>-33.562291232993083</v>
      </c>
      <c r="R29" s="44">
        <f t="shared" si="3"/>
        <v>60.057307268949387</v>
      </c>
      <c r="S29" s="44">
        <f t="shared" si="3"/>
        <v>7.2116241433058947</v>
      </c>
      <c r="T29" s="44">
        <f t="shared" si="3"/>
        <v>-16.467201363333793</v>
      </c>
      <c r="U29" s="44">
        <f t="shared" si="3"/>
        <v>-4.9421935901919305</v>
      </c>
      <c r="V29" s="45"/>
      <c r="W29" s="46" t="s">
        <v>50</v>
      </c>
      <c r="X29" s="47"/>
      <c r="Y29" s="38"/>
      <c r="Z29" s="7"/>
      <c r="AA29" s="7"/>
    </row>
    <row r="30" spans="1:40" s="2" customFormat="1" ht="15" x14ac:dyDescent="0.2">
      <c r="A30" s="41" t="s">
        <v>51</v>
      </c>
      <c r="B30" s="42">
        <v>0.93327936740099993</v>
      </c>
      <c r="C30" s="42">
        <v>4.1304595743684711</v>
      </c>
      <c r="D30" s="42">
        <v>4.1757914603981243</v>
      </c>
      <c r="E30" s="42">
        <v>3.7228406026800092</v>
      </c>
      <c r="F30" s="42">
        <v>5.0960265002171319</v>
      </c>
      <c r="G30" s="42">
        <v>4.7624309815730665</v>
      </c>
      <c r="H30" s="42">
        <v>2.5162397100822615</v>
      </c>
      <c r="I30" s="66">
        <v>2.155572749456085</v>
      </c>
      <c r="J30" s="42">
        <f t="shared" si="4"/>
        <v>3.2789413690287685</v>
      </c>
      <c r="K30" s="42">
        <f t="shared" si="1"/>
        <v>2.8816564185526552</v>
      </c>
      <c r="L30" s="42">
        <f t="shared" si="7"/>
        <v>3.5596729323097422</v>
      </c>
      <c r="M30" s="42">
        <f t="shared" si="8"/>
        <v>3.1534198354605247</v>
      </c>
      <c r="N30" s="42">
        <f t="shared" si="8"/>
        <v>1.6661155286550595</v>
      </c>
      <c r="O30" s="32">
        <f t="shared" si="5"/>
        <v>1.5959057498654321</v>
      </c>
      <c r="P30" s="43">
        <f>((D30-C30)/C30)*100</f>
        <v>1.0975022322203518</v>
      </c>
      <c r="Q30" s="44">
        <f t="shared" si="3"/>
        <v>-10.84706604756863</v>
      </c>
      <c r="R30" s="44">
        <f t="shared" si="3"/>
        <v>36.88543357318575</v>
      </c>
      <c r="S30" s="44">
        <f t="shared" si="3"/>
        <v>-6.5461888518407712</v>
      </c>
      <c r="T30" s="44">
        <f t="shared" si="3"/>
        <v>-47.164804701250937</v>
      </c>
      <c r="U30" s="44">
        <f t="shared" si="3"/>
        <v>-14.333569221605899</v>
      </c>
      <c r="V30" s="45"/>
      <c r="W30" s="46" t="s">
        <v>52</v>
      </c>
      <c r="X30" s="47"/>
      <c r="Y30" s="38"/>
      <c r="Z30" s="7"/>
      <c r="AA30" s="7"/>
    </row>
    <row r="31" spans="1:40" s="2" customFormat="1" ht="15" x14ac:dyDescent="0.2">
      <c r="A31" s="48" t="s">
        <v>20</v>
      </c>
      <c r="B31" s="49">
        <v>4.1513248215099994</v>
      </c>
      <c r="C31" s="49">
        <v>7.643729479364147</v>
      </c>
      <c r="D31" s="49">
        <v>9.1430560234572287</v>
      </c>
      <c r="E31" s="49">
        <v>10.356911892123186</v>
      </c>
      <c r="F31" s="49">
        <v>9.3776345015550255</v>
      </c>
      <c r="G31" s="49">
        <v>9.4479083843271106</v>
      </c>
      <c r="H31" s="49">
        <v>7.1771723608534721</v>
      </c>
      <c r="I31" s="50">
        <v>7.4299718733529492</v>
      </c>
      <c r="J31" s="49">
        <f t="shared" si="4"/>
        <v>7.1793682512591976</v>
      </c>
      <c r="K31" s="49">
        <f t="shared" si="1"/>
        <v>8.0167444206008067</v>
      </c>
      <c r="L31" s="49">
        <f t="shared" si="7"/>
        <v>6.5504588139125799</v>
      </c>
      <c r="M31" s="49">
        <f t="shared" si="8"/>
        <v>6.2558852439075103</v>
      </c>
      <c r="N31" s="49">
        <f t="shared" si="8"/>
        <v>4.7523287524386664</v>
      </c>
      <c r="O31" s="67">
        <f t="shared" si="5"/>
        <v>5.500874343960052</v>
      </c>
      <c r="P31" s="51">
        <f>((D31-C31)/C31)*100</f>
        <v>19.615117831430698</v>
      </c>
      <c r="Q31" s="52">
        <f t="shared" si="3"/>
        <v>13.276259770821866</v>
      </c>
      <c r="R31" s="52">
        <f t="shared" si="3"/>
        <v>-9.455302900789734</v>
      </c>
      <c r="S31" s="52">
        <f t="shared" si="3"/>
        <v>0.74937749770938511</v>
      </c>
      <c r="T31" s="52">
        <f t="shared" si="3"/>
        <v>-24.034272254804073</v>
      </c>
      <c r="U31" s="52">
        <f t="shared" si="3"/>
        <v>3.522271721915502</v>
      </c>
      <c r="V31" s="53"/>
      <c r="W31" s="54" t="s">
        <v>53</v>
      </c>
      <c r="X31" s="47"/>
      <c r="Y31" s="38"/>
      <c r="Z31" s="7"/>
      <c r="AA31" s="7"/>
    </row>
    <row r="32" spans="1:40" s="2" customFormat="1" ht="17.25" x14ac:dyDescent="0.25">
      <c r="A32" s="8" t="s">
        <v>56</v>
      </c>
      <c r="B32" s="6"/>
      <c r="C32" s="6"/>
      <c r="D32" s="6"/>
      <c r="E32" s="6"/>
      <c r="F32" s="6"/>
      <c r="G32" s="6"/>
      <c r="H32" s="6"/>
      <c r="I32" s="6"/>
      <c r="J32" s="55"/>
      <c r="K32" s="55"/>
      <c r="L32" s="55"/>
      <c r="M32" s="55"/>
      <c r="N32" s="55"/>
      <c r="O32" s="55"/>
      <c r="P32" s="6"/>
      <c r="Q32" s="6"/>
      <c r="R32" s="6"/>
      <c r="S32" s="6"/>
      <c r="T32" s="6"/>
      <c r="U32" s="6"/>
      <c r="V32" s="6"/>
      <c r="W32" s="5" t="s">
        <v>54</v>
      </c>
      <c r="Y32" s="38"/>
      <c r="Z32" s="7"/>
      <c r="AA32" s="7"/>
    </row>
    <row r="33" spans="1:27" s="56" customFormat="1" ht="37.5" customHeight="1" x14ac:dyDescent="0.25">
      <c r="A33" s="69" t="s">
        <v>57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3"/>
      <c r="M33" s="70" t="s">
        <v>58</v>
      </c>
      <c r="N33" s="70"/>
      <c r="O33" s="70"/>
      <c r="P33" s="71"/>
      <c r="Q33" s="71"/>
      <c r="R33" s="71"/>
      <c r="S33" s="71"/>
      <c r="T33" s="71"/>
      <c r="U33" s="71"/>
      <c r="V33" s="71"/>
      <c r="W33" s="71"/>
      <c r="Y33" s="38"/>
      <c r="Z33" s="7"/>
      <c r="AA33" s="7"/>
    </row>
    <row r="34" spans="1:27" s="56" customFormat="1" x14ac:dyDescent="0.25">
      <c r="A34" s="10"/>
      <c r="J34" s="57"/>
      <c r="K34" s="57"/>
      <c r="L34" s="57"/>
      <c r="M34" s="57"/>
      <c r="N34" s="57"/>
      <c r="O34" s="57"/>
      <c r="P34" s="58"/>
      <c r="Q34" s="58"/>
      <c r="R34" s="58"/>
      <c r="S34" s="58"/>
      <c r="T34" s="58"/>
      <c r="U34" s="58"/>
    </row>
    <row r="35" spans="1:27" s="2" customFormat="1" ht="12" x14ac:dyDescent="0.25">
      <c r="J35" s="9"/>
      <c r="K35" s="9"/>
      <c r="L35" s="9"/>
      <c r="M35" s="9"/>
      <c r="N35" s="9"/>
      <c r="O35" s="9"/>
    </row>
    <row r="36" spans="1:27" s="2" customFormat="1" ht="12" x14ac:dyDescent="0.25">
      <c r="J36" s="9"/>
      <c r="K36" s="9"/>
      <c r="L36" s="9"/>
      <c r="M36" s="9"/>
      <c r="N36" s="9"/>
      <c r="O36" s="9"/>
    </row>
    <row r="37" spans="1:27" s="2" customFormat="1" ht="12" x14ac:dyDescent="0.25">
      <c r="J37" s="9"/>
      <c r="K37" s="9"/>
      <c r="L37" s="9"/>
      <c r="M37" s="9"/>
      <c r="N37" s="9"/>
      <c r="O37" s="9"/>
    </row>
    <row r="38" spans="1:27" s="2" customFormat="1" ht="12" x14ac:dyDescent="0.25">
      <c r="J38" s="9"/>
      <c r="K38" s="9"/>
      <c r="L38" s="9"/>
      <c r="M38" s="9"/>
      <c r="N38" s="9"/>
      <c r="O38" s="9"/>
    </row>
    <row r="39" spans="1:27" s="2" customFormat="1" ht="12" x14ac:dyDescent="0.25">
      <c r="J39" s="9"/>
      <c r="K39" s="9"/>
      <c r="L39" s="9"/>
      <c r="M39" s="9"/>
      <c r="N39" s="9"/>
      <c r="O39" s="9"/>
    </row>
    <row r="40" spans="1:27" s="2" customFormat="1" ht="12" x14ac:dyDescent="0.25">
      <c r="J40" s="9"/>
      <c r="K40" s="9"/>
      <c r="L40" s="9"/>
      <c r="M40" s="9"/>
      <c r="N40" s="9"/>
      <c r="O40" s="9"/>
    </row>
    <row r="41" spans="1:27" s="2" customFormat="1" ht="12" x14ac:dyDescent="0.25">
      <c r="J41" s="9"/>
      <c r="K41" s="9"/>
      <c r="L41" s="9"/>
      <c r="M41" s="9"/>
      <c r="N41" s="9"/>
      <c r="O41" s="9"/>
    </row>
    <row r="42" spans="1:27" s="2" customFormat="1" ht="12" x14ac:dyDescent="0.25">
      <c r="J42" s="9"/>
      <c r="K42" s="9"/>
      <c r="L42" s="9"/>
      <c r="M42" s="9"/>
      <c r="N42" s="9"/>
      <c r="O42" s="9"/>
    </row>
    <row r="43" spans="1:27" s="2" customFormat="1" ht="12" x14ac:dyDescent="0.25">
      <c r="J43" s="9"/>
      <c r="K43" s="9"/>
      <c r="L43" s="9"/>
      <c r="M43" s="9"/>
      <c r="N43" s="9"/>
      <c r="O43" s="9"/>
    </row>
    <row r="44" spans="1:27" s="2" customFormat="1" ht="12" x14ac:dyDescent="0.25">
      <c r="J44" s="9"/>
      <c r="K44" s="9"/>
      <c r="L44" s="9"/>
      <c r="M44" s="9"/>
      <c r="N44" s="9"/>
      <c r="O44" s="9"/>
    </row>
    <row r="45" spans="1:27" s="2" customFormat="1" ht="12" x14ac:dyDescent="0.25">
      <c r="J45" s="9"/>
      <c r="K45" s="9"/>
      <c r="L45" s="9"/>
      <c r="M45" s="9"/>
      <c r="N45" s="9"/>
      <c r="O45" s="9"/>
    </row>
    <row r="46" spans="1:27" s="2" customFormat="1" ht="12" x14ac:dyDescent="0.25">
      <c r="J46" s="9"/>
      <c r="K46" s="9"/>
      <c r="L46" s="9"/>
      <c r="M46" s="9"/>
      <c r="N46" s="9"/>
      <c r="O46" s="9"/>
    </row>
    <row r="47" spans="1:27" s="2" customFormat="1" ht="12" x14ac:dyDescent="0.25">
      <c r="J47" s="9"/>
      <c r="K47" s="9"/>
      <c r="L47" s="9"/>
      <c r="M47" s="9"/>
      <c r="N47" s="9"/>
      <c r="O47" s="9"/>
    </row>
    <row r="48" spans="1:27" s="2" customFormat="1" ht="12" x14ac:dyDescent="0.25">
      <c r="J48" s="9"/>
      <c r="K48" s="9"/>
      <c r="L48" s="9"/>
      <c r="M48" s="9"/>
      <c r="N48" s="9"/>
      <c r="O48" s="9"/>
    </row>
    <row r="49" spans="1:23" s="2" customFormat="1" ht="12" x14ac:dyDescent="0.25">
      <c r="J49" s="9"/>
      <c r="K49" s="9"/>
      <c r="L49" s="9"/>
      <c r="M49" s="9"/>
      <c r="N49" s="9"/>
      <c r="O49" s="9"/>
    </row>
    <row r="50" spans="1:23" s="2" customFormat="1" ht="12" x14ac:dyDescent="0.25">
      <c r="J50" s="9"/>
      <c r="K50" s="9"/>
      <c r="L50" s="9"/>
      <c r="M50" s="9"/>
      <c r="N50" s="9"/>
      <c r="O50" s="9"/>
    </row>
    <row r="51" spans="1:23" s="2" customFormat="1" ht="12" x14ac:dyDescent="0.25">
      <c r="J51" s="9"/>
      <c r="K51" s="9"/>
      <c r="L51" s="9"/>
      <c r="M51" s="9"/>
      <c r="N51" s="9"/>
      <c r="O51" s="9"/>
    </row>
    <row r="52" spans="1:23" s="2" customFormat="1" ht="12" x14ac:dyDescent="0.25">
      <c r="J52" s="9"/>
      <c r="K52" s="9"/>
      <c r="L52" s="9"/>
      <c r="M52" s="9"/>
      <c r="N52" s="9"/>
      <c r="O52" s="9"/>
    </row>
    <row r="53" spans="1:23" s="2" customFormat="1" ht="12" x14ac:dyDescent="0.25">
      <c r="J53" s="9"/>
      <c r="K53" s="9"/>
      <c r="L53" s="9"/>
      <c r="M53" s="9"/>
      <c r="N53" s="9"/>
      <c r="O53" s="9"/>
    </row>
    <row r="54" spans="1:23" s="2" customFormat="1" ht="12" x14ac:dyDescent="0.25">
      <c r="J54" s="9"/>
      <c r="K54" s="9"/>
      <c r="L54" s="9"/>
      <c r="M54" s="9"/>
      <c r="N54" s="9"/>
      <c r="O54" s="9"/>
    </row>
    <row r="55" spans="1:23" s="2" customFormat="1" ht="12" x14ac:dyDescent="0.25">
      <c r="J55" s="9"/>
      <c r="K55" s="9"/>
      <c r="L55" s="9"/>
      <c r="M55" s="9"/>
      <c r="N55" s="9"/>
      <c r="O55" s="9"/>
    </row>
    <row r="56" spans="1:23" s="2" customFormat="1" ht="12" x14ac:dyDescent="0.25">
      <c r="J56" s="9"/>
      <c r="K56" s="9"/>
      <c r="L56" s="9"/>
      <c r="M56" s="9"/>
      <c r="N56" s="9"/>
      <c r="O56" s="9"/>
    </row>
    <row r="57" spans="1:23" s="2" customFormat="1" ht="12" x14ac:dyDescent="0.25">
      <c r="J57" s="9"/>
      <c r="K57" s="9"/>
      <c r="L57" s="9"/>
      <c r="M57" s="9"/>
      <c r="N57" s="9"/>
      <c r="O57" s="9"/>
    </row>
    <row r="58" spans="1:23" s="2" customFormat="1" ht="12" x14ac:dyDescent="0.25">
      <c r="J58" s="9"/>
      <c r="K58" s="9"/>
      <c r="L58" s="9"/>
      <c r="M58" s="9"/>
      <c r="N58" s="9"/>
      <c r="O58" s="9"/>
    </row>
    <row r="59" spans="1:23" s="2" customFormat="1" ht="12" x14ac:dyDescent="0.25">
      <c r="J59" s="9"/>
      <c r="K59" s="9"/>
      <c r="L59" s="9"/>
      <c r="M59" s="9"/>
      <c r="N59" s="9"/>
      <c r="O59" s="9"/>
    </row>
    <row r="60" spans="1:23" s="2" customFormat="1" ht="12" x14ac:dyDescent="0.25">
      <c r="J60" s="9"/>
      <c r="K60" s="9"/>
      <c r="L60" s="9"/>
      <c r="M60" s="9"/>
      <c r="N60" s="9"/>
      <c r="O60" s="9"/>
    </row>
    <row r="61" spans="1:23" s="2" customFormat="1" ht="12" x14ac:dyDescent="0.25">
      <c r="J61" s="9"/>
      <c r="K61" s="9"/>
      <c r="L61" s="9"/>
      <c r="M61" s="9"/>
      <c r="N61" s="9"/>
      <c r="O61" s="9"/>
    </row>
    <row r="62" spans="1:23" x14ac:dyDescent="0.25">
      <c r="A62" s="2"/>
      <c r="B62" s="2"/>
      <c r="C62" s="2"/>
      <c r="D62" s="2"/>
      <c r="E62" s="2"/>
      <c r="F62" s="2"/>
      <c r="G62" s="2"/>
      <c r="H62" s="2"/>
      <c r="I62" s="2"/>
      <c r="J62" s="9"/>
      <c r="K62" s="9"/>
      <c r="L62" s="9"/>
      <c r="M62" s="9"/>
      <c r="N62" s="9"/>
      <c r="O62" s="9"/>
      <c r="P62" s="2"/>
      <c r="Q62" s="2"/>
      <c r="R62" s="2"/>
      <c r="S62" s="2"/>
      <c r="T62" s="2"/>
      <c r="U62" s="2"/>
      <c r="V62" s="2"/>
      <c r="W62" s="2"/>
    </row>
    <row r="63" spans="1:23" x14ac:dyDescent="0.25">
      <c r="A63" s="2"/>
      <c r="B63" s="2"/>
      <c r="C63" s="2"/>
      <c r="D63" s="2"/>
      <c r="E63" s="2"/>
      <c r="F63" s="2"/>
      <c r="G63" s="2"/>
      <c r="H63" s="2"/>
      <c r="I63" s="2"/>
      <c r="J63" s="9"/>
      <c r="K63" s="9"/>
      <c r="L63" s="9"/>
      <c r="M63" s="9"/>
      <c r="N63" s="9"/>
      <c r="O63" s="9"/>
      <c r="P63" s="2"/>
      <c r="Q63" s="2"/>
      <c r="R63" s="2"/>
      <c r="S63" s="2"/>
      <c r="T63" s="2"/>
      <c r="U63" s="2"/>
      <c r="V63" s="2"/>
      <c r="W63" s="2"/>
    </row>
    <row r="64" spans="1:23" x14ac:dyDescent="0.25">
      <c r="A64" s="2"/>
      <c r="B64" s="2"/>
      <c r="C64" s="2"/>
      <c r="D64" s="2"/>
      <c r="E64" s="2"/>
      <c r="F64" s="2"/>
      <c r="G64" s="2"/>
      <c r="H64" s="2"/>
      <c r="I64" s="2"/>
      <c r="J64" s="9"/>
      <c r="K64" s="9"/>
      <c r="L64" s="9"/>
      <c r="M64" s="9"/>
      <c r="N64" s="9"/>
      <c r="O64" s="9"/>
      <c r="P64" s="2"/>
      <c r="Q64" s="2"/>
      <c r="R64" s="2"/>
      <c r="S64" s="2"/>
      <c r="T64" s="2"/>
      <c r="U64" s="2"/>
      <c r="V64" s="2"/>
      <c r="W64" s="2"/>
    </row>
    <row r="65" spans="1:23" x14ac:dyDescent="0.25">
      <c r="A65" s="2"/>
      <c r="B65" s="2"/>
      <c r="C65" s="2"/>
      <c r="D65" s="2"/>
      <c r="E65" s="2"/>
      <c r="F65" s="2"/>
      <c r="G65" s="2"/>
      <c r="H65" s="2"/>
      <c r="I65" s="2"/>
      <c r="J65" s="9"/>
      <c r="K65" s="9"/>
      <c r="L65" s="9"/>
      <c r="M65" s="9"/>
      <c r="N65" s="9"/>
      <c r="O65" s="9"/>
      <c r="P65" s="2"/>
      <c r="Q65" s="2"/>
      <c r="R65" s="2"/>
      <c r="S65" s="2"/>
      <c r="T65" s="2"/>
      <c r="U65" s="2"/>
      <c r="V65" s="2"/>
      <c r="W65" s="2"/>
    </row>
    <row r="66" spans="1:23" x14ac:dyDescent="0.25">
      <c r="A66" s="2"/>
      <c r="B66" s="2"/>
      <c r="C66" s="2"/>
      <c r="D66" s="2"/>
      <c r="E66" s="2"/>
      <c r="F66" s="2"/>
      <c r="G66" s="2"/>
      <c r="H66" s="2"/>
      <c r="I66" s="2"/>
      <c r="J66" s="9"/>
      <c r="K66" s="9"/>
      <c r="L66" s="9"/>
      <c r="M66" s="9"/>
      <c r="N66" s="9"/>
      <c r="O66" s="9"/>
      <c r="P66" s="2"/>
      <c r="Q66" s="2"/>
      <c r="R66" s="2"/>
      <c r="S66" s="2"/>
      <c r="T66" s="2"/>
      <c r="U66" s="2"/>
      <c r="V66" s="2"/>
      <c r="W66" s="2"/>
    </row>
    <row r="67" spans="1:23" x14ac:dyDescent="0.25">
      <c r="A67" s="2"/>
      <c r="B67" s="2"/>
      <c r="C67" s="2"/>
      <c r="D67" s="2"/>
      <c r="E67" s="2"/>
      <c r="F67" s="2"/>
      <c r="G67" s="2"/>
      <c r="H67" s="2"/>
      <c r="I67" s="2"/>
      <c r="J67" s="9"/>
      <c r="K67" s="9"/>
      <c r="L67" s="9"/>
      <c r="M67" s="9"/>
      <c r="N67" s="9"/>
      <c r="O67" s="9"/>
      <c r="P67" s="2"/>
      <c r="Q67" s="2"/>
      <c r="R67" s="2"/>
      <c r="S67" s="2"/>
      <c r="T67" s="2"/>
      <c r="U67" s="2"/>
      <c r="V67" s="2"/>
      <c r="W67" s="2"/>
    </row>
  </sheetData>
  <mergeCells count="12">
    <mergeCell ref="A33:K33"/>
    <mergeCell ref="M33:W33"/>
    <mergeCell ref="A5:A7"/>
    <mergeCell ref="A1:W1"/>
    <mergeCell ref="A2:W2"/>
    <mergeCell ref="W5:W7"/>
    <mergeCell ref="P5:T5"/>
    <mergeCell ref="P6:T6"/>
    <mergeCell ref="C5:I5"/>
    <mergeCell ref="C6:I6"/>
    <mergeCell ref="J5:O5"/>
    <mergeCell ref="J6:O6"/>
  </mergeCells>
  <pageMargins left="0.7" right="0.7" top="0.75" bottom="0.75" header="0.3" footer="0.3"/>
  <pageSetup paperSize="9" scale="43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9.2</vt:lpstr>
      <vt:lpstr>'9.2'!Print_Area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2021-07-14T06:07:18Z</cp:lastPrinted>
  <dcterms:created xsi:type="dcterms:W3CDTF">2019-09-09T05:11:24Z</dcterms:created>
  <dcterms:modified xsi:type="dcterms:W3CDTF">2021-07-14T06:08:40Z</dcterms:modified>
</cp:coreProperties>
</file>