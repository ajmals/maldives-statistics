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3" sheetId="13" r:id="rId1"/>
  </sheets>
  <externalReferences>
    <externalReference r:id="rId2"/>
  </externalReferences>
  <definedNames>
    <definedName name="_xlnm.Print_Area" localSheetId="0">'9.13'!$A$1:$J$35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3" l="1"/>
  <c r="D10" i="13"/>
  <c r="E10" i="13"/>
  <c r="F10" i="13"/>
  <c r="G10" i="13"/>
  <c r="H10" i="13"/>
  <c r="B11" i="13"/>
  <c r="B10" i="13" s="1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<sst xmlns="http://schemas.openxmlformats.org/spreadsheetml/2006/main" count="68" uniqueCount="67">
  <si>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</si>
  <si>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</si>
  <si>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</si>
  <si>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</si>
  <si>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</si>
  <si>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</si>
  <si>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</si>
  <si>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</si>
  <si>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</si>
  <si>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</si>
  <si>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</si>
  <si>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</si>
  <si>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</si>
  <si>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</si>
  <si>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</si>
  <si>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</si>
  <si>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</si>
  <si>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</si>
  <si>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</si>
  <si>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</si>
  <si>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</si>
  <si>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</si>
  <si>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</si>
  <si>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</si>
  <si>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</si>
  <si>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</si>
  <si>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</si>
  <si>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</si>
  <si>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</si>
  <si>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</si>
  <si>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</si>
  <si>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</si>
  <si>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</si>
  <si>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</si>
  <si>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</si>
  <si>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</si>
  <si>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</si>
  <si>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</si>
  <si>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</si>
  <si>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</si>
  <si>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</si>
  <si>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</si>
  <si>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</si>
  <si>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</si>
  <si>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</si>
  <si>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</si>
  <si>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</si>
  <si>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</si>
  <si>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</si>
  <si>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2018 ,cawtctwvWb egumwkirevuDnwd Wdcawh cSokumcaWa iawgEjcaWr cniaeret egukwtctwvWb unuveruk cTrOpcmia cSwaejcaWr  : 9.13 ulwvWt</t>
  </si>
  <si>
    <t>Table 9.13: IMPORTS OF FRESH AGRICULTURAL CROPS MAINLY PRODUCED IN MALDIVES, 2018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</si>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</sst>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10" fillId="0" borderId="0"/>
    <xf numFmtId="170" fontId="1" fillId="0" borderId="0"/>
    <xf numFmtId="170" fontId="1" fillId="0" borderId="0"/>
    <xf numFmtId="170" fontId="1" fillId="0" borderId="0"/>
    <xf numFmtId="0" fontId="2" fillId="0" borderId="0"/>
  </cellStyleXfs>
  <cellXfs count="38">
    <xf numFmtId="0" fontId="0" fillId="0" borderId="0" xfId="0"/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4" applyNumberFormat="1" applyFill="1" applyBorder="1"/>
    <xf numFmtId="2" fontId="15" fillId="2" borderId="3" xfId="4" applyNumberFormat="1" applyFont="1" applyFill="1" applyBorder="1" applyAlignment="1">
      <alignment horizontal="right" vertical="center"/>
    </xf>
    <xf numFmtId="0" fontId="14" fillId="2" borderId="1" xfId="4" applyNumberFormat="1" applyFont="1" applyFill="1" applyBorder="1" applyAlignment="1">
      <alignment horizontal="right" vertical="center"/>
    </xf>
    <xf numFmtId="0" fontId="13" fillId="2" borderId="2" xfId="4" applyNumberFormat="1" applyFont="1" applyFill="1" applyBorder="1" applyAlignment="1">
      <alignment horizontal="left" vertical="center"/>
    </xf>
    <xf numFmtId="38" fontId="14" fillId="2" borderId="2" xfId="4" applyNumberFormat="1" applyFont="1" applyFill="1" applyBorder="1" applyAlignment="1">
      <alignment horizontal="right" vertical="center"/>
    </xf>
    <xf numFmtId="0" fontId="17" fillId="2" borderId="9" xfId="4" applyNumberFormat="1" applyFont="1" applyFill="1" applyBorder="1" applyAlignment="1">
      <alignment horizontal="left" vertical="center" indent="1"/>
    </xf>
    <xf numFmtId="0" fontId="17" fillId="2" borderId="11" xfId="4" applyNumberFormat="1" applyFont="1" applyFill="1" applyBorder="1" applyAlignment="1">
      <alignment horizontal="left" vertical="center" indent="1"/>
    </xf>
    <xf numFmtId="0" fontId="17" fillId="2" borderId="12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8" fillId="2" borderId="14" xfId="1" applyFont="1" applyFill="1" applyBorder="1" applyAlignment="1">
      <alignment horizontal="right" vertical="center" indent="1"/>
    </xf>
    <xf numFmtId="164" fontId="4" fillId="2" borderId="14" xfId="1" applyFont="1" applyFill="1" applyBorder="1" applyAlignment="1" applyProtection="1">
      <alignment horizontal="left" vertical="center"/>
    </xf>
    <xf numFmtId="1" fontId="7" fillId="2" borderId="0" xfId="0" applyNumberFormat="1" applyFont="1" applyFill="1" applyBorder="1" applyAlignment="1">
      <alignment horizontal="left" indent="1"/>
    </xf>
    <xf numFmtId="0" fontId="16" fillId="2" borderId="15" xfId="4" applyNumberFormat="1" applyFont="1" applyFill="1" applyBorder="1" applyAlignment="1">
      <alignment horizontal="right" vertical="center" indent="1"/>
    </xf>
    <xf numFmtId="0" fontId="16" fillId="2" borderId="0" xfId="4" applyNumberFormat="1" applyFont="1" applyFill="1" applyBorder="1" applyAlignment="1">
      <alignment horizontal="right" vertical="center" indent="1"/>
    </xf>
    <xf numFmtId="0" fontId="16" fillId="2" borderId="8" xfId="4" applyNumberFormat="1" applyFont="1" applyFill="1" applyBorder="1" applyAlignment="1">
      <alignment horizontal="right" vertical="center" indent="1"/>
    </xf>
    <xf numFmtId="164" fontId="3" fillId="2" borderId="14" xfId="1" applyFont="1" applyFill="1" applyBorder="1" applyAlignment="1" applyProtection="1">
      <alignment horizontal="left" vertical="center"/>
    </xf>
    <xf numFmtId="164" fontId="8" fillId="2" borderId="14" xfId="1" applyFont="1" applyFill="1" applyBorder="1" applyAlignment="1">
      <alignment horizontal="left" vertical="center" indent="1"/>
    </xf>
    <xf numFmtId="0" fontId="12" fillId="2" borderId="6" xfId="4" applyNumberFormat="1" applyFont="1" applyFill="1" applyBorder="1" applyAlignment="1">
      <alignment horizontal="right" vertical="center"/>
    </xf>
    <xf numFmtId="0" fontId="12" fillId="2" borderId="6" xfId="4" applyNumberFormat="1" applyFont="1" applyFill="1" applyBorder="1" applyAlignment="1">
      <alignment horizontal="right" vertical="center"/>
    </xf>
    <xf numFmtId="0" fontId="12" fillId="2" borderId="8" xfId="4" applyNumberFormat="1" applyFont="1" applyFill="1" applyBorder="1" applyAlignment="1">
      <alignment horizontal="right" vertical="center"/>
    </xf>
    <xf numFmtId="0" fontId="13" fillId="2" borderId="5" xfId="4" applyNumberFormat="1" applyFont="1" applyFill="1" applyBorder="1" applyAlignment="1">
      <alignment horizontal="left" vertical="center"/>
    </xf>
    <xf numFmtId="0" fontId="13" fillId="2" borderId="7" xfId="4" applyNumberFormat="1" applyFont="1" applyFill="1" applyBorder="1" applyAlignment="1">
      <alignment horizontal="left" vertical="center"/>
    </xf>
    <xf numFmtId="0" fontId="13" fillId="2" borderId="12" xfId="4" applyNumberFormat="1" applyFont="1" applyFill="1" applyBorder="1" applyAlignment="1">
      <alignment horizontal="center" vertical="center"/>
    </xf>
    <xf numFmtId="0" fontId="13" fillId="2" borderId="17" xfId="4" applyNumberFormat="1" applyFont="1" applyFill="1" applyBorder="1" applyAlignment="1">
      <alignment horizontal="center" vertical="center"/>
    </xf>
    <xf numFmtId="0" fontId="13" fillId="2" borderId="13" xfId="4" applyNumberFormat="1" applyFont="1" applyFill="1" applyBorder="1" applyAlignment="1">
      <alignment horizontal="center" vertical="center"/>
    </xf>
    <xf numFmtId="0" fontId="18" fillId="2" borderId="11" xfId="4" applyNumberFormat="1" applyFont="1" applyFill="1" applyBorder="1" applyAlignment="1">
      <alignment horizontal="center" vertical="center"/>
    </xf>
    <xf numFmtId="0" fontId="18" fillId="2" borderId="16" xfId="4" applyNumberFormat="1" applyFont="1" applyFill="1" applyBorder="1" applyAlignment="1">
      <alignment horizontal="center" vertical="center"/>
    </xf>
    <xf numFmtId="0" fontId="18" fillId="2" borderId="10" xfId="4" applyNumberFormat="1" applyFont="1" applyFill="1" applyBorder="1" applyAlignment="1">
      <alignment horizontal="center" vertical="center"/>
    </xf>
    <xf numFmtId="0" fontId="11" fillId="2" borderId="11" xfId="4" applyNumberFormat="1" applyFont="1" applyFill="1" applyBorder="1" applyAlignment="1">
      <alignment horizontal="center" vertical="center"/>
    </xf>
    <xf numFmtId="0" fontId="11" fillId="2" borderId="16" xfId="4" applyNumberFormat="1" applyFont="1" applyFill="1" applyBorder="1" applyAlignment="1">
      <alignment horizontal="center" vertical="center"/>
    </xf>
    <xf numFmtId="0" fontId="11" fillId="2" borderId="10" xfId="4" applyNumberFormat="1" applyFont="1" applyFill="1" applyBorder="1" applyAlignment="1">
      <alignment horizontal="center" vertical="center"/>
    </xf>
    <xf numFmtId="0" fontId="9" fillId="2" borderId="11" xfId="3" applyFont="1" applyFill="1" applyBorder="1" applyAlignment="1">
      <alignment horizontal="center" vertical="center"/>
    </xf>
    <xf numFmtId="0" fontId="9" fillId="2" borderId="16" xfId="3" applyFont="1" applyFill="1" applyBorder="1" applyAlignment="1">
      <alignment horizontal="center" vertical="center"/>
    </xf>
    <xf numFmtId="0" fontId="9" fillId="2" borderId="10" xfId="3" applyFont="1" applyFill="1" applyBorder="1" applyAlignment="1">
      <alignment horizontal="center" vertical="center"/>
    </xf>
  </cellXfs>
  <cellStyles count="9">
    <cellStyle name="1" xfId="8"/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4:I34"/>
  <sheetViews>
    <sheetView tabSelected="1" zoomScaleNormal="100" workbookViewId="0">
      <selection activeCell="I35" sqref="I35"/>
    </sheetView>
  </sheetViews>
  <sheetFormatPr defaultColWidth="8.85546875" defaultRowHeight="15" x14ac:dyDescent="0.2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4" spans="1:9" ht="18" x14ac:dyDescent="0.25">
      <c r="A4" s="35" t="s">
        <v>49</v>
      </c>
      <c r="B4" s="36"/>
      <c r="C4" s="36"/>
      <c r="D4" s="36"/>
      <c r="E4" s="36"/>
      <c r="F4" s="36"/>
      <c r="G4" s="36"/>
      <c r="H4" s="36"/>
      <c r="I4" s="37"/>
    </row>
    <row r="5" spans="1:9" ht="15.75" x14ac:dyDescent="0.25">
      <c r="A5" s="32" t="s">
        <v>50</v>
      </c>
      <c r="B5" s="33"/>
      <c r="C5" s="33"/>
      <c r="D5" s="33"/>
      <c r="E5" s="33"/>
      <c r="F5" s="33"/>
      <c r="G5" s="33"/>
      <c r="H5" s="33"/>
      <c r="I5" s="34"/>
    </row>
    <row r="6" spans="1:9" ht="15.75" x14ac:dyDescent="0.25">
      <c r="A6" s="29" t="s">
        <v>51</v>
      </c>
      <c r="B6" s="30"/>
      <c r="C6" s="30"/>
      <c r="D6" s="30"/>
      <c r="E6" s="30"/>
      <c r="F6" s="30"/>
      <c r="G6" s="30"/>
      <c r="H6" s="30"/>
      <c r="I6" s="31"/>
    </row>
    <row r="7" spans="1:9" x14ac:dyDescent="0.25">
      <c r="A7" s="26" t="s">
        <v>52</v>
      </c>
      <c r="B7" s="27"/>
      <c r="C7" s="27"/>
      <c r="D7" s="27"/>
      <c r="E7" s="27"/>
      <c r="F7" s="27"/>
      <c r="G7" s="27"/>
      <c r="H7" s="27"/>
      <c r="I7" s="28"/>
    </row>
    <row r="8" spans="1:9" ht="18.75" customHeight="1" x14ac:dyDescent="0.25">
      <c r="A8" s="24" t="s">
        <v>53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22" t="s">
        <v>8</v>
      </c>
    </row>
    <row r="9" spans="1:9" ht="15" customHeight="1" x14ac:dyDescent="0.25">
      <c r="A9" s="25"/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23"/>
    </row>
    <row r="10" spans="1:9" ht="21" x14ac:dyDescent="0.25">
      <c r="A10" s="7" t="s">
        <v>0</v>
      </c>
      <c r="B10" s="8">
        <f>SUM(B11:B32)</f>
        <v>16845095.644122727</v>
      </c>
      <c r="C10" s="8">
        <f t="shared" ref="C10:H10" si="0">SUM(C11:C32)</f>
        <v>11050463.835999999</v>
      </c>
      <c r="D10" s="8">
        <f t="shared" si="0"/>
        <v>2397466.2220999999</v>
      </c>
      <c r="E10" s="8">
        <f t="shared" si="0"/>
        <v>1247150.0636527266</v>
      </c>
      <c r="F10" s="8">
        <f t="shared" si="0"/>
        <v>293283.80803000001</v>
      </c>
      <c r="G10" s="8">
        <f t="shared" si="0"/>
        <v>897840.02899999986</v>
      </c>
      <c r="H10" s="8">
        <f t="shared" si="0"/>
        <v>958891.68533999997</v>
      </c>
      <c r="I10" s="21" t="s">
        <v>1</v>
      </c>
    </row>
    <row r="11" spans="1:9" ht="21" x14ac:dyDescent="0.25">
      <c r="A11" s="15" t="s">
        <v>16</v>
      </c>
      <c r="B11" s="1">
        <f t="shared" ref="B11:B32" si="1">SUM(C11:H11)</f>
        <v>2016303</v>
      </c>
      <c r="C11" s="2">
        <v>1751641.5889999999</v>
      </c>
      <c r="D11" s="2">
        <v>158696.41</v>
      </c>
      <c r="E11" s="2">
        <v>62876</v>
      </c>
      <c r="F11" s="2">
        <v>644.57400000000007</v>
      </c>
      <c r="G11" s="2">
        <v>13676.235000000001</v>
      </c>
      <c r="H11" s="2">
        <v>28768.192000000003</v>
      </c>
      <c r="I11" s="16" t="s">
        <v>17</v>
      </c>
    </row>
    <row r="12" spans="1:9" ht="21" x14ac:dyDescent="0.25">
      <c r="A12" s="9" t="s">
        <v>18</v>
      </c>
      <c r="B12" s="1">
        <f t="shared" si="1"/>
        <v>685239.71178999986</v>
      </c>
      <c r="C12" s="2">
        <v>468877.95499999996</v>
      </c>
      <c r="D12" s="2">
        <v>114354.65599999997</v>
      </c>
      <c r="E12" s="2">
        <v>54626.129000000001</v>
      </c>
      <c r="F12" s="2">
        <v>1977.6822499999998</v>
      </c>
      <c r="G12" s="2">
        <v>17537.236000000004</v>
      </c>
      <c r="H12" s="2">
        <v>27866.053540000001</v>
      </c>
      <c r="I12" s="17" t="s">
        <v>19</v>
      </c>
    </row>
    <row r="13" spans="1:9" ht="21" x14ac:dyDescent="0.25">
      <c r="A13" s="10" t="s">
        <v>54</v>
      </c>
      <c r="B13" s="1">
        <f t="shared" si="1"/>
        <v>5</v>
      </c>
      <c r="C13" s="2">
        <v>0</v>
      </c>
      <c r="D13" s="2">
        <v>5</v>
      </c>
      <c r="E13" s="2">
        <v>0</v>
      </c>
      <c r="F13" s="2">
        <v>0</v>
      </c>
      <c r="G13" s="2">
        <v>0</v>
      </c>
      <c r="H13" s="2">
        <v>0</v>
      </c>
      <c r="I13" s="17" t="s">
        <v>20</v>
      </c>
    </row>
    <row r="14" spans="1:9" ht="21" x14ac:dyDescent="0.25">
      <c r="A14" s="10" t="s">
        <v>55</v>
      </c>
      <c r="B14" s="1">
        <f t="shared" si="1"/>
        <v>500</v>
      </c>
      <c r="C14" s="2">
        <v>500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17" t="s">
        <v>21</v>
      </c>
    </row>
    <row r="15" spans="1:9" ht="21" x14ac:dyDescent="0.25">
      <c r="A15" s="10" t="s">
        <v>56</v>
      </c>
      <c r="B15" s="1">
        <f t="shared" si="1"/>
        <v>8078.2999999999993</v>
      </c>
      <c r="C15" s="2">
        <v>20</v>
      </c>
      <c r="D15" s="2">
        <v>6121.7999999999993</v>
      </c>
      <c r="E15" s="2">
        <v>1259.3</v>
      </c>
      <c r="F15" s="2">
        <v>3.5</v>
      </c>
      <c r="G15" s="2">
        <v>191.7</v>
      </c>
      <c r="H15" s="2">
        <v>482</v>
      </c>
      <c r="I15" s="17" t="s">
        <v>22</v>
      </c>
    </row>
    <row r="16" spans="1:9" ht="21" x14ac:dyDescent="0.25">
      <c r="A16" s="10" t="s">
        <v>57</v>
      </c>
      <c r="B16" s="1">
        <f t="shared" si="1"/>
        <v>3743252.9070000006</v>
      </c>
      <c r="C16" s="2">
        <v>3263382.9100000006</v>
      </c>
      <c r="D16" s="2">
        <v>205337.06000000006</v>
      </c>
      <c r="E16" s="2">
        <v>112851.82999999999</v>
      </c>
      <c r="F16" s="2">
        <v>15868.994000000001</v>
      </c>
      <c r="G16" s="2">
        <v>10735.399999999998</v>
      </c>
      <c r="H16" s="2">
        <v>135076.71299999999</v>
      </c>
      <c r="I16" s="17" t="s">
        <v>23</v>
      </c>
    </row>
    <row r="17" spans="1:9" ht="21" x14ac:dyDescent="0.25">
      <c r="A17" s="10" t="s">
        <v>24</v>
      </c>
      <c r="B17" s="1">
        <f t="shared" si="1"/>
        <v>60830.519599999992</v>
      </c>
      <c r="C17" s="2">
        <v>2792.8</v>
      </c>
      <c r="D17" s="2">
        <v>16272.729999999998</v>
      </c>
      <c r="E17" s="2">
        <v>12621.57</v>
      </c>
      <c r="F17" s="2">
        <v>1810.7800000000002</v>
      </c>
      <c r="G17" s="2">
        <v>23126.549999999996</v>
      </c>
      <c r="H17" s="2">
        <v>4206.0896000000002</v>
      </c>
      <c r="I17" s="17" t="s">
        <v>25</v>
      </c>
    </row>
    <row r="18" spans="1:9" ht="21" x14ac:dyDescent="0.25">
      <c r="A18" s="10" t="s">
        <v>58</v>
      </c>
      <c r="B18" s="1">
        <f t="shared" si="1"/>
        <v>98082.947999999989</v>
      </c>
      <c r="C18" s="2">
        <v>4157.12</v>
      </c>
      <c r="D18" s="2">
        <v>92065.68</v>
      </c>
      <c r="E18" s="2">
        <v>1387.9480000000001</v>
      </c>
      <c r="F18" s="2">
        <v>17</v>
      </c>
      <c r="G18" s="2">
        <v>96</v>
      </c>
      <c r="H18" s="2">
        <v>359.2</v>
      </c>
      <c r="I18" s="17" t="s">
        <v>26</v>
      </c>
    </row>
    <row r="19" spans="1:9" ht="21" x14ac:dyDescent="0.25">
      <c r="A19" s="10" t="s">
        <v>59</v>
      </c>
      <c r="B19" s="1">
        <f t="shared" si="1"/>
        <v>457958.06555272691</v>
      </c>
      <c r="C19" s="2">
        <v>275212.25</v>
      </c>
      <c r="D19" s="2">
        <v>72663.319999999992</v>
      </c>
      <c r="E19" s="2">
        <v>19678.219452726884</v>
      </c>
      <c r="F19" s="2">
        <v>130.16000000000003</v>
      </c>
      <c r="G19" s="2">
        <v>21867.618000000006</v>
      </c>
      <c r="H19" s="2">
        <v>68406.498100000012</v>
      </c>
      <c r="I19" s="17" t="s">
        <v>27</v>
      </c>
    </row>
    <row r="20" spans="1:9" ht="21" x14ac:dyDescent="0.25">
      <c r="A20" s="10" t="s">
        <v>60</v>
      </c>
      <c r="B20" s="1">
        <f t="shared" si="1"/>
        <v>798508.23375999997</v>
      </c>
      <c r="C20" s="2">
        <v>174543.87</v>
      </c>
      <c r="D20" s="2">
        <v>401747.47</v>
      </c>
      <c r="E20" s="2">
        <v>141293.26</v>
      </c>
      <c r="F20" s="2">
        <v>14954.859999999999</v>
      </c>
      <c r="G20" s="2">
        <v>9074.2999999999993</v>
      </c>
      <c r="H20" s="2">
        <v>56894.473760000001</v>
      </c>
      <c r="I20" s="17" t="s">
        <v>28</v>
      </c>
    </row>
    <row r="21" spans="1:9" ht="21" x14ac:dyDescent="0.25">
      <c r="A21" s="10" t="s">
        <v>61</v>
      </c>
      <c r="B21" s="1">
        <f t="shared" si="1"/>
        <v>118516.57999999999</v>
      </c>
      <c r="C21" s="2">
        <v>98652.56</v>
      </c>
      <c r="D21" s="2">
        <v>14999.869999999999</v>
      </c>
      <c r="E21" s="2">
        <v>2841.3999999999996</v>
      </c>
      <c r="F21" s="2">
        <v>0</v>
      </c>
      <c r="G21" s="2">
        <v>190.75</v>
      </c>
      <c r="H21" s="2">
        <v>1832</v>
      </c>
      <c r="I21" s="17" t="s">
        <v>29</v>
      </c>
    </row>
    <row r="22" spans="1:9" ht="21" x14ac:dyDescent="0.25">
      <c r="A22" s="10" t="s">
        <v>62</v>
      </c>
      <c r="B22" s="1">
        <f t="shared" si="1"/>
        <v>382565.25199999998</v>
      </c>
      <c r="C22" s="2">
        <v>76749.5</v>
      </c>
      <c r="D22" s="2">
        <v>105561.75949999999</v>
      </c>
      <c r="E22" s="2">
        <v>27739.53</v>
      </c>
      <c r="F22" s="2">
        <v>102.5</v>
      </c>
      <c r="G22" s="2">
        <v>109829.65999999999</v>
      </c>
      <c r="H22" s="2">
        <v>62582.302499999998</v>
      </c>
      <c r="I22" s="17" t="s">
        <v>30</v>
      </c>
    </row>
    <row r="23" spans="1:9" ht="21" x14ac:dyDescent="0.25">
      <c r="A23" s="10" t="s">
        <v>31</v>
      </c>
      <c r="B23" s="1">
        <f t="shared" si="1"/>
        <v>591446.84602000006</v>
      </c>
      <c r="C23" s="2">
        <v>25294.892</v>
      </c>
      <c r="D23" s="2">
        <v>53177.109999999993</v>
      </c>
      <c r="E23" s="2">
        <v>261972.30219999998</v>
      </c>
      <c r="F23" s="2">
        <v>79259.798780000012</v>
      </c>
      <c r="G23" s="2">
        <v>37273.46</v>
      </c>
      <c r="H23" s="2">
        <v>134469.28304000001</v>
      </c>
      <c r="I23" s="17" t="s">
        <v>32</v>
      </c>
    </row>
    <row r="24" spans="1:9" ht="21" x14ac:dyDescent="0.25">
      <c r="A24" s="10" t="s">
        <v>63</v>
      </c>
      <c r="B24" s="1">
        <f t="shared" si="1"/>
        <v>924584.07</v>
      </c>
      <c r="C24" s="2">
        <v>180077.2</v>
      </c>
      <c r="D24" s="2">
        <v>81872.89999999998</v>
      </c>
      <c r="E24" s="2">
        <v>109000.10999999999</v>
      </c>
      <c r="F24" s="2">
        <v>33028.57</v>
      </c>
      <c r="G24" s="2">
        <v>326497.73</v>
      </c>
      <c r="H24" s="2">
        <v>194107.55999999997</v>
      </c>
      <c r="I24" s="17" t="s">
        <v>33</v>
      </c>
    </row>
    <row r="25" spans="1:9" ht="21" x14ac:dyDescent="0.25">
      <c r="A25" s="10" t="s">
        <v>34</v>
      </c>
      <c r="B25" s="1">
        <f t="shared" si="1"/>
        <v>904048.77599999995</v>
      </c>
      <c r="C25" s="2">
        <v>378217.79</v>
      </c>
      <c r="D25" s="2">
        <v>40921.631999999998</v>
      </c>
      <c r="E25" s="2">
        <v>276820.05</v>
      </c>
      <c r="F25" s="2">
        <v>68325.004000000001</v>
      </c>
      <c r="G25" s="2">
        <v>86782.66</v>
      </c>
      <c r="H25" s="2">
        <v>52981.640000000007</v>
      </c>
      <c r="I25" s="17" t="s">
        <v>35</v>
      </c>
    </row>
    <row r="26" spans="1:9" ht="21" x14ac:dyDescent="0.25">
      <c r="A26" s="10" t="s">
        <v>36</v>
      </c>
      <c r="B26" s="1">
        <f t="shared" si="1"/>
        <v>155318.62</v>
      </c>
      <c r="C26" s="2">
        <v>3433.4699999999993</v>
      </c>
      <c r="D26" s="2">
        <v>115402.76000000001</v>
      </c>
      <c r="E26" s="2">
        <v>2539</v>
      </c>
      <c r="F26" s="2">
        <v>48</v>
      </c>
      <c r="G26" s="2">
        <v>33182.389999999992</v>
      </c>
      <c r="H26" s="2">
        <v>713</v>
      </c>
      <c r="I26" s="17" t="s">
        <v>37</v>
      </c>
    </row>
    <row r="27" spans="1:9" ht="21" x14ac:dyDescent="0.25">
      <c r="A27" s="10" t="s">
        <v>64</v>
      </c>
      <c r="B27" s="1">
        <f t="shared" si="1"/>
        <v>399847.42980000004</v>
      </c>
      <c r="C27" s="2">
        <v>7523.1</v>
      </c>
      <c r="D27" s="2">
        <v>330523.57</v>
      </c>
      <c r="E27" s="2">
        <v>29300.5</v>
      </c>
      <c r="F27" s="2">
        <v>611.90000000000009</v>
      </c>
      <c r="G27" s="2">
        <v>24837.070000000003</v>
      </c>
      <c r="H27" s="2">
        <v>7051.2897999999996</v>
      </c>
      <c r="I27" s="17" t="s">
        <v>38</v>
      </c>
    </row>
    <row r="28" spans="1:9" ht="21" x14ac:dyDescent="0.25">
      <c r="A28" s="10" t="s">
        <v>39</v>
      </c>
      <c r="B28" s="1">
        <f t="shared" si="1"/>
        <v>741455.69059999986</v>
      </c>
      <c r="C28" s="2">
        <v>617466.69999999995</v>
      </c>
      <c r="D28" s="2">
        <v>81464.915600000008</v>
      </c>
      <c r="E28" s="2">
        <v>23051.805</v>
      </c>
      <c r="F28" s="2">
        <v>9518.48</v>
      </c>
      <c r="G28" s="2">
        <v>1110.8499999999999</v>
      </c>
      <c r="H28" s="2">
        <v>8842.94</v>
      </c>
      <c r="I28" s="17" t="s">
        <v>40</v>
      </c>
    </row>
    <row r="29" spans="1:9" ht="21" x14ac:dyDescent="0.25">
      <c r="A29" s="10" t="s">
        <v>41</v>
      </c>
      <c r="B29" s="1">
        <f t="shared" si="1"/>
        <v>3787.34</v>
      </c>
      <c r="C29" s="2">
        <v>1107.04</v>
      </c>
      <c r="D29" s="2">
        <v>81.2</v>
      </c>
      <c r="E29" s="2">
        <v>167.5</v>
      </c>
      <c r="F29" s="2">
        <v>0</v>
      </c>
      <c r="G29" s="2">
        <v>2431.6000000000004</v>
      </c>
      <c r="H29" s="2">
        <v>0</v>
      </c>
      <c r="I29" s="17" t="s">
        <v>42</v>
      </c>
    </row>
    <row r="30" spans="1:9" ht="21" x14ac:dyDescent="0.25">
      <c r="A30" s="10" t="s">
        <v>65</v>
      </c>
      <c r="B30" s="1">
        <f t="shared" si="1"/>
        <v>241027.12599999996</v>
      </c>
      <c r="C30" s="2">
        <v>120875.79</v>
      </c>
      <c r="D30" s="2">
        <v>109629.68599999999</v>
      </c>
      <c r="E30" s="2">
        <v>5089.6499999999996</v>
      </c>
      <c r="F30" s="2">
        <v>30</v>
      </c>
      <c r="G30" s="2">
        <v>1238.3399999999999</v>
      </c>
      <c r="H30" s="2">
        <v>4163.66</v>
      </c>
      <c r="I30" s="17" t="s">
        <v>43</v>
      </c>
    </row>
    <row r="31" spans="1:9" ht="21" x14ac:dyDescent="0.25">
      <c r="A31" s="10" t="s">
        <v>66</v>
      </c>
      <c r="B31" s="1">
        <f t="shared" si="1"/>
        <v>409625.04499999998</v>
      </c>
      <c r="C31" s="2">
        <v>105314</v>
      </c>
      <c r="D31" s="2">
        <v>198463.39999999997</v>
      </c>
      <c r="E31" s="2">
        <v>25716.260000000002</v>
      </c>
      <c r="F31" s="2">
        <v>6705.2350000000006</v>
      </c>
      <c r="G31" s="2">
        <v>3369.21</v>
      </c>
      <c r="H31" s="2">
        <v>70056.94</v>
      </c>
      <c r="I31" s="17" t="s">
        <v>44</v>
      </c>
    </row>
    <row r="32" spans="1:9" ht="21" x14ac:dyDescent="0.25">
      <c r="A32" s="11" t="s">
        <v>45</v>
      </c>
      <c r="B32" s="12">
        <f t="shared" si="1"/>
        <v>4104114.1830000002</v>
      </c>
      <c r="C32" s="3">
        <v>3494623.3</v>
      </c>
      <c r="D32" s="3">
        <v>198103.29300000001</v>
      </c>
      <c r="E32" s="3">
        <v>76317.7</v>
      </c>
      <c r="F32" s="3">
        <v>60246.77</v>
      </c>
      <c r="G32" s="3">
        <v>174791.27</v>
      </c>
      <c r="H32" s="3">
        <v>100031.85</v>
      </c>
      <c r="I32" s="18" t="s">
        <v>46</v>
      </c>
    </row>
    <row r="33" spans="1:9" x14ac:dyDescent="0.25">
      <c r="A33" s="19" t="s">
        <v>47</v>
      </c>
      <c r="B33" s="19"/>
      <c r="C33" s="14"/>
      <c r="D33" s="14"/>
      <c r="E33" s="14"/>
      <c r="F33" s="14"/>
      <c r="G33" s="14"/>
      <c r="H33" s="20"/>
      <c r="I33" s="13" t="s">
        <v>48</v>
      </c>
    </row>
    <row r="34" spans="1:9" x14ac:dyDescent="0.25">
      <c r="A34" s="19"/>
      <c r="B34" s="19"/>
      <c r="C34" s="14"/>
      <c r="D34" s="14"/>
      <c r="E34" s="14"/>
      <c r="F34" s="14"/>
      <c r="G34" s="14"/>
      <c r="H34" s="20"/>
    </row>
  </sheetData>
  <mergeCells count="6">
    <mergeCell ref="A4:I4"/>
    <mergeCell ref="A5:I5"/>
    <mergeCell ref="A6:I6"/>
    <mergeCell ref="A7:I7"/>
    <mergeCell ref="A8:A9"/>
    <mergeCell ref="I8:I9"/>
  </mergeCells>
  <pageMargins left="0.7" right="0.7" top="0.75" bottom="0.75" header="0.3" footer="0.3"/>
  <pageSetup paperSize="9" scale="4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2021-07-14T08:48:11Z</cp:lastPrinted>
  <dcterms:created xsi:type="dcterms:W3CDTF">2019-09-09T05:11:24Z</dcterms:created>
  <dcterms:modified xsi:type="dcterms:W3CDTF">2021-07-14T08:48:19Z</dcterms:modified>
</cp:coreProperties>
</file>