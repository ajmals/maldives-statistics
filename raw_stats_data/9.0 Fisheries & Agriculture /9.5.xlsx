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9. Fisheries and Agriculture\"/>
    </mc:Choice>
  </mc:AlternateContent>
  <bookViews>
    <workbookView xWindow="0" yWindow="0" windowWidth="28800" windowHeight="11730" tabRatio="831"/>
  </bookViews>
  <sheets>
    <sheet name="9.5" sheetId="5" r:id="rId1"/>
  </sheets>
  <externalReferences>
    <externalReference r:id="rId2"/>
  </externalReferences>
  <definedNames>
    <definedName name="_xlnm.Print_Area" localSheetId="0">'9.5'!$A$1:$K$48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7" i="5" l="1"/>
  <c r="B46" i="5"/>
  <c r="B45" i="5"/>
  <c r="B44" i="5"/>
  <c r="B43" i="5"/>
  <c r="B42" i="5"/>
  <c r="B41" i="5"/>
  <c r="B40" i="5"/>
  <c r="B39" i="5"/>
  <c r="B38" i="5"/>
  <c r="B37" i="5"/>
  <c r="B36" i="5"/>
  <c r="B35" i="5"/>
  <c r="J34" i="5"/>
  <c r="I34" i="5"/>
  <c r="H34" i="5"/>
  <c r="G34" i="5"/>
  <c r="F34" i="5"/>
  <c r="E34" i="5"/>
  <c r="D34" i="5"/>
  <c r="C34" i="5"/>
  <c r="B34" i="5" l="1"/>
  <c r="B21" i="5" l="1"/>
  <c r="B20" i="5"/>
  <c r="B19" i="5"/>
  <c r="B18" i="5"/>
  <c r="B17" i="5"/>
  <c r="B16" i="5"/>
  <c r="B15" i="5"/>
  <c r="B14" i="5"/>
  <c r="B13" i="5"/>
  <c r="B12" i="5"/>
  <c r="B11" i="5"/>
  <c r="B10" i="5"/>
  <c r="B9" i="5"/>
  <c r="J8" i="5"/>
  <c r="I8" i="5"/>
  <c r="H8" i="5"/>
  <c r="G8" i="5"/>
  <c r="F8" i="5"/>
  <c r="E8" i="5"/>
  <c r="D8" i="5"/>
  <c r="C8" i="5"/>
  <c r="B8" i="5" l="1"/>
</calcChain>
</file>

<file path=xl/sharedStrings.xml><?xml version="1.0" encoding="utf-8"?>
<sst xmlns="http://schemas.openxmlformats.org/spreadsheetml/2006/main" count="112" uniqueCount="57">
  <si>
    <t>Bigeye tuna</t>
  </si>
  <si>
    <t>ilencnwk uDobOl</t>
  </si>
  <si>
    <t>Longline</t>
  </si>
  <si>
    <t>(cnunwT ckircTem)</t>
  </si>
  <si>
    <t>wlcmuj</t>
  </si>
  <si>
    <t>ilencnwk</t>
  </si>
  <si>
    <t>cswm iSov</t>
  </si>
  <si>
    <t>iTcawl</t>
  </si>
  <si>
    <t>iDnogWr</t>
  </si>
  <si>
    <t>cswmurwf cnehinehea</t>
  </si>
  <si>
    <t>Total</t>
  </si>
  <si>
    <t>Yellowfin tuna</t>
  </si>
  <si>
    <t>Albacore tuna</t>
  </si>
  <si>
    <t>Dogtooth tuna</t>
  </si>
  <si>
    <t>Frigate tuna</t>
  </si>
  <si>
    <t>Other marine fish</t>
  </si>
  <si>
    <t>(In metric tons)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</si>
  <si>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</si>
  <si>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</si>
  <si>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</si>
  <si>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</si>
  <si>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</si>
  <si>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</si>
  <si>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</si>
  <si>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</si>
  <si>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</si>
  <si>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</si>
  <si>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</si>
  <si>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</si>
  <si>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</si>
  <si>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Type of fish</t>
  </si>
  <si>
    <t>ctwvWbeguhwm</t>
  </si>
  <si>
    <t xml:space="preserve">        wlcmuj</t>
  </si>
  <si>
    <t xml:space="preserve">       cswmwlibuLwk</t>
  </si>
  <si>
    <t>ilencnwk ugid ctwfcnwk</t>
  </si>
  <si>
    <t>cswm</t>
  </si>
  <si>
    <t>Skipjack</t>
  </si>
  <si>
    <t>Little tuna</t>
  </si>
  <si>
    <t>Irwaunej</t>
  </si>
  <si>
    <t>Irwaurcbef</t>
  </si>
  <si>
    <t>cCrWm</t>
  </si>
  <si>
    <t>clIrcpEa</t>
  </si>
  <si>
    <t>iaem</t>
  </si>
  <si>
    <t>cnUj</t>
  </si>
  <si>
    <t>iawluj</t>
  </si>
  <si>
    <t>cTcswgOa</t>
  </si>
  <si>
    <t>rwbcmeTcpes</t>
  </si>
  <si>
    <t>rwbOTckoa</t>
  </si>
  <si>
    <t>rwbcmevon</t>
  </si>
  <si>
    <t>rwbcmesiD</t>
  </si>
  <si>
    <t>މަޢުލޫމާތުދެއްވި ފަރާތް: މިނިސްޓްރީ އޮފް ފިޝަރީޒް، މެރިންރިސޯސަސް އެންޑް އެގްރިކަލްޗަރ</t>
  </si>
  <si>
    <t>cnwkirevcswmunEl</t>
  </si>
  <si>
    <t>Source: Ministry of Fisheries, Marine Resources  and Agriculture</t>
  </si>
  <si>
    <t>2019 ,urwvcnim iaWtwvcaWb eguhwminEb wtwvun ifih iawguhwmcswmikea :9.5 ulwvWt</t>
  </si>
  <si>
    <t>Table 9.5 :  MONTHLY FISH CATCH BY TYPE ,  2019</t>
  </si>
  <si>
    <t>2020 ,urwvcnim iaWtwvcaWb eguhwminEb wtwvun ifih iawguhwmcswmikea :9.5 ulwvWt</t>
  </si>
  <si>
    <t>Table 9.5 :  MONTHLY FISH CATCH BY TYPE , 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</si>
</sst>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70" formatCode="[$-409]mmmm\ d\,\ yyyy;@"/>
  </numFmts>
  <fonts count="32"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name val="A_Waheed"/>
    </font>
    <font>
      <sz val="10"/>
      <name val="Arial"/>
      <family val="2"/>
    </font>
    <font>
      <b/>
      <sz val="10"/>
      <name val="Calibri"/>
      <family val="2"/>
    </font>
    <font>
      <sz val="9"/>
      <name val="Faruma"/>
    </font>
    <font>
      <i/>
      <sz val="9"/>
      <name val="Calibri"/>
      <family val="2"/>
    </font>
    <font>
      <sz val="9"/>
      <name val="Courier"/>
      <family val="3"/>
    </font>
    <font>
      <b/>
      <sz val="10"/>
      <name val="Arial"/>
      <family val="2"/>
    </font>
    <font>
      <sz val="11"/>
      <name val="Calibri"/>
      <family val="2"/>
    </font>
    <font>
      <sz val="9"/>
      <name val="Calibri"/>
      <family val="2"/>
    </font>
    <font>
      <sz val="9"/>
      <name val="Win Ahamedey PRB"/>
      <family val="2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b/>
      <sz val="10"/>
      <name val="A_Randhoo"/>
    </font>
    <font>
      <sz val="9"/>
      <name val="A_Randhoo"/>
    </font>
    <font>
      <b/>
      <sz val="12"/>
      <name val="A_Randhoo"/>
    </font>
    <font>
      <b/>
      <sz val="10"/>
      <name val="A_Faseyha"/>
    </font>
    <font>
      <sz val="10"/>
      <name val="Win Ahamedey PRB"/>
      <family val="2"/>
    </font>
    <font>
      <sz val="10"/>
      <name val="A_Randhoo"/>
    </font>
    <font>
      <i/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9"/>
      <name val="A_Faseyha"/>
    </font>
    <font>
      <sz val="10"/>
      <name val="A_Faseyh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7">
    <xf numFmtId="0" fontId="0" fillId="0" borderId="0"/>
    <xf numFmtId="164" fontId="1" fillId="0" borderId="0"/>
    <xf numFmtId="40" fontId="19" fillId="0" borderId="0" applyFont="0" applyFill="0" applyBorder="0" applyAlignment="0" applyProtection="0"/>
    <xf numFmtId="170" fontId="1" fillId="0" borderId="0"/>
    <xf numFmtId="170" fontId="1" fillId="0" borderId="0"/>
    <xf numFmtId="170" fontId="1" fillId="0" borderId="0"/>
    <xf numFmtId="0" fontId="8" fillId="0" borderId="0"/>
  </cellStyleXfs>
  <cellXfs count="66">
    <xf numFmtId="0" fontId="0" fillId="0" borderId="0" xfId="0"/>
    <xf numFmtId="164" fontId="1" fillId="2" borderId="0" xfId="1" applyFont="1" applyFill="1" applyAlignment="1">
      <alignment vertical="center"/>
    </xf>
    <xf numFmtId="164" fontId="2" fillId="2" borderId="0" xfId="1" applyFont="1" applyFill="1" applyAlignment="1">
      <alignment vertical="center"/>
    </xf>
    <xf numFmtId="164" fontId="8" fillId="2" borderId="0" xfId="1" applyFont="1" applyFill="1" applyAlignment="1">
      <alignment vertical="center"/>
    </xf>
    <xf numFmtId="164" fontId="10" fillId="2" borderId="0" xfId="1" applyFont="1" applyFill="1" applyBorder="1" applyAlignment="1">
      <alignment horizontal="right" vertical="center"/>
    </xf>
    <xf numFmtId="164" fontId="12" fillId="2" borderId="0" xfId="1" applyFont="1" applyFill="1" applyAlignment="1">
      <alignment vertical="center"/>
    </xf>
    <xf numFmtId="164" fontId="11" fillId="2" borderId="0" xfId="1" applyFont="1" applyFill="1" applyAlignment="1" applyProtection="1">
      <alignment horizontal="left" vertical="center"/>
    </xf>
    <xf numFmtId="164" fontId="13" fillId="2" borderId="0" xfId="1" applyFont="1" applyFill="1" applyAlignment="1">
      <alignment vertical="center"/>
    </xf>
    <xf numFmtId="164" fontId="4" fillId="2" borderId="0" xfId="1" applyFont="1" applyFill="1" applyAlignment="1">
      <alignment vertical="center"/>
    </xf>
    <xf numFmtId="164" fontId="8" fillId="2" borderId="0" xfId="1" applyFont="1" applyFill="1" applyBorder="1" applyAlignment="1">
      <alignment vertical="center"/>
    </xf>
    <xf numFmtId="164" fontId="15" fillId="2" borderId="0" xfId="1" applyFont="1" applyFill="1" applyAlignment="1">
      <alignment vertical="center"/>
    </xf>
    <xf numFmtId="164" fontId="5" fillId="2" borderId="0" xfId="1" applyFont="1" applyFill="1" applyAlignment="1">
      <alignment vertical="center"/>
    </xf>
    <xf numFmtId="164" fontId="12" fillId="2" borderId="0" xfId="1" applyFont="1" applyFill="1" applyAlignment="1">
      <alignment horizontal="right" vertical="center"/>
    </xf>
    <xf numFmtId="164" fontId="4" fillId="2" borderId="0" xfId="1" applyFont="1" applyFill="1" applyAlignment="1">
      <alignment horizontal="right" vertical="center"/>
    </xf>
    <xf numFmtId="164" fontId="8" fillId="2" borderId="0" xfId="1" applyFont="1" applyFill="1" applyAlignment="1">
      <alignment horizontal="right" vertical="center"/>
    </xf>
    <xf numFmtId="164" fontId="22" fillId="2" borderId="0" xfId="1" applyFont="1" applyFill="1" applyAlignment="1">
      <alignment horizontal="center" vertical="center"/>
    </xf>
    <xf numFmtId="164" fontId="4" fillId="2" borderId="0" xfId="1" applyFont="1" applyFill="1" applyAlignment="1">
      <alignment horizontal="centerContinuous" vertical="center"/>
    </xf>
    <xf numFmtId="164" fontId="13" fillId="2" borderId="0" xfId="1" applyFont="1" applyFill="1" applyAlignment="1" applyProtection="1">
      <alignment horizontal="center" vertical="center"/>
    </xf>
    <xf numFmtId="164" fontId="2" fillId="2" borderId="0" xfId="1" applyFont="1" applyFill="1" applyAlignment="1">
      <alignment horizontal="centerContinuous" vertical="center"/>
    </xf>
    <xf numFmtId="164" fontId="1" fillId="2" borderId="2" xfId="1" applyFont="1" applyFill="1" applyBorder="1" applyAlignment="1">
      <alignment vertical="center"/>
    </xf>
    <xf numFmtId="164" fontId="24" fillId="2" borderId="2" xfId="1" applyFont="1" applyFill="1" applyBorder="1"/>
    <xf numFmtId="164" fontId="24" fillId="2" borderId="0" xfId="1" applyFont="1" applyFill="1" applyBorder="1"/>
    <xf numFmtId="164" fontId="16" fillId="2" borderId="0" xfId="1" applyFont="1" applyFill="1" applyBorder="1"/>
    <xf numFmtId="164" fontId="13" fillId="2" borderId="0" xfId="1" applyFont="1" applyFill="1" applyBorder="1" applyAlignment="1" applyProtection="1">
      <alignment horizontal="left" vertical="center"/>
    </xf>
    <xf numFmtId="164" fontId="20" fillId="2" borderId="0" xfId="0" applyNumberFormat="1" applyFont="1" applyFill="1" applyAlignment="1">
      <alignment horizontal="right"/>
    </xf>
    <xf numFmtId="164" fontId="9" fillId="2" borderId="1" xfId="1" applyFont="1" applyFill="1" applyBorder="1" applyAlignment="1" applyProtection="1">
      <alignment horizontal="left" vertical="center"/>
    </xf>
    <xf numFmtId="164" fontId="9" fillId="2" borderId="1" xfId="1" applyFont="1" applyFill="1" applyBorder="1" applyAlignment="1" applyProtection="1">
      <alignment horizontal="right" vertical="center"/>
    </xf>
    <xf numFmtId="164" fontId="9" fillId="2" borderId="1" xfId="1" applyFont="1" applyFill="1" applyBorder="1" applyAlignment="1" applyProtection="1">
      <alignment horizontal="right" vertical="center" wrapText="1"/>
    </xf>
    <xf numFmtId="0" fontId="17" fillId="2" borderId="1" xfId="0" applyFont="1" applyFill="1" applyBorder="1" applyAlignment="1">
      <alignment horizontal="right" vertical="center"/>
    </xf>
    <xf numFmtId="164" fontId="15" fillId="2" borderId="0" xfId="1" applyFont="1" applyFill="1" applyBorder="1" applyAlignment="1">
      <alignment horizontal="right" vertical="center"/>
    </xf>
    <xf numFmtId="164" fontId="9" fillId="2" borderId="0" xfId="1" applyFont="1" applyFill="1" applyBorder="1" applyAlignment="1">
      <alignment vertical="center"/>
    </xf>
    <xf numFmtId="38" fontId="3" fillId="2" borderId="0" xfId="2" applyNumberFormat="1" applyFont="1" applyFill="1" applyBorder="1" applyAlignment="1" applyProtection="1">
      <alignment horizontal="right" vertical="center"/>
      <protection hidden="1"/>
    </xf>
    <xf numFmtId="38" fontId="3" fillId="2" borderId="0" xfId="2" applyNumberFormat="1" applyFont="1" applyFill="1" applyBorder="1" applyAlignment="1">
      <alignment horizontal="right" vertical="center"/>
    </xf>
    <xf numFmtId="164" fontId="6" fillId="2" borderId="0" xfId="1" applyFont="1" applyFill="1" applyAlignment="1" applyProtection="1">
      <alignment horizontal="left" vertical="center" indent="2"/>
    </xf>
    <xf numFmtId="38" fontId="14" fillId="2" borderId="0" xfId="2" applyNumberFormat="1" applyFont="1" applyFill="1" applyBorder="1" applyAlignment="1">
      <alignment horizontal="right"/>
    </xf>
    <xf numFmtId="164" fontId="25" fillId="2" borderId="0" xfId="0" applyNumberFormat="1" applyFont="1" applyFill="1" applyAlignment="1">
      <alignment horizontal="right"/>
    </xf>
    <xf numFmtId="164" fontId="6" fillId="2" borderId="1" xfId="1" applyFont="1" applyFill="1" applyBorder="1" applyAlignment="1" applyProtection="1">
      <alignment horizontal="left" vertical="center" indent="2"/>
    </xf>
    <xf numFmtId="38" fontId="3" fillId="2" borderId="1" xfId="2" applyNumberFormat="1" applyFont="1" applyFill="1" applyBorder="1" applyAlignment="1" applyProtection="1">
      <alignment horizontal="right" vertical="center"/>
      <protection hidden="1"/>
    </xf>
    <xf numFmtId="38" fontId="14" fillId="2" borderId="1" xfId="2" applyNumberFormat="1" applyFont="1" applyFill="1" applyBorder="1" applyAlignment="1">
      <alignment horizontal="right"/>
    </xf>
    <xf numFmtId="164" fontId="25" fillId="2" borderId="0" xfId="0" applyNumberFormat="1" applyFont="1" applyFill="1" applyBorder="1" applyAlignment="1">
      <alignment horizontal="right"/>
    </xf>
    <xf numFmtId="164" fontId="26" fillId="2" borderId="0" xfId="1" applyFont="1" applyFill="1" applyAlignment="1" applyProtection="1">
      <alignment horizontal="left" vertical="center"/>
    </xf>
    <xf numFmtId="164" fontId="21" fillId="2" borderId="0" xfId="0" applyNumberFormat="1" applyFont="1" applyFill="1" applyAlignment="1">
      <alignment horizontal="right"/>
    </xf>
    <xf numFmtId="164" fontId="11" fillId="2" borderId="0" xfId="1" applyFont="1" applyFill="1" applyBorder="1" applyAlignment="1" applyProtection="1">
      <alignment horizontal="left" vertical="center"/>
    </xf>
    <xf numFmtId="164" fontId="26" fillId="2" borderId="0" xfId="1" applyFont="1" applyFill="1" applyBorder="1" applyAlignment="1" applyProtection="1">
      <alignment horizontal="left" vertical="center"/>
    </xf>
    <xf numFmtId="164" fontId="21" fillId="2" borderId="0" xfId="0" applyNumberFormat="1" applyFont="1" applyFill="1" applyBorder="1" applyAlignment="1">
      <alignment horizontal="right"/>
    </xf>
    <xf numFmtId="164" fontId="8" fillId="2" borderId="0" xfId="1" applyFont="1" applyFill="1" applyBorder="1" applyAlignment="1">
      <alignment horizontal="right" vertical="center"/>
    </xf>
    <xf numFmtId="164" fontId="7" fillId="2" borderId="0" xfId="1" applyFont="1" applyFill="1" applyBorder="1" applyAlignment="1">
      <alignment vertical="center"/>
    </xf>
    <xf numFmtId="3" fontId="28" fillId="2" borderId="0" xfId="3" applyNumberFormat="1" applyFont="1" applyFill="1" applyBorder="1" applyAlignment="1">
      <alignment horizontal="right" vertical="center" indent="1"/>
    </xf>
    <xf numFmtId="3" fontId="28" fillId="2" borderId="1" xfId="3" applyNumberFormat="1" applyFont="1" applyFill="1" applyBorder="1" applyAlignment="1">
      <alignment horizontal="right" vertical="center" indent="1"/>
    </xf>
    <xf numFmtId="164" fontId="20" fillId="2" borderId="0" xfId="0" applyNumberFormat="1" applyFont="1" applyFill="1" applyAlignment="1">
      <alignment horizontal="right" vertical="center"/>
    </xf>
    <xf numFmtId="164" fontId="23" fillId="2" borderId="0" xfId="0" applyNumberFormat="1" applyFont="1" applyFill="1" applyAlignment="1">
      <alignment horizontal="right" vertical="center"/>
    </xf>
    <xf numFmtId="164" fontId="30" fillId="2" borderId="1" xfId="1" applyFont="1" applyFill="1" applyBorder="1" applyAlignment="1">
      <alignment horizontal="right" vertical="center"/>
    </xf>
    <xf numFmtId="164" fontId="23" fillId="2" borderId="0" xfId="0" applyNumberFormat="1" applyFont="1" applyFill="1" applyAlignment="1">
      <alignment horizontal="right"/>
    </xf>
    <xf numFmtId="164" fontId="23" fillId="2" borderId="0" xfId="1" applyFont="1" applyFill="1" applyAlignment="1">
      <alignment horizontal="right" vertical="center"/>
    </xf>
    <xf numFmtId="164" fontId="30" fillId="2" borderId="0" xfId="0" applyNumberFormat="1" applyFont="1" applyFill="1" applyAlignment="1">
      <alignment horizontal="right" indent="2"/>
    </xf>
    <xf numFmtId="164" fontId="30" fillId="2" borderId="1" xfId="0" applyNumberFormat="1" applyFont="1" applyFill="1" applyBorder="1" applyAlignment="1">
      <alignment horizontal="right" indent="2"/>
    </xf>
    <xf numFmtId="164" fontId="29" fillId="2" borderId="0" xfId="1" applyFont="1" applyFill="1" applyAlignment="1">
      <alignment vertical="center"/>
    </xf>
    <xf numFmtId="164" fontId="29" fillId="2" borderId="0" xfId="0" applyNumberFormat="1" applyFont="1" applyFill="1" applyAlignment="1">
      <alignment horizontal="right" vertical="center"/>
    </xf>
    <xf numFmtId="164" fontId="29" fillId="2" borderId="0" xfId="0" applyNumberFormat="1" applyFont="1" applyFill="1" applyAlignment="1">
      <alignment horizontal="right" wrapText="1"/>
    </xf>
    <xf numFmtId="164" fontId="29" fillId="2" borderId="0" xfId="0" applyNumberFormat="1" applyFont="1" applyFill="1" applyAlignment="1">
      <alignment horizontal="right" vertical="center" wrapText="1"/>
    </xf>
    <xf numFmtId="164" fontId="31" fillId="2" borderId="0" xfId="1" applyFont="1" applyFill="1" applyAlignment="1">
      <alignment horizontal="center" vertical="center"/>
    </xf>
    <xf numFmtId="164" fontId="3" fillId="2" borderId="0" xfId="1" applyFont="1" applyFill="1" applyAlignment="1" applyProtection="1">
      <alignment horizontal="center" vertical="center"/>
    </xf>
    <xf numFmtId="164" fontId="23" fillId="2" borderId="0" xfId="1" applyFont="1" applyFill="1" applyAlignment="1">
      <alignment horizontal="center" vertical="center" wrapText="1"/>
    </xf>
    <xf numFmtId="164" fontId="5" fillId="2" borderId="1" xfId="1" applyFont="1" applyFill="1" applyBorder="1" applyAlignment="1" applyProtection="1">
      <alignment horizontal="center" vertical="center"/>
    </xf>
    <xf numFmtId="164" fontId="18" fillId="2" borderId="3" xfId="1" applyFont="1" applyFill="1" applyBorder="1" applyAlignment="1" applyProtection="1">
      <alignment horizontal="right" vertical="center" indent="2"/>
    </xf>
    <xf numFmtId="164" fontId="23" fillId="2" borderId="3" xfId="0" applyNumberFormat="1" applyFont="1" applyFill="1" applyBorder="1" applyAlignment="1">
      <alignment horizontal="left" vertical="center"/>
    </xf>
  </cellXfs>
  <cellStyles count="7">
    <cellStyle name="1" xfId="6"/>
    <cellStyle name="Comma 2" xfId="2"/>
    <cellStyle name="Normal" xfId="0" builtinId="0"/>
    <cellStyle name="Normal 2_agri planning 2009 year book(final)" xfId="3"/>
    <cellStyle name="Normal 3_agri planning 2009 year book(final)" xfId="5"/>
    <cellStyle name="Normal 4_agri planning 2009 year book(final)" xfId="4"/>
    <cellStyle name="Normal_Fish &amp;  Agri - 8" xfId="1"/>
  </cellStyles>
  <dxfs count="0"/>
  <tableStyles count="0" defaultTableStyle="TableStyleMedium2" defaultPivotStyle="PivotStyleLight16"/>
  <colors>
    <mruColors>
      <color rgb="FF249390"/>
      <color rgb="FF33CCCC"/>
      <color rgb="FFEAFAFA"/>
      <color rgb="FFFF9900"/>
      <color rgb="FF196563"/>
      <color rgb="FF00FFCC"/>
      <color rgb="FFC89058"/>
      <color rgb="FF7E542A"/>
      <color rgb="FFD3A77B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CHECKING/9.%20%20FISHERIES%20AND%20AGRICULT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8"/>
      <sheetName val="9.9"/>
      <sheetName val="9.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C4" t="str">
            <v>Pole and Line</v>
          </cell>
          <cell r="AD4" t="str">
            <v>Hand  Line</v>
          </cell>
          <cell r="AE4" t="str">
            <v>Other methods</v>
          </cell>
        </row>
        <row r="5">
          <cell r="AC5">
            <v>80.172670134023591</v>
          </cell>
          <cell r="AD5">
            <v>18.70465755671324</v>
          </cell>
          <cell r="AE5">
            <v>1.1226723092631659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48"/>
  <sheetViews>
    <sheetView tabSelected="1" zoomScaleNormal="100" workbookViewId="0">
      <selection activeCell="O15" sqref="O15"/>
    </sheetView>
  </sheetViews>
  <sheetFormatPr defaultRowHeight="12.75"/>
  <cols>
    <col min="1" max="1" width="15.5703125" style="3" customWidth="1"/>
    <col min="2" max="2" width="9.140625" style="3"/>
    <col min="3" max="4" width="13.42578125" style="3" customWidth="1"/>
    <col min="5" max="5" width="10.28515625" style="14" bestFit="1" customWidth="1"/>
    <col min="6" max="6" width="11.42578125" style="14" bestFit="1" customWidth="1"/>
    <col min="7" max="7" width="12.42578125" style="3" bestFit="1" customWidth="1"/>
    <col min="8" max="9" width="9.140625" style="14"/>
    <col min="10" max="10" width="13.85546875" style="3" customWidth="1"/>
    <col min="11" max="11" width="19.85546875" style="3" customWidth="1"/>
    <col min="12" max="16384" width="9.140625" style="3"/>
  </cols>
  <sheetData>
    <row r="1" spans="1:24" s="7" customFormat="1" ht="19.5">
      <c r="A1" s="60" t="s">
        <v>55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15"/>
      <c r="M1" s="15"/>
      <c r="N1" s="15"/>
      <c r="O1" s="15"/>
      <c r="P1" s="15"/>
      <c r="Q1" s="15"/>
      <c r="R1" s="15"/>
      <c r="S1" s="15"/>
      <c r="T1" s="1"/>
      <c r="U1" s="1"/>
      <c r="V1" s="1"/>
    </row>
    <row r="2" spans="1:24" s="8" customFormat="1" ht="15">
      <c r="A2" s="61" t="s">
        <v>56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17"/>
      <c r="M2" s="17"/>
      <c r="N2" s="17"/>
      <c r="O2" s="17"/>
      <c r="P2" s="17"/>
      <c r="Q2" s="17"/>
      <c r="R2" s="17"/>
      <c r="S2" s="17"/>
      <c r="T2" s="5"/>
      <c r="U2" s="5"/>
      <c r="V2" s="5"/>
    </row>
    <row r="3" spans="1:24" s="13" customFormat="1" ht="15.75" customHeight="1">
      <c r="A3" s="62" t="s">
        <v>3</v>
      </c>
      <c r="B3" s="62"/>
      <c r="C3" s="62"/>
      <c r="D3" s="62"/>
      <c r="E3" s="62"/>
      <c r="F3" s="62"/>
      <c r="G3" s="62"/>
      <c r="H3" s="62"/>
      <c r="I3" s="62"/>
      <c r="J3" s="62"/>
      <c r="K3" s="62"/>
      <c r="M3" s="18"/>
      <c r="N3" s="18"/>
      <c r="O3" s="18"/>
      <c r="P3" s="18"/>
      <c r="Q3" s="18"/>
      <c r="R3" s="18"/>
      <c r="S3" s="18"/>
      <c r="T3" s="12"/>
      <c r="U3" s="12"/>
      <c r="V3" s="12"/>
    </row>
    <row r="4" spans="1:24" s="8" customFormat="1" ht="12">
      <c r="A4" s="63" t="s">
        <v>16</v>
      </c>
      <c r="B4" s="63"/>
      <c r="C4" s="63"/>
      <c r="D4" s="63"/>
      <c r="E4" s="63"/>
      <c r="F4" s="63"/>
      <c r="G4" s="63"/>
      <c r="H4" s="63"/>
      <c r="I4" s="63"/>
      <c r="J4" s="63"/>
      <c r="K4" s="63"/>
      <c r="M4" s="16"/>
      <c r="N4" s="16"/>
      <c r="O4" s="16"/>
      <c r="P4" s="16"/>
      <c r="Q4" s="16"/>
      <c r="R4" s="16"/>
      <c r="S4" s="16"/>
      <c r="T4" s="5"/>
      <c r="U4" s="5"/>
      <c r="V4" s="5"/>
    </row>
    <row r="5" spans="1:24" s="8" customFormat="1" ht="17.25" customHeight="1">
      <c r="A5" s="19"/>
      <c r="B5" s="56"/>
      <c r="C5" s="64" t="s">
        <v>30</v>
      </c>
      <c r="D5" s="64"/>
      <c r="E5" s="64"/>
      <c r="F5" s="64"/>
      <c r="G5" s="64"/>
      <c r="H5" s="65" t="s">
        <v>31</v>
      </c>
      <c r="I5" s="65"/>
      <c r="J5" s="65"/>
      <c r="K5" s="20"/>
      <c r="L5" s="21"/>
      <c r="M5" s="22"/>
      <c r="N5" s="22"/>
      <c r="O5" s="22"/>
      <c r="P5" s="22"/>
      <c r="Q5" s="22"/>
      <c r="R5" s="22"/>
      <c r="S5" s="22"/>
      <c r="T5" s="5"/>
      <c r="U5" s="5"/>
      <c r="V5" s="5"/>
      <c r="W5" s="5"/>
      <c r="X5" s="5"/>
    </row>
    <row r="6" spans="1:24" s="2" customFormat="1" ht="24" customHeight="1">
      <c r="A6" s="23"/>
      <c r="B6" s="57" t="s">
        <v>32</v>
      </c>
      <c r="C6" s="58" t="s">
        <v>33</v>
      </c>
      <c r="D6" s="59" t="s">
        <v>5</v>
      </c>
      <c r="E6" s="59" t="s">
        <v>1</v>
      </c>
      <c r="F6" s="59" t="s">
        <v>34</v>
      </c>
      <c r="G6" s="59" t="s">
        <v>6</v>
      </c>
      <c r="H6" s="59" t="s">
        <v>7</v>
      </c>
      <c r="I6" s="59" t="s">
        <v>8</v>
      </c>
      <c r="J6" s="59" t="s">
        <v>9</v>
      </c>
      <c r="K6" s="50" t="s">
        <v>35</v>
      </c>
      <c r="L6" s="49"/>
      <c r="M6" s="49"/>
      <c r="N6" s="49"/>
      <c r="O6" s="49"/>
      <c r="P6" s="49"/>
      <c r="Q6" s="49"/>
      <c r="R6" s="49"/>
      <c r="S6" s="49"/>
      <c r="T6" s="5"/>
      <c r="U6" s="5"/>
      <c r="V6" s="5"/>
      <c r="W6" s="5"/>
      <c r="X6" s="5"/>
    </row>
    <row r="7" spans="1:24" s="11" customFormat="1" ht="25.5">
      <c r="A7" s="25" t="s">
        <v>17</v>
      </c>
      <c r="B7" s="26" t="s">
        <v>10</v>
      </c>
      <c r="C7" s="27" t="s">
        <v>36</v>
      </c>
      <c r="D7" s="26" t="s">
        <v>11</v>
      </c>
      <c r="E7" s="26" t="s">
        <v>0</v>
      </c>
      <c r="F7" s="28" t="s">
        <v>12</v>
      </c>
      <c r="G7" s="26" t="s">
        <v>13</v>
      </c>
      <c r="H7" s="26" t="s">
        <v>37</v>
      </c>
      <c r="I7" s="27" t="s">
        <v>14</v>
      </c>
      <c r="J7" s="27" t="s">
        <v>15</v>
      </c>
      <c r="K7" s="51"/>
      <c r="L7" s="24"/>
      <c r="M7" s="29"/>
      <c r="N7" s="29"/>
      <c r="O7" s="29"/>
      <c r="P7" s="29"/>
      <c r="Q7" s="29"/>
      <c r="R7" s="29"/>
      <c r="S7" s="29"/>
      <c r="T7" s="10"/>
      <c r="U7" s="10"/>
      <c r="V7" s="10"/>
      <c r="W7" s="10"/>
      <c r="X7" s="10"/>
    </row>
    <row r="8" spans="1:24" s="8" customFormat="1" ht="15.75">
      <c r="A8" s="30" t="s">
        <v>10</v>
      </c>
      <c r="B8" s="31">
        <f t="shared" ref="B8:B21" si="0">SUM(C8:J8)</f>
        <v>148582.96918261523</v>
      </c>
      <c r="C8" s="31">
        <f t="shared" ref="C8:J8" si="1">SUM(C9:C21)</f>
        <v>103870.66972179376</v>
      </c>
      <c r="D8" s="31">
        <f t="shared" si="1"/>
        <v>42704.576500856783</v>
      </c>
      <c r="E8" s="31">
        <f t="shared" si="1"/>
        <v>212.68961995324838</v>
      </c>
      <c r="F8" s="31">
        <f t="shared" si="1"/>
        <v>0</v>
      </c>
      <c r="G8" s="31">
        <f t="shared" si="1"/>
        <v>3.2111469335556508</v>
      </c>
      <c r="H8" s="31">
        <f t="shared" si="1"/>
        <v>7.0504098873260022</v>
      </c>
      <c r="I8" s="31">
        <f t="shared" si="1"/>
        <v>88.162762023225255</v>
      </c>
      <c r="J8" s="31">
        <f t="shared" si="1"/>
        <v>1696.6090211673277</v>
      </c>
      <c r="K8" s="52" t="s">
        <v>4</v>
      </c>
      <c r="L8" s="24"/>
      <c r="M8" s="24"/>
      <c r="N8" s="24"/>
      <c r="O8" s="24"/>
      <c r="P8" s="24"/>
      <c r="Q8" s="24"/>
      <c r="R8" s="24"/>
      <c r="S8" s="24"/>
      <c r="T8" s="5"/>
      <c r="U8" s="5"/>
      <c r="V8" s="5"/>
      <c r="W8" s="5"/>
      <c r="X8" s="5"/>
    </row>
    <row r="9" spans="1:24" s="8" customFormat="1" ht="15.75" hidden="1">
      <c r="A9" s="30" t="s">
        <v>2</v>
      </c>
      <c r="B9" s="31">
        <f t="shared" si="0"/>
        <v>0</v>
      </c>
      <c r="C9" s="32"/>
      <c r="D9" s="32"/>
      <c r="E9" s="32"/>
      <c r="F9" s="32"/>
      <c r="G9" s="47"/>
      <c r="H9" s="47"/>
      <c r="I9" s="47"/>
      <c r="J9" s="32"/>
      <c r="K9" s="53" t="s">
        <v>51</v>
      </c>
      <c r="L9" s="24"/>
      <c r="M9" s="24"/>
      <c r="N9" s="24"/>
      <c r="O9" s="24"/>
      <c r="P9" s="24"/>
      <c r="Q9" s="24"/>
      <c r="R9" s="24"/>
      <c r="S9" s="24"/>
      <c r="T9" s="5"/>
      <c r="U9" s="5"/>
      <c r="V9" s="5"/>
      <c r="W9" s="5"/>
      <c r="X9" s="5"/>
    </row>
    <row r="10" spans="1:24" s="8" customFormat="1" ht="17.25">
      <c r="A10" s="33" t="s">
        <v>18</v>
      </c>
      <c r="B10" s="31">
        <f t="shared" si="0"/>
        <v>8261.400398855134</v>
      </c>
      <c r="C10" s="34">
        <v>4464.7685267891275</v>
      </c>
      <c r="D10" s="34">
        <v>3593.5103312749793</v>
      </c>
      <c r="E10" s="34">
        <v>17.559323632542597</v>
      </c>
      <c r="F10" s="34">
        <v>0</v>
      </c>
      <c r="G10" s="34">
        <v>5.4256094171760597E-2</v>
      </c>
      <c r="H10" s="34">
        <v>1.7207659367162444</v>
      </c>
      <c r="I10" s="34">
        <v>20.632236211166266</v>
      </c>
      <c r="J10" s="34">
        <v>163.15495891643221</v>
      </c>
      <c r="K10" s="54" t="s">
        <v>38</v>
      </c>
      <c r="L10" s="24"/>
      <c r="M10" s="24"/>
      <c r="N10" s="35"/>
      <c r="O10" s="35"/>
      <c r="P10" s="35"/>
      <c r="Q10" s="35"/>
      <c r="R10" s="35"/>
      <c r="S10" s="35"/>
      <c r="T10" s="5"/>
      <c r="U10" s="5"/>
      <c r="V10" s="5"/>
      <c r="W10" s="5"/>
      <c r="X10" s="5"/>
    </row>
    <row r="11" spans="1:24" s="8" customFormat="1" ht="17.25">
      <c r="A11" s="33" t="s">
        <v>19</v>
      </c>
      <c r="B11" s="31">
        <f t="shared" si="0"/>
        <v>12845.465682601467</v>
      </c>
      <c r="C11" s="34">
        <v>8043.9272903592437</v>
      </c>
      <c r="D11" s="34">
        <v>4583.4719594464941</v>
      </c>
      <c r="E11" s="34">
        <v>9.7644014479740413</v>
      </c>
      <c r="F11" s="34">
        <v>0</v>
      </c>
      <c r="G11" s="34">
        <v>2.204153825727774E-2</v>
      </c>
      <c r="H11" s="34">
        <v>0.50898998344882906</v>
      </c>
      <c r="I11" s="34">
        <v>34.325457078352933</v>
      </c>
      <c r="J11" s="34">
        <v>173.4455427476957</v>
      </c>
      <c r="K11" s="54" t="s">
        <v>39</v>
      </c>
      <c r="L11" s="24"/>
      <c r="M11" s="24"/>
      <c r="N11" s="35"/>
      <c r="O11" s="35"/>
      <c r="P11" s="35"/>
      <c r="Q11" s="35"/>
      <c r="R11" s="35"/>
      <c r="S11" s="35"/>
      <c r="T11" s="5"/>
      <c r="U11" s="5"/>
      <c r="V11" s="5"/>
      <c r="W11" s="5"/>
      <c r="X11" s="5"/>
    </row>
    <row r="12" spans="1:24" s="8" customFormat="1" ht="17.25">
      <c r="A12" s="33" t="s">
        <v>20</v>
      </c>
      <c r="B12" s="31">
        <f t="shared" si="0"/>
        <v>18426.100647688832</v>
      </c>
      <c r="C12" s="34">
        <v>12086.517245967261</v>
      </c>
      <c r="D12" s="34">
        <v>6214.3687630227741</v>
      </c>
      <c r="E12" s="34">
        <v>15.300218556436489</v>
      </c>
      <c r="F12" s="34">
        <v>0</v>
      </c>
      <c r="G12" s="34">
        <v>3.7301064743085408E-2</v>
      </c>
      <c r="H12" s="34">
        <v>3.3910058857350371E-2</v>
      </c>
      <c r="I12" s="34">
        <v>4.7548684529776706</v>
      </c>
      <c r="J12" s="34">
        <v>105.0883405657828</v>
      </c>
      <c r="K12" s="54" t="s">
        <v>40</v>
      </c>
      <c r="L12" s="24"/>
      <c r="M12" s="24"/>
      <c r="N12" s="35"/>
      <c r="O12" s="35"/>
      <c r="P12" s="35"/>
      <c r="Q12" s="35"/>
      <c r="R12" s="35"/>
      <c r="S12" s="35"/>
      <c r="T12" s="5"/>
      <c r="U12" s="5"/>
      <c r="V12" s="5"/>
      <c r="W12" s="5"/>
      <c r="X12" s="5"/>
    </row>
    <row r="13" spans="1:24" s="8" customFormat="1" ht="17.25">
      <c r="A13" s="33" t="s">
        <v>21</v>
      </c>
      <c r="B13" s="31">
        <f t="shared" si="0"/>
        <v>10145.875757860178</v>
      </c>
      <c r="C13" s="34">
        <v>6624.1173817143499</v>
      </c>
      <c r="D13" s="34">
        <v>3497.2642928816922</v>
      </c>
      <c r="E13" s="34">
        <v>2.1973718139563041</v>
      </c>
      <c r="F13" s="34">
        <v>0</v>
      </c>
      <c r="G13" s="34">
        <v>3.8996567685952929E-2</v>
      </c>
      <c r="H13" s="34">
        <v>0.12377171482932886</v>
      </c>
      <c r="I13" s="34">
        <v>5.490038529005024</v>
      </c>
      <c r="J13" s="34">
        <v>16.643904638658992</v>
      </c>
      <c r="K13" s="54" t="s">
        <v>41</v>
      </c>
      <c r="L13" s="35"/>
      <c r="M13" s="24"/>
      <c r="N13" s="35"/>
      <c r="O13" s="35"/>
      <c r="P13" s="35"/>
      <c r="Q13" s="35"/>
      <c r="R13" s="35"/>
      <c r="S13" s="35"/>
      <c r="T13" s="5"/>
      <c r="U13" s="5"/>
      <c r="V13" s="5"/>
      <c r="W13" s="5"/>
      <c r="X13" s="5"/>
    </row>
    <row r="14" spans="1:24" s="8" customFormat="1" ht="17.25">
      <c r="A14" s="33" t="s">
        <v>22</v>
      </c>
      <c r="B14" s="31">
        <f t="shared" si="0"/>
        <v>4305.5186163406497</v>
      </c>
      <c r="C14" s="34">
        <v>3574.0315626708784</v>
      </c>
      <c r="D14" s="34">
        <v>717.79281550081851</v>
      </c>
      <c r="E14" s="34">
        <v>1.5615582103809849</v>
      </c>
      <c r="F14" s="34">
        <v>0</v>
      </c>
      <c r="G14" s="34">
        <v>0</v>
      </c>
      <c r="H14" s="34">
        <v>0</v>
      </c>
      <c r="I14" s="34">
        <v>0.57613189998638281</v>
      </c>
      <c r="J14" s="34">
        <v>11.556548058585008</v>
      </c>
      <c r="K14" s="54" t="s">
        <v>42</v>
      </c>
      <c r="L14" s="35"/>
      <c r="M14" s="24"/>
      <c r="N14" s="35"/>
      <c r="O14" s="35"/>
      <c r="P14" s="35"/>
      <c r="Q14" s="35"/>
      <c r="R14" s="35"/>
      <c r="S14" s="35"/>
      <c r="T14" s="5"/>
      <c r="U14" s="5"/>
      <c r="V14" s="5"/>
      <c r="W14" s="5"/>
      <c r="X14" s="5"/>
    </row>
    <row r="15" spans="1:24" s="8" customFormat="1" ht="17.25">
      <c r="A15" s="33" t="s">
        <v>23</v>
      </c>
      <c r="B15" s="31">
        <f t="shared" si="0"/>
        <v>6833.2970732054773</v>
      </c>
      <c r="C15" s="34">
        <v>5287.7597549067932</v>
      </c>
      <c r="D15" s="34">
        <v>1518.9682785330665</v>
      </c>
      <c r="E15" s="34">
        <v>8.6979300969103708</v>
      </c>
      <c r="F15" s="34">
        <v>0</v>
      </c>
      <c r="G15" s="34">
        <v>0</v>
      </c>
      <c r="H15" s="34">
        <v>0</v>
      </c>
      <c r="I15" s="34">
        <v>1.9888249519835992</v>
      </c>
      <c r="J15" s="34">
        <v>15.882284716722905</v>
      </c>
      <c r="K15" s="54" t="s">
        <v>43</v>
      </c>
      <c r="L15" s="35"/>
      <c r="M15" s="24"/>
      <c r="N15" s="35"/>
      <c r="O15" s="35"/>
      <c r="P15" s="35"/>
      <c r="Q15" s="35"/>
      <c r="R15" s="35"/>
      <c r="S15" s="35"/>
      <c r="T15" s="5"/>
      <c r="U15" s="5"/>
      <c r="V15" s="5"/>
      <c r="W15" s="5"/>
      <c r="X15" s="5"/>
    </row>
    <row r="16" spans="1:24" s="2" customFormat="1" ht="17.25">
      <c r="A16" s="33" t="s">
        <v>24</v>
      </c>
      <c r="B16" s="31">
        <f t="shared" si="0"/>
        <v>10429.304456439548</v>
      </c>
      <c r="C16" s="34">
        <v>7725.3136842597769</v>
      </c>
      <c r="D16" s="34">
        <v>2640.1915566491084</v>
      </c>
      <c r="E16" s="34">
        <v>2.9244373859167525</v>
      </c>
      <c r="F16" s="34">
        <v>0</v>
      </c>
      <c r="G16" s="34">
        <v>0</v>
      </c>
      <c r="H16" s="34">
        <v>0.33570958268776868</v>
      </c>
      <c r="I16" s="34">
        <v>0.67141916537553736</v>
      </c>
      <c r="J16" s="34">
        <v>59.867649396680939</v>
      </c>
      <c r="K16" s="54" t="s">
        <v>44</v>
      </c>
      <c r="L16" s="35"/>
      <c r="M16" s="24"/>
      <c r="N16" s="35"/>
      <c r="O16" s="35"/>
      <c r="P16" s="35"/>
      <c r="Q16" s="35"/>
      <c r="R16" s="35"/>
      <c r="S16" s="35"/>
      <c r="T16" s="5"/>
      <c r="U16" s="5"/>
      <c r="V16" s="5"/>
      <c r="W16" s="5"/>
      <c r="X16" s="5"/>
    </row>
    <row r="17" spans="1:19" s="2" customFormat="1" ht="17.25">
      <c r="A17" s="33" t="s">
        <v>25</v>
      </c>
      <c r="B17" s="31">
        <f t="shared" si="0"/>
        <v>12848.428506174001</v>
      </c>
      <c r="C17" s="34">
        <v>9275.1948471880387</v>
      </c>
      <c r="D17" s="34">
        <v>3350.6723631135446</v>
      </c>
      <c r="E17" s="34">
        <v>3.9301758215669076</v>
      </c>
      <c r="F17" s="34">
        <v>0</v>
      </c>
      <c r="G17" s="34">
        <v>0.92574460680566517</v>
      </c>
      <c r="H17" s="34">
        <v>1.1258139540640324</v>
      </c>
      <c r="I17" s="34">
        <v>4.4049166455698128</v>
      </c>
      <c r="J17" s="34">
        <v>212.17464484441126</v>
      </c>
      <c r="K17" s="54" t="s">
        <v>45</v>
      </c>
      <c r="L17" s="35"/>
      <c r="M17" s="24"/>
      <c r="N17" s="35"/>
      <c r="O17" s="35"/>
      <c r="P17" s="35"/>
      <c r="Q17" s="35"/>
      <c r="R17" s="35"/>
      <c r="S17" s="35"/>
    </row>
    <row r="18" spans="1:19" s="2" customFormat="1" ht="17.25">
      <c r="A18" s="33" t="s">
        <v>26</v>
      </c>
      <c r="B18" s="31">
        <f t="shared" si="0"/>
        <v>13847.21726176666</v>
      </c>
      <c r="C18" s="34">
        <v>9629.606030795987</v>
      </c>
      <c r="D18" s="34">
        <v>3955.8753565583306</v>
      </c>
      <c r="E18" s="34">
        <v>30.368187119758979</v>
      </c>
      <c r="F18" s="34">
        <v>0</v>
      </c>
      <c r="G18" s="34">
        <v>0.8086192635123769</v>
      </c>
      <c r="H18" s="34">
        <v>0.54934295348907602</v>
      </c>
      <c r="I18" s="34">
        <v>4.3659200778838603</v>
      </c>
      <c r="J18" s="34">
        <v>225.64380499769794</v>
      </c>
      <c r="K18" s="54" t="s">
        <v>46</v>
      </c>
      <c r="L18" s="35"/>
      <c r="M18" s="24"/>
      <c r="N18" s="35"/>
      <c r="O18" s="35"/>
      <c r="P18" s="35"/>
      <c r="Q18" s="35"/>
      <c r="R18" s="35"/>
      <c r="S18" s="35"/>
    </row>
    <row r="19" spans="1:19" s="2" customFormat="1" ht="17.25">
      <c r="A19" s="33" t="s">
        <v>27</v>
      </c>
      <c r="B19" s="31">
        <f t="shared" si="0"/>
        <v>13827.910552801202</v>
      </c>
      <c r="C19" s="34">
        <v>9512.0217318110954</v>
      </c>
      <c r="D19" s="34">
        <v>4094.5827737664131</v>
      </c>
      <c r="E19" s="34">
        <v>44.120631904739987</v>
      </c>
      <c r="F19" s="34">
        <v>0</v>
      </c>
      <c r="G19" s="34">
        <v>0.34588260034497381</v>
      </c>
      <c r="H19" s="34">
        <v>1.1617586164528237</v>
      </c>
      <c r="I19" s="34">
        <v>6.4971672770683302</v>
      </c>
      <c r="J19" s="34">
        <v>169.180606825089</v>
      </c>
      <c r="K19" s="54" t="s">
        <v>47</v>
      </c>
      <c r="L19" s="35"/>
      <c r="M19" s="24"/>
      <c r="N19" s="35"/>
      <c r="O19" s="35"/>
      <c r="P19" s="35"/>
      <c r="Q19" s="35"/>
      <c r="R19" s="35"/>
      <c r="S19" s="35"/>
    </row>
    <row r="20" spans="1:19" s="2" customFormat="1" ht="17.25">
      <c r="A20" s="33" t="s">
        <v>28</v>
      </c>
      <c r="B20" s="31">
        <f t="shared" si="0"/>
        <v>18874.862941691026</v>
      </c>
      <c r="C20" s="34">
        <v>13176.565040192292</v>
      </c>
      <c r="D20" s="34">
        <v>5363.4452938184095</v>
      </c>
      <c r="E20" s="34">
        <v>37.09906252247216</v>
      </c>
      <c r="F20" s="34">
        <v>0</v>
      </c>
      <c r="G20" s="34">
        <v>0.63242259768958442</v>
      </c>
      <c r="H20" s="34">
        <v>0.61885857414664436</v>
      </c>
      <c r="I20" s="34">
        <v>3.3672688445348915</v>
      </c>
      <c r="J20" s="34">
        <v>293.13499514148242</v>
      </c>
      <c r="K20" s="54" t="s">
        <v>48</v>
      </c>
      <c r="L20" s="35"/>
      <c r="M20" s="24"/>
      <c r="N20" s="35"/>
      <c r="O20" s="35"/>
      <c r="P20" s="35"/>
      <c r="Q20" s="35"/>
      <c r="R20" s="35"/>
      <c r="S20" s="35"/>
    </row>
    <row r="21" spans="1:19" s="2" customFormat="1" ht="17.25">
      <c r="A21" s="36" t="s">
        <v>29</v>
      </c>
      <c r="B21" s="37">
        <f t="shared" si="0"/>
        <v>17937.587287191047</v>
      </c>
      <c r="C21" s="38">
        <v>14470.846625138915</v>
      </c>
      <c r="D21" s="38">
        <v>3174.4327162911509</v>
      </c>
      <c r="E21" s="38">
        <v>39.166321440592803</v>
      </c>
      <c r="F21" s="38">
        <v>0</v>
      </c>
      <c r="G21" s="38">
        <v>0.34588260034497381</v>
      </c>
      <c r="H21" s="38">
        <v>0.87148851263390448</v>
      </c>
      <c r="I21" s="38">
        <v>1.0885128893209468</v>
      </c>
      <c r="J21" s="38">
        <v>250.83574031808843</v>
      </c>
      <c r="K21" s="55" t="s">
        <v>49</v>
      </c>
      <c r="L21" s="39"/>
      <c r="M21" s="24"/>
      <c r="N21" s="39"/>
      <c r="O21" s="39"/>
      <c r="P21" s="39"/>
      <c r="Q21" s="39"/>
      <c r="R21" s="39"/>
      <c r="S21" s="39"/>
    </row>
    <row r="22" spans="1:19" s="2" customFormat="1" ht="17.25">
      <c r="A22" s="6" t="s">
        <v>52</v>
      </c>
      <c r="B22" s="40"/>
      <c r="C22" s="40"/>
      <c r="D22" s="40"/>
      <c r="E22" s="40"/>
      <c r="F22" s="40"/>
      <c r="G22" s="40"/>
      <c r="H22" s="40"/>
      <c r="I22" s="40"/>
      <c r="K22" s="4" t="s">
        <v>50</v>
      </c>
      <c r="L22" s="35"/>
      <c r="M22" s="35"/>
      <c r="N22" s="35"/>
      <c r="O22" s="35"/>
      <c r="P22" s="35"/>
      <c r="Q22" s="35"/>
      <c r="R22" s="35"/>
      <c r="S22" s="35"/>
    </row>
    <row r="23" spans="1:19" s="2" customFormat="1" ht="15.75">
      <c r="A23" s="6"/>
      <c r="B23" s="40"/>
      <c r="C23" s="40"/>
      <c r="D23" s="40"/>
      <c r="E23" s="40"/>
      <c r="F23" s="40"/>
      <c r="G23" s="40"/>
      <c r="H23" s="40"/>
      <c r="I23" s="40"/>
      <c r="K23" s="41"/>
      <c r="L23" s="35"/>
      <c r="M23" s="35"/>
      <c r="N23" s="35"/>
      <c r="O23" s="35"/>
      <c r="P23" s="35"/>
      <c r="Q23" s="35"/>
      <c r="R23" s="35"/>
      <c r="S23" s="35"/>
    </row>
    <row r="24" spans="1:19" s="2" customFormat="1" ht="15.75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4"/>
      <c r="L24" s="35"/>
      <c r="M24" s="35"/>
      <c r="N24" s="35"/>
      <c r="O24" s="35"/>
      <c r="P24" s="35"/>
      <c r="Q24" s="35"/>
      <c r="R24" s="35"/>
      <c r="S24" s="35"/>
    </row>
    <row r="25" spans="1:19" ht="15">
      <c r="A25" s="9"/>
      <c r="B25" s="9"/>
      <c r="C25" s="9"/>
      <c r="D25" s="9"/>
      <c r="E25" s="45"/>
      <c r="F25" s="45"/>
      <c r="G25" s="9"/>
      <c r="H25" s="45"/>
      <c r="I25" s="45"/>
      <c r="J25" s="9"/>
      <c r="K25" s="46"/>
    </row>
    <row r="26" spans="1:19">
      <c r="A26" s="9"/>
      <c r="B26" s="9"/>
      <c r="C26" s="9"/>
      <c r="D26" s="9"/>
      <c r="E26" s="45"/>
      <c r="F26" s="45"/>
      <c r="G26" s="9"/>
      <c r="H26" s="45"/>
      <c r="I26" s="45"/>
      <c r="J26" s="9"/>
      <c r="K26" s="9"/>
    </row>
    <row r="27" spans="1:19" ht="18.75">
      <c r="A27" s="60" t="s">
        <v>53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</row>
    <row r="28" spans="1:19" ht="15">
      <c r="A28" s="61" t="s">
        <v>54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</row>
    <row r="29" spans="1:19" ht="15.75">
      <c r="A29" s="62" t="s">
        <v>3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</row>
    <row r="30" spans="1:19">
      <c r="A30" s="63" t="s">
        <v>16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</row>
    <row r="31" spans="1:19" ht="15.75">
      <c r="A31" s="19"/>
      <c r="B31" s="56"/>
      <c r="C31" s="64" t="s">
        <v>30</v>
      </c>
      <c r="D31" s="64"/>
      <c r="E31" s="64"/>
      <c r="F31" s="64"/>
      <c r="G31" s="64"/>
      <c r="H31" s="65" t="s">
        <v>31</v>
      </c>
      <c r="I31" s="65"/>
      <c r="J31" s="65"/>
      <c r="K31" s="20"/>
    </row>
    <row r="32" spans="1:19" ht="28.5">
      <c r="A32" s="23"/>
      <c r="B32" s="57" t="s">
        <v>32</v>
      </c>
      <c r="C32" s="58" t="s">
        <v>33</v>
      </c>
      <c r="D32" s="59" t="s">
        <v>5</v>
      </c>
      <c r="E32" s="59" t="s">
        <v>1</v>
      </c>
      <c r="F32" s="59" t="s">
        <v>34</v>
      </c>
      <c r="G32" s="59" t="s">
        <v>6</v>
      </c>
      <c r="H32" s="59" t="s">
        <v>7</v>
      </c>
      <c r="I32" s="59" t="s">
        <v>8</v>
      </c>
      <c r="J32" s="59" t="s">
        <v>9</v>
      </c>
      <c r="K32" s="50" t="s">
        <v>35</v>
      </c>
    </row>
    <row r="33" spans="1:11" ht="25.5">
      <c r="A33" s="25" t="s">
        <v>17</v>
      </c>
      <c r="B33" s="26" t="s">
        <v>10</v>
      </c>
      <c r="C33" s="27" t="s">
        <v>36</v>
      </c>
      <c r="D33" s="26" t="s">
        <v>11</v>
      </c>
      <c r="E33" s="26" t="s">
        <v>0</v>
      </c>
      <c r="F33" s="28" t="s">
        <v>12</v>
      </c>
      <c r="G33" s="26" t="s">
        <v>13</v>
      </c>
      <c r="H33" s="26" t="s">
        <v>37</v>
      </c>
      <c r="I33" s="27" t="s">
        <v>14</v>
      </c>
      <c r="J33" s="27" t="s">
        <v>15</v>
      </c>
      <c r="K33" s="51"/>
    </row>
    <row r="34" spans="1:11" ht="15.75">
      <c r="A34" s="30" t="s">
        <v>10</v>
      </c>
      <c r="B34" s="31">
        <f t="shared" ref="B34:B47" si="2">SUM(C34:J34)</f>
        <v>135068.92557018774</v>
      </c>
      <c r="C34" s="31">
        <f t="shared" ref="C34:J34" si="3">SUM(C35:C47)</f>
        <v>88019.666239199287</v>
      </c>
      <c r="D34" s="31">
        <f t="shared" si="3"/>
        <v>44423.897166028532</v>
      </c>
      <c r="E34" s="31">
        <f t="shared" si="3"/>
        <v>395.98115232852712</v>
      </c>
      <c r="F34" s="31">
        <f t="shared" si="3"/>
        <v>4.1649999999999991</v>
      </c>
      <c r="G34" s="31">
        <f t="shared" si="3"/>
        <v>3.3175771206069236</v>
      </c>
      <c r="H34" s="31">
        <f t="shared" si="3"/>
        <v>45.756334734952461</v>
      </c>
      <c r="I34" s="31">
        <f t="shared" si="3"/>
        <v>132.90904725091951</v>
      </c>
      <c r="J34" s="31">
        <f t="shared" si="3"/>
        <v>2043.233053524893</v>
      </c>
      <c r="K34" s="52" t="s">
        <v>4</v>
      </c>
    </row>
    <row r="35" spans="1:11" ht="15.75">
      <c r="A35" s="30" t="s">
        <v>2</v>
      </c>
      <c r="B35" s="31">
        <f t="shared" si="2"/>
        <v>699.67705000000001</v>
      </c>
      <c r="C35" s="32">
        <v>1.458</v>
      </c>
      <c r="D35" s="32">
        <v>479.21350000000007</v>
      </c>
      <c r="E35" s="32">
        <v>83.596549999999993</v>
      </c>
      <c r="F35" s="32">
        <v>4.1649999999999991</v>
      </c>
      <c r="G35" s="47">
        <v>0</v>
      </c>
      <c r="H35" s="47">
        <v>0</v>
      </c>
      <c r="I35" s="47">
        <v>0</v>
      </c>
      <c r="J35" s="32">
        <v>131.24399999999997</v>
      </c>
      <c r="K35" s="53" t="s">
        <v>51</v>
      </c>
    </row>
    <row r="36" spans="1:11" ht="17.25">
      <c r="A36" s="33" t="s">
        <v>18</v>
      </c>
      <c r="B36" s="31">
        <f t="shared" si="2"/>
        <v>9441.6519042341788</v>
      </c>
      <c r="C36" s="34">
        <v>5146.33382999071</v>
      </c>
      <c r="D36" s="34">
        <v>4025.9585497036242</v>
      </c>
      <c r="E36" s="34">
        <v>35.14668229518994</v>
      </c>
      <c r="F36" s="47">
        <v>0</v>
      </c>
      <c r="G36" s="34">
        <v>0.32055028066119129</v>
      </c>
      <c r="H36" s="34">
        <v>4.3601048092333361</v>
      </c>
      <c r="I36" s="34">
        <v>6.6552625614029264</v>
      </c>
      <c r="J36" s="34">
        <v>222.87692459335759</v>
      </c>
      <c r="K36" s="54" t="s">
        <v>38</v>
      </c>
    </row>
    <row r="37" spans="1:11" ht="17.25">
      <c r="A37" s="33" t="s">
        <v>19</v>
      </c>
      <c r="B37" s="31">
        <f t="shared" si="2"/>
        <v>13126.517464671266</v>
      </c>
      <c r="C37" s="34">
        <v>8958.6709347724664</v>
      </c>
      <c r="D37" s="34">
        <v>4052.9453705089745</v>
      </c>
      <c r="E37" s="34">
        <v>43.893801577439056</v>
      </c>
      <c r="F37" s="47">
        <v>0</v>
      </c>
      <c r="G37" s="34">
        <v>0.52784340496330862</v>
      </c>
      <c r="H37" s="34">
        <v>2.1106343433756947</v>
      </c>
      <c r="I37" s="34">
        <v>3.5523713298735156</v>
      </c>
      <c r="J37" s="34">
        <v>64.816508734175144</v>
      </c>
      <c r="K37" s="54" t="s">
        <v>39</v>
      </c>
    </row>
    <row r="38" spans="1:11" ht="17.25">
      <c r="A38" s="33" t="s">
        <v>20</v>
      </c>
      <c r="B38" s="31">
        <f t="shared" si="2"/>
        <v>15208.675210522131</v>
      </c>
      <c r="C38" s="34">
        <v>9570.172093133091</v>
      </c>
      <c r="D38" s="34">
        <v>5334.6857535902473</v>
      </c>
      <c r="E38" s="34">
        <v>83.919708624390665</v>
      </c>
      <c r="F38" s="47">
        <v>0</v>
      </c>
      <c r="G38" s="34">
        <v>0.15376950732824674</v>
      </c>
      <c r="H38" s="34">
        <v>5.2828697084983238</v>
      </c>
      <c r="I38" s="34">
        <v>3.0299985708440009</v>
      </c>
      <c r="J38" s="34">
        <v>211.43101738773171</v>
      </c>
      <c r="K38" s="54" t="s">
        <v>40</v>
      </c>
    </row>
    <row r="39" spans="1:11" ht="17.25">
      <c r="A39" s="33" t="s">
        <v>21</v>
      </c>
      <c r="B39" s="31">
        <f t="shared" si="2"/>
        <v>16386.6063878809</v>
      </c>
      <c r="C39" s="34">
        <v>12180.594299149532</v>
      </c>
      <c r="D39" s="34">
        <v>3948.6988969666772</v>
      </c>
      <c r="E39" s="34">
        <v>39.087779982483333</v>
      </c>
      <c r="F39" s="47">
        <v>0</v>
      </c>
      <c r="G39" s="34">
        <v>5.4706459337933944E-2</v>
      </c>
      <c r="H39" s="34">
        <v>9.885013636478142</v>
      </c>
      <c r="I39" s="34">
        <v>18.938341235724174</v>
      </c>
      <c r="J39" s="34">
        <v>189.34735045066731</v>
      </c>
      <c r="K39" s="54" t="s">
        <v>41</v>
      </c>
    </row>
    <row r="40" spans="1:11" ht="17.25">
      <c r="A40" s="33" t="s">
        <v>22</v>
      </c>
      <c r="B40" s="31">
        <f t="shared" si="2"/>
        <v>8758.740066108845</v>
      </c>
      <c r="C40" s="34">
        <v>6348.0965856570083</v>
      </c>
      <c r="D40" s="34">
        <v>2342.8158986246422</v>
      </c>
      <c r="E40" s="34">
        <v>7.1893158887775686</v>
      </c>
      <c r="F40" s="47">
        <v>0</v>
      </c>
      <c r="G40" s="34">
        <v>0.33267441489284155</v>
      </c>
      <c r="H40" s="34">
        <v>1.7486845799722828</v>
      </c>
      <c r="I40" s="34">
        <v>19.792944843760012</v>
      </c>
      <c r="J40" s="34">
        <v>38.763962099791435</v>
      </c>
      <c r="K40" s="54" t="s">
        <v>42</v>
      </c>
    </row>
    <row r="41" spans="1:11" ht="17.25">
      <c r="A41" s="33" t="s">
        <v>23</v>
      </c>
      <c r="B41" s="31">
        <f t="shared" si="2"/>
        <v>6403.4358210428309</v>
      </c>
      <c r="C41" s="34">
        <v>3966.8648288508871</v>
      </c>
      <c r="D41" s="34">
        <v>2266.4464861366168</v>
      </c>
      <c r="E41" s="34">
        <v>19.838779985367463</v>
      </c>
      <c r="F41" s="47">
        <v>0</v>
      </c>
      <c r="G41" s="34">
        <v>0.22326149621697366</v>
      </c>
      <c r="H41" s="34">
        <v>3.9048583543644195</v>
      </c>
      <c r="I41" s="34">
        <v>25.815978161571021</v>
      </c>
      <c r="J41" s="34">
        <v>120.34162805780694</v>
      </c>
      <c r="K41" s="54" t="s">
        <v>43</v>
      </c>
    </row>
    <row r="42" spans="1:11" ht="17.25">
      <c r="A42" s="33" t="s">
        <v>24</v>
      </c>
      <c r="B42" s="31">
        <f t="shared" si="2"/>
        <v>9626.1921859423455</v>
      </c>
      <c r="C42" s="34">
        <v>5574.1166664270331</v>
      </c>
      <c r="D42" s="34">
        <v>3787.4218298221854</v>
      </c>
      <c r="E42" s="34">
        <v>3.8294521536553763</v>
      </c>
      <c r="F42" s="47">
        <v>0</v>
      </c>
      <c r="G42" s="34">
        <v>0.21291162553141857</v>
      </c>
      <c r="H42" s="34">
        <v>2.337444366684859</v>
      </c>
      <c r="I42" s="34">
        <v>12.183128494557884</v>
      </c>
      <c r="J42" s="34">
        <v>246.09075305269587</v>
      </c>
      <c r="K42" s="54" t="s">
        <v>44</v>
      </c>
    </row>
    <row r="43" spans="1:11" ht="17.25">
      <c r="A43" s="33" t="s">
        <v>25</v>
      </c>
      <c r="B43" s="31">
        <f t="shared" si="2"/>
        <v>8785.0269118440792</v>
      </c>
      <c r="C43" s="34">
        <v>6305.2664550754416</v>
      </c>
      <c r="D43" s="34">
        <v>2360.8632123071193</v>
      </c>
      <c r="E43" s="34">
        <v>8.3362294160325767</v>
      </c>
      <c r="F43" s="47">
        <v>0</v>
      </c>
      <c r="G43" s="34">
        <v>2.3656847281268732E-2</v>
      </c>
      <c r="H43" s="34">
        <v>3.0786429630661094</v>
      </c>
      <c r="I43" s="34">
        <v>1.3806727494530464</v>
      </c>
      <c r="J43" s="34">
        <v>106.07804248568655</v>
      </c>
      <c r="K43" s="54" t="s">
        <v>45</v>
      </c>
    </row>
    <row r="44" spans="1:11" ht="17.25">
      <c r="A44" s="33" t="s">
        <v>26</v>
      </c>
      <c r="B44" s="31">
        <f t="shared" si="2"/>
        <v>12909.522650218742</v>
      </c>
      <c r="C44" s="34">
        <v>9148.5764093926045</v>
      </c>
      <c r="D44" s="34">
        <v>3534.3723276383721</v>
      </c>
      <c r="E44" s="34">
        <v>6.4642335196066814</v>
      </c>
      <c r="F44" s="47">
        <v>0</v>
      </c>
      <c r="G44" s="34">
        <v>1.0926506338035995</v>
      </c>
      <c r="H44" s="34">
        <v>0.8171962182723268</v>
      </c>
      <c r="I44" s="34">
        <v>0.98589911044687439</v>
      </c>
      <c r="J44" s="34">
        <v>217.21393370563783</v>
      </c>
      <c r="K44" s="54" t="s">
        <v>46</v>
      </c>
    </row>
    <row r="45" spans="1:11" ht="17.25">
      <c r="A45" s="33" t="s">
        <v>27</v>
      </c>
      <c r="B45" s="31">
        <f t="shared" si="2"/>
        <v>14183.756064596068</v>
      </c>
      <c r="C45" s="34">
        <v>8306.0498880333944</v>
      </c>
      <c r="D45" s="34">
        <v>5605.7757737155953</v>
      </c>
      <c r="E45" s="34">
        <v>37.279554075010019</v>
      </c>
      <c r="F45" s="47">
        <v>0</v>
      </c>
      <c r="G45" s="34">
        <v>0.14341963664269169</v>
      </c>
      <c r="H45" s="34">
        <v>3.2705591366354025</v>
      </c>
      <c r="I45" s="34">
        <v>5.8175144570549975</v>
      </c>
      <c r="J45" s="34">
        <v>225.41935554173463</v>
      </c>
      <c r="K45" s="54" t="s">
        <v>47</v>
      </c>
    </row>
    <row r="46" spans="1:11" ht="17.25">
      <c r="A46" s="33" t="s">
        <v>28</v>
      </c>
      <c r="B46" s="31">
        <f t="shared" si="2"/>
        <v>11174.435514952173</v>
      </c>
      <c r="C46" s="34">
        <v>7228.0146762631102</v>
      </c>
      <c r="D46" s="34">
        <v>3769.852222219849</v>
      </c>
      <c r="E46" s="34">
        <v>19.602655078441302</v>
      </c>
      <c r="F46" s="47">
        <v>0</v>
      </c>
      <c r="G46" s="34">
        <v>0.18925477825014986</v>
      </c>
      <c r="H46" s="34">
        <v>6.765858322442857</v>
      </c>
      <c r="I46" s="34">
        <v>15.079761588853744</v>
      </c>
      <c r="J46" s="34">
        <v>134.93108670122683</v>
      </c>
      <c r="K46" s="54" t="s">
        <v>48</v>
      </c>
    </row>
    <row r="47" spans="1:11" ht="17.25">
      <c r="A47" s="36" t="s">
        <v>29</v>
      </c>
      <c r="B47" s="37">
        <f t="shared" si="2"/>
        <v>8364.68833817417</v>
      </c>
      <c r="C47" s="38">
        <v>5285.4515724540261</v>
      </c>
      <c r="D47" s="38">
        <v>2914.8473447946271</v>
      </c>
      <c r="E47" s="38">
        <v>7.7964097321331263</v>
      </c>
      <c r="F47" s="48">
        <v>0</v>
      </c>
      <c r="G47" s="38">
        <v>4.2878035697299581E-2</v>
      </c>
      <c r="H47" s="38">
        <v>2.1944682959286905</v>
      </c>
      <c r="I47" s="38">
        <v>19.677174147377301</v>
      </c>
      <c r="J47" s="38">
        <v>134.67849071438113</v>
      </c>
      <c r="K47" s="55" t="s">
        <v>49</v>
      </c>
    </row>
    <row r="48" spans="1:11" ht="17.25">
      <c r="A48" s="6" t="s">
        <v>52</v>
      </c>
      <c r="B48" s="40"/>
      <c r="C48" s="40"/>
      <c r="D48" s="40"/>
      <c r="E48" s="40"/>
      <c r="F48" s="40"/>
      <c r="G48" s="40"/>
      <c r="H48" s="40"/>
      <c r="I48" s="40"/>
      <c r="J48" s="2"/>
      <c r="K48" s="4" t="s">
        <v>50</v>
      </c>
    </row>
  </sheetData>
  <mergeCells count="12">
    <mergeCell ref="A1:K1"/>
    <mergeCell ref="A2:K2"/>
    <mergeCell ref="A3:K3"/>
    <mergeCell ref="A4:K4"/>
    <mergeCell ref="C5:G5"/>
    <mergeCell ref="H5:J5"/>
    <mergeCell ref="A27:K27"/>
    <mergeCell ref="A28:K28"/>
    <mergeCell ref="A29:K29"/>
    <mergeCell ref="A30:K30"/>
    <mergeCell ref="C31:G31"/>
    <mergeCell ref="H31:J31"/>
  </mergeCells>
  <pageMargins left="0.7" right="0.7" top="0.75" bottom="0.75" header="0.3" footer="0.3"/>
  <pageSetup paperSize="9" scale="63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9.5</vt:lpstr>
      <vt:lpstr>'9.5'!Print_Area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2021-07-14T08:14:27Z</cp:lastPrinted>
  <dcterms:created xsi:type="dcterms:W3CDTF">2019-09-09T05:11:24Z</dcterms:created>
  <dcterms:modified xsi:type="dcterms:W3CDTF">2021-07-14T08:14:55Z</dcterms:modified>
</cp:coreProperties>
</file>