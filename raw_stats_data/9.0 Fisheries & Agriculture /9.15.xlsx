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xl/drawings/drawing4.xml" ContentType="application/vnd.openxmlformats-officedocument.drawing+xml"/>
  <Override PartName="/xl/charts/chart14.xml" ContentType="application/vnd.openxmlformats-officedocument.drawingml.chart+xml"/>
  <Override PartName="/xl/charts/style1.xml" ContentType="application/vnd.ms-office.chartstyle+xml"/>
  <Override PartName="/xl/charts/colors1.xml" ContentType="application/vnd.ms-office.chartcolorstyle+xml"/>
  <Override PartName="/xl/charts/chart15.xml" ContentType="application/vnd.openxmlformats-officedocument.drawingml.chart+xml"/>
  <Override PartName="/xl/drawings/drawing5.xml" ContentType="application/vnd.openxmlformats-officedocument.drawing+xml"/>
  <Override PartName="/xl/charts/chart16.xml" ContentType="application/vnd.openxmlformats-officedocument.drawingml.chart+xml"/>
  <Override PartName="/xl/drawings/drawing6.xml" ContentType="application/vnd.openxmlformats-officedocument.drawing+xml"/>
  <Override PartName="/xl/charts/chart17.xml" ContentType="application/vnd.openxmlformats-officedocument.drawingml.chart+xml"/>
  <Override PartName="/xl/drawings/drawing7.xml" ContentType="application/vnd.openxmlformats-officedocument.drawingml.chartshapes+xml"/>
  <Override PartName="/xl/charts/chart18.xml" ContentType="application/vnd.openxmlformats-officedocument.drawingml.chart+xml"/>
  <Override PartName="/xl/drawings/drawing8.xml" ContentType="application/vnd.openxmlformats-officedocument.drawingml.chartshapes+xml"/>
  <Override PartName="/xl/charts/chart19.xml" ContentType="application/vnd.openxmlformats-officedocument.drawingml.chart+xml"/>
  <Override PartName="/xl/drawings/drawing9.xml" ContentType="application/vnd.openxmlformats-officedocument.drawingml.chartshapes+xml"/>
  <Override PartName="/xl/charts/chart20.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21.xml" ContentType="application/vnd.openxmlformats-officedocument.drawingml.chart+xml"/>
  <Override PartName="/xl/drawings/drawing12.xml" ContentType="application/vnd.openxmlformats-officedocument.drawing+xml"/>
  <Override PartName="/xl/charts/chart22.xml" ContentType="application/vnd.openxmlformats-officedocument.drawingml.chart+xml"/>
  <Override PartName="/xl/drawings/drawing13.xml" ContentType="application/vnd.openxmlformats-officedocument.drawing+xml"/>
  <Override PartName="/xl/charts/chart23.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24.xml" ContentType="application/vnd.openxmlformats-officedocument.drawingml.chart+xml"/>
  <Override PartName="/xl/drawings/drawing1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April 2021\YEARBOOK 2021_ Work from Home\CHECKING\CHECKED\"/>
    </mc:Choice>
  </mc:AlternateContent>
  <bookViews>
    <workbookView xWindow="0" yWindow="0" windowWidth="28800" windowHeight="11730" tabRatio="831" activeTab="19"/>
  </bookViews>
  <sheets>
    <sheet name="9.1" sheetId="1" r:id="rId1"/>
    <sheet name="9.2" sheetId="2" r:id="rId2"/>
    <sheet name="9.3" sheetId="3" r:id="rId3"/>
    <sheet name="9.4" sheetId="4" r:id="rId4"/>
    <sheet name="9.5" sheetId="5" r:id="rId5"/>
    <sheet name="9.6" sheetId="6" r:id="rId6"/>
    <sheet name="9.7" sheetId="7" r:id="rId7"/>
    <sheet name="9.8" sheetId="8" r:id="rId8"/>
    <sheet name="9.9" sheetId="9" r:id="rId9"/>
    <sheet name="9.10" sheetId="10" r:id="rId10"/>
    <sheet name="9.11" sheetId="11" r:id="rId11"/>
    <sheet name="9.12" sheetId="12" r:id="rId12"/>
    <sheet name="9.13" sheetId="13" r:id="rId13"/>
    <sheet name="9.14" sheetId="14" r:id="rId14"/>
    <sheet name="9.15" sheetId="15" r:id="rId15"/>
    <sheet name="9.16" sheetId="16" r:id="rId16"/>
    <sheet name="9.17" sheetId="17" r:id="rId17"/>
    <sheet name="9.18" sheetId="18" r:id="rId18"/>
    <sheet name="9.19" sheetId="19" r:id="rId19"/>
    <sheet name="9.20" sheetId="20" r:id="rId20"/>
  </sheets>
  <externalReferences>
    <externalReference r:id="rId21"/>
  </externalReferences>
  <definedNames>
    <definedName name="_xlnm.Print_Area" localSheetId="0">'9.1'!$A$1:$AB$21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N7" i="4" l="1"/>
  <c r="AN8" i="4"/>
  <c r="AO8" i="4"/>
  <c r="AN9" i="4"/>
  <c r="AO9" i="4"/>
  <c r="AN10" i="4"/>
  <c r="AO10" i="4"/>
  <c r="AN11" i="4"/>
  <c r="AN12" i="4"/>
  <c r="AN13" i="4"/>
  <c r="AN14" i="4"/>
  <c r="AN15" i="4"/>
  <c r="AN16" i="4"/>
  <c r="AO16" i="4"/>
  <c r="AN17" i="4"/>
  <c r="AO17" i="4"/>
  <c r="AN18" i="4"/>
  <c r="AO18" i="4"/>
  <c r="S10" i="4"/>
  <c r="AO7" i="4" s="1"/>
  <c r="S11" i="4"/>
  <c r="S12" i="4"/>
  <c r="S13" i="4"/>
  <c r="S14" i="4"/>
  <c r="AO11" i="4" s="1"/>
  <c r="S15" i="4"/>
  <c r="AO12" i="4" s="1"/>
  <c r="S16" i="4"/>
  <c r="AO13" i="4" s="1"/>
  <c r="S17" i="4"/>
  <c r="AO14" i="4" s="1"/>
  <c r="S18" i="4"/>
  <c r="AO15" i="4" s="1"/>
  <c r="S19" i="4"/>
  <c r="S20" i="4"/>
  <c r="S21" i="4"/>
  <c r="I5" i="15" l="1"/>
  <c r="D6" i="17"/>
  <c r="C6" i="17"/>
  <c r="B6" i="17"/>
  <c r="F62" i="10" l="1"/>
  <c r="E62" i="10"/>
  <c r="F61" i="10"/>
  <c r="E61" i="10"/>
  <c r="F60" i="10"/>
  <c r="E60" i="10"/>
  <c r="E59" i="10"/>
  <c r="E58" i="10"/>
  <c r="E57" i="10"/>
  <c r="E56" i="10"/>
  <c r="E55" i="10"/>
  <c r="E54" i="10"/>
  <c r="E53" i="10"/>
  <c r="E52" i="10"/>
  <c r="E51" i="10"/>
  <c r="E50" i="10"/>
  <c r="E49" i="10"/>
  <c r="E48" i="10"/>
  <c r="E47" i="10"/>
  <c r="E46" i="10"/>
  <c r="E45" i="10"/>
  <c r="E44" i="10"/>
  <c r="E43" i="10"/>
  <c r="H41" i="10"/>
  <c r="H39" i="10" s="1"/>
  <c r="G41" i="10"/>
  <c r="G39" i="10" s="1"/>
  <c r="C41" i="10"/>
  <c r="B41" i="10"/>
  <c r="E41" i="10" s="1"/>
  <c r="E39" i="10" s="1"/>
  <c r="I39" i="10"/>
  <c r="D39" i="10"/>
  <c r="F30" i="10"/>
  <c r="E30" i="10"/>
  <c r="F29" i="10"/>
  <c r="E29" i="10"/>
  <c r="E28" i="10"/>
  <c r="E27" i="10"/>
  <c r="F26" i="10"/>
  <c r="E26" i="10"/>
  <c r="F25" i="10"/>
  <c r="E25" i="10"/>
  <c r="F24" i="10"/>
  <c r="E24" i="10"/>
  <c r="F23" i="10"/>
  <c r="E23" i="10"/>
  <c r="F22" i="10"/>
  <c r="E22" i="10"/>
  <c r="E21" i="10"/>
  <c r="F20" i="10"/>
  <c r="E20" i="10"/>
  <c r="F19" i="10"/>
  <c r="E19" i="10"/>
  <c r="F18" i="10"/>
  <c r="E18" i="10"/>
  <c r="E17" i="10"/>
  <c r="E16" i="10"/>
  <c r="E15" i="10"/>
  <c r="F14" i="10"/>
  <c r="E14" i="10"/>
  <c r="E13" i="10"/>
  <c r="E12" i="10"/>
  <c r="E11" i="10"/>
  <c r="H9" i="10"/>
  <c r="H7" i="10" s="1"/>
  <c r="G9" i="10"/>
  <c r="G7" i="10" s="1"/>
  <c r="C9" i="10"/>
  <c r="F9" i="10" s="1"/>
  <c r="F7" i="10" s="1"/>
  <c r="B9" i="10"/>
  <c r="B7" i="10" s="1"/>
  <c r="B136" i="9"/>
  <c r="E135" i="9"/>
  <c r="G133" i="9"/>
  <c r="H132" i="9"/>
  <c r="I131" i="9"/>
  <c r="C129" i="9"/>
  <c r="D128" i="9"/>
  <c r="F126" i="9"/>
  <c r="G125" i="9"/>
  <c r="F125" i="9"/>
  <c r="E125" i="9"/>
  <c r="H124" i="9"/>
  <c r="F124" i="9"/>
  <c r="J122" i="9"/>
  <c r="D122" i="9"/>
  <c r="J121" i="9"/>
  <c r="E121" i="9"/>
  <c r="C121" i="9"/>
  <c r="J120" i="9"/>
  <c r="F120" i="9"/>
  <c r="D120" i="9"/>
  <c r="C120" i="9"/>
  <c r="E119" i="9"/>
  <c r="D119" i="9"/>
  <c r="C119" i="9"/>
  <c r="F118" i="9"/>
  <c r="E118" i="9"/>
  <c r="D118" i="9"/>
  <c r="G117" i="9"/>
  <c r="F117" i="9"/>
  <c r="E117" i="9"/>
  <c r="B116" i="9"/>
  <c r="B115" i="9"/>
  <c r="C135" i="9" s="1"/>
  <c r="B114" i="9"/>
  <c r="D134" i="9" s="1"/>
  <c r="B113" i="9"/>
  <c r="E133" i="9" s="1"/>
  <c r="B112" i="9"/>
  <c r="F132" i="9" s="1"/>
  <c r="B111" i="9"/>
  <c r="G131" i="9" s="1"/>
  <c r="B110" i="9"/>
  <c r="H130" i="9" s="1"/>
  <c r="B109" i="9"/>
  <c r="I129" i="9" s="1"/>
  <c r="B108" i="9"/>
  <c r="I128" i="9" s="1"/>
  <c r="J107" i="9"/>
  <c r="I107" i="9"/>
  <c r="I121" i="9" s="1"/>
  <c r="H107" i="9"/>
  <c r="H122" i="9" s="1"/>
  <c r="G107" i="9"/>
  <c r="G123" i="9" s="1"/>
  <c r="F107" i="9"/>
  <c r="F123" i="9" s="1"/>
  <c r="E107" i="9"/>
  <c r="E124" i="9" s="1"/>
  <c r="D107" i="9"/>
  <c r="D126" i="9" s="1"/>
  <c r="C107" i="9"/>
  <c r="B95" i="9"/>
  <c r="I94" i="9"/>
  <c r="C94" i="9"/>
  <c r="H87" i="9"/>
  <c r="J85" i="9"/>
  <c r="J81" i="9"/>
  <c r="H81" i="9"/>
  <c r="J79" i="9"/>
  <c r="H79" i="9"/>
  <c r="J78" i="9"/>
  <c r="J77" i="9"/>
  <c r="E76" i="9"/>
  <c r="B75" i="9"/>
  <c r="B74" i="9"/>
  <c r="H94" i="9" s="1"/>
  <c r="B73" i="9"/>
  <c r="I93" i="9" s="1"/>
  <c r="B72" i="9"/>
  <c r="I92" i="9" s="1"/>
  <c r="B71" i="9"/>
  <c r="D91" i="9" s="1"/>
  <c r="B70" i="9"/>
  <c r="E90" i="9" s="1"/>
  <c r="B69" i="9"/>
  <c r="F89" i="9" s="1"/>
  <c r="B68" i="9"/>
  <c r="F88" i="9" s="1"/>
  <c r="B67" i="9"/>
  <c r="G87" i="9" s="1"/>
  <c r="J66" i="9"/>
  <c r="J84" i="9" s="1"/>
  <c r="I66" i="9"/>
  <c r="I85" i="9" s="1"/>
  <c r="H66" i="9"/>
  <c r="H80" i="9" s="1"/>
  <c r="G66" i="9"/>
  <c r="G80" i="9" s="1"/>
  <c r="F66" i="9"/>
  <c r="F81" i="9" s="1"/>
  <c r="E66" i="9"/>
  <c r="E82" i="9" s="1"/>
  <c r="D66" i="9"/>
  <c r="D82" i="9" s="1"/>
  <c r="C66" i="9"/>
  <c r="C83" i="9" s="1"/>
  <c r="B35" i="9"/>
  <c r="F25" i="9"/>
  <c r="D19" i="9"/>
  <c r="F18" i="9"/>
  <c r="H16" i="9"/>
  <c r="B15" i="9"/>
  <c r="B14" i="9"/>
  <c r="C34" i="9" s="1"/>
  <c r="B13" i="9"/>
  <c r="J93" i="9" s="1"/>
  <c r="B12" i="9"/>
  <c r="B11" i="9"/>
  <c r="B10" i="9"/>
  <c r="J90" i="9" s="1"/>
  <c r="B9" i="9"/>
  <c r="H29" i="9" s="1"/>
  <c r="B8" i="9"/>
  <c r="B7" i="9"/>
  <c r="J128" i="9" s="1"/>
  <c r="J6" i="9"/>
  <c r="J20" i="9" s="1"/>
  <c r="H6" i="9"/>
  <c r="H22" i="9" s="1"/>
  <c r="G6" i="9"/>
  <c r="G22" i="9" s="1"/>
  <c r="F6" i="9"/>
  <c r="F23" i="9" s="1"/>
  <c r="D6" i="9"/>
  <c r="D25" i="9" s="1"/>
  <c r="C6" i="9"/>
  <c r="C20" i="9" s="1"/>
  <c r="D111" i="8"/>
  <c r="D108" i="8" s="1"/>
  <c r="C111" i="8"/>
  <c r="C108" i="8" s="1"/>
  <c r="B111" i="8"/>
  <c r="B108" i="8"/>
  <c r="D80" i="8"/>
  <c r="C80" i="8"/>
  <c r="C77" i="8" s="1"/>
  <c r="B80" i="8"/>
  <c r="B77" i="8" s="1"/>
  <c r="D77" i="8"/>
  <c r="D43" i="8"/>
  <c r="C43" i="8"/>
  <c r="C40" i="8" s="1"/>
  <c r="B43" i="8"/>
  <c r="B40" i="8" s="1"/>
  <c r="D40" i="8"/>
  <c r="D12" i="8"/>
  <c r="D9" i="8" s="1"/>
  <c r="C12" i="8"/>
  <c r="B12" i="8"/>
  <c r="B9" i="8" s="1"/>
  <c r="C9" i="8"/>
  <c r="B162" i="3"/>
  <c r="B161" i="3"/>
  <c r="B160" i="3"/>
  <c r="B159" i="3"/>
  <c r="B158" i="3"/>
  <c r="B157" i="3"/>
  <c r="B156" i="3"/>
  <c r="B155" i="3"/>
  <c r="B154" i="3"/>
  <c r="B153" i="3"/>
  <c r="B152" i="3"/>
  <c r="B151" i="3"/>
  <c r="B150" i="3"/>
  <c r="B149" i="3"/>
  <c r="B148" i="3"/>
  <c r="B147" i="3"/>
  <c r="B146" i="3"/>
  <c r="B145" i="3"/>
  <c r="B144" i="3"/>
  <c r="B143" i="3"/>
  <c r="B142" i="3"/>
  <c r="K141" i="3"/>
  <c r="J141" i="3"/>
  <c r="I141" i="3"/>
  <c r="I139" i="3" s="1"/>
  <c r="H141" i="3"/>
  <c r="G141" i="3"/>
  <c r="F141" i="3"/>
  <c r="F139" i="3" s="1"/>
  <c r="E141" i="3"/>
  <c r="D141" i="3"/>
  <c r="B140" i="3"/>
  <c r="K139" i="3"/>
  <c r="J139" i="3"/>
  <c r="H139" i="3"/>
  <c r="G139" i="3"/>
  <c r="E139" i="3"/>
  <c r="D139" i="3"/>
  <c r="B68" i="3"/>
  <c r="B67" i="3"/>
  <c r="B66" i="3"/>
  <c r="B65" i="3"/>
  <c r="B64" i="3"/>
  <c r="B63" i="3"/>
  <c r="B62" i="3"/>
  <c r="B61" i="3"/>
  <c r="B60" i="3"/>
  <c r="B59" i="3"/>
  <c r="B58" i="3"/>
  <c r="B57" i="3"/>
  <c r="B56" i="3"/>
  <c r="B55" i="3"/>
  <c r="B54" i="3"/>
  <c r="B53" i="3"/>
  <c r="B52" i="3"/>
  <c r="B51" i="3"/>
  <c r="B50" i="3"/>
  <c r="B49" i="3"/>
  <c r="B48" i="3"/>
  <c r="K47" i="3"/>
  <c r="J47" i="3"/>
  <c r="I47" i="3"/>
  <c r="I45" i="3" s="1"/>
  <c r="H47" i="3"/>
  <c r="G47" i="3"/>
  <c r="G45" i="3" s="1"/>
  <c r="F47" i="3"/>
  <c r="F45" i="3" s="1"/>
  <c r="E47" i="3"/>
  <c r="D47" i="3"/>
  <c r="B46" i="3"/>
  <c r="K45" i="3"/>
  <c r="J45" i="3"/>
  <c r="H45" i="3"/>
  <c r="E45" i="3"/>
  <c r="D45" i="3"/>
  <c r="B32" i="3"/>
  <c r="B31" i="3"/>
  <c r="B30" i="3"/>
  <c r="B29" i="3"/>
  <c r="B28" i="3"/>
  <c r="B27" i="3"/>
  <c r="B26" i="3"/>
  <c r="B25" i="3"/>
  <c r="B24" i="3"/>
  <c r="B23" i="3"/>
  <c r="B22" i="3"/>
  <c r="B21" i="3"/>
  <c r="B20" i="3"/>
  <c r="B19" i="3"/>
  <c r="B18" i="3"/>
  <c r="B17" i="3"/>
  <c r="B16" i="3"/>
  <c r="B15" i="3"/>
  <c r="B14" i="3"/>
  <c r="B13" i="3"/>
  <c r="B12" i="3"/>
  <c r="K11" i="3"/>
  <c r="J11" i="3"/>
  <c r="I11" i="3"/>
  <c r="I9" i="3" s="1"/>
  <c r="H11" i="3"/>
  <c r="G11" i="3"/>
  <c r="G9" i="3" s="1"/>
  <c r="F11" i="3"/>
  <c r="F9" i="3" s="1"/>
  <c r="E11" i="3"/>
  <c r="D11" i="3"/>
  <c r="B10" i="3"/>
  <c r="K9" i="3"/>
  <c r="J9" i="3"/>
  <c r="H9" i="3"/>
  <c r="E9" i="3"/>
  <c r="D9" i="3"/>
  <c r="Y31" i="2"/>
  <c r="X31" i="2"/>
  <c r="W31" i="2"/>
  <c r="V31" i="2"/>
  <c r="U31" i="2"/>
  <c r="T31" i="2"/>
  <c r="Y30" i="2"/>
  <c r="X30" i="2"/>
  <c r="W30" i="2"/>
  <c r="V30" i="2"/>
  <c r="U30" i="2"/>
  <c r="T30" i="2"/>
  <c r="P30" i="2"/>
  <c r="Y29" i="2"/>
  <c r="X29" i="2"/>
  <c r="W29" i="2"/>
  <c r="V29" i="2"/>
  <c r="U29" i="2"/>
  <c r="T29" i="2"/>
  <c r="Y28" i="2"/>
  <c r="X28" i="2"/>
  <c r="W28" i="2"/>
  <c r="V28" i="2"/>
  <c r="U28" i="2"/>
  <c r="T28" i="2"/>
  <c r="P28" i="2"/>
  <c r="Y27" i="2"/>
  <c r="X27" i="2"/>
  <c r="W27" i="2"/>
  <c r="V27" i="2"/>
  <c r="U27" i="2"/>
  <c r="T27" i="2"/>
  <c r="Y26" i="2"/>
  <c r="X26" i="2"/>
  <c r="W26" i="2"/>
  <c r="V26" i="2"/>
  <c r="U26" i="2"/>
  <c r="T26" i="2"/>
  <c r="P26" i="2"/>
  <c r="Y25" i="2"/>
  <c r="X25" i="2"/>
  <c r="W25" i="2"/>
  <c r="V25" i="2"/>
  <c r="U25" i="2"/>
  <c r="T25" i="2"/>
  <c r="Y24" i="2"/>
  <c r="X24" i="2"/>
  <c r="W24" i="2"/>
  <c r="V24" i="2"/>
  <c r="U24" i="2"/>
  <c r="T24" i="2"/>
  <c r="Q24" i="2"/>
  <c r="P24" i="2"/>
  <c r="Y23" i="2"/>
  <c r="X23" i="2"/>
  <c r="W23" i="2"/>
  <c r="V23" i="2"/>
  <c r="U23" i="2"/>
  <c r="T23" i="2"/>
  <c r="Y22" i="2"/>
  <c r="X22" i="2"/>
  <c r="W22" i="2"/>
  <c r="V22" i="2"/>
  <c r="U22" i="2"/>
  <c r="T22" i="2"/>
  <c r="Q22" i="2"/>
  <c r="P22" i="2"/>
  <c r="Y21" i="2"/>
  <c r="X21" i="2"/>
  <c r="W21" i="2"/>
  <c r="V21" i="2"/>
  <c r="U21" i="2"/>
  <c r="T21" i="2"/>
  <c r="Y20" i="2"/>
  <c r="X20" i="2"/>
  <c r="W20" i="2"/>
  <c r="V20" i="2"/>
  <c r="U20" i="2"/>
  <c r="T20" i="2"/>
  <c r="Q20" i="2"/>
  <c r="P20" i="2"/>
  <c r="Y19" i="2"/>
  <c r="X19" i="2"/>
  <c r="W19" i="2"/>
  <c r="V19" i="2"/>
  <c r="U19" i="2"/>
  <c r="T19" i="2"/>
  <c r="Y18" i="2"/>
  <c r="X18" i="2"/>
  <c r="W18" i="2"/>
  <c r="V18" i="2"/>
  <c r="U18" i="2"/>
  <c r="T18" i="2"/>
  <c r="Q18" i="2"/>
  <c r="P18" i="2"/>
  <c r="Y17" i="2"/>
  <c r="X17" i="2"/>
  <c r="W17" i="2"/>
  <c r="V17" i="2"/>
  <c r="U17" i="2"/>
  <c r="T17" i="2"/>
  <c r="Y16" i="2"/>
  <c r="X16" i="2"/>
  <c r="W16" i="2"/>
  <c r="V16" i="2"/>
  <c r="U16" i="2"/>
  <c r="T16" i="2"/>
  <c r="Q16" i="2"/>
  <c r="P16" i="2"/>
  <c r="Y15" i="2"/>
  <c r="X15" i="2"/>
  <c r="W15" i="2"/>
  <c r="V15" i="2"/>
  <c r="U15" i="2"/>
  <c r="T15" i="2"/>
  <c r="Y14" i="2"/>
  <c r="X14" i="2"/>
  <c r="W14" i="2"/>
  <c r="V14" i="2"/>
  <c r="U14" i="2"/>
  <c r="T14" i="2"/>
  <c r="Q14" i="2"/>
  <c r="P14" i="2"/>
  <c r="Y13" i="2"/>
  <c r="X13" i="2"/>
  <c r="W13" i="2"/>
  <c r="V13" i="2"/>
  <c r="U13" i="2"/>
  <c r="T13" i="2"/>
  <c r="Y12" i="2"/>
  <c r="X12" i="2"/>
  <c r="W12" i="2"/>
  <c r="V12" i="2"/>
  <c r="U12" i="2"/>
  <c r="T12" i="2"/>
  <c r="Q12" i="2"/>
  <c r="P12" i="2"/>
  <c r="Y11" i="2"/>
  <c r="X11" i="2"/>
  <c r="W11" i="2"/>
  <c r="V11" i="2"/>
  <c r="U11" i="2"/>
  <c r="T11" i="2"/>
  <c r="Y10" i="2"/>
  <c r="X10" i="2"/>
  <c r="Q10" i="2"/>
  <c r="P10" i="2"/>
  <c r="M10" i="2"/>
  <c r="S10" i="2" s="1"/>
  <c r="L10" i="2"/>
  <c r="R10" i="2" s="1"/>
  <c r="K10" i="2"/>
  <c r="W10" i="2" s="1"/>
  <c r="J10" i="2"/>
  <c r="I10" i="2"/>
  <c r="V10" i="2" s="1"/>
  <c r="H10" i="2"/>
  <c r="G10" i="2"/>
  <c r="F10" i="2"/>
  <c r="F8" i="2" s="1"/>
  <c r="E10" i="2"/>
  <c r="D10" i="2"/>
  <c r="C10" i="2"/>
  <c r="B10" i="2"/>
  <c r="Y9" i="2"/>
  <c r="X9" i="2"/>
  <c r="W9" i="2"/>
  <c r="V9" i="2"/>
  <c r="U9" i="2"/>
  <c r="T9" i="2"/>
  <c r="Q9" i="2"/>
  <c r="P9" i="2"/>
  <c r="P8" i="2"/>
  <c r="M8" i="2"/>
  <c r="Y8" i="2" s="1"/>
  <c r="L8" i="2"/>
  <c r="R8" i="2" s="1"/>
  <c r="K8" i="2"/>
  <c r="Q31" i="2" s="1"/>
  <c r="J8" i="2"/>
  <c r="P31" i="2" s="1"/>
  <c r="G8" i="2"/>
  <c r="E8" i="2"/>
  <c r="D8" i="2"/>
  <c r="C8" i="2"/>
  <c r="B8" i="2"/>
  <c r="AA14" i="1"/>
  <c r="AA13" i="1"/>
  <c r="AA12" i="1"/>
  <c r="AA11" i="1"/>
  <c r="AA15" i="1"/>
  <c r="AA8" i="1"/>
  <c r="AA9" i="1"/>
  <c r="AA10" i="1"/>
  <c r="Q10" i="1"/>
  <c r="Q9" i="1" s="1"/>
  <c r="F41" i="10" l="1"/>
  <c r="F39" i="10" s="1"/>
  <c r="B39" i="10"/>
  <c r="C7" i="10"/>
  <c r="C39" i="10"/>
  <c r="F83" i="9"/>
  <c r="C92" i="9"/>
  <c r="E84" i="9"/>
  <c r="C85" i="9"/>
  <c r="C76" i="9"/>
  <c r="C80" i="9"/>
  <c r="C77" i="9"/>
  <c r="C78" i="9"/>
  <c r="C84" i="9"/>
  <c r="D93" i="9"/>
  <c r="D92" i="9"/>
  <c r="E92" i="9"/>
  <c r="G90" i="9"/>
  <c r="H89" i="9"/>
  <c r="I80" i="9"/>
  <c r="G88" i="9"/>
  <c r="H88" i="9"/>
  <c r="I88" i="9"/>
  <c r="I78" i="9"/>
  <c r="I87" i="9"/>
  <c r="I79" i="9"/>
  <c r="D76" i="9"/>
  <c r="D79" i="9"/>
  <c r="D83" i="9"/>
  <c r="D77" i="9"/>
  <c r="D84" i="9"/>
  <c r="D85" i="9"/>
  <c r="H24" i="9"/>
  <c r="F31" i="9"/>
  <c r="G31" i="9"/>
  <c r="G24" i="9"/>
  <c r="G16" i="9"/>
  <c r="G17" i="9"/>
  <c r="G25" i="9"/>
  <c r="G19" i="9"/>
  <c r="G23" i="9"/>
  <c r="F16" i="9"/>
  <c r="F20" i="9"/>
  <c r="F17" i="9"/>
  <c r="F24" i="9"/>
  <c r="F33" i="9"/>
  <c r="G32" i="9"/>
  <c r="H31" i="9"/>
  <c r="J130" i="9"/>
  <c r="C29" i="9"/>
  <c r="J29" i="9"/>
  <c r="C28" i="9"/>
  <c r="D28" i="9"/>
  <c r="J28" i="9"/>
  <c r="J87" i="9"/>
  <c r="C27" i="9"/>
  <c r="D27" i="9"/>
  <c r="D20" i="9"/>
  <c r="D18" i="9"/>
  <c r="B6" i="9"/>
  <c r="I86" i="9" s="1"/>
  <c r="C21" i="9"/>
  <c r="C19" i="9"/>
  <c r="B45" i="3"/>
  <c r="E9" i="10"/>
  <c r="E7" i="10" s="1"/>
  <c r="AF5" i="9"/>
  <c r="J21" i="9"/>
  <c r="H23" i="9"/>
  <c r="F32" i="9"/>
  <c r="D34" i="9"/>
  <c r="G81" i="9"/>
  <c r="F82" i="9"/>
  <c r="E83" i="9"/>
  <c r="G89" i="9"/>
  <c r="F90" i="9"/>
  <c r="E91" i="9"/>
  <c r="C93" i="9"/>
  <c r="J94" i="9"/>
  <c r="I122" i="9"/>
  <c r="H123" i="9"/>
  <c r="G124" i="9"/>
  <c r="E126" i="9"/>
  <c r="C128" i="9"/>
  <c r="J129" i="9"/>
  <c r="I130" i="9"/>
  <c r="H131" i="9"/>
  <c r="G132" i="9"/>
  <c r="F133" i="9"/>
  <c r="E134" i="9"/>
  <c r="D135" i="9"/>
  <c r="I123" i="9"/>
  <c r="F134" i="9"/>
  <c r="H17" i="9"/>
  <c r="G18" i="9"/>
  <c r="F19" i="9"/>
  <c r="D21" i="9"/>
  <c r="C22" i="9"/>
  <c r="J23" i="9"/>
  <c r="H25" i="9"/>
  <c r="F27" i="9"/>
  <c r="D29" i="9"/>
  <c r="J30" i="9"/>
  <c r="B30" i="9" s="1"/>
  <c r="H32" i="9"/>
  <c r="G33" i="9"/>
  <c r="F34" i="9"/>
  <c r="F76" i="9"/>
  <c r="E77" i="9"/>
  <c r="D78" i="9"/>
  <c r="C79" i="9"/>
  <c r="J80" i="9"/>
  <c r="I81" i="9"/>
  <c r="H82" i="9"/>
  <c r="G83" i="9"/>
  <c r="F84" i="9"/>
  <c r="E85" i="9"/>
  <c r="C87" i="9"/>
  <c r="J88" i="9"/>
  <c r="I89" i="9"/>
  <c r="H90" i="9"/>
  <c r="G91" i="9"/>
  <c r="F92" i="9"/>
  <c r="E93" i="9"/>
  <c r="D94" i="9"/>
  <c r="B107" i="9"/>
  <c r="H117" i="9"/>
  <c r="G118" i="9"/>
  <c r="F119" i="9"/>
  <c r="E120" i="9"/>
  <c r="D121" i="9"/>
  <c r="C122" i="9"/>
  <c r="B123" i="9"/>
  <c r="J123" i="9"/>
  <c r="I124" i="9"/>
  <c r="H125" i="9"/>
  <c r="G126" i="9"/>
  <c r="E128" i="9"/>
  <c r="D129" i="9"/>
  <c r="C130" i="9"/>
  <c r="J131" i="9"/>
  <c r="I132" i="9"/>
  <c r="H133" i="9"/>
  <c r="G134" i="9"/>
  <c r="F135" i="9"/>
  <c r="J22" i="9"/>
  <c r="J16" i="9"/>
  <c r="H18" i="9"/>
  <c r="D22" i="9"/>
  <c r="C23" i="9"/>
  <c r="J24" i="9"/>
  <c r="G27" i="9"/>
  <c r="F28" i="9"/>
  <c r="J31" i="9"/>
  <c r="H33" i="9"/>
  <c r="G34" i="9"/>
  <c r="AF65" i="9"/>
  <c r="G76" i="9"/>
  <c r="F77" i="9"/>
  <c r="E78" i="9"/>
  <c r="I82" i="9"/>
  <c r="H83" i="9"/>
  <c r="G84" i="9"/>
  <c r="F85" i="9"/>
  <c r="D87" i="9"/>
  <c r="C88" i="9"/>
  <c r="J89" i="9"/>
  <c r="I90" i="9"/>
  <c r="H91" i="9"/>
  <c r="G92" i="9"/>
  <c r="F93" i="9"/>
  <c r="E94" i="9"/>
  <c r="I117" i="9"/>
  <c r="H118" i="9"/>
  <c r="G119" i="9"/>
  <c r="C123" i="9"/>
  <c r="B124" i="9"/>
  <c r="J124" i="9"/>
  <c r="I125" i="9"/>
  <c r="H126" i="9"/>
  <c r="F128" i="9"/>
  <c r="E129" i="9"/>
  <c r="D130" i="9"/>
  <c r="C131" i="9"/>
  <c r="J132" i="9"/>
  <c r="I133" i="9"/>
  <c r="H134" i="9"/>
  <c r="G135" i="9"/>
  <c r="G82" i="9"/>
  <c r="C16" i="9"/>
  <c r="J17" i="9"/>
  <c r="H19" i="9"/>
  <c r="G20" i="9"/>
  <c r="F21" i="9"/>
  <c r="D23" i="9"/>
  <c r="C24" i="9"/>
  <c r="J25" i="9"/>
  <c r="H27" i="9"/>
  <c r="G28" i="9"/>
  <c r="F29" i="9"/>
  <c r="C31" i="9"/>
  <c r="J32" i="9"/>
  <c r="H34" i="9"/>
  <c r="B66" i="9"/>
  <c r="B81" i="9" s="1"/>
  <c r="H76" i="9"/>
  <c r="G77" i="9"/>
  <c r="F78" i="9"/>
  <c r="E79" i="9"/>
  <c r="D80" i="9"/>
  <c r="C81" i="9"/>
  <c r="J82" i="9"/>
  <c r="I83" i="9"/>
  <c r="H84" i="9"/>
  <c r="G85" i="9"/>
  <c r="E87" i="9"/>
  <c r="D88" i="9"/>
  <c r="C89" i="9"/>
  <c r="I91" i="9"/>
  <c r="H92" i="9"/>
  <c r="G93" i="9"/>
  <c r="F94" i="9"/>
  <c r="J117" i="9"/>
  <c r="I118" i="9"/>
  <c r="H119" i="9"/>
  <c r="G120" i="9"/>
  <c r="F121" i="9"/>
  <c r="E122" i="9"/>
  <c r="D123" i="9"/>
  <c r="C124" i="9"/>
  <c r="B125" i="9"/>
  <c r="J125" i="9"/>
  <c r="I126" i="9"/>
  <c r="G128" i="9"/>
  <c r="F129" i="9"/>
  <c r="E130" i="9"/>
  <c r="D131" i="9"/>
  <c r="C132" i="9"/>
  <c r="J133" i="9"/>
  <c r="I134" i="9"/>
  <c r="H135" i="9"/>
  <c r="F91" i="9"/>
  <c r="D16" i="9"/>
  <c r="C17" i="9"/>
  <c r="J18" i="9"/>
  <c r="H20" i="9"/>
  <c r="G21" i="9"/>
  <c r="F22" i="9"/>
  <c r="D24" i="9"/>
  <c r="C25" i="9"/>
  <c r="H28" i="9"/>
  <c r="G29" i="9"/>
  <c r="D31" i="9"/>
  <c r="C32" i="9"/>
  <c r="J33" i="9"/>
  <c r="I76" i="9"/>
  <c r="H77" i="9"/>
  <c r="G78" i="9"/>
  <c r="F79" i="9"/>
  <c r="E80" i="9"/>
  <c r="D81" i="9"/>
  <c r="C82" i="9"/>
  <c r="J83" i="9"/>
  <c r="I84" i="9"/>
  <c r="H85" i="9"/>
  <c r="F87" i="9"/>
  <c r="E88" i="9"/>
  <c r="D89" i="9"/>
  <c r="C90" i="9"/>
  <c r="J91" i="9"/>
  <c r="H93" i="9"/>
  <c r="G94" i="9"/>
  <c r="C117" i="9"/>
  <c r="B118" i="9"/>
  <c r="J118" i="9"/>
  <c r="I119" i="9"/>
  <c r="H120" i="9"/>
  <c r="G121" i="9"/>
  <c r="F122" i="9"/>
  <c r="E123" i="9"/>
  <c r="D124" i="9"/>
  <c r="C125" i="9"/>
  <c r="J126" i="9"/>
  <c r="H128" i="9"/>
  <c r="G129" i="9"/>
  <c r="F130" i="9"/>
  <c r="E131" i="9"/>
  <c r="D132" i="9"/>
  <c r="C133" i="9"/>
  <c r="J134" i="9"/>
  <c r="I135" i="9"/>
  <c r="D17" i="9"/>
  <c r="C18" i="9"/>
  <c r="J19" i="9"/>
  <c r="H21" i="9"/>
  <c r="J27" i="9"/>
  <c r="D32" i="9"/>
  <c r="C33" i="9"/>
  <c r="J34" i="9"/>
  <c r="J76" i="9"/>
  <c r="I77" i="9"/>
  <c r="H78" i="9"/>
  <c r="G79" i="9"/>
  <c r="F80" i="9"/>
  <c r="E81" i="9"/>
  <c r="E89" i="9"/>
  <c r="D90" i="9"/>
  <c r="C91" i="9"/>
  <c r="J92" i="9"/>
  <c r="D117" i="9"/>
  <c r="C118" i="9"/>
  <c r="B119" i="9"/>
  <c r="J119" i="9"/>
  <c r="I120" i="9"/>
  <c r="H121" i="9"/>
  <c r="G122" i="9"/>
  <c r="D125" i="9"/>
  <c r="C126" i="9"/>
  <c r="H129" i="9"/>
  <c r="G130" i="9"/>
  <c r="F131" i="9"/>
  <c r="E132" i="9"/>
  <c r="D133" i="9"/>
  <c r="C134" i="9"/>
  <c r="J135" i="9"/>
  <c r="D33" i="9"/>
  <c r="B9" i="3"/>
  <c r="B139" i="3"/>
  <c r="B11" i="3"/>
  <c r="B47" i="3"/>
  <c r="B141" i="3"/>
  <c r="S27" i="2"/>
  <c r="S31" i="2"/>
  <c r="S8" i="2"/>
  <c r="S11" i="2"/>
  <c r="S13" i="2"/>
  <c r="S15" i="2"/>
  <c r="S17" i="2"/>
  <c r="S19" i="2"/>
  <c r="S21" i="2"/>
  <c r="S23" i="2"/>
  <c r="R25" i="2"/>
  <c r="R27" i="2"/>
  <c r="R29" i="2"/>
  <c r="R31" i="2"/>
  <c r="R9" i="2"/>
  <c r="R12" i="2"/>
  <c r="R14" i="2"/>
  <c r="R16" i="2"/>
  <c r="R18" i="2"/>
  <c r="R20" i="2"/>
  <c r="R22" i="2"/>
  <c r="R24" i="2"/>
  <c r="Q26" i="2"/>
  <c r="Q28" i="2"/>
  <c r="Q30" i="2"/>
  <c r="S25" i="2"/>
  <c r="W8" i="2"/>
  <c r="S9" i="2"/>
  <c r="S12" i="2"/>
  <c r="S14" i="2"/>
  <c r="S16" i="2"/>
  <c r="S18" i="2"/>
  <c r="S20" i="2"/>
  <c r="S22" i="2"/>
  <c r="S24" i="2"/>
  <c r="R26" i="2"/>
  <c r="R28" i="2"/>
  <c r="R30" i="2"/>
  <c r="H8" i="2"/>
  <c r="T10" i="2"/>
  <c r="P11" i="2"/>
  <c r="P13" i="2"/>
  <c r="P15" i="2"/>
  <c r="P17" i="2"/>
  <c r="P19" i="2"/>
  <c r="P21" i="2"/>
  <c r="P23" i="2"/>
  <c r="S26" i="2"/>
  <c r="S28" i="2"/>
  <c r="S30" i="2"/>
  <c r="S29" i="2"/>
  <c r="X8" i="2"/>
  <c r="I8" i="2"/>
  <c r="Q8" i="2"/>
  <c r="U10" i="2"/>
  <c r="Q11" i="2"/>
  <c r="Q13" i="2"/>
  <c r="Q15" i="2"/>
  <c r="Q17" i="2"/>
  <c r="Q19" i="2"/>
  <c r="Q21" i="2"/>
  <c r="Q23" i="2"/>
  <c r="P25" i="2"/>
  <c r="P27" i="2"/>
  <c r="P29" i="2"/>
  <c r="R11" i="2"/>
  <c r="R13" i="2"/>
  <c r="R15" i="2"/>
  <c r="R17" i="2"/>
  <c r="R19" i="2"/>
  <c r="R21" i="2"/>
  <c r="R23" i="2"/>
  <c r="Q25" i="2"/>
  <c r="Q27" i="2"/>
  <c r="Q29" i="2"/>
  <c r="Z8" i="1"/>
  <c r="Z9" i="1"/>
  <c r="Z11" i="1"/>
  <c r="Z12" i="1"/>
  <c r="Z13" i="1"/>
  <c r="Z14" i="1"/>
  <c r="Z15" i="1"/>
  <c r="B24" i="20"/>
  <c r="B23" i="20"/>
  <c r="B22" i="20"/>
  <c r="B21" i="20"/>
  <c r="B20" i="20"/>
  <c r="B19" i="20"/>
  <c r="B18" i="20"/>
  <c r="B17" i="20"/>
  <c r="B16" i="20"/>
  <c r="B15" i="20"/>
  <c r="B14" i="20"/>
  <c r="B13" i="20"/>
  <c r="B12" i="20"/>
  <c r="B11" i="20"/>
  <c r="B10" i="20"/>
  <c r="B9" i="20"/>
  <c r="Y8" i="20"/>
  <c r="X8" i="20"/>
  <c r="W8" i="20"/>
  <c r="V8" i="20"/>
  <c r="U8" i="20"/>
  <c r="T8" i="20"/>
  <c r="S8" i="20"/>
  <c r="R8" i="20"/>
  <c r="Q8" i="20"/>
  <c r="P8" i="20"/>
  <c r="O8" i="20"/>
  <c r="N8" i="20"/>
  <c r="M8" i="20"/>
  <c r="L8" i="20"/>
  <c r="K8" i="20"/>
  <c r="J8" i="20"/>
  <c r="I8" i="20"/>
  <c r="H8" i="20"/>
  <c r="G8" i="20"/>
  <c r="F8" i="20"/>
  <c r="E8" i="20"/>
  <c r="D8" i="20"/>
  <c r="C8" i="20"/>
  <c r="B26" i="19"/>
  <c r="B25" i="19"/>
  <c r="B24" i="19"/>
  <c r="B23" i="19"/>
  <c r="B22" i="19"/>
  <c r="B21" i="19"/>
  <c r="B20" i="19"/>
  <c r="B19" i="19"/>
  <c r="B18" i="19"/>
  <c r="B17" i="19"/>
  <c r="B16" i="19"/>
  <c r="B15" i="19"/>
  <c r="B14" i="19"/>
  <c r="B13" i="19"/>
  <c r="B12" i="19"/>
  <c r="B11" i="19"/>
  <c r="V10" i="19"/>
  <c r="U10" i="19"/>
  <c r="T10" i="19"/>
  <c r="S10" i="19"/>
  <c r="R10" i="19"/>
  <c r="Q10" i="19"/>
  <c r="P10" i="19"/>
  <c r="O10" i="19"/>
  <c r="N10" i="19"/>
  <c r="M10" i="19"/>
  <c r="L10" i="19"/>
  <c r="K10" i="19"/>
  <c r="J10" i="19"/>
  <c r="I10" i="19"/>
  <c r="H10" i="19"/>
  <c r="G10" i="19"/>
  <c r="F10" i="19"/>
  <c r="E10" i="19"/>
  <c r="D10" i="19"/>
  <c r="C10" i="19"/>
  <c r="H6" i="14"/>
  <c r="B29" i="12"/>
  <c r="B28" i="12"/>
  <c r="B27" i="12"/>
  <c r="B26" i="12"/>
  <c r="B25" i="12"/>
  <c r="B24" i="12"/>
  <c r="B23" i="12"/>
  <c r="B22" i="12"/>
  <c r="B21" i="12"/>
  <c r="B20" i="12"/>
  <c r="B19" i="12"/>
  <c r="B18" i="12"/>
  <c r="B17" i="12"/>
  <c r="B16" i="12"/>
  <c r="B15" i="12"/>
  <c r="B14" i="12"/>
  <c r="B13" i="12"/>
  <c r="B12" i="12"/>
  <c r="B11" i="12"/>
  <c r="B10" i="12"/>
  <c r="B9" i="12"/>
  <c r="B8" i="12"/>
  <c r="H7" i="12"/>
  <c r="G7" i="12"/>
  <c r="F7" i="12"/>
  <c r="E7" i="12"/>
  <c r="D7" i="12"/>
  <c r="C7" i="12"/>
  <c r="H5" i="11"/>
  <c r="I5" i="11"/>
  <c r="J5" i="11"/>
  <c r="H7" i="7"/>
  <c r="R7" i="6"/>
  <c r="R8" i="6"/>
  <c r="R9" i="6"/>
  <c r="R10" i="6"/>
  <c r="R11" i="6"/>
  <c r="R12" i="6"/>
  <c r="R27" i="6"/>
  <c r="R20" i="6"/>
  <c r="R13" i="6"/>
  <c r="B47" i="5"/>
  <c r="B46" i="5"/>
  <c r="B45" i="5"/>
  <c r="B44" i="5"/>
  <c r="B43" i="5"/>
  <c r="B42" i="5"/>
  <c r="B41" i="5"/>
  <c r="B40" i="5"/>
  <c r="B39" i="5"/>
  <c r="B38" i="5"/>
  <c r="B37" i="5"/>
  <c r="B36" i="5"/>
  <c r="B35" i="5"/>
  <c r="J34" i="5"/>
  <c r="I34" i="5"/>
  <c r="H34" i="5"/>
  <c r="G34" i="5"/>
  <c r="F34" i="5"/>
  <c r="E34" i="5"/>
  <c r="D34" i="5"/>
  <c r="C34" i="5"/>
  <c r="K9" i="4"/>
  <c r="B135" i="9" l="1"/>
  <c r="B90" i="9"/>
  <c r="B94" i="9"/>
  <c r="B129" i="9"/>
  <c r="I127" i="9"/>
  <c r="B34" i="9"/>
  <c r="AC5" i="9"/>
  <c r="B92" i="9"/>
  <c r="B29" i="9"/>
  <c r="AE5" i="9"/>
  <c r="AC65" i="9"/>
  <c r="B19" i="9"/>
  <c r="H127" i="9"/>
  <c r="B17" i="9"/>
  <c r="B23" i="9"/>
  <c r="G86" i="9"/>
  <c r="AD5" i="9"/>
  <c r="B18" i="9"/>
  <c r="F86" i="9"/>
  <c r="B28" i="9"/>
  <c r="C127" i="9"/>
  <c r="C86" i="9"/>
  <c r="G127" i="9"/>
  <c r="J127" i="9"/>
  <c r="B20" i="9"/>
  <c r="F26" i="9"/>
  <c r="E86" i="9"/>
  <c r="H26" i="9"/>
  <c r="B16" i="9"/>
  <c r="B21" i="9"/>
  <c r="B27" i="9"/>
  <c r="D86" i="9"/>
  <c r="AD65" i="9"/>
  <c r="B22" i="9"/>
  <c r="B24" i="9"/>
  <c r="F127" i="9"/>
  <c r="G26" i="9"/>
  <c r="D127" i="9"/>
  <c r="B25" i="9"/>
  <c r="C26" i="9"/>
  <c r="D26" i="9"/>
  <c r="E127" i="9"/>
  <c r="J26" i="9"/>
  <c r="J86" i="9"/>
  <c r="H86" i="9"/>
  <c r="B34" i="5"/>
  <c r="R9" i="4"/>
  <c r="B10" i="19"/>
  <c r="B8" i="20"/>
  <c r="B32" i="9"/>
  <c r="B84" i="9"/>
  <c r="B33" i="9"/>
  <c r="B133" i="9"/>
  <c r="B120" i="9"/>
  <c r="B122" i="9"/>
  <c r="B117" i="9"/>
  <c r="B121" i="9"/>
  <c r="B87" i="9"/>
  <c r="B80" i="9"/>
  <c r="B130" i="9"/>
  <c r="B89" i="9"/>
  <c r="B82" i="9"/>
  <c r="B93" i="9"/>
  <c r="B128" i="9"/>
  <c r="B131" i="9"/>
  <c r="B134" i="9"/>
  <c r="B91" i="9"/>
  <c r="B83" i="9"/>
  <c r="B132" i="9"/>
  <c r="B31" i="9"/>
  <c r="B126" i="9"/>
  <c r="AE65" i="9"/>
  <c r="B88" i="9"/>
  <c r="B85" i="9"/>
  <c r="B77" i="9"/>
  <c r="B76" i="9"/>
  <c r="B79" i="9"/>
  <c r="B78" i="9"/>
  <c r="O28" i="2"/>
  <c r="O31" i="2"/>
  <c r="O29" i="2"/>
  <c r="O27" i="2"/>
  <c r="O25" i="2"/>
  <c r="O23" i="2"/>
  <c r="O21" i="2"/>
  <c r="O19" i="2"/>
  <c r="O17" i="2"/>
  <c r="O15" i="2"/>
  <c r="O13" i="2"/>
  <c r="O11" i="2"/>
  <c r="O8" i="2"/>
  <c r="U8" i="2"/>
  <c r="O30" i="2"/>
  <c r="O24" i="2"/>
  <c r="O22" i="2"/>
  <c r="O20" i="2"/>
  <c r="O18" i="2"/>
  <c r="O16" i="2"/>
  <c r="O14" i="2"/>
  <c r="O12" i="2"/>
  <c r="O9" i="2"/>
  <c r="O26" i="2"/>
  <c r="O10" i="2"/>
  <c r="N24" i="2"/>
  <c r="N22" i="2"/>
  <c r="N20" i="2"/>
  <c r="N18" i="2"/>
  <c r="N16" i="2"/>
  <c r="N14" i="2"/>
  <c r="N12" i="2"/>
  <c r="N31" i="2"/>
  <c r="N29" i="2"/>
  <c r="N27" i="2"/>
  <c r="N25" i="2"/>
  <c r="N23" i="2"/>
  <c r="N21" i="2"/>
  <c r="N19" i="2"/>
  <c r="N17" i="2"/>
  <c r="N15" i="2"/>
  <c r="N13" i="2"/>
  <c r="N11" i="2"/>
  <c r="N8" i="2"/>
  <c r="T8" i="2"/>
  <c r="N30" i="2"/>
  <c r="N28" i="2"/>
  <c r="N26" i="2"/>
  <c r="N9" i="2"/>
  <c r="V8" i="2"/>
  <c r="N10" i="2"/>
  <c r="B7" i="12"/>
  <c r="R6" i="6"/>
  <c r="B86" i="9" l="1"/>
  <c r="B127" i="9"/>
  <c r="B26" i="9"/>
  <c r="G7" i="7"/>
  <c r="B29" i="13" l="1"/>
  <c r="B28" i="13"/>
  <c r="B27" i="13"/>
  <c r="B26" i="13"/>
  <c r="B25" i="13"/>
  <c r="B24" i="13"/>
  <c r="B23" i="13"/>
  <c r="B22" i="13"/>
  <c r="B21" i="13"/>
  <c r="B20" i="13"/>
  <c r="B19" i="13"/>
  <c r="B18" i="13"/>
  <c r="B17" i="13"/>
  <c r="B16" i="13"/>
  <c r="B15" i="13"/>
  <c r="B14" i="13"/>
  <c r="B13" i="13"/>
  <c r="B12" i="13"/>
  <c r="B11" i="13"/>
  <c r="B10" i="13"/>
  <c r="B9" i="13"/>
  <c r="B8" i="13"/>
  <c r="B60" i="12"/>
  <c r="B59" i="12"/>
  <c r="B58" i="12"/>
  <c r="B57" i="12"/>
  <c r="B56" i="12"/>
  <c r="B55" i="12"/>
  <c r="B54" i="12"/>
  <c r="B53" i="12"/>
  <c r="B52" i="12"/>
  <c r="B51" i="12"/>
  <c r="B50" i="12"/>
  <c r="B49" i="12"/>
  <c r="B48" i="12"/>
  <c r="B47" i="12"/>
  <c r="B46" i="12"/>
  <c r="B45" i="12"/>
  <c r="B44" i="12"/>
  <c r="B43" i="12"/>
  <c r="B42" i="12"/>
  <c r="B41" i="12"/>
  <c r="B40" i="12"/>
  <c r="B39" i="12"/>
  <c r="N19" i="18" l="1"/>
  <c r="N18" i="18"/>
  <c r="N17" i="18"/>
  <c r="N16" i="18"/>
  <c r="N15" i="18"/>
  <c r="N14" i="18"/>
  <c r="N13" i="18"/>
  <c r="N12" i="18"/>
  <c r="N11" i="18"/>
  <c r="N10" i="18"/>
  <c r="N9" i="18"/>
  <c r="N8" i="18"/>
  <c r="M7" i="18"/>
  <c r="L7" i="18"/>
  <c r="K7" i="18"/>
  <c r="J7" i="18"/>
  <c r="I7" i="18"/>
  <c r="H7" i="18"/>
  <c r="G7" i="18"/>
  <c r="F7" i="18"/>
  <c r="E7" i="18"/>
  <c r="D7" i="18"/>
  <c r="C7" i="18"/>
  <c r="B7" i="18"/>
  <c r="N7" i="18" l="1"/>
  <c r="H5" i="15" l="1"/>
  <c r="G6" i="14"/>
  <c r="B70" i="13"/>
  <c r="B69" i="13"/>
  <c r="B68" i="13"/>
  <c r="B67" i="13"/>
  <c r="B66" i="13"/>
  <c r="B65" i="13"/>
  <c r="B64" i="13"/>
  <c r="B63" i="13"/>
  <c r="B62" i="13"/>
  <c r="B61" i="13"/>
  <c r="B60" i="13"/>
  <c r="B59" i="13"/>
  <c r="B58" i="13"/>
  <c r="B57" i="13"/>
  <c r="B56" i="13"/>
  <c r="B55" i="13"/>
  <c r="B54" i="13"/>
  <c r="B53" i="13"/>
  <c r="B52" i="13"/>
  <c r="B51" i="13"/>
  <c r="B50" i="13"/>
  <c r="B49" i="13"/>
  <c r="B48" i="13" s="1"/>
  <c r="H48" i="13"/>
  <c r="G48" i="13"/>
  <c r="F48" i="13"/>
  <c r="E48" i="13"/>
  <c r="D48" i="13"/>
  <c r="C48" i="13"/>
  <c r="B114" i="12"/>
  <c r="B113" i="12"/>
  <c r="B112" i="12"/>
  <c r="B111" i="12"/>
  <c r="B110" i="12"/>
  <c r="B109" i="12"/>
  <c r="B108" i="12"/>
  <c r="B107" i="12"/>
  <c r="B106" i="12"/>
  <c r="B105" i="12"/>
  <c r="B104" i="12"/>
  <c r="B103" i="12"/>
  <c r="B102" i="12"/>
  <c r="B101" i="12"/>
  <c r="B100" i="12"/>
  <c r="B99" i="12"/>
  <c r="B98" i="12"/>
  <c r="B97" i="12"/>
  <c r="B96" i="12"/>
  <c r="B95" i="12"/>
  <c r="B94" i="12"/>
  <c r="B93" i="12"/>
  <c r="H92" i="12"/>
  <c r="G92" i="12"/>
  <c r="F92" i="12"/>
  <c r="E92" i="12"/>
  <c r="D92" i="12"/>
  <c r="C92" i="12"/>
  <c r="Q7" i="6"/>
  <c r="Q8" i="6"/>
  <c r="Q9" i="6"/>
  <c r="Q10" i="6"/>
  <c r="Q11" i="6"/>
  <c r="Q12" i="6"/>
  <c r="Q27" i="6"/>
  <c r="Q20" i="6"/>
  <c r="Q13" i="6"/>
  <c r="J9" i="4"/>
  <c r="P10" i="1"/>
  <c r="Q9" i="4" l="1"/>
  <c r="S9" i="4"/>
  <c r="B92" i="12"/>
  <c r="P9" i="1"/>
  <c r="Q6" i="6"/>
  <c r="Z10" i="1"/>
  <c r="F7" i="7" l="1"/>
  <c r="E7" i="7"/>
  <c r="D7" i="7"/>
  <c r="C7" i="7"/>
  <c r="B7" i="7"/>
  <c r="F39" i="6"/>
  <c r="P27" i="6"/>
  <c r="O27" i="6"/>
  <c r="N27" i="6"/>
  <c r="M27" i="6"/>
  <c r="L27" i="6"/>
  <c r="K27" i="6"/>
  <c r="J27" i="6"/>
  <c r="I27" i="6"/>
  <c r="H27" i="6"/>
  <c r="G27" i="6"/>
  <c r="F27" i="6"/>
  <c r="E27" i="6"/>
  <c r="D27" i="6"/>
  <c r="C27" i="6"/>
  <c r="P20" i="6"/>
  <c r="O20" i="6"/>
  <c r="N20" i="6"/>
  <c r="M20" i="6"/>
  <c r="L20" i="6"/>
  <c r="K20" i="6"/>
  <c r="J20" i="6"/>
  <c r="I20" i="6"/>
  <c r="H20" i="6"/>
  <c r="G20" i="6"/>
  <c r="F20" i="6"/>
  <c r="E20" i="6"/>
  <c r="D20" i="6"/>
  <c r="C20" i="6"/>
  <c r="P13" i="6"/>
  <c r="O13" i="6"/>
  <c r="N13" i="6"/>
  <c r="M13" i="6"/>
  <c r="L13" i="6"/>
  <c r="K13" i="6"/>
  <c r="J13" i="6"/>
  <c r="I13" i="6"/>
  <c r="H13" i="6"/>
  <c r="G13" i="6"/>
  <c r="F13" i="6"/>
  <c r="E13" i="6"/>
  <c r="D13" i="6"/>
  <c r="P12" i="6"/>
  <c r="O12" i="6"/>
  <c r="N12" i="6"/>
  <c r="M12" i="6"/>
  <c r="L12" i="6"/>
  <c r="K12" i="6"/>
  <c r="J12" i="6"/>
  <c r="I12" i="6"/>
  <c r="H12" i="6"/>
  <c r="G12" i="6"/>
  <c r="F12" i="6"/>
  <c r="E12" i="6"/>
  <c r="D12" i="6"/>
  <c r="C12" i="6"/>
  <c r="P11" i="6"/>
  <c r="O11" i="6"/>
  <c r="N11" i="6"/>
  <c r="M11" i="6"/>
  <c r="L11" i="6"/>
  <c r="K11" i="6"/>
  <c r="J11" i="6"/>
  <c r="I11" i="6"/>
  <c r="H11" i="6"/>
  <c r="G11" i="6"/>
  <c r="F11" i="6"/>
  <c r="E11" i="6"/>
  <c r="D11" i="6"/>
  <c r="C11" i="6"/>
  <c r="P10" i="6"/>
  <c r="O10" i="6"/>
  <c r="N10" i="6"/>
  <c r="N6" i="6" s="1"/>
  <c r="M10" i="6"/>
  <c r="L10" i="6"/>
  <c r="K10" i="6"/>
  <c r="J10" i="6"/>
  <c r="I10" i="6"/>
  <c r="H10" i="6"/>
  <c r="G10" i="6"/>
  <c r="P9" i="6"/>
  <c r="O9" i="6"/>
  <c r="N9" i="6"/>
  <c r="M9" i="6"/>
  <c r="L9" i="6"/>
  <c r="K9" i="6"/>
  <c r="J9" i="6"/>
  <c r="I9" i="6"/>
  <c r="H9" i="6"/>
  <c r="G9" i="6"/>
  <c r="P8" i="6"/>
  <c r="O8" i="6"/>
  <c r="N8" i="6"/>
  <c r="M8" i="6"/>
  <c r="L8" i="6"/>
  <c r="K8" i="6"/>
  <c r="J8" i="6"/>
  <c r="I8" i="6"/>
  <c r="H8" i="6"/>
  <c r="G8" i="6"/>
  <c r="F8" i="6"/>
  <c r="E8" i="6"/>
  <c r="D8" i="6"/>
  <c r="C8" i="6"/>
  <c r="P7" i="6"/>
  <c r="P6" i="6" s="1"/>
  <c r="O7" i="6"/>
  <c r="O6" i="6" s="1"/>
  <c r="N7" i="6"/>
  <c r="M7" i="6"/>
  <c r="L7" i="6"/>
  <c r="K7" i="6"/>
  <c r="J7" i="6"/>
  <c r="J6" i="6" s="1"/>
  <c r="I7" i="6"/>
  <c r="I6" i="6" s="1"/>
  <c r="H7" i="6"/>
  <c r="H6" i="6" s="1"/>
  <c r="G7" i="6"/>
  <c r="G6" i="6" s="1"/>
  <c r="F7" i="6"/>
  <c r="E7" i="6"/>
  <c r="D7" i="6"/>
  <c r="D6" i="6" s="1"/>
  <c r="C7" i="6"/>
  <c r="C13" i="6" s="1"/>
  <c r="F6" i="6"/>
  <c r="E6" i="6"/>
  <c r="B21" i="5"/>
  <c r="B20" i="5"/>
  <c r="B19" i="5"/>
  <c r="B18" i="5"/>
  <c r="B17" i="5"/>
  <c r="B16" i="5"/>
  <c r="B15" i="5"/>
  <c r="B14" i="5"/>
  <c r="B13" i="5"/>
  <c r="B12" i="5"/>
  <c r="B11" i="5"/>
  <c r="B10" i="5"/>
  <c r="B9" i="5"/>
  <c r="J8" i="5"/>
  <c r="I8" i="5"/>
  <c r="H8" i="5"/>
  <c r="G8" i="5"/>
  <c r="F8" i="5"/>
  <c r="E8" i="5"/>
  <c r="D8" i="5"/>
  <c r="C8" i="5"/>
  <c r="I9" i="4"/>
  <c r="H9" i="4"/>
  <c r="G9" i="4"/>
  <c r="N19" i="4" s="1"/>
  <c r="F9" i="4"/>
  <c r="M19" i="4" s="1"/>
  <c r="E9" i="4"/>
  <c r="L19" i="4" s="1"/>
  <c r="D9" i="4"/>
  <c r="C9" i="4"/>
  <c r="B9" i="4"/>
  <c r="O10" i="1"/>
  <c r="Y12" i="1" s="1"/>
  <c r="N10" i="1"/>
  <c r="X12" i="1" s="1"/>
  <c r="M10" i="1"/>
  <c r="W15" i="1" s="1"/>
  <c r="L10" i="1"/>
  <c r="V12" i="1" s="1"/>
  <c r="K10" i="1"/>
  <c r="U10" i="1" s="1"/>
  <c r="J10" i="1"/>
  <c r="T12" i="1" s="1"/>
  <c r="I10" i="1"/>
  <c r="S12" i="1" s="1"/>
  <c r="H10" i="1"/>
  <c r="R12" i="1" s="1"/>
  <c r="G10" i="1"/>
  <c r="G9" i="1" s="1"/>
  <c r="F10" i="1"/>
  <c r="E10" i="1"/>
  <c r="D10" i="1"/>
  <c r="C10" i="1"/>
  <c r="W9" i="1"/>
  <c r="T9" i="1"/>
  <c r="S9" i="1"/>
  <c r="I9" i="1"/>
  <c r="H9" i="1"/>
  <c r="R9" i="1" s="1"/>
  <c r="W8" i="1"/>
  <c r="V8" i="1"/>
  <c r="T8" i="1"/>
  <c r="S8" i="1"/>
  <c r="R16" i="4" l="1"/>
  <c r="R12" i="4"/>
  <c r="R19" i="4"/>
  <c r="R15" i="4"/>
  <c r="R14" i="4"/>
  <c r="R13" i="4"/>
  <c r="R20" i="4"/>
  <c r="R21" i="4"/>
  <c r="R11" i="4"/>
  <c r="R18" i="4"/>
  <c r="R10" i="4"/>
  <c r="R17" i="4"/>
  <c r="X8" i="1"/>
  <c r="X13" i="1"/>
  <c r="X9" i="1"/>
  <c r="Y13" i="1"/>
  <c r="Y9" i="1"/>
  <c r="X14" i="1"/>
  <c r="Y14" i="1"/>
  <c r="X15" i="1"/>
  <c r="Y8" i="1"/>
  <c r="Y15" i="1"/>
  <c r="P19" i="4"/>
  <c r="Q18" i="4"/>
  <c r="Q14" i="4"/>
  <c r="Q10" i="4"/>
  <c r="Q21" i="4"/>
  <c r="Q17" i="4"/>
  <c r="Q13" i="4"/>
  <c r="Q15" i="4"/>
  <c r="Q20" i="4"/>
  <c r="Q16" i="4"/>
  <c r="Q12" i="4"/>
  <c r="Q19" i="4"/>
  <c r="Q11" i="4"/>
  <c r="P9" i="4"/>
  <c r="L10" i="4"/>
  <c r="L13" i="4"/>
  <c r="L6" i="6"/>
  <c r="K6" i="6"/>
  <c r="M6" i="6"/>
  <c r="B8" i="5"/>
  <c r="L11" i="4"/>
  <c r="L20" i="4"/>
  <c r="L14" i="4"/>
  <c r="M21" i="4"/>
  <c r="L12" i="4"/>
  <c r="L9" i="4"/>
  <c r="C6" i="6"/>
  <c r="L21" i="4"/>
  <c r="L15" i="4"/>
  <c r="L16" i="4"/>
  <c r="L17" i="4"/>
  <c r="L18" i="4"/>
  <c r="M20" i="4"/>
  <c r="N21" i="4"/>
  <c r="M9" i="4"/>
  <c r="M10" i="4"/>
  <c r="M11" i="4"/>
  <c r="M12" i="4"/>
  <c r="M13" i="4"/>
  <c r="M14" i="4"/>
  <c r="M15" i="4"/>
  <c r="M16" i="4"/>
  <c r="M17" i="4"/>
  <c r="M18" i="4"/>
  <c r="N20" i="4"/>
  <c r="O21" i="4"/>
  <c r="N9" i="4"/>
  <c r="N10" i="4"/>
  <c r="N11" i="4"/>
  <c r="N12" i="4"/>
  <c r="N13" i="4"/>
  <c r="N14" i="4"/>
  <c r="N15" i="4"/>
  <c r="N16" i="4"/>
  <c r="N17" i="4"/>
  <c r="N18" i="4"/>
  <c r="O20" i="4"/>
  <c r="P21" i="4"/>
  <c r="O9" i="4"/>
  <c r="O10" i="4"/>
  <c r="O11" i="4"/>
  <c r="O12" i="4"/>
  <c r="O13" i="4"/>
  <c r="O14" i="4"/>
  <c r="O15" i="4"/>
  <c r="O16" i="4"/>
  <c r="O17" i="4"/>
  <c r="O18" i="4"/>
  <c r="O19" i="4"/>
  <c r="P20" i="4"/>
  <c r="P10" i="4"/>
  <c r="P11" i="4"/>
  <c r="P12" i="4"/>
  <c r="P13" i="4"/>
  <c r="P14" i="4"/>
  <c r="P15" i="4"/>
  <c r="P16" i="4"/>
  <c r="P17" i="4"/>
  <c r="P18" i="4"/>
  <c r="U12" i="1"/>
  <c r="W11" i="1"/>
  <c r="R15" i="1"/>
  <c r="U9" i="1"/>
  <c r="X10" i="1"/>
  <c r="X11" i="1"/>
  <c r="S14" i="1"/>
  <c r="S15" i="1"/>
  <c r="U11" i="1"/>
  <c r="W10" i="1"/>
  <c r="W12" i="1"/>
  <c r="R14" i="1"/>
  <c r="R8" i="1"/>
  <c r="Y10" i="1"/>
  <c r="Y11" i="1"/>
  <c r="T14" i="1"/>
  <c r="T15" i="1"/>
  <c r="R11" i="1"/>
  <c r="U13" i="1"/>
  <c r="U14" i="1"/>
  <c r="S10" i="1"/>
  <c r="S11" i="1"/>
  <c r="V13" i="1"/>
  <c r="V14" i="1"/>
  <c r="V15" i="1"/>
  <c r="R10" i="1"/>
  <c r="U15" i="1"/>
  <c r="U8" i="1"/>
  <c r="L9" i="1"/>
  <c r="V9" i="1" s="1"/>
  <c r="T10" i="1"/>
  <c r="T11" i="1"/>
  <c r="W13" i="1"/>
  <c r="W14" i="1"/>
  <c r="V10" i="1"/>
  <c r="V11" i="1"/>
  <c r="G5" i="15" l="1"/>
  <c r="F5" i="15"/>
  <c r="E5" i="15"/>
  <c r="D5" i="15"/>
  <c r="C5" i="15"/>
  <c r="B5" i="15"/>
  <c r="F6" i="14"/>
  <c r="E6" i="14"/>
  <c r="D6" i="14"/>
  <c r="C6" i="14"/>
  <c r="B6" i="14"/>
  <c r="B7" i="13"/>
  <c r="H7" i="13"/>
  <c r="G7" i="13"/>
  <c r="F7" i="13"/>
  <c r="E7" i="13"/>
  <c r="D7" i="13"/>
  <c r="C7" i="13"/>
  <c r="H38" i="12"/>
  <c r="G38" i="12"/>
  <c r="F38" i="12"/>
  <c r="E38" i="12"/>
  <c r="D38" i="12"/>
  <c r="C38" i="12"/>
  <c r="G5" i="11"/>
  <c r="F5" i="11"/>
  <c r="E5" i="11"/>
  <c r="D5" i="11"/>
  <c r="C5" i="11"/>
  <c r="B5" i="11"/>
  <c r="B38" i="12" l="1"/>
</calcChain>
</file>

<file path=xl/sharedStrings.xml><?xml version="1.0" encoding="utf-8"?>
<sst xmlns="http://schemas.openxmlformats.org/spreadsheetml/2006/main" count="1941" uniqueCount="482">
  <si>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</si>
  <si>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</si>
  <si>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</si>
  <si>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</si>
  <si>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</si>
  <si>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</si>
  <si>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</si>
  <si>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</si>
  <si>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</si>
  <si>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</si>
  <si>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</si>
  <si>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</si>
  <si>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</si>
  <si>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</si>
  <si>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</si>
  <si>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</si>
  <si>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</si>
  <si>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</si>
  <si>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</si>
  <si>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</si>
  <si>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</si>
  <si>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</si>
  <si>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</si>
  <si>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</si>
  <si>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 xml:space="preserve"> Locality</t>
  </si>
  <si>
    <t>udwdwA ununEb cswm</t>
  </si>
  <si>
    <t>(cnia % ) urwvcnim ivurutia eruvcSwrwhwa wyidim</t>
  </si>
  <si>
    <t>cnwt</t>
  </si>
  <si>
    <t>Fish catch</t>
  </si>
  <si>
    <t xml:space="preserve">% change over  previous year </t>
  </si>
  <si>
    <t>Republic</t>
  </si>
  <si>
    <t>ejcaWriLum</t>
  </si>
  <si>
    <t>Male'</t>
  </si>
  <si>
    <t>elWm</t>
  </si>
  <si>
    <t>Atolls</t>
  </si>
  <si>
    <t>cawtuLotwa</t>
  </si>
  <si>
    <t>Longline</t>
  </si>
  <si>
    <t xml:space="preserve"> HA</t>
  </si>
  <si>
    <t>ah</t>
  </si>
  <si>
    <t xml:space="preserve"> HDh</t>
  </si>
  <si>
    <t>dh</t>
  </si>
  <si>
    <t xml:space="preserve"> Sh</t>
  </si>
  <si>
    <t>S</t>
  </si>
  <si>
    <t xml:space="preserve"> N</t>
  </si>
  <si>
    <t>n</t>
  </si>
  <si>
    <t xml:space="preserve"> R</t>
  </si>
  <si>
    <t>r</t>
  </si>
  <si>
    <t>B</t>
  </si>
  <si>
    <t>b</t>
  </si>
  <si>
    <t>Lh</t>
  </si>
  <si>
    <t>L</t>
  </si>
  <si>
    <t>K</t>
  </si>
  <si>
    <t>k</t>
  </si>
  <si>
    <t>AA</t>
  </si>
  <si>
    <t xml:space="preserve"> aa</t>
  </si>
  <si>
    <t>ADh</t>
  </si>
  <si>
    <t>da</t>
  </si>
  <si>
    <t>V</t>
  </si>
  <si>
    <t>v</t>
  </si>
  <si>
    <t>M</t>
  </si>
  <si>
    <t>m</t>
  </si>
  <si>
    <t>F</t>
  </si>
  <si>
    <t>f</t>
  </si>
  <si>
    <t>Dh</t>
  </si>
  <si>
    <t>d</t>
  </si>
  <si>
    <t>Th</t>
  </si>
  <si>
    <t>t</t>
  </si>
  <si>
    <t xml:space="preserve"> L</t>
  </si>
  <si>
    <t>l</t>
  </si>
  <si>
    <t>GA</t>
  </si>
  <si>
    <t>ag</t>
  </si>
  <si>
    <t>GDh</t>
  </si>
  <si>
    <t>dg</t>
  </si>
  <si>
    <t>Gn</t>
  </si>
  <si>
    <t>N</t>
  </si>
  <si>
    <t>s</t>
  </si>
  <si>
    <t>Source: Ministry of Fisheries  and Agriculture</t>
  </si>
  <si>
    <t>(cnunwT ckircTem)</t>
  </si>
  <si>
    <t>(In  metric tons)</t>
  </si>
  <si>
    <t>Type of fish</t>
  </si>
  <si>
    <t>މަހުގެ ބާވަތް</t>
  </si>
  <si>
    <t>Locality</t>
  </si>
  <si>
    <t>wlcmuj</t>
  </si>
  <si>
    <t>cswmwlibuLwk</t>
  </si>
  <si>
    <t>ilencnwk</t>
  </si>
  <si>
    <t>ކަންފަތް ދިގު ކަންނެލި</t>
  </si>
  <si>
    <t>cswm iSov</t>
  </si>
  <si>
    <t>iTcawl</t>
  </si>
  <si>
    <t>iDnogWr</t>
  </si>
  <si>
    <t>cswmurwf cnehinehea</t>
  </si>
  <si>
    <t>Total</t>
  </si>
  <si>
    <t>Skipjack tuna</t>
  </si>
  <si>
    <t>Yellowfin tuna</t>
  </si>
  <si>
    <t>Big eye tuna</t>
  </si>
  <si>
    <t>Albacore tuna</t>
  </si>
  <si>
    <t>Dogtooth tuna</t>
  </si>
  <si>
    <t xml:space="preserve">   Little tuna</t>
  </si>
  <si>
    <t>Frigate tuna</t>
  </si>
  <si>
    <t>Other marine fish</t>
  </si>
  <si>
    <t>(cnunwTckircTem)</t>
  </si>
  <si>
    <t>(In metric tons)</t>
  </si>
  <si>
    <t>Month</t>
  </si>
  <si>
    <t xml:space="preserve"> eruvcSwrwhwa wyidim</t>
  </si>
  <si>
    <t>(cnia % ) urwvcnim ivurutia</t>
  </si>
  <si>
    <t>Fish Catch</t>
  </si>
  <si>
    <t>Growth</t>
  </si>
  <si>
    <t>% change over</t>
  </si>
  <si>
    <t>January</t>
  </si>
  <si>
    <t>February</t>
  </si>
  <si>
    <t>March</t>
  </si>
  <si>
    <t>April</t>
  </si>
  <si>
    <t>May</t>
  </si>
  <si>
    <t>June</t>
  </si>
  <si>
    <t>July</t>
  </si>
  <si>
    <t>August</t>
  </si>
  <si>
    <t>September</t>
  </si>
  <si>
    <t>October</t>
  </si>
  <si>
    <t>November</t>
  </si>
  <si>
    <t>December</t>
  </si>
  <si>
    <t xml:space="preserve">    Type of fish</t>
  </si>
  <si>
    <t>ctwvWbeguhwm</t>
  </si>
  <si>
    <t xml:space="preserve">        wlcmuj</t>
  </si>
  <si>
    <t xml:space="preserve">       cswmwlibuLwk</t>
  </si>
  <si>
    <t>ilencnwk ugid ctwfcnwk</t>
  </si>
  <si>
    <t>cswm</t>
  </si>
  <si>
    <t>Skipjack</t>
  </si>
  <si>
    <t>Little tuna</t>
  </si>
  <si>
    <t>-</t>
  </si>
  <si>
    <t>Irwaunej</t>
  </si>
  <si>
    <t>Irwaurcbef</t>
  </si>
  <si>
    <t>cCrWm</t>
  </si>
  <si>
    <t>clIrcpEa</t>
  </si>
  <si>
    <t>iaem</t>
  </si>
  <si>
    <t>cnUj</t>
  </si>
  <si>
    <t>iawluj</t>
  </si>
  <si>
    <t>cTcswgOa</t>
  </si>
  <si>
    <t>rwbcmeTcpes</t>
  </si>
  <si>
    <t>rwbOTckoa</t>
  </si>
  <si>
    <t>rwbcmevon</t>
  </si>
  <si>
    <t>rwbcmesiD</t>
  </si>
  <si>
    <t>Type of vessel &amp; species</t>
  </si>
  <si>
    <t>All Vessels</t>
  </si>
  <si>
    <t>Albacore</t>
  </si>
  <si>
    <t>Other tuna related species</t>
  </si>
  <si>
    <t>Other Marine Fishes</t>
  </si>
  <si>
    <t>Mechanised Masdhoni</t>
  </si>
  <si>
    <t>Other vessels</t>
  </si>
  <si>
    <t>inOdcswm cnehinehea</t>
  </si>
  <si>
    <t>Longline vessels</t>
  </si>
  <si>
    <t>udnwLua egumwkirevcswm unEl</t>
  </si>
  <si>
    <t>Sail Masdhoni</t>
  </si>
  <si>
    <t>Vadhu dhoni</t>
  </si>
  <si>
    <t>Rowing Boats</t>
  </si>
  <si>
    <t>EEZ</t>
  </si>
  <si>
    <t>Miscellaneous</t>
  </si>
  <si>
    <t>(މެޓްރިކްޓަނުން)</t>
  </si>
  <si>
    <t>މަސް</t>
  </si>
  <si>
    <t>TOTAL</t>
  </si>
  <si>
    <t>ޖުމްލަ</t>
  </si>
  <si>
    <t>ޖެނުއަރީ</t>
  </si>
  <si>
    <t>Jan</t>
  </si>
  <si>
    <t>ފެބްރުއަރީ</t>
  </si>
  <si>
    <t>Feb</t>
  </si>
  <si>
    <t>މާރޗް</t>
  </si>
  <si>
    <t>Mar</t>
  </si>
  <si>
    <t>އެޕްރީލް</t>
  </si>
  <si>
    <t>Apr</t>
  </si>
  <si>
    <t>މެއި</t>
  </si>
  <si>
    <t>ޖޫން</t>
  </si>
  <si>
    <t>Jun</t>
  </si>
  <si>
    <t>ޖުލައި</t>
  </si>
  <si>
    <t>Jul</t>
  </si>
  <si>
    <t>އޯގަސްޓް</t>
  </si>
  <si>
    <t>Aug</t>
  </si>
  <si>
    <t>ސެޕްޓެމްބަރ</t>
  </si>
  <si>
    <t>Sep</t>
  </si>
  <si>
    <t>އޮކްޓޯބަރ</t>
  </si>
  <si>
    <t>Oct</t>
  </si>
  <si>
    <t>ނޮވެމްބަރ</t>
  </si>
  <si>
    <t>Nov</t>
  </si>
  <si>
    <t>ޑިސެމްބަރ</t>
  </si>
  <si>
    <t>Dec</t>
  </si>
  <si>
    <t>Source: Purchasing companies</t>
  </si>
  <si>
    <t>މަޢުލޫމާތު ދެއްވި ފަރާތް: މަސްގަންނަ ކުންފުނިތައް</t>
  </si>
  <si>
    <t xml:space="preserve">Compiled by: Statistics Unit, </t>
  </si>
  <si>
    <t>ތާވަލް ތައްޔާރުކުރެއްވި ފަރާތް: ސްޓެޓިސްޓިކްސް ޔުނިޓް،</t>
  </si>
  <si>
    <r>
      <t xml:space="preserve">                               </t>
    </r>
    <r>
      <rPr>
        <b/>
        <sz val="10"/>
        <rFont val="Calibri"/>
        <family val="2"/>
      </rPr>
      <t xml:space="preserve">  Fishing Trips</t>
    </r>
    <r>
      <rPr>
        <b/>
        <sz val="10"/>
        <rFont val="A_Randhoo"/>
      </rPr>
      <t xml:space="preserve">                           </t>
    </r>
    <r>
      <rPr>
        <b/>
        <sz val="10"/>
        <rFont val="A_Waheed"/>
      </rPr>
      <t xml:space="preserve"> urwhwfirufcSwhwm</t>
    </r>
  </si>
  <si>
    <t>ތަން</t>
  </si>
  <si>
    <t>inOdcswm iLeaunIjcnia</t>
  </si>
  <si>
    <t>Mechanised</t>
  </si>
  <si>
    <t>Masdhoni</t>
  </si>
  <si>
    <t xml:space="preserve"> AA</t>
  </si>
  <si>
    <t>Table 9.7  ( continued )</t>
  </si>
  <si>
    <r>
      <rPr>
        <b/>
        <sz val="10"/>
        <rFont val="Calibri"/>
        <family val="2"/>
      </rPr>
      <t xml:space="preserve">Average no. of vessels engaged per month  </t>
    </r>
    <r>
      <rPr>
        <b/>
        <sz val="10"/>
        <rFont val="A_Randhoo"/>
      </rPr>
      <t xml:space="preserve">      </t>
    </r>
  </si>
  <si>
    <t xml:space="preserve">  udwdwA egInOdirufcSwhwm ukwhwm emcnok cSokcjercvea</t>
  </si>
  <si>
    <t>inOdcswmiLeaunIjcnia</t>
  </si>
  <si>
    <r>
      <t xml:space="preserve">Fishing methods  </t>
    </r>
    <r>
      <rPr>
        <b/>
        <sz val="10"/>
        <rFont val="Faruma"/>
      </rPr>
      <t xml:space="preserve">   މަސްބޭނިގޮތް</t>
    </r>
  </si>
  <si>
    <t>Pole and Line</t>
  </si>
  <si>
    <t>Trolling</t>
  </si>
  <si>
    <t>Long Line</t>
  </si>
  <si>
    <t>Hand  Line</t>
  </si>
  <si>
    <t>Hand line (Reef )</t>
  </si>
  <si>
    <t>Fixed Net</t>
  </si>
  <si>
    <t>Other methods</t>
  </si>
  <si>
    <t>Other tuna</t>
  </si>
  <si>
    <t>cswmuDnwk cnehinehea</t>
  </si>
  <si>
    <t>Percentage share ( % )</t>
  </si>
  <si>
    <t xml:space="preserve"> (%) cniawtcaws ctogWviawfiheb</t>
  </si>
  <si>
    <t>Fish Catch (metric tonnes)</t>
  </si>
  <si>
    <t>Catch per unit effort (metric tonnes)</t>
  </si>
  <si>
    <t>Fishing Trips</t>
  </si>
  <si>
    <t>Longline Vessels</t>
  </si>
  <si>
    <t>Masdhonis</t>
  </si>
  <si>
    <t xml:space="preserve">މައުލޫމާތު ދެއްވި ފަރާތް: މިނިސްޓްރީ އޮފް ފިޝަރީޒް އެންޑް އެގްރިކަލްޗަރ </t>
  </si>
  <si>
    <r>
      <t xml:space="preserve">No. of Fisherman    </t>
    </r>
    <r>
      <rPr>
        <b/>
        <sz val="11"/>
        <color theme="1"/>
        <rFont val="Faruma"/>
      </rPr>
      <t xml:space="preserve">މަސްވެރިންގެ އަދަދު  </t>
    </r>
  </si>
  <si>
    <t xml:space="preserve">އަތޮޅުތައް </t>
  </si>
  <si>
    <t>Atoll total</t>
  </si>
  <si>
    <t>އަޔޮޅުތަކުގެ ޖުމްލަ</t>
  </si>
  <si>
    <t>HA</t>
  </si>
  <si>
    <t>HDh</t>
  </si>
  <si>
    <t>Sh</t>
  </si>
  <si>
    <t>R</t>
  </si>
  <si>
    <t xml:space="preserve"> k</t>
  </si>
  <si>
    <t>Source: Ministry of Fisheries and Agriculture</t>
  </si>
  <si>
    <t>2018 ,cawtctwvWb egumwkirevuDnwd Wdcawh cSokumcaWa iawgEjcaWr cniaeret egukwtctwvWb unuveruk cTrOpcmia cSwaejcaWr  : 9.12 ulwvWt</t>
  </si>
  <si>
    <t>Table 9.12: IMPORTS OF FRESH AGRICULTURAL CROPS MAINLY PRODUCED IN MALDIVES, 2018</t>
  </si>
  <si>
    <t>(ރުފިޔާއިން )</t>
  </si>
  <si>
    <t>(Value in MVR)</t>
  </si>
  <si>
    <t>Agricultural crops</t>
  </si>
  <si>
    <t>އިންޑިއާ</t>
  </si>
  <si>
    <t>ސްރީލަންކާ</t>
  </si>
  <si>
    <t>ޔޫ. އޭ. އީ</t>
  </si>
  <si>
    <t>އޮސްޓްރޭލިއާ</t>
  </si>
  <si>
    <t>ތައިލޭންޑް</t>
  </si>
  <si>
    <t>އެހެނިހެން ޤައުމުތައް</t>
  </si>
  <si>
    <t>ދަނޑުވެރިކަމުގެ ބާވަތްތައް</t>
  </si>
  <si>
    <t xml:space="preserve"> Total</t>
  </si>
  <si>
    <t>India</t>
  </si>
  <si>
    <t>Srilanka</t>
  </si>
  <si>
    <t>U.A.E</t>
  </si>
  <si>
    <t>Australia</t>
  </si>
  <si>
    <t>Thailand</t>
  </si>
  <si>
    <t>Other Countries</t>
  </si>
  <si>
    <t>Banana &amp; Plaintain (Fresh)</t>
  </si>
  <si>
    <t>ފަތްކެޔޮ</t>
  </si>
  <si>
    <t>Beans, Fresh Or Chilled</t>
  </si>
  <si>
    <t>ބީންސް</t>
  </si>
  <si>
    <t>Bitter Gourd (Fresh Or Chilled )</t>
  </si>
  <si>
    <t>ފާގަ</t>
  </si>
  <si>
    <t>Bottle Gourd (Fresh Or Chilled )</t>
  </si>
  <si>
    <t>ކަދޫ</t>
  </si>
  <si>
    <t>Bread Fruit (Fresh Or Chilled)</t>
  </si>
  <si>
    <t>ބަނބުކެޔޮ</t>
  </si>
  <si>
    <t>Cabbage (Fresh Or Chilled )</t>
  </si>
  <si>
    <t>ބޮނޑިކޮޕީ</t>
  </si>
  <si>
    <t>Cabbage Lettuce, Fresh or Chilled</t>
  </si>
  <si>
    <t>ކެބެޖް ލެޓިއުސް</t>
  </si>
  <si>
    <t>Cassava &amp; Manioc (Fresh , Chilled Or Frozen )</t>
  </si>
  <si>
    <t>ދަނޑިއަލުވި</t>
  </si>
  <si>
    <t>Chillies(Fresh Or Chilled )</t>
  </si>
  <si>
    <t>ގިތެޔޮމިރުސް</t>
  </si>
  <si>
    <t>Cucumber (Fresh Or Chilled )</t>
  </si>
  <si>
    <t>ކިއުކަމްބަރ</t>
  </si>
  <si>
    <t>Drumstick (Fresh Or Chilled )</t>
  </si>
  <si>
    <t>މުރަނގަތޮޅި</t>
  </si>
  <si>
    <t>Guava (Fresh Or Dried )</t>
  </si>
  <si>
    <t>ފޭރު</t>
  </si>
  <si>
    <t>Lettuce, Fresh Or Chilled, (Excl. Cabbage Lettuce)</t>
  </si>
  <si>
    <t>ލެޓިއުސް</t>
  </si>
  <si>
    <t>Mango (Fresh Or Dried )</t>
  </si>
  <si>
    <t>އަނބު</t>
  </si>
  <si>
    <t>Melons, Fresh, (Excl.Watermelons)</t>
  </si>
  <si>
    <t>މެލަން</t>
  </si>
  <si>
    <t>Papaws (Papayas), Fresh</t>
  </si>
  <si>
    <t>ފަޅޯ</t>
  </si>
  <si>
    <t>Passion Fruit (Fresh Or Dried )</t>
  </si>
  <si>
    <t>ފެޝަންފްރުޓް</t>
  </si>
  <si>
    <t>Pumpkin (Fresh Or Chilled)</t>
  </si>
  <si>
    <t>ބަރަބޯ</t>
  </si>
  <si>
    <t>Sapodilla (Fresh)</t>
  </si>
  <si>
    <t>ސަބްދެލި</t>
  </si>
  <si>
    <t>Snake Gourd (Fresh Or Chilled )</t>
  </si>
  <si>
    <t>ޗިޗަންޑާ</t>
  </si>
  <si>
    <t>Sweet Potato (Fresh , Chilled Or Frozen )</t>
  </si>
  <si>
    <t>ކައްޓަލަ</t>
  </si>
  <si>
    <t>Watermelons, Fresh</t>
  </si>
  <si>
    <t>ކަރާ</t>
  </si>
  <si>
    <t>Source: Maldives Customs Service</t>
  </si>
  <si>
    <t xml:space="preserve"> cswsivrWs cscmwTcswk cscviDclOM :ctWrwf ivcaedutWmUluAwm</t>
  </si>
  <si>
    <t>2018 ,cawtctwvWb egumwkirevuDnwd Wdcawh cSokumcaWa iawgEjcaWr cniaeret egukwtctwvWb unuveruk cTrOpcmia cSwaejcaWr  : 9.13 ulwvWt</t>
  </si>
  <si>
    <t>Table 9.13: IMPORTS OF FRESH AGRICULTURAL CROPS MAINLY PRODUCED IN MALDIVES, 2018</t>
  </si>
  <si>
    <t>(cniaOlik )</t>
  </si>
  <si>
    <t>(In kgs)</t>
  </si>
  <si>
    <t>Agricultural Crops</t>
  </si>
  <si>
    <t>Bitter Gourd ( Fresh Or Chilled )</t>
  </si>
  <si>
    <t>Bottle Gourd ( Fresh Or Chilled )</t>
  </si>
  <si>
    <t>Bread Fruit ( Fresh Or Chilled)</t>
  </si>
  <si>
    <t>Cabbage ( Fresh Or Chilled )</t>
  </si>
  <si>
    <t>Cassava &amp; Manioc ( Fresh , Chilled Or Frozen )</t>
  </si>
  <si>
    <t>Chillies( Fresh Or Chilled )</t>
  </si>
  <si>
    <t>Cucumber ( Fresh Or Chilled )</t>
  </si>
  <si>
    <t>Drumstick ( Fresh Or Chilled )</t>
  </si>
  <si>
    <t>Guava ( Fresh Or Dried )</t>
  </si>
  <si>
    <t>Mango ( Fresh Or Dried )</t>
  </si>
  <si>
    <t>Passion Fruit ( Fresh Or Dried )</t>
  </si>
  <si>
    <t>Snake Gourd ( Fresh Or Chilled )</t>
  </si>
  <si>
    <t>Sweet Potato ( Fresh , Chilled Or Frozen )</t>
  </si>
  <si>
    <t>ދަނޑުވެރިކަމުގެ ބާވަތްތަށް</t>
  </si>
  <si>
    <t>Beans, Fresh or Chilled</t>
  </si>
  <si>
    <t>Bitter Gourd ( Fresh or Chilled )</t>
  </si>
  <si>
    <t>Bread Fruit ( Fresh or Chilled)</t>
  </si>
  <si>
    <t>Cabbage ( Fresh or Chilled )</t>
  </si>
  <si>
    <t>ބޮނޑި ކޮޕީ</t>
  </si>
  <si>
    <t>Cassava &amp; Manioc ( Fresh , Chilled or Frozen )</t>
  </si>
  <si>
    <t>Chillies( Fresh or Chilled )</t>
  </si>
  <si>
    <t>Cucumber ( Fresh or Chilled )</t>
  </si>
  <si>
    <t>Drumstick ( Fresh or Chilled )</t>
  </si>
  <si>
    <t>Guava ( Fresh or Dried )</t>
  </si>
  <si>
    <t>Mango ( Fresh or Dried )</t>
  </si>
  <si>
    <t>Pumpkin ( Fresh or Chilled)</t>
  </si>
  <si>
    <t>Sapodila ( Fresh )</t>
  </si>
  <si>
    <t>Snake Gourd ( Fresh or Chilled )</t>
  </si>
  <si>
    <t>Sweet Potato ( Fresh , Chilled or Frozen )</t>
  </si>
  <si>
    <t>Watermelons, (Fresh)</t>
  </si>
  <si>
    <r>
      <t xml:space="preserve">No. of Farmers   </t>
    </r>
    <r>
      <rPr>
        <b/>
        <sz val="11"/>
        <color theme="1"/>
        <rFont val="Faruma"/>
      </rPr>
      <t>ދަނޑުވެރިންގެ އަދަދު</t>
    </r>
  </si>
  <si>
    <t>Source: Agriculture Data Management Unit/ Ministry of Fisheries and Agriculture</t>
  </si>
  <si>
    <t>Status of Uninhabited Islands</t>
  </si>
  <si>
    <r>
      <t xml:space="preserve">    </t>
    </r>
    <r>
      <rPr>
        <b/>
        <sz val="10"/>
        <color theme="1"/>
        <rFont val="Calibri"/>
        <family val="2"/>
        <scheme val="minor"/>
      </rPr>
      <t>Number of islands</t>
    </r>
    <r>
      <rPr>
        <b/>
        <sz val="11"/>
        <color theme="1"/>
        <rFont val="Calibri"/>
        <family val="2"/>
        <scheme val="minor"/>
      </rPr>
      <t xml:space="preserve">     </t>
    </r>
    <r>
      <rPr>
        <b/>
        <sz val="10"/>
        <color theme="1"/>
        <rFont val="Faruma"/>
      </rPr>
      <t>ރަށްތަކުގެ އަދަދު</t>
    </r>
  </si>
  <si>
    <t>ފަޅު ރަށްތައް ދެވިފައިވާ ގޮތުގެ ތަފްޞީލް</t>
  </si>
  <si>
    <t>Islands leased for Long-Term development</t>
  </si>
  <si>
    <t>ދިގުމުއްދަތަށް ކުއްޔަށްދީފައިވާ ރަށްރަށް</t>
  </si>
  <si>
    <t>Islands leased on Market Value.</t>
  </si>
  <si>
    <t>މާކެޓްވެލިއުގައި ބެލެހެއްޓުމަށް އެގްރިމަންޓްކޮށްގެން ދޫކުރެވިފައިވާ ރަށްރަށް</t>
  </si>
  <si>
    <t>Islands leased for Citizens.</t>
  </si>
  <si>
    <t>ރައްޔިތުންނަށް ކުއްޔަށްދީފައިވާ ރަށްރަށް</t>
  </si>
  <si>
    <t>Islands under care with Government Offices</t>
  </si>
  <si>
    <t>ސަރުކާރުގެ އެކިއެކި އިދާރާތަކުގެ ޙަވާލުގައި ހުރި ރަށްރަށް</t>
  </si>
  <si>
    <t xml:space="preserve"> Islands allocated for Tourism Development</t>
  </si>
  <si>
    <t>މިނިސްޓްރީ އޮފް ޓޫރިޒަމް، އާޓްސް އެންޑް ކަލްޗަރގެ ޙަވާލުގައި ހުރި ރަށްރަށް</t>
  </si>
  <si>
    <t>Islands leashed on "Waruva" basis.</t>
  </si>
  <si>
    <t>އަމިއްލަ ފަރާތްތަކަށް ވަރުވާއަށް ލިޔެދީފައިވާ ރަށްރަށް</t>
  </si>
  <si>
    <t>މަޢުލޫމާތު ދެއްވި ފަރާތް: މިނިސްޓްރީ އޮފް ފިޝަރީޒް އެންޑް އެގްރިކަލްޗަރ</t>
  </si>
  <si>
    <t>Atoll</t>
  </si>
  <si>
    <t>Number  of islands</t>
  </si>
  <si>
    <t>Area (hectares)</t>
  </si>
  <si>
    <t>Annual Lease/rent value (MVR)</t>
  </si>
  <si>
    <t xml:space="preserve">ރަށްތަކުގެ އަދަދު </t>
  </si>
  <si>
    <t>ބޮޑުމިން (ހެކްޓަރުން)</t>
  </si>
  <si>
    <t>ކުއްޔަށް ދެވުނު ޢަދަދު (ރުފިޔާ)</t>
  </si>
  <si>
    <t>ޅ</t>
  </si>
  <si>
    <r>
      <t xml:space="preserve">   (</t>
    </r>
    <r>
      <rPr>
        <b/>
        <sz val="11"/>
        <color theme="1"/>
        <rFont val="Faruma"/>
      </rPr>
      <t>ރުފިޔާއިން /</t>
    </r>
    <r>
      <rPr>
        <b/>
        <sz val="11"/>
        <color theme="1"/>
        <rFont val="Calibri"/>
        <family val="2"/>
      </rPr>
      <t xml:space="preserve"> In rufiyaa)</t>
    </r>
  </si>
  <si>
    <t xml:space="preserve"> Value in '000 (MVR) </t>
  </si>
  <si>
    <t xml:space="preserve">އާމްދަނީ ރުފިޔާ (' 000 ރުފިޔާއިން)    </t>
  </si>
  <si>
    <t xml:space="preserve">ކުރީ އަހަރަށް ވުރެން އިތުރު ވިމިންވަރު </t>
  </si>
  <si>
    <t>% change over previous year</t>
  </si>
  <si>
    <t>އޭޕްރިލް</t>
  </si>
  <si>
    <r>
      <rPr>
        <i/>
        <vertAlign val="subscript"/>
        <sz val="10"/>
        <color theme="1"/>
        <rFont val="Calibri"/>
        <family val="2"/>
      </rPr>
      <t xml:space="preserve">       </t>
    </r>
    <r>
      <rPr>
        <i/>
        <sz val="10"/>
        <color theme="1"/>
        <rFont val="Calibri"/>
        <family val="2"/>
      </rPr>
      <t xml:space="preserve">:-Data not available </t>
    </r>
  </si>
  <si>
    <t xml:space="preserve">    މައުލޫމާތު ނެތް</t>
  </si>
  <si>
    <t>އުފެއްދުނު އަތޮޅުތައް</t>
  </si>
  <si>
    <t>Watermelon</t>
  </si>
  <si>
    <t>Coconut (young)</t>
  </si>
  <si>
    <t>ކުރުނބާ</t>
  </si>
  <si>
    <t>Pumpkin</t>
  </si>
  <si>
    <t>Cucumber</t>
  </si>
  <si>
    <t>Banana</t>
  </si>
  <si>
    <t>Brinjal</t>
  </si>
  <si>
    <t>ބަށި</t>
  </si>
  <si>
    <t>Coconut</t>
  </si>
  <si>
    <t>ކާށި</t>
  </si>
  <si>
    <t>Bottle gourd</t>
  </si>
  <si>
    <t>Butternut</t>
  </si>
  <si>
    <t>ބަޓާނާ</t>
  </si>
  <si>
    <t>Chinese Cabbage</t>
  </si>
  <si>
    <t>ޗައިނީޒް ކެބެޖް</t>
  </si>
  <si>
    <t>Mango</t>
  </si>
  <si>
    <t>Wax gourd</t>
  </si>
  <si>
    <t>ފުފޫ</t>
  </si>
  <si>
    <t>Others</t>
  </si>
  <si>
    <t>އެހެނިހެން</t>
  </si>
  <si>
    <t xml:space="preserve">            (Value in MVR)  (ރުފިޔާއިން)</t>
  </si>
  <si>
    <t>Producing by Atolls</t>
  </si>
  <si>
    <t>Betel leaf</t>
  </si>
  <si>
    <t>ބިލެއް</t>
  </si>
  <si>
    <t>Chilly</t>
  </si>
  <si>
    <t>Papaya</t>
  </si>
  <si>
    <t>ދިއްސާ</t>
  </si>
  <si>
    <t>Skipjack Tuna</t>
  </si>
  <si>
    <t xml:space="preserve">Yellowfin Tuna </t>
  </si>
  <si>
    <t xml:space="preserve">Other Marine Fishes </t>
  </si>
  <si>
    <t>މަޢުލޫމާތުދެއްވި ފަރާތް: މިނިސްޓްރީ އޮފް ފިޝަރީޒް، މެރިންރިސޯސަސް އެންޑް އެގްރިކަލްޗަރ</t>
  </si>
  <si>
    <t>Source: Island Councils, Maldives Customs Services and Ministry of Fisheries, Marine Resources  and Agriculture</t>
  </si>
  <si>
    <t>cnwkirevcswmunEl</t>
  </si>
  <si>
    <t>Source:  Ministry of Fisheries, Marine Resources and Agriculture</t>
  </si>
  <si>
    <t>Note: This table does not in any way or form represent the area of fish catch but the catches from the vessels regisered to islands in the specific atoll</t>
  </si>
  <si>
    <t xml:space="preserve">ނޯޓް: މި ތާވަލުން ރަމްޒުކޮށްދެނީ މަސްވެރިކަން ކޮށްފައިވާ ސަރަޙައްދުތަކެއް ނޫނެވެ. މިތާވަލުން ރަމްޒުކޮށްދެނީ ވަކިވަކި އަތޮޅުތަކަށް ރަޖިސްޓްރީކޮށްފައިވާ އުޅާނދުން މަސް ބާނާފައިވާ މިންވަރެވެ. </t>
  </si>
  <si>
    <t>2018 ,ctwvWb egEa iaWhwm inEb wtwvun ifih cnutog eguLotwa WviawfcSokIrcTcsijwr udnwLua : 9.3 ulwvWt</t>
  </si>
  <si>
    <t>Table 9.3 :  FISH LANDING BY TYPE AND VESSEL LOCALITY, 2018</t>
  </si>
  <si>
    <t>Source: Ministry of Fisheries, Marine Resources  and Agriculture</t>
  </si>
  <si>
    <t>Source: Ministry of Fisheries, Marine Resources and Agriculture</t>
  </si>
  <si>
    <t>In metrictons (t)</t>
  </si>
  <si>
    <t xml:space="preserve"> Ministry of Fisheries, Marine Resources and Agriculture</t>
  </si>
  <si>
    <t>މިނިސްޓްރީ އޮފް ފިޝަރީޒް، މެރިންރިސޯސަސް އެންޑް އެގްރިކަލްޗަރ</t>
  </si>
  <si>
    <t>udnwLua egumwkirevcswmunEl</t>
  </si>
  <si>
    <t>ތާވަލު 9.9: މަހުގެ ބާވަތުންނާއި މަސްބާނާފައިވާގޮތުން ބޭނުނު އަދަދު، 2018</t>
  </si>
  <si>
    <t>Table 9.9 :  FISH CATCH BY TYPE AND FISHING METHODS, 2018 (In metric tons)</t>
  </si>
  <si>
    <t>Diving  (Grouper )</t>
  </si>
  <si>
    <t>Table 9.3 :  FISH LANDING BY TYPE AND VESSEL LOCALITY, 2019</t>
  </si>
  <si>
    <t>2019 ,ctwvWb egEa iaWhwm inEb wtwvun ifih cnutog eguLotwa WviawfcSokIrcTcsijwr udnwLua : 9.3 ulwvWt</t>
  </si>
  <si>
    <t xml:space="preserve"> previous year 2019</t>
  </si>
  <si>
    <t>2019 ,urwvcnim iaWtwvcaWb eguhwminEb wtwvun ifih iawguhwmcswmikea :9.5 ulwvWt</t>
  </si>
  <si>
    <t>Table 9.5 :  MONTHLY FISH CATCH BY TYPE ,  2019</t>
  </si>
  <si>
    <t>2019 ,udwdwA irufcSwhwm urwhwfinOd iaWdwdwA egurwhwfudnwLua Wrukcnwkirevcswm irufcSwhwm ukwhwm emcnok cSokcjercvea ,cnutog eguLotwa WviawfcSokIrcTcsijwr udnwLua : 9.8 ulwvWt</t>
  </si>
  <si>
    <t>Table 9.8 :  NUMBER OF VESSELS ENGAGED PER MONTH IN FISHING AND NUMBER OF FISHING TRIPS BY VESSEL LOCALITY, 2019</t>
  </si>
  <si>
    <t>ތާވަލު 9.9: މަހުގެ ބާވަތުންނާއި މަސްބާނާފައިވާގޮތުން ބޭނުނު އަދަދު، 2019</t>
  </si>
  <si>
    <t>Table 9.9 :  FISH CATCH BY TYPE AND FISHING METHODS, 2019 (In metric tons)</t>
  </si>
  <si>
    <t>2019 ,cawtctwvWb egumwkirevuDnwd Wdcawh cSokumcaWa iawgEjcaWr cniaeret egukwtctwvWb unuveruk cTrOpcmia cSwaejcaWr  : 9.12 ulwvWt</t>
  </si>
  <si>
    <t>Table 9.12: IMPORTS OF FRESH AGRICULTURAL CROPS MAINLY PRODUCED IN MALDIVES, 2019</t>
  </si>
  <si>
    <t>Total Number of Islands</t>
  </si>
  <si>
    <t>ރަށްތަކުގެ ޖުމްލަ އަދަދު</t>
  </si>
  <si>
    <t>2019 ވަނަ އަހަރު އެއްވެސް ރަށެއް ކުއްޔަށް ދޫކޮށްފައި ނުވޭ</t>
  </si>
  <si>
    <t xml:space="preserve">            ތާވަލް 9.18: މާލެ މާރުކޭޓަށް ވިއްކި ދަނޑުވެރިކަމުގެ ތަކެތިން ލިބުނު އާމްދަނީ، 2013 -2019   </t>
  </si>
  <si>
    <t>Table 9.18: VALUE OF AGRICULTURAL PRODUCTS TRADED IN MALE' MARKET , 2013 - 2019</t>
  </si>
  <si>
    <t xml:space="preserve">މައުލޫމާތު ދެއްވި ފަރާތް: މިނިސްޓްރީ އޮފް ފިޝަރީޒް، މެރިން ރިސޯސަސް އެންޑް އެގްރިކަލްޗަރ </t>
  </si>
  <si>
    <t>ނޯޓް: ހދ،ނ، ރ، ޅ، ވ، ފ، ދ، ގއ އަދި ގދ ގެ މައުލޫމާތު ނެތީ އެ އަތޮޅު ތަކުން މާލެއަށް ތަރުކަރީ އަދި މޭވާ ވިއްކަން ގެނެސްފައި ކަމުގެ މައުލޫމާތު މިނިސްޓްރީއަށް ލިބިފައި ނުވާތީއެވެ.</t>
  </si>
  <si>
    <t xml:space="preserve">މައުލޫމާތު ދެއްވި ފަރާތް: އެގްރިކަލްޗަރ ޑާޓާ މެނޭޖްމަންޓް ޔުނިޓް/ މައުލޫމާތު ދެއްވި ފަރާތް: މިނިސްޓްރީ އޮފް ފިޝަރީޒް، މެރިން ރިސޯސަސް އެންޑް އެގްރިކަލްޗަރ </t>
  </si>
  <si>
    <t>ތާވަލު 9.20:  އަތޮޅުތަކުން މާލެ މާރުކޭޓަށް ވިއްކި ދަނޑުވެރިކަމުގެ ތަކެތި ، 2019</t>
  </si>
  <si>
    <t xml:space="preserve">       Table 9.20: AGRICULTURAL PRODUCTS TRADED IN MALE' MARKET BY ATOLLS, 2019</t>
  </si>
  <si>
    <t>Source:  Agriculture Data Management Unit/Ministry of Fisheries, Marine Resources and Agriculture</t>
  </si>
  <si>
    <r>
      <t xml:space="preserve"> Purchased    </t>
    </r>
    <r>
      <rPr>
        <b/>
        <sz val="10"/>
        <rFont val="A_Faseyha"/>
      </rPr>
      <t xml:space="preserve">cswmWzWtctwg        </t>
    </r>
  </si>
  <si>
    <t xml:space="preserve">      ތާވަލު 9.19: އަތޮޅުތަކުން މާލޭ މާރުކޭޓަށް ވިއްކި ދަނޑުވެރިކަމުގެ ތަކެތި 2019</t>
  </si>
  <si>
    <t>Table 9.19: AGRICULTURAL PRODUCTS TRADED IN MALE' MARKET BY ATOLLS, 2019</t>
  </si>
  <si>
    <r>
      <t xml:space="preserve">( In Kgs/ </t>
    </r>
    <r>
      <rPr>
        <b/>
        <sz val="11"/>
        <color indexed="8"/>
        <rFont val="Faruma"/>
      </rPr>
      <t>ކިލޯއިން)</t>
    </r>
  </si>
  <si>
    <t>Production by Atolls</t>
  </si>
  <si>
    <t>ބާވަތް</t>
  </si>
  <si>
    <t>Papayas</t>
  </si>
  <si>
    <t>chillies</t>
  </si>
  <si>
    <t>މިރުސް</t>
  </si>
  <si>
    <t>ގިއްސާ</t>
  </si>
  <si>
    <t>Betel leaves</t>
  </si>
  <si>
    <t>ބިލެތް</t>
  </si>
  <si>
    <t>Source:  Agriculture Data Management Unit/Min. Fisheries, Marine Resources and Agriculture</t>
  </si>
  <si>
    <t>2020 ,ctwvWb egEa iaWhwm inEb wtwvun ifih cnutog eguLotwa WviawfcSokIrcTcsijwr udnwLua : 9.3 ulwvWt</t>
  </si>
  <si>
    <t>Table 9.3 :  FISH LANDING BY TYPE AND VESSEL LOCALITY, 2020</t>
  </si>
  <si>
    <t>Table  9.4 :  FISH CATCH  BY MONTH, 2014 - 2020</t>
  </si>
  <si>
    <t>2020 - 2014 ,urwvcnim eguhwminEb wtwvun ifih iawguhwmcswmikea : 9.4 ulwvWt</t>
  </si>
  <si>
    <t>2020 ,urwvcnim iaWtwvcaWb eguhwminEb wtwvun ifih iawguhwmcswmikea :9.5 ulwvWt</t>
  </si>
  <si>
    <t>Table 9.5 :  MONTHLY FISH CATCH BY TYPE ,  2020</t>
  </si>
  <si>
    <t>Table 9.6 :  FISH CATCH BY TYPE OF VESSELS AND SPECIES, 2013 - 2020</t>
  </si>
  <si>
    <t>2020 - 2013 ,cswminEb wtwvun ifih cnutog egutwvWb eguhwm iaWncnutog egudnwLua : 9.6 ulwvWt</t>
  </si>
  <si>
    <t>Table 9.7: Monthly Fresh Tuna Purchased, 2014 - 2020</t>
  </si>
  <si>
    <t>ތާވަލު 9.7: އެކިމަސްމަހުގައި ގަތް ތާޒާމަސް، 2014 - 2020</t>
  </si>
  <si>
    <t>ތާވަލު 9.9: މަހުގެ ބާވަތުންނާއި މަސްބާނާފައިވާގޮތުން ބޭނުނު އަދަދު، 2020</t>
  </si>
  <si>
    <t>Table 9.9 :  FISH CATCH BY TYPE AND FISHING METHODS, 2020 (In metric tons)</t>
  </si>
  <si>
    <t>ތާވަލު 9.10: ބޭނުނު މަހުގެ އަދަދު، މަސްދަތުރުގެ އަދަދު އަދި ތަނުގެ ގޮތުން ބޭނިފައިވާ މަހުގެ ނިސްބަތް، 2019</t>
  </si>
  <si>
    <t>Table 9.10: FISH CATCH, FISHING TRIPS AND CATCH PER UNIT EFFORT BY LOCALITY, 2019</t>
  </si>
  <si>
    <t>ތާވަލު 9.10: ބޭނުނު މަހުގެ އަދަދު، މަސްދަތުރުގެ އަދަދު އަދި ތަނުގެ ގޮތުން ބޭނިފައިވާ މަހުގެ ނިސްބަތް، 2020</t>
  </si>
  <si>
    <t>Table 9.10: FISH CATCH, FISHING TRIPS AND CATCH PER UNIT EFFORT BY LOCALITY, 2020</t>
  </si>
  <si>
    <t>TABLE 9.11: NUMBER OF FISHERMAN BY ATOLL, 2014  - 2020</t>
  </si>
  <si>
    <t>ތާވަލު 9.11: މަސްވެރިންގެ އަދަދު، 2014 - 2020</t>
  </si>
  <si>
    <t>2020 ,cawtctwvWb egumwkirevuDnwd Wdcawh cSokumcaWa iawgEjcaWr cniaeret egukwtctwvWb unuveruk cTrOpcmia cSwaejcaWr  : 9.12 ulwvWt</t>
  </si>
  <si>
    <t>Table 9.12: IMPORTS OF FRESH AGRICULTURAL CROPS MAINLY PRODUCED IN MALDIVES, 2020</t>
  </si>
  <si>
    <t>2020 ,cawtctwvWb egumwkirevuDnwd Wdcawh cSokumcaWa iawgEjcaWr cniaeret egukwtctwvWb unuveruk cTrOpcmia cSwaejcaWr  : 9.13 ulwvWt</t>
  </si>
  <si>
    <t>Table 9.13: IMPORTS OF FRESH AGRICULTURAL CROPS MAINLY PRODUCED IN MALDIVES, 2020</t>
  </si>
  <si>
    <t>2020 - 2014 ,cawtctwvWb egumwkirevuDnwd Wdcawh cSokumcaWa iawgEjcaWr cniaeret egukwtctwvWb unuveruk cTrOpcmia cSwaejcaWr  : 9.14 ulwvWt</t>
  </si>
  <si>
    <t>Table 9.14:  IMPORTS OF FRESH AGRICULTURAL CROPS MAINLY PRODUCED IN MALDIVES FROM, 2014 - 2020</t>
  </si>
  <si>
    <t>TABLE 9.15: NUMBER OF REGISTERED FARMERS BY ATOLL, 2013-2020</t>
  </si>
  <si>
    <t>ތާވަލު 9.15: ދަނޑުވެރިންގެ އަދަދު، 2013 - 2020</t>
  </si>
  <si>
    <t>ތާވަލު 9.16: އެކި ކަންކަމުގައި ފަޅުރަށްތައް ދޫކުރެވިފައިވާ އަދަދު، 2011 - 2020</t>
  </si>
  <si>
    <t>Table 9.16: Status of Uninhabited Islands, 2011 - 2020</t>
  </si>
  <si>
    <t>Table 9.17: Islands leased for agriculture purpose, by area and lease value,  end 2020</t>
  </si>
  <si>
    <t>ތާވަލު 9.17: ދަނޑުވެރިކަން ކުރުމަށް ކުއްޔަށް ދޫކުރެވިފައިވާ ރަށްތަކުގެ އަދަދު، ބޮޑުމިން އަދި ކުއްޔަށް ދެވުނު އަދަދު (ރުފިޔާއިން)، 2020</t>
  </si>
  <si>
    <t xml:space="preserve">Table 9.1 :FISH PRODUCTION BY TYPE AND UTILIZATION, 2011 - 2020                             </t>
  </si>
  <si>
    <t>2020 - 2011 ,urwvcnim eguhwminEb wtwvun Wfih ecnutog egumunEbunuveruk iaWncnutwvWb eguhwm : 9.1 ulwvWt</t>
  </si>
  <si>
    <r>
      <t>2020 - 2015 ,urwvcnim eguhwm inEb wtwvun ifih cnutog eguLotwa WviawfcSokIrcTcsijwr udnwLua</t>
    </r>
    <r>
      <rPr>
        <b/>
        <sz val="10"/>
        <rFont val="A_Waheed"/>
      </rPr>
      <t xml:space="preserve"> : </t>
    </r>
    <r>
      <rPr>
        <b/>
        <sz val="12"/>
        <rFont val="A_Waheed"/>
      </rPr>
      <t>9.2 ulwvWt</t>
    </r>
  </si>
  <si>
    <t>Table 9.2 :  FISH CATCH BY VESSEL LOCALITY, 2015 -  2020</t>
  </si>
  <si>
    <t>2020 ,udwdwA irufcSwhwm urwhwfinOd iaWdwdwA egurwhwfudnwLua Wrukcnwkirevcswm irufcSwhwm ukwhwm emcnok cSokcjercvea ,cnutog eguLotwa WviawfcSokIrcTcsijwr udnwLua : 9.8 ulwvWt</t>
  </si>
  <si>
    <t>Table 9.8 :  NUMBER OF VESSELS ENGAGED PER MONTH IN FISHING AND NUMBER OF FISHING TRIPS BY VESSEL LOCALITY, 2020</t>
  </si>
  <si>
    <t xml:space="preserve">Grouper </t>
  </si>
  <si>
    <t xml:space="preserve">Reef </t>
  </si>
  <si>
    <t>Handline  (Grouper )</t>
  </si>
  <si>
    <t>ރ</t>
  </si>
  <si>
    <t xml:space="preserve">Note: 2020 data are missing as unable to take data on the Male’ Local Market due to the COVID pandemic.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</si>
</sst>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General_)"/>
    <numFmt numFmtId="165" formatCode="#,##0.0"/>
    <numFmt numFmtId="166" formatCode="_(* #,##0.0_);_(* \(#,##0.0\);_(* &quot;-&quot;??_);_(@_)"/>
    <numFmt numFmtId="167" formatCode="0.0"/>
    <numFmt numFmtId="168" formatCode="_(* #,##0_);_(* \(#,##0\);_(* &quot;-&quot;??_);_(@_)"/>
    <numFmt numFmtId="169" formatCode="#,##0.0_);[Red]\(#,##0.0\)"/>
    <numFmt numFmtId="170" formatCode="[$-409]mmmm\ d\,\ yyyy;@"/>
  </numFmts>
  <fonts count="123">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name val="Courier"/>
      <family val="3"/>
    </font>
    <font>
      <b/>
      <sz val="12"/>
      <name val="A_Waheed"/>
    </font>
    <font>
      <b/>
      <sz val="12"/>
      <name val="Calibri"/>
      <family val="2"/>
    </font>
    <font>
      <sz val="9"/>
      <name val="Arial"/>
      <family val="2"/>
    </font>
    <font>
      <b/>
      <sz val="11"/>
      <name val="Calibri"/>
      <family val="2"/>
    </font>
    <font>
      <b/>
      <sz val="9"/>
      <name val="Arial"/>
      <family val="2"/>
    </font>
    <font>
      <b/>
      <sz val="11"/>
      <name val="A_Waheed"/>
    </font>
    <font>
      <b/>
      <sz val="9"/>
      <name val="Calibri"/>
      <family val="2"/>
    </font>
    <font>
      <b/>
      <sz val="9"/>
      <name val="A_Waheed"/>
    </font>
    <font>
      <sz val="9.5"/>
      <name val="Courier"/>
      <family val="3"/>
    </font>
    <font>
      <b/>
      <sz val="9.5"/>
      <name val="Calibri"/>
      <family val="2"/>
    </font>
    <font>
      <sz val="9.5"/>
      <name val="A_Waheed"/>
    </font>
    <font>
      <sz val="9.5"/>
      <name val="Arial"/>
      <family val="2"/>
    </font>
    <font>
      <sz val="10"/>
      <name val="Calibri"/>
      <family val="2"/>
    </font>
    <font>
      <sz val="10"/>
      <name val="A_Waheed"/>
    </font>
    <font>
      <sz val="10"/>
      <name val="AKKO"/>
      <family val="2"/>
    </font>
    <font>
      <sz val="10"/>
      <name val="Arial"/>
      <family val="2"/>
    </font>
    <font>
      <b/>
      <sz val="10"/>
      <name val="Calibri"/>
      <family val="2"/>
    </font>
    <font>
      <b/>
      <sz val="10"/>
      <name val="A_Waheed"/>
    </font>
    <font>
      <i/>
      <sz val="9"/>
      <name val="Calibri"/>
      <family val="2"/>
      <scheme val="minor"/>
    </font>
    <font>
      <b/>
      <i/>
      <vertAlign val="superscript"/>
      <sz val="11"/>
      <name val="Arial"/>
      <family val="2"/>
    </font>
    <font>
      <sz val="9"/>
      <name val="Faruma"/>
    </font>
    <font>
      <i/>
      <sz val="9"/>
      <name val="Calibri"/>
      <family val="2"/>
    </font>
    <font>
      <sz val="9"/>
      <name val="A_Waheed"/>
    </font>
    <font>
      <i/>
      <sz val="9"/>
      <name val="Arial"/>
      <family val="2"/>
    </font>
    <font>
      <sz val="9"/>
      <name val="Courier"/>
      <family val="3"/>
    </font>
    <font>
      <b/>
      <sz val="10"/>
      <name val="Arial"/>
      <family val="2"/>
    </font>
    <font>
      <b/>
      <sz val="9"/>
      <name val="A_Randhoo"/>
    </font>
    <font>
      <sz val="11"/>
      <name val="Calibri"/>
      <family val="2"/>
    </font>
    <font>
      <sz val="9"/>
      <name val="Calibri"/>
      <family val="2"/>
    </font>
    <font>
      <b/>
      <sz val="9"/>
      <name val="Faruma"/>
    </font>
    <font>
      <sz val="9"/>
      <name val="Win Ahamedey PRB"/>
      <family val="2"/>
    </font>
    <font>
      <b/>
      <sz val="10"/>
      <name val="Faruma"/>
    </font>
    <font>
      <b/>
      <sz val="9"/>
      <name val="Calibri"/>
      <family val="2"/>
      <scheme val="minor"/>
    </font>
    <font>
      <b/>
      <sz val="10"/>
      <name val="Calibri"/>
      <family val="2"/>
      <scheme val="minor"/>
    </font>
    <font>
      <sz val="10"/>
      <name val="MS Sans Serif"/>
      <family val="2"/>
    </font>
    <font>
      <b/>
      <sz val="10"/>
      <name val="A_Randhoo"/>
    </font>
    <font>
      <sz val="10"/>
      <name val="Calibri"/>
      <family val="2"/>
      <scheme val="minor"/>
    </font>
    <font>
      <sz val="9"/>
      <name val="A_Randhoo"/>
    </font>
    <font>
      <b/>
      <sz val="12"/>
      <name val="A_Randhoo"/>
    </font>
    <font>
      <b/>
      <sz val="8"/>
      <name val="A_Randhoo"/>
    </font>
    <font>
      <b/>
      <sz val="11"/>
      <name val="A_Randhoo"/>
    </font>
    <font>
      <b/>
      <sz val="10"/>
      <name val="A_Faseyha"/>
    </font>
    <font>
      <sz val="10"/>
      <name val="Win Ahamedey PRB"/>
      <family val="2"/>
    </font>
    <font>
      <sz val="10"/>
      <color indexed="8"/>
      <name val="Calibri"/>
      <family val="2"/>
    </font>
    <font>
      <sz val="10"/>
      <name val="A_Randhoo"/>
    </font>
    <font>
      <i/>
      <sz val="10"/>
      <name val="Arial"/>
      <family val="2"/>
    </font>
    <font>
      <b/>
      <sz val="10"/>
      <color rgb="FFFF0000"/>
      <name val="Calibri"/>
      <family val="2"/>
      <scheme val="minor"/>
    </font>
    <font>
      <i/>
      <sz val="10"/>
      <name val="Calibri"/>
      <family val="2"/>
      <scheme val="minor"/>
    </font>
    <font>
      <sz val="10"/>
      <name val="Faruma"/>
    </font>
    <font>
      <b/>
      <sz val="12"/>
      <name val="Faruma"/>
    </font>
    <font>
      <b/>
      <sz val="12"/>
      <name val="Calibri"/>
      <family val="2"/>
      <scheme val="minor"/>
    </font>
    <font>
      <b/>
      <sz val="11"/>
      <name val="Calibri"/>
      <family val="2"/>
      <scheme val="minor"/>
    </font>
    <font>
      <sz val="11"/>
      <name val="Calibri"/>
      <family val="2"/>
      <scheme val="minor"/>
    </font>
    <font>
      <b/>
      <sz val="10"/>
      <name val="Courier"/>
      <family val="3"/>
    </font>
    <font>
      <i/>
      <sz val="10"/>
      <name val="Calibri"/>
      <family val="2"/>
    </font>
    <font>
      <sz val="11"/>
      <name val="Courier"/>
      <family val="3"/>
    </font>
    <font>
      <b/>
      <sz val="11"/>
      <name val="Arial"/>
      <family val="2"/>
    </font>
    <font>
      <b/>
      <sz val="8"/>
      <name val="A_Faseyha"/>
    </font>
    <font>
      <sz val="9"/>
      <name val="Candara"/>
      <family val="2"/>
    </font>
    <font>
      <b/>
      <sz val="11"/>
      <name val="Faruma"/>
    </font>
    <font>
      <b/>
      <sz val="11"/>
      <color theme="1"/>
      <name val="Calibri"/>
      <family val="2"/>
    </font>
    <font>
      <sz val="9"/>
      <color theme="1"/>
      <name val="Faruma"/>
    </font>
    <font>
      <b/>
      <sz val="11"/>
      <color theme="1"/>
      <name val="Faruma"/>
    </font>
    <font>
      <sz val="10"/>
      <color theme="1"/>
      <name val="Calibri"/>
      <family val="2"/>
      <scheme val="minor"/>
    </font>
    <font>
      <sz val="11"/>
      <color indexed="8"/>
      <name val="Calibri"/>
      <family val="2"/>
    </font>
    <font>
      <b/>
      <sz val="12"/>
      <color indexed="8"/>
      <name val="Calibri"/>
      <family val="2"/>
    </font>
    <font>
      <b/>
      <sz val="11"/>
      <color indexed="8"/>
      <name val="Faruma"/>
    </font>
    <font>
      <b/>
      <sz val="9"/>
      <color indexed="8"/>
      <name val="Calibri"/>
      <family val="2"/>
    </font>
    <font>
      <b/>
      <sz val="11"/>
      <color indexed="8"/>
      <name val="Calibri"/>
      <family val="2"/>
    </font>
    <font>
      <b/>
      <sz val="10"/>
      <color indexed="8"/>
      <name val="Faruma"/>
    </font>
    <font>
      <sz val="11"/>
      <color indexed="8"/>
      <name val="Faruma"/>
    </font>
    <font>
      <sz val="9"/>
      <color indexed="8"/>
      <name val="Calibri"/>
      <family val="2"/>
    </font>
    <font>
      <b/>
      <sz val="10"/>
      <color indexed="8"/>
      <name val="A_Faseyha"/>
    </font>
    <font>
      <b/>
      <sz val="10"/>
      <color theme="1"/>
      <name val="Calibri"/>
      <family val="2"/>
      <scheme val="minor"/>
    </font>
    <font>
      <sz val="8"/>
      <color theme="1"/>
      <name val="Faruma"/>
    </font>
    <font>
      <b/>
      <sz val="10"/>
      <color theme="1"/>
      <name val="Faruma"/>
    </font>
    <font>
      <sz val="10"/>
      <color theme="1"/>
      <name val="Faruma"/>
    </font>
    <font>
      <sz val="10"/>
      <color indexed="8"/>
      <name val="Faruma"/>
    </font>
    <font>
      <sz val="9"/>
      <color theme="1"/>
      <name val="Calibri"/>
      <family val="2"/>
      <scheme val="minor"/>
    </font>
    <font>
      <i/>
      <sz val="8"/>
      <name val="Calibri"/>
      <family val="2"/>
      <scheme val="minor"/>
    </font>
    <font>
      <sz val="8"/>
      <name val="Calibri"/>
      <family val="2"/>
      <scheme val="minor"/>
    </font>
    <font>
      <sz val="8"/>
      <color indexed="8"/>
      <name val="Faruma"/>
    </font>
    <font>
      <sz val="11"/>
      <color theme="1"/>
      <name val="Faruma"/>
    </font>
    <font>
      <sz val="10"/>
      <color theme="1"/>
      <name val="Courier"/>
      <family val="3"/>
    </font>
    <font>
      <b/>
      <sz val="10"/>
      <color theme="1"/>
      <name val="Arial"/>
      <family val="2"/>
    </font>
    <font>
      <b/>
      <sz val="12"/>
      <color theme="1"/>
      <name val="Calibri"/>
      <family val="2"/>
    </font>
    <font>
      <sz val="10"/>
      <color theme="1"/>
      <name val="Arial"/>
      <family val="2"/>
    </font>
    <font>
      <b/>
      <sz val="10"/>
      <color theme="1"/>
      <name val="Courier"/>
      <family val="3"/>
    </font>
    <font>
      <b/>
      <sz val="9"/>
      <color theme="1"/>
      <name val="Faruma"/>
    </font>
    <font>
      <b/>
      <sz val="10"/>
      <color theme="1"/>
      <name val="Calibri"/>
      <family val="2"/>
    </font>
    <font>
      <sz val="11"/>
      <color theme="1"/>
      <name val="Calibri"/>
      <family val="2"/>
    </font>
    <font>
      <sz val="10"/>
      <color theme="1"/>
      <name val="Calibri"/>
      <family val="2"/>
    </font>
    <font>
      <sz val="16"/>
      <color theme="1"/>
      <name val="Faruma"/>
    </font>
    <font>
      <b/>
      <sz val="20"/>
      <color theme="1"/>
      <name val="Faruma"/>
    </font>
    <font>
      <i/>
      <sz val="10"/>
      <color theme="1"/>
      <name val="Calibri"/>
      <family val="2"/>
    </font>
    <font>
      <i/>
      <vertAlign val="subscript"/>
      <sz val="10"/>
      <color theme="1"/>
      <name val="Calibri"/>
      <family val="2"/>
    </font>
    <font>
      <b/>
      <sz val="12"/>
      <color indexed="8"/>
      <name val="Faruma"/>
    </font>
    <font>
      <sz val="10"/>
      <color indexed="8"/>
      <name val="Calibri"/>
      <family val="2"/>
      <scheme val="minor"/>
    </font>
    <font>
      <b/>
      <sz val="9.5"/>
      <name val="Arial"/>
      <family val="2"/>
    </font>
    <font>
      <b/>
      <sz val="10"/>
      <color theme="1"/>
      <name val="A_Waheed"/>
    </font>
    <font>
      <i/>
      <sz val="9"/>
      <color rgb="FFFF0000"/>
      <name val="Calibri"/>
      <family val="2"/>
    </font>
    <font>
      <sz val="9"/>
      <name val="Calibri Light"/>
      <family val="1"/>
      <scheme val="major"/>
    </font>
    <font>
      <i/>
      <sz val="9"/>
      <color rgb="FFFF0000"/>
      <name val="Arial"/>
      <family val="2"/>
    </font>
    <font>
      <sz val="9"/>
      <color rgb="FFFF0000"/>
      <name val="Arial"/>
      <family val="2"/>
    </font>
    <font>
      <b/>
      <sz val="9"/>
      <name val="A_Faseyha"/>
    </font>
    <font>
      <b/>
      <sz val="11"/>
      <name val="A_Faseyha"/>
    </font>
    <font>
      <sz val="10"/>
      <name val="A_Faseyha"/>
    </font>
    <font>
      <b/>
      <sz val="12"/>
      <name val="A_Faseyha"/>
    </font>
    <font>
      <b/>
      <sz val="10"/>
      <name val="ަރިެ"/>
    </font>
    <font>
      <sz val="11"/>
      <name val="Faruma"/>
    </font>
    <font>
      <sz val="10"/>
      <name val="Arie"/>
      <charset val="1"/>
    </font>
    <font>
      <b/>
      <i/>
      <sz val="11"/>
      <color theme="1"/>
      <name val="Calibri"/>
      <family val="2"/>
    </font>
    <font>
      <i/>
      <sz val="11"/>
      <color theme="1"/>
      <name val="Calibri"/>
      <family val="2"/>
    </font>
    <font>
      <i/>
      <sz val="11"/>
      <color theme="1"/>
      <name val="Courier"/>
      <family val="3"/>
    </font>
    <font>
      <i/>
      <sz val="10"/>
      <color theme="1"/>
      <name val="Arial"/>
      <family val="2"/>
    </font>
    <font>
      <i/>
      <sz val="10"/>
      <color theme="1"/>
      <name val="Faruma"/>
    </font>
    <font>
      <i/>
      <sz val="10"/>
      <color theme="1"/>
      <name val="Courier"/>
      <family val="3"/>
    </font>
    <font>
      <i/>
      <sz val="10"/>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33CCCC"/>
        <bgColor indexed="64"/>
      </patternFill>
    </fill>
    <fill>
      <patternFill patternType="solid">
        <fgColor rgb="FFEAFAFA"/>
        <bgColor indexed="64"/>
      </patternFill>
    </fill>
    <fill>
      <patternFill patternType="solid">
        <fgColor rgb="FFFF9900"/>
        <bgColor indexed="64"/>
      </patternFill>
    </fill>
    <fill>
      <patternFill patternType="solid">
        <fgColor rgb="FF196563"/>
        <bgColor indexed="64"/>
      </patternFill>
    </fill>
    <fill>
      <patternFill patternType="solid">
        <fgColor rgb="FF249390"/>
        <bgColor indexed="64"/>
      </patternFill>
    </fill>
  </fills>
  <borders count="66">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hair">
        <color indexed="64"/>
      </bottom>
      <diagonal/>
    </border>
    <border>
      <left/>
      <right/>
      <top style="hair">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right/>
      <top/>
      <bottom style="hair">
        <color theme="1" tint="0.499984740745262"/>
      </bottom>
      <diagonal/>
    </border>
    <border>
      <left/>
      <right style="thin">
        <color indexed="64"/>
      </right>
      <top style="thin">
        <color indexed="64"/>
      </top>
      <bottom style="thin">
        <color indexed="64"/>
      </bottom>
      <diagonal/>
    </border>
    <border>
      <left/>
      <right style="thin">
        <color indexed="64"/>
      </right>
      <top style="hair">
        <color indexed="64"/>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64"/>
      </top>
      <bottom/>
      <diagonal/>
    </border>
    <border>
      <left/>
      <right style="thin">
        <color indexed="9"/>
      </right>
      <top style="thin">
        <color indexed="64"/>
      </top>
      <bottom/>
      <diagonal/>
    </border>
    <border>
      <left style="thin">
        <color indexed="9"/>
      </left>
      <right/>
      <top/>
      <bottom style="thin">
        <color indexed="64"/>
      </bottom>
      <diagonal/>
    </border>
    <border>
      <left/>
      <right style="thin">
        <color indexed="9"/>
      </right>
      <top/>
      <bottom style="thin">
        <color indexed="64"/>
      </bottom>
      <diagonal/>
    </border>
    <border>
      <left/>
      <right style="thin">
        <color indexed="9"/>
      </right>
      <top/>
      <bottom style="thin">
        <color indexed="9"/>
      </bottom>
      <diagonal/>
    </border>
    <border>
      <left style="thin">
        <color indexed="9"/>
      </left>
      <right/>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9"/>
      </left>
      <right/>
      <top style="thin">
        <color indexed="9"/>
      </top>
      <bottom style="thin">
        <color indexed="64"/>
      </bottom>
      <diagonal/>
    </border>
    <border>
      <left/>
      <right style="thin">
        <color indexed="9"/>
      </right>
      <top style="thin">
        <color indexed="9"/>
      </top>
      <bottom style="thin">
        <color indexed="64"/>
      </bottom>
      <diagonal/>
    </border>
    <border>
      <left style="thin">
        <color indexed="9"/>
      </left>
      <right style="thin">
        <color indexed="9"/>
      </right>
      <top/>
      <bottom style="thin">
        <color indexed="9"/>
      </bottom>
      <diagonal/>
    </border>
    <border>
      <left style="thin">
        <color indexed="9"/>
      </left>
      <right/>
      <top/>
      <bottom/>
      <diagonal/>
    </border>
    <border>
      <left/>
      <right style="thin">
        <color indexed="9"/>
      </right>
      <top style="thin">
        <color indexed="9"/>
      </top>
      <bottom/>
      <diagonal/>
    </border>
    <border>
      <left style="thin">
        <color indexed="9"/>
      </left>
      <right style="thin">
        <color indexed="9"/>
      </right>
      <top/>
      <bottom/>
      <diagonal/>
    </border>
    <border>
      <left/>
      <right style="thin">
        <color indexed="9"/>
      </right>
      <top/>
      <bottom/>
      <diagonal/>
    </border>
    <border>
      <left/>
      <right/>
      <top style="thin">
        <color indexed="9"/>
      </top>
      <bottom style="thin">
        <color indexed="9"/>
      </bottom>
      <diagonal/>
    </border>
    <border>
      <left/>
      <right/>
      <top style="thin">
        <color indexed="9"/>
      </top>
      <bottom style="thin">
        <color indexed="64"/>
      </bottom>
      <diagonal/>
    </border>
    <border>
      <left style="thin">
        <color indexed="9"/>
      </left>
      <right style="thin">
        <color indexed="9"/>
      </right>
      <top style="thin">
        <color indexed="64"/>
      </top>
      <bottom style="thin">
        <color indexed="64"/>
      </bottom>
      <diagonal/>
    </border>
    <border>
      <left style="thin">
        <color indexed="9"/>
      </left>
      <right/>
      <top style="thin">
        <color indexed="64"/>
      </top>
      <bottom style="thin">
        <color indexed="64"/>
      </bottom>
      <diagonal/>
    </border>
    <border>
      <left/>
      <right/>
      <top/>
      <bottom style="thin">
        <color indexed="9"/>
      </bottom>
      <diagonal/>
    </border>
    <border>
      <left style="thin">
        <color indexed="9"/>
      </left>
      <right style="thin">
        <color indexed="9"/>
      </right>
      <top style="thin">
        <color indexed="9"/>
      </top>
      <bottom style="thin">
        <color indexed="64"/>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right/>
      <top style="thin">
        <color indexed="64"/>
      </top>
      <bottom style="dotted">
        <color indexed="64"/>
      </bottom>
      <diagonal/>
    </border>
    <border>
      <left/>
      <right/>
      <top style="dotted">
        <color indexed="64"/>
      </top>
      <bottom style="thin">
        <color indexed="64"/>
      </bottom>
      <diagonal/>
    </border>
    <border>
      <left/>
      <right style="thin">
        <color theme="1"/>
      </right>
      <top/>
      <bottom style="hair">
        <color indexed="64"/>
      </bottom>
      <diagonal/>
    </border>
    <border>
      <left/>
      <right style="thin">
        <color theme="1"/>
      </right>
      <top style="thin">
        <color indexed="64"/>
      </top>
      <bottom/>
      <diagonal/>
    </border>
    <border>
      <left/>
      <right style="thin">
        <color theme="1"/>
      </right>
      <top/>
      <bottom/>
      <diagonal/>
    </border>
    <border>
      <left/>
      <right style="thin">
        <color theme="1"/>
      </right>
      <top/>
      <bottom style="thin">
        <color indexed="64"/>
      </bottom>
      <diagonal/>
    </border>
    <border>
      <left/>
      <right style="hair">
        <color indexed="64"/>
      </right>
      <top/>
      <bottom style="hair">
        <color indexed="64"/>
      </bottom>
      <diagonal/>
    </border>
    <border>
      <left style="thin">
        <color theme="1"/>
      </left>
      <right/>
      <top/>
      <bottom style="hair">
        <color auto="1"/>
      </bottom>
      <diagonal/>
    </border>
    <border>
      <left/>
      <right style="thin">
        <color indexed="64"/>
      </right>
      <top style="hair">
        <color indexed="64"/>
      </top>
      <bottom style="thin">
        <color indexed="64"/>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164" fontId="4" fillId="0" borderId="0"/>
    <xf numFmtId="40" fontId="39" fillId="0" borderId="0" applyFont="0" applyFill="0" applyBorder="0" applyAlignment="0" applyProtection="0"/>
    <xf numFmtId="0" fontId="20" fillId="0" borderId="0"/>
    <xf numFmtId="40" fontId="39" fillId="0" borderId="0" applyFont="0" applyFill="0" applyBorder="0" applyAlignment="0" applyProtection="0"/>
    <xf numFmtId="0" fontId="4" fillId="0" borderId="0"/>
    <xf numFmtId="0" fontId="20" fillId="0" borderId="0"/>
    <xf numFmtId="0" fontId="69" fillId="0" borderId="0"/>
    <xf numFmtId="170" fontId="4" fillId="0" borderId="0"/>
    <xf numFmtId="43" fontId="69" fillId="0" borderId="0" applyFont="0" applyFill="0" applyBorder="0" applyAlignment="0" applyProtection="0"/>
    <xf numFmtId="170" fontId="4" fillId="0" borderId="0"/>
    <xf numFmtId="170" fontId="4" fillId="0" borderId="0"/>
    <xf numFmtId="0" fontId="20" fillId="0" borderId="0"/>
  </cellStyleXfs>
  <cellXfs count="906">
    <xf numFmtId="0" fontId="0" fillId="0" borderId="0" xfId="0"/>
    <xf numFmtId="164" fontId="4" fillId="2" borderId="0" xfId="3" applyFont="1" applyFill="1" applyAlignment="1">
      <alignment vertical="center"/>
    </xf>
    <xf numFmtId="164" fontId="7" fillId="2" borderId="0" xfId="3" applyFont="1" applyFill="1" applyAlignment="1">
      <alignment vertical="center"/>
    </xf>
    <xf numFmtId="164" fontId="9" fillId="2" borderId="0" xfId="3" applyFont="1" applyFill="1" applyBorder="1" applyAlignment="1" applyProtection="1">
      <alignment horizontal="center" vertical="center"/>
    </xf>
    <xf numFmtId="164" fontId="0" fillId="2" borderId="2" xfId="0" applyNumberFormat="1" applyFill="1" applyBorder="1" applyAlignment="1">
      <alignment vertical="center"/>
    </xf>
    <xf numFmtId="164" fontId="13" fillId="2" borderId="1" xfId="3" applyFont="1" applyFill="1" applyBorder="1" applyAlignment="1">
      <alignment vertical="center"/>
    </xf>
    <xf numFmtId="1" fontId="14" fillId="2" borderId="1" xfId="3" applyNumberFormat="1" applyFont="1" applyFill="1" applyBorder="1" applyAlignment="1">
      <alignment horizontal="right" vertical="center"/>
    </xf>
    <xf numFmtId="164" fontId="15" fillId="2" borderId="1" xfId="3" applyFont="1" applyFill="1" applyBorder="1" applyAlignment="1">
      <alignment vertical="center"/>
    </xf>
    <xf numFmtId="164" fontId="16" fillId="2" borderId="0" xfId="3" applyFont="1" applyFill="1" applyAlignment="1">
      <alignment vertical="center"/>
    </xf>
    <xf numFmtId="164" fontId="13" fillId="2" borderId="0" xfId="3" applyFont="1" applyFill="1" applyAlignment="1">
      <alignment vertical="center"/>
    </xf>
    <xf numFmtId="164" fontId="17" fillId="2" borderId="0" xfId="3" applyFont="1" applyFill="1" applyAlignment="1" applyProtection="1">
      <alignment horizontal="left" vertical="center"/>
    </xf>
    <xf numFmtId="165" fontId="17" fillId="2" borderId="2" xfId="3" applyNumberFormat="1" applyFont="1" applyFill="1" applyBorder="1" applyAlignment="1" applyProtection="1">
      <alignment horizontal="right" vertical="center"/>
      <protection locked="0"/>
    </xf>
    <xf numFmtId="165" fontId="17" fillId="2" borderId="0" xfId="3" applyNumberFormat="1" applyFont="1" applyFill="1" applyBorder="1" applyAlignment="1" applyProtection="1">
      <alignment horizontal="right" vertical="center"/>
      <protection locked="0"/>
    </xf>
    <xf numFmtId="164" fontId="19" fillId="2" borderId="0" xfId="3" applyFont="1" applyFill="1" applyBorder="1" applyAlignment="1">
      <alignment horizontal="right" vertical="center"/>
    </xf>
    <xf numFmtId="164" fontId="20" fillId="2" borderId="0" xfId="3" applyFont="1" applyFill="1" applyAlignment="1">
      <alignment vertical="center"/>
    </xf>
    <xf numFmtId="164" fontId="21" fillId="2" borderId="0" xfId="3" applyFont="1" applyFill="1" applyAlignment="1" applyProtection="1">
      <alignment horizontal="left" vertical="center"/>
    </xf>
    <xf numFmtId="165" fontId="21" fillId="2" borderId="0" xfId="3" applyNumberFormat="1" applyFont="1" applyFill="1" applyBorder="1" applyAlignment="1" applyProtection="1">
      <alignment horizontal="right" vertical="center"/>
      <protection locked="0"/>
    </xf>
    <xf numFmtId="164" fontId="17" fillId="2" borderId="1" xfId="3" applyFont="1" applyFill="1" applyBorder="1" applyAlignment="1" applyProtection="1">
      <alignment horizontal="left" vertical="center"/>
    </xf>
    <xf numFmtId="165" fontId="17" fillId="2" borderId="1" xfId="3" applyNumberFormat="1" applyFont="1" applyFill="1" applyBorder="1" applyAlignment="1" applyProtection="1">
      <alignment horizontal="right" vertical="center"/>
      <protection locked="0"/>
    </xf>
    <xf numFmtId="164" fontId="23" fillId="2" borderId="0" xfId="3" applyFont="1" applyFill="1" applyAlignment="1" applyProtection="1">
      <alignment horizontal="left" vertical="center"/>
    </xf>
    <xf numFmtId="164" fontId="25" fillId="2" borderId="0" xfId="3" applyFont="1" applyFill="1" applyBorder="1" applyAlignment="1">
      <alignment horizontal="right" vertical="center"/>
    </xf>
    <xf numFmtId="164" fontId="26" fillId="2" borderId="0" xfId="3" applyFont="1" applyFill="1" applyAlignment="1" applyProtection="1">
      <alignment vertical="center" wrapText="1"/>
    </xf>
    <xf numFmtId="164" fontId="28" fillId="2" borderId="0" xfId="3" applyFont="1" applyFill="1" applyAlignment="1" applyProtection="1">
      <alignment horizontal="left" vertical="center"/>
    </xf>
    <xf numFmtId="164" fontId="29" fillId="2" borderId="0" xfId="3" applyFont="1" applyFill="1" applyAlignment="1">
      <alignment vertical="center"/>
    </xf>
    <xf numFmtId="164" fontId="26" fillId="2" borderId="0" xfId="3" applyFont="1" applyFill="1" applyAlignment="1" applyProtection="1">
      <alignment horizontal="left" vertical="center"/>
    </xf>
    <xf numFmtId="164" fontId="29" fillId="2" borderId="0" xfId="3" applyFont="1" applyFill="1" applyBorder="1" applyAlignment="1">
      <alignment vertical="center"/>
    </xf>
    <xf numFmtId="164" fontId="7" fillId="2" borderId="0" xfId="3" applyFont="1" applyFill="1" applyBorder="1" applyAlignment="1">
      <alignment vertical="center"/>
    </xf>
    <xf numFmtId="164" fontId="23" fillId="2" borderId="0" xfId="3" applyFont="1" applyFill="1" applyBorder="1" applyAlignment="1">
      <alignment horizontal="left" vertical="top"/>
    </xf>
    <xf numFmtId="164" fontId="4" fillId="2" borderId="0" xfId="3" applyFont="1" applyFill="1" applyBorder="1" applyAlignment="1">
      <alignment vertical="center"/>
    </xf>
    <xf numFmtId="164" fontId="30" fillId="2" borderId="0" xfId="3" applyFont="1" applyFill="1" applyAlignment="1">
      <alignment vertical="center"/>
    </xf>
    <xf numFmtId="164" fontId="9" fillId="2" borderId="0" xfId="3" applyFont="1" applyFill="1" applyAlignment="1">
      <alignment vertical="center"/>
    </xf>
    <xf numFmtId="164" fontId="12" fillId="2" borderId="0" xfId="3" applyFont="1" applyFill="1" applyBorder="1" applyAlignment="1">
      <alignment horizontal="centerContinuous" vertical="center" wrapText="1"/>
    </xf>
    <xf numFmtId="164" fontId="7" fillId="2" borderId="0" xfId="3" applyFont="1" applyFill="1" applyBorder="1" applyAlignment="1">
      <alignment horizontal="centerContinuous" vertical="center"/>
    </xf>
    <xf numFmtId="164" fontId="11" fillId="2" borderId="1" xfId="3" applyFont="1" applyFill="1" applyBorder="1" applyAlignment="1" applyProtection="1">
      <alignment horizontal="centerContinuous" vertical="center"/>
    </xf>
    <xf numFmtId="164" fontId="9" fillId="2" borderId="1" xfId="3" applyFont="1" applyFill="1" applyBorder="1" applyAlignment="1">
      <alignment horizontal="centerContinuous" vertical="center"/>
    </xf>
    <xf numFmtId="164" fontId="31" fillId="2" borderId="2" xfId="3" applyFont="1" applyFill="1" applyBorder="1" applyAlignment="1">
      <alignment vertical="center"/>
    </xf>
    <xf numFmtId="164" fontId="31" fillId="2" borderId="2" xfId="3" applyFont="1" applyFill="1" applyBorder="1" applyAlignment="1">
      <alignment horizontal="center" vertical="center"/>
    </xf>
    <xf numFmtId="164" fontId="8" fillId="2" borderId="1" xfId="3" applyFont="1" applyFill="1" applyBorder="1" applyAlignment="1">
      <alignment vertical="center"/>
    </xf>
    <xf numFmtId="164" fontId="8" fillId="2" borderId="0" xfId="3" applyFont="1" applyFill="1" applyBorder="1" applyAlignment="1">
      <alignment horizontal="center" vertical="center" wrapText="1"/>
    </xf>
    <xf numFmtId="164" fontId="8" fillId="2" borderId="0" xfId="3" applyFont="1" applyFill="1" applyAlignment="1">
      <alignment vertical="center"/>
    </xf>
    <xf numFmtId="164" fontId="32" fillId="2" borderId="0" xfId="3" applyFont="1" applyFill="1" applyAlignment="1">
      <alignment vertical="center"/>
    </xf>
    <xf numFmtId="1" fontId="21" fillId="2" borderId="1" xfId="3" applyNumberFormat="1" applyFont="1" applyFill="1" applyBorder="1" applyAlignment="1" applyProtection="1">
      <alignment horizontal="right" vertical="center"/>
    </xf>
    <xf numFmtId="1" fontId="21" fillId="2" borderId="1" xfId="3" applyNumberFormat="1" applyFont="1" applyFill="1" applyBorder="1" applyAlignment="1">
      <alignment horizontal="right" vertical="center"/>
    </xf>
    <xf numFmtId="1" fontId="21" fillId="2" borderId="5" xfId="3" applyNumberFormat="1" applyFont="1" applyFill="1" applyBorder="1" applyAlignment="1" applyProtection="1">
      <alignment horizontal="right" vertical="center"/>
    </xf>
    <xf numFmtId="164" fontId="21" fillId="2" borderId="11" xfId="3" applyFont="1" applyFill="1" applyBorder="1" applyAlignment="1">
      <alignment horizontal="right" vertical="center" wrapText="1"/>
    </xf>
    <xf numFmtId="164" fontId="21" fillId="2" borderId="5" xfId="3" applyFont="1" applyFill="1" applyBorder="1" applyAlignment="1">
      <alignment horizontal="right" vertical="center" wrapText="1"/>
    </xf>
    <xf numFmtId="164" fontId="30" fillId="2" borderId="1" xfId="3" applyFont="1" applyFill="1" applyBorder="1" applyAlignment="1">
      <alignment horizontal="right" vertical="center" wrapText="1"/>
    </xf>
    <xf numFmtId="164" fontId="4" fillId="2" borderId="0" xfId="3" applyFont="1" applyFill="1" applyAlignment="1">
      <alignment horizontal="right" vertical="center"/>
    </xf>
    <xf numFmtId="164" fontId="21" fillId="2" borderId="0" xfId="3" applyFont="1" applyFill="1" applyBorder="1" applyAlignment="1">
      <alignment horizontal="center" vertical="center" wrapText="1"/>
    </xf>
    <xf numFmtId="164" fontId="30" fillId="2" borderId="0" xfId="3" applyFont="1" applyFill="1" applyAlignment="1">
      <alignment horizontal="right" vertical="center"/>
    </xf>
    <xf numFmtId="165" fontId="21" fillId="2" borderId="0" xfId="3" applyNumberFormat="1" applyFont="1" applyFill="1" applyAlignment="1" applyProtection="1">
      <alignment horizontal="right"/>
    </xf>
    <xf numFmtId="165" fontId="21" fillId="2" borderId="0" xfId="3" applyNumberFormat="1" applyFont="1" applyFill="1" applyBorder="1" applyAlignment="1" applyProtection="1">
      <alignment horizontal="right"/>
    </xf>
    <xf numFmtId="165" fontId="21" fillId="2" borderId="14" xfId="3" applyNumberFormat="1" applyFont="1" applyFill="1" applyBorder="1" applyAlignment="1" applyProtection="1">
      <alignment horizontal="right"/>
    </xf>
    <xf numFmtId="165" fontId="21" fillId="2" borderId="13" xfId="3" applyNumberFormat="1" applyFont="1" applyFill="1" applyBorder="1" applyAlignment="1">
      <alignment horizontal="right" vertical="center"/>
    </xf>
    <xf numFmtId="165" fontId="21" fillId="2" borderId="0" xfId="3" applyNumberFormat="1" applyFont="1" applyFill="1" applyBorder="1" applyAlignment="1">
      <alignment horizontal="right" vertical="center"/>
    </xf>
    <xf numFmtId="165" fontId="30" fillId="2" borderId="0" xfId="3" applyNumberFormat="1" applyFont="1" applyFill="1" applyBorder="1" applyAlignment="1">
      <alignment horizontal="right" vertical="center"/>
    </xf>
    <xf numFmtId="164" fontId="22" fillId="2" borderId="0" xfId="3" applyFont="1" applyFill="1" applyAlignment="1">
      <alignment horizontal="right" vertical="center" indent="1"/>
    </xf>
    <xf numFmtId="166" fontId="29" fillId="2" borderId="0" xfId="1" applyNumberFormat="1" applyFont="1" applyFill="1" applyAlignment="1">
      <alignment vertical="center"/>
    </xf>
    <xf numFmtId="165" fontId="21" fillId="2" borderId="0" xfId="3" applyNumberFormat="1" applyFont="1" applyFill="1" applyAlignment="1">
      <alignment horizontal="right" vertical="center"/>
    </xf>
    <xf numFmtId="164" fontId="12" fillId="2" borderId="0" xfId="3" applyFont="1" applyFill="1" applyBorder="1" applyAlignment="1">
      <alignment horizontal="center" vertical="center"/>
    </xf>
    <xf numFmtId="164" fontId="17" fillId="2" borderId="0" xfId="0" applyNumberFormat="1" applyFont="1" applyFill="1" applyAlignment="1" applyProtection="1">
      <alignment horizontal="left" vertical="center" indent="1"/>
    </xf>
    <xf numFmtId="165" fontId="17" fillId="2" borderId="0" xfId="3" applyNumberFormat="1" applyFont="1" applyFill="1" applyBorder="1" applyAlignment="1" applyProtection="1">
      <alignment horizontal="right"/>
    </xf>
    <xf numFmtId="165" fontId="17" fillId="2" borderId="13" xfId="3" applyNumberFormat="1" applyFont="1" applyFill="1" applyBorder="1" applyAlignment="1">
      <alignment horizontal="right" vertical="center"/>
    </xf>
    <xf numFmtId="165" fontId="17" fillId="2" borderId="0" xfId="3" applyNumberFormat="1" applyFont="1" applyFill="1" applyBorder="1" applyAlignment="1">
      <alignment horizontal="right" vertical="center"/>
    </xf>
    <xf numFmtId="165" fontId="20" fillId="2" borderId="0" xfId="3" applyNumberFormat="1" applyFont="1" applyFill="1" applyBorder="1" applyAlignment="1">
      <alignment horizontal="right" vertical="center"/>
    </xf>
    <xf numFmtId="164" fontId="18" fillId="2" borderId="0" xfId="0" applyNumberFormat="1" applyFont="1" applyFill="1" applyAlignment="1">
      <alignment horizontal="right" vertical="center" indent="3"/>
    </xf>
    <xf numFmtId="166" fontId="7" fillId="2" borderId="0" xfId="1" applyNumberFormat="1" applyFont="1" applyFill="1" applyAlignment="1">
      <alignment vertical="center"/>
    </xf>
    <xf numFmtId="164" fontId="17" fillId="2" borderId="1" xfId="0" applyNumberFormat="1" applyFont="1" applyFill="1" applyBorder="1" applyAlignment="1" applyProtection="1">
      <alignment horizontal="left" vertical="center" indent="1"/>
    </xf>
    <xf numFmtId="165" fontId="17" fillId="2" borderId="1" xfId="3" applyNumberFormat="1" applyFont="1" applyFill="1" applyBorder="1" applyAlignment="1" applyProtection="1">
      <alignment horizontal="right"/>
    </xf>
    <xf numFmtId="165" fontId="17" fillId="2" borderId="16" xfId="3" applyNumberFormat="1" applyFont="1" applyFill="1" applyBorder="1" applyAlignment="1" applyProtection="1">
      <alignment horizontal="right"/>
    </xf>
    <xf numFmtId="165" fontId="17" fillId="2" borderId="15" xfId="3" applyNumberFormat="1" applyFont="1" applyFill="1" applyBorder="1" applyAlignment="1">
      <alignment horizontal="right" vertical="center"/>
    </xf>
    <xf numFmtId="165" fontId="17" fillId="2" borderId="1" xfId="3" applyNumberFormat="1" applyFont="1" applyFill="1" applyBorder="1" applyAlignment="1">
      <alignment horizontal="right" vertical="center"/>
    </xf>
    <xf numFmtId="165" fontId="20" fillId="2" borderId="1" xfId="3" applyNumberFormat="1" applyFont="1" applyFill="1" applyBorder="1" applyAlignment="1">
      <alignment horizontal="right" vertical="center"/>
    </xf>
    <xf numFmtId="164" fontId="18" fillId="2" borderId="1" xfId="0" applyNumberFormat="1" applyFont="1" applyFill="1" applyBorder="1" applyAlignment="1">
      <alignment horizontal="right" vertical="center" indent="3"/>
    </xf>
    <xf numFmtId="164" fontId="28" fillId="2" borderId="0" xfId="3" applyFont="1" applyFill="1" applyBorder="1" applyAlignment="1" applyProtection="1">
      <alignment horizontal="left" vertical="center"/>
    </xf>
    <xf numFmtId="164" fontId="7" fillId="2" borderId="0" xfId="3" applyFont="1" applyFill="1" applyAlignment="1">
      <alignment horizontal="left" vertical="center"/>
    </xf>
    <xf numFmtId="164" fontId="7" fillId="2" borderId="0" xfId="3" applyFont="1" applyFill="1" applyBorder="1" applyAlignment="1">
      <alignment horizontal="left" vertical="center"/>
    </xf>
    <xf numFmtId="165" fontId="21" fillId="2" borderId="0" xfId="3" applyNumberFormat="1" applyFont="1" applyFill="1" applyBorder="1" applyAlignment="1">
      <alignment horizontal="left" vertical="center"/>
    </xf>
    <xf numFmtId="164" fontId="20" fillId="2" borderId="0" xfId="3" applyFont="1" applyFill="1" applyBorder="1" applyAlignment="1">
      <alignment vertical="center"/>
    </xf>
    <xf numFmtId="164" fontId="33" fillId="2" borderId="0" xfId="3" applyFont="1" applyFill="1" applyAlignment="1">
      <alignment vertical="center"/>
    </xf>
    <xf numFmtId="164" fontId="11" fillId="2" borderId="0" xfId="3" applyFont="1" applyFill="1" applyAlignment="1">
      <alignment vertical="center"/>
    </xf>
    <xf numFmtId="164" fontId="29" fillId="2" borderId="0" xfId="3" applyFont="1" applyFill="1" applyAlignment="1">
      <alignment horizontal="right" vertical="center"/>
    </xf>
    <xf numFmtId="164" fontId="9" fillId="2" borderId="0" xfId="3" applyFont="1" applyFill="1" applyAlignment="1">
      <alignment horizontal="right" vertical="center"/>
    </xf>
    <xf numFmtId="164" fontId="33" fillId="2" borderId="0" xfId="3" applyFont="1" applyFill="1" applyBorder="1" applyAlignment="1">
      <alignment vertical="center"/>
    </xf>
    <xf numFmtId="164" fontId="11" fillId="2" borderId="0" xfId="3" applyFont="1" applyFill="1" applyBorder="1" applyAlignment="1">
      <alignment vertical="center"/>
    </xf>
    <xf numFmtId="164" fontId="29" fillId="2" borderId="2" xfId="3" applyFont="1" applyFill="1" applyBorder="1" applyAlignment="1">
      <alignment vertical="center"/>
    </xf>
    <xf numFmtId="164" fontId="9" fillId="2" borderId="2" xfId="3" applyFont="1" applyFill="1" applyBorder="1" applyAlignment="1">
      <alignment vertical="center"/>
    </xf>
    <xf numFmtId="164" fontId="35" fillId="2" borderId="2" xfId="3" applyFont="1" applyFill="1" applyBorder="1"/>
    <xf numFmtId="164" fontId="11" fillId="2" borderId="0" xfId="3" applyFont="1" applyFill="1" applyBorder="1" applyAlignment="1" applyProtection="1">
      <alignment horizontal="left" vertical="center" wrapText="1"/>
    </xf>
    <xf numFmtId="164" fontId="22" fillId="2" borderId="0" xfId="3" applyFont="1" applyFill="1" applyBorder="1" applyAlignment="1">
      <alignment horizontal="right" vertical="center" wrapText="1"/>
    </xf>
    <xf numFmtId="164" fontId="22" fillId="2" borderId="4" xfId="3" applyFont="1" applyFill="1" applyBorder="1" applyAlignment="1">
      <alignment horizontal="right" vertical="center" wrapText="1"/>
    </xf>
    <xf numFmtId="0" fontId="36" fillId="2" borderId="4" xfId="0" applyFont="1" applyFill="1" applyBorder="1" applyAlignment="1">
      <alignment horizontal="right" vertical="center" wrapText="1"/>
    </xf>
    <xf numFmtId="164" fontId="12" fillId="2" borderId="0" xfId="3" applyFont="1" applyFill="1" applyBorder="1" applyAlignment="1">
      <alignment horizontal="right" vertical="center" wrapText="1"/>
    </xf>
    <xf numFmtId="164" fontId="29" fillId="2" borderId="0" xfId="3" applyFont="1" applyFill="1" applyAlignment="1">
      <alignment vertical="center" wrapText="1"/>
    </xf>
    <xf numFmtId="164" fontId="11" fillId="2" borderId="0" xfId="3" applyFont="1" applyFill="1" applyBorder="1" applyAlignment="1" applyProtection="1">
      <alignment horizontal="right" vertical="center" wrapText="1"/>
    </xf>
    <xf numFmtId="0" fontId="37" fillId="2" borderId="0" xfId="0" applyFont="1" applyFill="1" applyBorder="1" applyAlignment="1">
      <alignment horizontal="right" vertical="center" wrapText="1"/>
    </xf>
    <xf numFmtId="164" fontId="29" fillId="2" borderId="0" xfId="3" applyFont="1" applyFill="1" applyBorder="1" applyAlignment="1">
      <alignment vertical="center" wrapText="1"/>
    </xf>
    <xf numFmtId="164" fontId="9" fillId="2" borderId="0" xfId="3" applyFont="1" applyFill="1" applyAlignment="1">
      <alignment vertical="center" wrapText="1"/>
    </xf>
    <xf numFmtId="164" fontId="33" fillId="2" borderId="1" xfId="3" applyFont="1" applyFill="1" applyBorder="1" applyAlignment="1">
      <alignment horizontal="right" vertical="center"/>
    </xf>
    <xf numFmtId="164" fontId="11" fillId="2" borderId="1" xfId="3" applyFont="1" applyFill="1" applyBorder="1" applyAlignment="1" applyProtection="1">
      <alignment horizontal="right" vertical="center"/>
    </xf>
    <xf numFmtId="164" fontId="11" fillId="2" borderId="1" xfId="3" applyFont="1" applyFill="1" applyBorder="1" applyAlignment="1" applyProtection="1">
      <alignment horizontal="right" vertical="center" wrapText="1"/>
    </xf>
    <xf numFmtId="0" fontId="37" fillId="2" borderId="1" xfId="0" applyFont="1" applyFill="1" applyBorder="1" applyAlignment="1">
      <alignment horizontal="right" vertical="center" wrapText="1"/>
    </xf>
    <xf numFmtId="164" fontId="27" fillId="2" borderId="1" xfId="3" applyFont="1" applyFill="1" applyBorder="1" applyAlignment="1">
      <alignment horizontal="right" vertical="center"/>
    </xf>
    <xf numFmtId="164" fontId="38" fillId="2" borderId="0" xfId="3" applyFont="1" applyFill="1" applyAlignment="1" applyProtection="1">
      <alignment horizontal="left" vertical="center"/>
    </xf>
    <xf numFmtId="38" fontId="38" fillId="2" borderId="2" xfId="4" applyNumberFormat="1" applyFont="1" applyFill="1" applyBorder="1" applyAlignment="1" applyProtection="1">
      <alignment vertical="center"/>
    </xf>
    <xf numFmtId="38" fontId="38" fillId="2" borderId="0" xfId="4" applyNumberFormat="1" applyFont="1" applyFill="1" applyAlignment="1" applyProtection="1">
      <alignment vertical="center"/>
    </xf>
    <xf numFmtId="164" fontId="12" fillId="2" borderId="0" xfId="3" applyFont="1" applyFill="1" applyAlignment="1">
      <alignment horizontal="right" vertical="center"/>
    </xf>
    <xf numFmtId="164" fontId="31" fillId="2" borderId="0" xfId="3" applyFont="1" applyFill="1" applyAlignment="1">
      <alignment horizontal="right" vertical="center"/>
    </xf>
    <xf numFmtId="164" fontId="9" fillId="2" borderId="0" xfId="3" applyFont="1" applyFill="1" applyBorder="1" applyAlignment="1">
      <alignment vertical="center"/>
    </xf>
    <xf numFmtId="38" fontId="38" fillId="2" borderId="0" xfId="4" applyNumberFormat="1" applyFont="1" applyFill="1" applyBorder="1" applyAlignment="1" applyProtection="1">
      <alignment vertical="center"/>
    </xf>
    <xf numFmtId="38" fontId="38" fillId="2" borderId="0" xfId="4" applyNumberFormat="1" applyFont="1" applyFill="1"/>
    <xf numFmtId="38" fontId="38" fillId="2" borderId="0" xfId="4" applyNumberFormat="1" applyFont="1" applyFill="1" applyBorder="1"/>
    <xf numFmtId="164" fontId="38" fillId="2" borderId="0" xfId="3" applyFont="1" applyFill="1" applyAlignment="1" applyProtection="1">
      <alignment horizontal="left" vertical="top"/>
    </xf>
    <xf numFmtId="38" fontId="38" fillId="2" borderId="0" xfId="4" applyNumberFormat="1" applyFont="1" applyFill="1" applyBorder="1" applyAlignment="1">
      <alignment horizontal="right"/>
    </xf>
    <xf numFmtId="164" fontId="22" fillId="2" borderId="0" xfId="3" applyFont="1" applyFill="1" applyAlignment="1">
      <alignment horizontal="right" vertical="center"/>
    </xf>
    <xf numFmtId="164" fontId="40" fillId="2" borderId="0" xfId="3" applyFont="1" applyFill="1" applyAlignment="1">
      <alignment horizontal="right" vertical="center"/>
    </xf>
    <xf numFmtId="164" fontId="41" fillId="2" borderId="0" xfId="0" applyNumberFormat="1" applyFont="1" applyFill="1" applyAlignment="1" applyProtection="1">
      <alignment horizontal="left" vertical="center" indent="2"/>
    </xf>
    <xf numFmtId="38" fontId="41" fillId="2" borderId="0" xfId="4" applyNumberFormat="1" applyFont="1" applyFill="1" applyBorder="1" applyAlignment="1" applyProtection="1">
      <alignment vertical="center"/>
    </xf>
    <xf numFmtId="38" fontId="41" fillId="2" borderId="0" xfId="4" applyNumberFormat="1" applyFont="1" applyFill="1" applyBorder="1"/>
    <xf numFmtId="164" fontId="27" fillId="2" borderId="0" xfId="0" applyNumberFormat="1" applyFont="1" applyFill="1" applyAlignment="1">
      <alignment horizontal="right" vertical="center" indent="2"/>
    </xf>
    <xf numFmtId="164" fontId="42" fillId="2" borderId="0" xfId="0" applyNumberFormat="1" applyFont="1" applyFill="1" applyAlignment="1">
      <alignment horizontal="right" vertical="center"/>
    </xf>
    <xf numFmtId="164" fontId="20" fillId="2" borderId="0" xfId="0" applyNumberFormat="1" applyFont="1" applyFill="1"/>
    <xf numFmtId="164" fontId="41" fillId="2" borderId="1" xfId="0" applyNumberFormat="1" applyFont="1" applyFill="1" applyBorder="1" applyAlignment="1" applyProtection="1">
      <alignment horizontal="left" vertical="center" indent="2"/>
    </xf>
    <xf numFmtId="38" fontId="41" fillId="2" borderId="1" xfId="4" applyNumberFormat="1" applyFont="1" applyFill="1" applyBorder="1" applyAlignment="1" applyProtection="1">
      <alignment vertical="center"/>
    </xf>
    <xf numFmtId="38" fontId="38" fillId="2" borderId="1" xfId="4" applyNumberFormat="1" applyFont="1" applyFill="1" applyBorder="1" applyAlignment="1" applyProtection="1">
      <alignment vertical="center"/>
    </xf>
    <xf numFmtId="38" fontId="41" fillId="2" borderId="1" xfId="4" applyNumberFormat="1" applyFont="1" applyFill="1" applyBorder="1"/>
    <xf numFmtId="164" fontId="27" fillId="2" borderId="1" xfId="0" applyNumberFormat="1" applyFont="1" applyFill="1" applyBorder="1" applyAlignment="1">
      <alignment horizontal="right" vertical="center" indent="2"/>
    </xf>
    <xf numFmtId="164" fontId="42" fillId="2" borderId="0" xfId="0" applyNumberFormat="1" applyFont="1" applyFill="1" applyBorder="1" applyAlignment="1">
      <alignment horizontal="right" vertical="center"/>
    </xf>
    <xf numFmtId="164" fontId="29" fillId="2" borderId="20" xfId="3" applyFont="1" applyFill="1" applyBorder="1" applyAlignment="1">
      <alignment vertical="center"/>
    </xf>
    <xf numFmtId="164" fontId="11" fillId="2" borderId="20" xfId="3" applyFont="1" applyFill="1" applyBorder="1" applyAlignment="1" applyProtection="1">
      <alignment horizontal="left" vertical="center"/>
    </xf>
    <xf numFmtId="164" fontId="31" fillId="2" borderId="20" xfId="3" applyFont="1" applyFill="1" applyBorder="1" applyAlignment="1">
      <alignment horizontal="right" vertical="center"/>
    </xf>
    <xf numFmtId="164" fontId="44" fillId="2" borderId="20" xfId="3" applyFont="1" applyFill="1" applyBorder="1" applyAlignment="1">
      <alignment horizontal="right" vertical="center"/>
    </xf>
    <xf numFmtId="164" fontId="33" fillId="2" borderId="20" xfId="3" applyFont="1" applyFill="1" applyBorder="1" applyAlignment="1">
      <alignment horizontal="right" vertical="center"/>
    </xf>
    <xf numFmtId="164" fontId="11" fillId="2" borderId="20" xfId="3" applyFont="1" applyFill="1" applyBorder="1" applyAlignment="1" applyProtection="1">
      <alignment horizontal="right" vertical="center"/>
    </xf>
    <xf numFmtId="164" fontId="11" fillId="2" borderId="20" xfId="3" applyFont="1" applyFill="1" applyBorder="1" applyAlignment="1" applyProtection="1">
      <alignment horizontal="right" vertical="center" wrapText="1"/>
    </xf>
    <xf numFmtId="38" fontId="11" fillId="2" borderId="20" xfId="4" applyNumberFormat="1" applyFont="1" applyFill="1" applyBorder="1" applyAlignment="1" applyProtection="1">
      <alignment vertical="center"/>
    </xf>
    <xf numFmtId="3" fontId="11" fillId="2" borderId="20" xfId="3" applyNumberFormat="1" applyFont="1" applyFill="1" applyBorder="1" applyAlignment="1" applyProtection="1">
      <alignment vertical="center"/>
    </xf>
    <xf numFmtId="3" fontId="11" fillId="2" borderId="20" xfId="3" applyNumberFormat="1" applyFont="1" applyFill="1" applyBorder="1"/>
    <xf numFmtId="3" fontId="11" fillId="2" borderId="20" xfId="5" applyNumberFormat="1" applyFont="1" applyFill="1" applyBorder="1"/>
    <xf numFmtId="165" fontId="11" fillId="2" borderId="20" xfId="5" applyNumberFormat="1" applyFont="1" applyFill="1" applyBorder="1"/>
    <xf numFmtId="165" fontId="11" fillId="2" borderId="20" xfId="5" applyNumberFormat="1" applyFont="1" applyFill="1" applyBorder="1" applyAlignment="1">
      <alignment horizontal="right"/>
    </xf>
    <xf numFmtId="164" fontId="33" fillId="2" borderId="20" xfId="0" applyNumberFormat="1" applyFont="1" applyFill="1" applyBorder="1" applyAlignment="1" applyProtection="1">
      <alignment horizontal="left" vertical="center"/>
    </xf>
    <xf numFmtId="3" fontId="33" fillId="2" borderId="20" xfId="5" applyNumberFormat="1" applyFont="1" applyFill="1" applyBorder="1"/>
    <xf numFmtId="3" fontId="33" fillId="2" borderId="20" xfId="3" applyNumberFormat="1" applyFont="1" applyFill="1" applyBorder="1"/>
    <xf numFmtId="164" fontId="42" fillId="2" borderId="20" xfId="0" applyNumberFormat="1" applyFont="1" applyFill="1" applyBorder="1" applyAlignment="1">
      <alignment horizontal="right" vertical="center"/>
    </xf>
    <xf numFmtId="165" fontId="33" fillId="2" borderId="20" xfId="3" applyNumberFormat="1" applyFont="1" applyFill="1" applyBorder="1"/>
    <xf numFmtId="165" fontId="33" fillId="2" borderId="20" xfId="3" applyNumberFormat="1" applyFont="1" applyFill="1" applyBorder="1" applyAlignment="1">
      <alignment horizontal="right"/>
    </xf>
    <xf numFmtId="3" fontId="33" fillId="2" borderId="20" xfId="3" applyNumberFormat="1" applyFont="1" applyFill="1" applyBorder="1" applyAlignment="1">
      <alignment horizontal="right"/>
    </xf>
    <xf numFmtId="164" fontId="26" fillId="2" borderId="20" xfId="3" applyFont="1" applyFill="1" applyBorder="1" applyAlignment="1" applyProtection="1">
      <alignment horizontal="left" vertical="center"/>
    </xf>
    <xf numFmtId="164" fontId="28" fillId="2" borderId="20" xfId="3" applyFont="1" applyFill="1" applyBorder="1" applyAlignment="1" applyProtection="1">
      <alignment horizontal="left" vertical="center"/>
    </xf>
    <xf numFmtId="164" fontId="42" fillId="2" borderId="20" xfId="3" applyFont="1" applyFill="1" applyBorder="1" applyAlignment="1">
      <alignment horizontal="right" vertical="center"/>
    </xf>
    <xf numFmtId="164" fontId="20" fillId="2" borderId="0" xfId="3" applyFont="1" applyFill="1" applyAlignment="1">
      <alignment horizontal="right" vertical="center"/>
    </xf>
    <xf numFmtId="1" fontId="20" fillId="2" borderId="0" xfId="3" applyNumberFormat="1" applyFont="1" applyFill="1" applyAlignment="1">
      <alignment vertical="center"/>
    </xf>
    <xf numFmtId="164" fontId="43" fillId="2" borderId="0" xfId="3" applyFont="1" applyFill="1" applyAlignment="1">
      <alignment horizontal="center" vertical="center"/>
    </xf>
    <xf numFmtId="164" fontId="43" fillId="2" borderId="0" xfId="3" applyFont="1" applyFill="1" applyAlignment="1">
      <alignment vertical="center"/>
    </xf>
    <xf numFmtId="164" fontId="21" fillId="2" borderId="0" xfId="3" applyFont="1" applyFill="1" applyAlignment="1" applyProtection="1">
      <alignment horizontal="center" vertical="center"/>
    </xf>
    <xf numFmtId="164" fontId="21" fillId="2" borderId="0" xfId="3" applyFont="1" applyFill="1" applyAlignment="1" applyProtection="1">
      <alignment vertical="center"/>
    </xf>
    <xf numFmtId="164" fontId="31" fillId="2" borderId="0" xfId="3" applyFont="1" applyFill="1" applyAlignment="1">
      <alignment horizontal="center" vertical="center"/>
    </xf>
    <xf numFmtId="164" fontId="9" fillId="2" borderId="0" xfId="3" applyFont="1" applyFill="1" applyAlignment="1">
      <alignment horizontal="centerContinuous" vertical="center"/>
    </xf>
    <xf numFmtId="165" fontId="7" fillId="2" borderId="0" xfId="3" applyNumberFormat="1" applyFont="1" applyFill="1" applyBorder="1" applyAlignment="1" applyProtection="1">
      <alignment horizontal="right" vertical="center"/>
    </xf>
    <xf numFmtId="164" fontId="33" fillId="2" borderId="0" xfId="3" applyFont="1" applyFill="1" applyBorder="1" applyAlignment="1" applyProtection="1">
      <alignment horizontal="left" vertical="center"/>
    </xf>
    <xf numFmtId="165" fontId="11" fillId="2" borderId="0" xfId="3" applyNumberFormat="1" applyFont="1" applyFill="1" applyBorder="1" applyAlignment="1">
      <alignment horizontal="left" vertical="center"/>
    </xf>
    <xf numFmtId="165" fontId="33" fillId="2" borderId="0" xfId="3" applyNumberFormat="1" applyFont="1" applyFill="1" applyBorder="1" applyAlignment="1" applyProtection="1">
      <alignment horizontal="right" vertical="center"/>
    </xf>
    <xf numFmtId="164" fontId="31" fillId="2" borderId="0" xfId="3" applyFont="1" applyFill="1" applyBorder="1" applyAlignment="1">
      <alignment horizontal="right" vertical="center"/>
    </xf>
    <xf numFmtId="164" fontId="20" fillId="2" borderId="0" xfId="3" applyFont="1" applyFill="1" applyAlignment="1">
      <alignment horizontal="right"/>
    </xf>
    <xf numFmtId="164" fontId="20" fillId="2" borderId="0" xfId="3" applyFont="1" applyFill="1"/>
    <xf numFmtId="164" fontId="7" fillId="2" borderId="0" xfId="3" applyFont="1" applyFill="1" applyAlignment="1">
      <alignment horizontal="right"/>
    </xf>
    <xf numFmtId="164" fontId="9" fillId="2" borderId="0" xfId="3" applyFont="1" applyFill="1" applyBorder="1" applyAlignment="1">
      <alignment horizontal="right" vertical="center"/>
    </xf>
    <xf numFmtId="43" fontId="7" fillId="2" borderId="0" xfId="1" applyFont="1" applyFill="1" applyAlignment="1">
      <alignment horizontal="right"/>
    </xf>
    <xf numFmtId="3" fontId="7" fillId="2" borderId="0" xfId="3" applyNumberFormat="1" applyFont="1" applyFill="1" applyAlignment="1">
      <alignment horizontal="right"/>
    </xf>
    <xf numFmtId="1" fontId="11" fillId="2" borderId="17" xfId="3" applyNumberFormat="1" applyFont="1" applyFill="1" applyBorder="1" applyAlignment="1" applyProtection="1">
      <alignment horizontal="right" vertical="center"/>
    </xf>
    <xf numFmtId="1" fontId="11" fillId="2" borderId="1" xfId="3" applyNumberFormat="1" applyFont="1" applyFill="1" applyBorder="1" applyAlignment="1" applyProtection="1">
      <alignment horizontal="right" vertical="center"/>
    </xf>
    <xf numFmtId="3" fontId="21" fillId="2" borderId="2" xfId="3" applyNumberFormat="1" applyFont="1" applyFill="1" applyBorder="1" applyAlignment="1">
      <alignment horizontal="right" vertical="center"/>
    </xf>
    <xf numFmtId="165" fontId="21" fillId="2" borderId="2" xfId="3" applyNumberFormat="1" applyFont="1" applyFill="1" applyBorder="1" applyAlignment="1">
      <alignment horizontal="right" vertical="center"/>
    </xf>
    <xf numFmtId="165" fontId="21" fillId="2" borderId="21" xfId="3" applyNumberFormat="1" applyFont="1" applyFill="1" applyBorder="1" applyAlignment="1">
      <alignment horizontal="right" vertical="center"/>
    </xf>
    <xf numFmtId="165" fontId="9" fillId="2" borderId="0" xfId="3" applyNumberFormat="1" applyFont="1" applyFill="1" applyBorder="1" applyAlignment="1">
      <alignment horizontal="right" vertical="center"/>
    </xf>
    <xf numFmtId="167" fontId="33" fillId="2" borderId="0" xfId="3" applyNumberFormat="1" applyFont="1" applyFill="1" applyBorder="1" applyAlignment="1" applyProtection="1">
      <alignment horizontal="center" vertical="center"/>
    </xf>
    <xf numFmtId="3" fontId="21" fillId="2" borderId="0" xfId="3" applyNumberFormat="1" applyFont="1" applyFill="1" applyBorder="1" applyAlignment="1" applyProtection="1">
      <alignment horizontal="right" vertical="center"/>
    </xf>
    <xf numFmtId="3" fontId="17" fillId="2" borderId="0" xfId="3" applyNumberFormat="1" applyFont="1" applyFill="1" applyBorder="1" applyAlignment="1" applyProtection="1">
      <alignment horizontal="right" vertical="center"/>
    </xf>
    <xf numFmtId="165" fontId="17" fillId="2" borderId="22" xfId="3" applyNumberFormat="1" applyFont="1" applyFill="1" applyBorder="1" applyAlignment="1">
      <alignment horizontal="right" vertical="center"/>
    </xf>
    <xf numFmtId="165" fontId="17" fillId="2" borderId="0" xfId="3" applyNumberFormat="1" applyFont="1" applyFill="1" applyBorder="1" applyAlignment="1">
      <alignment horizontal="center" vertical="center"/>
    </xf>
    <xf numFmtId="3" fontId="17" fillId="2" borderId="1" xfId="3" applyNumberFormat="1" applyFont="1" applyFill="1" applyBorder="1" applyAlignment="1" applyProtection="1">
      <alignment horizontal="right" vertical="center"/>
    </xf>
    <xf numFmtId="165" fontId="17" fillId="2" borderId="23" xfId="3" applyNumberFormat="1" applyFont="1" applyFill="1" applyBorder="1" applyAlignment="1">
      <alignment horizontal="right" vertical="center"/>
    </xf>
    <xf numFmtId="165" fontId="17" fillId="2" borderId="1" xfId="3" applyNumberFormat="1" applyFont="1" applyFill="1" applyBorder="1" applyAlignment="1">
      <alignment horizontal="center" vertical="center"/>
    </xf>
    <xf numFmtId="164" fontId="42" fillId="2" borderId="0" xfId="3" applyFont="1" applyFill="1" applyBorder="1" applyAlignment="1">
      <alignment horizontal="right" vertical="center"/>
    </xf>
    <xf numFmtId="164" fontId="7" fillId="2" borderId="0" xfId="3" applyFont="1" applyFill="1" applyBorder="1"/>
    <xf numFmtId="164" fontId="7" fillId="2" borderId="0" xfId="3" applyFont="1" applyFill="1"/>
    <xf numFmtId="167" fontId="7" fillId="2" borderId="0" xfId="3" applyNumberFormat="1" applyFont="1" applyFill="1" applyAlignment="1">
      <alignment horizontal="right"/>
    </xf>
    <xf numFmtId="167" fontId="20" fillId="2" borderId="0" xfId="3" applyNumberFormat="1" applyFont="1" applyFill="1" applyAlignment="1">
      <alignment horizontal="right"/>
    </xf>
    <xf numFmtId="164" fontId="30" fillId="2" borderId="0" xfId="3" applyFont="1" applyFill="1" applyAlignment="1" applyProtection="1">
      <alignment horizontal="center" vertical="center"/>
    </xf>
    <xf numFmtId="164" fontId="7" fillId="2" borderId="0" xfId="3" applyFont="1" applyFill="1" applyAlignment="1">
      <alignment horizontal="centerContinuous" vertical="center"/>
    </xf>
    <xf numFmtId="164" fontId="4" fillId="2" borderId="2" xfId="3" applyFont="1" applyFill="1" applyBorder="1" applyAlignment="1">
      <alignment vertical="center"/>
    </xf>
    <xf numFmtId="164" fontId="47" fillId="2" borderId="2" xfId="3" applyFont="1" applyFill="1" applyBorder="1"/>
    <xf numFmtId="164" fontId="47" fillId="2" borderId="0" xfId="3" applyFont="1" applyFill="1" applyBorder="1"/>
    <xf numFmtId="164" fontId="35" fillId="2" borderId="0" xfId="3" applyFont="1" applyFill="1" applyBorder="1"/>
    <xf numFmtId="164" fontId="30" fillId="2" borderId="0" xfId="3" applyFont="1" applyFill="1" applyBorder="1" applyAlignment="1" applyProtection="1">
      <alignment horizontal="left" vertical="center"/>
    </xf>
    <xf numFmtId="164" fontId="22" fillId="2" borderId="0" xfId="0" applyNumberFormat="1" applyFont="1" applyFill="1" applyAlignment="1">
      <alignment horizontal="right"/>
    </xf>
    <xf numFmtId="164" fontId="40" fillId="2" borderId="0" xfId="0" applyNumberFormat="1" applyFont="1" applyFill="1" applyAlignment="1">
      <alignment horizontal="right"/>
    </xf>
    <xf numFmtId="164" fontId="21" fillId="2" borderId="1" xfId="3" applyFont="1" applyFill="1" applyBorder="1" applyAlignment="1" applyProtection="1">
      <alignment horizontal="left" vertical="center"/>
    </xf>
    <xf numFmtId="164" fontId="21" fillId="2" borderId="1" xfId="3" applyFont="1" applyFill="1" applyBorder="1" applyAlignment="1" applyProtection="1">
      <alignment horizontal="right" vertical="center"/>
    </xf>
    <xf numFmtId="164" fontId="21" fillId="2" borderId="1" xfId="3" applyFont="1" applyFill="1" applyBorder="1" applyAlignment="1" applyProtection="1">
      <alignment horizontal="right" vertical="center" wrapText="1"/>
    </xf>
    <xf numFmtId="0" fontId="37" fillId="2" borderId="1" xfId="0" applyFont="1" applyFill="1" applyBorder="1" applyAlignment="1">
      <alignment horizontal="right" vertical="center"/>
    </xf>
    <xf numFmtId="164" fontId="33" fillId="2" borderId="0" xfId="3" applyFont="1" applyFill="1" applyBorder="1" applyAlignment="1">
      <alignment horizontal="right" vertical="center"/>
    </xf>
    <xf numFmtId="164" fontId="21" fillId="2" borderId="0" xfId="3" applyFont="1" applyFill="1" applyBorder="1" applyAlignment="1">
      <alignment vertical="center"/>
    </xf>
    <xf numFmtId="38" fontId="8" fillId="2" borderId="0" xfId="4" applyNumberFormat="1" applyFont="1" applyFill="1" applyBorder="1" applyAlignment="1" applyProtection="1">
      <alignment horizontal="right" vertical="center"/>
      <protection hidden="1"/>
    </xf>
    <xf numFmtId="38" fontId="8" fillId="2" borderId="0" xfId="4" applyNumberFormat="1" applyFont="1" applyFill="1" applyBorder="1" applyAlignment="1">
      <alignment horizontal="right" vertical="center"/>
    </xf>
    <xf numFmtId="164" fontId="17" fillId="2" borderId="0" xfId="3" applyFont="1" applyFill="1" applyAlignment="1" applyProtection="1">
      <alignment horizontal="left" vertical="center" indent="2"/>
    </xf>
    <xf numFmtId="38" fontId="32" fillId="2" borderId="0" xfId="4" applyNumberFormat="1" applyFont="1" applyFill="1" applyBorder="1" applyAlignment="1">
      <alignment horizontal="right"/>
    </xf>
    <xf numFmtId="164" fontId="49" fillId="2" borderId="0" xfId="0" applyNumberFormat="1" applyFont="1" applyFill="1" applyAlignment="1">
      <alignment horizontal="right"/>
    </xf>
    <xf numFmtId="164" fontId="17" fillId="2" borderId="1" xfId="3" applyFont="1" applyFill="1" applyBorder="1" applyAlignment="1" applyProtection="1">
      <alignment horizontal="left" vertical="center" indent="2"/>
    </xf>
    <xf numFmtId="38" fontId="8" fillId="2" borderId="1" xfId="4" applyNumberFormat="1" applyFont="1" applyFill="1" applyBorder="1" applyAlignment="1" applyProtection="1">
      <alignment horizontal="right" vertical="center"/>
      <protection hidden="1"/>
    </xf>
    <xf numFmtId="38" fontId="32" fillId="2" borderId="1" xfId="4" applyNumberFormat="1" applyFont="1" applyFill="1" applyBorder="1" applyAlignment="1">
      <alignment horizontal="right"/>
    </xf>
    <xf numFmtId="164" fontId="49" fillId="2" borderId="0" xfId="0" applyNumberFormat="1" applyFont="1" applyFill="1" applyBorder="1" applyAlignment="1">
      <alignment horizontal="right"/>
    </xf>
    <xf numFmtId="164" fontId="50" fillId="2" borderId="0" xfId="3" applyFont="1" applyFill="1" applyAlignment="1" applyProtection="1">
      <alignment horizontal="left" vertical="center"/>
    </xf>
    <xf numFmtId="164" fontId="42" fillId="2" borderId="0" xfId="0" applyNumberFormat="1" applyFont="1" applyFill="1" applyAlignment="1">
      <alignment horizontal="right"/>
    </xf>
    <xf numFmtId="164" fontId="33" fillId="2" borderId="0" xfId="3" applyFont="1" applyFill="1" applyAlignment="1">
      <alignment horizontal="right" vertical="center"/>
    </xf>
    <xf numFmtId="164" fontId="11" fillId="2" borderId="0" xfId="3" applyFont="1" applyFill="1" applyAlignment="1">
      <alignment horizontal="right" vertical="center"/>
    </xf>
    <xf numFmtId="164" fontId="11" fillId="2" borderId="0" xfId="3" applyFont="1" applyFill="1" applyAlignment="1" applyProtection="1">
      <alignment horizontal="centerContinuous" vertical="center"/>
    </xf>
    <xf numFmtId="164" fontId="11" fillId="2" borderId="0" xfId="3" applyFont="1" applyFill="1" applyAlignment="1">
      <alignment horizontal="centerContinuous" vertical="center"/>
    </xf>
    <xf numFmtId="164" fontId="51" fillId="2" borderId="0" xfId="3" applyFont="1" applyFill="1" applyAlignment="1">
      <alignment horizontal="centerContinuous" vertical="center"/>
    </xf>
    <xf numFmtId="164" fontId="38" fillId="2" borderId="0" xfId="3" applyFont="1" applyFill="1" applyAlignment="1">
      <alignment horizontal="centerContinuous" vertical="center"/>
    </xf>
    <xf numFmtId="164" fontId="21" fillId="2" borderId="17" xfId="3" applyFont="1" applyFill="1" applyBorder="1" applyAlignment="1" applyProtection="1">
      <alignment horizontal="left" vertical="center"/>
    </xf>
    <xf numFmtId="164" fontId="21" fillId="2" borderId="17" xfId="3" applyFont="1" applyFill="1" applyBorder="1" applyAlignment="1" applyProtection="1">
      <alignment horizontal="right" vertical="center"/>
    </xf>
    <xf numFmtId="164" fontId="38" fillId="2" borderId="17" xfId="3" applyFont="1" applyFill="1" applyBorder="1" applyAlignment="1" applyProtection="1">
      <alignment horizontal="right" vertical="center"/>
    </xf>
    <xf numFmtId="38" fontId="21" fillId="2" borderId="0" xfId="6" applyNumberFormat="1" applyFont="1" applyFill="1" applyAlignment="1" applyProtection="1">
      <alignment horizontal="right" vertical="center"/>
    </xf>
    <xf numFmtId="38" fontId="38" fillId="2" borderId="0" xfId="6" applyNumberFormat="1" applyFont="1" applyFill="1" applyAlignment="1" applyProtection="1">
      <alignment horizontal="right" vertical="center"/>
    </xf>
    <xf numFmtId="38" fontId="38" fillId="2" borderId="0" xfId="4" applyNumberFormat="1" applyFont="1" applyFill="1" applyAlignment="1" applyProtection="1">
      <alignment horizontal="right" vertical="center"/>
    </xf>
    <xf numFmtId="9" fontId="29" fillId="2" borderId="0" xfId="2" applyFont="1" applyFill="1" applyAlignment="1">
      <alignment vertical="center"/>
    </xf>
    <xf numFmtId="0" fontId="38" fillId="2" borderId="0" xfId="0" applyFont="1" applyFill="1" applyAlignment="1">
      <alignment horizontal="left"/>
    </xf>
    <xf numFmtId="164" fontId="21" fillId="2" borderId="4" xfId="3" applyFont="1" applyFill="1" applyBorder="1" applyAlignment="1" applyProtection="1">
      <alignment horizontal="left" vertical="center"/>
    </xf>
    <xf numFmtId="38" fontId="21" fillId="2" borderId="4" xfId="6" applyNumberFormat="1" applyFont="1" applyFill="1" applyBorder="1" applyAlignment="1" applyProtection="1">
      <alignment horizontal="right" vertical="center"/>
    </xf>
    <xf numFmtId="38" fontId="38" fillId="2" borderId="4" xfId="4" applyNumberFormat="1" applyFont="1" applyFill="1" applyBorder="1" applyAlignment="1" applyProtection="1">
      <alignment horizontal="right" vertical="center"/>
    </xf>
    <xf numFmtId="38" fontId="17" fillId="2" borderId="0" xfId="6" applyNumberFormat="1" applyFont="1" applyFill="1" applyAlignment="1" applyProtection="1">
      <alignment horizontal="right" vertical="center"/>
      <protection locked="0"/>
    </xf>
    <xf numFmtId="38" fontId="41" fillId="2" borderId="0" xfId="6" applyNumberFormat="1" applyFont="1" applyFill="1" applyAlignment="1" applyProtection="1">
      <alignment horizontal="right" vertical="center"/>
      <protection locked="0"/>
    </xf>
    <xf numFmtId="38" fontId="41" fillId="2" borderId="0" xfId="4" applyNumberFormat="1" applyFont="1" applyFill="1" applyAlignment="1" applyProtection="1">
      <alignment horizontal="right" vertical="center"/>
      <protection locked="0"/>
    </xf>
    <xf numFmtId="167" fontId="29" fillId="2" borderId="0" xfId="3" applyNumberFormat="1" applyFont="1" applyFill="1" applyAlignment="1">
      <alignment vertical="center"/>
    </xf>
    <xf numFmtId="164" fontId="18" fillId="2" borderId="0" xfId="0" applyNumberFormat="1" applyFont="1" applyFill="1" applyAlignment="1">
      <alignment horizontal="right" vertical="center"/>
    </xf>
    <xf numFmtId="0" fontId="41" fillId="2" borderId="0" xfId="0" applyFont="1" applyFill="1" applyAlignment="1">
      <alignment horizontal="left"/>
    </xf>
    <xf numFmtId="164" fontId="17" fillId="2" borderId="4" xfId="3" applyFont="1" applyFill="1" applyBorder="1" applyAlignment="1" applyProtection="1">
      <alignment horizontal="left" vertical="center"/>
    </xf>
    <xf numFmtId="38" fontId="17" fillId="2" borderId="4" xfId="6" applyNumberFormat="1" applyFont="1" applyFill="1" applyBorder="1" applyAlignment="1" applyProtection="1">
      <alignment horizontal="right" vertical="center"/>
      <protection locked="0"/>
    </xf>
    <xf numFmtId="38" fontId="41" fillId="2" borderId="4" xfId="6" applyNumberFormat="1" applyFont="1" applyFill="1" applyBorder="1" applyAlignment="1" applyProtection="1">
      <alignment horizontal="right" vertical="center"/>
      <protection locked="0"/>
    </xf>
    <xf numFmtId="38" fontId="41" fillId="2" borderId="4" xfId="4" applyNumberFormat="1" applyFont="1" applyFill="1" applyBorder="1" applyAlignment="1" applyProtection="1">
      <alignment horizontal="right" vertical="center"/>
      <protection locked="0"/>
    </xf>
    <xf numFmtId="164" fontId="21" fillId="2" borderId="0" xfId="3" applyFont="1" applyFill="1" applyAlignment="1">
      <alignment horizontal="left" vertical="center"/>
    </xf>
    <xf numFmtId="164" fontId="17" fillId="2" borderId="0" xfId="3" applyFont="1" applyFill="1" applyAlignment="1">
      <alignment horizontal="left" vertical="center"/>
    </xf>
    <xf numFmtId="38" fontId="21" fillId="2" borderId="0" xfId="6" applyNumberFormat="1" applyFont="1" applyFill="1" applyBorder="1" applyAlignment="1" applyProtection="1">
      <alignment horizontal="right" vertical="center"/>
    </xf>
    <xf numFmtId="38" fontId="41" fillId="2" borderId="0" xfId="6" applyNumberFormat="1" applyFont="1" applyFill="1" applyAlignment="1" applyProtection="1">
      <alignment horizontal="right" vertical="center"/>
    </xf>
    <xf numFmtId="169" fontId="7" fillId="2" borderId="0" xfId="6" applyNumberFormat="1" applyFont="1" applyFill="1" applyAlignment="1" applyProtection="1">
      <alignment horizontal="right" vertical="center"/>
    </xf>
    <xf numFmtId="169" fontId="7" fillId="2" borderId="0" xfId="4" applyNumberFormat="1" applyFont="1" applyFill="1" applyAlignment="1" applyProtection="1">
      <alignment horizontal="right" vertical="center"/>
    </xf>
    <xf numFmtId="38" fontId="17" fillId="2" borderId="1" xfId="6" applyNumberFormat="1" applyFont="1" applyFill="1" applyBorder="1" applyAlignment="1" applyProtection="1">
      <alignment horizontal="right" vertical="center"/>
      <protection locked="0"/>
    </xf>
    <xf numFmtId="38" fontId="41" fillId="2" borderId="1" xfId="6" applyNumberFormat="1" applyFont="1" applyFill="1" applyBorder="1" applyAlignment="1" applyProtection="1">
      <alignment horizontal="right" vertical="center"/>
      <protection locked="0"/>
    </xf>
    <xf numFmtId="164" fontId="52" fillId="2" borderId="0" xfId="3" applyFont="1" applyFill="1" applyAlignment="1" applyProtection="1">
      <alignment horizontal="left" vertical="center"/>
    </xf>
    <xf numFmtId="164" fontId="17" fillId="2" borderId="0" xfId="3" applyFont="1" applyFill="1" applyAlignment="1">
      <alignment vertical="center"/>
    </xf>
    <xf numFmtId="164" fontId="41" fillId="2" borderId="0" xfId="3" applyFont="1" applyFill="1" applyAlignment="1">
      <alignment vertical="center"/>
    </xf>
    <xf numFmtId="38" fontId="11" fillId="2" borderId="0" xfId="6" applyNumberFormat="1" applyFont="1" applyFill="1" applyAlignment="1" applyProtection="1">
      <alignment horizontal="right" vertical="center"/>
    </xf>
    <xf numFmtId="164" fontId="38" fillId="2" borderId="0" xfId="3" applyFont="1" applyFill="1" applyAlignment="1">
      <alignment vertical="center"/>
    </xf>
    <xf numFmtId="1" fontId="29" fillId="2" borderId="0" xfId="3" applyNumberFormat="1" applyFont="1" applyFill="1" applyAlignment="1">
      <alignment vertical="center"/>
    </xf>
    <xf numFmtId="1" fontId="0" fillId="2" borderId="0" xfId="3" applyNumberFormat="1" applyFont="1" applyFill="1" applyAlignment="1">
      <alignment vertical="center"/>
    </xf>
    <xf numFmtId="164" fontId="38" fillId="2" borderId="0" xfId="3" applyFont="1" applyFill="1" applyAlignment="1">
      <alignment horizontal="left" vertical="center"/>
    </xf>
    <xf numFmtId="0" fontId="0" fillId="2" borderId="0" xfId="0" applyFill="1"/>
    <xf numFmtId="1" fontId="30" fillId="2" borderId="5" xfId="0" applyNumberFormat="1" applyFont="1" applyFill="1" applyBorder="1" applyAlignment="1">
      <alignment horizontal="right" vertical="center"/>
    </xf>
    <xf numFmtId="38" fontId="38" fillId="2" borderId="0" xfId="4" applyNumberFormat="1" applyFont="1" applyFill="1" applyAlignment="1" applyProtection="1">
      <alignment horizontal="left" vertical="center"/>
      <protection locked="0"/>
    </xf>
    <xf numFmtId="3" fontId="56" fillId="2" borderId="0" xfId="0" applyNumberFormat="1" applyFont="1" applyFill="1" applyBorder="1" applyAlignment="1">
      <alignment horizontal="right" vertical="center"/>
    </xf>
    <xf numFmtId="0" fontId="36" fillId="2" borderId="0" xfId="0" applyFont="1" applyFill="1" applyBorder="1" applyAlignment="1">
      <alignment horizontal="right" vertical="center"/>
    </xf>
    <xf numFmtId="1" fontId="41" fillId="2" borderId="0" xfId="0" applyNumberFormat="1" applyFont="1" applyFill="1" applyAlignment="1">
      <alignment horizontal="left" indent="1"/>
    </xf>
    <xf numFmtId="3" fontId="57" fillId="2" borderId="0" xfId="0" applyNumberFormat="1" applyFont="1" applyFill="1" applyBorder="1" applyAlignment="1">
      <alignment horizontal="right" vertical="center"/>
    </xf>
    <xf numFmtId="0" fontId="53" fillId="2" borderId="0" xfId="0" applyFont="1" applyFill="1" applyBorder="1" applyAlignment="1">
      <alignment horizontal="right" vertical="center"/>
    </xf>
    <xf numFmtId="165" fontId="30" fillId="2" borderId="26" xfId="0" applyNumberFormat="1" applyFont="1" applyFill="1" applyBorder="1" applyAlignment="1" applyProtection="1">
      <alignment horizontal="center" vertical="center"/>
      <protection hidden="1"/>
    </xf>
    <xf numFmtId="0" fontId="2" fillId="2" borderId="0" xfId="0" applyFont="1" applyFill="1"/>
    <xf numFmtId="1" fontId="41" fillId="2" borderId="1" xfId="0" applyNumberFormat="1" applyFont="1" applyFill="1" applyBorder="1" applyAlignment="1">
      <alignment horizontal="left" indent="1"/>
    </xf>
    <xf numFmtId="3" fontId="57" fillId="2" borderId="1" xfId="0" applyNumberFormat="1" applyFont="1" applyFill="1" applyBorder="1" applyAlignment="1">
      <alignment horizontal="right" vertical="center"/>
    </xf>
    <xf numFmtId="0" fontId="53" fillId="2" borderId="1" xfId="0" applyFont="1" applyFill="1" applyBorder="1" applyAlignment="1">
      <alignment horizontal="right" vertical="center"/>
    </xf>
    <xf numFmtId="0" fontId="23" fillId="2" borderId="0" xfId="0" applyFont="1" applyFill="1"/>
    <xf numFmtId="0" fontId="28" fillId="2" borderId="0" xfId="0" applyFont="1" applyFill="1"/>
    <xf numFmtId="0" fontId="7" fillId="2" borderId="0" xfId="0" applyFont="1" applyFill="1"/>
    <xf numFmtId="0" fontId="25" fillId="2" borderId="0" xfId="0" applyFont="1" applyFill="1" applyBorder="1" applyAlignment="1">
      <alignment horizontal="right" vertical="center"/>
    </xf>
    <xf numFmtId="0" fontId="23" fillId="2" borderId="0" xfId="0" applyFont="1" applyFill="1" applyAlignment="1" applyProtection="1">
      <alignment horizontal="left" vertical="center"/>
    </xf>
    <xf numFmtId="0" fontId="28" fillId="2" borderId="0" xfId="0" applyFont="1" applyFill="1" applyAlignment="1" applyProtection="1">
      <alignment horizontal="left" vertical="center"/>
    </xf>
    <xf numFmtId="0" fontId="23" fillId="2" borderId="0" xfId="0" applyFont="1" applyFill="1" applyAlignment="1">
      <alignment vertical="center"/>
    </xf>
    <xf numFmtId="0" fontId="0" fillId="2" borderId="0" xfId="0" applyFont="1" applyFill="1"/>
    <xf numFmtId="164" fontId="4" fillId="2" borderId="0" xfId="0" applyNumberFormat="1" applyFont="1" applyFill="1"/>
    <xf numFmtId="164" fontId="17" fillId="2" borderId="0" xfId="0" applyNumberFormat="1" applyFont="1" applyFill="1"/>
    <xf numFmtId="164" fontId="40" fillId="2" borderId="17" xfId="0" applyNumberFormat="1" applyFont="1" applyFill="1" applyBorder="1" applyAlignment="1">
      <alignment vertical="center"/>
    </xf>
    <xf numFmtId="164" fontId="22" fillId="2" borderId="25" xfId="0" applyNumberFormat="1" applyFont="1" applyFill="1" applyBorder="1" applyAlignment="1">
      <alignment horizontal="right" vertical="center" wrapText="1"/>
    </xf>
    <xf numFmtId="164" fontId="22" fillId="2" borderId="25" xfId="0" applyNumberFormat="1" applyFont="1" applyFill="1" applyBorder="1" applyAlignment="1">
      <alignment horizontal="right" vertical="center"/>
    </xf>
    <xf numFmtId="164" fontId="4" fillId="2" borderId="0" xfId="0" applyNumberFormat="1" applyFont="1" applyFill="1" applyAlignment="1">
      <alignment wrapText="1"/>
    </xf>
    <xf numFmtId="164" fontId="58" fillId="2" borderId="0" xfId="0" applyNumberFormat="1" applyFont="1" applyFill="1" applyBorder="1" applyAlignment="1">
      <alignment horizontal="center"/>
    </xf>
    <xf numFmtId="164" fontId="4" fillId="2" borderId="0" xfId="0" applyNumberFormat="1" applyFont="1" applyFill="1" applyBorder="1"/>
    <xf numFmtId="164" fontId="21" fillId="2" borderId="0" xfId="0" applyNumberFormat="1" applyFont="1" applyFill="1" applyBorder="1" applyAlignment="1">
      <alignment horizontal="right"/>
    </xf>
    <xf numFmtId="164" fontId="21" fillId="2" borderId="27" xfId="3" applyFont="1" applyFill="1" applyBorder="1" applyAlignment="1" applyProtection="1">
      <alignment horizontal="right"/>
    </xf>
    <xf numFmtId="1" fontId="17" fillId="2" borderId="0" xfId="0" applyNumberFormat="1" applyFont="1" applyFill="1" applyAlignment="1">
      <alignment vertical="center"/>
    </xf>
    <xf numFmtId="164" fontId="21" fillId="2" borderId="1" xfId="0" applyNumberFormat="1" applyFont="1" applyFill="1" applyBorder="1" applyAlignment="1">
      <alignment horizontal="right"/>
    </xf>
    <xf numFmtId="164" fontId="21" fillId="2" borderId="0" xfId="3" applyFont="1" applyFill="1" applyAlignment="1" applyProtection="1">
      <alignment horizontal="left" vertical="center" indent="2"/>
    </xf>
    <xf numFmtId="3" fontId="21" fillId="2" borderId="2" xfId="0" applyNumberFormat="1" applyFont="1" applyFill="1" applyBorder="1" applyAlignment="1">
      <alignment horizontal="right" vertical="center"/>
    </xf>
    <xf numFmtId="1" fontId="58" fillId="2" borderId="0" xfId="0" applyNumberFormat="1" applyFont="1" applyFill="1" applyAlignment="1">
      <alignment vertical="center"/>
    </xf>
    <xf numFmtId="3" fontId="21" fillId="2" borderId="0" xfId="0" applyNumberFormat="1" applyFont="1" applyFill="1" applyBorder="1" applyAlignment="1">
      <alignment horizontal="right" vertical="center"/>
    </xf>
    <xf numFmtId="3" fontId="38" fillId="2" borderId="0" xfId="0" applyNumberFormat="1" applyFont="1" applyFill="1" applyBorder="1" applyAlignment="1">
      <alignment horizontal="right" vertical="center"/>
    </xf>
    <xf numFmtId="164" fontId="17" fillId="2" borderId="0" xfId="0" applyNumberFormat="1" applyFont="1" applyFill="1" applyAlignment="1" applyProtection="1">
      <alignment horizontal="left" vertical="center" indent="2"/>
    </xf>
    <xf numFmtId="3" fontId="17" fillId="2" borderId="0" xfId="0" applyNumberFormat="1" applyFont="1" applyFill="1" applyBorder="1" applyAlignment="1">
      <alignment horizontal="right" vertical="center"/>
    </xf>
    <xf numFmtId="164" fontId="18" fillId="2" borderId="0" xfId="0" applyNumberFormat="1" applyFont="1" applyFill="1" applyAlignment="1">
      <alignment horizontal="right" vertical="center" indent="1"/>
    </xf>
    <xf numFmtId="1" fontId="4" fillId="2" borderId="0" xfId="0" applyNumberFormat="1" applyFont="1" applyFill="1" applyAlignment="1">
      <alignment vertical="center"/>
    </xf>
    <xf numFmtId="164" fontId="4" fillId="2" borderId="0" xfId="0" applyNumberFormat="1" applyFont="1" applyFill="1" applyAlignment="1">
      <alignment vertical="center"/>
    </xf>
    <xf numFmtId="164" fontId="17" fillId="2" borderId="1" xfId="0" applyNumberFormat="1" applyFont="1" applyFill="1" applyBorder="1" applyAlignment="1" applyProtection="1">
      <alignment horizontal="left" vertical="center" indent="2"/>
    </xf>
    <xf numFmtId="3" fontId="17" fillId="2" borderId="1" xfId="0" applyNumberFormat="1" applyFont="1" applyFill="1" applyBorder="1" applyAlignment="1">
      <alignment horizontal="right" vertical="center"/>
    </xf>
    <xf numFmtId="164" fontId="18" fillId="2" borderId="1" xfId="0" applyNumberFormat="1" applyFont="1" applyFill="1" applyBorder="1" applyAlignment="1">
      <alignment horizontal="right" vertical="center" indent="1"/>
    </xf>
    <xf numFmtId="164" fontId="4" fillId="2" borderId="0" xfId="0" applyNumberFormat="1" applyFont="1" applyFill="1" applyBorder="1" applyAlignment="1">
      <alignment vertical="center"/>
    </xf>
    <xf numFmtId="164" fontId="17" fillId="2" borderId="0" xfId="0" applyNumberFormat="1" applyFont="1" applyFill="1" applyAlignment="1">
      <alignment vertical="center"/>
    </xf>
    <xf numFmtId="164" fontId="40" fillId="2" borderId="17" xfId="0" applyNumberFormat="1" applyFont="1" applyFill="1" applyBorder="1" applyAlignment="1">
      <alignment horizontal="right" vertical="center" wrapText="1"/>
    </xf>
    <xf numFmtId="164" fontId="40" fillId="2" borderId="17" xfId="0" applyNumberFormat="1" applyFont="1" applyFill="1" applyBorder="1" applyAlignment="1">
      <alignment vertical="center" wrapText="1"/>
    </xf>
    <xf numFmtId="164" fontId="58" fillId="2" borderId="0" xfId="0" applyNumberFormat="1" applyFont="1" applyFill="1"/>
    <xf numFmtId="164" fontId="17" fillId="2" borderId="0" xfId="0" applyNumberFormat="1" applyFont="1" applyFill="1" applyAlignment="1" applyProtection="1">
      <alignment horizontal="left" vertical="center"/>
    </xf>
    <xf numFmtId="164" fontId="17" fillId="2" borderId="1" xfId="0" applyNumberFormat="1" applyFont="1" applyFill="1" applyBorder="1" applyAlignment="1" applyProtection="1">
      <alignment horizontal="left" vertical="center"/>
    </xf>
    <xf numFmtId="164" fontId="18" fillId="2" borderId="1" xfId="0" applyNumberFormat="1" applyFont="1" applyFill="1" applyBorder="1" applyAlignment="1">
      <alignment horizontal="right" vertical="center"/>
    </xf>
    <xf numFmtId="164" fontId="59" fillId="2" borderId="0" xfId="3" applyFont="1" applyFill="1" applyAlignment="1" applyProtection="1">
      <alignment horizontal="left" vertical="center"/>
    </xf>
    <xf numFmtId="164" fontId="49" fillId="2" borderId="0" xfId="3" applyFont="1" applyFill="1" applyBorder="1" applyAlignment="1">
      <alignment horizontal="right" vertical="center"/>
    </xf>
    <xf numFmtId="164" fontId="21" fillId="2" borderId="0" xfId="3" applyFont="1" applyFill="1" applyBorder="1" applyAlignment="1" applyProtection="1">
      <alignment horizontal="right"/>
    </xf>
    <xf numFmtId="164" fontId="20" fillId="2" borderId="0" xfId="3" applyFont="1" applyFill="1" applyAlignment="1">
      <alignment horizontal="center" vertical="center"/>
    </xf>
    <xf numFmtId="164" fontId="60" fillId="2" borderId="0" xfId="3" applyFont="1" applyFill="1" applyAlignment="1">
      <alignment horizontal="center" vertical="center"/>
    </xf>
    <xf numFmtId="164" fontId="61" fillId="2" borderId="0" xfId="3" applyFont="1" applyFill="1" applyAlignment="1">
      <alignment horizontal="center" vertical="center"/>
    </xf>
    <xf numFmtId="164" fontId="30" fillId="2" borderId="0" xfId="3" applyFont="1" applyFill="1" applyBorder="1" applyAlignment="1">
      <alignment vertical="center"/>
    </xf>
    <xf numFmtId="164" fontId="11" fillId="2" borderId="5" xfId="3" applyFont="1" applyFill="1" applyBorder="1" applyAlignment="1">
      <alignment horizontal="right" vertical="center" wrapText="1"/>
    </xf>
    <xf numFmtId="164" fontId="37" fillId="2" borderId="1" xfId="3" applyFont="1" applyFill="1" applyBorder="1" applyAlignment="1">
      <alignment horizontal="right" vertical="center" wrapText="1"/>
    </xf>
    <xf numFmtId="164" fontId="29" fillId="2" borderId="0" xfId="3" applyFont="1" applyFill="1" applyAlignment="1">
      <alignment horizontal="right" vertical="center" wrapText="1"/>
    </xf>
    <xf numFmtId="164" fontId="9" fillId="2" borderId="0" xfId="3" applyFont="1" applyFill="1" applyAlignment="1">
      <alignment horizontal="right" vertical="center" wrapText="1"/>
    </xf>
    <xf numFmtId="164" fontId="11" fillId="2" borderId="0" xfId="3" applyFont="1" applyFill="1" applyAlignment="1" applyProtection="1">
      <alignment horizontal="left" vertical="center"/>
    </xf>
    <xf numFmtId="3" fontId="38" fillId="2" borderId="0" xfId="3" applyNumberFormat="1" applyFont="1" applyFill="1" applyAlignment="1" applyProtection="1">
      <alignment horizontal="right" vertical="center"/>
    </xf>
    <xf numFmtId="164" fontId="33" fillId="2" borderId="0" xfId="3" applyFont="1" applyFill="1" applyBorder="1" applyAlignment="1" applyProtection="1">
      <alignment horizontal="left" vertical="center" wrapText="1"/>
    </xf>
    <xf numFmtId="3" fontId="41" fillId="2" borderId="0" xfId="3" applyNumberFormat="1" applyFont="1" applyFill="1" applyBorder="1" applyAlignment="1">
      <alignment horizontal="right" vertical="center"/>
    </xf>
    <xf numFmtId="164" fontId="18" fillId="2" borderId="0" xfId="0" applyNumberFormat="1" applyFont="1" applyFill="1" applyBorder="1" applyAlignment="1">
      <alignment horizontal="right" vertical="center"/>
    </xf>
    <xf numFmtId="167" fontId="63" fillId="2" borderId="0" xfId="3" applyNumberFormat="1" applyFont="1" applyFill="1" applyAlignment="1">
      <alignment vertical="center"/>
    </xf>
    <xf numFmtId="164" fontId="33" fillId="2" borderId="4" xfId="3" applyFont="1" applyFill="1" applyBorder="1" applyAlignment="1" applyProtection="1">
      <alignment horizontal="left" vertical="center" wrapText="1"/>
    </xf>
    <xf numFmtId="3" fontId="38" fillId="2" borderId="4" xfId="3" applyNumberFormat="1" applyFont="1" applyFill="1" applyBorder="1" applyAlignment="1" applyProtection="1">
      <alignment horizontal="right" vertical="center"/>
    </xf>
    <xf numFmtId="3" fontId="41" fillId="2" borderId="4" xfId="3" applyNumberFormat="1" applyFont="1" applyFill="1" applyBorder="1" applyAlignment="1">
      <alignment horizontal="right" vertical="center"/>
    </xf>
    <xf numFmtId="3" fontId="41" fillId="2" borderId="4" xfId="4" applyNumberFormat="1" applyFont="1" applyFill="1" applyBorder="1" applyAlignment="1">
      <alignment horizontal="right" vertical="center"/>
    </xf>
    <xf numFmtId="164" fontId="18" fillId="2" borderId="4" xfId="0" applyNumberFormat="1" applyFont="1" applyFill="1" applyBorder="1" applyAlignment="1">
      <alignment horizontal="right" vertical="center"/>
    </xf>
    <xf numFmtId="164" fontId="33" fillId="2" borderId="28" xfId="3" applyFont="1" applyFill="1" applyBorder="1" applyAlignment="1" applyProtection="1">
      <alignment horizontal="left" vertical="center" wrapText="1"/>
    </xf>
    <xf numFmtId="3" fontId="38" fillId="2" borderId="28" xfId="3" applyNumberFormat="1" applyFont="1" applyFill="1" applyBorder="1" applyAlignment="1" applyProtection="1">
      <alignment horizontal="right" vertical="center"/>
    </xf>
    <xf numFmtId="3" fontId="38" fillId="2" borderId="0" xfId="3" applyNumberFormat="1" applyFont="1" applyFill="1" applyBorder="1" applyAlignment="1" applyProtection="1">
      <alignment horizontal="right" vertical="center"/>
    </xf>
    <xf numFmtId="3" fontId="41" fillId="2" borderId="0" xfId="3" applyNumberFormat="1" applyFont="1" applyFill="1" applyBorder="1" applyAlignment="1" applyProtection="1">
      <alignment horizontal="right" vertical="center"/>
    </xf>
    <xf numFmtId="3" fontId="41" fillId="2" borderId="4" xfId="3" applyNumberFormat="1" applyFont="1" applyFill="1" applyBorder="1" applyAlignment="1" applyProtection="1">
      <alignment horizontal="right" vertical="center"/>
    </xf>
    <xf numFmtId="3" fontId="41" fillId="2" borderId="28" xfId="3" applyNumberFormat="1" applyFont="1" applyFill="1" applyBorder="1" applyAlignment="1" applyProtection="1">
      <alignment horizontal="right" vertical="center"/>
    </xf>
    <xf numFmtId="164" fontId="18" fillId="2" borderId="28" xfId="0" applyNumberFormat="1" applyFont="1" applyFill="1" applyBorder="1" applyAlignment="1">
      <alignment horizontal="right" vertical="center"/>
    </xf>
    <xf numFmtId="1" fontId="38" fillId="2" borderId="0" xfId="3" applyNumberFormat="1" applyFont="1" applyFill="1" applyAlignment="1">
      <alignment vertical="center"/>
    </xf>
    <xf numFmtId="1" fontId="38" fillId="2" borderId="4" xfId="3" applyNumberFormat="1" applyFont="1" applyFill="1" applyBorder="1" applyAlignment="1">
      <alignment vertical="center"/>
    </xf>
    <xf numFmtId="164" fontId="33" fillId="2" borderId="1" xfId="3" applyFont="1" applyFill="1" applyBorder="1" applyAlignment="1" applyProtection="1">
      <alignment horizontal="left" vertical="center" wrapText="1"/>
    </xf>
    <xf numFmtId="1" fontId="38" fillId="2" borderId="1" xfId="3" applyNumberFormat="1" applyFont="1" applyFill="1" applyBorder="1" applyAlignment="1">
      <alignment vertical="center"/>
    </xf>
    <xf numFmtId="3" fontId="41" fillId="2" borderId="1" xfId="3" applyNumberFormat="1" applyFont="1" applyFill="1" applyBorder="1" applyAlignment="1" applyProtection="1">
      <alignment horizontal="right" vertical="center"/>
    </xf>
    <xf numFmtId="164" fontId="11" fillId="2" borderId="0" xfId="3" applyFont="1" applyFill="1" applyAlignment="1">
      <alignment horizontal="left" vertical="center"/>
    </xf>
    <xf numFmtId="164" fontId="33" fillId="2" borderId="0" xfId="3" applyFont="1" applyFill="1" applyAlignment="1">
      <alignment horizontal="left" vertical="center"/>
    </xf>
    <xf numFmtId="164" fontId="64" fillId="2" borderId="0" xfId="3" applyFont="1" applyFill="1" applyAlignment="1">
      <alignment vertical="center"/>
    </xf>
    <xf numFmtId="164" fontId="65" fillId="2" borderId="0" xfId="3" applyFont="1" applyFill="1" applyBorder="1" applyAlignment="1" applyProtection="1">
      <alignment vertical="center"/>
    </xf>
    <xf numFmtId="164" fontId="30" fillId="2" borderId="0" xfId="3" applyFont="1" applyFill="1" applyBorder="1" applyAlignment="1" applyProtection="1">
      <alignment vertical="center"/>
    </xf>
    <xf numFmtId="164" fontId="21" fillId="2" borderId="0" xfId="3" applyFont="1" applyFill="1" applyBorder="1" applyAlignment="1" applyProtection="1">
      <alignment horizontal="right" vertical="center"/>
    </xf>
    <xf numFmtId="164" fontId="21" fillId="2" borderId="22" xfId="3" applyFont="1" applyFill="1" applyBorder="1" applyAlignment="1" applyProtection="1">
      <alignment horizontal="right" vertical="center"/>
    </xf>
    <xf numFmtId="164" fontId="21" fillId="2" borderId="30" xfId="3" applyFont="1" applyFill="1" applyBorder="1" applyAlignment="1" applyProtection="1">
      <alignment horizontal="right"/>
    </xf>
    <xf numFmtId="164" fontId="30" fillId="2" borderId="0" xfId="3" applyFont="1" applyFill="1" applyBorder="1" applyAlignment="1">
      <alignment horizontal="right" vertical="center"/>
    </xf>
    <xf numFmtId="164" fontId="21" fillId="2" borderId="23" xfId="3" applyFont="1" applyFill="1" applyBorder="1" applyAlignment="1" applyProtection="1">
      <alignment horizontal="right" vertical="center"/>
    </xf>
    <xf numFmtId="164" fontId="21" fillId="2" borderId="7" xfId="3" applyFont="1" applyFill="1" applyBorder="1" applyAlignment="1" applyProtection="1">
      <alignment horizontal="right" vertical="center"/>
    </xf>
    <xf numFmtId="164" fontId="21" fillId="2" borderId="0" xfId="3" applyFont="1" applyFill="1" applyBorder="1" applyAlignment="1" applyProtection="1">
      <alignment horizontal="left" vertical="center"/>
    </xf>
    <xf numFmtId="3" fontId="21" fillId="2" borderId="2" xfId="3" applyNumberFormat="1" applyFont="1" applyFill="1" applyBorder="1" applyAlignment="1" applyProtection="1">
      <alignment horizontal="right" vertical="center"/>
    </xf>
    <xf numFmtId="165" fontId="21" fillId="2" borderId="21" xfId="3" applyNumberFormat="1" applyFont="1" applyFill="1" applyBorder="1" applyAlignment="1" applyProtection="1">
      <alignment horizontal="right" vertical="center" indent="3"/>
    </xf>
    <xf numFmtId="165" fontId="21" fillId="2" borderId="6" xfId="3" applyNumberFormat="1" applyFont="1" applyFill="1" applyBorder="1" applyAlignment="1" applyProtection="1">
      <alignment horizontal="right" vertical="center" indent="3"/>
    </xf>
    <xf numFmtId="3" fontId="21" fillId="2" borderId="2" xfId="3" applyNumberFormat="1" applyFont="1" applyFill="1" applyBorder="1" applyAlignment="1" applyProtection="1">
      <alignment horizontal="right" vertical="center" indent="1"/>
    </xf>
    <xf numFmtId="3" fontId="9" fillId="2" borderId="0" xfId="3" applyNumberFormat="1" applyFont="1" applyFill="1" applyBorder="1" applyAlignment="1">
      <alignment horizontal="right" vertical="center"/>
    </xf>
    <xf numFmtId="3" fontId="21" fillId="2" borderId="0" xfId="3" applyNumberFormat="1" applyFont="1" applyFill="1" applyBorder="1" applyAlignment="1">
      <alignment horizontal="right" vertical="center"/>
    </xf>
    <xf numFmtId="3" fontId="17" fillId="2" borderId="0" xfId="3" applyNumberFormat="1" applyFont="1" applyFill="1" applyBorder="1" applyAlignment="1">
      <alignment horizontal="right" vertical="center"/>
    </xf>
    <xf numFmtId="165" fontId="21" fillId="2" borderId="22" xfId="3" applyNumberFormat="1" applyFont="1" applyFill="1" applyBorder="1" applyAlignment="1" applyProtection="1">
      <alignment horizontal="right" vertical="center" indent="3"/>
    </xf>
    <xf numFmtId="3" fontId="21" fillId="2" borderId="0" xfId="3" applyNumberFormat="1" applyFont="1" applyFill="1" applyBorder="1" applyAlignment="1">
      <alignment horizontal="right" vertical="center" indent="1"/>
    </xf>
    <xf numFmtId="3" fontId="21" fillId="2" borderId="0" xfId="3" applyNumberFormat="1" applyFont="1" applyFill="1" applyBorder="1" applyAlignment="1" applyProtection="1">
      <alignment horizontal="right" vertical="center" indent="1"/>
    </xf>
    <xf numFmtId="164" fontId="17" fillId="2" borderId="0" xfId="0" applyNumberFormat="1" applyFont="1" applyFill="1" applyBorder="1" applyAlignment="1" applyProtection="1">
      <alignment horizontal="left" vertical="center" indent="1"/>
    </xf>
    <xf numFmtId="165" fontId="17" fillId="2" borderId="22" xfId="3" applyNumberFormat="1" applyFont="1" applyFill="1" applyBorder="1" applyAlignment="1" applyProtection="1">
      <alignment horizontal="right" vertical="center" indent="3"/>
    </xf>
    <xf numFmtId="165" fontId="17" fillId="2" borderId="6" xfId="3" applyNumberFormat="1" applyFont="1" applyFill="1" applyBorder="1" applyAlignment="1" applyProtection="1">
      <alignment horizontal="right" vertical="center" indent="3"/>
    </xf>
    <xf numFmtId="3" fontId="17" fillId="2" borderId="0" xfId="3" applyNumberFormat="1" applyFont="1" applyFill="1" applyBorder="1" applyAlignment="1">
      <alignment horizontal="right" vertical="center" indent="1"/>
    </xf>
    <xf numFmtId="164" fontId="7" fillId="2" borderId="0" xfId="3" applyFont="1" applyFill="1" applyBorder="1" applyAlignment="1">
      <alignment horizontal="right" vertical="center"/>
    </xf>
    <xf numFmtId="164" fontId="7" fillId="2" borderId="0" xfId="3" applyFont="1" applyFill="1" applyAlignment="1">
      <alignment horizontal="right" vertical="center"/>
    </xf>
    <xf numFmtId="3" fontId="17" fillId="2" borderId="1" xfId="3" applyNumberFormat="1" applyFont="1" applyFill="1" applyBorder="1" applyAlignment="1">
      <alignment horizontal="right" vertical="center"/>
    </xf>
    <xf numFmtId="165" fontId="17" fillId="2" borderId="23" xfId="3" applyNumberFormat="1" applyFont="1" applyFill="1" applyBorder="1" applyAlignment="1" applyProtection="1">
      <alignment horizontal="right" vertical="center" indent="3"/>
    </xf>
    <xf numFmtId="165" fontId="17" fillId="2" borderId="7" xfId="3" applyNumberFormat="1" applyFont="1" applyFill="1" applyBorder="1" applyAlignment="1" applyProtection="1">
      <alignment horizontal="right" vertical="center" indent="3"/>
    </xf>
    <xf numFmtId="3" fontId="17" fillId="2" borderId="1" xfId="3" applyNumberFormat="1" applyFont="1" applyFill="1" applyBorder="1" applyAlignment="1">
      <alignment horizontal="right" vertical="center" indent="1"/>
    </xf>
    <xf numFmtId="164" fontId="33" fillId="2" borderId="0" xfId="3" applyFont="1" applyFill="1" applyBorder="1" applyAlignment="1">
      <alignment horizontal="right" vertical="center" indent="1"/>
    </xf>
    <xf numFmtId="0" fontId="66" fillId="2" borderId="0" xfId="0" applyNumberFormat="1" applyFont="1" applyFill="1" applyBorder="1" applyAlignment="1">
      <alignment horizontal="right" indent="1"/>
    </xf>
    <xf numFmtId="0" fontId="66" fillId="2" borderId="0" xfId="0" applyNumberFormat="1" applyFont="1" applyFill="1" applyBorder="1"/>
    <xf numFmtId="164" fontId="0" fillId="2" borderId="0" xfId="0" applyNumberFormat="1" applyFill="1"/>
    <xf numFmtId="164" fontId="0" fillId="2" borderId="0" xfId="0" applyNumberFormat="1" applyFill="1" applyAlignment="1">
      <alignment vertical="center"/>
    </xf>
    <xf numFmtId="0" fontId="3" fillId="2" borderId="1" xfId="0" applyNumberFormat="1" applyFont="1" applyFill="1" applyBorder="1" applyAlignment="1">
      <alignment horizontal="right" vertical="center" wrapText="1"/>
    </xf>
    <xf numFmtId="0" fontId="3" fillId="2" borderId="0" xfId="0" applyNumberFormat="1" applyFont="1" applyFill="1" applyBorder="1" applyAlignment="1">
      <alignment horizontal="left" vertical="center"/>
    </xf>
    <xf numFmtId="38" fontId="38" fillId="2" borderId="0" xfId="4" applyNumberFormat="1" applyFont="1" applyFill="1" applyBorder="1" applyAlignment="1">
      <alignment vertical="center"/>
    </xf>
    <xf numFmtId="0" fontId="67" fillId="2" borderId="0" xfId="0" applyNumberFormat="1" applyFont="1" applyFill="1" applyBorder="1" applyAlignment="1">
      <alignment horizontal="right" vertical="center"/>
    </xf>
    <xf numFmtId="0" fontId="68" fillId="2" borderId="0" xfId="0" applyNumberFormat="1" applyFont="1" applyFill="1" applyAlignment="1">
      <alignment horizontal="left" vertical="center" indent="2"/>
    </xf>
    <xf numFmtId="38" fontId="41" fillId="2" borderId="0" xfId="4" applyNumberFormat="1" applyFont="1" applyFill="1" applyBorder="1" applyAlignment="1">
      <alignment vertical="center"/>
    </xf>
    <xf numFmtId="164" fontId="18" fillId="2" borderId="0" xfId="7" applyNumberFormat="1" applyFont="1" applyFill="1" applyAlignment="1">
      <alignment horizontal="right" vertical="center" indent="1"/>
    </xf>
    <xf numFmtId="1" fontId="68" fillId="2" borderId="0" xfId="0" applyNumberFormat="1" applyFont="1" applyFill="1" applyAlignment="1">
      <alignment horizontal="center" vertical="center" wrapText="1"/>
    </xf>
    <xf numFmtId="164" fontId="2" fillId="2" borderId="0" xfId="0" applyNumberFormat="1" applyFont="1" applyFill="1"/>
    <xf numFmtId="164" fontId="18" fillId="2" borderId="0" xfId="7" applyNumberFormat="1" applyFont="1" applyFill="1" applyBorder="1" applyAlignment="1">
      <alignment horizontal="right" vertical="center" indent="1"/>
    </xf>
    <xf numFmtId="0" fontId="68" fillId="2" borderId="1" xfId="0" applyNumberFormat="1" applyFont="1" applyFill="1" applyBorder="1" applyAlignment="1">
      <alignment horizontal="left" vertical="center" indent="2"/>
    </xf>
    <xf numFmtId="38" fontId="41" fillId="2" borderId="1" xfId="4" applyNumberFormat="1" applyFont="1" applyFill="1" applyBorder="1" applyAlignment="1">
      <alignment vertical="center"/>
    </xf>
    <xf numFmtId="164" fontId="18" fillId="2" borderId="1" xfId="7" applyNumberFormat="1" applyFont="1" applyFill="1" applyBorder="1" applyAlignment="1">
      <alignment horizontal="right" vertical="center" indent="1"/>
    </xf>
    <xf numFmtId="1" fontId="68" fillId="2" borderId="1" xfId="0" applyNumberFormat="1" applyFont="1" applyFill="1" applyBorder="1" applyAlignment="1">
      <alignment horizontal="center" vertical="center" wrapText="1"/>
    </xf>
    <xf numFmtId="164" fontId="23" fillId="2" borderId="0" xfId="0" applyNumberFormat="1" applyFont="1" applyFill="1" applyBorder="1" applyAlignment="1" applyProtection="1">
      <alignment horizontal="left" vertical="center"/>
    </xf>
    <xf numFmtId="164" fontId="69" fillId="2" borderId="31" xfId="9" applyNumberFormat="1" applyFill="1" applyBorder="1"/>
    <xf numFmtId="164" fontId="69" fillId="2" borderId="31" xfId="9" applyNumberFormat="1" applyFont="1" applyFill="1" applyBorder="1"/>
    <xf numFmtId="2" fontId="74" fillId="2" borderId="25" xfId="9" applyNumberFormat="1" applyFont="1" applyFill="1" applyBorder="1" applyAlignment="1">
      <alignment horizontal="right" vertical="center"/>
    </xf>
    <xf numFmtId="0" fontId="73" fillId="2" borderId="1" xfId="9" applyNumberFormat="1" applyFont="1" applyFill="1" applyBorder="1" applyAlignment="1">
      <alignment horizontal="right" vertical="center"/>
    </xf>
    <xf numFmtId="164" fontId="4" fillId="2" borderId="31" xfId="9" applyNumberFormat="1" applyFont="1" applyFill="1" applyBorder="1"/>
    <xf numFmtId="0" fontId="72" fillId="2" borderId="2" xfId="9" applyNumberFormat="1" applyFont="1" applyFill="1" applyBorder="1" applyAlignment="1">
      <alignment horizontal="left" vertical="center"/>
    </xf>
    <xf numFmtId="38" fontId="73" fillId="2" borderId="2" xfId="9" applyNumberFormat="1" applyFont="1" applyFill="1" applyBorder="1" applyAlignment="1">
      <alignment horizontal="right" vertical="center"/>
    </xf>
    <xf numFmtId="0" fontId="71" fillId="2" borderId="34" xfId="9" applyNumberFormat="1" applyFont="1" applyFill="1" applyBorder="1" applyAlignment="1">
      <alignment horizontal="right" vertical="center"/>
    </xf>
    <xf numFmtId="1" fontId="41" fillId="2" borderId="0" xfId="0" applyNumberFormat="1" applyFont="1" applyFill="1" applyBorder="1" applyAlignment="1">
      <alignment horizontal="left" vertical="center" indent="1"/>
    </xf>
    <xf numFmtId="0" fontId="75" fillId="2" borderId="37" xfId="9" applyNumberFormat="1" applyFont="1" applyFill="1" applyBorder="1" applyAlignment="1">
      <alignment horizontal="right" vertical="center" indent="1"/>
    </xf>
    <xf numFmtId="0" fontId="76" fillId="2" borderId="38" xfId="9" applyNumberFormat="1" applyFont="1" applyFill="1" applyBorder="1" applyAlignment="1">
      <alignment horizontal="left" vertical="center" indent="1"/>
    </xf>
    <xf numFmtId="0" fontId="75" fillId="2" borderId="39" xfId="9" applyNumberFormat="1" applyFont="1" applyFill="1" applyBorder="1" applyAlignment="1">
      <alignment horizontal="right" vertical="center" indent="1"/>
    </xf>
    <xf numFmtId="0" fontId="76" fillId="2" borderId="40" xfId="9" applyNumberFormat="1" applyFont="1" applyFill="1" applyBorder="1" applyAlignment="1">
      <alignment horizontal="left" vertical="center" indent="1"/>
    </xf>
    <xf numFmtId="0" fontId="76" fillId="2" borderId="41" xfId="9" applyNumberFormat="1" applyFont="1" applyFill="1" applyBorder="1" applyAlignment="1">
      <alignment horizontal="left" vertical="center" indent="1"/>
    </xf>
    <xf numFmtId="38" fontId="38" fillId="2" borderId="1" xfId="4" applyNumberFormat="1" applyFont="1" applyFill="1" applyBorder="1"/>
    <xf numFmtId="0" fontId="75" fillId="2" borderId="42" xfId="9" applyNumberFormat="1" applyFont="1" applyFill="1" applyBorder="1" applyAlignment="1">
      <alignment horizontal="right" vertical="center" indent="1"/>
    </xf>
    <xf numFmtId="164" fontId="26" fillId="2" borderId="38" xfId="3" applyFont="1" applyFill="1" applyBorder="1" applyAlignment="1" applyProtection="1">
      <alignment horizontal="left" vertical="center"/>
    </xf>
    <xf numFmtId="164" fontId="4" fillId="2" borderId="43" xfId="9" applyNumberFormat="1" applyFont="1" applyFill="1" applyBorder="1"/>
    <xf numFmtId="164" fontId="42" fillId="2" borderId="43" xfId="3" applyFont="1" applyFill="1" applyBorder="1" applyAlignment="1">
      <alignment horizontal="right" vertical="center" indent="1"/>
    </xf>
    <xf numFmtId="164" fontId="26" fillId="2" borderId="0" xfId="3" applyFont="1" applyFill="1" applyBorder="1" applyAlignment="1" applyProtection="1">
      <alignment horizontal="left" vertical="center"/>
    </xf>
    <xf numFmtId="1" fontId="41" fillId="2" borderId="0" xfId="0" applyNumberFormat="1" applyFont="1" applyFill="1" applyBorder="1"/>
    <xf numFmtId="164" fontId="4" fillId="2" borderId="39" xfId="9" applyNumberFormat="1" applyFont="1" applyFill="1" applyBorder="1"/>
    <xf numFmtId="164" fontId="28" fillId="2" borderId="43" xfId="3" applyFont="1" applyFill="1" applyBorder="1" applyAlignment="1" applyProtection="1">
      <alignment horizontal="left" vertical="center"/>
    </xf>
    <xf numFmtId="164" fontId="42" fillId="2" borderId="43" xfId="3" applyFont="1" applyFill="1" applyBorder="1" applyAlignment="1">
      <alignment horizontal="left" vertical="center" indent="1" readingOrder="2"/>
    </xf>
    <xf numFmtId="164" fontId="26" fillId="2" borderId="44" xfId="3" applyFont="1" applyFill="1" applyBorder="1" applyAlignment="1" applyProtection="1">
      <alignment horizontal="left" vertical="center"/>
    </xf>
    <xf numFmtId="164" fontId="4" fillId="2" borderId="45" xfId="9" applyNumberFormat="1" applyFont="1" applyFill="1" applyBorder="1"/>
    <xf numFmtId="164" fontId="28" fillId="2" borderId="46" xfId="3" applyFont="1" applyFill="1" applyBorder="1" applyAlignment="1" applyProtection="1">
      <alignment horizontal="left" vertical="center"/>
    </xf>
    <xf numFmtId="164" fontId="42" fillId="2" borderId="46" xfId="3" applyFont="1" applyFill="1" applyBorder="1" applyAlignment="1">
      <alignment horizontal="left" vertical="center" indent="1" readingOrder="2"/>
    </xf>
    <xf numFmtId="164" fontId="4" fillId="2" borderId="32" xfId="9" applyNumberFormat="1" applyFont="1" applyFill="1" applyBorder="1"/>
    <xf numFmtId="164" fontId="4" fillId="2" borderId="0" xfId="9" applyNumberFormat="1" applyFont="1" applyFill="1" applyBorder="1"/>
    <xf numFmtId="164" fontId="42" fillId="2" borderId="0" xfId="3" applyFont="1" applyFill="1" applyBorder="1" applyAlignment="1">
      <alignment horizontal="left" vertical="center" indent="1" readingOrder="2"/>
    </xf>
    <xf numFmtId="2" fontId="74" fillId="2" borderId="0" xfId="9" applyNumberFormat="1" applyFont="1" applyFill="1" applyBorder="1" applyAlignment="1">
      <alignment horizontal="right" vertical="center"/>
    </xf>
    <xf numFmtId="0" fontId="73" fillId="2" borderId="0" xfId="9" applyNumberFormat="1" applyFont="1" applyFill="1" applyBorder="1" applyAlignment="1">
      <alignment horizontal="right" vertical="center"/>
    </xf>
    <xf numFmtId="38" fontId="73" fillId="2" borderId="0" xfId="9" applyNumberFormat="1" applyFont="1" applyFill="1" applyBorder="1" applyAlignment="1">
      <alignment horizontal="right" vertical="center"/>
    </xf>
    <xf numFmtId="0" fontId="75" fillId="2" borderId="0" xfId="9" applyNumberFormat="1" applyFont="1" applyFill="1" applyBorder="1" applyAlignment="1">
      <alignment vertical="center"/>
    </xf>
    <xf numFmtId="0" fontId="76" fillId="2" borderId="0" xfId="9" applyNumberFormat="1" applyFont="1" applyFill="1" applyBorder="1" applyAlignment="1">
      <alignment horizontal="left" vertical="center"/>
    </xf>
    <xf numFmtId="164" fontId="69" fillId="2" borderId="0" xfId="9" applyNumberFormat="1" applyFill="1" applyBorder="1"/>
    <xf numFmtId="1" fontId="41" fillId="2" borderId="0" xfId="0" applyNumberFormat="1" applyFont="1" applyFill="1" applyBorder="1" applyAlignment="1">
      <alignment horizontal="left" indent="1"/>
    </xf>
    <xf numFmtId="0" fontId="75" fillId="2" borderId="47" xfId="9" applyNumberFormat="1" applyFont="1" applyFill="1" applyBorder="1" applyAlignment="1">
      <alignment horizontal="right" vertical="center" indent="1"/>
    </xf>
    <xf numFmtId="0" fontId="75" fillId="2" borderId="0" xfId="9" applyNumberFormat="1" applyFont="1" applyFill="1" applyBorder="1" applyAlignment="1">
      <alignment horizontal="right" vertical="center" indent="1"/>
    </xf>
    <xf numFmtId="0" fontId="75" fillId="2" borderId="36" xfId="9" applyNumberFormat="1" applyFont="1" applyFill="1" applyBorder="1" applyAlignment="1">
      <alignment horizontal="right" vertical="center" indent="1"/>
    </xf>
    <xf numFmtId="164" fontId="26" fillId="2" borderId="43" xfId="3" applyFont="1" applyFill="1" applyBorder="1" applyAlignment="1" applyProtection="1">
      <alignment horizontal="left" vertical="center"/>
    </xf>
    <xf numFmtId="164" fontId="42" fillId="2" borderId="43" xfId="3" applyFont="1" applyFill="1" applyBorder="1" applyAlignment="1">
      <alignment horizontal="left" vertical="center" indent="1"/>
    </xf>
    <xf numFmtId="0" fontId="76" fillId="2" borderId="40" xfId="9" applyNumberFormat="1" applyFont="1" applyFill="1" applyBorder="1" applyAlignment="1">
      <alignment horizontal="left" vertical="center"/>
    </xf>
    <xf numFmtId="0" fontId="75" fillId="2" borderId="39" xfId="9" applyNumberFormat="1" applyFont="1" applyFill="1" applyBorder="1" applyAlignment="1">
      <alignment vertical="center"/>
    </xf>
    <xf numFmtId="164" fontId="69" fillId="2" borderId="0" xfId="9" applyNumberFormat="1" applyFont="1" applyFill="1" applyBorder="1"/>
    <xf numFmtId="164" fontId="69" fillId="2" borderId="32" xfId="9" applyNumberFormat="1" applyFont="1" applyFill="1" applyBorder="1"/>
    <xf numFmtId="2" fontId="73" fillId="2" borderId="50" xfId="9" applyNumberFormat="1" applyFont="1" applyFill="1" applyBorder="1" applyAlignment="1">
      <alignment horizontal="left" vertical="center"/>
    </xf>
    <xf numFmtId="0" fontId="73" fillId="2" borderId="50" xfId="4" applyNumberFormat="1" applyFont="1" applyFill="1" applyBorder="1" applyAlignment="1">
      <alignment horizontal="right" vertical="center"/>
    </xf>
    <xf numFmtId="2" fontId="74" fillId="2" borderId="51" xfId="9" applyNumberFormat="1" applyFont="1" applyFill="1" applyBorder="1" applyAlignment="1">
      <alignment horizontal="right" vertical="center"/>
    </xf>
    <xf numFmtId="164" fontId="0" fillId="2" borderId="0" xfId="0" applyNumberFormat="1" applyFill="1" applyBorder="1"/>
    <xf numFmtId="2" fontId="73" fillId="2" borderId="0" xfId="9" applyNumberFormat="1" applyFont="1" applyFill="1" applyBorder="1" applyAlignment="1">
      <alignment horizontal="left" vertical="center"/>
    </xf>
    <xf numFmtId="38" fontId="73" fillId="2" borderId="46" xfId="4" applyNumberFormat="1" applyFont="1" applyFill="1" applyBorder="1" applyAlignment="1">
      <alignment horizontal="right" vertical="center"/>
    </xf>
    <xf numFmtId="38" fontId="17" fillId="2" borderId="0" xfId="4" applyNumberFormat="1" applyFont="1" applyFill="1" applyBorder="1" applyAlignment="1">
      <alignment horizontal="right" vertical="center"/>
    </xf>
    <xf numFmtId="0" fontId="75" fillId="2" borderId="52" xfId="9" applyNumberFormat="1" applyFont="1" applyFill="1" applyBorder="1" applyAlignment="1">
      <alignment horizontal="right" vertical="center" indent="1"/>
    </xf>
    <xf numFmtId="0" fontId="76" fillId="2" borderId="43" xfId="9" applyNumberFormat="1" applyFont="1" applyFill="1" applyBorder="1" applyAlignment="1">
      <alignment horizontal="left" vertical="center" indent="1"/>
    </xf>
    <xf numFmtId="168" fontId="0" fillId="2" borderId="0" xfId="1" applyNumberFormat="1" applyFont="1" applyFill="1" applyBorder="1"/>
    <xf numFmtId="0" fontId="76" fillId="2" borderId="31" xfId="9" applyNumberFormat="1" applyFont="1" applyFill="1" applyBorder="1" applyAlignment="1">
      <alignment horizontal="left" vertical="center" indent="1"/>
    </xf>
    <xf numFmtId="0" fontId="75" fillId="2" borderId="48" xfId="9" applyNumberFormat="1" applyFont="1" applyFill="1" applyBorder="1" applyAlignment="1">
      <alignment horizontal="right" vertical="center" indent="1"/>
    </xf>
    <xf numFmtId="0" fontId="76" fillId="2" borderId="53" xfId="9" applyNumberFormat="1" applyFont="1" applyFill="1" applyBorder="1" applyAlignment="1">
      <alignment horizontal="left" vertical="center" indent="1"/>
    </xf>
    <xf numFmtId="38" fontId="17" fillId="2" borderId="1" xfId="4" applyNumberFormat="1" applyFont="1" applyFill="1" applyBorder="1" applyAlignment="1">
      <alignment horizontal="right" vertical="center"/>
    </xf>
    <xf numFmtId="0" fontId="75" fillId="2" borderId="49" xfId="9" applyNumberFormat="1" applyFont="1" applyFill="1" applyBorder="1" applyAlignment="1">
      <alignment horizontal="right" vertical="center" indent="1"/>
    </xf>
    <xf numFmtId="164" fontId="69" fillId="2" borderId="43" xfId="9" applyNumberFormat="1" applyFill="1" applyBorder="1"/>
    <xf numFmtId="164" fontId="69" fillId="2" borderId="38" xfId="9" applyNumberFormat="1" applyFill="1" applyBorder="1"/>
    <xf numFmtId="164" fontId="42" fillId="2" borderId="38" xfId="3" applyFont="1" applyFill="1" applyBorder="1" applyAlignment="1">
      <alignment horizontal="right" vertical="center" indent="1"/>
    </xf>
    <xf numFmtId="164" fontId="4" fillId="2" borderId="40" xfId="9" applyNumberFormat="1" applyFont="1" applyFill="1" applyBorder="1"/>
    <xf numFmtId="0" fontId="0" fillId="2" borderId="0" xfId="0" applyFill="1" applyAlignment="1">
      <alignment vertical="center"/>
    </xf>
    <xf numFmtId="38" fontId="38" fillId="2" borderId="0" xfId="4" applyNumberFormat="1" applyFont="1" applyFill="1" applyBorder="1" applyAlignment="1">
      <alignment horizontal="right" vertical="center"/>
    </xf>
    <xf numFmtId="38" fontId="41" fillId="2" borderId="0" xfId="4" applyNumberFormat="1" applyFont="1" applyFill="1" applyBorder="1" applyAlignment="1">
      <alignment horizontal="right" vertical="center"/>
    </xf>
    <xf numFmtId="164" fontId="49" fillId="2" borderId="0" xfId="7" applyNumberFormat="1" applyFont="1" applyFill="1" applyAlignment="1">
      <alignment horizontal="right" vertical="center" indent="2"/>
    </xf>
    <xf numFmtId="164" fontId="49" fillId="2" borderId="0" xfId="7" applyNumberFormat="1" applyFont="1" applyFill="1" applyBorder="1" applyAlignment="1">
      <alignment horizontal="right" vertical="center" indent="2"/>
    </xf>
    <xf numFmtId="38" fontId="41" fillId="2" borderId="1" xfId="4" applyNumberFormat="1" applyFont="1" applyFill="1" applyBorder="1" applyAlignment="1">
      <alignment horizontal="right" vertical="center"/>
    </xf>
    <xf numFmtId="164" fontId="49" fillId="2" borderId="1" xfId="7" applyNumberFormat="1" applyFont="1" applyFill="1" applyBorder="1" applyAlignment="1">
      <alignment horizontal="right" vertical="center" indent="2"/>
    </xf>
    <xf numFmtId="0" fontId="79" fillId="2" borderId="0" xfId="0" applyNumberFormat="1" applyFont="1" applyFill="1" applyBorder="1"/>
    <xf numFmtId="0" fontId="3" fillId="2" borderId="0" xfId="0" applyNumberFormat="1" applyFont="1" applyFill="1" applyBorder="1"/>
    <xf numFmtId="0" fontId="3" fillId="2" borderId="5" xfId="0" applyNumberFormat="1" applyFont="1" applyFill="1" applyBorder="1"/>
    <xf numFmtId="0" fontId="41" fillId="2" borderId="0" xfId="0" applyNumberFormat="1" applyFont="1" applyFill="1" applyBorder="1" applyAlignment="1">
      <alignment vertical="center"/>
    </xf>
    <xf numFmtId="0" fontId="81" fillId="2" borderId="0" xfId="0" applyNumberFormat="1" applyFont="1" applyFill="1" applyBorder="1" applyAlignment="1">
      <alignment vertical="center" wrapText="1"/>
    </xf>
    <xf numFmtId="164" fontId="41" fillId="2" borderId="0" xfId="0" applyNumberFormat="1" applyFont="1" applyFill="1"/>
    <xf numFmtId="0" fontId="41" fillId="2" borderId="0" xfId="0" applyNumberFormat="1" applyFont="1" applyFill="1"/>
    <xf numFmtId="0" fontId="82" fillId="2" borderId="0" xfId="10" applyNumberFormat="1" applyFont="1" applyFill="1" applyAlignment="1">
      <alignment horizontal="right" vertical="center"/>
    </xf>
    <xf numFmtId="164" fontId="0" fillId="2" borderId="0" xfId="0" applyNumberFormat="1" applyFont="1" applyFill="1"/>
    <xf numFmtId="0" fontId="38" fillId="2" borderId="57" xfId="0" applyNumberFormat="1" applyFont="1" applyFill="1" applyBorder="1" applyAlignment="1">
      <alignment horizontal="center" vertical="center"/>
    </xf>
    <xf numFmtId="0" fontId="38" fillId="2" borderId="57" xfId="0" applyNumberFormat="1" applyFont="1" applyFill="1" applyBorder="1" applyAlignment="1">
      <alignment horizontal="center" vertical="center" wrapText="1"/>
    </xf>
    <xf numFmtId="164" fontId="38" fillId="2" borderId="0" xfId="0" applyNumberFormat="1" applyFont="1" applyFill="1"/>
    <xf numFmtId="0" fontId="34" fillId="2" borderId="1" xfId="0" applyNumberFormat="1" applyFont="1" applyFill="1" applyBorder="1" applyAlignment="1">
      <alignment horizontal="center" vertical="center"/>
    </xf>
    <xf numFmtId="0" fontId="38" fillId="2" borderId="0" xfId="0" applyNumberFormat="1" applyFont="1" applyFill="1" applyBorder="1" applyAlignment="1">
      <alignment horizontal="left" vertical="center" indent="2"/>
    </xf>
    <xf numFmtId="37" fontId="37" fillId="2" borderId="0" xfId="0" applyNumberFormat="1" applyFont="1" applyFill="1" applyBorder="1" applyAlignment="1">
      <alignment horizontal="left" vertical="center" indent="7"/>
    </xf>
    <xf numFmtId="165" fontId="37" fillId="2" borderId="0" xfId="0" applyNumberFormat="1" applyFont="1" applyFill="1" applyBorder="1" applyAlignment="1">
      <alignment horizontal="center" vertical="center"/>
    </xf>
    <xf numFmtId="0" fontId="80" fillId="2" borderId="0" xfId="0" applyNumberFormat="1" applyFont="1" applyFill="1" applyBorder="1" applyAlignment="1">
      <alignment horizontal="right" vertical="center" indent="2"/>
    </xf>
    <xf numFmtId="0" fontId="83" fillId="2" borderId="1" xfId="0" applyNumberFormat="1" applyFont="1" applyFill="1" applyBorder="1" applyAlignment="1">
      <alignment horizontal="left" indent="2"/>
    </xf>
    <xf numFmtId="37" fontId="41" fillId="2" borderId="1" xfId="1" applyNumberFormat="1" applyFont="1" applyFill="1" applyBorder="1" applyAlignment="1">
      <alignment horizontal="right" vertical="center" indent="4"/>
    </xf>
    <xf numFmtId="165" fontId="41" fillId="2" borderId="1" xfId="1" applyNumberFormat="1" applyFont="1" applyFill="1" applyBorder="1" applyAlignment="1">
      <alignment horizontal="center" vertical="center"/>
    </xf>
    <xf numFmtId="164" fontId="25" fillId="2" borderId="1" xfId="7" applyNumberFormat="1" applyFont="1" applyFill="1" applyBorder="1" applyAlignment="1">
      <alignment horizontal="right" vertical="center" indent="3"/>
    </xf>
    <xf numFmtId="164" fontId="84" fillId="2" borderId="0" xfId="0" applyNumberFormat="1" applyFont="1" applyFill="1" applyBorder="1" applyAlignment="1" applyProtection="1">
      <alignment horizontal="left" vertical="center"/>
    </xf>
    <xf numFmtId="164" fontId="85" fillId="2" borderId="0" xfId="0" applyNumberFormat="1" applyFont="1" applyFill="1"/>
    <xf numFmtId="0" fontId="86" fillId="2" borderId="0" xfId="10" applyNumberFormat="1" applyFont="1" applyFill="1" applyAlignment="1">
      <alignment horizontal="right" vertical="center"/>
    </xf>
    <xf numFmtId="0" fontId="87" fillId="2" borderId="0" xfId="10" applyNumberFormat="1" applyFont="1" applyFill="1" applyAlignment="1">
      <alignment horizontal="center" vertical="center"/>
    </xf>
    <xf numFmtId="0" fontId="88" fillId="2" borderId="0" xfId="10" applyNumberFormat="1" applyFont="1" applyFill="1"/>
    <xf numFmtId="164" fontId="89" fillId="2" borderId="0" xfId="10" applyNumberFormat="1" applyFont="1" applyFill="1"/>
    <xf numFmtId="0" fontId="90" fillId="2" borderId="0" xfId="10" applyNumberFormat="1" applyFont="1" applyFill="1" applyAlignment="1">
      <alignment horizontal="center" vertical="center"/>
    </xf>
    <xf numFmtId="164" fontId="91" fillId="2" borderId="0" xfId="10" applyNumberFormat="1" applyFont="1" applyFill="1"/>
    <xf numFmtId="0" fontId="88" fillId="2" borderId="0" xfId="10" applyNumberFormat="1" applyFont="1" applyFill="1" applyAlignment="1">
      <alignment horizontal="center" vertical="center"/>
    </xf>
    <xf numFmtId="0" fontId="88" fillId="2" borderId="0" xfId="10" applyNumberFormat="1" applyFont="1" applyFill="1" applyAlignment="1">
      <alignment vertical="center"/>
    </xf>
    <xf numFmtId="0" fontId="65" fillId="2" borderId="0" xfId="10" applyNumberFormat="1" applyFont="1" applyFill="1" applyAlignment="1">
      <alignment horizontal="left" vertical="center"/>
    </xf>
    <xf numFmtId="0" fontId="88" fillId="2" borderId="0" xfId="10" applyNumberFormat="1" applyFont="1" applyFill="1" applyBorder="1" applyAlignment="1">
      <alignment vertical="center"/>
    </xf>
    <xf numFmtId="0" fontId="80" fillId="2" borderId="2" xfId="10" applyNumberFormat="1" applyFont="1" applyFill="1" applyBorder="1" applyAlignment="1">
      <alignment horizontal="center" vertical="center" wrapText="1"/>
    </xf>
    <xf numFmtId="0" fontId="88" fillId="2" borderId="0" xfId="10" applyNumberFormat="1" applyFont="1" applyFill="1" applyAlignment="1">
      <alignment horizontal="right" vertical="center"/>
    </xf>
    <xf numFmtId="0" fontId="88" fillId="2" borderId="0" xfId="10" applyNumberFormat="1" applyFont="1" applyFill="1" applyAlignment="1">
      <alignment horizontal="right"/>
    </xf>
    <xf numFmtId="0" fontId="88" fillId="2" borderId="0" xfId="10" applyNumberFormat="1" applyFont="1" applyFill="1" applyBorder="1" applyAlignment="1">
      <alignment horizontal="right"/>
    </xf>
    <xf numFmtId="164" fontId="91" fillId="2" borderId="0" xfId="10" applyNumberFormat="1" applyFont="1" applyFill="1" applyBorder="1"/>
    <xf numFmtId="0" fontId="65" fillId="2" borderId="1" xfId="10" applyNumberFormat="1" applyFont="1" applyFill="1" applyBorder="1" applyAlignment="1">
      <alignment horizontal="right" vertical="center"/>
    </xf>
    <xf numFmtId="0" fontId="65" fillId="2" borderId="58" xfId="10" applyNumberFormat="1" applyFont="1" applyFill="1" applyBorder="1" applyAlignment="1">
      <alignment horizontal="right" vertical="center"/>
    </xf>
    <xf numFmtId="0" fontId="94" fillId="2" borderId="0" xfId="10" applyNumberFormat="1" applyFont="1" applyFill="1" applyBorder="1" applyAlignment="1">
      <alignment horizontal="center" vertical="center" wrapText="1"/>
    </xf>
    <xf numFmtId="0" fontId="88" fillId="2" borderId="0" xfId="10" applyNumberFormat="1" applyFont="1" applyFill="1" applyBorder="1"/>
    <xf numFmtId="0" fontId="65" fillId="2" borderId="0" xfId="10" applyNumberFormat="1" applyFont="1" applyFill="1" applyBorder="1" applyAlignment="1">
      <alignment horizontal="left" vertical="center"/>
    </xf>
    <xf numFmtId="3" fontId="78" fillId="2" borderId="0" xfId="4" applyNumberFormat="1" applyFont="1" applyFill="1" applyBorder="1" applyAlignment="1">
      <alignment horizontal="right" vertical="center"/>
    </xf>
    <xf numFmtId="3" fontId="78" fillId="2" borderId="0" xfId="11" applyNumberFormat="1" applyFont="1" applyFill="1" applyBorder="1" applyAlignment="1">
      <alignment horizontal="right" vertical="center"/>
    </xf>
    <xf numFmtId="167" fontId="95" fillId="2" borderId="2" xfId="10" applyNumberFormat="1" applyFont="1" applyFill="1" applyBorder="1" applyAlignment="1">
      <alignment horizontal="center" vertical="center"/>
    </xf>
    <xf numFmtId="0" fontId="87" fillId="2" borderId="0" xfId="10" applyNumberFormat="1" applyFont="1" applyFill="1" applyBorder="1" applyAlignment="1">
      <alignment vertical="center"/>
    </xf>
    <xf numFmtId="0" fontId="65" fillId="2" borderId="0" xfId="10" applyNumberFormat="1" applyFont="1" applyFill="1" applyBorder="1" applyAlignment="1">
      <alignment horizontal="center"/>
    </xf>
    <xf numFmtId="3" fontId="68" fillId="2" borderId="0" xfId="4" applyNumberFormat="1" applyFont="1" applyFill="1" applyAlignment="1">
      <alignment horizontal="right" vertical="center"/>
    </xf>
    <xf numFmtId="3" fontId="68" fillId="2" borderId="0" xfId="11" applyNumberFormat="1" applyFont="1" applyFill="1" applyBorder="1" applyAlignment="1">
      <alignment horizontal="right" vertical="center"/>
    </xf>
    <xf numFmtId="167" fontId="95" fillId="2" borderId="0" xfId="10" applyNumberFormat="1" applyFont="1" applyFill="1" applyBorder="1" applyAlignment="1">
      <alignment horizontal="center" vertical="center"/>
    </xf>
    <xf numFmtId="0" fontId="87" fillId="2" borderId="0" xfId="10" applyNumberFormat="1" applyFont="1" applyFill="1" applyAlignment="1">
      <alignment vertical="center"/>
    </xf>
    <xf numFmtId="0" fontId="97" fillId="2" borderId="0" xfId="10" applyNumberFormat="1" applyFont="1" applyFill="1" applyAlignment="1">
      <alignment horizontal="center" vertical="center"/>
    </xf>
    <xf numFmtId="0" fontId="88" fillId="2" borderId="0" xfId="10" applyNumberFormat="1" applyFont="1" applyFill="1" applyBorder="1" applyAlignment="1">
      <alignment horizontal="left" vertical="center"/>
    </xf>
    <xf numFmtId="168" fontId="95" fillId="2" borderId="0" xfId="4" applyNumberFormat="1" applyFont="1" applyFill="1" applyBorder="1"/>
    <xf numFmtId="168" fontId="95" fillId="2" borderId="0" xfId="11" applyNumberFormat="1" applyFont="1" applyFill="1" applyBorder="1" applyAlignment="1">
      <alignment horizontal="left"/>
    </xf>
    <xf numFmtId="3" fontId="88" fillId="2" borderId="0" xfId="10" applyNumberFormat="1" applyFont="1" applyFill="1" applyBorder="1" applyAlignment="1">
      <alignment horizontal="left" vertical="center"/>
    </xf>
    <xf numFmtId="167" fontId="95" fillId="2" borderId="0" xfId="10" applyNumberFormat="1" applyFont="1" applyFill="1" applyBorder="1" applyAlignment="1">
      <alignment horizontal="right" vertical="center"/>
    </xf>
    <xf numFmtId="0" fontId="98" fillId="2" borderId="0" xfId="10" applyNumberFormat="1" applyFont="1" applyFill="1" applyAlignment="1">
      <alignment vertical="center" wrapText="1"/>
    </xf>
    <xf numFmtId="3" fontId="95" fillId="2" borderId="0" xfId="10" applyNumberFormat="1" applyFont="1" applyFill="1" applyBorder="1" applyAlignment="1">
      <alignment horizontal="right" vertical="center"/>
    </xf>
    <xf numFmtId="3" fontId="96" fillId="2" borderId="0" xfId="10" applyNumberFormat="1" applyFont="1" applyFill="1" applyBorder="1" applyAlignment="1">
      <alignment horizontal="right" vertical="center"/>
    </xf>
    <xf numFmtId="3" fontId="68" fillId="2" borderId="1" xfId="4" applyNumberFormat="1" applyFont="1" applyFill="1" applyBorder="1" applyAlignment="1">
      <alignment horizontal="right" vertical="center"/>
    </xf>
    <xf numFmtId="3" fontId="68" fillId="2" borderId="1" xfId="11" applyNumberFormat="1" applyFont="1" applyFill="1" applyBorder="1" applyAlignment="1">
      <alignment horizontal="right" vertical="center"/>
    </xf>
    <xf numFmtId="167" fontId="95" fillId="2" borderId="1" xfId="10" applyNumberFormat="1" applyFont="1" applyFill="1" applyBorder="1" applyAlignment="1">
      <alignment horizontal="center" vertical="center"/>
    </xf>
    <xf numFmtId="0" fontId="99" fillId="2" borderId="0" xfId="12" applyNumberFormat="1" applyFont="1" applyFill="1" applyBorder="1" applyAlignment="1">
      <alignment vertical="center"/>
    </xf>
    <xf numFmtId="0" fontId="99" fillId="2" borderId="0" xfId="10" applyNumberFormat="1" applyFont="1" applyFill="1" applyAlignment="1">
      <alignment horizontal="left" vertical="center"/>
    </xf>
    <xf numFmtId="168" fontId="68" fillId="2" borderId="0" xfId="1" applyNumberFormat="1" applyFont="1" applyFill="1" applyAlignment="1">
      <alignment horizontal="right" vertical="center"/>
    </xf>
    <xf numFmtId="0" fontId="92" fillId="2" borderId="0" xfId="10" applyNumberFormat="1" applyFont="1" applyFill="1" applyAlignment="1">
      <alignment horizontal="right" vertical="center"/>
    </xf>
    <xf numFmtId="168" fontId="96" fillId="2" borderId="0" xfId="1" applyNumberFormat="1" applyFont="1" applyFill="1" applyAlignment="1">
      <alignment vertical="center"/>
    </xf>
    <xf numFmtId="43" fontId="96" fillId="2" borderId="0" xfId="1" applyNumberFormat="1" applyFont="1" applyFill="1" applyAlignment="1">
      <alignment vertical="center"/>
    </xf>
    <xf numFmtId="0" fontId="73" fillId="2" borderId="57" xfId="12" applyNumberFormat="1" applyFont="1" applyFill="1" applyBorder="1" applyAlignment="1">
      <alignment vertical="center"/>
    </xf>
    <xf numFmtId="0" fontId="4" fillId="2" borderId="57" xfId="12" applyNumberFormat="1" applyFont="1" applyFill="1" applyBorder="1" applyAlignment="1">
      <alignment vertical="center"/>
    </xf>
    <xf numFmtId="0" fontId="11" fillId="2" borderId="0" xfId="0" applyFont="1" applyFill="1" applyBorder="1" applyAlignment="1" applyProtection="1">
      <alignment horizontal="right" vertical="center"/>
    </xf>
    <xf numFmtId="164" fontId="60" fillId="2" borderId="0" xfId="12" applyNumberFormat="1" applyFont="1" applyFill="1"/>
    <xf numFmtId="0" fontId="17" fillId="2" borderId="0" xfId="12" applyNumberFormat="1" applyFont="1" applyFill="1" applyBorder="1" applyAlignment="1">
      <alignment vertical="center"/>
    </xf>
    <xf numFmtId="0" fontId="59" fillId="2" borderId="0" xfId="12" applyNumberFormat="1" applyFont="1" applyFill="1" applyBorder="1" applyAlignment="1">
      <alignment vertical="center"/>
    </xf>
    <xf numFmtId="0" fontId="82" fillId="2" borderId="0" xfId="10" applyNumberFormat="1" applyFont="1" applyFill="1" applyBorder="1" applyAlignment="1">
      <alignment horizontal="right" vertical="center"/>
    </xf>
    <xf numFmtId="164" fontId="4" fillId="2" borderId="0" xfId="13" applyNumberFormat="1" applyFill="1"/>
    <xf numFmtId="164" fontId="29" fillId="2" borderId="0" xfId="13" applyNumberFormat="1" applyFont="1" applyFill="1"/>
    <xf numFmtId="0" fontId="4" fillId="2" borderId="2" xfId="13" applyNumberFormat="1" applyFont="1" applyFill="1" applyBorder="1" applyAlignment="1">
      <alignment vertical="center"/>
    </xf>
    <xf numFmtId="164" fontId="29" fillId="2" borderId="0" xfId="13" applyNumberFormat="1" applyFont="1" applyFill="1" applyAlignment="1">
      <alignment horizontal="center"/>
    </xf>
    <xf numFmtId="0" fontId="30" fillId="2" borderId="0" xfId="13" applyNumberFormat="1" applyFont="1" applyFill="1" applyAlignment="1">
      <alignment horizontal="center" vertical="center"/>
    </xf>
    <xf numFmtId="0" fontId="17" fillId="2" borderId="0" xfId="13" applyNumberFormat="1" applyFont="1" applyFill="1" applyAlignment="1">
      <alignment horizontal="center" vertical="center"/>
    </xf>
    <xf numFmtId="0" fontId="73" fillId="2" borderId="2" xfId="13" applyNumberFormat="1" applyFont="1" applyFill="1" applyBorder="1" applyAlignment="1">
      <alignment vertical="center"/>
    </xf>
    <xf numFmtId="3" fontId="73" fillId="2" borderId="2" xfId="12" applyNumberFormat="1" applyFont="1" applyFill="1" applyBorder="1" applyAlignment="1">
      <alignment horizontal="right"/>
    </xf>
    <xf numFmtId="3" fontId="8" fillId="2" borderId="2" xfId="12" applyNumberFormat="1" applyFont="1" applyFill="1" applyBorder="1" applyAlignment="1">
      <alignment horizontal="right"/>
    </xf>
    <xf numFmtId="0" fontId="71" fillId="2" borderId="2" xfId="13" applyNumberFormat="1" applyFont="1" applyFill="1" applyBorder="1" applyAlignment="1">
      <alignment vertical="center"/>
    </xf>
    <xf numFmtId="0" fontId="48" fillId="2" borderId="0" xfId="9" applyNumberFormat="1" applyFont="1" applyFill="1" applyBorder="1" applyAlignment="1">
      <alignment horizontal="left" vertical="center" indent="2"/>
    </xf>
    <xf numFmtId="3" fontId="73" fillId="2" borderId="0" xfId="12" applyNumberFormat="1" applyFont="1" applyFill="1" applyBorder="1" applyAlignment="1">
      <alignment horizontal="right"/>
    </xf>
    <xf numFmtId="3" fontId="32" fillId="2" borderId="0" xfId="13" applyNumberFormat="1" applyFont="1" applyFill="1"/>
    <xf numFmtId="0" fontId="75" fillId="2" borderId="0" xfId="13" applyNumberFormat="1" applyFont="1" applyFill="1" applyBorder="1" applyAlignment="1">
      <alignment horizontal="right" vertical="center" indent="4"/>
    </xf>
    <xf numFmtId="3" fontId="69" fillId="2" borderId="0" xfId="12" applyNumberFormat="1" applyFont="1" applyFill="1" applyBorder="1" applyAlignment="1">
      <alignment horizontal="right"/>
    </xf>
    <xf numFmtId="3" fontId="102" fillId="2" borderId="0" xfId="11" applyNumberFormat="1" applyFont="1" applyFill="1" applyBorder="1" applyAlignment="1">
      <alignment horizontal="right" vertical="center"/>
    </xf>
    <xf numFmtId="3" fontId="69" fillId="2" borderId="0" xfId="4" applyNumberFormat="1" applyFont="1" applyFill="1" applyBorder="1" applyAlignment="1">
      <alignment horizontal="right"/>
    </xf>
    <xf numFmtId="3" fontId="32" fillId="2" borderId="0" xfId="4" applyNumberFormat="1" applyFont="1" applyFill="1" applyBorder="1" applyAlignment="1">
      <alignment horizontal="right"/>
    </xf>
    <xf numFmtId="3" fontId="17" fillId="2" borderId="0" xfId="4" applyNumberFormat="1" applyFont="1" applyFill="1" applyBorder="1" applyAlignment="1">
      <alignment horizontal="right"/>
    </xf>
    <xf numFmtId="0" fontId="48" fillId="2" borderId="0" xfId="9" applyFont="1" applyFill="1" applyBorder="1" applyAlignment="1">
      <alignment horizontal="left" indent="2"/>
    </xf>
    <xf numFmtId="3" fontId="41" fillId="2" borderId="0" xfId="13" applyNumberFormat="1" applyFont="1" applyFill="1"/>
    <xf numFmtId="3" fontId="17" fillId="2" borderId="0" xfId="4" quotePrefix="1" applyNumberFormat="1" applyFont="1" applyFill="1" applyBorder="1" applyAlignment="1">
      <alignment horizontal="right"/>
    </xf>
    <xf numFmtId="0" fontId="17" fillId="2" borderId="0" xfId="12" applyNumberFormat="1" applyFont="1" applyFill="1" applyBorder="1" applyAlignment="1">
      <alignment horizontal="left" vertical="center" indent="2"/>
    </xf>
    <xf numFmtId="0" fontId="17" fillId="2" borderId="1" xfId="13" applyNumberFormat="1" applyFont="1" applyFill="1" applyBorder="1" applyAlignment="1">
      <alignment vertical="center"/>
    </xf>
    <xf numFmtId="3" fontId="69" fillId="2" borderId="1" xfId="12" applyNumberFormat="1" applyFont="1" applyFill="1" applyBorder="1" applyAlignment="1">
      <alignment horizontal="right"/>
    </xf>
    <xf numFmtId="3" fontId="102" fillId="2" borderId="1" xfId="11" applyNumberFormat="1" applyFont="1" applyFill="1" applyBorder="1" applyAlignment="1">
      <alignment horizontal="right" vertical="center"/>
    </xf>
    <xf numFmtId="3" fontId="69" fillId="2" borderId="1" xfId="4" applyNumberFormat="1" applyFont="1" applyFill="1" applyBorder="1" applyAlignment="1">
      <alignment horizontal="right"/>
    </xf>
    <xf numFmtId="3" fontId="32" fillId="2" borderId="1" xfId="4" applyNumberFormat="1" applyFont="1" applyFill="1" applyBorder="1" applyAlignment="1">
      <alignment horizontal="right"/>
    </xf>
    <xf numFmtId="3" fontId="17" fillId="2" borderId="1" xfId="4" applyNumberFormat="1" applyFont="1" applyFill="1" applyBorder="1" applyAlignment="1">
      <alignment horizontal="right"/>
    </xf>
    <xf numFmtId="0" fontId="75" fillId="2" borderId="1" xfId="13" applyNumberFormat="1" applyFont="1" applyFill="1" applyBorder="1" applyAlignment="1">
      <alignment horizontal="right" vertical="center" indent="4"/>
    </xf>
    <xf numFmtId="0" fontId="17" fillId="2" borderId="0" xfId="13" applyNumberFormat="1" applyFont="1" applyFill="1" applyAlignment="1">
      <alignment vertical="center"/>
    </xf>
    <xf numFmtId="0" fontId="20" fillId="2" borderId="0" xfId="13" applyNumberFormat="1" applyFont="1" applyFill="1" applyAlignment="1">
      <alignment vertical="center"/>
    </xf>
    <xf numFmtId="0" fontId="4" fillId="2" borderId="0" xfId="13" applyNumberFormat="1" applyFont="1" applyFill="1" applyAlignment="1">
      <alignment vertical="center"/>
    </xf>
    <xf numFmtId="0" fontId="53" fillId="2" borderId="0" xfId="10" applyNumberFormat="1" applyFont="1" applyFill="1" applyBorder="1" applyAlignment="1">
      <alignment horizontal="right" vertical="center"/>
    </xf>
    <xf numFmtId="3" fontId="17" fillId="2" borderId="0" xfId="13" applyNumberFormat="1" applyFont="1" applyFill="1" applyAlignment="1">
      <alignment vertical="center"/>
    </xf>
    <xf numFmtId="3" fontId="73" fillId="2" borderId="1" xfId="12" applyNumberFormat="1" applyFont="1" applyFill="1" applyBorder="1" applyAlignment="1">
      <alignment horizontal="right"/>
    </xf>
    <xf numFmtId="38" fontId="4" fillId="2" borderId="0" xfId="4" applyNumberFormat="1" applyFont="1" applyFill="1"/>
    <xf numFmtId="164" fontId="4" fillId="2" borderId="0" xfId="13" applyNumberFormat="1" applyFont="1" applyFill="1"/>
    <xf numFmtId="164" fontId="9" fillId="2" borderId="25" xfId="3" applyFont="1" applyFill="1" applyBorder="1" applyAlignment="1" applyProtection="1">
      <alignment horizontal="center" vertical="center"/>
    </xf>
    <xf numFmtId="164" fontId="10" fillId="2" borderId="2" xfId="3" applyFont="1" applyFill="1" applyBorder="1" applyAlignment="1">
      <alignment vertical="center"/>
    </xf>
    <xf numFmtId="164" fontId="9" fillId="2" borderId="1" xfId="3" applyFont="1" applyFill="1" applyBorder="1" applyAlignment="1" applyProtection="1">
      <alignment horizontal="center" vertical="center"/>
    </xf>
    <xf numFmtId="164" fontId="8" fillId="2" borderId="4" xfId="3" applyFont="1" applyFill="1" applyBorder="1" applyAlignment="1">
      <alignment vertical="center"/>
    </xf>
    <xf numFmtId="1" fontId="103" fillId="2" borderId="1" xfId="3" applyNumberFormat="1" applyFont="1" applyFill="1" applyBorder="1" applyAlignment="1">
      <alignment horizontal="right" vertical="center"/>
    </xf>
    <xf numFmtId="1" fontId="14" fillId="2" borderId="1" xfId="3" applyNumberFormat="1" applyFont="1" applyFill="1" applyBorder="1" applyAlignment="1" applyProtection="1">
      <alignment horizontal="right" vertical="center"/>
    </xf>
    <xf numFmtId="165" fontId="21" fillId="2" borderId="61" xfId="3" applyNumberFormat="1" applyFont="1" applyFill="1" applyBorder="1" applyAlignment="1" applyProtection="1">
      <alignment horizontal="right" vertical="center"/>
      <protection locked="0"/>
    </xf>
    <xf numFmtId="3" fontId="7" fillId="2" borderId="0" xfId="3" applyNumberFormat="1" applyFont="1" applyFill="1" applyBorder="1" applyAlignment="1">
      <alignment vertical="center"/>
    </xf>
    <xf numFmtId="1" fontId="21" fillId="2" borderId="12" xfId="3" applyNumberFormat="1" applyFont="1" applyFill="1" applyBorder="1" applyAlignment="1" applyProtection="1">
      <alignment horizontal="right" vertical="center"/>
    </xf>
    <xf numFmtId="165" fontId="21" fillId="2" borderId="14" xfId="3" applyNumberFormat="1" applyFont="1" applyFill="1" applyBorder="1" applyAlignment="1">
      <alignment horizontal="right" vertical="center"/>
    </xf>
    <xf numFmtId="164" fontId="104" fillId="2" borderId="0" xfId="3" applyFont="1" applyFill="1" applyAlignment="1">
      <alignment horizontal="right" vertical="center" indent="1"/>
    </xf>
    <xf numFmtId="164" fontId="105" fillId="2" borderId="0" xfId="3" applyFont="1" applyFill="1" applyAlignment="1" applyProtection="1">
      <alignment vertical="center" wrapText="1"/>
    </xf>
    <xf numFmtId="43" fontId="29" fillId="2" borderId="0" xfId="1" applyFont="1" applyFill="1" applyAlignment="1">
      <alignment vertical="center"/>
    </xf>
    <xf numFmtId="43" fontId="7" fillId="2" borderId="0" xfId="1" applyFont="1" applyFill="1" applyAlignment="1">
      <alignment vertical="center"/>
    </xf>
    <xf numFmtId="43" fontId="20" fillId="2" borderId="0" xfId="1" applyFont="1" applyFill="1"/>
    <xf numFmtId="43" fontId="20" fillId="2" borderId="0" xfId="1" applyFont="1" applyFill="1" applyAlignment="1">
      <alignment vertical="center"/>
    </xf>
    <xf numFmtId="164" fontId="11" fillId="2" borderId="18" xfId="3" applyFont="1" applyFill="1" applyBorder="1" applyAlignment="1" applyProtection="1">
      <alignment vertical="center"/>
    </xf>
    <xf numFmtId="168" fontId="11" fillId="2" borderId="19" xfId="1" applyNumberFormat="1" applyFont="1" applyFill="1" applyBorder="1" applyAlignment="1" applyProtection="1">
      <alignment vertical="center"/>
    </xf>
    <xf numFmtId="164" fontId="106" fillId="2" borderId="20" xfId="3" applyFont="1" applyFill="1" applyBorder="1" applyAlignment="1">
      <alignment horizontal="centerContinuous" vertical="center"/>
    </xf>
    <xf numFmtId="1" fontId="11" fillId="2" borderId="23" xfId="3" applyNumberFormat="1" applyFont="1" applyFill="1" applyBorder="1" applyAlignment="1" applyProtection="1">
      <alignment horizontal="right" vertical="center"/>
    </xf>
    <xf numFmtId="0" fontId="107" fillId="2" borderId="0" xfId="0" applyFont="1" applyFill="1" applyAlignment="1">
      <alignment vertical="center"/>
    </xf>
    <xf numFmtId="0" fontId="108" fillId="2" borderId="0" xfId="0" applyFont="1" applyFill="1"/>
    <xf numFmtId="3" fontId="0" fillId="2" borderId="0" xfId="0" applyNumberFormat="1" applyFill="1"/>
    <xf numFmtId="164" fontId="40" fillId="2" borderId="17" xfId="0" applyNumberFormat="1" applyFont="1" applyFill="1" applyBorder="1" applyAlignment="1">
      <alignment horizontal="right" vertical="top" wrapText="1"/>
    </xf>
    <xf numFmtId="3" fontId="95" fillId="2" borderId="1" xfId="10" applyNumberFormat="1" applyFont="1" applyFill="1" applyBorder="1" applyAlignment="1">
      <alignment horizontal="right" vertical="center"/>
    </xf>
    <xf numFmtId="164" fontId="50" fillId="2" borderId="0" xfId="3" applyFont="1" applyFill="1" applyBorder="1" applyAlignment="1" applyProtection="1">
      <alignment horizontal="left" vertical="center"/>
    </xf>
    <xf numFmtId="164" fontId="42" fillId="2" borderId="0" xfId="0" applyNumberFormat="1" applyFont="1" applyFill="1" applyBorder="1" applyAlignment="1">
      <alignment horizontal="right"/>
    </xf>
    <xf numFmtId="164" fontId="20" fillId="2" borderId="0" xfId="3" applyFont="1" applyFill="1" applyBorder="1" applyAlignment="1">
      <alignment horizontal="right" vertical="center"/>
    </xf>
    <xf numFmtId="164" fontId="18" fillId="2" borderId="0" xfId="3" applyFont="1" applyFill="1" applyBorder="1" applyAlignment="1">
      <alignment vertical="center"/>
    </xf>
    <xf numFmtId="3" fontId="95" fillId="2" borderId="0" xfId="10" applyNumberFormat="1" applyFont="1" applyFill="1" applyBorder="1" applyAlignment="1">
      <alignment horizontal="right" vertical="center" indent="1"/>
    </xf>
    <xf numFmtId="3" fontId="95" fillId="2" borderId="1" xfId="10" applyNumberFormat="1" applyFont="1" applyFill="1" applyBorder="1" applyAlignment="1">
      <alignment horizontal="right" vertical="center" indent="1"/>
    </xf>
    <xf numFmtId="164" fontId="40" fillId="2" borderId="0" xfId="0" applyNumberFormat="1" applyFont="1" applyFill="1" applyAlignment="1">
      <alignment horizontal="right" vertical="center"/>
    </xf>
    <xf numFmtId="0" fontId="87" fillId="2" borderId="0" xfId="10" applyNumberFormat="1" applyFont="1" applyFill="1" applyAlignment="1">
      <alignment horizontal="right" vertical="center" indent="1"/>
    </xf>
    <xf numFmtId="0" fontId="96" fillId="2" borderId="0" xfId="10" applyNumberFormat="1" applyFont="1" applyFill="1" applyAlignment="1">
      <alignment horizontal="left" vertical="center" indent="1"/>
    </xf>
    <xf numFmtId="0" fontId="96" fillId="2" borderId="1" xfId="10" applyNumberFormat="1" applyFont="1" applyFill="1" applyBorder="1" applyAlignment="1">
      <alignment horizontal="left" vertical="center" indent="1"/>
    </xf>
    <xf numFmtId="0" fontId="71" fillId="2" borderId="34" xfId="9" applyNumberFormat="1" applyFont="1" applyFill="1" applyBorder="1" applyAlignment="1">
      <alignment horizontal="right" vertical="center"/>
    </xf>
    <xf numFmtId="0" fontId="3" fillId="2" borderId="0" xfId="0" applyNumberFormat="1" applyFont="1" applyFill="1" applyBorder="1" applyAlignment="1">
      <alignment horizontal="left" vertical="center"/>
    </xf>
    <xf numFmtId="38" fontId="41" fillId="3" borderId="0" xfId="4" applyNumberFormat="1" applyFont="1" applyFill="1" applyBorder="1"/>
    <xf numFmtId="38" fontId="41" fillId="3" borderId="1" xfId="4" applyNumberFormat="1" applyFont="1" applyFill="1" applyBorder="1"/>
    <xf numFmtId="0" fontId="3" fillId="2" borderId="1" xfId="0" applyNumberFormat="1" applyFont="1" applyFill="1" applyBorder="1"/>
    <xf numFmtId="0" fontId="81" fillId="2" borderId="0" xfId="0" applyNumberFormat="1" applyFont="1" applyFill="1" applyBorder="1" applyAlignment="1">
      <alignment horizontal="right" vertical="center" wrapText="1" indent="2"/>
    </xf>
    <xf numFmtId="0" fontId="72" fillId="2" borderId="0" xfId="9" applyNumberFormat="1" applyFont="1" applyFill="1" applyBorder="1" applyAlignment="1">
      <alignment horizontal="left" vertical="center"/>
    </xf>
    <xf numFmtId="0" fontId="71" fillId="2" borderId="0" xfId="9" applyNumberFormat="1" applyFont="1" applyFill="1" applyBorder="1" applyAlignment="1">
      <alignment horizontal="right" vertical="center"/>
    </xf>
    <xf numFmtId="0" fontId="71" fillId="2" borderId="34" xfId="9" applyNumberFormat="1" applyFont="1" applyFill="1" applyBorder="1" applyAlignment="1">
      <alignment horizontal="right" vertical="center"/>
    </xf>
    <xf numFmtId="0" fontId="93" fillId="2" borderId="2" xfId="10" applyNumberFormat="1" applyFont="1" applyFill="1" applyBorder="1" applyAlignment="1">
      <alignment horizontal="center" vertical="center"/>
    </xf>
    <xf numFmtId="0" fontId="109" fillId="2" borderId="0" xfId="0" applyFont="1" applyFill="1" applyBorder="1" applyAlignment="1">
      <alignment horizontal="right" vertical="center"/>
    </xf>
    <xf numFmtId="0" fontId="41" fillId="2" borderId="1" xfId="0" applyNumberFormat="1" applyFont="1" applyFill="1" applyBorder="1" applyAlignment="1">
      <alignment vertical="center"/>
    </xf>
    <xf numFmtId="0" fontId="41" fillId="2" borderId="0" xfId="0" applyNumberFormat="1" applyFont="1" applyFill="1" applyBorder="1" applyAlignment="1">
      <alignment horizontal="left" vertical="center" wrapText="1" indent="2"/>
    </xf>
    <xf numFmtId="0" fontId="41" fillId="2" borderId="1" xfId="0" applyNumberFormat="1" applyFont="1" applyFill="1" applyBorder="1" applyAlignment="1">
      <alignment horizontal="left" vertical="center" wrapText="1" indent="2"/>
    </xf>
    <xf numFmtId="0" fontId="81" fillId="2" borderId="1" xfId="0" applyNumberFormat="1" applyFont="1" applyFill="1" applyBorder="1" applyAlignment="1">
      <alignment horizontal="right" vertical="center" wrapText="1" indent="2"/>
    </xf>
    <xf numFmtId="164" fontId="25" fillId="2" borderId="0" xfId="7" applyNumberFormat="1" applyFont="1" applyFill="1" applyBorder="1" applyAlignment="1">
      <alignment horizontal="right" vertical="center" indent="3" readingOrder="2"/>
    </xf>
    <xf numFmtId="164" fontId="111" fillId="2" borderId="0" xfId="3" applyFont="1" applyFill="1" applyAlignment="1">
      <alignment horizontal="right" vertical="center"/>
    </xf>
    <xf numFmtId="164" fontId="111" fillId="2" borderId="0" xfId="3" applyFont="1" applyFill="1" applyBorder="1" applyAlignment="1">
      <alignment horizontal="right" vertical="center"/>
    </xf>
    <xf numFmtId="164" fontId="46" fillId="2" borderId="0" xfId="3" applyFont="1" applyFill="1" applyBorder="1" applyAlignment="1">
      <alignment horizontal="right" vertical="center"/>
    </xf>
    <xf numFmtId="164" fontId="46" fillId="2" borderId="0" xfId="0" applyNumberFormat="1" applyFont="1" applyFill="1" applyAlignment="1">
      <alignment horizontal="right" vertical="center"/>
    </xf>
    <xf numFmtId="164" fontId="111" fillId="2" borderId="1" xfId="3" applyFont="1" applyFill="1" applyBorder="1" applyAlignment="1">
      <alignment horizontal="right" vertical="center"/>
    </xf>
    <xf numFmtId="164" fontId="109" fillId="2" borderId="21" xfId="3" applyFont="1" applyFill="1" applyBorder="1" applyAlignment="1">
      <alignment vertical="center"/>
    </xf>
    <xf numFmtId="164" fontId="109" fillId="2" borderId="2" xfId="3" applyFont="1" applyFill="1" applyBorder="1" applyAlignment="1">
      <alignment vertical="center"/>
    </xf>
    <xf numFmtId="164" fontId="109" fillId="2" borderId="2" xfId="3" applyFont="1" applyFill="1" applyBorder="1" applyAlignment="1">
      <alignment horizontal="center" vertical="center"/>
    </xf>
    <xf numFmtId="164" fontId="109" fillId="2" borderId="0" xfId="3" applyFont="1" applyFill="1" applyBorder="1" applyAlignment="1">
      <alignment horizontal="center" vertical="center"/>
    </xf>
    <xf numFmtId="164" fontId="46" fillId="2" borderId="0" xfId="0" applyNumberFormat="1" applyFont="1" applyFill="1" applyAlignment="1">
      <alignment horizontal="right"/>
    </xf>
    <xf numFmtId="164" fontId="46" fillId="2" borderId="0" xfId="3" applyFont="1" applyFill="1" applyAlignment="1">
      <alignment horizontal="right" vertical="center"/>
    </xf>
    <xf numFmtId="164" fontId="111" fillId="2" borderId="0" xfId="0" applyNumberFormat="1" applyFont="1" applyFill="1" applyAlignment="1">
      <alignment horizontal="right" indent="2"/>
    </xf>
    <xf numFmtId="164" fontId="111" fillId="2" borderId="1" xfId="0" applyNumberFormat="1" applyFont="1" applyFill="1" applyBorder="1" applyAlignment="1">
      <alignment horizontal="right" indent="2"/>
    </xf>
    <xf numFmtId="164" fontId="109" fillId="2" borderId="0" xfId="3" applyFont="1" applyFill="1" applyAlignment="1">
      <alignment vertical="center"/>
    </xf>
    <xf numFmtId="164" fontId="109" fillId="2" borderId="0" xfId="0" applyNumberFormat="1" applyFont="1" applyFill="1" applyAlignment="1">
      <alignment horizontal="right" vertical="center"/>
    </xf>
    <xf numFmtId="164" fontId="109" fillId="2" borderId="0" xfId="0" applyNumberFormat="1" applyFont="1" applyFill="1" applyAlignment="1">
      <alignment horizontal="right" wrapText="1"/>
    </xf>
    <xf numFmtId="164" fontId="109" fillId="2" borderId="0" xfId="0" applyNumberFormat="1" applyFont="1" applyFill="1" applyAlignment="1">
      <alignment horizontal="right" vertical="center" wrapText="1"/>
    </xf>
    <xf numFmtId="0" fontId="71" fillId="2" borderId="34" xfId="9" applyNumberFormat="1" applyFont="1" applyFill="1" applyBorder="1" applyAlignment="1">
      <alignment horizontal="right" vertical="center"/>
    </xf>
    <xf numFmtId="0" fontId="73" fillId="2" borderId="57" xfId="12" applyNumberFormat="1" applyFont="1" applyFill="1" applyBorder="1" applyAlignment="1">
      <alignment horizontal="center" vertical="center"/>
    </xf>
    <xf numFmtId="164" fontId="4" fillId="2" borderId="0" xfId="12" applyNumberFormat="1" applyFill="1"/>
    <xf numFmtId="0" fontId="4" fillId="2" borderId="0" xfId="12" applyNumberFormat="1" applyFont="1" applyFill="1" applyAlignment="1">
      <alignment vertical="center"/>
    </xf>
    <xf numFmtId="43" fontId="4" fillId="2" borderId="0" xfId="12" applyNumberFormat="1" applyFill="1"/>
    <xf numFmtId="43" fontId="4" fillId="2" borderId="0" xfId="12" applyNumberFormat="1" applyFont="1" applyFill="1" applyAlignment="1">
      <alignment vertical="center"/>
    </xf>
    <xf numFmtId="0" fontId="4" fillId="2" borderId="2" xfId="12" applyNumberFormat="1" applyFont="1" applyFill="1" applyBorder="1" applyAlignment="1">
      <alignment vertical="center"/>
    </xf>
    <xf numFmtId="0" fontId="113" fillId="2" borderId="0" xfId="12" applyNumberFormat="1" applyFont="1" applyFill="1" applyBorder="1" applyAlignment="1">
      <alignment vertical="center" wrapText="1"/>
    </xf>
    <xf numFmtId="164" fontId="58" fillId="2" borderId="0" xfId="12" applyNumberFormat="1" applyFont="1" applyFill="1"/>
    <xf numFmtId="164" fontId="4" fillId="2" borderId="0" xfId="12" applyNumberFormat="1" applyFill="1" applyBorder="1"/>
    <xf numFmtId="164" fontId="4" fillId="2" borderId="0" xfId="12" applyNumberFormat="1" applyFont="1" applyFill="1"/>
    <xf numFmtId="0" fontId="73" fillId="2" borderId="2" xfId="12" applyNumberFormat="1" applyFont="1" applyFill="1" applyBorder="1" applyAlignment="1">
      <alignment vertical="center"/>
    </xf>
    <xf numFmtId="38" fontId="73" fillId="2" borderId="2" xfId="12" applyNumberFormat="1" applyFont="1" applyFill="1" applyBorder="1" applyAlignment="1">
      <alignment horizontal="right"/>
    </xf>
    <xf numFmtId="0" fontId="71" fillId="2" borderId="2" xfId="12" applyNumberFormat="1" applyFont="1" applyFill="1" applyBorder="1" applyAlignment="1">
      <alignment vertical="center"/>
    </xf>
    <xf numFmtId="0" fontId="48" fillId="2" borderId="0" xfId="9" applyNumberFormat="1" applyFont="1" applyFill="1" applyBorder="1" applyAlignment="1">
      <alignment horizontal="left" vertical="center"/>
    </xf>
    <xf numFmtId="38" fontId="73" fillId="2" borderId="0" xfId="12" applyNumberFormat="1" applyFont="1" applyFill="1" applyBorder="1" applyAlignment="1">
      <alignment horizontal="right"/>
    </xf>
    <xf numFmtId="0" fontId="75" fillId="2" borderId="0" xfId="12" applyNumberFormat="1" applyFont="1" applyFill="1" applyBorder="1" applyAlignment="1">
      <alignment vertical="center"/>
    </xf>
    <xf numFmtId="164" fontId="114" fillId="2" borderId="0" xfId="12" applyNumberFormat="1" applyFont="1" applyFill="1" applyBorder="1"/>
    <xf numFmtId="0" fontId="17" fillId="2" borderId="1" xfId="12" applyNumberFormat="1" applyFont="1" applyFill="1" applyBorder="1" applyAlignment="1">
      <alignment vertical="center"/>
    </xf>
    <xf numFmtId="38" fontId="73" fillId="2" borderId="1" xfId="12" applyNumberFormat="1" applyFont="1" applyFill="1" applyBorder="1" applyAlignment="1">
      <alignment horizontal="right"/>
    </xf>
    <xf numFmtId="0" fontId="75" fillId="2" borderId="1" xfId="12" applyNumberFormat="1" applyFont="1" applyFill="1" applyBorder="1" applyAlignment="1">
      <alignment vertical="center"/>
    </xf>
    <xf numFmtId="0" fontId="115" fillId="2" borderId="0" xfId="12" applyNumberFormat="1" applyFont="1" applyFill="1" applyBorder="1" applyAlignment="1">
      <alignment vertical="center" wrapText="1"/>
    </xf>
    <xf numFmtId="0" fontId="115" fillId="2" borderId="0" xfId="12" applyNumberFormat="1" applyFont="1" applyFill="1" applyAlignment="1">
      <alignment vertical="center" wrapText="1"/>
    </xf>
    <xf numFmtId="0" fontId="115" fillId="2" borderId="0" xfId="12" applyNumberFormat="1" applyFont="1" applyFill="1" applyAlignment="1">
      <alignment vertical="center"/>
    </xf>
    <xf numFmtId="0" fontId="115" fillId="2" borderId="0" xfId="12" applyNumberFormat="1" applyFont="1" applyFill="1" applyBorder="1" applyAlignment="1">
      <alignment vertical="center"/>
    </xf>
    <xf numFmtId="0" fontId="53" fillId="2" borderId="0" xfId="12" applyNumberFormat="1" applyFont="1" applyFill="1" applyAlignment="1">
      <alignment vertical="center"/>
    </xf>
    <xf numFmtId="38" fontId="69" fillId="2" borderId="0" xfId="12" applyNumberFormat="1" applyFont="1" applyFill="1" applyBorder="1" applyAlignment="1">
      <alignment horizontal="right"/>
    </xf>
    <xf numFmtId="38" fontId="48" fillId="2" borderId="0" xfId="4" applyNumberFormat="1" applyFont="1" applyFill="1" applyBorder="1" applyAlignment="1">
      <alignment horizontal="right"/>
    </xf>
    <xf numFmtId="38" fontId="69" fillId="2" borderId="1" xfId="12" applyNumberFormat="1" applyFont="1" applyFill="1" applyBorder="1" applyAlignment="1">
      <alignment horizontal="right"/>
    </xf>
    <xf numFmtId="38" fontId="48" fillId="2" borderId="1" xfId="4" applyNumberFormat="1" applyFont="1" applyFill="1" applyBorder="1" applyAlignment="1">
      <alignment horizontal="right"/>
    </xf>
    <xf numFmtId="0" fontId="46" fillId="2" borderId="0" xfId="0" applyFont="1" applyFill="1" applyBorder="1" applyAlignment="1">
      <alignment horizontal="right" vertical="center"/>
    </xf>
    <xf numFmtId="164" fontId="11" fillId="2" borderId="0" xfId="3" applyFont="1" applyFill="1" applyBorder="1" applyAlignment="1" applyProtection="1">
      <alignment horizontal="left" vertical="center"/>
    </xf>
    <xf numFmtId="164" fontId="12" fillId="2" borderId="2" xfId="3" applyFont="1" applyFill="1" applyBorder="1" applyAlignment="1">
      <alignment horizontal="center" vertical="center"/>
    </xf>
    <xf numFmtId="164" fontId="8" fillId="2" borderId="0" xfId="3" applyFont="1" applyFill="1" applyBorder="1" applyAlignment="1">
      <alignment horizontal="center" vertical="center"/>
    </xf>
    <xf numFmtId="164" fontId="11" fillId="2" borderId="0" xfId="3" applyFont="1" applyFill="1" applyBorder="1" applyAlignment="1" applyProtection="1">
      <alignment horizontal="center" vertical="center"/>
    </xf>
    <xf numFmtId="164" fontId="110" fillId="2" borderId="2" xfId="3" applyFont="1" applyFill="1" applyBorder="1" applyAlignment="1">
      <alignment horizontal="center" vertical="center"/>
    </xf>
    <xf numFmtId="164" fontId="21" fillId="2" borderId="1" xfId="3" applyFont="1" applyFill="1" applyBorder="1" applyAlignment="1">
      <alignment horizontal="center" vertical="center"/>
    </xf>
    <xf numFmtId="4" fontId="30" fillId="2" borderId="2" xfId="0" applyNumberFormat="1" applyFont="1" applyFill="1" applyBorder="1" applyAlignment="1">
      <alignment horizontal="center"/>
    </xf>
    <xf numFmtId="3" fontId="57" fillId="3" borderId="0" xfId="0" applyNumberFormat="1" applyFont="1" applyFill="1" applyBorder="1" applyAlignment="1">
      <alignment horizontal="right" vertical="center"/>
    </xf>
    <xf numFmtId="3" fontId="57" fillId="3" borderId="1" xfId="0" applyNumberFormat="1" applyFont="1" applyFill="1" applyBorder="1" applyAlignment="1">
      <alignment horizontal="right" vertical="center"/>
    </xf>
    <xf numFmtId="0" fontId="3" fillId="2" borderId="2" xfId="0" applyNumberFormat="1" applyFont="1" applyFill="1" applyBorder="1" applyAlignment="1">
      <alignment horizontal="center" vertical="center" wrapText="1"/>
    </xf>
    <xf numFmtId="38" fontId="41" fillId="3" borderId="0" xfId="4" applyNumberFormat="1" applyFont="1" applyFill="1" applyBorder="1" applyAlignment="1">
      <alignment vertical="center"/>
    </xf>
    <xf numFmtId="38" fontId="41" fillId="3" borderId="1" xfId="4" applyNumberFormat="1" applyFont="1" applyFill="1" applyBorder="1" applyAlignment="1">
      <alignment vertical="center"/>
    </xf>
    <xf numFmtId="38" fontId="17" fillId="3" borderId="0" xfId="4" applyNumberFormat="1" applyFont="1" applyFill="1" applyBorder="1" applyAlignment="1">
      <alignment horizontal="right" vertical="center"/>
    </xf>
    <xf numFmtId="38" fontId="17" fillId="3" borderId="1" xfId="4" applyNumberFormat="1" applyFont="1" applyFill="1" applyBorder="1" applyAlignment="1">
      <alignment horizontal="right" vertical="center"/>
    </xf>
    <xf numFmtId="0" fontId="3" fillId="2" borderId="2" xfId="0" applyNumberFormat="1" applyFont="1" applyFill="1" applyBorder="1" applyAlignment="1">
      <alignment horizontal="center" vertical="center"/>
    </xf>
    <xf numFmtId="1" fontId="14" fillId="2" borderId="65" xfId="3" applyNumberFormat="1" applyFont="1" applyFill="1" applyBorder="1" applyAlignment="1">
      <alignment horizontal="right" vertical="center"/>
    </xf>
    <xf numFmtId="164" fontId="25" fillId="2" borderId="0" xfId="3" applyFont="1" applyFill="1" applyAlignment="1" applyProtection="1">
      <alignment horizontal="right" vertical="top" wrapText="1"/>
    </xf>
    <xf numFmtId="164" fontId="21" fillId="2" borderId="0" xfId="3" applyFont="1" applyFill="1" applyBorder="1" applyAlignment="1" applyProtection="1">
      <alignment horizontal="center" vertical="center"/>
    </xf>
    <xf numFmtId="164" fontId="11" fillId="2" borderId="0" xfId="3" applyFont="1" applyFill="1" applyBorder="1" applyAlignment="1" applyProtection="1">
      <alignment horizontal="center" vertical="center"/>
    </xf>
    <xf numFmtId="164" fontId="112" fillId="2" borderId="0" xfId="3" applyFont="1" applyFill="1" applyAlignment="1">
      <alignment horizontal="center" vertical="center"/>
    </xf>
    <xf numFmtId="164" fontId="21" fillId="2" borderId="1" xfId="3" applyFont="1" applyFill="1" applyBorder="1" applyAlignment="1" applyProtection="1">
      <alignment horizontal="center" vertical="center"/>
    </xf>
    <xf numFmtId="164" fontId="46" fillId="2" borderId="0" xfId="3" applyFont="1" applyFill="1" applyAlignment="1">
      <alignment horizontal="center" vertical="center" wrapText="1"/>
    </xf>
    <xf numFmtId="164" fontId="11" fillId="2" borderId="1" xfId="3" applyFont="1" applyFill="1" applyBorder="1" applyAlignment="1" applyProtection="1">
      <alignment horizontal="center" vertical="center"/>
    </xf>
    <xf numFmtId="164" fontId="21" fillId="2" borderId="2" xfId="3" applyFont="1" applyFill="1" applyBorder="1" applyAlignment="1" applyProtection="1">
      <alignment horizontal="center" vertical="center"/>
    </xf>
    <xf numFmtId="165" fontId="17" fillId="2" borderId="6" xfId="3" applyNumberFormat="1" applyFont="1" applyFill="1" applyBorder="1" applyAlignment="1" applyProtection="1">
      <alignment horizontal="right" vertical="center"/>
      <protection locked="0"/>
    </xf>
    <xf numFmtId="165" fontId="17" fillId="2" borderId="14" xfId="3" applyNumberFormat="1" applyFont="1" applyFill="1" applyBorder="1" applyAlignment="1" applyProtection="1">
      <alignment horizontal="right"/>
    </xf>
    <xf numFmtId="3" fontId="116" fillId="2" borderId="0" xfId="12" applyNumberFormat="1" applyFont="1" applyFill="1" applyBorder="1" applyAlignment="1">
      <alignment horizontal="right"/>
    </xf>
    <xf numFmtId="3" fontId="117" fillId="2" borderId="0" xfId="12" applyNumberFormat="1" applyFont="1" applyFill="1" applyBorder="1" applyAlignment="1">
      <alignment horizontal="right"/>
    </xf>
    <xf numFmtId="3" fontId="117" fillId="2" borderId="0" xfId="4" applyNumberFormat="1" applyFont="1" applyFill="1" applyBorder="1" applyAlignment="1">
      <alignment horizontal="right"/>
    </xf>
    <xf numFmtId="164" fontId="118" fillId="2" borderId="0" xfId="12" applyNumberFormat="1" applyFont="1" applyFill="1"/>
    <xf numFmtId="164" fontId="118" fillId="2" borderId="0" xfId="12" applyNumberFormat="1" applyFont="1" applyFill="1" applyBorder="1"/>
    <xf numFmtId="168" fontId="117" fillId="2" borderId="0" xfId="11" applyNumberFormat="1" applyFont="1" applyFill="1" applyBorder="1" applyAlignment="1">
      <alignment horizontal="left"/>
    </xf>
    <xf numFmtId="164" fontId="119" fillId="2" borderId="0" xfId="10" applyNumberFormat="1" applyFont="1" applyFill="1"/>
    <xf numFmtId="0" fontId="120" fillId="2" borderId="0" xfId="10" applyNumberFormat="1" applyFont="1" applyFill="1" applyAlignment="1">
      <alignment horizontal="right" vertical="center"/>
    </xf>
    <xf numFmtId="0" fontId="121" fillId="2" borderId="0" xfId="10" applyNumberFormat="1" applyFont="1" applyFill="1" applyAlignment="1">
      <alignment horizontal="left"/>
    </xf>
    <xf numFmtId="0" fontId="121" fillId="2" borderId="0" xfId="10" applyNumberFormat="1" applyFont="1" applyFill="1" applyBorder="1" applyAlignment="1">
      <alignment horizontal="right"/>
    </xf>
    <xf numFmtId="164" fontId="119" fillId="2" borderId="0" xfId="10" applyNumberFormat="1" applyFont="1" applyFill="1" applyBorder="1"/>
    <xf numFmtId="0" fontId="99" fillId="2" borderId="0" xfId="10" applyNumberFormat="1" applyFont="1" applyFill="1" applyAlignment="1">
      <alignment vertical="center"/>
    </xf>
    <xf numFmtId="1" fontId="119" fillId="2" borderId="0" xfId="10" applyNumberFormat="1" applyFont="1" applyFill="1"/>
    <xf numFmtId="0" fontId="99" fillId="2" borderId="0" xfId="10" applyNumberFormat="1" applyFont="1" applyFill="1" applyAlignment="1">
      <alignment horizontal="right" vertical="center"/>
    </xf>
    <xf numFmtId="0" fontId="121" fillId="2" borderId="0" xfId="10" applyNumberFormat="1" applyFont="1" applyFill="1" applyAlignment="1">
      <alignment horizontal="right" vertical="center"/>
    </xf>
    <xf numFmtId="0" fontId="121" fillId="2" borderId="0" xfId="10" applyNumberFormat="1" applyFont="1" applyFill="1" applyAlignment="1">
      <alignment horizontal="right"/>
    </xf>
    <xf numFmtId="0" fontId="121" fillId="2" borderId="0" xfId="10" applyNumberFormat="1" applyFont="1" applyFill="1" applyBorder="1" applyAlignment="1">
      <alignment horizontal="left" vertical="center"/>
    </xf>
    <xf numFmtId="3" fontId="122" fillId="2" borderId="0" xfId="11" applyNumberFormat="1" applyFont="1" applyFill="1" applyBorder="1" applyAlignment="1">
      <alignment horizontal="right" vertical="center"/>
    </xf>
    <xf numFmtId="0" fontId="122" fillId="0" borderId="0" xfId="0" applyFont="1" applyAlignment="1">
      <alignment vertical="center"/>
    </xf>
    <xf numFmtId="0" fontId="120" fillId="2" borderId="0" xfId="12" applyNumberFormat="1" applyFont="1" applyFill="1" applyBorder="1" applyAlignment="1">
      <alignment vertical="center"/>
    </xf>
    <xf numFmtId="38" fontId="95" fillId="2" borderId="0" xfId="12" applyNumberFormat="1" applyFont="1" applyFill="1" applyBorder="1" applyAlignment="1">
      <alignment horizontal="right"/>
    </xf>
    <xf numFmtId="164" fontId="66" fillId="2" borderId="0" xfId="7" applyNumberFormat="1" applyFont="1" applyFill="1" applyBorder="1" applyAlignment="1">
      <alignment horizontal="right" vertical="center" indent="3" readingOrder="2"/>
    </xf>
    <xf numFmtId="165" fontId="17" fillId="2" borderId="60" xfId="3" applyNumberFormat="1" applyFont="1" applyFill="1" applyBorder="1" applyAlignment="1" applyProtection="1">
      <alignment horizontal="right" vertical="center"/>
      <protection locked="0"/>
    </xf>
    <xf numFmtId="165" fontId="17" fillId="2" borderId="61" xfId="3" applyNumberFormat="1" applyFont="1" applyFill="1" applyBorder="1" applyAlignment="1" applyProtection="1">
      <alignment horizontal="right" vertical="center"/>
      <protection locked="0"/>
    </xf>
    <xf numFmtId="165" fontId="17" fillId="2" borderId="62" xfId="3" applyNumberFormat="1" applyFont="1" applyFill="1" applyBorder="1" applyAlignment="1" applyProtection="1">
      <alignment horizontal="right" vertical="center"/>
      <protection locked="0"/>
    </xf>
    <xf numFmtId="165" fontId="21" fillId="2" borderId="0" xfId="3" applyNumberFormat="1" applyFont="1" applyFill="1" applyBorder="1" applyAlignment="1">
      <alignment horizontal="center" vertical="center"/>
    </xf>
    <xf numFmtId="164" fontId="21" fillId="2" borderId="17" xfId="3" applyFont="1" applyFill="1" applyBorder="1" applyAlignment="1">
      <alignment horizontal="center" vertical="center" wrapText="1"/>
    </xf>
    <xf numFmtId="165" fontId="21" fillId="2" borderId="16" xfId="3" applyNumberFormat="1" applyFont="1" applyFill="1" applyBorder="1" applyAlignment="1" applyProtection="1">
      <alignment horizontal="right"/>
    </xf>
    <xf numFmtId="0" fontId="20" fillId="2" borderId="0" xfId="0" applyFont="1" applyFill="1" applyBorder="1" applyAlignment="1" applyProtection="1">
      <alignment vertical="center"/>
      <protection hidden="1"/>
    </xf>
    <xf numFmtId="166" fontId="57" fillId="2" borderId="0" xfId="1" applyNumberFormat="1" applyFont="1" applyFill="1" applyBorder="1" applyAlignment="1" applyProtection="1">
      <alignment vertical="center"/>
      <protection locked="0"/>
    </xf>
    <xf numFmtId="166" fontId="57" fillId="4" borderId="0" xfId="1" applyNumberFormat="1" applyFont="1" applyFill="1" applyBorder="1" applyAlignment="1" applyProtection="1">
      <alignment vertical="center"/>
      <protection locked="0"/>
    </xf>
    <xf numFmtId="166" fontId="57" fillId="5" borderId="0" xfId="1" applyNumberFormat="1" applyFont="1" applyFill="1" applyBorder="1" applyAlignment="1" applyProtection="1">
      <alignment vertical="center"/>
      <protection locked="0"/>
    </xf>
    <xf numFmtId="166" fontId="57" fillId="6" borderId="0" xfId="1" applyNumberFormat="1" applyFont="1" applyFill="1" applyBorder="1" applyAlignment="1" applyProtection="1">
      <alignment vertical="center"/>
      <protection locked="0"/>
    </xf>
    <xf numFmtId="166" fontId="57" fillId="7" borderId="0" xfId="1" applyNumberFormat="1" applyFont="1" applyFill="1" applyBorder="1" applyAlignment="1" applyProtection="1">
      <alignment vertical="center"/>
      <protection locked="0"/>
    </xf>
    <xf numFmtId="166" fontId="57" fillId="8" borderId="0" xfId="1" applyNumberFormat="1" applyFont="1" applyFill="1" applyBorder="1" applyAlignment="1" applyProtection="1">
      <alignment vertical="center"/>
      <protection locked="0"/>
    </xf>
    <xf numFmtId="168" fontId="41" fillId="2" borderId="0" xfId="14" applyNumberFormat="1" applyFont="1" applyFill="1" applyAlignment="1">
      <alignment horizontal="left" vertical="center" indent="1"/>
    </xf>
    <xf numFmtId="0" fontId="41" fillId="2" borderId="0" xfId="0" applyFont="1" applyFill="1" applyAlignment="1">
      <alignment horizontal="center"/>
    </xf>
    <xf numFmtId="168" fontId="41" fillId="2" borderId="0" xfId="0" applyNumberFormat="1" applyFont="1" applyFill="1" applyAlignment="1">
      <alignment horizontal="center"/>
    </xf>
    <xf numFmtId="164" fontId="23" fillId="2" borderId="0" xfId="3" applyFont="1" applyFill="1" applyAlignment="1" applyProtection="1">
      <alignment horizontal="left" vertical="center" wrapText="1"/>
    </xf>
    <xf numFmtId="164" fontId="46" fillId="2" borderId="0" xfId="3" applyFont="1" applyFill="1" applyAlignment="1">
      <alignment horizontal="center" vertical="center"/>
    </xf>
    <xf numFmtId="164" fontId="6" fillId="2" borderId="0" xfId="3" applyFont="1" applyFill="1" applyBorder="1" applyAlignment="1" applyProtection="1">
      <alignment horizontal="center" vertical="center" wrapText="1"/>
    </xf>
    <xf numFmtId="164" fontId="111" fillId="2" borderId="0" xfId="3" applyFont="1" applyFill="1" applyBorder="1" applyAlignment="1">
      <alignment horizontal="center" vertical="center"/>
    </xf>
    <xf numFmtId="164" fontId="8" fillId="2" borderId="1" xfId="3" applyFont="1" applyFill="1" applyBorder="1" applyAlignment="1" applyProtection="1">
      <alignment horizontal="center" vertical="center"/>
    </xf>
    <xf numFmtId="164" fontId="46" fillId="2" borderId="2" xfId="3" applyFont="1" applyFill="1" applyBorder="1" applyAlignment="1">
      <alignment horizontal="center" vertical="center"/>
    </xf>
    <xf numFmtId="164" fontId="46" fillId="2" borderId="3" xfId="3" applyFont="1" applyFill="1" applyBorder="1" applyAlignment="1">
      <alignment horizontal="center" vertical="center"/>
    </xf>
    <xf numFmtId="164" fontId="8" fillId="2" borderId="4" xfId="3" applyFont="1" applyFill="1" applyBorder="1" applyAlignment="1">
      <alignment horizontal="center" vertical="center"/>
    </xf>
    <xf numFmtId="164" fontId="8" fillId="2" borderId="59" xfId="3" applyFont="1" applyFill="1" applyBorder="1" applyAlignment="1">
      <alignment horizontal="center" vertical="center"/>
    </xf>
    <xf numFmtId="164" fontId="46" fillId="2" borderId="21" xfId="3" applyFont="1" applyFill="1" applyBorder="1" applyAlignment="1">
      <alignment horizontal="center" vertical="center"/>
    </xf>
    <xf numFmtId="164" fontId="8" fillId="2" borderId="64" xfId="3" applyFont="1" applyFill="1" applyBorder="1" applyAlignment="1">
      <alignment horizontal="center" vertical="center"/>
    </xf>
    <xf numFmtId="164" fontId="26" fillId="2" borderId="0" xfId="3" applyFont="1" applyFill="1" applyAlignment="1" applyProtection="1">
      <alignment horizontal="left" vertical="top" wrapText="1"/>
    </xf>
    <xf numFmtId="164" fontId="25" fillId="2" borderId="0" xfId="3" applyFont="1" applyFill="1" applyAlignment="1" applyProtection="1">
      <alignment horizontal="right" vertical="top" wrapText="1"/>
    </xf>
    <xf numFmtId="164" fontId="26" fillId="2" borderId="0" xfId="3" applyFont="1" applyFill="1" applyAlignment="1" applyProtection="1">
      <alignment horizontal="right" vertical="top" wrapText="1"/>
    </xf>
    <xf numFmtId="164" fontId="11" fillId="2" borderId="2" xfId="3" applyFont="1" applyFill="1" applyBorder="1" applyAlignment="1" applyProtection="1">
      <alignment horizontal="left" vertical="center"/>
    </xf>
    <xf numFmtId="164" fontId="11" fillId="2" borderId="0" xfId="3" applyFont="1" applyFill="1" applyBorder="1" applyAlignment="1" applyProtection="1">
      <alignment horizontal="left" vertical="center"/>
    </xf>
    <xf numFmtId="164" fontId="11" fillId="2" borderId="1" xfId="3" applyFont="1" applyFill="1" applyBorder="1" applyAlignment="1" applyProtection="1">
      <alignment horizontal="left" vertical="center"/>
    </xf>
    <xf numFmtId="164" fontId="5" fillId="2" borderId="0" xfId="3" applyFont="1" applyFill="1" applyAlignment="1">
      <alignment horizontal="center" vertical="center"/>
    </xf>
    <xf numFmtId="164" fontId="21" fillId="2" borderId="0" xfId="3" applyFont="1" applyFill="1" applyBorder="1" applyAlignment="1" applyProtection="1">
      <alignment horizontal="center" vertical="center"/>
    </xf>
    <xf numFmtId="164" fontId="12" fillId="2" borderId="2" xfId="3" applyFont="1" applyFill="1" applyBorder="1" applyAlignment="1">
      <alignment horizontal="right" vertical="center"/>
    </xf>
    <xf numFmtId="164" fontId="12" fillId="2" borderId="0" xfId="3" applyFont="1" applyFill="1" applyBorder="1" applyAlignment="1">
      <alignment horizontal="right" vertical="center"/>
    </xf>
    <xf numFmtId="164" fontId="12" fillId="2" borderId="1" xfId="3" applyFont="1" applyFill="1" applyBorder="1" applyAlignment="1">
      <alignment horizontal="right" vertical="center"/>
    </xf>
    <xf numFmtId="164" fontId="12" fillId="2" borderId="8" xfId="3" applyFont="1" applyFill="1" applyBorder="1" applyAlignment="1">
      <alignment horizontal="center" vertical="center"/>
    </xf>
    <xf numFmtId="164" fontId="12" fillId="2" borderId="2" xfId="3" applyFont="1" applyFill="1" applyBorder="1" applyAlignment="1">
      <alignment horizontal="center" vertical="center"/>
    </xf>
    <xf numFmtId="164" fontId="8" fillId="2" borderId="10" xfId="3" applyFont="1" applyFill="1" applyBorder="1" applyAlignment="1">
      <alignment horizontal="center" vertical="center"/>
    </xf>
    <xf numFmtId="164" fontId="12" fillId="2" borderId="9" xfId="3" applyFont="1" applyFill="1" applyBorder="1" applyAlignment="1">
      <alignment horizontal="center" vertical="center"/>
    </xf>
    <xf numFmtId="164" fontId="8" fillId="2" borderId="0" xfId="3" applyFont="1" applyFill="1" applyBorder="1" applyAlignment="1">
      <alignment horizontal="center" vertical="center"/>
    </xf>
    <xf numFmtId="164" fontId="8" fillId="2" borderId="14" xfId="3" applyFont="1" applyFill="1" applyBorder="1" applyAlignment="1">
      <alignment horizontal="center" vertical="center"/>
    </xf>
    <xf numFmtId="164" fontId="8" fillId="2" borderId="63" xfId="3" applyFont="1" applyFill="1" applyBorder="1" applyAlignment="1">
      <alignment horizontal="center" vertical="center"/>
    </xf>
    <xf numFmtId="164" fontId="6" fillId="2" borderId="0" xfId="3" applyFont="1" applyFill="1" applyBorder="1" applyAlignment="1" applyProtection="1">
      <alignment horizontal="center" vertical="center"/>
    </xf>
    <xf numFmtId="164" fontId="12" fillId="2" borderId="0" xfId="3" applyFont="1" applyFill="1" applyBorder="1" applyAlignment="1">
      <alignment horizontal="center" vertical="center" wrapText="1"/>
    </xf>
    <xf numFmtId="164" fontId="11" fillId="2" borderId="0" xfId="3" applyFont="1" applyFill="1" applyBorder="1" applyAlignment="1" applyProtection="1">
      <alignment horizontal="center" vertical="center"/>
    </xf>
    <xf numFmtId="164" fontId="11" fillId="2" borderId="17" xfId="3" applyFont="1" applyFill="1" applyBorder="1" applyAlignment="1" applyProtection="1">
      <alignment horizontal="right" vertical="center"/>
    </xf>
    <xf numFmtId="164" fontId="34" fillId="2" borderId="17" xfId="3" applyFont="1" applyFill="1" applyBorder="1" applyAlignment="1" applyProtection="1">
      <alignment horizontal="left" vertical="center"/>
    </xf>
    <xf numFmtId="164" fontId="6" fillId="2" borderId="0" xfId="3" applyFont="1" applyFill="1" applyAlignment="1" applyProtection="1">
      <alignment horizontal="center" vertical="center"/>
    </xf>
    <xf numFmtId="164" fontId="112" fillId="2" borderId="0" xfId="3" applyFont="1" applyFill="1" applyAlignment="1">
      <alignment horizontal="center" vertical="center"/>
    </xf>
    <xf numFmtId="164" fontId="21" fillId="2" borderId="1" xfId="3" applyFont="1" applyFill="1" applyBorder="1" applyAlignment="1" applyProtection="1">
      <alignment horizontal="center" vertical="center"/>
    </xf>
    <xf numFmtId="164" fontId="110" fillId="2" borderId="2" xfId="3" applyFont="1" applyFill="1" applyBorder="1" applyAlignment="1">
      <alignment horizontal="center" vertical="center"/>
    </xf>
    <xf numFmtId="164" fontId="110" fillId="2" borderId="0" xfId="3" applyFont="1" applyFill="1" applyBorder="1" applyAlignment="1">
      <alignment horizontal="center" vertical="center"/>
    </xf>
    <xf numFmtId="164" fontId="110" fillId="2" borderId="6" xfId="3" applyFont="1" applyFill="1" applyBorder="1" applyAlignment="1">
      <alignment horizontal="center" vertical="center"/>
    </xf>
    <xf numFmtId="164" fontId="8" fillId="2" borderId="1" xfId="3" applyFont="1" applyFill="1" applyBorder="1" applyAlignment="1">
      <alignment horizontal="center" vertical="center"/>
    </xf>
    <xf numFmtId="164" fontId="8" fillId="2" borderId="7" xfId="3" applyFont="1" applyFill="1" applyBorder="1" applyAlignment="1">
      <alignment horizontal="center" vertical="center"/>
    </xf>
    <xf numFmtId="164" fontId="110" fillId="2" borderId="22" xfId="3" applyFont="1" applyFill="1" applyBorder="1" applyAlignment="1">
      <alignment horizontal="center" vertical="center"/>
    </xf>
    <xf numFmtId="164" fontId="8" fillId="2" borderId="23" xfId="3" applyFont="1" applyFill="1" applyBorder="1" applyAlignment="1">
      <alignment horizontal="center" vertical="center"/>
    </xf>
    <xf numFmtId="164" fontId="8" fillId="2" borderId="0" xfId="3" applyFont="1" applyFill="1" applyAlignment="1" applyProtection="1">
      <alignment horizontal="center" vertical="center"/>
    </xf>
    <xf numFmtId="164" fontId="46" fillId="2" borderId="0" xfId="3" applyFont="1" applyFill="1" applyAlignment="1">
      <alignment horizontal="center" vertical="center" wrapText="1"/>
    </xf>
    <xf numFmtId="164" fontId="11" fillId="2" borderId="1" xfId="3" applyFont="1" applyFill="1" applyBorder="1" applyAlignment="1" applyProtection="1">
      <alignment horizontal="center" vertical="center"/>
    </xf>
    <xf numFmtId="164" fontId="38" fillId="2" borderId="25" xfId="3" applyFont="1" applyFill="1" applyBorder="1" applyAlignment="1" applyProtection="1">
      <alignment horizontal="right" vertical="center" indent="2"/>
    </xf>
    <xf numFmtId="164" fontId="46" fillId="2" borderId="25" xfId="0" applyNumberFormat="1" applyFont="1" applyFill="1" applyBorder="1" applyAlignment="1">
      <alignment horizontal="left" vertical="center"/>
    </xf>
    <xf numFmtId="4" fontId="30" fillId="2" borderId="2" xfId="0" applyNumberFormat="1" applyFont="1" applyFill="1" applyBorder="1" applyAlignment="1">
      <alignment horizontal="left" vertical="center"/>
    </xf>
    <xf numFmtId="4" fontId="30" fillId="2" borderId="1" xfId="0" applyNumberFormat="1" applyFont="1" applyFill="1" applyBorder="1" applyAlignment="1">
      <alignment horizontal="left" vertical="center"/>
    </xf>
    <xf numFmtId="0" fontId="54" fillId="2" borderId="0" xfId="0" applyFont="1" applyFill="1" applyAlignment="1">
      <alignment horizontal="center" vertical="center"/>
    </xf>
    <xf numFmtId="4" fontId="55" fillId="2" borderId="0" xfId="0" applyNumberFormat="1" applyFont="1" applyFill="1" applyAlignment="1">
      <alignment horizontal="center"/>
    </xf>
    <xf numFmtId="0" fontId="53" fillId="2" borderId="0" xfId="0" applyFont="1" applyFill="1" applyAlignment="1">
      <alignment horizontal="center" vertical="center" wrapText="1"/>
    </xf>
    <xf numFmtId="0" fontId="38" fillId="2" borderId="0" xfId="0" applyFont="1" applyFill="1" applyAlignment="1" applyProtection="1">
      <alignment horizontal="center" vertical="center"/>
    </xf>
    <xf numFmtId="0" fontId="36" fillId="2" borderId="2" xfId="0" applyFont="1" applyFill="1" applyBorder="1" applyAlignment="1">
      <alignment horizontal="right" vertical="center"/>
    </xf>
    <xf numFmtId="0" fontId="36" fillId="2" borderId="1" xfId="0" applyFont="1" applyFill="1" applyBorder="1" applyAlignment="1">
      <alignment horizontal="right" vertical="center"/>
    </xf>
    <xf numFmtId="4" fontId="30" fillId="2" borderId="25" xfId="0" applyNumberFormat="1" applyFont="1" applyFill="1" applyBorder="1" applyAlignment="1">
      <alignment horizontal="center"/>
    </xf>
    <xf numFmtId="164" fontId="21" fillId="2" borderId="2" xfId="0" applyNumberFormat="1" applyFont="1" applyFill="1" applyBorder="1" applyAlignment="1">
      <alignment horizontal="left" vertical="center"/>
    </xf>
    <xf numFmtId="164" fontId="21" fillId="2" borderId="0" xfId="0" applyNumberFormat="1" applyFont="1" applyFill="1" applyBorder="1" applyAlignment="1">
      <alignment horizontal="left" vertical="center"/>
    </xf>
    <xf numFmtId="164" fontId="21" fillId="2" borderId="1" xfId="0" applyNumberFormat="1" applyFont="1" applyFill="1" applyBorder="1" applyAlignment="1">
      <alignment horizontal="left" vertical="center"/>
    </xf>
    <xf numFmtId="164" fontId="36" fillId="2" borderId="2" xfId="0" applyNumberFormat="1" applyFont="1" applyFill="1" applyBorder="1" applyAlignment="1">
      <alignment horizontal="right" vertical="center"/>
    </xf>
    <xf numFmtId="164" fontId="36" fillId="2" borderId="0" xfId="0" applyNumberFormat="1" applyFont="1" applyFill="1" applyBorder="1" applyAlignment="1">
      <alignment horizontal="right" vertical="center"/>
    </xf>
    <xf numFmtId="164" fontId="36" fillId="2" borderId="1" xfId="0" applyNumberFormat="1" applyFont="1" applyFill="1" applyBorder="1" applyAlignment="1">
      <alignment horizontal="right" vertical="center"/>
    </xf>
    <xf numFmtId="164" fontId="10" fillId="2" borderId="0" xfId="0" applyNumberFormat="1" applyFont="1" applyFill="1" applyAlignment="1">
      <alignment horizontal="center" vertical="center"/>
    </xf>
    <xf numFmtId="164" fontId="6" fillId="2" borderId="0" xfId="0" applyNumberFormat="1" applyFont="1" applyFill="1" applyAlignment="1">
      <alignment horizontal="center" vertical="top"/>
    </xf>
    <xf numFmtId="164" fontId="21" fillId="2" borderId="1" xfId="0" applyNumberFormat="1" applyFont="1" applyFill="1" applyBorder="1" applyAlignment="1">
      <alignment horizontal="center" vertical="center"/>
    </xf>
    <xf numFmtId="164" fontId="21" fillId="2" borderId="0" xfId="0" applyNumberFormat="1" applyFont="1" applyFill="1" applyBorder="1" applyAlignment="1">
      <alignment horizontal="center" vertical="center"/>
    </xf>
    <xf numFmtId="164" fontId="54" fillId="2" borderId="0" xfId="3" applyFont="1" applyFill="1" applyAlignment="1">
      <alignment horizontal="center" vertical="center"/>
    </xf>
    <xf numFmtId="164" fontId="8" fillId="2" borderId="0" xfId="3" applyFont="1" applyFill="1" applyBorder="1" applyAlignment="1" applyProtection="1">
      <alignment horizontal="center" vertical="center"/>
    </xf>
    <xf numFmtId="164" fontId="21" fillId="2" borderId="1" xfId="3" applyFont="1" applyFill="1" applyBorder="1" applyAlignment="1">
      <alignment horizontal="center" vertical="center"/>
    </xf>
    <xf numFmtId="164" fontId="21" fillId="2" borderId="0" xfId="3" applyFont="1" applyFill="1" applyBorder="1" applyAlignment="1">
      <alignment horizontal="center" vertical="center"/>
    </xf>
    <xf numFmtId="164" fontId="21" fillId="2" borderId="25" xfId="3" applyFont="1" applyFill="1" applyBorder="1" applyAlignment="1" applyProtection="1">
      <alignment horizontal="center" vertical="center"/>
    </xf>
    <xf numFmtId="164" fontId="62" fillId="2" borderId="2" xfId="3" applyFont="1" applyFill="1" applyBorder="1" applyAlignment="1">
      <alignment horizontal="right" vertical="center"/>
    </xf>
    <xf numFmtId="164" fontId="62" fillId="2" borderId="1" xfId="3" applyFont="1" applyFill="1" applyBorder="1" applyAlignment="1">
      <alignment horizontal="right" vertical="center"/>
    </xf>
    <xf numFmtId="164" fontId="64" fillId="2" borderId="0" xfId="3" applyFont="1" applyFill="1" applyAlignment="1">
      <alignment horizontal="center" vertical="center"/>
    </xf>
    <xf numFmtId="164" fontId="65" fillId="2" borderId="0" xfId="3" applyFont="1" applyFill="1" applyBorder="1" applyAlignment="1" applyProtection="1">
      <alignment horizontal="center" vertical="center"/>
    </xf>
    <xf numFmtId="164" fontId="21" fillId="2" borderId="2" xfId="3" applyFont="1" applyFill="1" applyBorder="1" applyAlignment="1" applyProtection="1">
      <alignment horizontal="center" vertical="center"/>
    </xf>
    <xf numFmtId="164" fontId="21" fillId="2" borderId="17" xfId="3" applyFont="1" applyFill="1" applyBorder="1" applyAlignment="1" applyProtection="1">
      <alignment horizontal="center" vertical="center"/>
    </xf>
    <xf numFmtId="164" fontId="21" fillId="2" borderId="29" xfId="3" applyFont="1" applyFill="1" applyBorder="1" applyAlignment="1" applyProtection="1">
      <alignment horizontal="center" vertical="center"/>
    </xf>
    <xf numFmtId="164" fontId="21" fillId="2" borderId="24" xfId="3" applyFont="1" applyFill="1" applyBorder="1" applyAlignment="1" applyProtection="1">
      <alignment horizontal="center" vertical="center"/>
    </xf>
    <xf numFmtId="164" fontId="64" fillId="2" borderId="0" xfId="0" applyNumberFormat="1" applyFont="1" applyFill="1" applyAlignment="1">
      <alignment horizontal="center" vertical="center"/>
    </xf>
    <xf numFmtId="0" fontId="3" fillId="2" borderId="1" xfId="0" applyNumberFormat="1" applyFont="1" applyFill="1" applyBorder="1" applyAlignment="1">
      <alignment horizontal="center" vertical="center"/>
    </xf>
    <xf numFmtId="0" fontId="3" fillId="2" borderId="2" xfId="0" applyNumberFormat="1" applyFont="1" applyFill="1" applyBorder="1" applyAlignment="1">
      <alignment horizontal="left" vertical="center"/>
    </xf>
    <xf numFmtId="0" fontId="3" fillId="2" borderId="1" xfId="0" applyNumberFormat="1" applyFont="1" applyFill="1" applyBorder="1" applyAlignment="1">
      <alignment horizontal="left" vertical="center"/>
    </xf>
    <xf numFmtId="0" fontId="3" fillId="2" borderId="25" xfId="0" applyNumberFormat="1" applyFont="1" applyFill="1" applyBorder="1" applyAlignment="1">
      <alignment horizontal="center" vertical="center" wrapText="1"/>
    </xf>
    <xf numFmtId="0" fontId="67" fillId="2" borderId="2" xfId="0" applyNumberFormat="1" applyFont="1" applyFill="1" applyBorder="1" applyAlignment="1">
      <alignment horizontal="right" vertical="center"/>
    </xf>
    <xf numFmtId="0" fontId="67" fillId="2" borderId="1" xfId="0" applyNumberFormat="1" applyFont="1" applyFill="1" applyBorder="1" applyAlignment="1">
      <alignment horizontal="right" vertical="center"/>
    </xf>
    <xf numFmtId="0" fontId="45" fillId="2" borderId="0" xfId="8" applyFont="1" applyFill="1" applyBorder="1" applyAlignment="1">
      <alignment horizontal="center" vertical="center"/>
    </xf>
    <xf numFmtId="0" fontId="70" fillId="2" borderId="0" xfId="9" applyNumberFormat="1" applyFont="1" applyFill="1" applyBorder="1" applyAlignment="1">
      <alignment horizontal="center" vertical="center"/>
    </xf>
    <xf numFmtId="0" fontId="71" fillId="2" borderId="0" xfId="9" applyNumberFormat="1" applyFont="1" applyFill="1" applyBorder="1" applyAlignment="1">
      <alignment horizontal="center" vertical="center"/>
    </xf>
    <xf numFmtId="0" fontId="72" fillId="2" borderId="0" xfId="9" applyNumberFormat="1" applyFont="1" applyFill="1" applyBorder="1" applyAlignment="1">
      <alignment horizontal="center" vertical="center"/>
    </xf>
    <xf numFmtId="0" fontId="72" fillId="2" borderId="0" xfId="9" applyNumberFormat="1" applyFont="1" applyFill="1" applyBorder="1" applyAlignment="1">
      <alignment horizontal="left" vertical="center"/>
    </xf>
    <xf numFmtId="0" fontId="71" fillId="2" borderId="0" xfId="9" applyNumberFormat="1" applyFont="1" applyFill="1" applyBorder="1" applyAlignment="1">
      <alignment horizontal="right" vertical="center"/>
    </xf>
    <xf numFmtId="0" fontId="110" fillId="2" borderId="31" xfId="8" applyFont="1" applyFill="1" applyBorder="1" applyAlignment="1">
      <alignment horizontal="center" vertical="center"/>
    </xf>
    <xf numFmtId="0" fontId="70" fillId="2" borderId="31" xfId="9" applyNumberFormat="1" applyFont="1" applyFill="1" applyBorder="1" applyAlignment="1">
      <alignment horizontal="center" vertical="center"/>
    </xf>
    <xf numFmtId="0" fontId="71" fillId="2" borderId="31" xfId="9" applyNumberFormat="1" applyFont="1" applyFill="1" applyBorder="1" applyAlignment="1">
      <alignment horizontal="center" vertical="center"/>
    </xf>
    <xf numFmtId="0" fontId="72" fillId="2" borderId="32" xfId="9" applyNumberFormat="1" applyFont="1" applyFill="1" applyBorder="1" applyAlignment="1">
      <alignment horizontal="center" vertical="center"/>
    </xf>
    <xf numFmtId="0" fontId="73" fillId="2" borderId="33" xfId="9" applyNumberFormat="1" applyFont="1" applyFill="1" applyBorder="1" applyAlignment="1">
      <alignment horizontal="left" vertical="center"/>
    </xf>
    <xf numFmtId="0" fontId="73" fillId="2" borderId="35" xfId="9" applyNumberFormat="1" applyFont="1" applyFill="1" applyBorder="1" applyAlignment="1">
      <alignment horizontal="left" vertical="center"/>
    </xf>
    <xf numFmtId="0" fontId="71" fillId="2" borderId="34" xfId="9" applyNumberFormat="1" applyFont="1" applyFill="1" applyBorder="1" applyAlignment="1">
      <alignment horizontal="right" vertical="center"/>
    </xf>
    <xf numFmtId="0" fontId="71" fillId="2" borderId="36" xfId="9" applyNumberFormat="1" applyFont="1" applyFill="1" applyBorder="1" applyAlignment="1">
      <alignment horizontal="right" vertical="center"/>
    </xf>
    <xf numFmtId="0" fontId="45" fillId="2" borderId="31" xfId="8" applyFont="1" applyFill="1" applyBorder="1" applyAlignment="1">
      <alignment horizontal="center" vertical="center"/>
    </xf>
    <xf numFmtId="0" fontId="77" fillId="2" borderId="31" xfId="9" applyNumberFormat="1" applyFont="1" applyFill="1" applyBorder="1" applyAlignment="1">
      <alignment horizontal="center" vertical="center"/>
    </xf>
    <xf numFmtId="0" fontId="74" fillId="2" borderId="31" xfId="9" applyNumberFormat="1" applyFont="1" applyFill="1" applyBorder="1" applyAlignment="1">
      <alignment horizontal="center" vertical="center"/>
    </xf>
    <xf numFmtId="0" fontId="72" fillId="2" borderId="33" xfId="9" applyNumberFormat="1" applyFont="1" applyFill="1" applyBorder="1" applyAlignment="1">
      <alignment horizontal="left" vertical="center"/>
    </xf>
    <xf numFmtId="0" fontId="72" fillId="2" borderId="35" xfId="9" applyNumberFormat="1" applyFont="1" applyFill="1" applyBorder="1" applyAlignment="1">
      <alignment horizontal="left" vertical="center"/>
    </xf>
    <xf numFmtId="0" fontId="110" fillId="2" borderId="40" xfId="8" applyFont="1" applyFill="1" applyBorder="1" applyAlignment="1">
      <alignment horizontal="center" vertical="center"/>
    </xf>
    <xf numFmtId="0" fontId="110" fillId="2" borderId="48" xfId="8" applyFont="1" applyFill="1" applyBorder="1" applyAlignment="1">
      <alignment horizontal="center" vertical="center"/>
    </xf>
    <xf numFmtId="0" fontId="110" fillId="2" borderId="39" xfId="8" applyFont="1" applyFill="1" applyBorder="1" applyAlignment="1">
      <alignment horizontal="center" vertical="center"/>
    </xf>
    <xf numFmtId="0" fontId="73" fillId="2" borderId="40" xfId="9" applyNumberFormat="1" applyFont="1" applyFill="1" applyBorder="1" applyAlignment="1">
      <alignment horizontal="center" vertical="center"/>
    </xf>
    <xf numFmtId="0" fontId="73" fillId="2" borderId="48" xfId="9" applyNumberFormat="1" applyFont="1" applyFill="1" applyBorder="1" applyAlignment="1">
      <alignment horizontal="center" vertical="center"/>
    </xf>
    <xf numFmtId="0" fontId="73" fillId="2" borderId="39" xfId="9" applyNumberFormat="1" applyFont="1" applyFill="1" applyBorder="1" applyAlignment="1">
      <alignment horizontal="center" vertical="center"/>
    </xf>
    <xf numFmtId="0" fontId="71" fillId="2" borderId="40" xfId="9" applyNumberFormat="1" applyFont="1" applyFill="1" applyBorder="1" applyAlignment="1">
      <alignment horizontal="center" vertical="center"/>
    </xf>
    <xf numFmtId="0" fontId="71" fillId="2" borderId="48" xfId="9" applyNumberFormat="1" applyFont="1" applyFill="1" applyBorder="1" applyAlignment="1">
      <alignment horizontal="center" vertical="center"/>
    </xf>
    <xf numFmtId="0" fontId="71" fillId="2" borderId="39" xfId="9" applyNumberFormat="1" applyFont="1" applyFill="1" applyBorder="1" applyAlignment="1">
      <alignment horizontal="center" vertical="center"/>
    </xf>
    <xf numFmtId="0" fontId="72" fillId="2" borderId="41" xfId="9" applyNumberFormat="1" applyFont="1" applyFill="1" applyBorder="1" applyAlignment="1">
      <alignment horizontal="center" vertical="center"/>
    </xf>
    <xf numFmtId="0" fontId="72" fillId="2" borderId="49" xfId="9" applyNumberFormat="1" applyFont="1" applyFill="1" applyBorder="1" applyAlignment="1">
      <alignment horizontal="center" vertical="center"/>
    </xf>
    <xf numFmtId="0" fontId="72" fillId="2" borderId="42" xfId="9" applyNumberFormat="1" applyFont="1" applyFill="1" applyBorder="1" applyAlignment="1">
      <alignment horizontal="center" vertical="center"/>
    </xf>
    <xf numFmtId="164" fontId="78" fillId="2" borderId="54" xfId="0" applyNumberFormat="1" applyFont="1" applyFill="1" applyBorder="1" applyAlignment="1">
      <alignment horizontal="center" vertical="center" wrapText="1"/>
    </xf>
    <xf numFmtId="164" fontId="78" fillId="2" borderId="55" xfId="0" applyNumberFormat="1" applyFont="1" applyFill="1" applyBorder="1" applyAlignment="1">
      <alignment horizontal="center" vertical="center" wrapText="1"/>
    </xf>
    <xf numFmtId="164" fontId="78" fillId="2" borderId="56" xfId="0" applyNumberFormat="1" applyFont="1" applyFill="1" applyBorder="1" applyAlignment="1">
      <alignment horizontal="center" vertical="center" wrapText="1"/>
    </xf>
    <xf numFmtId="164" fontId="78" fillId="2" borderId="0" xfId="0" applyNumberFormat="1" applyFont="1" applyFill="1" applyBorder="1" applyAlignment="1">
      <alignment horizontal="center" vertical="center" wrapText="1"/>
    </xf>
    <xf numFmtId="0" fontId="36" fillId="2" borderId="0" xfId="0" applyFont="1" applyFill="1" applyAlignment="1">
      <alignment horizontal="center" vertical="center"/>
    </xf>
    <xf numFmtId="164" fontId="36" fillId="2" borderId="0" xfId="0" applyNumberFormat="1" applyFont="1" applyFill="1" applyAlignment="1">
      <alignment horizontal="center" vertical="center"/>
    </xf>
    <xf numFmtId="0" fontId="3" fillId="2" borderId="25" xfId="0" applyNumberFormat="1" applyFont="1" applyFill="1" applyBorder="1" applyAlignment="1">
      <alignment horizontal="center" vertical="center"/>
    </xf>
    <xf numFmtId="0" fontId="56" fillId="2" borderId="0" xfId="0" applyNumberFormat="1" applyFont="1" applyFill="1" applyAlignment="1">
      <alignment horizontal="center"/>
    </xf>
    <xf numFmtId="0" fontId="38" fillId="2" borderId="2" xfId="0" applyNumberFormat="1" applyFont="1" applyFill="1" applyBorder="1" applyAlignment="1">
      <alignment horizontal="left" vertical="center" indent="2"/>
    </xf>
    <xf numFmtId="0" fontId="38" fillId="2" borderId="1" xfId="0" applyNumberFormat="1" applyFont="1" applyFill="1" applyBorder="1" applyAlignment="1">
      <alignment horizontal="left" vertical="center" indent="2"/>
    </xf>
    <xf numFmtId="0" fontId="80" fillId="2" borderId="2" xfId="0" applyNumberFormat="1" applyFont="1" applyFill="1" applyBorder="1" applyAlignment="1">
      <alignment horizontal="center" vertical="center"/>
    </xf>
    <xf numFmtId="0" fontId="80" fillId="2" borderId="1" xfId="0" applyNumberFormat="1" applyFont="1" applyFill="1" applyBorder="1" applyAlignment="1">
      <alignment horizontal="center" vertical="center"/>
    </xf>
    <xf numFmtId="0" fontId="78" fillId="2" borderId="2" xfId="10" applyNumberFormat="1" applyFont="1" applyFill="1" applyBorder="1" applyAlignment="1">
      <alignment horizontal="left" vertical="center"/>
    </xf>
    <xf numFmtId="0" fontId="78" fillId="2" borderId="1" xfId="10" applyNumberFormat="1" applyFont="1" applyFill="1" applyBorder="1" applyAlignment="1">
      <alignment horizontal="left" vertical="center"/>
    </xf>
    <xf numFmtId="0" fontId="78" fillId="2" borderId="57" xfId="10" applyNumberFormat="1" applyFont="1" applyFill="1" applyBorder="1" applyAlignment="1">
      <alignment horizontal="right" vertical="center"/>
    </xf>
    <xf numFmtId="0" fontId="93" fillId="2" borderId="57" xfId="10" applyNumberFormat="1" applyFont="1" applyFill="1" applyBorder="1" applyAlignment="1">
      <alignment horizontal="center" vertical="center"/>
    </xf>
    <xf numFmtId="0" fontId="80" fillId="2" borderId="0" xfId="10" applyNumberFormat="1" applyFont="1" applyFill="1" applyAlignment="1">
      <alignment horizontal="center" vertical="center"/>
    </xf>
    <xf numFmtId="0" fontId="65" fillId="2" borderId="0" xfId="10" applyNumberFormat="1" applyFont="1" applyFill="1" applyAlignment="1">
      <alignment horizontal="center" vertical="center"/>
    </xf>
    <xf numFmtId="0" fontId="92" fillId="2" borderId="0" xfId="10" applyNumberFormat="1" applyFont="1" applyFill="1" applyAlignment="1">
      <alignment horizontal="center" vertical="center"/>
    </xf>
    <xf numFmtId="0" fontId="80" fillId="2" borderId="2" xfId="10" applyNumberFormat="1" applyFont="1" applyFill="1" applyBorder="1" applyAlignment="1">
      <alignment horizontal="right" vertical="center"/>
    </xf>
    <xf numFmtId="0" fontId="80" fillId="2" borderId="1" xfId="10" applyNumberFormat="1" applyFont="1" applyFill="1" applyBorder="1" applyAlignment="1">
      <alignment horizontal="right" vertical="center"/>
    </xf>
    <xf numFmtId="0" fontId="59" fillId="2" borderId="2" xfId="12" applyNumberFormat="1" applyFont="1" applyFill="1" applyBorder="1" applyAlignment="1">
      <alignment horizontal="left" vertical="center" wrapText="1"/>
    </xf>
    <xf numFmtId="0" fontId="53" fillId="2" borderId="2" xfId="12" applyNumberFormat="1" applyFont="1" applyFill="1" applyBorder="1" applyAlignment="1">
      <alignment horizontal="right" vertical="center" wrapText="1"/>
    </xf>
    <xf numFmtId="0" fontId="71" fillId="2" borderId="0" xfId="12" applyNumberFormat="1" applyFont="1" applyFill="1" applyAlignment="1">
      <alignment horizontal="center" vertical="center"/>
    </xf>
    <xf numFmtId="0" fontId="73" fillId="2" borderId="0" xfId="12" applyNumberFormat="1" applyFont="1" applyFill="1" applyAlignment="1">
      <alignment horizontal="center" vertical="center"/>
    </xf>
    <xf numFmtId="0" fontId="73" fillId="2" borderId="2" xfId="12" applyNumberFormat="1" applyFont="1" applyFill="1" applyBorder="1" applyAlignment="1">
      <alignment horizontal="right" vertical="center"/>
    </xf>
    <xf numFmtId="0" fontId="73" fillId="2" borderId="0" xfId="12" applyNumberFormat="1" applyFont="1" applyFill="1" applyBorder="1" applyAlignment="1">
      <alignment horizontal="right" vertical="center"/>
    </xf>
    <xf numFmtId="0" fontId="73" fillId="2" borderId="57" xfId="12" applyNumberFormat="1" applyFont="1" applyFill="1" applyBorder="1" applyAlignment="1">
      <alignment horizontal="center" vertical="center"/>
    </xf>
    <xf numFmtId="0" fontId="71" fillId="2" borderId="57" xfId="12" applyNumberFormat="1" applyFont="1" applyFill="1" applyBorder="1" applyAlignment="1">
      <alignment horizontal="center" vertical="center"/>
    </xf>
    <xf numFmtId="0" fontId="71" fillId="2" borderId="2" xfId="12" applyNumberFormat="1" applyFont="1" applyFill="1" applyBorder="1" applyAlignment="1">
      <alignment horizontal="center" vertical="center"/>
    </xf>
    <xf numFmtId="0" fontId="71" fillId="2" borderId="0" xfId="12" applyNumberFormat="1" applyFont="1" applyFill="1" applyBorder="1" applyAlignment="1">
      <alignment horizontal="center" vertical="center"/>
    </xf>
    <xf numFmtId="0" fontId="101" fillId="2" borderId="0" xfId="13" applyNumberFormat="1" applyFont="1" applyFill="1" applyAlignment="1">
      <alignment horizontal="center" vertical="center"/>
    </xf>
    <xf numFmtId="0" fontId="73" fillId="2" borderId="0" xfId="13" applyNumberFormat="1" applyFont="1" applyFill="1" applyAlignment="1">
      <alignment horizontal="center" vertical="center"/>
    </xf>
    <xf numFmtId="0" fontId="71" fillId="2" borderId="0" xfId="13" applyNumberFormat="1" applyFont="1" applyFill="1" applyAlignment="1">
      <alignment horizontal="center" vertical="center"/>
    </xf>
    <xf numFmtId="0" fontId="71" fillId="2" borderId="2" xfId="13" applyNumberFormat="1" applyFont="1" applyFill="1" applyBorder="1" applyAlignment="1">
      <alignment horizontal="center" vertical="center"/>
    </xf>
    <xf numFmtId="0" fontId="71" fillId="2" borderId="0" xfId="13" applyNumberFormat="1" applyFont="1" applyFill="1" applyBorder="1" applyAlignment="1">
      <alignment horizontal="center" vertical="center"/>
    </xf>
    <xf numFmtId="3" fontId="17" fillId="2" borderId="6" xfId="3" applyNumberFormat="1" applyFont="1" applyFill="1" applyBorder="1" applyAlignment="1" applyProtection="1">
      <alignment horizontal="right" vertical="center"/>
    </xf>
    <xf numFmtId="3" fontId="17" fillId="2" borderId="7" xfId="3" applyNumberFormat="1" applyFont="1" applyFill="1" applyBorder="1" applyAlignment="1" applyProtection="1">
      <alignment horizontal="right" vertical="center"/>
    </xf>
  </cellXfs>
  <cellStyles count="15">
    <cellStyle name="1" xfId="14"/>
    <cellStyle name="Comma" xfId="1" builtinId="3"/>
    <cellStyle name="Comma 2" xfId="4"/>
    <cellStyle name="Comma_agri planning 2009 year book(final)" xfId="11"/>
    <cellStyle name="Comma_Fish &amp;  Agri - 8" xfId="6"/>
    <cellStyle name="Normal" xfId="0" builtinId="0"/>
    <cellStyle name="Normal 2_agri planning 2009 year book(final)" xfId="10"/>
    <cellStyle name="Normal 3_agri planning 2009 year book(final)" xfId="13"/>
    <cellStyle name="Normal 4_agri planning 2009 year book(final)" xfId="12"/>
    <cellStyle name="Normal_3 Population." xfId="7"/>
    <cellStyle name="Normal_9.3fig9.1" xfId="5"/>
    <cellStyle name="Normal_agri planning 2009 year book(final)" xfId="9"/>
    <cellStyle name="Normal_Fish &amp;  Agri - 8" xfId="3"/>
    <cellStyle name="Normal_mmifco" xfId="8"/>
    <cellStyle name="Percent" xfId="2" builtinId="5"/>
  </cellStyles>
  <dxfs count="0"/>
  <tableStyles count="0" defaultTableStyle="TableStyleMedium2" defaultPivotStyle="PivotStyleLight16"/>
  <colors>
    <mruColors>
      <color rgb="FF249390"/>
      <color rgb="FF33CCCC"/>
      <color rgb="FFEAFAFA"/>
      <color rgb="FFFF9900"/>
      <color rgb="FF196563"/>
      <color rgb="FF00FFCC"/>
      <color rgb="FFC89058"/>
      <color rgb="FF7E542A"/>
      <color rgb="FFD3A77B"/>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333964248"/>
        <c:axId val="333965032"/>
      </c:barChart>
      <c:catAx>
        <c:axId val="333964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032"/>
        <c:crosses val="autoZero"/>
        <c:auto val="1"/>
        <c:lblAlgn val="ctr"/>
        <c:lblOffset val="100"/>
        <c:tickLblSkip val="1"/>
        <c:tickMarkSkip val="1"/>
        <c:noMultiLvlLbl val="0"/>
      </c:catAx>
      <c:valAx>
        <c:axId val="3339650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42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333960720"/>
        <c:axId val="333961504"/>
      </c:barChart>
      <c:catAx>
        <c:axId val="333960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1504"/>
        <c:crosses val="autoZero"/>
        <c:auto val="1"/>
        <c:lblAlgn val="ctr"/>
        <c:lblOffset val="100"/>
        <c:tickLblSkip val="1"/>
        <c:tickMarkSkip val="1"/>
        <c:noMultiLvlLbl val="0"/>
      </c:catAx>
      <c:valAx>
        <c:axId val="33396150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072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333963464"/>
        <c:axId val="333963072"/>
      </c:barChart>
      <c:catAx>
        <c:axId val="333963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072"/>
        <c:crosses val="autoZero"/>
        <c:auto val="1"/>
        <c:lblAlgn val="ctr"/>
        <c:lblOffset val="100"/>
        <c:tickLblSkip val="1"/>
        <c:tickMarkSkip val="1"/>
        <c:noMultiLvlLbl val="0"/>
      </c:catAx>
      <c:valAx>
        <c:axId val="3339630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46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333962288"/>
        <c:axId val="333962680"/>
      </c:barChart>
      <c:catAx>
        <c:axId val="333962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680"/>
        <c:crosses val="autoZero"/>
        <c:auto val="1"/>
        <c:lblAlgn val="ctr"/>
        <c:lblOffset val="100"/>
        <c:tickLblSkip val="1"/>
        <c:tickMarkSkip val="1"/>
        <c:noMultiLvlLbl val="0"/>
      </c:catAx>
      <c:valAx>
        <c:axId val="3339626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28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333965816"/>
        <c:axId val="333959544"/>
      </c:barChart>
      <c:catAx>
        <c:axId val="3339658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59544"/>
        <c:crosses val="autoZero"/>
        <c:auto val="1"/>
        <c:lblAlgn val="ctr"/>
        <c:lblOffset val="100"/>
        <c:tickLblSkip val="1"/>
        <c:tickMarkSkip val="1"/>
        <c:noMultiLvlLbl val="0"/>
      </c:catAx>
      <c:valAx>
        <c:axId val="3339595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81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138720128"/>
        <c:axId val="138721696"/>
      </c:barChart>
      <c:catAx>
        <c:axId val="1387201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696"/>
        <c:crosses val="autoZero"/>
        <c:auto val="1"/>
        <c:lblAlgn val="ctr"/>
        <c:lblOffset val="100"/>
        <c:tickLblSkip val="1"/>
        <c:tickMarkSkip val="1"/>
        <c:noMultiLvlLbl val="0"/>
      </c:catAx>
      <c:valAx>
        <c:axId val="13872169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01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138721304"/>
        <c:axId val="138718560"/>
      </c:barChart>
      <c:catAx>
        <c:axId val="138721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18560"/>
        <c:crosses val="autoZero"/>
        <c:auto val="1"/>
        <c:lblAlgn val="ctr"/>
        <c:lblOffset val="100"/>
        <c:tickLblSkip val="1"/>
        <c:tickMarkSkip val="1"/>
        <c:noMultiLvlLbl val="0"/>
      </c:catAx>
      <c:valAx>
        <c:axId val="13871856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421363136"/>
        <c:axId val="421365880"/>
      </c:barChart>
      <c:catAx>
        <c:axId val="4213631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5880"/>
        <c:crosses val="autoZero"/>
        <c:auto val="1"/>
        <c:lblAlgn val="ctr"/>
        <c:lblOffset val="100"/>
        <c:tickLblSkip val="1"/>
        <c:tickMarkSkip val="1"/>
        <c:noMultiLvlLbl val="0"/>
      </c:catAx>
      <c:valAx>
        <c:axId val="4213658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313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4"/>
    </mc:Choice>
    <mc:Fallback>
      <c:style val="14"/>
    </mc:Fallback>
  </mc:AlternateContent>
  <c:chart>
    <c:title>
      <c:tx>
        <c:rich>
          <a:bodyPr/>
          <a:lstStyle/>
          <a:p>
            <a:pPr>
              <a:defRPr sz="1200">
                <a:latin typeface="Consolas" pitchFamily="49" charset="0"/>
                <a:cs typeface="Consolas" pitchFamily="49" charset="0"/>
              </a:defRPr>
            </a:pPr>
            <a:r>
              <a:rPr lang="en-US" sz="1200">
                <a:latin typeface="Consolas" pitchFamily="49" charset="0"/>
                <a:cs typeface="Consolas" pitchFamily="49" charset="0"/>
              </a:rPr>
              <a:t>Figure 9.1: Fish catch by type of species, 2018</a:t>
            </a:r>
          </a:p>
        </c:rich>
      </c:tx>
      <c:overlay val="0"/>
    </c:title>
    <c:autoTitleDeleted val="0"/>
    <c:plotArea>
      <c:layout>
        <c:manualLayout>
          <c:layoutTarget val="inner"/>
          <c:xMode val="edge"/>
          <c:yMode val="edge"/>
          <c:x val="0.33250143702302482"/>
          <c:y val="0.11905520023389325"/>
          <c:w val="0.35284290332168189"/>
          <c:h val="0.81968795837295372"/>
        </c:manualLayout>
      </c:layout>
      <c:doughnutChart>
        <c:varyColors val="1"/>
        <c:ser>
          <c:idx val="0"/>
          <c:order val="0"/>
          <c:spPr>
            <a:ln>
              <a:noFill/>
            </a:ln>
          </c:spPr>
          <c:explosion val="3"/>
          <c:dPt>
            <c:idx val="0"/>
            <c:bubble3D val="0"/>
            <c:spPr>
              <a:solidFill>
                <a:schemeClr val="accent4">
                  <a:lumMod val="50000"/>
                </a:schemeClr>
              </a:solidFill>
              <a:ln>
                <a:noFill/>
              </a:ln>
            </c:spPr>
            <c:extLst>
              <c:ext xmlns:c16="http://schemas.microsoft.com/office/drawing/2014/chart" uri="{C3380CC4-5D6E-409C-BE32-E72D297353CC}">
                <c16:uniqueId val="{00000001-5752-4037-819A-1FE512A9D0A8}"/>
              </c:ext>
            </c:extLst>
          </c:dPt>
          <c:dPt>
            <c:idx val="1"/>
            <c:bubble3D val="0"/>
            <c:spPr>
              <a:solidFill>
                <a:schemeClr val="accent4">
                  <a:lumMod val="75000"/>
                </a:schemeClr>
              </a:solidFill>
              <a:ln>
                <a:noFill/>
              </a:ln>
            </c:spPr>
            <c:extLst>
              <c:ext xmlns:c16="http://schemas.microsoft.com/office/drawing/2014/chart" uri="{C3380CC4-5D6E-409C-BE32-E72D297353CC}">
                <c16:uniqueId val="{00000003-5752-4037-819A-1FE512A9D0A8}"/>
              </c:ext>
            </c:extLst>
          </c:dPt>
          <c:dPt>
            <c:idx val="2"/>
            <c:bubble3D val="0"/>
            <c:spPr>
              <a:solidFill>
                <a:schemeClr val="bg1">
                  <a:lumMod val="50000"/>
                </a:schemeClr>
              </a:solidFill>
              <a:ln>
                <a:noFill/>
              </a:ln>
            </c:spPr>
            <c:extLst>
              <c:ext xmlns:c16="http://schemas.microsoft.com/office/drawing/2014/chart" uri="{C3380CC4-5D6E-409C-BE32-E72D297353CC}">
                <c16:uniqueId val="{00000005-5752-4037-819A-1FE512A9D0A8}"/>
              </c:ext>
            </c:extLst>
          </c:dPt>
          <c:dPt>
            <c:idx val="7"/>
            <c:bubble3D val="0"/>
            <c:spPr>
              <a:solidFill>
                <a:schemeClr val="accent4">
                  <a:lumMod val="60000"/>
                  <a:lumOff val="40000"/>
                </a:schemeClr>
              </a:solidFill>
              <a:ln>
                <a:noFill/>
              </a:ln>
            </c:spPr>
            <c:extLst>
              <c:ext xmlns:c16="http://schemas.microsoft.com/office/drawing/2014/chart" uri="{C3380CC4-5D6E-409C-BE32-E72D297353CC}">
                <c16:uniqueId val="{00000007-5752-4037-819A-1FE512A9D0A8}"/>
              </c:ext>
            </c:extLst>
          </c:dPt>
          <c:dLbls>
            <c:dLbl>
              <c:idx val="2"/>
              <c:layout>
                <c:manualLayout>
                  <c:x val="8.8136522458998307E-2"/>
                  <c:y val="-5.11874020083691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752-4037-819A-1FE512A9D0A8}"/>
                </c:ext>
              </c:extLst>
            </c:dLbl>
            <c:dLbl>
              <c:idx val="3"/>
              <c:delete val="1"/>
              <c:extLst>
                <c:ext xmlns:c15="http://schemas.microsoft.com/office/drawing/2012/chart" uri="{CE6537A1-D6FC-4f65-9D91-7224C49458BB}"/>
                <c:ext xmlns:c16="http://schemas.microsoft.com/office/drawing/2014/chart" uri="{C3380CC4-5D6E-409C-BE32-E72D297353CC}">
                  <c16:uniqueId val="{0000000B-637E-485A-A26F-B90CE8591F30}"/>
                </c:ext>
              </c:extLst>
            </c:dLbl>
            <c:dLbl>
              <c:idx val="4"/>
              <c:delete val="1"/>
              <c:extLst>
                <c:ext xmlns:c15="http://schemas.microsoft.com/office/drawing/2012/chart" uri="{CE6537A1-D6FC-4f65-9D91-7224C49458BB}"/>
                <c:ext xmlns:c16="http://schemas.microsoft.com/office/drawing/2014/chart" uri="{C3380CC4-5D6E-409C-BE32-E72D297353CC}">
                  <c16:uniqueId val="{00000008-637E-485A-A26F-B90CE8591F30}"/>
                </c:ext>
              </c:extLst>
            </c:dLbl>
            <c:dLbl>
              <c:idx val="5"/>
              <c:delete val="1"/>
              <c:extLst>
                <c:ext xmlns:c15="http://schemas.microsoft.com/office/drawing/2012/chart" uri="{CE6537A1-D6FC-4f65-9D91-7224C49458BB}"/>
                <c:ext xmlns:c16="http://schemas.microsoft.com/office/drawing/2014/chart" uri="{C3380CC4-5D6E-409C-BE32-E72D297353CC}">
                  <c16:uniqueId val="{00000009-637E-485A-A26F-B90CE8591F30}"/>
                </c:ext>
              </c:extLst>
            </c:dLbl>
            <c:dLbl>
              <c:idx val="6"/>
              <c:delete val="1"/>
              <c:extLst>
                <c:ext xmlns:c15="http://schemas.microsoft.com/office/drawing/2012/chart" uri="{CE6537A1-D6FC-4f65-9D91-7224C49458BB}"/>
                <c:ext xmlns:c16="http://schemas.microsoft.com/office/drawing/2014/chart" uri="{C3380CC4-5D6E-409C-BE32-E72D297353CC}">
                  <c16:uniqueId val="{0000000A-637E-485A-A26F-B90CE8591F30}"/>
                </c:ext>
              </c:extLst>
            </c:dLbl>
            <c:dLbl>
              <c:idx val="7"/>
              <c:layout>
                <c:manualLayout>
                  <c:x val="0.1152554524463824"/>
                  <c:y val="1.57499698487289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752-4037-819A-1FE512A9D0A8}"/>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'9.3'!$D$44:$K$44</c:f>
              <c:strCache>
                <c:ptCount val="8"/>
                <c:pt idx="0">
                  <c:v>Skipjack tuna</c:v>
                </c:pt>
                <c:pt idx="1">
                  <c:v>Yellowfin tuna</c:v>
                </c:pt>
                <c:pt idx="2">
                  <c:v>Big eye tuna</c:v>
                </c:pt>
                <c:pt idx="3">
                  <c:v>Albacore tuna</c:v>
                </c:pt>
                <c:pt idx="4">
                  <c:v>Dogtooth tuna</c:v>
                </c:pt>
                <c:pt idx="5">
                  <c:v>   Little tuna</c:v>
                </c:pt>
                <c:pt idx="6">
                  <c:v>Frigate tuna</c:v>
                </c:pt>
                <c:pt idx="7">
                  <c:v>Other marine fish</c:v>
                </c:pt>
              </c:strCache>
            </c:strRef>
          </c:cat>
          <c:val>
            <c:numRef>
              <c:f>'9.3'!$D$45:$K$45</c:f>
              <c:numCache>
                <c:formatCode>#,##0_);[Red]\(#,##0\)</c:formatCode>
                <c:ptCount val="8"/>
                <c:pt idx="0">
                  <c:v>88019.666239199199</c:v>
                </c:pt>
                <c:pt idx="1">
                  <c:v>44423.897166028532</c:v>
                </c:pt>
                <c:pt idx="2">
                  <c:v>395.98115232852706</c:v>
                </c:pt>
                <c:pt idx="3">
                  <c:v>4.1649999999999991</c:v>
                </c:pt>
                <c:pt idx="4">
                  <c:v>3.3175771206069244</c:v>
                </c:pt>
                <c:pt idx="5">
                  <c:v>45.756334734952446</c:v>
                </c:pt>
                <c:pt idx="6">
                  <c:v>132.90904725091949</c:v>
                </c:pt>
                <c:pt idx="7">
                  <c:v>2043.2330535248925</c:v>
                </c:pt>
              </c:numCache>
            </c:numRef>
          </c:val>
          <c:extLst>
            <c:ext xmlns:c16="http://schemas.microsoft.com/office/drawing/2014/chart" uri="{C3380CC4-5D6E-409C-BE32-E72D297353CC}">
              <c16:uniqueId val="{00000008-5752-4037-819A-1FE512A9D0A8}"/>
            </c:ext>
          </c:extLst>
        </c:ser>
        <c:dLbls>
          <c:showLegendKey val="0"/>
          <c:showVal val="0"/>
          <c:showCatName val="1"/>
          <c:showSerName val="0"/>
          <c:showPercent val="1"/>
          <c:showBubbleSize val="0"/>
          <c:showLeaderLines val="0"/>
        </c:dLbls>
        <c:firstSliceAng val="88"/>
        <c:holeSize val="41"/>
      </c:doughnutChart>
    </c:plotArea>
    <c:plotVisOnly val="1"/>
    <c:dispBlanksAs val="zero"/>
    <c:showDLblsOverMax val="0"/>
  </c:chart>
  <c:printSettings>
    <c:headerFooter/>
    <c:pageMargins b="0.75000000000000144" l="0.70000000000000062" r="0.70000000000000062" t="0.75000000000000144" header="0.30000000000000032" footer="0.30000000000000032"/>
    <c:pageSetup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2"/>
    </mc:Choice>
    <mc:Fallback>
      <c:style val="22"/>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9.2: Fish catch by Atoll, 2018</a:t>
            </a:r>
          </a:p>
        </c:rich>
      </c:tx>
      <c:layout>
        <c:manualLayout>
          <c:xMode val="edge"/>
          <c:yMode val="edge"/>
          <c:x val="0.28172882133048877"/>
          <c:y val="3.8938262011439698E-2"/>
        </c:manualLayout>
      </c:layout>
      <c:overlay val="0"/>
    </c:title>
    <c:autoTitleDeleted val="0"/>
    <c:plotArea>
      <c:layout>
        <c:manualLayout>
          <c:layoutTarget val="inner"/>
          <c:xMode val="edge"/>
          <c:yMode val="edge"/>
          <c:x val="8.8930302207521864E-2"/>
          <c:y val="0.18082264349840874"/>
          <c:w val="0.88642575634158582"/>
          <c:h val="0.71430060936324247"/>
        </c:manualLayout>
      </c:layout>
      <c:barChart>
        <c:barDir val="col"/>
        <c:grouping val="clustered"/>
        <c:varyColors val="0"/>
        <c:ser>
          <c:idx val="0"/>
          <c:order val="0"/>
          <c:spPr>
            <a:solidFill>
              <a:schemeClr val="accent4">
                <a:lumMod val="75000"/>
              </a:schemeClr>
            </a:solidFill>
          </c:spPr>
          <c:invertIfNegative val="0"/>
          <c:cat>
            <c:strRef>
              <c:f>'9.3'!$A$49:$A$68</c:f>
              <c:strCache>
                <c:ptCount val="20"/>
                <c:pt idx="0">
                  <c:v> HA</c:v>
                </c:pt>
                <c:pt idx="1">
                  <c:v> HDh</c:v>
                </c:pt>
                <c:pt idx="2">
                  <c:v> Sh</c:v>
                </c:pt>
                <c:pt idx="3">
                  <c:v> N</c:v>
                </c:pt>
                <c:pt idx="4">
                  <c:v> R</c:v>
                </c:pt>
                <c:pt idx="5">
                  <c:v>B</c:v>
                </c:pt>
                <c:pt idx="6">
                  <c:v>Lh</c:v>
                </c:pt>
                <c:pt idx="7">
                  <c:v>K</c:v>
                </c:pt>
                <c:pt idx="8">
                  <c:v>AA</c:v>
                </c:pt>
                <c:pt idx="9">
                  <c:v>ADh</c:v>
                </c:pt>
                <c:pt idx="10">
                  <c:v>V</c:v>
                </c:pt>
                <c:pt idx="11">
                  <c:v>M</c:v>
                </c:pt>
                <c:pt idx="12">
                  <c:v>F</c:v>
                </c:pt>
                <c:pt idx="13">
                  <c:v>Dh</c:v>
                </c:pt>
                <c:pt idx="14">
                  <c:v>Th</c:v>
                </c:pt>
                <c:pt idx="15">
                  <c:v> L</c:v>
                </c:pt>
                <c:pt idx="16">
                  <c:v>GA</c:v>
                </c:pt>
                <c:pt idx="17">
                  <c:v>GDh</c:v>
                </c:pt>
                <c:pt idx="18">
                  <c:v>Gn</c:v>
                </c:pt>
                <c:pt idx="19">
                  <c:v>S</c:v>
                </c:pt>
              </c:strCache>
            </c:strRef>
          </c:cat>
          <c:val>
            <c:numRef>
              <c:f>'9.3'!$B$49:$B$68</c:f>
              <c:numCache>
                <c:formatCode>#,##0_);[Red]\(#,##0\)</c:formatCode>
                <c:ptCount val="20"/>
                <c:pt idx="0">
                  <c:v>4820.649337796397</c:v>
                </c:pt>
                <c:pt idx="1">
                  <c:v>2061.359250263466</c:v>
                </c:pt>
                <c:pt idx="2">
                  <c:v>3194.6032976825468</c:v>
                </c:pt>
                <c:pt idx="3">
                  <c:v>3699.9022280220215</c:v>
                </c:pt>
                <c:pt idx="4">
                  <c:v>6474.1999351819668</c:v>
                </c:pt>
                <c:pt idx="5">
                  <c:v>1655.162966646096</c:v>
                </c:pt>
                <c:pt idx="6">
                  <c:v>4554.6509441370617</c:v>
                </c:pt>
                <c:pt idx="7">
                  <c:v>4040.3289710183303</c:v>
                </c:pt>
                <c:pt idx="8">
                  <c:v>2836.170164942137</c:v>
                </c:pt>
                <c:pt idx="9">
                  <c:v>3008.043363969608</c:v>
                </c:pt>
                <c:pt idx="10">
                  <c:v>256.77748611255839</c:v>
                </c:pt>
                <c:pt idx="11">
                  <c:v>3660.9335097969497</c:v>
                </c:pt>
                <c:pt idx="12">
                  <c:v>2658.2474096926744</c:v>
                </c:pt>
                <c:pt idx="13">
                  <c:v>9900.4574381934053</c:v>
                </c:pt>
                <c:pt idx="14">
                  <c:v>7198.9792228439528</c:v>
                </c:pt>
                <c:pt idx="15">
                  <c:v>9774.0388693018449</c:v>
                </c:pt>
                <c:pt idx="16">
                  <c:v>18765.171841803913</c:v>
                </c:pt>
                <c:pt idx="17">
                  <c:v>12213.62420039364</c:v>
                </c:pt>
                <c:pt idx="18">
                  <c:v>2516.2397100822591</c:v>
                </c:pt>
                <c:pt idx="19">
                  <c:v>7177.1723608534785</c:v>
                </c:pt>
              </c:numCache>
            </c:numRef>
          </c:val>
          <c:extLst>
            <c:ext xmlns:c16="http://schemas.microsoft.com/office/drawing/2014/chart" uri="{C3380CC4-5D6E-409C-BE32-E72D297353CC}">
              <c16:uniqueId val="{00000000-33A2-4FA7-A80F-60118556A19C}"/>
            </c:ext>
          </c:extLst>
        </c:ser>
        <c:dLbls>
          <c:showLegendKey val="0"/>
          <c:showVal val="0"/>
          <c:showCatName val="0"/>
          <c:showSerName val="0"/>
          <c:showPercent val="0"/>
          <c:showBubbleSize val="0"/>
        </c:dLbls>
        <c:gapWidth val="42"/>
        <c:axId val="421367840"/>
        <c:axId val="421366664"/>
      </c:barChart>
      <c:catAx>
        <c:axId val="421367840"/>
        <c:scaling>
          <c:orientation val="minMax"/>
        </c:scaling>
        <c:delete val="0"/>
        <c:axPos val="b"/>
        <c:numFmt formatCode="General" sourceLinked="1"/>
        <c:majorTickMark val="none"/>
        <c:minorTickMark val="none"/>
        <c:tickLblPos val="nextTo"/>
        <c:txPr>
          <a:bodyPr rot="0" vert="horz"/>
          <a:lstStyle/>
          <a:p>
            <a:pPr>
              <a:defRPr/>
            </a:pPr>
            <a:endParaRPr lang="en-US"/>
          </a:p>
        </c:txPr>
        <c:crossAx val="421366664"/>
        <c:crosses val="autoZero"/>
        <c:auto val="1"/>
        <c:lblAlgn val="ctr"/>
        <c:lblOffset val="100"/>
        <c:noMultiLvlLbl val="0"/>
      </c:catAx>
      <c:valAx>
        <c:axId val="421366664"/>
        <c:scaling>
          <c:orientation val="minMax"/>
          <c:max val="26000"/>
          <c:min val="0"/>
        </c:scaling>
        <c:delete val="0"/>
        <c:axPos val="l"/>
        <c:majorGridlines>
          <c:spPr>
            <a:ln>
              <a:noFill/>
            </a:ln>
          </c:spPr>
        </c:majorGridlines>
        <c:title>
          <c:tx>
            <c:rich>
              <a:bodyPr rot="0" vert="horz"/>
              <a:lstStyle/>
              <a:p>
                <a:pPr>
                  <a:defRPr/>
                </a:pPr>
                <a:r>
                  <a:rPr lang="en-US"/>
                  <a:t>in metric ton</a:t>
                </a:r>
              </a:p>
            </c:rich>
          </c:tx>
          <c:layout>
            <c:manualLayout>
              <c:xMode val="edge"/>
              <c:yMode val="edge"/>
              <c:x val="1.005533324727852E-2"/>
              <c:y val="6.680942109959033E-2"/>
            </c:manualLayout>
          </c:layout>
          <c:overlay val="0"/>
        </c:title>
        <c:numFmt formatCode="#,##0" sourceLinked="0"/>
        <c:majorTickMark val="out"/>
        <c:minorTickMark val="none"/>
        <c:tickLblPos val="nextTo"/>
        <c:txPr>
          <a:bodyPr rot="0" vert="horz"/>
          <a:lstStyle/>
          <a:p>
            <a:pPr>
              <a:defRPr/>
            </a:pPr>
            <a:endParaRPr lang="en-US"/>
          </a:p>
        </c:txPr>
        <c:crossAx val="421367840"/>
        <c:crosses val="autoZero"/>
        <c:crossBetween val="between"/>
        <c:majorUnit val="2000"/>
      </c:valAx>
      <c:spPr>
        <a:ln>
          <a:solidFill>
            <a:schemeClr val="bg1">
              <a:lumMod val="75000"/>
            </a:schemeClr>
          </a:solidFill>
        </a:ln>
      </c:spPr>
    </c:plotArea>
    <c:plotVisOnly val="1"/>
    <c:dispBlanksAs val="gap"/>
    <c:showDLblsOverMax val="0"/>
  </c:chart>
  <c:printSettings>
    <c:headerFooter/>
    <c:pageMargins b="0.75000000000000122" l="0.70000000000000062" r="0.70000000000000062" t="0.75000000000000122" header="0.30000000000000032" footer="0.30000000000000032"/>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4"/>
    </mc:Choice>
    <mc:Fallback>
      <c:style val="14"/>
    </mc:Fallback>
  </mc:AlternateContent>
  <c:chart>
    <c:title>
      <c:tx>
        <c:rich>
          <a:bodyPr/>
          <a:lstStyle/>
          <a:p>
            <a:pPr>
              <a:defRPr sz="1200">
                <a:latin typeface="Consolas" pitchFamily="49" charset="0"/>
                <a:cs typeface="Consolas" pitchFamily="49" charset="0"/>
              </a:defRPr>
            </a:pPr>
            <a:r>
              <a:rPr lang="en-US" sz="1200">
                <a:latin typeface="Consolas" pitchFamily="49" charset="0"/>
                <a:cs typeface="Consolas" pitchFamily="49" charset="0"/>
              </a:rPr>
              <a:t>Figure 9.1: Fish catch by type of species, 2020</a:t>
            </a:r>
          </a:p>
        </c:rich>
      </c:tx>
      <c:overlay val="0"/>
    </c:title>
    <c:autoTitleDeleted val="0"/>
    <c:plotArea>
      <c:layout>
        <c:manualLayout>
          <c:layoutTarget val="inner"/>
          <c:xMode val="edge"/>
          <c:yMode val="edge"/>
          <c:x val="0.33250143702302482"/>
          <c:y val="0.11905520023389325"/>
          <c:w val="0.35284290332168189"/>
          <c:h val="0.81968795837295372"/>
        </c:manualLayout>
      </c:layout>
      <c:doughnutChart>
        <c:varyColors val="1"/>
        <c:ser>
          <c:idx val="0"/>
          <c:order val="0"/>
          <c:explosion val="3"/>
          <c:dPt>
            <c:idx val="0"/>
            <c:bubble3D val="0"/>
            <c:spPr>
              <a:solidFill>
                <a:srgbClr val="249390"/>
              </a:solidFill>
            </c:spPr>
            <c:extLst>
              <c:ext xmlns:c16="http://schemas.microsoft.com/office/drawing/2014/chart" uri="{C3380CC4-5D6E-409C-BE32-E72D297353CC}">
                <c16:uniqueId val="{00000004-1B39-454F-A679-7E388A770785}"/>
              </c:ext>
            </c:extLst>
          </c:dPt>
          <c:dPt>
            <c:idx val="1"/>
            <c:bubble3D val="0"/>
            <c:spPr>
              <a:solidFill>
                <a:srgbClr val="33CCCC"/>
              </a:solidFill>
            </c:spPr>
            <c:extLst>
              <c:ext xmlns:c16="http://schemas.microsoft.com/office/drawing/2014/chart" uri="{C3380CC4-5D6E-409C-BE32-E72D297353CC}">
                <c16:uniqueId val="{00000003-1B39-454F-A679-7E388A770785}"/>
              </c:ext>
            </c:extLst>
          </c:dPt>
          <c:dLbls>
            <c:dLbl>
              <c:idx val="2"/>
              <c:delete val="1"/>
              <c:extLst>
                <c:ext xmlns:c15="http://schemas.microsoft.com/office/drawing/2012/chart" uri="{CE6537A1-D6FC-4f65-9D91-7224C49458BB}"/>
                <c:ext xmlns:c16="http://schemas.microsoft.com/office/drawing/2014/chart" uri="{C3380CC4-5D6E-409C-BE32-E72D297353CC}">
                  <c16:uniqueId val="{0000000A-1B39-454F-A679-7E388A770785}"/>
                </c:ext>
              </c:extLst>
            </c:dLbl>
            <c:dLbl>
              <c:idx val="3"/>
              <c:delete val="1"/>
              <c:extLst>
                <c:ext xmlns:c15="http://schemas.microsoft.com/office/drawing/2012/chart" uri="{CE6537A1-D6FC-4f65-9D91-7224C49458BB}"/>
                <c:ext xmlns:c16="http://schemas.microsoft.com/office/drawing/2014/chart" uri="{C3380CC4-5D6E-409C-BE32-E72D297353CC}">
                  <c16:uniqueId val="{00000009-1B39-454F-A679-7E388A770785}"/>
                </c:ext>
              </c:extLst>
            </c:dLbl>
            <c:dLbl>
              <c:idx val="4"/>
              <c:delete val="1"/>
              <c:extLst>
                <c:ext xmlns:c15="http://schemas.microsoft.com/office/drawing/2012/chart" uri="{CE6537A1-D6FC-4f65-9D91-7224C49458BB}"/>
                <c:ext xmlns:c16="http://schemas.microsoft.com/office/drawing/2014/chart" uri="{C3380CC4-5D6E-409C-BE32-E72D297353CC}">
                  <c16:uniqueId val="{00000008-1B39-454F-A679-7E388A770785}"/>
                </c:ext>
              </c:extLst>
            </c:dLbl>
            <c:dLbl>
              <c:idx val="5"/>
              <c:delete val="1"/>
              <c:extLst>
                <c:ext xmlns:c15="http://schemas.microsoft.com/office/drawing/2012/chart" uri="{CE6537A1-D6FC-4f65-9D91-7224C49458BB}"/>
                <c:ext xmlns:c16="http://schemas.microsoft.com/office/drawing/2014/chart" uri="{C3380CC4-5D6E-409C-BE32-E72D297353CC}">
                  <c16:uniqueId val="{00000007-1B39-454F-A679-7E388A770785}"/>
                </c:ext>
              </c:extLst>
            </c:dLbl>
            <c:dLbl>
              <c:idx val="6"/>
              <c:delete val="1"/>
              <c:extLst>
                <c:ext xmlns:c15="http://schemas.microsoft.com/office/drawing/2012/chart" uri="{CE6537A1-D6FC-4f65-9D91-7224C49458BB}"/>
                <c:ext xmlns:c16="http://schemas.microsoft.com/office/drawing/2014/chart" uri="{C3380CC4-5D6E-409C-BE32-E72D297353CC}">
                  <c16:uniqueId val="{00000006-1B39-454F-A679-7E388A770785}"/>
                </c:ext>
              </c:extLst>
            </c:dLbl>
            <c:dLbl>
              <c:idx val="7"/>
              <c:layout>
                <c:manualLayout>
                  <c:x val="0.11864531869480528"/>
                  <c:y val="1.96874623109112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39-454F-A679-7E388A770785}"/>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'9.3'!$D$8:$K$8</c:f>
              <c:strCache>
                <c:ptCount val="8"/>
                <c:pt idx="0">
                  <c:v>Skipjack tuna</c:v>
                </c:pt>
                <c:pt idx="1">
                  <c:v>Yellowfin tuna</c:v>
                </c:pt>
                <c:pt idx="2">
                  <c:v>Big eye tuna</c:v>
                </c:pt>
                <c:pt idx="3">
                  <c:v>Albacore tuna</c:v>
                </c:pt>
                <c:pt idx="4">
                  <c:v>Dogtooth tuna</c:v>
                </c:pt>
                <c:pt idx="5">
                  <c:v>   Little tuna</c:v>
                </c:pt>
                <c:pt idx="6">
                  <c:v>Frigate tuna</c:v>
                </c:pt>
                <c:pt idx="7">
                  <c:v>Other marine fish</c:v>
                </c:pt>
              </c:strCache>
            </c:strRef>
          </c:cat>
          <c:val>
            <c:numRef>
              <c:f>'9.3'!$D$9:$K$9</c:f>
              <c:numCache>
                <c:formatCode>#,##0_);[Red]\(#,##0\)</c:formatCode>
                <c:ptCount val="8"/>
                <c:pt idx="0">
                  <c:v>103870.66972179369</c:v>
                </c:pt>
                <c:pt idx="1">
                  <c:v>42704.576500856783</c:v>
                </c:pt>
                <c:pt idx="2">
                  <c:v>212.68961995324841</c:v>
                </c:pt>
                <c:pt idx="3">
                  <c:v>0</c:v>
                </c:pt>
                <c:pt idx="4">
                  <c:v>3.2111469335556504</c:v>
                </c:pt>
                <c:pt idx="5">
                  <c:v>7.0504098873260022</c:v>
                </c:pt>
                <c:pt idx="6">
                  <c:v>88.162762023225241</c:v>
                </c:pt>
                <c:pt idx="7">
                  <c:v>1696.6090211673268</c:v>
                </c:pt>
              </c:numCache>
            </c:numRef>
          </c:val>
          <c:extLst>
            <c:ext xmlns:c16="http://schemas.microsoft.com/office/drawing/2014/chart" uri="{C3380CC4-5D6E-409C-BE32-E72D297353CC}">
              <c16:uniqueId val="{0000000C-3FA9-4570-BF8C-959C5942D2E9}"/>
            </c:ext>
          </c:extLst>
        </c:ser>
        <c:dLbls>
          <c:showLegendKey val="0"/>
          <c:showVal val="0"/>
          <c:showCatName val="1"/>
          <c:showSerName val="0"/>
          <c:showPercent val="1"/>
          <c:showBubbleSize val="0"/>
          <c:showLeaderLines val="0"/>
        </c:dLbls>
        <c:firstSliceAng val="88"/>
        <c:holeSize val="41"/>
      </c:doughnutChart>
    </c:plotArea>
    <c:plotVisOnly val="1"/>
    <c:dispBlanksAs val="zero"/>
    <c:showDLblsOverMax val="0"/>
  </c:chart>
  <c:printSettings>
    <c:headerFooter/>
    <c:pageMargins b="0.75000000000000144" l="0.70000000000000062" r="0.70000000000000062" t="0.75000000000000144" header="0.30000000000000032" footer="0.30000000000000032"/>
    <c:pageSetup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2"/>
    </mc:Choice>
    <mc:Fallback>
      <c:style val="22"/>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9.2: Fish catch by Atoll, 2020</a:t>
            </a:r>
          </a:p>
        </c:rich>
      </c:tx>
      <c:layout>
        <c:manualLayout>
          <c:xMode val="edge"/>
          <c:yMode val="edge"/>
          <c:x val="0.28172882133048877"/>
          <c:y val="3.8938262011439698E-2"/>
        </c:manualLayout>
      </c:layout>
      <c:overlay val="0"/>
    </c:title>
    <c:autoTitleDeleted val="0"/>
    <c:plotArea>
      <c:layout>
        <c:manualLayout>
          <c:layoutTarget val="inner"/>
          <c:xMode val="edge"/>
          <c:yMode val="edge"/>
          <c:x val="8.8930302207521864E-2"/>
          <c:y val="0.18082264349840874"/>
          <c:w val="0.88642575634158582"/>
          <c:h val="0.71430060936324247"/>
        </c:manualLayout>
      </c:layout>
      <c:barChart>
        <c:barDir val="col"/>
        <c:grouping val="clustered"/>
        <c:varyColors val="0"/>
        <c:ser>
          <c:idx val="0"/>
          <c:order val="0"/>
          <c:spPr>
            <a:solidFill>
              <a:srgbClr val="FF9900"/>
            </a:solidFill>
          </c:spPr>
          <c:invertIfNegative val="0"/>
          <c:cat>
            <c:strRef>
              <c:f>'9.3'!$A$13:$A$32</c:f>
              <c:strCache>
                <c:ptCount val="20"/>
                <c:pt idx="0">
                  <c:v> HA</c:v>
                </c:pt>
                <c:pt idx="1">
                  <c:v> HDh</c:v>
                </c:pt>
                <c:pt idx="2">
                  <c:v> Sh</c:v>
                </c:pt>
                <c:pt idx="3">
                  <c:v> N</c:v>
                </c:pt>
                <c:pt idx="4">
                  <c:v> R</c:v>
                </c:pt>
                <c:pt idx="5">
                  <c:v>B</c:v>
                </c:pt>
                <c:pt idx="6">
                  <c:v>Lh</c:v>
                </c:pt>
                <c:pt idx="7">
                  <c:v>K</c:v>
                </c:pt>
                <c:pt idx="8">
                  <c:v>AA</c:v>
                </c:pt>
                <c:pt idx="9">
                  <c:v>ADh</c:v>
                </c:pt>
                <c:pt idx="10">
                  <c:v>V</c:v>
                </c:pt>
                <c:pt idx="11">
                  <c:v>M</c:v>
                </c:pt>
                <c:pt idx="12">
                  <c:v>F</c:v>
                </c:pt>
                <c:pt idx="13">
                  <c:v>Dh</c:v>
                </c:pt>
                <c:pt idx="14">
                  <c:v>Th</c:v>
                </c:pt>
                <c:pt idx="15">
                  <c:v> L</c:v>
                </c:pt>
                <c:pt idx="16">
                  <c:v>GA</c:v>
                </c:pt>
                <c:pt idx="17">
                  <c:v>GDh</c:v>
                </c:pt>
                <c:pt idx="18">
                  <c:v>Gn</c:v>
                </c:pt>
                <c:pt idx="19">
                  <c:v>S</c:v>
                </c:pt>
              </c:strCache>
            </c:strRef>
          </c:cat>
          <c:val>
            <c:numRef>
              <c:f>'9.3'!$B$13:$B$32</c:f>
              <c:numCache>
                <c:formatCode>#,##0_);[Red]\(#,##0\)</c:formatCode>
                <c:ptCount val="20"/>
                <c:pt idx="0">
                  <c:v>7837.2333079125528</c:v>
                </c:pt>
                <c:pt idx="1">
                  <c:v>1742.5440616363173</c:v>
                </c:pt>
                <c:pt idx="2">
                  <c:v>3916.1276980237226</c:v>
                </c:pt>
                <c:pt idx="3">
                  <c:v>2616.621895499482</c:v>
                </c:pt>
                <c:pt idx="4">
                  <c:v>7759.5142166813057</c:v>
                </c:pt>
                <c:pt idx="5">
                  <c:v>2242.4289738665666</c:v>
                </c:pt>
                <c:pt idx="6">
                  <c:v>4714.9029731799819</c:v>
                </c:pt>
                <c:pt idx="7">
                  <c:v>6948.9645043832579</c:v>
                </c:pt>
                <c:pt idx="8">
                  <c:v>3221.6682753374389</c:v>
                </c:pt>
                <c:pt idx="9">
                  <c:v>3060.8803911245118</c:v>
                </c:pt>
                <c:pt idx="10">
                  <c:v>639.55167891345968</c:v>
                </c:pt>
                <c:pt idx="11">
                  <c:v>4086.0262316599055</c:v>
                </c:pt>
                <c:pt idx="12">
                  <c:v>3083.7334818653935</c:v>
                </c:pt>
                <c:pt idx="13">
                  <c:v>11389.740816779351</c:v>
                </c:pt>
                <c:pt idx="14">
                  <c:v>7553.6508780813638</c:v>
                </c:pt>
                <c:pt idx="15">
                  <c:v>10600.246504317003</c:v>
                </c:pt>
                <c:pt idx="16">
                  <c:v>21156.044330819717</c:v>
                </c:pt>
                <c:pt idx="17">
                  <c:v>11610.003248031657</c:v>
                </c:pt>
                <c:pt idx="18">
                  <c:v>2155.5727494560856</c:v>
                </c:pt>
                <c:pt idx="19">
                  <c:v>7429.9718733529526</c:v>
                </c:pt>
              </c:numCache>
            </c:numRef>
          </c:val>
          <c:extLst>
            <c:ext xmlns:c16="http://schemas.microsoft.com/office/drawing/2014/chart" uri="{C3380CC4-5D6E-409C-BE32-E72D297353CC}">
              <c16:uniqueId val="{00000000-9618-4493-8B6D-CD3AABE3DAB0}"/>
            </c:ext>
          </c:extLst>
        </c:ser>
        <c:dLbls>
          <c:showLegendKey val="0"/>
          <c:showVal val="0"/>
          <c:showCatName val="0"/>
          <c:showSerName val="0"/>
          <c:showPercent val="0"/>
          <c:showBubbleSize val="0"/>
        </c:dLbls>
        <c:gapWidth val="42"/>
        <c:axId val="107753856"/>
        <c:axId val="107755392"/>
      </c:barChart>
      <c:catAx>
        <c:axId val="107753856"/>
        <c:scaling>
          <c:orientation val="minMax"/>
        </c:scaling>
        <c:delete val="0"/>
        <c:axPos val="b"/>
        <c:numFmt formatCode="General" sourceLinked="1"/>
        <c:majorTickMark val="none"/>
        <c:minorTickMark val="none"/>
        <c:tickLblPos val="nextTo"/>
        <c:txPr>
          <a:bodyPr rot="0" vert="horz"/>
          <a:lstStyle/>
          <a:p>
            <a:pPr>
              <a:defRPr/>
            </a:pPr>
            <a:endParaRPr lang="en-US"/>
          </a:p>
        </c:txPr>
        <c:crossAx val="107755392"/>
        <c:crosses val="autoZero"/>
        <c:auto val="1"/>
        <c:lblAlgn val="ctr"/>
        <c:lblOffset val="100"/>
        <c:noMultiLvlLbl val="0"/>
      </c:catAx>
      <c:valAx>
        <c:axId val="107755392"/>
        <c:scaling>
          <c:orientation val="minMax"/>
          <c:max val="26000"/>
          <c:min val="0"/>
        </c:scaling>
        <c:delete val="0"/>
        <c:axPos val="l"/>
        <c:majorGridlines>
          <c:spPr>
            <a:ln>
              <a:noFill/>
            </a:ln>
          </c:spPr>
        </c:majorGridlines>
        <c:title>
          <c:tx>
            <c:rich>
              <a:bodyPr rot="0" vert="horz"/>
              <a:lstStyle/>
              <a:p>
                <a:pPr>
                  <a:defRPr/>
                </a:pPr>
                <a:r>
                  <a:rPr lang="en-US"/>
                  <a:t>in metric ton</a:t>
                </a:r>
              </a:p>
            </c:rich>
          </c:tx>
          <c:layout>
            <c:manualLayout>
              <c:xMode val="edge"/>
              <c:yMode val="edge"/>
              <c:x val="1.005533324727852E-2"/>
              <c:y val="6.680942109959033E-2"/>
            </c:manualLayout>
          </c:layout>
          <c:overlay val="0"/>
        </c:title>
        <c:numFmt formatCode="#,##0" sourceLinked="0"/>
        <c:majorTickMark val="out"/>
        <c:minorTickMark val="none"/>
        <c:tickLblPos val="nextTo"/>
        <c:txPr>
          <a:bodyPr rot="0" vert="horz"/>
          <a:lstStyle/>
          <a:p>
            <a:pPr>
              <a:defRPr/>
            </a:pPr>
            <a:endParaRPr lang="en-US"/>
          </a:p>
        </c:txPr>
        <c:crossAx val="107753856"/>
        <c:crosses val="autoZero"/>
        <c:crossBetween val="between"/>
        <c:majorUnit val="2000"/>
      </c:valAx>
      <c:spPr>
        <a:ln>
          <a:solidFill>
            <a:schemeClr val="bg1">
              <a:lumMod val="75000"/>
            </a:schemeClr>
          </a:solidFill>
        </a:ln>
      </c:spPr>
    </c:plotArea>
    <c:plotVisOnly val="1"/>
    <c:dispBlanksAs val="gap"/>
    <c:showDLblsOverMax val="0"/>
  </c:chart>
  <c:printSettings>
    <c:headerFooter/>
    <c:pageMargins b="0.75000000000000122" l="0.70000000000000062" r="0.70000000000000062" t="0.75000000000000122" header="0.30000000000000032" footer="0.30000000000000032"/>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200">
                <a:latin typeface="Consolas" pitchFamily="49" charset="0"/>
                <a:cs typeface="Consolas" pitchFamily="49" charset="0"/>
              </a:defRPr>
            </a:pPr>
            <a:r>
              <a:rPr lang="en-US" sz="1200">
                <a:latin typeface="Consolas" pitchFamily="49" charset="0"/>
                <a:cs typeface="Consolas" pitchFamily="49" charset="0"/>
              </a:rPr>
              <a:t>Figure 9.3: Fish Catch and Fish Catch Growth by Month, 2020</a:t>
            </a:r>
          </a:p>
        </c:rich>
      </c:tx>
      <c:layout>
        <c:manualLayout>
          <c:xMode val="edge"/>
          <c:yMode val="edge"/>
          <c:x val="0.18466691582438652"/>
          <c:y val="3.7451039773874421E-2"/>
        </c:manualLayout>
      </c:layout>
      <c:overlay val="0"/>
    </c:title>
    <c:autoTitleDeleted val="0"/>
    <c:plotArea>
      <c:layout>
        <c:manualLayout>
          <c:layoutTarget val="inner"/>
          <c:xMode val="edge"/>
          <c:yMode val="edge"/>
          <c:x val="6.8476722577305318E-2"/>
          <c:y val="0.18116528703142876"/>
          <c:w val="0.88703977792249655"/>
          <c:h val="0.72080056556397953"/>
        </c:manualLayout>
      </c:layout>
      <c:barChart>
        <c:barDir val="col"/>
        <c:grouping val="clustered"/>
        <c:varyColors val="0"/>
        <c:ser>
          <c:idx val="0"/>
          <c:order val="0"/>
          <c:tx>
            <c:strRef>
              <c:f>'9.4'!$AN$6</c:f>
              <c:strCache>
                <c:ptCount val="1"/>
                <c:pt idx="0">
                  <c:v>Fish Catch</c:v>
                </c:pt>
              </c:strCache>
            </c:strRef>
          </c:tx>
          <c:spPr>
            <a:solidFill>
              <a:srgbClr val="33CCCC"/>
            </a:solidFill>
          </c:spPr>
          <c:invertIfNegative val="0"/>
          <c:cat>
            <c:strRef>
              <c:f>'9.4'!$AM$7:$AM$18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'9.4'!$K$10:$K$21</c:f>
              <c:numCache>
                <c:formatCode>#,##0</c:formatCode>
                <c:ptCount val="12"/>
                <c:pt idx="0">
                  <c:v>8261.4003988551322</c:v>
                </c:pt>
                <c:pt idx="1">
                  <c:v>12845.465682601449</c:v>
                </c:pt>
                <c:pt idx="2">
                  <c:v>18426.100647688796</c:v>
                </c:pt>
                <c:pt idx="3">
                  <c:v>10145.875757860187</c:v>
                </c:pt>
                <c:pt idx="4">
                  <c:v>4305.518616340647</c:v>
                </c:pt>
                <c:pt idx="5">
                  <c:v>6833.2970732054591</c:v>
                </c:pt>
                <c:pt idx="6">
                  <c:v>10429.30445643955</c:v>
                </c:pt>
                <c:pt idx="7">
                  <c:v>12848.42850617399</c:v>
                </c:pt>
                <c:pt idx="8">
                  <c:v>13847.217261766658</c:v>
                </c:pt>
                <c:pt idx="9">
                  <c:v>13827.910552801197</c:v>
                </c:pt>
                <c:pt idx="10">
                  <c:v>18874.862941691033</c:v>
                </c:pt>
                <c:pt idx="11">
                  <c:v>17937.58728719104</c:v>
                </c:pt>
              </c:numCache>
            </c:numRef>
          </c:val>
          <c:extLst>
            <c:ext xmlns:c16="http://schemas.microsoft.com/office/drawing/2014/chart" uri="{C3380CC4-5D6E-409C-BE32-E72D297353CC}">
              <c16:uniqueId val="{00000000-3980-4EDB-927D-5483CD6DCD8B}"/>
            </c:ext>
          </c:extLst>
        </c:ser>
        <c:dLbls>
          <c:showLegendKey val="0"/>
          <c:showVal val="0"/>
          <c:showCatName val="0"/>
          <c:showSerName val="0"/>
          <c:showPercent val="0"/>
          <c:showBubbleSize val="0"/>
        </c:dLbls>
        <c:gapWidth val="75"/>
        <c:overlap val="-25"/>
        <c:axId val="421364312"/>
        <c:axId val="421364704"/>
      </c:barChart>
      <c:lineChart>
        <c:grouping val="standard"/>
        <c:varyColors val="0"/>
        <c:ser>
          <c:idx val="1"/>
          <c:order val="1"/>
          <c:tx>
            <c:strRef>
              <c:f>'9.4'!$AO$6</c:f>
              <c:strCache>
                <c:ptCount val="1"/>
                <c:pt idx="0">
                  <c:v>Growth</c:v>
                </c:pt>
              </c:strCache>
            </c:strRef>
          </c:tx>
          <c:spPr>
            <a:ln>
              <a:solidFill>
                <a:srgbClr val="FF9900"/>
              </a:solidFill>
            </a:ln>
          </c:spPr>
          <c:marker>
            <c:symbol val="none"/>
          </c:marker>
          <c:cat>
            <c:strRef>
              <c:f>'9.4'!$AM$7:$AM$18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'9.4'!$AO$7:$AO$18</c:f>
              <c:numCache>
                <c:formatCode>#,##0</c:formatCode>
                <c:ptCount val="12"/>
                <c:pt idx="0">
                  <c:v>-14.178007738737858</c:v>
                </c:pt>
                <c:pt idx="1">
                  <c:v>-3.0872124705651935</c:v>
                </c:pt>
                <c:pt idx="2">
                  <c:v>19.972962379504949</c:v>
                </c:pt>
                <c:pt idx="3">
                  <c:v>-38.558466069969896</c:v>
                </c:pt>
                <c:pt idx="4">
                  <c:v>-51.456465112941139</c:v>
                </c:pt>
                <c:pt idx="5">
                  <c:v>6.7129782225665107</c:v>
                </c:pt>
                <c:pt idx="6">
                  <c:v>8.3429901978274721</c:v>
                </c:pt>
                <c:pt idx="7">
                  <c:v>46.253718231091398</c:v>
                </c:pt>
                <c:pt idx="8">
                  <c:v>7.2635885691097055</c:v>
                </c:pt>
                <c:pt idx="9">
                  <c:v>-2.508824250602371</c:v>
                </c:pt>
                <c:pt idx="10">
                  <c:v>68.911108900625479</c:v>
                </c:pt>
                <c:pt idx="11">
                  <c:v>114.44417965136553</c:v>
                </c:pt>
              </c:numCache>
            </c:numRef>
          </c:val>
          <c:smooth val="0"/>
          <c:extLst>
            <c:ext xmlns:c16="http://schemas.microsoft.com/office/drawing/2014/chart" uri="{C3380CC4-5D6E-409C-BE32-E72D297353CC}">
              <c16:uniqueId val="{00000001-3980-4EDB-927D-5483CD6DCD8B}"/>
            </c:ext>
          </c:extLst>
        </c:ser>
        <c:dLbls>
          <c:showLegendKey val="0"/>
          <c:showVal val="0"/>
          <c:showCatName val="0"/>
          <c:showSerName val="0"/>
          <c:showPercent val="0"/>
          <c:showBubbleSize val="0"/>
        </c:dLbls>
        <c:marker val="1"/>
        <c:smooth val="0"/>
        <c:axId val="421366272"/>
        <c:axId val="421367056"/>
      </c:lineChart>
      <c:catAx>
        <c:axId val="421364312"/>
        <c:scaling>
          <c:orientation val="minMax"/>
        </c:scaling>
        <c:delete val="0"/>
        <c:axPos val="b"/>
        <c:numFmt formatCode="General" sourceLinked="1"/>
        <c:majorTickMark val="none"/>
        <c:minorTickMark val="none"/>
        <c:tickLblPos val="nextTo"/>
        <c:txPr>
          <a:bodyPr rot="0" vert="horz"/>
          <a:lstStyle/>
          <a:p>
            <a:pPr>
              <a:defRPr/>
            </a:pPr>
            <a:endParaRPr lang="en-US"/>
          </a:p>
        </c:txPr>
        <c:crossAx val="421364704"/>
        <c:crosses val="autoZero"/>
        <c:auto val="1"/>
        <c:lblAlgn val="ctr"/>
        <c:lblOffset val="100"/>
        <c:tickLblSkip val="1"/>
        <c:tickMarkSkip val="1"/>
        <c:noMultiLvlLbl val="0"/>
      </c:catAx>
      <c:valAx>
        <c:axId val="421364704"/>
        <c:scaling>
          <c:orientation val="minMax"/>
          <c:max val="20000"/>
          <c:min val="0"/>
        </c:scaling>
        <c:delete val="0"/>
        <c:axPos val="l"/>
        <c:majorGridlines>
          <c:spPr>
            <a:ln>
              <a:noFill/>
            </a:ln>
          </c:spPr>
        </c:majorGridlines>
        <c:numFmt formatCode="#,##0" sourceLinked="0"/>
        <c:majorTickMark val="none"/>
        <c:minorTickMark val="none"/>
        <c:tickLblPos val="nextTo"/>
        <c:txPr>
          <a:bodyPr rot="0" vert="horz"/>
          <a:lstStyle/>
          <a:p>
            <a:pPr>
              <a:defRPr/>
            </a:pPr>
            <a:endParaRPr lang="en-US"/>
          </a:p>
        </c:txPr>
        <c:crossAx val="421364312"/>
        <c:crosses val="autoZero"/>
        <c:crossBetween val="between"/>
      </c:valAx>
      <c:catAx>
        <c:axId val="421366272"/>
        <c:scaling>
          <c:orientation val="minMax"/>
        </c:scaling>
        <c:delete val="1"/>
        <c:axPos val="b"/>
        <c:numFmt formatCode="General" sourceLinked="1"/>
        <c:majorTickMark val="out"/>
        <c:minorTickMark val="none"/>
        <c:tickLblPos val="none"/>
        <c:crossAx val="421367056"/>
        <c:crosses val="autoZero"/>
        <c:auto val="0"/>
        <c:lblAlgn val="ctr"/>
        <c:lblOffset val="100"/>
        <c:noMultiLvlLbl val="0"/>
      </c:catAx>
      <c:valAx>
        <c:axId val="421367056"/>
        <c:scaling>
          <c:orientation val="minMax"/>
          <c:max val="140"/>
          <c:min val="-60"/>
        </c:scaling>
        <c:delete val="0"/>
        <c:axPos val="r"/>
        <c:numFmt formatCode="#,##0" sourceLinked="1"/>
        <c:majorTickMark val="out"/>
        <c:minorTickMark val="none"/>
        <c:tickLblPos val="nextTo"/>
        <c:txPr>
          <a:bodyPr rot="0" vert="horz"/>
          <a:lstStyle/>
          <a:p>
            <a:pPr>
              <a:defRPr/>
            </a:pPr>
            <a:endParaRPr lang="en-US"/>
          </a:p>
        </c:txPr>
        <c:crossAx val="421366272"/>
        <c:crosses val="max"/>
        <c:crossBetween val="between"/>
      </c:valAx>
      <c:spPr>
        <a:noFill/>
        <a:ln>
          <a:solidFill>
            <a:schemeClr val="bg1">
              <a:lumMod val="75000"/>
            </a:schemeClr>
          </a:solidFill>
        </a:ln>
      </c:spPr>
    </c:plotArea>
    <c:legend>
      <c:legendPos val="r"/>
      <c:layout>
        <c:manualLayout>
          <c:xMode val="edge"/>
          <c:yMode val="edge"/>
          <c:x val="0.49106948898127578"/>
          <c:y val="0.21744229086748773"/>
          <c:w val="0.24292038687260689"/>
          <c:h val="0.11195626105842199"/>
        </c:manualLayout>
      </c:layout>
      <c:overlay val="0"/>
    </c:legend>
    <c:plotVisOnly val="1"/>
    <c:dispBlanksAs val="gap"/>
    <c:showDLblsOverMax val="0"/>
  </c:chart>
  <c:printSettings>
    <c:headerFooter alignWithMargins="0">
      <c:oddHeader>&amp;A</c:oddHeader>
      <c:oddFooter>Page &amp;P</c:oddFooter>
    </c:headerFooter>
    <c:pageMargins b="1" l="0.75000000000000577" r="0.75000000000000577" t="1" header="0.5" footer="0.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solidFill>
                  <a:schemeClr val="tx1"/>
                </a:solidFill>
              </a:rPr>
              <a:t>Figure 9.4: Percentage of  fish catch by type of  species, 2017</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94444444444444"/>
          <c:y val="0.2824973267230485"/>
          <c:w val="0.81388888888888888"/>
          <c:h val="0.69051974984608411"/>
        </c:manualLayout>
      </c:layout>
      <c:pie3DChart>
        <c:varyColors val="1"/>
        <c:ser>
          <c:idx val="0"/>
          <c:order val="0"/>
          <c:dPt>
            <c:idx val="0"/>
            <c:bubble3D val="0"/>
            <c:spPr>
              <a:solidFill>
                <a:schemeClr val="accent4">
                  <a:lumMod val="50000"/>
                </a:schemeClr>
              </a:solidFill>
              <a:ln>
                <a:noFill/>
              </a:ln>
              <a:effectLst>
                <a:outerShdw blurRad="40000" dist="20000" dir="5400000" rotWithShape="0">
                  <a:srgbClr val="000000">
                    <a:alpha val="38000"/>
                  </a:srgbClr>
                </a:outerShdw>
              </a:effectLst>
              <a:sp3d/>
            </c:spPr>
            <c:extLst>
              <c:ext xmlns:c16="http://schemas.microsoft.com/office/drawing/2014/chart" uri="{C3380CC4-5D6E-409C-BE32-E72D297353CC}">
                <c16:uniqueId val="{00000001-2A98-4A59-9836-14A031CBDD0E}"/>
              </c:ext>
            </c:extLst>
          </c:dPt>
          <c:dPt>
            <c:idx val="1"/>
            <c:bubble3D val="0"/>
            <c:spPr>
              <a:solidFill>
                <a:schemeClr val="accent4">
                  <a:lumMod val="75000"/>
                </a:schemeClr>
              </a:solidFill>
              <a:ln>
                <a:noFill/>
              </a:ln>
              <a:effectLst>
                <a:outerShdw blurRad="40000" dist="20000" dir="5400000" rotWithShape="0">
                  <a:srgbClr val="000000">
                    <a:alpha val="38000"/>
                  </a:srgbClr>
                </a:outerShdw>
              </a:effectLst>
              <a:sp3d/>
            </c:spPr>
            <c:extLst>
              <c:ext xmlns:c16="http://schemas.microsoft.com/office/drawing/2014/chart" uri="{C3380CC4-5D6E-409C-BE32-E72D297353CC}">
                <c16:uniqueId val="{00000003-2A98-4A59-9836-14A031CBDD0E}"/>
              </c:ext>
            </c:extLst>
          </c:dPt>
          <c:dPt>
            <c:idx val="2"/>
            <c:bubble3D val="0"/>
            <c:spPr>
              <a:solidFill>
                <a:schemeClr val="accent3">
                  <a:lumMod val="75000"/>
                </a:schemeClr>
              </a:solidFill>
              <a:ln>
                <a:noFill/>
              </a:ln>
              <a:effectLst>
                <a:outerShdw blurRad="40000" dist="20000" dir="5400000" rotWithShape="0">
                  <a:srgbClr val="000000">
                    <a:alpha val="38000"/>
                  </a:srgbClr>
                </a:outerShdw>
              </a:effectLst>
              <a:sp3d/>
            </c:spPr>
            <c:extLst>
              <c:ext xmlns:c16="http://schemas.microsoft.com/office/drawing/2014/chart" uri="{C3380CC4-5D6E-409C-BE32-E72D297353CC}">
                <c16:uniqueId val="{00000005-2A98-4A59-9836-14A031CBDD0E}"/>
              </c:ext>
            </c:extLst>
          </c:dPt>
          <c:dPt>
            <c:idx val="3"/>
            <c:bubble3D val="0"/>
            <c:spPr>
              <a:solidFill>
                <a:schemeClr val="accent4">
                  <a:lumMod val="60000"/>
                  <a:lumOff val="40000"/>
                </a:schemeClr>
              </a:solidFill>
              <a:ln>
                <a:noFill/>
              </a:ln>
              <a:effectLst>
                <a:outerShdw blurRad="40000" dist="20000" dir="5400000" rotWithShape="0">
                  <a:srgbClr val="000000">
                    <a:alpha val="38000"/>
                  </a:srgbClr>
                </a:outerShdw>
              </a:effectLst>
              <a:sp3d/>
            </c:spPr>
            <c:extLst>
              <c:ext xmlns:c16="http://schemas.microsoft.com/office/drawing/2014/chart" uri="{C3380CC4-5D6E-409C-BE32-E72D297353CC}">
                <c16:uniqueId val="{0000000B-2A98-4A59-9836-14A031CBDD0E}"/>
              </c:ext>
            </c:extLst>
          </c:dPt>
          <c:dLbls>
            <c:dLbl>
              <c:idx val="0"/>
              <c:layout>
                <c:manualLayout>
                  <c:x val="-0.26848611365439784"/>
                  <c:y val="-8.9988588382973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2A98-4A59-9836-14A031CBDD0E}"/>
                </c:ext>
              </c:extLst>
            </c:dLbl>
            <c:dLbl>
              <c:idx val="1"/>
              <c:layout>
                <c:manualLayout>
                  <c:x val="0.21733748397729349"/>
                  <c:y val="3.4845087298870252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2A98-4A59-9836-14A031CBDD0E}"/>
                </c:ext>
              </c:extLst>
            </c:dLbl>
            <c:dLbl>
              <c:idx val="2"/>
              <c:layout>
                <c:manualLayout>
                  <c:x val="-2.8978346456692915E-2"/>
                  <c:y val="-4.999837983215060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2A98-4A59-9836-14A031CBDD0E}"/>
                </c:ext>
              </c:extLst>
            </c:dLbl>
            <c:dLbl>
              <c:idx val="3"/>
              <c:layout>
                <c:manualLayout>
                  <c:x val="0.13162945329508222"/>
                  <c:y val="1.74586328882802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2A98-4A59-9836-14A031CBDD0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'9.6'!$A$7:$A$12</c15:sqref>
                  </c15:fullRef>
                </c:ext>
              </c:extLst>
              <c:f>('9.6'!$A$7:$A$9,'9.6'!$A$12)</c:f>
              <c:strCache>
                <c:ptCount val="4"/>
                <c:pt idx="0">
                  <c:v>Skipjack</c:v>
                </c:pt>
                <c:pt idx="1">
                  <c:v>Yellowfin tuna</c:v>
                </c:pt>
                <c:pt idx="2">
                  <c:v>Bigeye tuna</c:v>
                </c:pt>
                <c:pt idx="3">
                  <c:v>Other Marine Fishes</c:v>
                </c:pt>
              </c:strCache>
            </c:strRef>
          </c:cat>
          <c:val>
            <c:numRef>
              <c:extLst>
                <c:ext xmlns:c15="http://schemas.microsoft.com/office/drawing/2012/chart" uri="{02D57815-91ED-43cb-92C2-25804820EDAC}">
                  <c15:fullRef>
                    <c15:sqref>'9.6'!$O$7:$O$12</c15:sqref>
                  </c15:fullRef>
                </c:ext>
              </c:extLst>
              <c:f>('9.6'!$O$7:$O$9,'9.6'!$O$12)</c:f>
              <c:numCache>
                <c:formatCode>#,##0_);[Red]\(#,##0\)</c:formatCode>
                <c:ptCount val="4"/>
                <c:pt idx="0">
                  <c:v>89683.148024090726</c:v>
                </c:pt>
                <c:pt idx="1">
                  <c:v>49376.811349197844</c:v>
                </c:pt>
                <c:pt idx="2">
                  <c:v>1074.1737564163373</c:v>
                </c:pt>
                <c:pt idx="3">
                  <c:v>2493.9263026769804</c:v>
                </c:pt>
              </c:numCache>
            </c:numRef>
          </c:val>
          <c:extLst>
            <c:ext xmlns:c15="http://schemas.microsoft.com/office/drawing/2012/chart" uri="{02D57815-91ED-43cb-92C2-25804820EDAC}">
              <c15:categoryFilterExceptions>
                <c15:categoryFilterException>
                  <c15:sqref>'9.6'!$O$10</c15:sqref>
                  <c15:spPr xmlns:c15="http://schemas.microsoft.com/office/drawing/2012/chart">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a:noFill/>
                    </a:ln>
                    <a:effectLst>
                      <a:outerShdw blurRad="40000" dist="20000" dir="5400000" rotWithShape="0">
                        <a:srgbClr val="000000">
                          <a:alpha val="38000"/>
                        </a:srgbClr>
                      </a:outerShdw>
                    </a:effectLst>
                    <a:sp3d/>
                  </c15:spPr>
                  <c15:bubble3D val="0"/>
                  <c15:dLbl>
                    <c:idx val="2"/>
                    <c:delete val="1"/>
                    <c:extLst xmlns:c16="http://schemas.microsoft.com/office/drawing/2014/chart">
                      <c:ext uri="{CE6537A1-D6FC-4f65-9D91-7224C49458BB}"/>
                      <c:ext xmlns:c16="http://schemas.microsoft.com/office/drawing/2014/chart" uri="{C3380CC4-5D6E-409C-BE32-E72D297353CC}">
                        <c16:uniqueId val="{00000009-CC80-419E-BB5F-F9F1C5552F6C}"/>
                      </c:ext>
                    </c:extLst>
                  </c15:dLbl>
                </c15:categoryFilterException>
                <c15:categoryFilterException>
                  <c15:sqref>'9.6'!$O$11</c15:sqref>
                  <c15:spPr xmlns:c15="http://schemas.microsoft.com/office/drawing/2012/chart">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a:noFill/>
                    </a:ln>
                    <a:effectLst>
                      <a:outerShdw blurRad="40000" dist="20000" dir="5400000" rotWithShape="0">
                        <a:srgbClr val="000000">
                          <a:alpha val="38000"/>
                        </a:srgbClr>
                      </a:outerShdw>
                    </a:effectLst>
                    <a:sp3d/>
                  </c15:spPr>
                  <c15:bubble3D val="0"/>
                  <c15:dLbl>
                    <c:idx val="2"/>
                    <c:delete val="1"/>
                    <c:extLst xmlns:c16="http://schemas.microsoft.com/office/drawing/2014/chart">
                      <c:ext uri="{CE6537A1-D6FC-4f65-9D91-7224C49458BB}"/>
                      <c:ext xmlns:c16="http://schemas.microsoft.com/office/drawing/2014/chart" uri="{C3380CC4-5D6E-409C-BE32-E72D297353CC}">
                        <c16:uniqueId val="{0000000B-CC80-419E-BB5F-F9F1C5552F6C}"/>
                      </c:ext>
                    </c:extLst>
                  </c15:dLbl>
                </c15:categoryFilterException>
              </c15:categoryFilterExceptions>
            </c:ext>
            <c:ext xmlns:c16="http://schemas.microsoft.com/office/drawing/2014/chart" uri="{C3380CC4-5D6E-409C-BE32-E72D297353CC}">
              <c16:uniqueId val="{0000000C-2A98-4A59-9836-14A031CBDD0E}"/>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rgbClr val="FFFA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solidFill>
                  <a:schemeClr val="tx1"/>
                </a:solidFill>
              </a:rPr>
              <a:t>Figure 9.4: Percentage of  fish catch by type of  species, 2020</a:t>
            </a:r>
          </a:p>
        </c:rich>
      </c:tx>
      <c:layout>
        <c:manualLayout>
          <c:xMode val="edge"/>
          <c:yMode val="edge"/>
          <c:x val="0.21515306880655835"/>
          <c:y val="3.6947732971841479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94444444444444"/>
          <c:y val="0.2824973267230485"/>
          <c:w val="0.81388888888888888"/>
          <c:h val="0.69051974984608411"/>
        </c:manualLayout>
      </c:layout>
      <c:pie3DChart>
        <c:varyColors val="1"/>
        <c:ser>
          <c:idx val="0"/>
          <c:order val="0"/>
          <c:dPt>
            <c:idx val="0"/>
            <c:bubble3D val="0"/>
            <c:spPr>
              <a:solidFill>
                <a:srgbClr val="33CCCC"/>
              </a:solidFill>
            </c:spPr>
            <c:extLst>
              <c:ext xmlns:c16="http://schemas.microsoft.com/office/drawing/2014/chart" uri="{C3380CC4-5D6E-409C-BE32-E72D297353CC}">
                <c16:uniqueId val="{00000000-1FF1-4EFD-9D1F-8BA242AEDB13}"/>
              </c:ext>
            </c:extLst>
          </c:dPt>
          <c:dPt>
            <c:idx val="1"/>
            <c:bubble3D val="0"/>
            <c:spPr>
              <a:solidFill>
                <a:srgbClr val="FF9900"/>
              </a:solidFill>
            </c:spPr>
            <c:extLst>
              <c:ext xmlns:c16="http://schemas.microsoft.com/office/drawing/2014/chart" uri="{C3380CC4-5D6E-409C-BE32-E72D297353CC}">
                <c16:uniqueId val="{00000001-1FF1-4EFD-9D1F-8BA242AEDB13}"/>
              </c:ext>
            </c:extLst>
          </c:dPt>
          <c:dPt>
            <c:idx val="2"/>
            <c:bubble3D val="0"/>
            <c:spPr>
              <a:solidFill>
                <a:srgbClr val="EAFAFA"/>
              </a:solidFill>
            </c:spPr>
            <c:extLst>
              <c:ext xmlns:c16="http://schemas.microsoft.com/office/drawing/2014/chart" uri="{C3380CC4-5D6E-409C-BE32-E72D297353CC}">
                <c16:uniqueId val="{00000002-1FF1-4EFD-9D1F-8BA242AEDB13}"/>
              </c:ext>
            </c:extLst>
          </c:dPt>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extLst>
                <c:ext xmlns:c15="http://schemas.microsoft.com/office/drawing/2012/chart" uri="{02D57815-91ED-43cb-92C2-25804820EDAC}">
                  <c15:fullRef>
                    <c15:sqref>'9.6'!$A$7:$A$12</c15:sqref>
                  </c15:fullRef>
                </c:ext>
              </c:extLst>
              <c:f>('9.6'!$A$7:$A$8,'9.6'!$A$12)</c:f>
              <c:strCache>
                <c:ptCount val="3"/>
                <c:pt idx="0">
                  <c:v>Skipjack</c:v>
                </c:pt>
                <c:pt idx="1">
                  <c:v>Yellowfin tuna</c:v>
                </c:pt>
                <c:pt idx="2">
                  <c:v>Other Marine Fishes</c:v>
                </c:pt>
              </c:strCache>
            </c:strRef>
          </c:cat>
          <c:val>
            <c:numRef>
              <c:extLst>
                <c:ext xmlns:c15="http://schemas.microsoft.com/office/drawing/2012/chart" uri="{02D57815-91ED-43cb-92C2-25804820EDAC}">
                  <c15:fullRef>
                    <c15:sqref>'9.6'!$R$7:$R$12</c15:sqref>
                  </c15:fullRef>
                </c:ext>
              </c:extLst>
              <c:f>('9.6'!$R$7:$R$8,'9.6'!$R$12)</c:f>
              <c:numCache>
                <c:formatCode>#,##0_);[Red]\(#,##0\)</c:formatCode>
                <c:ptCount val="3"/>
                <c:pt idx="0">
                  <c:v>103870.66972179353</c:v>
                </c:pt>
                <c:pt idx="1">
                  <c:v>42704.576500856863</c:v>
                </c:pt>
                <c:pt idx="2">
                  <c:v>1696.6090211673259</c:v>
                </c:pt>
              </c:numCache>
            </c:numRef>
          </c:val>
          <c:extLst>
            <c:ext xmlns:c16="http://schemas.microsoft.com/office/drawing/2014/chart" uri="{C3380CC4-5D6E-409C-BE32-E72D297353CC}">
              <c16:uniqueId val="{0000000C-8A9F-4895-81DB-58F06A800A8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chart>
  <c:spPr>
    <a:solidFill>
      <a:srgbClr val="FFFD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vert="horz"/>
          <a:lstStyle/>
          <a:p>
            <a:pPr>
              <a:defRPr sz="1400"/>
            </a:pPr>
            <a:r>
              <a:rPr lang="en-US" sz="1400"/>
              <a:t>Figure 9.5: Monthly Fresh tuna purchased, 2017 - 2019</a:t>
            </a:r>
          </a:p>
        </c:rich>
      </c:tx>
      <c:layout>
        <c:manualLayout>
          <c:xMode val="edge"/>
          <c:yMode val="edge"/>
          <c:x val="0.23757678118092745"/>
          <c:y val="2.7450971915710387E-2"/>
        </c:manualLayout>
      </c:layout>
      <c:overlay val="0"/>
    </c:title>
    <c:autoTitleDeleted val="0"/>
    <c:plotArea>
      <c:layout>
        <c:manualLayout>
          <c:layoutTarget val="inner"/>
          <c:xMode val="edge"/>
          <c:yMode val="edge"/>
          <c:x val="7.6110214831267967E-2"/>
          <c:y val="0.14545093547909974"/>
          <c:w val="0.90019565886971042"/>
          <c:h val="0.7622597615378226"/>
        </c:manualLayout>
      </c:layout>
      <c:barChart>
        <c:barDir val="col"/>
        <c:grouping val="clustered"/>
        <c:varyColors val="0"/>
        <c:ser>
          <c:idx val="0"/>
          <c:order val="0"/>
          <c:tx>
            <c:strRef>
              <c:f>'9.7'!$E$6</c:f>
              <c:strCache>
                <c:ptCount val="1"/>
                <c:pt idx="0">
                  <c:v>2017</c:v>
                </c:pt>
              </c:strCache>
            </c:strRef>
          </c:tx>
          <c:spPr>
            <a:solidFill>
              <a:srgbClr val="996633"/>
            </a:solidFill>
          </c:spPr>
          <c:invertIfNegative val="0"/>
          <c:cat>
            <c:strRef>
              <c:f>'9.7'!$A$8:$A$19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'9.7'!$E$8:$E$19</c:f>
              <c:numCache>
                <c:formatCode>#,##0</c:formatCode>
                <c:ptCount val="12"/>
                <c:pt idx="0">
                  <c:v>8385.2395499999984</c:v>
                </c:pt>
                <c:pt idx="1">
                  <c:v>6537.4725400000016</c:v>
                </c:pt>
                <c:pt idx="2">
                  <c:v>6336.2513199999994</c:v>
                </c:pt>
                <c:pt idx="3">
                  <c:v>7958.81142</c:v>
                </c:pt>
                <c:pt idx="4">
                  <c:v>7659.9021600000005</c:v>
                </c:pt>
                <c:pt idx="5">
                  <c:v>4299.6456900000003</c:v>
                </c:pt>
                <c:pt idx="6">
                  <c:v>5847.2433899999987</c:v>
                </c:pt>
                <c:pt idx="7">
                  <c:v>3700.7813699999992</c:v>
                </c:pt>
                <c:pt idx="8">
                  <c:v>3018.0501900000004</c:v>
                </c:pt>
                <c:pt idx="9">
                  <c:v>6461.2722199999962</c:v>
                </c:pt>
                <c:pt idx="10">
                  <c:v>8485.2940499999968</c:v>
                </c:pt>
                <c:pt idx="11">
                  <c:v>7930.7553599999992</c:v>
                </c:pt>
              </c:numCache>
            </c:numRef>
          </c:val>
          <c:extLst>
            <c:ext xmlns:c16="http://schemas.microsoft.com/office/drawing/2014/chart" uri="{C3380CC4-5D6E-409C-BE32-E72D297353CC}">
              <c16:uniqueId val="{00000000-E5E9-464A-A1F3-46E9EB0C7D4E}"/>
            </c:ext>
          </c:extLst>
        </c:ser>
        <c:ser>
          <c:idx val="1"/>
          <c:order val="1"/>
          <c:tx>
            <c:strRef>
              <c:f>'9.7'!$F$6</c:f>
              <c:strCache>
                <c:ptCount val="1"/>
                <c:pt idx="0">
                  <c:v>2018</c:v>
                </c:pt>
              </c:strCache>
            </c:strRef>
          </c:tx>
          <c:spPr>
            <a:solidFill>
              <a:srgbClr val="D3A77B"/>
            </a:solidFill>
          </c:spPr>
          <c:invertIfNegative val="0"/>
          <c:cat>
            <c:strRef>
              <c:f>'9.7'!$A$8:$A$19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'9.7'!$F$8:$F$19</c:f>
              <c:numCache>
                <c:formatCode>#,##0</c:formatCode>
                <c:ptCount val="12"/>
                <c:pt idx="0">
                  <c:v>8743.6588799999972</c:v>
                </c:pt>
                <c:pt idx="1">
                  <c:v>5954.8143700000001</c:v>
                </c:pt>
                <c:pt idx="2">
                  <c:v>7078.495469999998</c:v>
                </c:pt>
                <c:pt idx="3">
                  <c:v>10419.583229999998</c:v>
                </c:pt>
                <c:pt idx="4">
                  <c:v>5828.2491600000003</c:v>
                </c:pt>
                <c:pt idx="5">
                  <c:v>2995.8265099999999</c:v>
                </c:pt>
                <c:pt idx="6">
                  <c:v>4428.2140399999989</c:v>
                </c:pt>
                <c:pt idx="7">
                  <c:v>4136.3727600000011</c:v>
                </c:pt>
                <c:pt idx="8">
                  <c:v>4453.6516599999977</c:v>
                </c:pt>
                <c:pt idx="9">
                  <c:v>7975.2993599999991</c:v>
                </c:pt>
                <c:pt idx="10">
                  <c:v>9291.3220500000007</c:v>
                </c:pt>
                <c:pt idx="11">
                  <c:v>7580.649730000001</c:v>
                </c:pt>
              </c:numCache>
            </c:numRef>
          </c:val>
          <c:extLst>
            <c:ext xmlns:c16="http://schemas.microsoft.com/office/drawing/2014/chart" uri="{C3380CC4-5D6E-409C-BE32-E72D297353CC}">
              <c16:uniqueId val="{00000001-E5E9-464A-A1F3-46E9EB0C7D4E}"/>
            </c:ext>
          </c:extLst>
        </c:ser>
        <c:ser>
          <c:idx val="2"/>
          <c:order val="2"/>
          <c:tx>
            <c:strRef>
              <c:f>'9.7'!$G$6</c:f>
              <c:strCache>
                <c:ptCount val="1"/>
                <c:pt idx="0">
                  <c:v>2019</c:v>
                </c:pt>
              </c:strCache>
            </c:strRef>
          </c:tx>
          <c:spPr>
            <a:solidFill>
              <a:srgbClr val="C89058"/>
            </a:solidFill>
          </c:spPr>
          <c:invertIfNegative val="0"/>
          <c:cat>
            <c:strRef>
              <c:f>'9.7'!$A$8:$A$19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'9.7'!$G$8:$G$19</c:f>
              <c:numCache>
                <c:formatCode>#,##0</c:formatCode>
                <c:ptCount val="12"/>
                <c:pt idx="0">
                  <c:v>6523.0436100000006</c:v>
                </c:pt>
                <c:pt idx="1">
                  <c:v>8987.2074699999994</c:v>
                </c:pt>
                <c:pt idx="2">
                  <c:v>10165.657089999999</c:v>
                </c:pt>
                <c:pt idx="3">
                  <c:v>10978.011440000004</c:v>
                </c:pt>
                <c:pt idx="4">
                  <c:v>5539.4655199999997</c:v>
                </c:pt>
                <c:pt idx="5">
                  <c:v>3298.5679300000002</c:v>
                </c:pt>
                <c:pt idx="6">
                  <c:v>5777.6544599999988</c:v>
                </c:pt>
                <c:pt idx="7">
                  <c:v>4951.4767700000002</c:v>
                </c:pt>
                <c:pt idx="8">
                  <c:v>7790.8638199999968</c:v>
                </c:pt>
                <c:pt idx="9">
                  <c:v>8787.9639099999968</c:v>
                </c:pt>
                <c:pt idx="10">
                  <c:v>6594.389079999999</c:v>
                </c:pt>
                <c:pt idx="11">
                  <c:v>4842.7841400000007</c:v>
                </c:pt>
              </c:numCache>
            </c:numRef>
          </c:val>
          <c:extLst>
            <c:ext xmlns:c16="http://schemas.microsoft.com/office/drawing/2014/chart" uri="{C3380CC4-5D6E-409C-BE32-E72D297353CC}">
              <c16:uniqueId val="{00000002-E5E9-464A-A1F3-46E9EB0C7D4E}"/>
            </c:ext>
          </c:extLst>
        </c:ser>
        <c:dLbls>
          <c:showLegendKey val="0"/>
          <c:showVal val="0"/>
          <c:showCatName val="0"/>
          <c:showSerName val="0"/>
          <c:showPercent val="0"/>
          <c:showBubbleSize val="0"/>
        </c:dLbls>
        <c:gapWidth val="76"/>
        <c:overlap val="-1"/>
        <c:axId val="421369800"/>
        <c:axId val="421365488"/>
      </c:barChart>
      <c:catAx>
        <c:axId val="421369800"/>
        <c:scaling>
          <c:orientation val="minMax"/>
        </c:scaling>
        <c:delete val="0"/>
        <c:axPos val="b"/>
        <c:numFmt formatCode="General" sourceLinked="1"/>
        <c:majorTickMark val="none"/>
        <c:minorTickMark val="none"/>
        <c:tickLblPos val="nextTo"/>
        <c:txPr>
          <a:bodyPr rot="-60000000" vert="horz"/>
          <a:lstStyle/>
          <a:p>
            <a:pPr>
              <a:defRPr/>
            </a:pPr>
            <a:endParaRPr lang="en-US"/>
          </a:p>
        </c:txPr>
        <c:crossAx val="421365488"/>
        <c:crosses val="autoZero"/>
        <c:auto val="1"/>
        <c:lblAlgn val="ctr"/>
        <c:lblOffset val="100"/>
        <c:noMultiLvlLbl val="0"/>
      </c:catAx>
      <c:valAx>
        <c:axId val="421365488"/>
        <c:scaling>
          <c:orientation val="minMax"/>
        </c:scaling>
        <c:delete val="0"/>
        <c:axPos val="l"/>
        <c:majorGridlines>
          <c:spPr>
            <a:ln>
              <a:solidFill>
                <a:schemeClr val="accent4">
                  <a:lumMod val="40000"/>
                  <a:lumOff val="60000"/>
                </a:schemeClr>
              </a:solidFill>
            </a:ln>
          </c:spPr>
        </c:majorGridlines>
        <c:numFmt formatCode="#,##0" sourceLinked="1"/>
        <c:majorTickMark val="none"/>
        <c:minorTickMark val="none"/>
        <c:tickLblPos val="nextTo"/>
        <c:txPr>
          <a:bodyPr rot="-60000000" vert="horz"/>
          <a:lstStyle/>
          <a:p>
            <a:pPr>
              <a:defRPr/>
            </a:pPr>
            <a:endParaRPr lang="en-US"/>
          </a:p>
        </c:txPr>
        <c:crossAx val="421369800"/>
        <c:crosses val="autoZero"/>
        <c:crossBetween val="between"/>
      </c:valAx>
      <c:spPr>
        <a:ln>
          <a:solidFill>
            <a:schemeClr val="bg1">
              <a:lumMod val="65000"/>
            </a:schemeClr>
          </a:solidFill>
        </a:ln>
      </c:spPr>
    </c:plotArea>
    <c:legend>
      <c:legendPos val="b"/>
      <c:layout>
        <c:manualLayout>
          <c:xMode val="edge"/>
          <c:yMode val="edge"/>
          <c:x val="0.67341628405592768"/>
          <c:y val="0.1696457712997464"/>
          <c:w val="0.25848663104546932"/>
          <c:h val="7.0913363929793444E-2"/>
        </c:manualLayout>
      </c:layout>
      <c:overlay val="0"/>
      <c:txPr>
        <a:bodyPr rot="0" vert="horz"/>
        <a:lstStyle/>
        <a:p>
          <a:pPr>
            <a:defRPr/>
          </a:pPr>
          <a:endParaRPr lang="en-US"/>
        </a:p>
      </c:txPr>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9556066257268082"/>
          <c:y val="0.25845048242209162"/>
          <c:w val="0.40462545052681814"/>
          <c:h val="0.71464833093046465"/>
        </c:manualLayout>
      </c:layout>
      <c:pieChart>
        <c:varyColors val="1"/>
        <c:ser>
          <c:idx val="0"/>
          <c:order val="0"/>
          <c:explosion val="6"/>
          <c:dPt>
            <c:idx val="0"/>
            <c:bubble3D val="0"/>
            <c:spPr>
              <a:solidFill>
                <a:schemeClr val="accent4">
                  <a:lumMod val="50000"/>
                </a:schemeClr>
              </a:solidFill>
            </c:spPr>
            <c:extLst>
              <c:ext xmlns:c16="http://schemas.microsoft.com/office/drawing/2014/chart" uri="{C3380CC4-5D6E-409C-BE32-E72D297353CC}">
                <c16:uniqueId val="{00000001-1C21-4E73-B27E-27370CF4E0CB}"/>
              </c:ext>
            </c:extLst>
          </c:dPt>
          <c:dPt>
            <c:idx val="1"/>
            <c:bubble3D val="0"/>
            <c:spPr>
              <a:solidFill>
                <a:schemeClr val="accent4">
                  <a:lumMod val="75000"/>
                </a:schemeClr>
              </a:solidFill>
            </c:spPr>
            <c:extLst>
              <c:ext xmlns:c16="http://schemas.microsoft.com/office/drawing/2014/chart" uri="{C3380CC4-5D6E-409C-BE32-E72D297353CC}">
                <c16:uniqueId val="{00000003-1C21-4E73-B27E-27370CF4E0CB}"/>
              </c:ext>
            </c:extLst>
          </c:dPt>
          <c:dPt>
            <c:idx val="2"/>
            <c:bubble3D val="0"/>
            <c:spPr>
              <a:solidFill>
                <a:schemeClr val="accent4">
                  <a:lumMod val="60000"/>
                  <a:lumOff val="40000"/>
                </a:schemeClr>
              </a:solidFill>
            </c:spPr>
            <c:extLst>
              <c:ext xmlns:c16="http://schemas.microsoft.com/office/drawing/2014/chart" uri="{C3380CC4-5D6E-409C-BE32-E72D297353CC}">
                <c16:uniqueId val="{00000005-1C21-4E73-B27E-27370CF4E0CB}"/>
              </c:ext>
            </c:extLst>
          </c:dPt>
          <c:dLbls>
            <c:dLbl>
              <c:idx val="0"/>
              <c:layout>
                <c:manualLayout>
                  <c:x val="-0.15866483675905557"/>
                  <c:y val="-0.20236176111788842"/>
                </c:manualLayout>
              </c:layout>
              <c:spPr>
                <a:noFill/>
                <a:ln>
                  <a:noFill/>
                </a:ln>
                <a:effectLst/>
              </c:spPr>
              <c:txPr>
                <a:bodyPr wrap="square" lIns="38100" tIns="19050" rIns="38100" bIns="19050" anchor="ctr">
                  <a:spAutoFit/>
                </a:bodyPr>
                <a:lstStyle/>
                <a:p>
                  <a:pPr>
                    <a:defRPr b="0">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21-4E73-B27E-27370CF4E0CB}"/>
                </c:ext>
              </c:extLst>
            </c:dLbl>
            <c:dLbl>
              <c:idx val="1"/>
              <c:layout>
                <c:manualLayout>
                  <c:x val="0.10231184798246662"/>
                  <c:y val="0.1623360319396695"/>
                </c:manualLayout>
              </c:layout>
              <c:spPr>
                <a:noFill/>
                <a:ln>
                  <a:noFill/>
                </a:ln>
                <a:effectLst/>
              </c:spPr>
              <c:txPr>
                <a:bodyPr wrap="square" lIns="38100" tIns="19050" rIns="38100" bIns="19050" anchor="ctr">
                  <a:spAutoFit/>
                </a:bodyPr>
                <a:lstStyle/>
                <a:p>
                  <a:pPr>
                    <a:defRPr b="0">
                      <a:solidFill>
                        <a:schemeClr val="tx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C21-4E73-B27E-27370CF4E0CB}"/>
                </c:ext>
              </c:extLst>
            </c:dLbl>
            <c:dLbl>
              <c:idx val="2"/>
              <c:layout>
                <c:manualLayout>
                  <c:x val="1.828119583477535E-2"/>
                  <c:y val="7.4428302096040816E-3"/>
                </c:manualLayout>
              </c:layout>
              <c:spPr>
                <a:noFill/>
                <a:ln>
                  <a:noFill/>
                </a:ln>
                <a:effectLst/>
              </c:spPr>
              <c:txPr>
                <a:bodyPr wrap="square" lIns="38100" tIns="19050" rIns="38100" bIns="19050" anchor="ctr">
                  <a:spAutoFit/>
                </a:bodyPr>
                <a:lstStyle/>
                <a:p>
                  <a:pPr>
                    <a:defRPr b="0">
                      <a:solidFill>
                        <a:schemeClr val="tx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C21-4E73-B27E-27370CF4E0CB}"/>
                </c:ext>
              </c:extLst>
            </c:dLbl>
            <c:dLbl>
              <c:idx val="4"/>
              <c:layout>
                <c:manualLayout>
                  <c:x val="-0.17770075391293791"/>
                  <c:y val="0.112539129791874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C21-4E73-B27E-27370CF4E0CB}"/>
                </c:ext>
              </c:extLst>
            </c:dLbl>
            <c:dLbl>
              <c:idx val="5"/>
              <c:layout>
                <c:manualLayout>
                  <c:x val="-8.9605043388715166E-2"/>
                  <c:y val="1.1595874459354552E-2"/>
                </c:manualLayout>
              </c:layout>
              <c:tx>
                <c:rich>
                  <a:bodyPr/>
                  <a:lstStyle/>
                  <a:p>
                    <a:r>
                      <a:rPr lang="en-US"/>
                      <a:t>Hand line (Reef)
1%</a:t>
                    </a:r>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C21-4E73-B27E-27370CF4E0CB}"/>
                </c:ext>
              </c:extLst>
            </c:dLbl>
            <c:dLbl>
              <c:idx val="6"/>
              <c:layout>
                <c:manualLayout>
                  <c:x val="0.11981999857673285"/>
                  <c:y val="5.120106465565044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C21-4E73-B27E-27370CF4E0CB}"/>
                </c:ext>
              </c:extLst>
            </c:dLbl>
            <c:dLbl>
              <c:idx val="7"/>
              <c:layout>
                <c:manualLayout>
                  <c:x val="0.18697760866016142"/>
                  <c:y val="0.155963772134117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C21-4E73-B27E-27370CF4E0CB}"/>
                </c:ext>
              </c:extLst>
            </c:dLbl>
            <c:spPr>
              <a:noFill/>
              <a:ln>
                <a:noFill/>
              </a:ln>
              <a:effectLst/>
            </c:spPr>
            <c:txPr>
              <a:bodyPr wrap="square" lIns="38100" tIns="19050" rIns="38100" bIns="19050" anchor="ctr">
                <a:spAutoFit/>
              </a:bodyPr>
              <a:lstStyle/>
              <a:p>
                <a:pPr>
                  <a:defRPr b="0"/>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'9.9'!$AG$6:$AI$6</c:f>
              <c:numCache>
                <c:formatCode>General_)</c:formatCode>
                <c:ptCount val="3"/>
              </c:numCache>
            </c:numRef>
          </c:cat>
          <c:val>
            <c:numRef>
              <c:f>'9.9'!$AG$7:$AI$7</c:f>
              <c:numCache>
                <c:formatCode>General_)</c:formatCode>
                <c:ptCount val="3"/>
              </c:numCache>
            </c:numRef>
          </c:val>
          <c:extLst>
            <c:ext xmlns:c16="http://schemas.microsoft.com/office/drawing/2014/chart" uri="{C3380CC4-5D6E-409C-BE32-E72D297353CC}">
              <c16:uniqueId val="{0000000A-1C21-4E73-B27E-27370CF4E0CB}"/>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9556066257268082"/>
          <c:y val="0.25845048242209162"/>
          <c:w val="0.40462545052681814"/>
          <c:h val="0.71464833093046465"/>
        </c:manualLayout>
      </c:layout>
      <c:pieChart>
        <c:varyColors val="1"/>
        <c:ser>
          <c:idx val="0"/>
          <c:order val="0"/>
          <c:explosion val="7"/>
          <c:dPt>
            <c:idx val="0"/>
            <c:bubble3D val="0"/>
            <c:spPr>
              <a:solidFill>
                <a:schemeClr val="accent4">
                  <a:lumMod val="50000"/>
                </a:schemeClr>
              </a:solidFill>
            </c:spPr>
            <c:extLst>
              <c:ext xmlns:c16="http://schemas.microsoft.com/office/drawing/2014/chart" uri="{C3380CC4-5D6E-409C-BE32-E72D297353CC}">
                <c16:uniqueId val="{00000000-01AF-418F-BF64-7B0C0C759DCA}"/>
              </c:ext>
            </c:extLst>
          </c:dPt>
          <c:dLbls>
            <c:dLbl>
              <c:idx val="5"/>
              <c:tx>
                <c:rich>
                  <a:bodyPr/>
                  <a:lstStyle/>
                  <a:p>
                    <a:r>
                      <a:rPr lang="en-US"/>
                      <a:t>Hand line (Reef)
1%</a:t>
                    </a:r>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469-424A-8E49-99D2613D1BEB}"/>
                </c:ext>
              </c:extLst>
            </c:dLbl>
            <c:spPr>
              <a:noFill/>
              <a:ln>
                <a:noFill/>
              </a:ln>
              <a:effectLst/>
            </c:spPr>
            <c:txPr>
              <a:bodyPr wrap="square" lIns="38100" tIns="19050" rIns="38100" bIns="19050" anchor="ctr">
                <a:spAutoFit/>
              </a:bodyPr>
              <a:lstStyle/>
              <a:p>
                <a:pPr>
                  <a:defRPr b="0"/>
                </a:pPr>
                <a:endParaRPr lang="en-US"/>
              </a:p>
            </c:tx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'9.9'!$AC$4:$AE$4</c:f>
              <c:strCache>
                <c:ptCount val="3"/>
                <c:pt idx="0">
                  <c:v>Pole and Line</c:v>
                </c:pt>
                <c:pt idx="1">
                  <c:v>Hand  Line</c:v>
                </c:pt>
                <c:pt idx="2">
                  <c:v>Other methods</c:v>
                </c:pt>
              </c:strCache>
            </c:strRef>
          </c:cat>
          <c:val>
            <c:numRef>
              <c:f>'9.9'!$AC$5:$AE$5</c:f>
              <c:numCache>
                <c:formatCode>0.0</c:formatCode>
                <c:ptCount val="3"/>
                <c:pt idx="0">
                  <c:v>80.172670134023591</c:v>
                </c:pt>
                <c:pt idx="1">
                  <c:v>18.70465755671324</c:v>
                </c:pt>
                <c:pt idx="2">
                  <c:v>1.1226723092631659</c:v>
                </c:pt>
              </c:numCache>
            </c:numRef>
          </c:val>
          <c:extLst>
            <c:ext xmlns:c16="http://schemas.microsoft.com/office/drawing/2014/chart" uri="{C3380CC4-5D6E-409C-BE32-E72D297353CC}">
              <c16:uniqueId val="{0000000A-9469-424A-8E49-99D2613D1BEB}"/>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9556066257268082"/>
          <c:y val="0.25845048242209162"/>
          <c:w val="0.40462545052681814"/>
          <c:h val="0.71464833093046465"/>
        </c:manualLayout>
      </c:layout>
      <c:pieChart>
        <c:varyColors val="1"/>
        <c:ser>
          <c:idx val="0"/>
          <c:order val="0"/>
          <c:explosion val="6"/>
          <c:dPt>
            <c:idx val="0"/>
            <c:bubble3D val="0"/>
            <c:spPr>
              <a:solidFill>
                <a:schemeClr val="accent4">
                  <a:lumMod val="50000"/>
                </a:schemeClr>
              </a:solidFill>
            </c:spPr>
            <c:extLst>
              <c:ext xmlns:c16="http://schemas.microsoft.com/office/drawing/2014/chart" uri="{C3380CC4-5D6E-409C-BE32-E72D297353CC}">
                <c16:uniqueId val="{00000001-80D8-4C8E-8B04-8C5640AF69C5}"/>
              </c:ext>
            </c:extLst>
          </c:dPt>
          <c:dPt>
            <c:idx val="1"/>
            <c:bubble3D val="0"/>
            <c:spPr>
              <a:solidFill>
                <a:schemeClr val="accent4">
                  <a:lumMod val="75000"/>
                </a:schemeClr>
              </a:solidFill>
            </c:spPr>
            <c:extLst>
              <c:ext xmlns:c16="http://schemas.microsoft.com/office/drawing/2014/chart" uri="{C3380CC4-5D6E-409C-BE32-E72D297353CC}">
                <c16:uniqueId val="{00000003-80D8-4C8E-8B04-8C5640AF69C5}"/>
              </c:ext>
            </c:extLst>
          </c:dPt>
          <c:dPt>
            <c:idx val="2"/>
            <c:bubble3D val="0"/>
            <c:spPr>
              <a:solidFill>
                <a:schemeClr val="accent4">
                  <a:lumMod val="60000"/>
                  <a:lumOff val="40000"/>
                </a:schemeClr>
              </a:solidFill>
            </c:spPr>
            <c:extLst>
              <c:ext xmlns:c16="http://schemas.microsoft.com/office/drawing/2014/chart" uri="{C3380CC4-5D6E-409C-BE32-E72D297353CC}">
                <c16:uniqueId val="{00000005-80D8-4C8E-8B04-8C5640AF69C5}"/>
              </c:ext>
            </c:extLst>
          </c:dPt>
          <c:dLbls>
            <c:dLbl>
              <c:idx val="0"/>
              <c:layout>
                <c:manualLayout>
                  <c:x val="-0.15866483675905557"/>
                  <c:y val="-0.20236176111788842"/>
                </c:manualLayout>
              </c:layout>
              <c:spPr>
                <a:noFill/>
                <a:ln>
                  <a:noFill/>
                </a:ln>
                <a:effectLst/>
              </c:spPr>
              <c:txPr>
                <a:bodyPr wrap="square" lIns="38100" tIns="19050" rIns="38100" bIns="19050" anchor="ctr">
                  <a:spAutoFit/>
                </a:bodyPr>
                <a:lstStyle/>
                <a:p>
                  <a:pPr>
                    <a:defRPr b="0">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0D8-4C8E-8B04-8C5640AF69C5}"/>
                </c:ext>
              </c:extLst>
            </c:dLbl>
            <c:dLbl>
              <c:idx val="1"/>
              <c:layout>
                <c:manualLayout>
                  <c:x val="0.10231184798246662"/>
                  <c:y val="0.1623360319396695"/>
                </c:manualLayout>
              </c:layout>
              <c:spPr>
                <a:noFill/>
                <a:ln>
                  <a:noFill/>
                </a:ln>
                <a:effectLst/>
              </c:spPr>
              <c:txPr>
                <a:bodyPr wrap="square" lIns="38100" tIns="19050" rIns="38100" bIns="19050" anchor="ctr">
                  <a:spAutoFit/>
                </a:bodyPr>
                <a:lstStyle/>
                <a:p>
                  <a:pPr>
                    <a:defRPr b="0">
                      <a:solidFill>
                        <a:schemeClr val="tx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D8-4C8E-8B04-8C5640AF69C5}"/>
                </c:ext>
              </c:extLst>
            </c:dLbl>
            <c:dLbl>
              <c:idx val="2"/>
              <c:layout>
                <c:manualLayout>
                  <c:x val="1.828119583477535E-2"/>
                  <c:y val="7.4428302096040816E-3"/>
                </c:manualLayout>
              </c:layout>
              <c:spPr>
                <a:noFill/>
                <a:ln>
                  <a:noFill/>
                </a:ln>
                <a:effectLst/>
              </c:spPr>
              <c:txPr>
                <a:bodyPr wrap="square" lIns="38100" tIns="19050" rIns="38100" bIns="19050" anchor="ctr">
                  <a:spAutoFit/>
                </a:bodyPr>
                <a:lstStyle/>
                <a:p>
                  <a:pPr>
                    <a:defRPr b="0">
                      <a:solidFill>
                        <a:schemeClr val="tx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0D8-4C8E-8B04-8C5640AF69C5}"/>
                </c:ext>
              </c:extLst>
            </c:dLbl>
            <c:dLbl>
              <c:idx val="4"/>
              <c:layout>
                <c:manualLayout>
                  <c:x val="-0.17770075391293791"/>
                  <c:y val="0.112539129791874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0D8-4C8E-8B04-8C5640AF69C5}"/>
                </c:ext>
              </c:extLst>
            </c:dLbl>
            <c:dLbl>
              <c:idx val="5"/>
              <c:layout>
                <c:manualLayout>
                  <c:x val="-8.9605043388715166E-2"/>
                  <c:y val="1.1595874459354552E-2"/>
                </c:manualLayout>
              </c:layout>
              <c:tx>
                <c:rich>
                  <a:bodyPr/>
                  <a:lstStyle/>
                  <a:p>
                    <a:r>
                      <a:rPr lang="en-US"/>
                      <a:t>Hand line (Reef)
1%</a:t>
                    </a:r>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0D8-4C8E-8B04-8C5640AF69C5}"/>
                </c:ext>
              </c:extLst>
            </c:dLbl>
            <c:dLbl>
              <c:idx val="6"/>
              <c:layout>
                <c:manualLayout>
                  <c:x val="0.11981999857673285"/>
                  <c:y val="5.120106465565044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80D8-4C8E-8B04-8C5640AF69C5}"/>
                </c:ext>
              </c:extLst>
            </c:dLbl>
            <c:dLbl>
              <c:idx val="7"/>
              <c:layout>
                <c:manualLayout>
                  <c:x val="0.18697760866016142"/>
                  <c:y val="0.155963772134117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0D8-4C8E-8B04-8C5640AF69C5}"/>
                </c:ext>
              </c:extLst>
            </c:dLbl>
            <c:spPr>
              <a:noFill/>
              <a:ln>
                <a:noFill/>
              </a:ln>
              <a:effectLst/>
            </c:spPr>
            <c:txPr>
              <a:bodyPr wrap="square" lIns="38100" tIns="19050" rIns="38100" bIns="19050" anchor="ctr">
                <a:spAutoFit/>
              </a:bodyPr>
              <a:lstStyle/>
              <a:p>
                <a:pPr>
                  <a:defRPr b="0"/>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'[1]9.9'!$AG$6:$AI$6</c:f>
              <c:numCache>
                <c:formatCode>General</c:formatCode>
                <c:ptCount val="3"/>
              </c:numCache>
            </c:numRef>
          </c:cat>
          <c:val>
            <c:numRef>
              <c:f>'[1]9.9'!$AG$7:$AI$7</c:f>
              <c:numCache>
                <c:formatCode>General</c:formatCode>
                <c:ptCount val="3"/>
              </c:numCache>
            </c:numRef>
          </c:val>
          <c:extLst>
            <c:ext xmlns:c16="http://schemas.microsoft.com/office/drawing/2014/chart" uri="{C3380CC4-5D6E-409C-BE32-E72D297353CC}">
              <c16:uniqueId val="{0000000A-80D8-4C8E-8B04-8C5640AF69C5}"/>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9556066257268082"/>
          <c:y val="0.25845048242209162"/>
          <c:w val="0.40462545052681814"/>
          <c:h val="0.71464833093046465"/>
        </c:manualLayout>
      </c:layout>
      <c:pieChart>
        <c:varyColors val="1"/>
        <c:ser>
          <c:idx val="0"/>
          <c:order val="0"/>
          <c:explosion val="7"/>
          <c:dPt>
            <c:idx val="0"/>
            <c:bubble3D val="0"/>
            <c:spPr>
              <a:solidFill>
                <a:schemeClr val="accent4">
                  <a:lumMod val="50000"/>
                </a:schemeClr>
              </a:solidFill>
            </c:spPr>
            <c:extLst>
              <c:ext xmlns:c16="http://schemas.microsoft.com/office/drawing/2014/chart" uri="{C3380CC4-5D6E-409C-BE32-E72D297353CC}">
                <c16:uniqueId val="{00000001-8D68-4D69-871F-4E9F454EF224}"/>
              </c:ext>
            </c:extLst>
          </c:dPt>
          <c:dLbls>
            <c:dLbl>
              <c:idx val="5"/>
              <c:tx>
                <c:rich>
                  <a:bodyPr/>
                  <a:lstStyle/>
                  <a:p>
                    <a:r>
                      <a:rPr lang="en-US"/>
                      <a:t>Hand line (Reef)
1%</a:t>
                    </a:r>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D68-4D69-871F-4E9F454EF224}"/>
                </c:ext>
              </c:extLst>
            </c:dLbl>
            <c:spPr>
              <a:noFill/>
              <a:ln>
                <a:noFill/>
              </a:ln>
              <a:effectLst/>
            </c:spPr>
            <c:txPr>
              <a:bodyPr wrap="square" lIns="38100" tIns="19050" rIns="38100" bIns="19050" anchor="ctr">
                <a:spAutoFit/>
              </a:bodyPr>
              <a:lstStyle/>
              <a:p>
                <a:pPr>
                  <a:defRPr b="0"/>
                </a:pPr>
                <a:endParaRPr lang="en-US"/>
              </a:p>
            </c:tx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'[1]9.9'!$AC$4:$AE$4</c:f>
              <c:strCache>
                <c:ptCount val="3"/>
                <c:pt idx="0">
                  <c:v>Pole and Line</c:v>
                </c:pt>
                <c:pt idx="1">
                  <c:v>Hand  Line</c:v>
                </c:pt>
                <c:pt idx="2">
                  <c:v>Other methods</c:v>
                </c:pt>
              </c:strCache>
            </c:strRef>
          </c:cat>
          <c:val>
            <c:numRef>
              <c:f>'[1]9.9'!$AC$5:$AE$5</c:f>
              <c:numCache>
                <c:formatCode>General</c:formatCode>
                <c:ptCount val="3"/>
                <c:pt idx="0">
                  <c:v>80.172670134023591</c:v>
                </c:pt>
                <c:pt idx="1">
                  <c:v>18.70465755671324</c:v>
                </c:pt>
                <c:pt idx="2">
                  <c:v>1.1226723092631659</c:v>
                </c:pt>
              </c:numCache>
            </c:numRef>
          </c:val>
          <c:extLst>
            <c:ext xmlns:c16="http://schemas.microsoft.com/office/drawing/2014/chart" uri="{C3380CC4-5D6E-409C-BE32-E72D297353CC}">
              <c16:uniqueId val="{00000003-8D68-4D69-871F-4E9F454EF224}"/>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200">
                <a:latin typeface="Consolas" pitchFamily="49" charset="0"/>
                <a:cs typeface="Consolas" pitchFamily="49" charset="0"/>
              </a:defRPr>
            </a:pPr>
            <a:r>
              <a:rPr lang="en-US" sz="1200">
                <a:latin typeface="Consolas" pitchFamily="49" charset="0"/>
                <a:cs typeface="Consolas" pitchFamily="49" charset="0"/>
              </a:rPr>
              <a:t>Figure</a:t>
            </a:r>
            <a:r>
              <a:rPr lang="en-US" sz="1200" baseline="0">
                <a:latin typeface="Consolas" pitchFamily="49" charset="0"/>
                <a:cs typeface="Consolas" pitchFamily="49" charset="0"/>
              </a:rPr>
              <a:t> </a:t>
            </a:r>
            <a:r>
              <a:rPr lang="en-US" sz="1200">
                <a:latin typeface="Consolas" pitchFamily="49" charset="0"/>
                <a:cs typeface="Consolas" pitchFamily="49" charset="0"/>
              </a:rPr>
              <a:t>9.7: Number of fisherman by Atolls, 2015 - 2020</a:t>
            </a:r>
          </a:p>
        </c:rich>
      </c:tx>
      <c:layout>
        <c:manualLayout>
          <c:xMode val="edge"/>
          <c:yMode val="edge"/>
          <c:x val="0.2554367760156579"/>
          <c:y val="5.881534187797504E-2"/>
        </c:manualLayout>
      </c:layout>
      <c:overlay val="0"/>
    </c:title>
    <c:autoTitleDeleted val="0"/>
    <c:plotArea>
      <c:layout>
        <c:manualLayout>
          <c:layoutTarget val="inner"/>
          <c:xMode val="edge"/>
          <c:yMode val="edge"/>
          <c:x val="0.11067763787194417"/>
          <c:y val="0.17623833662234997"/>
          <c:w val="0.86060231257408648"/>
          <c:h val="0.66653743970077139"/>
        </c:manualLayout>
      </c:layout>
      <c:barChart>
        <c:barDir val="col"/>
        <c:grouping val="clustered"/>
        <c:varyColors val="0"/>
        <c:ser>
          <c:idx val="2"/>
          <c:order val="0"/>
          <c:tx>
            <c:strRef>
              <c:f>'9.11'!$F$4</c:f>
              <c:strCache>
                <c:ptCount val="1"/>
                <c:pt idx="0">
                  <c:v>2016</c:v>
                </c:pt>
              </c:strCache>
            </c:strRef>
          </c:tx>
          <c:spPr>
            <a:solidFill>
              <a:schemeClr val="accent4">
                <a:lumMod val="50000"/>
              </a:schemeClr>
            </a:solidFill>
          </c:spPr>
          <c:invertIfNegative val="0"/>
          <c:cat>
            <c:strRef>
              <c:f>'9.11'!$A$6:$A$25</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'9.11'!$F$6:$F$25</c:f>
              <c:numCache>
                <c:formatCode>#,##0_);[Red]\(#,##0\)</c:formatCode>
                <c:ptCount val="20"/>
                <c:pt idx="0">
                  <c:v>466.18763460825454</c:v>
                </c:pt>
                <c:pt idx="1">
                  <c:v>318.58381333544037</c:v>
                </c:pt>
                <c:pt idx="2">
                  <c:v>592.04790654324313</c:v>
                </c:pt>
                <c:pt idx="3">
                  <c:v>212.01815856029657</c:v>
                </c:pt>
                <c:pt idx="4">
                  <c:v>537.31798286868298</c:v>
                </c:pt>
                <c:pt idx="5">
                  <c:v>497.87533278999985</c:v>
                </c:pt>
                <c:pt idx="6">
                  <c:v>248.93766639499992</c:v>
                </c:pt>
                <c:pt idx="7">
                  <c:v>397.39490342680705</c:v>
                </c:pt>
                <c:pt idx="8">
                  <c:v>304.29837563055514</c:v>
                </c:pt>
                <c:pt idx="9">
                  <c:v>201.14638389138392</c:v>
                </c:pt>
                <c:pt idx="10">
                  <c:v>64.117497023484873</c:v>
                </c:pt>
                <c:pt idx="11">
                  <c:v>266.33992687186014</c:v>
                </c:pt>
                <c:pt idx="12">
                  <c:v>233.16802737012662</c:v>
                </c:pt>
                <c:pt idx="13">
                  <c:v>282.25798602873226</c:v>
                </c:pt>
                <c:pt idx="14">
                  <c:v>487.22618831908551</c:v>
                </c:pt>
                <c:pt idx="15">
                  <c:v>581.91823253432483</c:v>
                </c:pt>
                <c:pt idx="16">
                  <c:v>538.24560869367531</c:v>
                </c:pt>
                <c:pt idx="17">
                  <c:v>562.69782544047905</c:v>
                </c:pt>
                <c:pt idx="18">
                  <c:v>47.642862371617213</c:v>
                </c:pt>
                <c:pt idx="19">
                  <c:v>205.15372745535169</c:v>
                </c:pt>
              </c:numCache>
            </c:numRef>
          </c:val>
          <c:extLst>
            <c:ext xmlns:c16="http://schemas.microsoft.com/office/drawing/2014/chart" uri="{C3380CC4-5D6E-409C-BE32-E72D297353CC}">
              <c16:uniqueId val="{00000000-968F-45E0-A8C5-37E1CB3C0A61}"/>
            </c:ext>
          </c:extLst>
        </c:ser>
        <c:ser>
          <c:idx val="0"/>
          <c:order val="1"/>
          <c:tx>
            <c:strRef>
              <c:f>'9.11'!$G$4</c:f>
              <c:strCache>
                <c:ptCount val="1"/>
                <c:pt idx="0">
                  <c:v>2017</c:v>
                </c:pt>
              </c:strCache>
            </c:strRef>
          </c:tx>
          <c:invertIfNegative val="0"/>
          <c:cat>
            <c:strRef>
              <c:f>'9.11'!$A$6:$A$25</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'9.11'!$G$6:$G$25</c:f>
              <c:numCache>
                <c:formatCode>#,##0_);[Red]\(#,##0\)</c:formatCode>
                <c:ptCount val="20"/>
                <c:pt idx="0">
                  <c:v>902</c:v>
                </c:pt>
                <c:pt idx="1">
                  <c:v>915</c:v>
                </c:pt>
                <c:pt idx="2">
                  <c:v>1274</c:v>
                </c:pt>
                <c:pt idx="3">
                  <c:v>1002</c:v>
                </c:pt>
                <c:pt idx="4">
                  <c:v>1364</c:v>
                </c:pt>
                <c:pt idx="5">
                  <c:v>789</c:v>
                </c:pt>
                <c:pt idx="6">
                  <c:v>621</c:v>
                </c:pt>
                <c:pt idx="7">
                  <c:v>828</c:v>
                </c:pt>
                <c:pt idx="8">
                  <c:v>610</c:v>
                </c:pt>
                <c:pt idx="9">
                  <c:v>926</c:v>
                </c:pt>
                <c:pt idx="10">
                  <c:v>107</c:v>
                </c:pt>
                <c:pt idx="11">
                  <c:v>554</c:v>
                </c:pt>
                <c:pt idx="12">
                  <c:v>901</c:v>
                </c:pt>
                <c:pt idx="13">
                  <c:v>628</c:v>
                </c:pt>
                <c:pt idx="14">
                  <c:v>1036</c:v>
                </c:pt>
                <c:pt idx="15">
                  <c:v>1046</c:v>
                </c:pt>
                <c:pt idx="16">
                  <c:v>1087</c:v>
                </c:pt>
                <c:pt idx="17">
                  <c:v>2042</c:v>
                </c:pt>
                <c:pt idx="18">
                  <c:v>322</c:v>
                </c:pt>
                <c:pt idx="19">
                  <c:v>635</c:v>
                </c:pt>
              </c:numCache>
            </c:numRef>
          </c:val>
          <c:extLst>
            <c:ext xmlns:c16="http://schemas.microsoft.com/office/drawing/2014/chart" uri="{C3380CC4-5D6E-409C-BE32-E72D297353CC}">
              <c16:uniqueId val="{00000000-CE44-4B24-8AE9-4DE661C21F10}"/>
            </c:ext>
          </c:extLst>
        </c:ser>
        <c:ser>
          <c:idx val="1"/>
          <c:order val="2"/>
          <c:tx>
            <c:strRef>
              <c:f>'9.11'!$H$4</c:f>
              <c:strCache>
                <c:ptCount val="1"/>
                <c:pt idx="0">
                  <c:v>2018</c:v>
                </c:pt>
              </c:strCache>
            </c:strRef>
          </c:tx>
          <c:invertIfNegative val="0"/>
          <c:cat>
            <c:strRef>
              <c:f>'9.11'!$A$6:$A$25</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'9.11'!$H$6:$H$25</c:f>
              <c:numCache>
                <c:formatCode>#,##0_);[Red]\(#,##0\)</c:formatCode>
                <c:ptCount val="20"/>
              </c:numCache>
            </c:numRef>
          </c:val>
          <c:extLst>
            <c:ext xmlns:c16="http://schemas.microsoft.com/office/drawing/2014/chart" uri="{C3380CC4-5D6E-409C-BE32-E72D297353CC}">
              <c16:uniqueId val="{00000000-8629-4493-A5E9-E592BDFC0A11}"/>
            </c:ext>
          </c:extLst>
        </c:ser>
        <c:ser>
          <c:idx val="3"/>
          <c:order val="3"/>
          <c:tx>
            <c:strRef>
              <c:f>'9.11'!$I$4</c:f>
              <c:strCache>
                <c:ptCount val="1"/>
                <c:pt idx="0">
                  <c:v>2019</c:v>
                </c:pt>
              </c:strCache>
            </c:strRef>
          </c:tx>
          <c:invertIfNegative val="0"/>
          <c:cat>
            <c:strRef>
              <c:f>'9.11'!$A$6:$A$25</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'9.11'!$I$6:$I$25</c:f>
              <c:numCache>
                <c:formatCode>#,##0_);[Red]\(#,##0\)</c:formatCode>
                <c:ptCount val="20"/>
              </c:numCache>
            </c:numRef>
          </c:val>
          <c:extLst>
            <c:ext xmlns:c16="http://schemas.microsoft.com/office/drawing/2014/chart" uri="{C3380CC4-5D6E-409C-BE32-E72D297353CC}">
              <c16:uniqueId val="{00000001-8629-4493-A5E9-E592BDFC0A11}"/>
            </c:ext>
          </c:extLst>
        </c:ser>
        <c:ser>
          <c:idx val="4"/>
          <c:order val="4"/>
          <c:tx>
            <c:strRef>
              <c:f>'9.11'!$J$4</c:f>
              <c:strCache>
                <c:ptCount val="1"/>
                <c:pt idx="0">
                  <c:v>2020</c:v>
                </c:pt>
              </c:strCache>
            </c:strRef>
          </c:tx>
          <c:invertIfNegative val="0"/>
          <c:cat>
            <c:strRef>
              <c:f>'9.11'!$A$6:$A$25</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'9.11'!$J$6:$J$25</c:f>
              <c:numCache>
                <c:formatCode>#,##0_);[Red]\(#,##0\)</c:formatCode>
                <c:ptCount val="20"/>
              </c:numCache>
            </c:numRef>
          </c:val>
          <c:extLst>
            <c:ext xmlns:c16="http://schemas.microsoft.com/office/drawing/2014/chart" uri="{C3380CC4-5D6E-409C-BE32-E72D297353CC}">
              <c16:uniqueId val="{00000002-8629-4493-A5E9-E592BDFC0A11}"/>
            </c:ext>
          </c:extLst>
        </c:ser>
        <c:dLbls>
          <c:showLegendKey val="0"/>
          <c:showVal val="0"/>
          <c:showCatName val="0"/>
          <c:showSerName val="0"/>
          <c:showPercent val="0"/>
          <c:showBubbleSize val="0"/>
        </c:dLbls>
        <c:gapWidth val="150"/>
        <c:axId val="333959936"/>
        <c:axId val="424710224"/>
      </c:barChart>
      <c:catAx>
        <c:axId val="333959936"/>
        <c:scaling>
          <c:orientation val="minMax"/>
        </c:scaling>
        <c:delete val="0"/>
        <c:axPos val="b"/>
        <c:numFmt formatCode="General" sourceLinked="1"/>
        <c:majorTickMark val="none"/>
        <c:minorTickMark val="none"/>
        <c:tickLblPos val="nextTo"/>
        <c:txPr>
          <a:bodyPr rot="0" vert="horz"/>
          <a:lstStyle/>
          <a:p>
            <a:pPr>
              <a:defRPr/>
            </a:pPr>
            <a:endParaRPr lang="en-US"/>
          </a:p>
        </c:txPr>
        <c:crossAx val="424710224"/>
        <c:crosses val="autoZero"/>
        <c:auto val="1"/>
        <c:lblAlgn val="ctr"/>
        <c:lblOffset val="100"/>
        <c:noMultiLvlLbl val="0"/>
      </c:catAx>
      <c:valAx>
        <c:axId val="424710224"/>
        <c:scaling>
          <c:orientation val="minMax"/>
        </c:scaling>
        <c:delete val="0"/>
        <c:axPos val="l"/>
        <c:majorGridlines>
          <c:spPr>
            <a:ln>
              <a:noFill/>
            </a:ln>
          </c:spPr>
        </c:majorGridlines>
        <c:title>
          <c:tx>
            <c:rich>
              <a:bodyPr/>
              <a:lstStyle/>
              <a:p>
                <a:pPr>
                  <a:defRPr/>
                </a:pPr>
                <a:r>
                  <a:rPr lang="en-US"/>
                  <a:t>Number</a:t>
                </a:r>
              </a:p>
            </c:rich>
          </c:tx>
          <c:layout>
            <c:manualLayout>
              <c:xMode val="edge"/>
              <c:yMode val="edge"/>
              <c:x val="5.196286529165841E-3"/>
              <c:y val="0.36092650115983205"/>
            </c:manualLayout>
          </c:layout>
          <c:overlay val="0"/>
        </c:title>
        <c:numFmt formatCode="#,##0_);[Red]\(#,##0\)" sourceLinked="1"/>
        <c:majorTickMark val="out"/>
        <c:minorTickMark val="none"/>
        <c:tickLblPos val="nextTo"/>
        <c:txPr>
          <a:bodyPr rot="0" vert="horz"/>
          <a:lstStyle/>
          <a:p>
            <a:pPr>
              <a:defRPr/>
            </a:pPr>
            <a:endParaRPr lang="en-US"/>
          </a:p>
        </c:txPr>
        <c:crossAx val="333959936"/>
        <c:crosses val="autoZero"/>
        <c:crossBetween val="between"/>
      </c:valAx>
      <c:spPr>
        <a:ln>
          <a:solidFill>
            <a:schemeClr val="bg1">
              <a:lumMod val="65000"/>
            </a:schemeClr>
          </a:solidFill>
        </a:ln>
      </c:spPr>
    </c:plotArea>
    <c:legend>
      <c:legendPos val="r"/>
      <c:layout>
        <c:manualLayout>
          <c:xMode val="edge"/>
          <c:yMode val="edge"/>
          <c:x val="0.39065639855302142"/>
          <c:y val="0.21107871486412039"/>
          <c:w val="7.374725546997106E-2"/>
          <c:h val="0.4203345940460973"/>
        </c:manualLayout>
      </c:layout>
      <c:overlay val="0"/>
    </c:legend>
    <c:plotVisOnly val="1"/>
    <c:dispBlanksAs val="gap"/>
    <c:showDLblsOverMax val="0"/>
  </c:chart>
  <c:printSettings>
    <c:headerFooter/>
    <c:pageMargins b="0.75000000000000122" l="0.70000000000000062" r="0.70000000000000062" t="0.75000000000000122" header="0.30000000000000032" footer="0.30000000000000032"/>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050">
                <a:latin typeface="Consolas" pitchFamily="49" charset="0"/>
                <a:cs typeface="Consolas" pitchFamily="49" charset="0"/>
              </a:defRPr>
            </a:pPr>
            <a:r>
              <a:rPr lang="en-US" sz="1050">
                <a:latin typeface="Consolas" pitchFamily="49" charset="0"/>
                <a:cs typeface="Consolas" pitchFamily="49" charset="0"/>
              </a:rPr>
              <a:t>Figure 9.8: Imports of fresh agricultural crops by Country, 2018</a:t>
            </a:r>
          </a:p>
        </c:rich>
      </c:tx>
      <c:layout>
        <c:manualLayout>
          <c:xMode val="edge"/>
          <c:yMode val="edge"/>
          <c:x val="0.2323128127050525"/>
          <c:y val="5.5167411505994184E-2"/>
        </c:manualLayout>
      </c:layout>
      <c:overlay val="0"/>
    </c:title>
    <c:autoTitleDeleted val="0"/>
    <c:plotArea>
      <c:layout>
        <c:manualLayout>
          <c:layoutTarget val="inner"/>
          <c:xMode val="edge"/>
          <c:yMode val="edge"/>
          <c:x val="0.1326278245980971"/>
          <c:y val="0.17630082683349171"/>
          <c:w val="0.84210906742125979"/>
          <c:h val="0.7060363907214301"/>
        </c:manualLayout>
      </c:layout>
      <c:barChart>
        <c:barDir val="col"/>
        <c:grouping val="clustered"/>
        <c:varyColors val="0"/>
        <c:ser>
          <c:idx val="0"/>
          <c:order val="0"/>
          <c:spPr>
            <a:solidFill>
              <a:srgbClr val="FFCC66"/>
            </a:solidFill>
          </c:spPr>
          <c:invertIfNegative val="0"/>
          <c:cat>
            <c:strRef>
              <c:f>'9.12'!$Y$43:$Y$48</c:f>
              <c:strCache>
                <c:ptCount val="6"/>
                <c:pt idx="0">
                  <c:v>India</c:v>
                </c:pt>
                <c:pt idx="1">
                  <c:v>U.A.E</c:v>
                </c:pt>
                <c:pt idx="2">
                  <c:v>Srilanka</c:v>
                </c:pt>
                <c:pt idx="3">
                  <c:v>Thailand</c:v>
                </c:pt>
                <c:pt idx="4">
                  <c:v>Other Countries</c:v>
                </c:pt>
                <c:pt idx="5">
                  <c:v>Australia</c:v>
                </c:pt>
              </c:strCache>
            </c:strRef>
          </c:cat>
          <c:val>
            <c:numRef>
              <c:f>'9.12'!$Z$43:$Z$48</c:f>
              <c:numCache>
                <c:formatCode>General_)</c:formatCode>
                <c:ptCount val="6"/>
                <c:pt idx="0">
                  <c:v>124404067.35999998</c:v>
                </c:pt>
                <c:pt idx="1">
                  <c:v>89466498.949999988</c:v>
                </c:pt>
                <c:pt idx="2">
                  <c:v>84504694.510000005</c:v>
                </c:pt>
                <c:pt idx="3">
                  <c:v>76314727.409999982</c:v>
                </c:pt>
                <c:pt idx="4">
                  <c:v>42838737.359999999</c:v>
                </c:pt>
                <c:pt idx="5">
                  <c:v>19911562.610000003</c:v>
                </c:pt>
              </c:numCache>
            </c:numRef>
          </c:val>
          <c:extLst>
            <c:ext xmlns:c16="http://schemas.microsoft.com/office/drawing/2014/chart" uri="{C3380CC4-5D6E-409C-BE32-E72D297353CC}">
              <c16:uniqueId val="{00000000-D281-4561-9385-881463F2A9BD}"/>
            </c:ext>
          </c:extLst>
        </c:ser>
        <c:dLbls>
          <c:showLegendKey val="0"/>
          <c:showVal val="0"/>
          <c:showCatName val="0"/>
          <c:showSerName val="0"/>
          <c:showPercent val="0"/>
          <c:showBubbleSize val="0"/>
        </c:dLbls>
        <c:gapWidth val="150"/>
        <c:axId val="424709048"/>
        <c:axId val="424712184"/>
      </c:barChart>
      <c:catAx>
        <c:axId val="424709048"/>
        <c:scaling>
          <c:orientation val="minMax"/>
        </c:scaling>
        <c:delete val="0"/>
        <c:axPos val="b"/>
        <c:numFmt formatCode="General" sourceLinked="1"/>
        <c:majorTickMark val="none"/>
        <c:minorTickMark val="none"/>
        <c:tickLblPos val="nextTo"/>
        <c:txPr>
          <a:bodyPr rot="0" vert="horz"/>
          <a:lstStyle/>
          <a:p>
            <a:pPr>
              <a:defRPr/>
            </a:pPr>
            <a:endParaRPr lang="en-US"/>
          </a:p>
        </c:txPr>
        <c:crossAx val="424712184"/>
        <c:crosses val="autoZero"/>
        <c:auto val="1"/>
        <c:lblAlgn val="ctr"/>
        <c:lblOffset val="100"/>
        <c:noMultiLvlLbl val="0"/>
      </c:catAx>
      <c:valAx>
        <c:axId val="424712184"/>
        <c:scaling>
          <c:orientation val="minMax"/>
        </c:scaling>
        <c:delete val="0"/>
        <c:axPos val="l"/>
        <c:majorGridlines>
          <c:spPr>
            <a:ln>
              <a:noFill/>
            </a:ln>
          </c:spPr>
        </c:majorGridlines>
        <c:title>
          <c:tx>
            <c:rich>
              <a:bodyPr/>
              <a:lstStyle/>
              <a:p>
                <a:pPr>
                  <a:defRPr/>
                </a:pPr>
                <a:r>
                  <a:rPr lang="en-US"/>
                  <a:t>(Value in MVR)</a:t>
                </a:r>
              </a:p>
            </c:rich>
          </c:tx>
          <c:layout>
            <c:manualLayout>
              <c:xMode val="edge"/>
              <c:yMode val="edge"/>
              <c:x val="9.8238086450131226E-3"/>
              <c:y val="0.32085053557494503"/>
            </c:manualLayout>
          </c:layout>
          <c:overlay val="0"/>
        </c:title>
        <c:numFmt formatCode="#,##0" sourceLinked="0"/>
        <c:majorTickMark val="none"/>
        <c:minorTickMark val="none"/>
        <c:tickLblPos val="nextTo"/>
        <c:txPr>
          <a:bodyPr rot="0" vert="horz"/>
          <a:lstStyle/>
          <a:p>
            <a:pPr>
              <a:defRPr/>
            </a:pPr>
            <a:endParaRPr lang="en-US"/>
          </a:p>
        </c:txPr>
        <c:crossAx val="424709048"/>
        <c:crosses val="autoZero"/>
        <c:crossBetween val="between"/>
      </c:valAx>
      <c:spPr>
        <a:noFill/>
        <a:ln>
          <a:solidFill>
            <a:schemeClr val="bg1">
              <a:lumMod val="65000"/>
            </a:schemeClr>
          </a:solidFill>
        </a:ln>
      </c:spPr>
    </c:plotArea>
    <c:plotVisOnly val="1"/>
    <c:dispBlanksAs val="gap"/>
    <c:showDLblsOverMax val="0"/>
  </c:chart>
  <c:printSettings>
    <c:headerFooter/>
    <c:pageMargins b="0.75000000000000089" l="0.70000000000000062" r="0.70000000000000062" t="0.75000000000000089" header="0.30000000000000032" footer="0.30000000000000032"/>
    <c:pageSetup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3027774108881551"/>
          <c:y val="0.1829870875515561"/>
          <c:w val="0.84649662682275595"/>
          <c:h val="0.71617445457113138"/>
        </c:manualLayout>
      </c:layout>
      <c:barChart>
        <c:barDir val="col"/>
        <c:grouping val="clustered"/>
        <c:varyColors val="0"/>
        <c:ser>
          <c:idx val="0"/>
          <c:order val="0"/>
          <c:spPr>
            <a:solidFill>
              <a:srgbClr val="FFCC66"/>
            </a:solidFill>
          </c:spPr>
          <c:invertIfNegative val="0"/>
          <c:cat>
            <c:numRef>
              <c:f>'9.14'!$B$5:$F$5</c:f>
              <c:numCache>
                <c:formatCode>General</c:formatCode>
                <c:ptCount val="5"/>
                <c:pt idx="0">
                  <c:v>2014</c:v>
                </c:pt>
                <c:pt idx="1">
                  <c:v>2015</c:v>
                </c:pt>
                <c:pt idx="2">
                  <c:v>2016</c:v>
                </c:pt>
                <c:pt idx="3">
                  <c:v>2017</c:v>
                </c:pt>
                <c:pt idx="4">
                  <c:v>2018</c:v>
                </c:pt>
              </c:numCache>
            </c:numRef>
          </c:cat>
          <c:val>
            <c:numRef>
              <c:f>'9.14'!$B$6:$F$6</c:f>
              <c:numCache>
                <c:formatCode>#,##0_);[Red]\(#,##0\)</c:formatCode>
                <c:ptCount val="5"/>
                <c:pt idx="0">
                  <c:v>302002607.58999997</c:v>
                </c:pt>
                <c:pt idx="1">
                  <c:v>330503715.94</c:v>
                </c:pt>
                <c:pt idx="2">
                  <c:v>356030840.86999995</c:v>
                </c:pt>
                <c:pt idx="3">
                  <c:v>400897835.12256002</c:v>
                </c:pt>
                <c:pt idx="4">
                  <c:v>437440288.20000005</c:v>
                </c:pt>
              </c:numCache>
            </c:numRef>
          </c:val>
          <c:extLst>
            <c:ext xmlns:c16="http://schemas.microsoft.com/office/drawing/2014/chart" uri="{C3380CC4-5D6E-409C-BE32-E72D297353CC}">
              <c16:uniqueId val="{00000000-7550-411A-9393-412DAF51725E}"/>
            </c:ext>
          </c:extLst>
        </c:ser>
        <c:dLbls>
          <c:showLegendKey val="0"/>
          <c:showVal val="0"/>
          <c:showCatName val="0"/>
          <c:showSerName val="0"/>
          <c:showPercent val="0"/>
          <c:showBubbleSize val="0"/>
        </c:dLbls>
        <c:gapWidth val="190"/>
        <c:axId val="424706696"/>
        <c:axId val="424706304"/>
        <c:extLst/>
      </c:barChart>
      <c:catAx>
        <c:axId val="424706696"/>
        <c:scaling>
          <c:orientation val="minMax"/>
        </c:scaling>
        <c:delete val="0"/>
        <c:axPos val="b"/>
        <c:numFmt formatCode="General" sourceLinked="1"/>
        <c:majorTickMark val="none"/>
        <c:minorTickMark val="none"/>
        <c:tickLblPos val="low"/>
        <c:txPr>
          <a:bodyPr rot="0" vert="horz"/>
          <a:lstStyle/>
          <a:p>
            <a:pPr>
              <a:defRPr sz="1050"/>
            </a:pPr>
            <a:endParaRPr lang="en-US"/>
          </a:p>
        </c:txPr>
        <c:crossAx val="424706304"/>
        <c:crosses val="autoZero"/>
        <c:auto val="0"/>
        <c:lblAlgn val="ctr"/>
        <c:lblOffset val="100"/>
        <c:tickLblSkip val="1"/>
        <c:noMultiLvlLbl val="0"/>
      </c:catAx>
      <c:valAx>
        <c:axId val="424706304"/>
        <c:scaling>
          <c:orientation val="minMax"/>
        </c:scaling>
        <c:delete val="0"/>
        <c:axPos val="l"/>
        <c:majorGridlines>
          <c:spPr>
            <a:ln>
              <a:noFill/>
            </a:ln>
          </c:spPr>
        </c:majorGridlines>
        <c:title>
          <c:tx>
            <c:rich>
              <a:bodyPr/>
              <a:lstStyle/>
              <a:p>
                <a:pPr>
                  <a:defRPr/>
                </a:pPr>
                <a:r>
                  <a:rPr lang="en-US"/>
                  <a:t>In MVR</a:t>
                </a:r>
              </a:p>
            </c:rich>
          </c:tx>
          <c:layout>
            <c:manualLayout>
              <c:xMode val="edge"/>
              <c:yMode val="edge"/>
              <c:x val="0"/>
              <c:y val="0.37967951374499292"/>
            </c:manualLayout>
          </c:layout>
          <c:overlay val="0"/>
        </c:title>
        <c:numFmt formatCode="#,##0" sourceLinked="0"/>
        <c:majorTickMark val="out"/>
        <c:minorTickMark val="none"/>
        <c:tickLblPos val="nextTo"/>
        <c:txPr>
          <a:bodyPr rot="0" vert="horz"/>
          <a:lstStyle/>
          <a:p>
            <a:pPr>
              <a:defRPr/>
            </a:pPr>
            <a:endParaRPr lang="en-US"/>
          </a:p>
        </c:txPr>
        <c:crossAx val="424706696"/>
        <c:crosses val="autoZero"/>
        <c:crossBetween val="between"/>
      </c:valAx>
      <c:spPr>
        <a:ln>
          <a:solidFill>
            <a:schemeClr val="bg1">
              <a:lumMod val="75000"/>
            </a:schemeClr>
          </a:solidFill>
        </a:ln>
      </c:spPr>
    </c:plotArea>
    <c:plotVisOnly val="1"/>
    <c:dispBlanksAs val="gap"/>
    <c:showDLblsOverMax val="0"/>
  </c:chart>
  <c:printSettings>
    <c:headerFooter/>
    <c:pageMargins b="0.75000000000000111" l="0.70000000000000062" r="0.70000000000000062" t="0.75000000000000111" header="0.30000000000000032" footer="0.30000000000000032"/>
    <c:pageSetup orientation="landscape" horizontalDpi="1200" verticalDpi="1200"/>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Figure 9.4: Value of Agricultural Products Traded in Male' Market,  2017 - 2019</a:t>
            </a:r>
            <a:endParaRPr lang="en-US" sz="1050">
              <a:effectLst/>
            </a:endParaRPr>
          </a:p>
        </c:rich>
      </c:tx>
      <c:layout>
        <c:manualLayout>
          <c:xMode val="edge"/>
          <c:yMode val="edge"/>
          <c:x val="0.2397315031567"/>
          <c:y val="5.1779935275080909E-2"/>
        </c:manualLayout>
      </c:layout>
      <c:overlay val="0"/>
      <c:spPr>
        <a:noFill/>
        <a:ln>
          <a:noFill/>
        </a:ln>
        <a:effectLst/>
      </c:spPr>
    </c:title>
    <c:autoTitleDeleted val="0"/>
    <c:plotArea>
      <c:layout>
        <c:manualLayout>
          <c:layoutTarget val="inner"/>
          <c:xMode val="edge"/>
          <c:yMode val="edge"/>
          <c:x val="0.10601939714800604"/>
          <c:y val="0.17171296296296301"/>
          <c:w val="0.87308791529263952"/>
          <c:h val="0.71933435403907864"/>
        </c:manualLayout>
      </c:layout>
      <c:barChart>
        <c:barDir val="col"/>
        <c:grouping val="clustered"/>
        <c:varyColors val="0"/>
        <c:ser>
          <c:idx val="0"/>
          <c:order val="0"/>
          <c:tx>
            <c:strRef>
              <c:f>'9.18'!$K$6</c:f>
              <c:strCache>
                <c:ptCount val="1"/>
                <c:pt idx="0">
                  <c:v>2017</c:v>
                </c:pt>
              </c:strCache>
            </c:strRef>
          </c:tx>
          <c:spPr>
            <a:solidFill>
              <a:srgbClr val="33CCCC"/>
            </a:solidFill>
            <a:ln>
              <a:noFill/>
            </a:ln>
            <a:effectLst/>
          </c:spPr>
          <c:invertIfNegative val="0"/>
          <c:cat>
            <c:strRef>
              <c:f>'9.18'!$A$8:$A$19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'9.18'!$K$8:$K$19</c:f>
              <c:numCache>
                <c:formatCode>#,##0</c:formatCode>
                <c:ptCount val="12"/>
                <c:pt idx="0">
                  <c:v>8451.4959999999992</c:v>
                </c:pt>
                <c:pt idx="1">
                  <c:v>8453.8235000000004</c:v>
                </c:pt>
                <c:pt idx="2">
                  <c:v>7567.4920000000002</c:v>
                </c:pt>
                <c:pt idx="3">
                  <c:v>7684.7669999999998</c:v>
                </c:pt>
                <c:pt idx="4">
                  <c:v>4452.6779999999999</c:v>
                </c:pt>
                <c:pt idx="5">
                  <c:v>8162.3275000000003</c:v>
                </c:pt>
                <c:pt idx="6">
                  <c:v>3507.6289999999999</c:v>
                </c:pt>
                <c:pt idx="7">
                  <c:v>4520.3270000000002</c:v>
                </c:pt>
                <c:pt idx="8">
                  <c:v>247.465</c:v>
                </c:pt>
                <c:pt idx="9">
                  <c:v>3873.07</c:v>
                </c:pt>
                <c:pt idx="10">
                  <c:v>2455.6325000000002</c:v>
                </c:pt>
                <c:pt idx="11">
                  <c:v>4703.3100000000004</c:v>
                </c:pt>
              </c:numCache>
            </c:numRef>
          </c:val>
          <c:extLst>
            <c:ext xmlns:c16="http://schemas.microsoft.com/office/drawing/2014/chart" uri="{C3380CC4-5D6E-409C-BE32-E72D297353CC}">
              <c16:uniqueId val="{00000000-9F83-4F99-9801-268698FE9153}"/>
            </c:ext>
          </c:extLst>
        </c:ser>
        <c:ser>
          <c:idx val="1"/>
          <c:order val="1"/>
          <c:tx>
            <c:strRef>
              <c:f>'9.18'!$L$6</c:f>
              <c:strCache>
                <c:ptCount val="1"/>
                <c:pt idx="0">
                  <c:v>2018</c:v>
                </c:pt>
              </c:strCache>
            </c:strRef>
          </c:tx>
          <c:spPr>
            <a:solidFill>
              <a:srgbClr val="249390"/>
            </a:solidFill>
            <a:ln>
              <a:noFill/>
            </a:ln>
            <a:effectLst/>
          </c:spPr>
          <c:invertIfNegative val="0"/>
          <c:cat>
            <c:strRef>
              <c:f>'9.18'!$A$8:$A$19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'9.18'!$L$8:$L$19</c:f>
              <c:numCache>
                <c:formatCode>#,##0</c:formatCode>
                <c:ptCount val="12"/>
                <c:pt idx="0">
                  <c:v>3998.6889999999999</c:v>
                </c:pt>
                <c:pt idx="1">
                  <c:v>5869.7790000000005</c:v>
                </c:pt>
                <c:pt idx="2">
                  <c:v>5047.7060000000001</c:v>
                </c:pt>
                <c:pt idx="3">
                  <c:v>6195.2209999999995</c:v>
                </c:pt>
                <c:pt idx="4">
                  <c:v>5648.06</c:v>
                </c:pt>
                <c:pt idx="5">
                  <c:v>4394.7749999999996</c:v>
                </c:pt>
                <c:pt idx="6">
                  <c:v>1475.635</c:v>
                </c:pt>
                <c:pt idx="7">
                  <c:v>2343.393</c:v>
                </c:pt>
                <c:pt idx="8">
                  <c:v>736.4</c:v>
                </c:pt>
                <c:pt idx="9">
                  <c:v>3165.0529999999999</c:v>
                </c:pt>
                <c:pt idx="10">
                  <c:v>2708.9949999999999</c:v>
                </c:pt>
                <c:pt idx="11">
                  <c:v>1875.7750000000001</c:v>
                </c:pt>
              </c:numCache>
            </c:numRef>
          </c:val>
          <c:extLst>
            <c:ext xmlns:c16="http://schemas.microsoft.com/office/drawing/2014/chart" uri="{C3380CC4-5D6E-409C-BE32-E72D297353CC}">
              <c16:uniqueId val="{00000001-9F83-4F99-9801-268698FE9153}"/>
            </c:ext>
          </c:extLst>
        </c:ser>
        <c:ser>
          <c:idx val="2"/>
          <c:order val="2"/>
          <c:tx>
            <c:strRef>
              <c:f>'9.18'!$M$6</c:f>
              <c:strCache>
                <c:ptCount val="1"/>
                <c:pt idx="0">
                  <c:v>2019</c:v>
                </c:pt>
              </c:strCache>
            </c:strRef>
          </c:tx>
          <c:spPr>
            <a:solidFill>
              <a:srgbClr val="FFC000"/>
            </a:solidFill>
            <a:ln>
              <a:noFill/>
            </a:ln>
            <a:effectLst/>
          </c:spPr>
          <c:invertIfNegative val="0"/>
          <c:cat>
            <c:strRef>
              <c:f>'9.18'!$A$8:$A$19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'9.18'!$M$8:$M$19</c:f>
              <c:numCache>
                <c:formatCode>#,##0</c:formatCode>
                <c:ptCount val="12"/>
                <c:pt idx="0">
                  <c:v>2618.08</c:v>
                </c:pt>
                <c:pt idx="1">
                  <c:v>2885.299</c:v>
                </c:pt>
                <c:pt idx="2">
                  <c:v>2069.3150000000001</c:v>
                </c:pt>
                <c:pt idx="3">
                  <c:v>235.05</c:v>
                </c:pt>
                <c:pt idx="4">
                  <c:v>5236</c:v>
                </c:pt>
                <c:pt idx="5">
                  <c:v>3785.75</c:v>
                </c:pt>
                <c:pt idx="6">
                  <c:v>3096.165</c:v>
                </c:pt>
                <c:pt idx="7">
                  <c:v>1528.56</c:v>
                </c:pt>
                <c:pt idx="8">
                  <c:v>2215.1</c:v>
                </c:pt>
                <c:pt idx="9">
                  <c:v>1908.519</c:v>
                </c:pt>
                <c:pt idx="10">
                  <c:v>2635.1750000000002</c:v>
                </c:pt>
                <c:pt idx="11">
                  <c:v>1911.08</c:v>
                </c:pt>
              </c:numCache>
            </c:numRef>
          </c:val>
          <c:extLst>
            <c:ext xmlns:c16="http://schemas.microsoft.com/office/drawing/2014/chart" uri="{C3380CC4-5D6E-409C-BE32-E72D297353CC}">
              <c16:uniqueId val="{00000002-9F83-4F99-9801-268698FE9153}"/>
            </c:ext>
          </c:extLst>
        </c:ser>
        <c:dLbls>
          <c:showLegendKey val="0"/>
          <c:showVal val="0"/>
          <c:showCatName val="0"/>
          <c:showSerName val="0"/>
          <c:showPercent val="0"/>
          <c:showBubbleSize val="0"/>
        </c:dLbls>
        <c:gapWidth val="18"/>
        <c:overlap val="3"/>
        <c:axId val="424707088"/>
        <c:axId val="424707872"/>
      </c:barChart>
      <c:catAx>
        <c:axId val="42470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24707872"/>
        <c:crosses val="autoZero"/>
        <c:auto val="1"/>
        <c:lblAlgn val="ctr"/>
        <c:lblOffset val="100"/>
        <c:noMultiLvlLbl val="0"/>
      </c:catAx>
      <c:valAx>
        <c:axId val="424707872"/>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707088"/>
        <c:crosses val="autoZero"/>
        <c:crossBetween val="between"/>
      </c:valAx>
      <c:spPr>
        <a:noFill/>
        <a:ln>
          <a:solidFill>
            <a:schemeClr val="bg1">
              <a:lumMod val="85000"/>
            </a:schemeClr>
          </a:solidFill>
        </a:ln>
        <a:effectLst/>
      </c:spPr>
    </c:plotArea>
    <c:legend>
      <c:legendPos val="b"/>
      <c:layout>
        <c:manualLayout>
          <c:xMode val="edge"/>
          <c:yMode val="edge"/>
          <c:x val="0.5251627520918859"/>
          <c:y val="0.2135411198600175"/>
          <c:w val="0.15203530301955498"/>
          <c:h val="7.28160436256147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55" l="0.70000000000000062" r="0.70000000000000062" t="0.75000000000000155" header="0.30000000000000032" footer="0.30000000000000032"/>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6" name="Chart 5">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7" name="Chart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8" name="Chart 7">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9" name="Chart 1">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624840</xdr:colOff>
      <xdr:row>71</xdr:row>
      <xdr:rowOff>83820</xdr:rowOff>
    </xdr:from>
    <xdr:to>
      <xdr:col>7</xdr:col>
      <xdr:colOff>687705</xdr:colOff>
      <xdr:row>72</xdr:row>
      <xdr:rowOff>129540</xdr:rowOff>
    </xdr:to>
    <xdr:sp macro="" textlink="">
      <xdr:nvSpPr>
        <xdr:cNvPr id="2" name="Text Box 3"/>
        <xdr:cNvSpPr txBox="1">
          <a:spLocks noChangeArrowheads="1"/>
        </xdr:cNvSpPr>
      </xdr:nvSpPr>
      <xdr:spPr bwMode="auto">
        <a:xfrm>
          <a:off x="2205990" y="7160895"/>
          <a:ext cx="345376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687705</xdr:colOff>
      <xdr:row>104</xdr:row>
      <xdr:rowOff>144779</xdr:rowOff>
    </xdr:to>
    <xdr:sp macro="" textlink="">
      <xdr:nvSpPr>
        <xdr:cNvPr id="3" name="Text Box 3"/>
        <xdr:cNvSpPr txBox="1">
          <a:spLocks noChangeArrowheads="1"/>
        </xdr:cNvSpPr>
      </xdr:nvSpPr>
      <xdr:spPr bwMode="auto">
        <a:xfrm>
          <a:off x="2205990" y="13115925"/>
          <a:ext cx="34537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687705</xdr:colOff>
      <xdr:row>72</xdr:row>
      <xdr:rowOff>129540</xdr:rowOff>
    </xdr:to>
    <xdr:sp macro="" textlink="">
      <xdr:nvSpPr>
        <xdr:cNvPr id="4" name="Text Box 3"/>
        <xdr:cNvSpPr txBox="1">
          <a:spLocks noChangeArrowheads="1"/>
        </xdr:cNvSpPr>
      </xdr:nvSpPr>
      <xdr:spPr bwMode="auto">
        <a:xfrm>
          <a:off x="2205990" y="7160895"/>
          <a:ext cx="345376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687705</xdr:colOff>
      <xdr:row>104</xdr:row>
      <xdr:rowOff>144779</xdr:rowOff>
    </xdr:to>
    <xdr:sp macro="" textlink="">
      <xdr:nvSpPr>
        <xdr:cNvPr id="5" name="Text Box 3"/>
        <xdr:cNvSpPr txBox="1">
          <a:spLocks noChangeArrowheads="1"/>
        </xdr:cNvSpPr>
      </xdr:nvSpPr>
      <xdr:spPr bwMode="auto">
        <a:xfrm>
          <a:off x="2205990" y="13115925"/>
          <a:ext cx="34537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554355</xdr:colOff>
      <xdr:row>72</xdr:row>
      <xdr:rowOff>129540</xdr:rowOff>
    </xdr:to>
    <xdr:sp macro="" textlink="">
      <xdr:nvSpPr>
        <xdr:cNvPr id="9" name="Text Box 3"/>
        <xdr:cNvSpPr txBox="1">
          <a:spLocks noChangeArrowheads="1"/>
        </xdr:cNvSpPr>
      </xdr:nvSpPr>
      <xdr:spPr bwMode="auto">
        <a:xfrm>
          <a:off x="2205990" y="7160895"/>
          <a:ext cx="332041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554355</xdr:colOff>
      <xdr:row>104</xdr:row>
      <xdr:rowOff>144779</xdr:rowOff>
    </xdr:to>
    <xdr:sp macro="" textlink="">
      <xdr:nvSpPr>
        <xdr:cNvPr id="10" name="Text Box 3"/>
        <xdr:cNvSpPr txBox="1">
          <a:spLocks noChangeArrowheads="1"/>
        </xdr:cNvSpPr>
      </xdr:nvSpPr>
      <xdr:spPr bwMode="auto">
        <a:xfrm>
          <a:off x="2205990" y="13115925"/>
          <a:ext cx="33204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554355</xdr:colOff>
      <xdr:row>72</xdr:row>
      <xdr:rowOff>129540</xdr:rowOff>
    </xdr:to>
    <xdr:sp macro="" textlink="">
      <xdr:nvSpPr>
        <xdr:cNvPr id="11" name="Text Box 3"/>
        <xdr:cNvSpPr txBox="1">
          <a:spLocks noChangeArrowheads="1"/>
        </xdr:cNvSpPr>
      </xdr:nvSpPr>
      <xdr:spPr bwMode="auto">
        <a:xfrm>
          <a:off x="2205990" y="7160895"/>
          <a:ext cx="332041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554355</xdr:colOff>
      <xdr:row>104</xdr:row>
      <xdr:rowOff>144779</xdr:rowOff>
    </xdr:to>
    <xdr:sp macro="" textlink="">
      <xdr:nvSpPr>
        <xdr:cNvPr id="13" name="Text Box 3"/>
        <xdr:cNvSpPr txBox="1">
          <a:spLocks noChangeArrowheads="1"/>
        </xdr:cNvSpPr>
      </xdr:nvSpPr>
      <xdr:spPr bwMode="auto">
        <a:xfrm>
          <a:off x="2205990" y="13115925"/>
          <a:ext cx="33204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687705</xdr:colOff>
      <xdr:row>72</xdr:row>
      <xdr:rowOff>129540</xdr:rowOff>
    </xdr:to>
    <xdr:sp macro="" textlink="">
      <xdr:nvSpPr>
        <xdr:cNvPr id="17" name="Text Box 3"/>
        <xdr:cNvSpPr txBox="1">
          <a:spLocks noChangeArrowheads="1"/>
        </xdr:cNvSpPr>
      </xdr:nvSpPr>
      <xdr:spPr bwMode="auto">
        <a:xfrm>
          <a:off x="2205990" y="7160895"/>
          <a:ext cx="345376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687705</xdr:colOff>
      <xdr:row>104</xdr:row>
      <xdr:rowOff>144779</xdr:rowOff>
    </xdr:to>
    <xdr:sp macro="" textlink="">
      <xdr:nvSpPr>
        <xdr:cNvPr id="18" name="Text Box 3"/>
        <xdr:cNvSpPr txBox="1">
          <a:spLocks noChangeArrowheads="1"/>
        </xdr:cNvSpPr>
      </xdr:nvSpPr>
      <xdr:spPr bwMode="auto">
        <a:xfrm>
          <a:off x="2205990" y="13115925"/>
          <a:ext cx="34537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687705</xdr:colOff>
      <xdr:row>72</xdr:row>
      <xdr:rowOff>129540</xdr:rowOff>
    </xdr:to>
    <xdr:sp macro="" textlink="">
      <xdr:nvSpPr>
        <xdr:cNvPr id="19" name="Text Box 3"/>
        <xdr:cNvSpPr txBox="1">
          <a:spLocks noChangeArrowheads="1"/>
        </xdr:cNvSpPr>
      </xdr:nvSpPr>
      <xdr:spPr bwMode="auto">
        <a:xfrm>
          <a:off x="2205990" y="7160895"/>
          <a:ext cx="345376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687705</xdr:colOff>
      <xdr:row>104</xdr:row>
      <xdr:rowOff>144779</xdr:rowOff>
    </xdr:to>
    <xdr:sp macro="" textlink="">
      <xdr:nvSpPr>
        <xdr:cNvPr id="20" name="Text Box 3"/>
        <xdr:cNvSpPr txBox="1">
          <a:spLocks noChangeArrowheads="1"/>
        </xdr:cNvSpPr>
      </xdr:nvSpPr>
      <xdr:spPr bwMode="auto">
        <a:xfrm>
          <a:off x="2205990" y="13115925"/>
          <a:ext cx="34537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554355</xdr:colOff>
      <xdr:row>72</xdr:row>
      <xdr:rowOff>129540</xdr:rowOff>
    </xdr:to>
    <xdr:sp macro="" textlink="">
      <xdr:nvSpPr>
        <xdr:cNvPr id="24" name="Text Box 3"/>
        <xdr:cNvSpPr txBox="1">
          <a:spLocks noChangeArrowheads="1"/>
        </xdr:cNvSpPr>
      </xdr:nvSpPr>
      <xdr:spPr bwMode="auto">
        <a:xfrm>
          <a:off x="2205990" y="7160895"/>
          <a:ext cx="332041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554355</xdr:colOff>
      <xdr:row>104</xdr:row>
      <xdr:rowOff>144779</xdr:rowOff>
    </xdr:to>
    <xdr:sp macro="" textlink="">
      <xdr:nvSpPr>
        <xdr:cNvPr id="25" name="Text Box 3"/>
        <xdr:cNvSpPr txBox="1">
          <a:spLocks noChangeArrowheads="1"/>
        </xdr:cNvSpPr>
      </xdr:nvSpPr>
      <xdr:spPr bwMode="auto">
        <a:xfrm>
          <a:off x="2205990" y="13115925"/>
          <a:ext cx="33204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554355</xdr:colOff>
      <xdr:row>72</xdr:row>
      <xdr:rowOff>129540</xdr:rowOff>
    </xdr:to>
    <xdr:sp macro="" textlink="">
      <xdr:nvSpPr>
        <xdr:cNvPr id="26" name="Text Box 3"/>
        <xdr:cNvSpPr txBox="1">
          <a:spLocks noChangeArrowheads="1"/>
        </xdr:cNvSpPr>
      </xdr:nvSpPr>
      <xdr:spPr bwMode="auto">
        <a:xfrm>
          <a:off x="2205990" y="7160895"/>
          <a:ext cx="3320415" cy="207645"/>
        </a:xfrm>
        <a:prstGeom prst="rect">
          <a:avLst/>
        </a:prstGeom>
        <a:noFill/>
        <a:ln w="9525">
          <a:noFill/>
          <a:miter lim="800000"/>
          <a:headEnd/>
          <a:tailEnd/>
        </a:ln>
      </xdr:spPr>
    </xdr:sp>
    <xdr:clientData/>
  </xdr:twoCellAnchor>
  <xdr:twoCellAnchor>
    <xdr:from>
      <xdr:col>1</xdr:col>
      <xdr:colOff>290591</xdr:colOff>
      <xdr:row>72</xdr:row>
      <xdr:rowOff>105171</xdr:rowOff>
    </xdr:from>
    <xdr:to>
      <xdr:col>11</xdr:col>
      <xdr:colOff>530621</xdr:colOff>
      <xdr:row>90</xdr:row>
      <xdr:rowOff>86121</xdr:rowOff>
    </xdr:to>
    <xdr:graphicFrame macro="">
      <xdr:nvGraphicFramePr>
        <xdr:cNvPr id="27"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624840</xdr:colOff>
      <xdr:row>103</xdr:row>
      <xdr:rowOff>76200</xdr:rowOff>
    </xdr:from>
    <xdr:to>
      <xdr:col>7</xdr:col>
      <xdr:colOff>554355</xdr:colOff>
      <xdr:row>104</xdr:row>
      <xdr:rowOff>144779</xdr:rowOff>
    </xdr:to>
    <xdr:sp macro="" textlink="">
      <xdr:nvSpPr>
        <xdr:cNvPr id="28" name="Text Box 3"/>
        <xdr:cNvSpPr txBox="1">
          <a:spLocks noChangeArrowheads="1"/>
        </xdr:cNvSpPr>
      </xdr:nvSpPr>
      <xdr:spPr bwMode="auto">
        <a:xfrm>
          <a:off x="2205990" y="13115925"/>
          <a:ext cx="3320415" cy="230504"/>
        </a:xfrm>
        <a:prstGeom prst="rect">
          <a:avLst/>
        </a:prstGeom>
        <a:noFill/>
        <a:ln w="9525">
          <a:noFill/>
          <a:miter lim="800000"/>
          <a:headEnd/>
          <a:tailEnd/>
        </a:ln>
      </xdr:spPr>
    </xdr:sp>
    <xdr:clientData/>
  </xdr:twoCellAnchor>
  <xdr:twoCellAnchor>
    <xdr:from>
      <xdr:col>1</xdr:col>
      <xdr:colOff>280988</xdr:colOff>
      <xdr:row>92</xdr:row>
      <xdr:rowOff>5237</xdr:rowOff>
    </xdr:from>
    <xdr:to>
      <xdr:col>11</xdr:col>
      <xdr:colOff>509588</xdr:colOff>
      <xdr:row>109</xdr:row>
      <xdr:rowOff>19049</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624840</xdr:colOff>
      <xdr:row>103</xdr:row>
      <xdr:rowOff>76200</xdr:rowOff>
    </xdr:from>
    <xdr:to>
      <xdr:col>8</xdr:col>
      <xdr:colOff>87630</xdr:colOff>
      <xdr:row>104</xdr:row>
      <xdr:rowOff>144779</xdr:rowOff>
    </xdr:to>
    <xdr:sp macro="" textlink="">
      <xdr:nvSpPr>
        <xdr:cNvPr id="30" name="Text Box 3">
          <a:extLst>
            <a:ext uri="{FF2B5EF4-FFF2-40B4-BE49-F238E27FC236}">
              <a16:creationId xmlns:a16="http://schemas.microsoft.com/office/drawing/2014/main" id="{00000000-0008-0000-0200-000004000000}"/>
            </a:ext>
          </a:extLst>
        </xdr:cNvPr>
        <xdr:cNvSpPr txBox="1">
          <a:spLocks noChangeArrowheads="1"/>
        </xdr:cNvSpPr>
      </xdr:nvSpPr>
      <xdr:spPr bwMode="auto">
        <a:xfrm>
          <a:off x="2205990" y="13001625"/>
          <a:ext cx="35490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8</xdr:col>
      <xdr:colOff>87630</xdr:colOff>
      <xdr:row>72</xdr:row>
      <xdr:rowOff>129539</xdr:rowOff>
    </xdr:to>
    <xdr:sp macro="" textlink="">
      <xdr:nvSpPr>
        <xdr:cNvPr id="31" name="Text Box 3">
          <a:extLst>
            <a:ext uri="{FF2B5EF4-FFF2-40B4-BE49-F238E27FC236}">
              <a16:creationId xmlns:a16="http://schemas.microsoft.com/office/drawing/2014/main" id="{00000000-0008-0000-0200-000006000000}"/>
            </a:ext>
          </a:extLst>
        </xdr:cNvPr>
        <xdr:cNvSpPr txBox="1">
          <a:spLocks noChangeArrowheads="1"/>
        </xdr:cNvSpPr>
      </xdr:nvSpPr>
      <xdr:spPr bwMode="auto">
        <a:xfrm>
          <a:off x="2205990" y="7113270"/>
          <a:ext cx="354901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8</xdr:col>
      <xdr:colOff>87630</xdr:colOff>
      <xdr:row>104</xdr:row>
      <xdr:rowOff>144779</xdr:rowOff>
    </xdr:to>
    <xdr:sp macro="" textlink="">
      <xdr:nvSpPr>
        <xdr:cNvPr id="32" name="Text Box 3">
          <a:extLst>
            <a:ext uri="{FF2B5EF4-FFF2-40B4-BE49-F238E27FC236}">
              <a16:creationId xmlns:a16="http://schemas.microsoft.com/office/drawing/2014/main" id="{00000000-0008-0000-0200-000008000000}"/>
            </a:ext>
          </a:extLst>
        </xdr:cNvPr>
        <xdr:cNvSpPr txBox="1">
          <a:spLocks noChangeArrowheads="1"/>
        </xdr:cNvSpPr>
      </xdr:nvSpPr>
      <xdr:spPr bwMode="auto">
        <a:xfrm>
          <a:off x="2205990" y="13001625"/>
          <a:ext cx="35490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744855</xdr:colOff>
      <xdr:row>72</xdr:row>
      <xdr:rowOff>129539</xdr:rowOff>
    </xdr:to>
    <xdr:sp macro="" textlink="">
      <xdr:nvSpPr>
        <xdr:cNvPr id="35" name="Text Box 3">
          <a:extLst>
            <a:ext uri="{FF2B5EF4-FFF2-40B4-BE49-F238E27FC236}">
              <a16:creationId xmlns:a16="http://schemas.microsoft.com/office/drawing/2014/main" id="{00000000-0008-0000-0200-00000A000000}"/>
            </a:ext>
          </a:extLst>
        </xdr:cNvPr>
        <xdr:cNvSpPr txBox="1">
          <a:spLocks noChangeArrowheads="1"/>
        </xdr:cNvSpPr>
      </xdr:nvSpPr>
      <xdr:spPr bwMode="auto">
        <a:xfrm>
          <a:off x="2205990" y="7113270"/>
          <a:ext cx="341566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744855</xdr:colOff>
      <xdr:row>104</xdr:row>
      <xdr:rowOff>144779</xdr:rowOff>
    </xdr:to>
    <xdr:sp macro="" textlink="">
      <xdr:nvSpPr>
        <xdr:cNvPr id="36" name="Text Box 3">
          <a:extLst>
            <a:ext uri="{FF2B5EF4-FFF2-40B4-BE49-F238E27FC236}">
              <a16:creationId xmlns:a16="http://schemas.microsoft.com/office/drawing/2014/main" id="{00000000-0008-0000-0200-00000B000000}"/>
            </a:ext>
          </a:extLst>
        </xdr:cNvPr>
        <xdr:cNvSpPr txBox="1">
          <a:spLocks noChangeArrowheads="1"/>
        </xdr:cNvSpPr>
      </xdr:nvSpPr>
      <xdr:spPr bwMode="auto">
        <a:xfrm>
          <a:off x="2205990" y="13001625"/>
          <a:ext cx="34156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744855</xdr:colOff>
      <xdr:row>72</xdr:row>
      <xdr:rowOff>129539</xdr:rowOff>
    </xdr:to>
    <xdr:sp macro="" textlink="">
      <xdr:nvSpPr>
        <xdr:cNvPr id="37" name="Text Box 3">
          <a:extLst>
            <a:ext uri="{FF2B5EF4-FFF2-40B4-BE49-F238E27FC236}">
              <a16:creationId xmlns:a16="http://schemas.microsoft.com/office/drawing/2014/main" id="{00000000-0008-0000-0200-00000E000000}"/>
            </a:ext>
          </a:extLst>
        </xdr:cNvPr>
        <xdr:cNvSpPr txBox="1">
          <a:spLocks noChangeArrowheads="1"/>
        </xdr:cNvSpPr>
      </xdr:nvSpPr>
      <xdr:spPr bwMode="auto">
        <a:xfrm>
          <a:off x="2205990" y="7113270"/>
          <a:ext cx="341566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744855</xdr:colOff>
      <xdr:row>104</xdr:row>
      <xdr:rowOff>144779</xdr:rowOff>
    </xdr:to>
    <xdr:sp macro="" textlink="">
      <xdr:nvSpPr>
        <xdr:cNvPr id="39" name="Text Box 3">
          <a:extLst>
            <a:ext uri="{FF2B5EF4-FFF2-40B4-BE49-F238E27FC236}">
              <a16:creationId xmlns:a16="http://schemas.microsoft.com/office/drawing/2014/main" id="{00000000-0008-0000-0200-000010000000}"/>
            </a:ext>
          </a:extLst>
        </xdr:cNvPr>
        <xdr:cNvSpPr txBox="1">
          <a:spLocks noChangeArrowheads="1"/>
        </xdr:cNvSpPr>
      </xdr:nvSpPr>
      <xdr:spPr bwMode="auto">
        <a:xfrm>
          <a:off x="2205990" y="13001625"/>
          <a:ext cx="34156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8</xdr:col>
      <xdr:colOff>87630</xdr:colOff>
      <xdr:row>72</xdr:row>
      <xdr:rowOff>129539</xdr:rowOff>
    </xdr:to>
    <xdr:sp macro="" textlink="">
      <xdr:nvSpPr>
        <xdr:cNvPr id="43" name="Text Box 3">
          <a:extLst>
            <a:ext uri="{FF2B5EF4-FFF2-40B4-BE49-F238E27FC236}">
              <a16:creationId xmlns:a16="http://schemas.microsoft.com/office/drawing/2014/main" id="{00000000-0008-0000-0200-000014000000}"/>
            </a:ext>
          </a:extLst>
        </xdr:cNvPr>
        <xdr:cNvSpPr txBox="1">
          <a:spLocks noChangeArrowheads="1"/>
        </xdr:cNvSpPr>
      </xdr:nvSpPr>
      <xdr:spPr bwMode="auto">
        <a:xfrm>
          <a:off x="2205990" y="7113270"/>
          <a:ext cx="354901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8</xdr:col>
      <xdr:colOff>87630</xdr:colOff>
      <xdr:row>104</xdr:row>
      <xdr:rowOff>144779</xdr:rowOff>
    </xdr:to>
    <xdr:sp macro="" textlink="">
      <xdr:nvSpPr>
        <xdr:cNvPr id="44" name="Text Box 3">
          <a:extLst>
            <a:ext uri="{FF2B5EF4-FFF2-40B4-BE49-F238E27FC236}">
              <a16:creationId xmlns:a16="http://schemas.microsoft.com/office/drawing/2014/main" id="{00000000-0008-0000-0200-000015000000}"/>
            </a:ext>
          </a:extLst>
        </xdr:cNvPr>
        <xdr:cNvSpPr txBox="1">
          <a:spLocks noChangeArrowheads="1"/>
        </xdr:cNvSpPr>
      </xdr:nvSpPr>
      <xdr:spPr bwMode="auto">
        <a:xfrm>
          <a:off x="2205990" y="13001625"/>
          <a:ext cx="35490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8</xdr:col>
      <xdr:colOff>87630</xdr:colOff>
      <xdr:row>72</xdr:row>
      <xdr:rowOff>129539</xdr:rowOff>
    </xdr:to>
    <xdr:sp macro="" textlink="">
      <xdr:nvSpPr>
        <xdr:cNvPr id="45" name="Text Box 3">
          <a:extLst>
            <a:ext uri="{FF2B5EF4-FFF2-40B4-BE49-F238E27FC236}">
              <a16:creationId xmlns:a16="http://schemas.microsoft.com/office/drawing/2014/main" id="{00000000-0008-0000-0200-000016000000}"/>
            </a:ext>
          </a:extLst>
        </xdr:cNvPr>
        <xdr:cNvSpPr txBox="1">
          <a:spLocks noChangeArrowheads="1"/>
        </xdr:cNvSpPr>
      </xdr:nvSpPr>
      <xdr:spPr bwMode="auto">
        <a:xfrm>
          <a:off x="2205990" y="7113270"/>
          <a:ext cx="354901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8</xdr:col>
      <xdr:colOff>87630</xdr:colOff>
      <xdr:row>104</xdr:row>
      <xdr:rowOff>144779</xdr:rowOff>
    </xdr:to>
    <xdr:sp macro="" textlink="">
      <xdr:nvSpPr>
        <xdr:cNvPr id="46" name="Text Box 3">
          <a:extLst>
            <a:ext uri="{FF2B5EF4-FFF2-40B4-BE49-F238E27FC236}">
              <a16:creationId xmlns:a16="http://schemas.microsoft.com/office/drawing/2014/main" id="{00000000-0008-0000-0200-000017000000}"/>
            </a:ext>
          </a:extLst>
        </xdr:cNvPr>
        <xdr:cNvSpPr txBox="1">
          <a:spLocks noChangeArrowheads="1"/>
        </xdr:cNvSpPr>
      </xdr:nvSpPr>
      <xdr:spPr bwMode="auto">
        <a:xfrm>
          <a:off x="2205990" y="13001625"/>
          <a:ext cx="35490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744855</xdr:colOff>
      <xdr:row>72</xdr:row>
      <xdr:rowOff>129539</xdr:rowOff>
    </xdr:to>
    <xdr:sp macro="" textlink="">
      <xdr:nvSpPr>
        <xdr:cNvPr id="50" name="Text Box 3">
          <a:extLst>
            <a:ext uri="{FF2B5EF4-FFF2-40B4-BE49-F238E27FC236}">
              <a16:creationId xmlns:a16="http://schemas.microsoft.com/office/drawing/2014/main" id="{00000000-0008-0000-0200-00001B000000}"/>
            </a:ext>
          </a:extLst>
        </xdr:cNvPr>
        <xdr:cNvSpPr txBox="1">
          <a:spLocks noChangeArrowheads="1"/>
        </xdr:cNvSpPr>
      </xdr:nvSpPr>
      <xdr:spPr bwMode="auto">
        <a:xfrm>
          <a:off x="2205990" y="7113270"/>
          <a:ext cx="341566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744855</xdr:colOff>
      <xdr:row>104</xdr:row>
      <xdr:rowOff>144779</xdr:rowOff>
    </xdr:to>
    <xdr:sp macro="" textlink="">
      <xdr:nvSpPr>
        <xdr:cNvPr id="51" name="Text Box 3">
          <a:extLst>
            <a:ext uri="{FF2B5EF4-FFF2-40B4-BE49-F238E27FC236}">
              <a16:creationId xmlns:a16="http://schemas.microsoft.com/office/drawing/2014/main" id="{00000000-0008-0000-0200-00001C000000}"/>
            </a:ext>
          </a:extLst>
        </xdr:cNvPr>
        <xdr:cNvSpPr txBox="1">
          <a:spLocks noChangeArrowheads="1"/>
        </xdr:cNvSpPr>
      </xdr:nvSpPr>
      <xdr:spPr bwMode="auto">
        <a:xfrm>
          <a:off x="2205990" y="13001625"/>
          <a:ext cx="3415665" cy="23050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744855</xdr:colOff>
      <xdr:row>104</xdr:row>
      <xdr:rowOff>144779</xdr:rowOff>
    </xdr:to>
    <xdr:sp macro="" textlink="">
      <xdr:nvSpPr>
        <xdr:cNvPr id="53" name="Text Box 3">
          <a:extLst>
            <a:ext uri="{FF2B5EF4-FFF2-40B4-BE49-F238E27FC236}">
              <a16:creationId xmlns:a16="http://schemas.microsoft.com/office/drawing/2014/main" id="{00000000-0008-0000-0200-00001F000000}"/>
            </a:ext>
          </a:extLst>
        </xdr:cNvPr>
        <xdr:cNvSpPr txBox="1">
          <a:spLocks noChangeArrowheads="1"/>
        </xdr:cNvSpPr>
      </xdr:nvSpPr>
      <xdr:spPr bwMode="auto">
        <a:xfrm>
          <a:off x="2205990" y="13001625"/>
          <a:ext cx="3415665" cy="230504"/>
        </a:xfrm>
        <a:prstGeom prst="rect">
          <a:avLst/>
        </a:prstGeom>
        <a:noFill/>
        <a:ln w="9525">
          <a:noFill/>
          <a:miter lim="800000"/>
          <a:headEnd/>
          <a:tailEnd/>
        </a:ln>
      </xdr:spPr>
    </xdr:sp>
    <xdr:clientData/>
  </xdr:twoCellAnchor>
  <xdr:oneCellAnchor>
    <xdr:from>
      <xdr:col>3</xdr:col>
      <xdr:colOff>624840</xdr:colOff>
      <xdr:row>165</xdr:row>
      <xdr:rowOff>83820</xdr:rowOff>
    </xdr:from>
    <xdr:ext cx="3356928" cy="204470"/>
    <xdr:sp macro="" textlink="">
      <xdr:nvSpPr>
        <xdr:cNvPr id="34" name="Text Box 3"/>
        <xdr:cNvSpPr txBox="1">
          <a:spLocks noChangeArrowheads="1"/>
        </xdr:cNvSpPr>
      </xdr:nvSpPr>
      <xdr:spPr bwMode="auto">
        <a:xfrm>
          <a:off x="2212340" y="7058898"/>
          <a:ext cx="335692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356928" cy="204470"/>
    <xdr:sp macro="" textlink="">
      <xdr:nvSpPr>
        <xdr:cNvPr id="38" name="Text Box 3"/>
        <xdr:cNvSpPr txBox="1">
          <a:spLocks noChangeArrowheads="1"/>
        </xdr:cNvSpPr>
      </xdr:nvSpPr>
      <xdr:spPr bwMode="auto">
        <a:xfrm>
          <a:off x="2212340" y="7058898"/>
          <a:ext cx="335692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223578" cy="204470"/>
    <xdr:sp macro="" textlink="">
      <xdr:nvSpPr>
        <xdr:cNvPr id="40" name="Text Box 3"/>
        <xdr:cNvSpPr txBox="1">
          <a:spLocks noChangeArrowheads="1"/>
        </xdr:cNvSpPr>
      </xdr:nvSpPr>
      <xdr:spPr bwMode="auto">
        <a:xfrm>
          <a:off x="2212340" y="7058898"/>
          <a:ext cx="322357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223578" cy="204470"/>
    <xdr:sp macro="" textlink="">
      <xdr:nvSpPr>
        <xdr:cNvPr id="41" name="Text Box 3"/>
        <xdr:cNvSpPr txBox="1">
          <a:spLocks noChangeArrowheads="1"/>
        </xdr:cNvSpPr>
      </xdr:nvSpPr>
      <xdr:spPr bwMode="auto">
        <a:xfrm>
          <a:off x="2212340" y="7058898"/>
          <a:ext cx="322357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356928" cy="204470"/>
    <xdr:sp macro="" textlink="">
      <xdr:nvSpPr>
        <xdr:cNvPr id="42" name="Text Box 3"/>
        <xdr:cNvSpPr txBox="1">
          <a:spLocks noChangeArrowheads="1"/>
        </xdr:cNvSpPr>
      </xdr:nvSpPr>
      <xdr:spPr bwMode="auto">
        <a:xfrm>
          <a:off x="2212340" y="7058898"/>
          <a:ext cx="335692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356928" cy="204470"/>
    <xdr:sp macro="" textlink="">
      <xdr:nvSpPr>
        <xdr:cNvPr id="47" name="Text Box 3"/>
        <xdr:cNvSpPr txBox="1">
          <a:spLocks noChangeArrowheads="1"/>
        </xdr:cNvSpPr>
      </xdr:nvSpPr>
      <xdr:spPr bwMode="auto">
        <a:xfrm>
          <a:off x="2212340" y="7058898"/>
          <a:ext cx="335692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223578" cy="204470"/>
    <xdr:sp macro="" textlink="">
      <xdr:nvSpPr>
        <xdr:cNvPr id="48" name="Text Box 3"/>
        <xdr:cNvSpPr txBox="1">
          <a:spLocks noChangeArrowheads="1"/>
        </xdr:cNvSpPr>
      </xdr:nvSpPr>
      <xdr:spPr bwMode="auto">
        <a:xfrm>
          <a:off x="2212340" y="7058898"/>
          <a:ext cx="322357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223578" cy="204470"/>
    <xdr:sp macro="" textlink="">
      <xdr:nvSpPr>
        <xdr:cNvPr id="49" name="Text Box 3"/>
        <xdr:cNvSpPr txBox="1">
          <a:spLocks noChangeArrowheads="1"/>
        </xdr:cNvSpPr>
      </xdr:nvSpPr>
      <xdr:spPr bwMode="auto">
        <a:xfrm>
          <a:off x="2212340" y="7058898"/>
          <a:ext cx="322357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550603" cy="204469"/>
    <xdr:sp macro="" textlink="">
      <xdr:nvSpPr>
        <xdr:cNvPr id="52" name="Text Box 3">
          <a:extLst>
            <a:ext uri="{FF2B5EF4-FFF2-40B4-BE49-F238E27FC236}">
              <a16:creationId xmlns:a16="http://schemas.microsoft.com/office/drawing/2014/main" id="{00000000-0008-0000-0200-000006000000}"/>
            </a:ext>
          </a:extLst>
        </xdr:cNvPr>
        <xdr:cNvSpPr txBox="1">
          <a:spLocks noChangeArrowheads="1"/>
        </xdr:cNvSpPr>
      </xdr:nvSpPr>
      <xdr:spPr bwMode="auto">
        <a:xfrm>
          <a:off x="2212340" y="7058898"/>
          <a:ext cx="3550603"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414078" cy="204469"/>
    <xdr:sp macro="" textlink="">
      <xdr:nvSpPr>
        <xdr:cNvPr id="54" name="Text Box 3">
          <a:extLst>
            <a:ext uri="{FF2B5EF4-FFF2-40B4-BE49-F238E27FC236}">
              <a16:creationId xmlns:a16="http://schemas.microsoft.com/office/drawing/2014/main" id="{00000000-0008-0000-0200-00000A000000}"/>
            </a:ext>
          </a:extLst>
        </xdr:cNvPr>
        <xdr:cNvSpPr txBox="1">
          <a:spLocks noChangeArrowheads="1"/>
        </xdr:cNvSpPr>
      </xdr:nvSpPr>
      <xdr:spPr bwMode="auto">
        <a:xfrm>
          <a:off x="2212340" y="7058898"/>
          <a:ext cx="3414078"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414078" cy="204469"/>
    <xdr:sp macro="" textlink="">
      <xdr:nvSpPr>
        <xdr:cNvPr id="55" name="Text Box 3">
          <a:extLst>
            <a:ext uri="{FF2B5EF4-FFF2-40B4-BE49-F238E27FC236}">
              <a16:creationId xmlns:a16="http://schemas.microsoft.com/office/drawing/2014/main" id="{00000000-0008-0000-0200-00000E000000}"/>
            </a:ext>
          </a:extLst>
        </xdr:cNvPr>
        <xdr:cNvSpPr txBox="1">
          <a:spLocks noChangeArrowheads="1"/>
        </xdr:cNvSpPr>
      </xdr:nvSpPr>
      <xdr:spPr bwMode="auto">
        <a:xfrm>
          <a:off x="2212340" y="7058898"/>
          <a:ext cx="3414078"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550603" cy="204469"/>
    <xdr:sp macro="" textlink="">
      <xdr:nvSpPr>
        <xdr:cNvPr id="56" name="Text Box 3">
          <a:extLst>
            <a:ext uri="{FF2B5EF4-FFF2-40B4-BE49-F238E27FC236}">
              <a16:creationId xmlns:a16="http://schemas.microsoft.com/office/drawing/2014/main" id="{00000000-0008-0000-0200-000014000000}"/>
            </a:ext>
          </a:extLst>
        </xdr:cNvPr>
        <xdr:cNvSpPr txBox="1">
          <a:spLocks noChangeArrowheads="1"/>
        </xdr:cNvSpPr>
      </xdr:nvSpPr>
      <xdr:spPr bwMode="auto">
        <a:xfrm>
          <a:off x="2212340" y="7058898"/>
          <a:ext cx="3550603"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550603" cy="204469"/>
    <xdr:sp macro="" textlink="">
      <xdr:nvSpPr>
        <xdr:cNvPr id="57" name="Text Box 3">
          <a:extLst>
            <a:ext uri="{FF2B5EF4-FFF2-40B4-BE49-F238E27FC236}">
              <a16:creationId xmlns:a16="http://schemas.microsoft.com/office/drawing/2014/main" id="{00000000-0008-0000-0200-000016000000}"/>
            </a:ext>
          </a:extLst>
        </xdr:cNvPr>
        <xdr:cNvSpPr txBox="1">
          <a:spLocks noChangeArrowheads="1"/>
        </xdr:cNvSpPr>
      </xdr:nvSpPr>
      <xdr:spPr bwMode="auto">
        <a:xfrm>
          <a:off x="2212340" y="7058898"/>
          <a:ext cx="3550603"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414078" cy="204469"/>
    <xdr:sp macro="" textlink="">
      <xdr:nvSpPr>
        <xdr:cNvPr id="58" name="Text Box 3">
          <a:extLst>
            <a:ext uri="{FF2B5EF4-FFF2-40B4-BE49-F238E27FC236}">
              <a16:creationId xmlns:a16="http://schemas.microsoft.com/office/drawing/2014/main" id="{00000000-0008-0000-0200-00001B000000}"/>
            </a:ext>
          </a:extLst>
        </xdr:cNvPr>
        <xdr:cNvSpPr txBox="1">
          <a:spLocks noChangeArrowheads="1"/>
        </xdr:cNvSpPr>
      </xdr:nvSpPr>
      <xdr:spPr bwMode="auto">
        <a:xfrm>
          <a:off x="2212340" y="7058898"/>
          <a:ext cx="3414078" cy="204469"/>
        </a:xfrm>
        <a:prstGeom prst="rect">
          <a:avLst/>
        </a:prstGeom>
        <a:noFill/>
        <a:ln w="9525">
          <a:noFill/>
          <a:miter lim="800000"/>
          <a:headEnd/>
          <a:tailEnd/>
        </a:ln>
      </xdr:spPr>
    </xdr:sp>
    <xdr:clientData/>
  </xdr:oneCellAnchor>
  <xdr:twoCellAnchor editAs="oneCell">
    <xdr:from>
      <xdr:col>3</xdr:col>
      <xdr:colOff>624840</xdr:colOff>
      <xdr:row>71</xdr:row>
      <xdr:rowOff>83820</xdr:rowOff>
    </xdr:from>
    <xdr:to>
      <xdr:col>7</xdr:col>
      <xdr:colOff>687705</xdr:colOff>
      <xdr:row>72</xdr:row>
      <xdr:rowOff>129540</xdr:rowOff>
    </xdr:to>
    <xdr:sp macro="" textlink="">
      <xdr:nvSpPr>
        <xdr:cNvPr id="59" name="Text Box 3"/>
        <xdr:cNvSpPr txBox="1">
          <a:spLocks noChangeArrowheads="1"/>
        </xdr:cNvSpPr>
      </xdr:nvSpPr>
      <xdr:spPr bwMode="auto">
        <a:xfrm>
          <a:off x="2205990" y="14390370"/>
          <a:ext cx="335851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687705</xdr:colOff>
      <xdr:row>104</xdr:row>
      <xdr:rowOff>144779</xdr:rowOff>
    </xdr:to>
    <xdr:sp macro="" textlink="">
      <xdr:nvSpPr>
        <xdr:cNvPr id="60" name="Text Box 3"/>
        <xdr:cNvSpPr txBox="1">
          <a:spLocks noChangeArrowheads="1"/>
        </xdr:cNvSpPr>
      </xdr:nvSpPr>
      <xdr:spPr bwMode="auto">
        <a:xfrm>
          <a:off x="2205990" y="20278725"/>
          <a:ext cx="33585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687705</xdr:colOff>
      <xdr:row>72</xdr:row>
      <xdr:rowOff>129540</xdr:rowOff>
    </xdr:to>
    <xdr:sp macro="" textlink="">
      <xdr:nvSpPr>
        <xdr:cNvPr id="61" name="Text Box 3"/>
        <xdr:cNvSpPr txBox="1">
          <a:spLocks noChangeArrowheads="1"/>
        </xdr:cNvSpPr>
      </xdr:nvSpPr>
      <xdr:spPr bwMode="auto">
        <a:xfrm>
          <a:off x="2205990" y="14390370"/>
          <a:ext cx="335851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687705</xdr:colOff>
      <xdr:row>104</xdr:row>
      <xdr:rowOff>144779</xdr:rowOff>
    </xdr:to>
    <xdr:sp macro="" textlink="">
      <xdr:nvSpPr>
        <xdr:cNvPr id="62" name="Text Box 3"/>
        <xdr:cNvSpPr txBox="1">
          <a:spLocks noChangeArrowheads="1"/>
        </xdr:cNvSpPr>
      </xdr:nvSpPr>
      <xdr:spPr bwMode="auto">
        <a:xfrm>
          <a:off x="2205990" y="20278725"/>
          <a:ext cx="33585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554355</xdr:colOff>
      <xdr:row>72</xdr:row>
      <xdr:rowOff>129540</xdr:rowOff>
    </xdr:to>
    <xdr:sp macro="" textlink="">
      <xdr:nvSpPr>
        <xdr:cNvPr id="63" name="Text Box 3"/>
        <xdr:cNvSpPr txBox="1">
          <a:spLocks noChangeArrowheads="1"/>
        </xdr:cNvSpPr>
      </xdr:nvSpPr>
      <xdr:spPr bwMode="auto">
        <a:xfrm>
          <a:off x="2205990" y="14390370"/>
          <a:ext cx="322516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554355</xdr:colOff>
      <xdr:row>104</xdr:row>
      <xdr:rowOff>144779</xdr:rowOff>
    </xdr:to>
    <xdr:sp macro="" textlink="">
      <xdr:nvSpPr>
        <xdr:cNvPr id="64" name="Text Box 3"/>
        <xdr:cNvSpPr txBox="1">
          <a:spLocks noChangeArrowheads="1"/>
        </xdr:cNvSpPr>
      </xdr:nvSpPr>
      <xdr:spPr bwMode="auto">
        <a:xfrm>
          <a:off x="2205990" y="20278725"/>
          <a:ext cx="32251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554355</xdr:colOff>
      <xdr:row>72</xdr:row>
      <xdr:rowOff>129540</xdr:rowOff>
    </xdr:to>
    <xdr:sp macro="" textlink="">
      <xdr:nvSpPr>
        <xdr:cNvPr id="65" name="Text Box 3"/>
        <xdr:cNvSpPr txBox="1">
          <a:spLocks noChangeArrowheads="1"/>
        </xdr:cNvSpPr>
      </xdr:nvSpPr>
      <xdr:spPr bwMode="auto">
        <a:xfrm>
          <a:off x="2205990" y="14390370"/>
          <a:ext cx="322516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554355</xdr:colOff>
      <xdr:row>104</xdr:row>
      <xdr:rowOff>144779</xdr:rowOff>
    </xdr:to>
    <xdr:sp macro="" textlink="">
      <xdr:nvSpPr>
        <xdr:cNvPr id="66" name="Text Box 3"/>
        <xdr:cNvSpPr txBox="1">
          <a:spLocks noChangeArrowheads="1"/>
        </xdr:cNvSpPr>
      </xdr:nvSpPr>
      <xdr:spPr bwMode="auto">
        <a:xfrm>
          <a:off x="2205990" y="20278725"/>
          <a:ext cx="32251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687705</xdr:colOff>
      <xdr:row>72</xdr:row>
      <xdr:rowOff>129540</xdr:rowOff>
    </xdr:to>
    <xdr:sp macro="" textlink="">
      <xdr:nvSpPr>
        <xdr:cNvPr id="67" name="Text Box 3"/>
        <xdr:cNvSpPr txBox="1">
          <a:spLocks noChangeArrowheads="1"/>
        </xdr:cNvSpPr>
      </xdr:nvSpPr>
      <xdr:spPr bwMode="auto">
        <a:xfrm>
          <a:off x="2205990" y="14390370"/>
          <a:ext cx="335851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687705</xdr:colOff>
      <xdr:row>104</xdr:row>
      <xdr:rowOff>144779</xdr:rowOff>
    </xdr:to>
    <xdr:sp macro="" textlink="">
      <xdr:nvSpPr>
        <xdr:cNvPr id="68" name="Text Box 3"/>
        <xdr:cNvSpPr txBox="1">
          <a:spLocks noChangeArrowheads="1"/>
        </xdr:cNvSpPr>
      </xdr:nvSpPr>
      <xdr:spPr bwMode="auto">
        <a:xfrm>
          <a:off x="2205990" y="20278725"/>
          <a:ext cx="33585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687705</xdr:colOff>
      <xdr:row>72</xdr:row>
      <xdr:rowOff>129540</xdr:rowOff>
    </xdr:to>
    <xdr:sp macro="" textlink="">
      <xdr:nvSpPr>
        <xdr:cNvPr id="69" name="Text Box 3"/>
        <xdr:cNvSpPr txBox="1">
          <a:spLocks noChangeArrowheads="1"/>
        </xdr:cNvSpPr>
      </xdr:nvSpPr>
      <xdr:spPr bwMode="auto">
        <a:xfrm>
          <a:off x="2205990" y="14390370"/>
          <a:ext cx="335851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687705</xdr:colOff>
      <xdr:row>104</xdr:row>
      <xdr:rowOff>144779</xdr:rowOff>
    </xdr:to>
    <xdr:sp macro="" textlink="">
      <xdr:nvSpPr>
        <xdr:cNvPr id="70" name="Text Box 3"/>
        <xdr:cNvSpPr txBox="1">
          <a:spLocks noChangeArrowheads="1"/>
        </xdr:cNvSpPr>
      </xdr:nvSpPr>
      <xdr:spPr bwMode="auto">
        <a:xfrm>
          <a:off x="2205990" y="20278725"/>
          <a:ext cx="33585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554355</xdr:colOff>
      <xdr:row>72</xdr:row>
      <xdr:rowOff>129540</xdr:rowOff>
    </xdr:to>
    <xdr:sp macro="" textlink="">
      <xdr:nvSpPr>
        <xdr:cNvPr id="71" name="Text Box 3"/>
        <xdr:cNvSpPr txBox="1">
          <a:spLocks noChangeArrowheads="1"/>
        </xdr:cNvSpPr>
      </xdr:nvSpPr>
      <xdr:spPr bwMode="auto">
        <a:xfrm>
          <a:off x="2205990" y="14390370"/>
          <a:ext cx="3225165" cy="207645"/>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554355</xdr:colOff>
      <xdr:row>104</xdr:row>
      <xdr:rowOff>144779</xdr:rowOff>
    </xdr:to>
    <xdr:sp macro="" textlink="">
      <xdr:nvSpPr>
        <xdr:cNvPr id="72" name="Text Box 3"/>
        <xdr:cNvSpPr txBox="1">
          <a:spLocks noChangeArrowheads="1"/>
        </xdr:cNvSpPr>
      </xdr:nvSpPr>
      <xdr:spPr bwMode="auto">
        <a:xfrm>
          <a:off x="2205990" y="20278725"/>
          <a:ext cx="32251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554355</xdr:colOff>
      <xdr:row>72</xdr:row>
      <xdr:rowOff>129540</xdr:rowOff>
    </xdr:to>
    <xdr:sp macro="" textlink="">
      <xdr:nvSpPr>
        <xdr:cNvPr id="73" name="Text Box 3"/>
        <xdr:cNvSpPr txBox="1">
          <a:spLocks noChangeArrowheads="1"/>
        </xdr:cNvSpPr>
      </xdr:nvSpPr>
      <xdr:spPr bwMode="auto">
        <a:xfrm>
          <a:off x="2205990" y="14390370"/>
          <a:ext cx="3225165" cy="207645"/>
        </a:xfrm>
        <a:prstGeom prst="rect">
          <a:avLst/>
        </a:prstGeom>
        <a:noFill/>
        <a:ln w="9525">
          <a:noFill/>
          <a:miter lim="800000"/>
          <a:headEnd/>
          <a:tailEnd/>
        </a:ln>
      </xdr:spPr>
    </xdr:sp>
    <xdr:clientData/>
  </xdr:twoCellAnchor>
  <xdr:twoCellAnchor>
    <xdr:from>
      <xdr:col>1</xdr:col>
      <xdr:colOff>290591</xdr:colOff>
      <xdr:row>72</xdr:row>
      <xdr:rowOff>105171</xdr:rowOff>
    </xdr:from>
    <xdr:to>
      <xdr:col>11</xdr:col>
      <xdr:colOff>530621</xdr:colOff>
      <xdr:row>90</xdr:row>
      <xdr:rowOff>86121</xdr:rowOff>
    </xdr:to>
    <xdr:graphicFrame macro="">
      <xdr:nvGraphicFramePr>
        <xdr:cNvPr id="74"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624840</xdr:colOff>
      <xdr:row>103</xdr:row>
      <xdr:rowOff>76200</xdr:rowOff>
    </xdr:from>
    <xdr:to>
      <xdr:col>7</xdr:col>
      <xdr:colOff>554355</xdr:colOff>
      <xdr:row>104</xdr:row>
      <xdr:rowOff>144779</xdr:rowOff>
    </xdr:to>
    <xdr:sp macro="" textlink="">
      <xdr:nvSpPr>
        <xdr:cNvPr id="75" name="Text Box 3"/>
        <xdr:cNvSpPr txBox="1">
          <a:spLocks noChangeArrowheads="1"/>
        </xdr:cNvSpPr>
      </xdr:nvSpPr>
      <xdr:spPr bwMode="auto">
        <a:xfrm>
          <a:off x="2205990" y="20278725"/>
          <a:ext cx="3225165" cy="230504"/>
        </a:xfrm>
        <a:prstGeom prst="rect">
          <a:avLst/>
        </a:prstGeom>
        <a:noFill/>
        <a:ln w="9525">
          <a:noFill/>
          <a:miter lim="800000"/>
          <a:headEnd/>
          <a:tailEnd/>
        </a:ln>
      </xdr:spPr>
    </xdr:sp>
    <xdr:clientData/>
  </xdr:twoCellAnchor>
  <xdr:twoCellAnchor>
    <xdr:from>
      <xdr:col>1</xdr:col>
      <xdr:colOff>280988</xdr:colOff>
      <xdr:row>92</xdr:row>
      <xdr:rowOff>5237</xdr:rowOff>
    </xdr:from>
    <xdr:to>
      <xdr:col>11</xdr:col>
      <xdr:colOff>509588</xdr:colOff>
      <xdr:row>109</xdr:row>
      <xdr:rowOff>19049</xdr:rowOff>
    </xdr:to>
    <xdr:graphicFrame macro="">
      <xdr:nvGraphicFramePr>
        <xdr:cNvPr id="76"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624840</xdr:colOff>
      <xdr:row>103</xdr:row>
      <xdr:rowOff>76200</xdr:rowOff>
    </xdr:from>
    <xdr:to>
      <xdr:col>8</xdr:col>
      <xdr:colOff>87630</xdr:colOff>
      <xdr:row>104</xdr:row>
      <xdr:rowOff>144779</xdr:rowOff>
    </xdr:to>
    <xdr:sp macro="" textlink="">
      <xdr:nvSpPr>
        <xdr:cNvPr id="77" name="Text Box 3">
          <a:extLst>
            <a:ext uri="{FF2B5EF4-FFF2-40B4-BE49-F238E27FC236}">
              <a16:creationId xmlns:a16="http://schemas.microsoft.com/office/drawing/2014/main" id="{00000000-0008-0000-0200-000004000000}"/>
            </a:ext>
          </a:extLst>
        </xdr:cNvPr>
        <xdr:cNvSpPr txBox="1">
          <a:spLocks noChangeArrowheads="1"/>
        </xdr:cNvSpPr>
      </xdr:nvSpPr>
      <xdr:spPr bwMode="auto">
        <a:xfrm>
          <a:off x="2205990" y="20278725"/>
          <a:ext cx="35490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8</xdr:col>
      <xdr:colOff>87630</xdr:colOff>
      <xdr:row>72</xdr:row>
      <xdr:rowOff>129539</xdr:rowOff>
    </xdr:to>
    <xdr:sp macro="" textlink="">
      <xdr:nvSpPr>
        <xdr:cNvPr id="78" name="Text Box 3">
          <a:extLst>
            <a:ext uri="{FF2B5EF4-FFF2-40B4-BE49-F238E27FC236}">
              <a16:creationId xmlns:a16="http://schemas.microsoft.com/office/drawing/2014/main" id="{00000000-0008-0000-0200-000006000000}"/>
            </a:ext>
          </a:extLst>
        </xdr:cNvPr>
        <xdr:cNvSpPr txBox="1">
          <a:spLocks noChangeArrowheads="1"/>
        </xdr:cNvSpPr>
      </xdr:nvSpPr>
      <xdr:spPr bwMode="auto">
        <a:xfrm>
          <a:off x="2205990" y="14390370"/>
          <a:ext cx="354901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8</xdr:col>
      <xdr:colOff>87630</xdr:colOff>
      <xdr:row>104</xdr:row>
      <xdr:rowOff>144779</xdr:rowOff>
    </xdr:to>
    <xdr:sp macro="" textlink="">
      <xdr:nvSpPr>
        <xdr:cNvPr id="79" name="Text Box 3">
          <a:extLst>
            <a:ext uri="{FF2B5EF4-FFF2-40B4-BE49-F238E27FC236}">
              <a16:creationId xmlns:a16="http://schemas.microsoft.com/office/drawing/2014/main" id="{00000000-0008-0000-0200-000008000000}"/>
            </a:ext>
          </a:extLst>
        </xdr:cNvPr>
        <xdr:cNvSpPr txBox="1">
          <a:spLocks noChangeArrowheads="1"/>
        </xdr:cNvSpPr>
      </xdr:nvSpPr>
      <xdr:spPr bwMode="auto">
        <a:xfrm>
          <a:off x="2205990" y="20278725"/>
          <a:ext cx="35490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744855</xdr:colOff>
      <xdr:row>72</xdr:row>
      <xdr:rowOff>129539</xdr:rowOff>
    </xdr:to>
    <xdr:sp macro="" textlink="">
      <xdr:nvSpPr>
        <xdr:cNvPr id="80" name="Text Box 3">
          <a:extLst>
            <a:ext uri="{FF2B5EF4-FFF2-40B4-BE49-F238E27FC236}">
              <a16:creationId xmlns:a16="http://schemas.microsoft.com/office/drawing/2014/main" id="{00000000-0008-0000-0200-00000A000000}"/>
            </a:ext>
          </a:extLst>
        </xdr:cNvPr>
        <xdr:cNvSpPr txBox="1">
          <a:spLocks noChangeArrowheads="1"/>
        </xdr:cNvSpPr>
      </xdr:nvSpPr>
      <xdr:spPr bwMode="auto">
        <a:xfrm>
          <a:off x="2205990" y="14390370"/>
          <a:ext cx="341566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744855</xdr:colOff>
      <xdr:row>104</xdr:row>
      <xdr:rowOff>144779</xdr:rowOff>
    </xdr:to>
    <xdr:sp macro="" textlink="">
      <xdr:nvSpPr>
        <xdr:cNvPr id="81" name="Text Box 3">
          <a:extLst>
            <a:ext uri="{FF2B5EF4-FFF2-40B4-BE49-F238E27FC236}">
              <a16:creationId xmlns:a16="http://schemas.microsoft.com/office/drawing/2014/main" id="{00000000-0008-0000-0200-00000B000000}"/>
            </a:ext>
          </a:extLst>
        </xdr:cNvPr>
        <xdr:cNvSpPr txBox="1">
          <a:spLocks noChangeArrowheads="1"/>
        </xdr:cNvSpPr>
      </xdr:nvSpPr>
      <xdr:spPr bwMode="auto">
        <a:xfrm>
          <a:off x="2205990" y="20278725"/>
          <a:ext cx="34156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744855</xdr:colOff>
      <xdr:row>72</xdr:row>
      <xdr:rowOff>129539</xdr:rowOff>
    </xdr:to>
    <xdr:sp macro="" textlink="">
      <xdr:nvSpPr>
        <xdr:cNvPr id="82" name="Text Box 3">
          <a:extLst>
            <a:ext uri="{FF2B5EF4-FFF2-40B4-BE49-F238E27FC236}">
              <a16:creationId xmlns:a16="http://schemas.microsoft.com/office/drawing/2014/main" id="{00000000-0008-0000-0200-00000E000000}"/>
            </a:ext>
          </a:extLst>
        </xdr:cNvPr>
        <xdr:cNvSpPr txBox="1">
          <a:spLocks noChangeArrowheads="1"/>
        </xdr:cNvSpPr>
      </xdr:nvSpPr>
      <xdr:spPr bwMode="auto">
        <a:xfrm>
          <a:off x="2205990" y="14390370"/>
          <a:ext cx="341566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744855</xdr:colOff>
      <xdr:row>104</xdr:row>
      <xdr:rowOff>144779</xdr:rowOff>
    </xdr:to>
    <xdr:sp macro="" textlink="">
      <xdr:nvSpPr>
        <xdr:cNvPr id="83" name="Text Box 3">
          <a:extLst>
            <a:ext uri="{FF2B5EF4-FFF2-40B4-BE49-F238E27FC236}">
              <a16:creationId xmlns:a16="http://schemas.microsoft.com/office/drawing/2014/main" id="{00000000-0008-0000-0200-000010000000}"/>
            </a:ext>
          </a:extLst>
        </xdr:cNvPr>
        <xdr:cNvSpPr txBox="1">
          <a:spLocks noChangeArrowheads="1"/>
        </xdr:cNvSpPr>
      </xdr:nvSpPr>
      <xdr:spPr bwMode="auto">
        <a:xfrm>
          <a:off x="2205990" y="20278725"/>
          <a:ext cx="341566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8</xdr:col>
      <xdr:colOff>87630</xdr:colOff>
      <xdr:row>72</xdr:row>
      <xdr:rowOff>129539</xdr:rowOff>
    </xdr:to>
    <xdr:sp macro="" textlink="">
      <xdr:nvSpPr>
        <xdr:cNvPr id="84" name="Text Box 3">
          <a:extLst>
            <a:ext uri="{FF2B5EF4-FFF2-40B4-BE49-F238E27FC236}">
              <a16:creationId xmlns:a16="http://schemas.microsoft.com/office/drawing/2014/main" id="{00000000-0008-0000-0200-000014000000}"/>
            </a:ext>
          </a:extLst>
        </xdr:cNvPr>
        <xdr:cNvSpPr txBox="1">
          <a:spLocks noChangeArrowheads="1"/>
        </xdr:cNvSpPr>
      </xdr:nvSpPr>
      <xdr:spPr bwMode="auto">
        <a:xfrm>
          <a:off x="2205990" y="14390370"/>
          <a:ext cx="354901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8</xdr:col>
      <xdr:colOff>87630</xdr:colOff>
      <xdr:row>104</xdr:row>
      <xdr:rowOff>144779</xdr:rowOff>
    </xdr:to>
    <xdr:sp macro="" textlink="">
      <xdr:nvSpPr>
        <xdr:cNvPr id="85" name="Text Box 3">
          <a:extLst>
            <a:ext uri="{FF2B5EF4-FFF2-40B4-BE49-F238E27FC236}">
              <a16:creationId xmlns:a16="http://schemas.microsoft.com/office/drawing/2014/main" id="{00000000-0008-0000-0200-000015000000}"/>
            </a:ext>
          </a:extLst>
        </xdr:cNvPr>
        <xdr:cNvSpPr txBox="1">
          <a:spLocks noChangeArrowheads="1"/>
        </xdr:cNvSpPr>
      </xdr:nvSpPr>
      <xdr:spPr bwMode="auto">
        <a:xfrm>
          <a:off x="2205990" y="20278725"/>
          <a:ext cx="35490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8</xdr:col>
      <xdr:colOff>87630</xdr:colOff>
      <xdr:row>72</xdr:row>
      <xdr:rowOff>129539</xdr:rowOff>
    </xdr:to>
    <xdr:sp macro="" textlink="">
      <xdr:nvSpPr>
        <xdr:cNvPr id="86" name="Text Box 3">
          <a:extLst>
            <a:ext uri="{FF2B5EF4-FFF2-40B4-BE49-F238E27FC236}">
              <a16:creationId xmlns:a16="http://schemas.microsoft.com/office/drawing/2014/main" id="{00000000-0008-0000-0200-000016000000}"/>
            </a:ext>
          </a:extLst>
        </xdr:cNvPr>
        <xdr:cNvSpPr txBox="1">
          <a:spLocks noChangeArrowheads="1"/>
        </xdr:cNvSpPr>
      </xdr:nvSpPr>
      <xdr:spPr bwMode="auto">
        <a:xfrm>
          <a:off x="2205990" y="14390370"/>
          <a:ext cx="354901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8</xdr:col>
      <xdr:colOff>87630</xdr:colOff>
      <xdr:row>104</xdr:row>
      <xdr:rowOff>144779</xdr:rowOff>
    </xdr:to>
    <xdr:sp macro="" textlink="">
      <xdr:nvSpPr>
        <xdr:cNvPr id="87" name="Text Box 3">
          <a:extLst>
            <a:ext uri="{FF2B5EF4-FFF2-40B4-BE49-F238E27FC236}">
              <a16:creationId xmlns:a16="http://schemas.microsoft.com/office/drawing/2014/main" id="{00000000-0008-0000-0200-000017000000}"/>
            </a:ext>
          </a:extLst>
        </xdr:cNvPr>
        <xdr:cNvSpPr txBox="1">
          <a:spLocks noChangeArrowheads="1"/>
        </xdr:cNvSpPr>
      </xdr:nvSpPr>
      <xdr:spPr bwMode="auto">
        <a:xfrm>
          <a:off x="2205990" y="20278725"/>
          <a:ext cx="3549015" cy="230504"/>
        </a:xfrm>
        <a:prstGeom prst="rect">
          <a:avLst/>
        </a:prstGeom>
        <a:noFill/>
        <a:ln w="9525">
          <a:noFill/>
          <a:miter lim="800000"/>
          <a:headEnd/>
          <a:tailEnd/>
        </a:ln>
      </xdr:spPr>
    </xdr:sp>
    <xdr:clientData/>
  </xdr:twoCellAnchor>
  <xdr:twoCellAnchor editAs="oneCell">
    <xdr:from>
      <xdr:col>3</xdr:col>
      <xdr:colOff>624840</xdr:colOff>
      <xdr:row>71</xdr:row>
      <xdr:rowOff>83820</xdr:rowOff>
    </xdr:from>
    <xdr:to>
      <xdr:col>7</xdr:col>
      <xdr:colOff>744855</xdr:colOff>
      <xdr:row>72</xdr:row>
      <xdr:rowOff>129539</xdr:rowOff>
    </xdr:to>
    <xdr:sp macro="" textlink="">
      <xdr:nvSpPr>
        <xdr:cNvPr id="88" name="Text Box 3">
          <a:extLst>
            <a:ext uri="{FF2B5EF4-FFF2-40B4-BE49-F238E27FC236}">
              <a16:creationId xmlns:a16="http://schemas.microsoft.com/office/drawing/2014/main" id="{00000000-0008-0000-0200-00001B000000}"/>
            </a:ext>
          </a:extLst>
        </xdr:cNvPr>
        <xdr:cNvSpPr txBox="1">
          <a:spLocks noChangeArrowheads="1"/>
        </xdr:cNvSpPr>
      </xdr:nvSpPr>
      <xdr:spPr bwMode="auto">
        <a:xfrm>
          <a:off x="2205990" y="14390370"/>
          <a:ext cx="3415665" cy="20764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744855</xdr:colOff>
      <xdr:row>104</xdr:row>
      <xdr:rowOff>144779</xdr:rowOff>
    </xdr:to>
    <xdr:sp macro="" textlink="">
      <xdr:nvSpPr>
        <xdr:cNvPr id="89" name="Text Box 3">
          <a:extLst>
            <a:ext uri="{FF2B5EF4-FFF2-40B4-BE49-F238E27FC236}">
              <a16:creationId xmlns:a16="http://schemas.microsoft.com/office/drawing/2014/main" id="{00000000-0008-0000-0200-00001C000000}"/>
            </a:ext>
          </a:extLst>
        </xdr:cNvPr>
        <xdr:cNvSpPr txBox="1">
          <a:spLocks noChangeArrowheads="1"/>
        </xdr:cNvSpPr>
      </xdr:nvSpPr>
      <xdr:spPr bwMode="auto">
        <a:xfrm>
          <a:off x="2205990" y="20278725"/>
          <a:ext cx="3415665" cy="230504"/>
        </a:xfrm>
        <a:prstGeom prst="rect">
          <a:avLst/>
        </a:prstGeom>
        <a:noFill/>
        <a:ln w="9525">
          <a:noFill/>
          <a:miter lim="800000"/>
          <a:headEnd/>
          <a:tailEnd/>
        </a:ln>
      </xdr:spPr>
    </xdr:sp>
    <xdr:clientData/>
  </xdr:twoCellAnchor>
  <xdr:twoCellAnchor editAs="oneCell">
    <xdr:from>
      <xdr:col>3</xdr:col>
      <xdr:colOff>624840</xdr:colOff>
      <xdr:row>103</xdr:row>
      <xdr:rowOff>76200</xdr:rowOff>
    </xdr:from>
    <xdr:to>
      <xdr:col>7</xdr:col>
      <xdr:colOff>744855</xdr:colOff>
      <xdr:row>104</xdr:row>
      <xdr:rowOff>144779</xdr:rowOff>
    </xdr:to>
    <xdr:sp macro="" textlink="">
      <xdr:nvSpPr>
        <xdr:cNvPr id="90" name="Text Box 3">
          <a:extLst>
            <a:ext uri="{FF2B5EF4-FFF2-40B4-BE49-F238E27FC236}">
              <a16:creationId xmlns:a16="http://schemas.microsoft.com/office/drawing/2014/main" id="{00000000-0008-0000-0200-00001F000000}"/>
            </a:ext>
          </a:extLst>
        </xdr:cNvPr>
        <xdr:cNvSpPr txBox="1">
          <a:spLocks noChangeArrowheads="1"/>
        </xdr:cNvSpPr>
      </xdr:nvSpPr>
      <xdr:spPr bwMode="auto">
        <a:xfrm>
          <a:off x="2205990" y="20278725"/>
          <a:ext cx="3415665" cy="230504"/>
        </a:xfrm>
        <a:prstGeom prst="rect">
          <a:avLst/>
        </a:prstGeom>
        <a:noFill/>
        <a:ln w="9525">
          <a:noFill/>
          <a:miter lim="800000"/>
          <a:headEnd/>
          <a:tailEnd/>
        </a:ln>
      </xdr:spPr>
    </xdr:sp>
    <xdr:clientData/>
  </xdr:twoCellAnchor>
  <xdr:oneCellAnchor>
    <xdr:from>
      <xdr:col>3</xdr:col>
      <xdr:colOff>624840</xdr:colOff>
      <xdr:row>165</xdr:row>
      <xdr:rowOff>83820</xdr:rowOff>
    </xdr:from>
    <xdr:ext cx="3356928" cy="204470"/>
    <xdr:sp macro="" textlink="">
      <xdr:nvSpPr>
        <xdr:cNvPr id="91" name="Text Box 3"/>
        <xdr:cNvSpPr txBox="1">
          <a:spLocks noChangeArrowheads="1"/>
        </xdr:cNvSpPr>
      </xdr:nvSpPr>
      <xdr:spPr bwMode="auto">
        <a:xfrm>
          <a:off x="2205990" y="31725870"/>
          <a:ext cx="335692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356928" cy="204470"/>
    <xdr:sp macro="" textlink="">
      <xdr:nvSpPr>
        <xdr:cNvPr id="92" name="Text Box 3"/>
        <xdr:cNvSpPr txBox="1">
          <a:spLocks noChangeArrowheads="1"/>
        </xdr:cNvSpPr>
      </xdr:nvSpPr>
      <xdr:spPr bwMode="auto">
        <a:xfrm>
          <a:off x="2205990" y="31725870"/>
          <a:ext cx="335692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223578" cy="204470"/>
    <xdr:sp macro="" textlink="">
      <xdr:nvSpPr>
        <xdr:cNvPr id="93" name="Text Box 3"/>
        <xdr:cNvSpPr txBox="1">
          <a:spLocks noChangeArrowheads="1"/>
        </xdr:cNvSpPr>
      </xdr:nvSpPr>
      <xdr:spPr bwMode="auto">
        <a:xfrm>
          <a:off x="2205990" y="31725870"/>
          <a:ext cx="322357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223578" cy="204470"/>
    <xdr:sp macro="" textlink="">
      <xdr:nvSpPr>
        <xdr:cNvPr id="94" name="Text Box 3"/>
        <xdr:cNvSpPr txBox="1">
          <a:spLocks noChangeArrowheads="1"/>
        </xdr:cNvSpPr>
      </xdr:nvSpPr>
      <xdr:spPr bwMode="auto">
        <a:xfrm>
          <a:off x="2205990" y="31725870"/>
          <a:ext cx="322357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356928" cy="204470"/>
    <xdr:sp macro="" textlink="">
      <xdr:nvSpPr>
        <xdr:cNvPr id="95" name="Text Box 3"/>
        <xdr:cNvSpPr txBox="1">
          <a:spLocks noChangeArrowheads="1"/>
        </xdr:cNvSpPr>
      </xdr:nvSpPr>
      <xdr:spPr bwMode="auto">
        <a:xfrm>
          <a:off x="2205990" y="31725870"/>
          <a:ext cx="335692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356928" cy="204470"/>
    <xdr:sp macro="" textlink="">
      <xdr:nvSpPr>
        <xdr:cNvPr id="96" name="Text Box 3"/>
        <xdr:cNvSpPr txBox="1">
          <a:spLocks noChangeArrowheads="1"/>
        </xdr:cNvSpPr>
      </xdr:nvSpPr>
      <xdr:spPr bwMode="auto">
        <a:xfrm>
          <a:off x="2205990" y="31725870"/>
          <a:ext cx="335692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223578" cy="204470"/>
    <xdr:sp macro="" textlink="">
      <xdr:nvSpPr>
        <xdr:cNvPr id="97" name="Text Box 3"/>
        <xdr:cNvSpPr txBox="1">
          <a:spLocks noChangeArrowheads="1"/>
        </xdr:cNvSpPr>
      </xdr:nvSpPr>
      <xdr:spPr bwMode="auto">
        <a:xfrm>
          <a:off x="2205990" y="31725870"/>
          <a:ext cx="322357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223578" cy="204470"/>
    <xdr:sp macro="" textlink="">
      <xdr:nvSpPr>
        <xdr:cNvPr id="98" name="Text Box 3"/>
        <xdr:cNvSpPr txBox="1">
          <a:spLocks noChangeArrowheads="1"/>
        </xdr:cNvSpPr>
      </xdr:nvSpPr>
      <xdr:spPr bwMode="auto">
        <a:xfrm>
          <a:off x="2205990" y="31725870"/>
          <a:ext cx="3223578" cy="204470"/>
        </a:xfrm>
        <a:prstGeom prst="rect">
          <a:avLst/>
        </a:prstGeom>
        <a:noFill/>
        <a:ln w="9525">
          <a:noFill/>
          <a:miter lim="800000"/>
          <a:headEnd/>
          <a:tailEnd/>
        </a:ln>
      </xdr:spPr>
    </xdr:sp>
    <xdr:clientData/>
  </xdr:oneCellAnchor>
  <xdr:oneCellAnchor>
    <xdr:from>
      <xdr:col>3</xdr:col>
      <xdr:colOff>624840</xdr:colOff>
      <xdr:row>165</xdr:row>
      <xdr:rowOff>83820</xdr:rowOff>
    </xdr:from>
    <xdr:ext cx="3550603" cy="204469"/>
    <xdr:sp macro="" textlink="">
      <xdr:nvSpPr>
        <xdr:cNvPr id="99" name="Text Box 3">
          <a:extLst>
            <a:ext uri="{FF2B5EF4-FFF2-40B4-BE49-F238E27FC236}">
              <a16:creationId xmlns:a16="http://schemas.microsoft.com/office/drawing/2014/main" id="{00000000-0008-0000-0200-000006000000}"/>
            </a:ext>
          </a:extLst>
        </xdr:cNvPr>
        <xdr:cNvSpPr txBox="1">
          <a:spLocks noChangeArrowheads="1"/>
        </xdr:cNvSpPr>
      </xdr:nvSpPr>
      <xdr:spPr bwMode="auto">
        <a:xfrm>
          <a:off x="2205990" y="31725870"/>
          <a:ext cx="3550603"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414078" cy="204469"/>
    <xdr:sp macro="" textlink="">
      <xdr:nvSpPr>
        <xdr:cNvPr id="100" name="Text Box 3">
          <a:extLst>
            <a:ext uri="{FF2B5EF4-FFF2-40B4-BE49-F238E27FC236}">
              <a16:creationId xmlns:a16="http://schemas.microsoft.com/office/drawing/2014/main" id="{00000000-0008-0000-0200-00000A000000}"/>
            </a:ext>
          </a:extLst>
        </xdr:cNvPr>
        <xdr:cNvSpPr txBox="1">
          <a:spLocks noChangeArrowheads="1"/>
        </xdr:cNvSpPr>
      </xdr:nvSpPr>
      <xdr:spPr bwMode="auto">
        <a:xfrm>
          <a:off x="2205990" y="31725870"/>
          <a:ext cx="3414078"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414078" cy="204469"/>
    <xdr:sp macro="" textlink="">
      <xdr:nvSpPr>
        <xdr:cNvPr id="101" name="Text Box 3">
          <a:extLst>
            <a:ext uri="{FF2B5EF4-FFF2-40B4-BE49-F238E27FC236}">
              <a16:creationId xmlns:a16="http://schemas.microsoft.com/office/drawing/2014/main" id="{00000000-0008-0000-0200-00000E000000}"/>
            </a:ext>
          </a:extLst>
        </xdr:cNvPr>
        <xdr:cNvSpPr txBox="1">
          <a:spLocks noChangeArrowheads="1"/>
        </xdr:cNvSpPr>
      </xdr:nvSpPr>
      <xdr:spPr bwMode="auto">
        <a:xfrm>
          <a:off x="2205990" y="31725870"/>
          <a:ext cx="3414078"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550603" cy="204469"/>
    <xdr:sp macro="" textlink="">
      <xdr:nvSpPr>
        <xdr:cNvPr id="102" name="Text Box 3">
          <a:extLst>
            <a:ext uri="{FF2B5EF4-FFF2-40B4-BE49-F238E27FC236}">
              <a16:creationId xmlns:a16="http://schemas.microsoft.com/office/drawing/2014/main" id="{00000000-0008-0000-0200-000014000000}"/>
            </a:ext>
          </a:extLst>
        </xdr:cNvPr>
        <xdr:cNvSpPr txBox="1">
          <a:spLocks noChangeArrowheads="1"/>
        </xdr:cNvSpPr>
      </xdr:nvSpPr>
      <xdr:spPr bwMode="auto">
        <a:xfrm>
          <a:off x="2205990" y="31725870"/>
          <a:ext cx="3550603"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550603" cy="204469"/>
    <xdr:sp macro="" textlink="">
      <xdr:nvSpPr>
        <xdr:cNvPr id="103" name="Text Box 3">
          <a:extLst>
            <a:ext uri="{FF2B5EF4-FFF2-40B4-BE49-F238E27FC236}">
              <a16:creationId xmlns:a16="http://schemas.microsoft.com/office/drawing/2014/main" id="{00000000-0008-0000-0200-000016000000}"/>
            </a:ext>
          </a:extLst>
        </xdr:cNvPr>
        <xdr:cNvSpPr txBox="1">
          <a:spLocks noChangeArrowheads="1"/>
        </xdr:cNvSpPr>
      </xdr:nvSpPr>
      <xdr:spPr bwMode="auto">
        <a:xfrm>
          <a:off x="2205990" y="31725870"/>
          <a:ext cx="3550603" cy="204469"/>
        </a:xfrm>
        <a:prstGeom prst="rect">
          <a:avLst/>
        </a:prstGeom>
        <a:noFill/>
        <a:ln w="9525">
          <a:noFill/>
          <a:miter lim="800000"/>
          <a:headEnd/>
          <a:tailEnd/>
        </a:ln>
      </xdr:spPr>
    </xdr:sp>
    <xdr:clientData/>
  </xdr:oneCellAnchor>
  <xdr:oneCellAnchor>
    <xdr:from>
      <xdr:col>3</xdr:col>
      <xdr:colOff>624840</xdr:colOff>
      <xdr:row>165</xdr:row>
      <xdr:rowOff>83820</xdr:rowOff>
    </xdr:from>
    <xdr:ext cx="3414078" cy="204469"/>
    <xdr:sp macro="" textlink="">
      <xdr:nvSpPr>
        <xdr:cNvPr id="104" name="Text Box 3">
          <a:extLst>
            <a:ext uri="{FF2B5EF4-FFF2-40B4-BE49-F238E27FC236}">
              <a16:creationId xmlns:a16="http://schemas.microsoft.com/office/drawing/2014/main" id="{00000000-0008-0000-0200-00001B000000}"/>
            </a:ext>
          </a:extLst>
        </xdr:cNvPr>
        <xdr:cNvSpPr txBox="1">
          <a:spLocks noChangeArrowheads="1"/>
        </xdr:cNvSpPr>
      </xdr:nvSpPr>
      <xdr:spPr bwMode="auto">
        <a:xfrm>
          <a:off x="2205990" y="31725870"/>
          <a:ext cx="3414078" cy="204469"/>
        </a:xfrm>
        <a:prstGeom prst="rect">
          <a:avLst/>
        </a:prstGeom>
        <a:noFill/>
        <a:ln w="9525">
          <a:noFill/>
          <a:miter lim="800000"/>
          <a:headEnd/>
          <a:tailEnd/>
        </a:ln>
      </xdr:spPr>
    </xdr:sp>
    <xdr:clientData/>
  </xdr:oneCellAnchor>
</xdr:wsDr>
</file>

<file path=xl/drawings/drawing3.xml><?xml version="1.0" encoding="utf-8"?>
<xdr:wsDr xmlns:xdr="http://schemas.openxmlformats.org/drawingml/2006/spreadsheetDrawing" xmlns:a="http://schemas.openxmlformats.org/drawingml/2006/main">
  <xdr:twoCellAnchor>
    <xdr:from>
      <xdr:col>7</xdr:col>
      <xdr:colOff>64848</xdr:colOff>
      <xdr:row>26</xdr:row>
      <xdr:rowOff>59055</xdr:rowOff>
    </xdr:from>
    <xdr:to>
      <xdr:col>8</xdr:col>
      <xdr:colOff>0</xdr:colOff>
      <xdr:row>28</xdr:row>
      <xdr:rowOff>9593</xdr:rowOff>
    </xdr:to>
    <xdr:sp macro="" textlink="">
      <xdr:nvSpPr>
        <xdr:cNvPr id="2" name="TextBox 1"/>
        <xdr:cNvSpPr txBox="1"/>
      </xdr:nvSpPr>
      <xdr:spPr>
        <a:xfrm>
          <a:off x="2884248" y="5831205"/>
          <a:ext cx="497127"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000"/>
            </a:lnSpc>
          </a:pPr>
          <a:r>
            <a:rPr lang="en-US" sz="1000"/>
            <a:t>In numbers</a:t>
          </a:r>
        </a:p>
      </xdr:txBody>
    </xdr:sp>
    <xdr:clientData/>
  </xdr:twoCellAnchor>
  <xdr:twoCellAnchor>
    <xdr:from>
      <xdr:col>5</xdr:col>
      <xdr:colOff>571578</xdr:colOff>
      <xdr:row>26</xdr:row>
      <xdr:rowOff>68580</xdr:rowOff>
    </xdr:from>
    <xdr:to>
      <xdr:col>8</xdr:col>
      <xdr:colOff>0</xdr:colOff>
      <xdr:row>28</xdr:row>
      <xdr:rowOff>19118</xdr:rowOff>
    </xdr:to>
    <xdr:sp macro="" textlink="">
      <xdr:nvSpPr>
        <xdr:cNvPr id="3" name="TextBox 2"/>
        <xdr:cNvSpPr txBox="1"/>
      </xdr:nvSpPr>
      <xdr:spPr>
        <a:xfrm>
          <a:off x="1905078" y="5840730"/>
          <a:ext cx="1476297"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000"/>
            <a:t>In numbers</a:t>
          </a:r>
        </a:p>
      </xdr:txBody>
    </xdr:sp>
    <xdr:clientData/>
  </xdr:twoCellAnchor>
  <xdr:twoCellAnchor>
    <xdr:from>
      <xdr:col>5</xdr:col>
      <xdr:colOff>33766</xdr:colOff>
      <xdr:row>26</xdr:row>
      <xdr:rowOff>116794</xdr:rowOff>
    </xdr:from>
    <xdr:to>
      <xdr:col>7</xdr:col>
      <xdr:colOff>260573</xdr:colOff>
      <xdr:row>27</xdr:row>
      <xdr:rowOff>112747</xdr:rowOff>
    </xdr:to>
    <xdr:sp macro="" textlink="">
      <xdr:nvSpPr>
        <xdr:cNvPr id="4" name="TextBox 3"/>
        <xdr:cNvSpPr txBox="1"/>
      </xdr:nvSpPr>
      <xdr:spPr>
        <a:xfrm>
          <a:off x="1367266" y="5888944"/>
          <a:ext cx="1712707" cy="1483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000"/>
            </a:lnSpc>
          </a:pPr>
          <a:r>
            <a:rPr lang="en-US" sz="1000"/>
            <a:t>In </a:t>
          </a:r>
          <a:r>
            <a:rPr lang="en-US" sz="900"/>
            <a:t>numbers</a:t>
          </a:r>
          <a:endParaRPr lang="en-US" sz="1000"/>
        </a:p>
      </xdr:txBody>
    </xdr:sp>
    <xdr:clientData/>
  </xdr:twoCellAnchor>
  <xdr:twoCellAnchor>
    <xdr:from>
      <xdr:col>1</xdr:col>
      <xdr:colOff>0</xdr:colOff>
      <xdr:row>26</xdr:row>
      <xdr:rowOff>59055</xdr:rowOff>
    </xdr:from>
    <xdr:to>
      <xdr:col>1</xdr:col>
      <xdr:colOff>171608</xdr:colOff>
      <xdr:row>28</xdr:row>
      <xdr:rowOff>9593</xdr:rowOff>
    </xdr:to>
    <xdr:sp macro="" textlink="">
      <xdr:nvSpPr>
        <xdr:cNvPr id="5" name="TextBox 4"/>
        <xdr:cNvSpPr txBox="1"/>
      </xdr:nvSpPr>
      <xdr:spPr>
        <a:xfrm>
          <a:off x="590550" y="5831205"/>
          <a:ext cx="0"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000"/>
            </a:lnSpc>
          </a:pPr>
          <a:r>
            <a:rPr lang="en-US" sz="1000"/>
            <a:t>In numbers</a:t>
          </a:r>
        </a:p>
      </xdr:txBody>
    </xdr:sp>
    <xdr:clientData/>
  </xdr:twoCellAnchor>
  <xdr:twoCellAnchor>
    <xdr:from>
      <xdr:col>1</xdr:col>
      <xdr:colOff>0</xdr:colOff>
      <xdr:row>26</xdr:row>
      <xdr:rowOff>68580</xdr:rowOff>
    </xdr:from>
    <xdr:to>
      <xdr:col>2</xdr:col>
      <xdr:colOff>72534</xdr:colOff>
      <xdr:row>28</xdr:row>
      <xdr:rowOff>19118</xdr:rowOff>
    </xdr:to>
    <xdr:sp macro="" textlink="">
      <xdr:nvSpPr>
        <xdr:cNvPr id="6" name="TextBox 5"/>
        <xdr:cNvSpPr txBox="1"/>
      </xdr:nvSpPr>
      <xdr:spPr>
        <a:xfrm>
          <a:off x="590550" y="5840730"/>
          <a:ext cx="0"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000"/>
            <a:t>In numbers</a:t>
          </a:r>
        </a:p>
      </xdr:txBody>
    </xdr:sp>
    <xdr:clientData/>
  </xdr:twoCellAnchor>
  <xdr:twoCellAnchor>
    <xdr:from>
      <xdr:col>0</xdr:col>
      <xdr:colOff>161925</xdr:colOff>
      <xdr:row>24</xdr:row>
      <xdr:rowOff>114300</xdr:rowOff>
    </xdr:from>
    <xdr:to>
      <xdr:col>17</xdr:col>
      <xdr:colOff>0</xdr:colOff>
      <xdr:row>43</xdr:row>
      <xdr:rowOff>47625</xdr:rowOff>
    </xdr:to>
    <xdr:graphicFrame macro="">
      <xdr:nvGraphicFramePr>
        <xdr:cNvPr id="7"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217248</xdr:colOff>
      <xdr:row>25</xdr:row>
      <xdr:rowOff>116205</xdr:rowOff>
    </xdr:from>
    <xdr:to>
      <xdr:col>4</xdr:col>
      <xdr:colOff>476408</xdr:colOff>
      <xdr:row>27</xdr:row>
      <xdr:rowOff>66743</xdr:rowOff>
    </xdr:to>
    <xdr:sp macro="" textlink="">
      <xdr:nvSpPr>
        <xdr:cNvPr id="9" name="TextBox 8"/>
        <xdr:cNvSpPr txBox="1"/>
      </xdr:nvSpPr>
      <xdr:spPr>
        <a:xfrm>
          <a:off x="217248" y="6221730"/>
          <a:ext cx="849710"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000"/>
            </a:lnSpc>
          </a:pPr>
          <a:r>
            <a:rPr lang="en-US" sz="1000"/>
            <a:t>In numbers</a:t>
          </a:r>
        </a:p>
      </xdr:txBody>
    </xdr:sp>
    <xdr:clientData/>
  </xdr:twoCellAnchor>
  <xdr:twoCellAnchor>
    <xdr:from>
      <xdr:col>1</xdr:col>
      <xdr:colOff>0</xdr:colOff>
      <xdr:row>25</xdr:row>
      <xdr:rowOff>59055</xdr:rowOff>
    </xdr:from>
    <xdr:to>
      <xdr:col>1</xdr:col>
      <xdr:colOff>171608</xdr:colOff>
      <xdr:row>27</xdr:row>
      <xdr:rowOff>9593</xdr:rowOff>
    </xdr:to>
    <xdr:sp macro="" textlink="">
      <xdr:nvSpPr>
        <xdr:cNvPr id="13" name="TextBox 12">
          <a:extLst>
            <a:ext uri="{FF2B5EF4-FFF2-40B4-BE49-F238E27FC236}">
              <a16:creationId xmlns:a16="http://schemas.microsoft.com/office/drawing/2014/main" id="{00000000-0008-0000-0300-00000C000000}"/>
            </a:ext>
          </a:extLst>
        </xdr:cNvPr>
        <xdr:cNvSpPr txBox="1"/>
      </xdr:nvSpPr>
      <xdr:spPr>
        <a:xfrm>
          <a:off x="590550" y="5612130"/>
          <a:ext cx="0"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000"/>
            </a:lnSpc>
          </a:pPr>
          <a:r>
            <a:rPr lang="en-US" sz="1000"/>
            <a:t>In numbers</a:t>
          </a:r>
        </a:p>
      </xdr:txBody>
    </xdr:sp>
    <xdr:clientData/>
  </xdr:twoCellAnchor>
  <xdr:twoCellAnchor>
    <xdr:from>
      <xdr:col>1</xdr:col>
      <xdr:colOff>0</xdr:colOff>
      <xdr:row>25</xdr:row>
      <xdr:rowOff>68580</xdr:rowOff>
    </xdr:from>
    <xdr:to>
      <xdr:col>2</xdr:col>
      <xdr:colOff>72534</xdr:colOff>
      <xdr:row>27</xdr:row>
      <xdr:rowOff>19118</xdr:rowOff>
    </xdr:to>
    <xdr:sp macro="" textlink="">
      <xdr:nvSpPr>
        <xdr:cNvPr id="14" name="TextBox 13">
          <a:extLst>
            <a:ext uri="{FF2B5EF4-FFF2-40B4-BE49-F238E27FC236}">
              <a16:creationId xmlns:a16="http://schemas.microsoft.com/office/drawing/2014/main" id="{00000000-0008-0000-0300-00000D000000}"/>
            </a:ext>
          </a:extLst>
        </xdr:cNvPr>
        <xdr:cNvSpPr txBox="1"/>
      </xdr:nvSpPr>
      <xdr:spPr>
        <a:xfrm>
          <a:off x="590550" y="5621655"/>
          <a:ext cx="0"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000"/>
            <a:t>In numbers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552449</xdr:colOff>
      <xdr:row>35</xdr:row>
      <xdr:rowOff>0</xdr:rowOff>
    </xdr:from>
    <xdr:to>
      <xdr:col>15</xdr:col>
      <xdr:colOff>809624</xdr:colOff>
      <xdr:row>50</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143983</xdr:colOff>
      <xdr:row>34</xdr:row>
      <xdr:rowOff>159652</xdr:rowOff>
    </xdr:from>
    <xdr:to>
      <xdr:col>17</xdr:col>
      <xdr:colOff>0</xdr:colOff>
      <xdr:row>54</xdr:row>
      <xdr:rowOff>155058</xdr:rowOff>
    </xdr:to>
    <xdr:graphicFrame macro="">
      <xdr:nvGraphicFramePr>
        <xdr:cNvPr id="3" name="Chart 2">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180975</xdr:colOff>
      <xdr:row>22</xdr:row>
      <xdr:rowOff>142874</xdr:rowOff>
    </xdr:from>
    <xdr:to>
      <xdr:col>8</xdr:col>
      <xdr:colOff>857251</xdr:colOff>
      <xdr:row>39</xdr:row>
      <xdr:rowOff>142875</xdr:rowOff>
    </xdr:to>
    <xdr:graphicFrame macro="">
      <xdr:nvGraphicFramePr>
        <xdr:cNvPr id="3" name="Chart 2">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466724</xdr:colOff>
      <xdr:row>37</xdr:row>
      <xdr:rowOff>9524</xdr:rowOff>
    </xdr:from>
    <xdr:to>
      <xdr:col>10</xdr:col>
      <xdr:colOff>457200</xdr:colOff>
      <xdr:row>57</xdr:row>
      <xdr:rowOff>152399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466724</xdr:colOff>
      <xdr:row>37</xdr:row>
      <xdr:rowOff>9524</xdr:rowOff>
    </xdr:from>
    <xdr:to>
      <xdr:col>10</xdr:col>
      <xdr:colOff>457200</xdr:colOff>
      <xdr:row>57</xdr:row>
      <xdr:rowOff>152399</xdr:rowOff>
    </xdr:to>
    <xdr:graphicFrame macro="">
      <xdr:nvGraphicFramePr>
        <xdr:cNvPr id="3" name="Chart 2">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466724</xdr:colOff>
      <xdr:row>37</xdr:row>
      <xdr:rowOff>9524</xdr:rowOff>
    </xdr:from>
    <xdr:to>
      <xdr:col>10</xdr:col>
      <xdr:colOff>457200</xdr:colOff>
      <xdr:row>57</xdr:row>
      <xdr:rowOff>152399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466724</xdr:colOff>
      <xdr:row>37</xdr:row>
      <xdr:rowOff>9524</xdr:rowOff>
    </xdr:from>
    <xdr:to>
      <xdr:col>10</xdr:col>
      <xdr:colOff>457200</xdr:colOff>
      <xdr:row>57</xdr:row>
      <xdr:rowOff>152399</xdr:rowOff>
    </xdr:to>
    <xdr:graphicFrame macro="">
      <xdr:nvGraphicFramePr>
        <xdr:cNvPr id="5" name="Chart 4">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0.1066</cdr:x>
      <cdr:y>0.0338</cdr:y>
    </cdr:from>
    <cdr:to>
      <cdr:x>0.89071</cdr:x>
      <cdr:y>0.11267</cdr:y>
    </cdr:to>
    <cdr:sp macro="" textlink="">
      <cdr:nvSpPr>
        <cdr:cNvPr id="2" name="TextBox 1"/>
        <cdr:cNvSpPr txBox="1"/>
      </cdr:nvSpPr>
      <cdr:spPr>
        <a:xfrm xmlns:a="http://schemas.openxmlformats.org/drawingml/2006/main">
          <a:off x="743250" y="114303"/>
          <a:ext cx="5467051" cy="2666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effectLst/>
              <a:latin typeface="Consolas" pitchFamily="49" charset="0"/>
              <a:ea typeface="+mn-ea"/>
              <a:cs typeface="Consolas" pitchFamily="49" charset="0"/>
            </a:rPr>
            <a:t>Figure 9.6: Percentage share of fish catch by fishing method, 2017</a:t>
          </a:r>
          <a:endParaRPr lang="en-US" sz="1100" b="1">
            <a:latin typeface="Consolas" pitchFamily="49" charset="0"/>
            <a:cs typeface="Consolas" pitchFamily="49"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0.1066</cdr:x>
      <cdr:y>0.0338</cdr:y>
    </cdr:from>
    <cdr:to>
      <cdr:x>0.97523</cdr:x>
      <cdr:y>0.11267</cdr:y>
    </cdr:to>
    <cdr:sp macro="" textlink="">
      <cdr:nvSpPr>
        <cdr:cNvPr id="2" name="TextBox 1"/>
        <cdr:cNvSpPr txBox="1"/>
      </cdr:nvSpPr>
      <cdr:spPr>
        <a:xfrm xmlns:a="http://schemas.openxmlformats.org/drawingml/2006/main">
          <a:off x="655926" y="114290"/>
          <a:ext cx="5344825" cy="2666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effectLst/>
              <a:latin typeface="Consolas" pitchFamily="49" charset="0"/>
              <a:ea typeface="+mn-ea"/>
              <a:cs typeface="Consolas" pitchFamily="49" charset="0"/>
            </a:rPr>
            <a:t>Figure 9.6: Percentage share of fish catch by fishing method, 2020</a:t>
          </a:r>
          <a:endParaRPr lang="en-US" sz="1100" b="1">
            <a:latin typeface="Consolas" pitchFamily="49" charset="0"/>
            <a:cs typeface="Consolas" pitchFamily="49"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0.1066</cdr:x>
      <cdr:y>0.0338</cdr:y>
    </cdr:from>
    <cdr:to>
      <cdr:x>0.89071</cdr:x>
      <cdr:y>0.11267</cdr:y>
    </cdr:to>
    <cdr:sp macro="" textlink="">
      <cdr:nvSpPr>
        <cdr:cNvPr id="2" name="TextBox 1"/>
        <cdr:cNvSpPr txBox="1"/>
      </cdr:nvSpPr>
      <cdr:spPr>
        <a:xfrm xmlns:a="http://schemas.openxmlformats.org/drawingml/2006/main">
          <a:off x="743250" y="114303"/>
          <a:ext cx="5467051" cy="2666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effectLst/>
              <a:latin typeface="Consolas" pitchFamily="49" charset="0"/>
              <a:ea typeface="+mn-ea"/>
              <a:cs typeface="Consolas" pitchFamily="49" charset="0"/>
            </a:rPr>
            <a:t>Figure 9.6: Percentage share of fish catch by fishing method, 2017</a:t>
          </a:r>
          <a:endParaRPr lang="en-US" sz="1100" b="1">
            <a:latin typeface="Consolas" pitchFamily="49" charset="0"/>
            <a:cs typeface="Consolas" pitchFamily="49"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0.1066</cdr:x>
      <cdr:y>0.0338</cdr:y>
    </cdr:from>
    <cdr:to>
      <cdr:x>0.97523</cdr:x>
      <cdr:y>0.11267</cdr:y>
    </cdr:to>
    <cdr:sp macro="" textlink="">
      <cdr:nvSpPr>
        <cdr:cNvPr id="2" name="TextBox 1"/>
        <cdr:cNvSpPr txBox="1"/>
      </cdr:nvSpPr>
      <cdr:spPr>
        <a:xfrm xmlns:a="http://schemas.openxmlformats.org/drawingml/2006/main">
          <a:off x="655926" y="114290"/>
          <a:ext cx="5344825" cy="2666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effectLst/>
              <a:latin typeface="Consolas" pitchFamily="49" charset="0"/>
              <a:ea typeface="+mn-ea"/>
              <a:cs typeface="Consolas" pitchFamily="49" charset="0"/>
            </a:rPr>
            <a:t>Figure 9.6: Percentage share of fish catch by fishing method, 2020</a:t>
          </a:r>
          <a:endParaRPr lang="en-US" sz="1100" b="1">
            <a:latin typeface="Consolas" pitchFamily="49" charset="0"/>
            <a:cs typeface="Consolas" pitchFamily="49" charset="0"/>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3</xdr:col>
      <xdr:colOff>783591</xdr:colOff>
      <xdr:row>26</xdr:row>
      <xdr:rowOff>116187</xdr:rowOff>
    </xdr:from>
    <xdr:to>
      <xdr:col>9</xdr:col>
      <xdr:colOff>685801</xdr:colOff>
      <xdr:row>40</xdr:row>
      <xdr:rowOff>180975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1226820</xdr:colOff>
      <xdr:row>62</xdr:row>
      <xdr:rowOff>114300</xdr:rowOff>
    </xdr:from>
    <xdr:to>
      <xdr:col>7</xdr:col>
      <xdr:colOff>962025</xdr:colOff>
      <xdr:row>74</xdr:row>
      <xdr:rowOff>171450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29</xdr:row>
      <xdr:rowOff>141761</xdr:rowOff>
    </xdr:from>
    <xdr:to>
      <xdr:col>8</xdr:col>
      <xdr:colOff>990600</xdr:colOff>
      <xdr:row>47</xdr:row>
      <xdr:rowOff>126521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0.21548</cdr:x>
      <cdr:y>0.01228</cdr:y>
    </cdr:from>
    <cdr:to>
      <cdr:x>0.89935</cdr:x>
      <cdr:y>0.16853</cdr:y>
    </cdr:to>
    <cdr:sp macro="" textlink="">
      <cdr:nvSpPr>
        <cdr:cNvPr id="2" name="TextBox 1"/>
        <cdr:cNvSpPr txBox="1"/>
      </cdr:nvSpPr>
      <cdr:spPr>
        <a:xfrm xmlns:a="http://schemas.openxmlformats.org/drawingml/2006/main">
          <a:off x="1590675" y="41910"/>
          <a:ext cx="5048250" cy="533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050" b="1" i="0" baseline="0">
              <a:effectLst/>
              <a:latin typeface="Consolas" pitchFamily="49" charset="0"/>
              <a:ea typeface="+mn-ea"/>
              <a:cs typeface="Consolas" pitchFamily="49" charset="0"/>
            </a:rPr>
            <a:t>Figure 9.9: Imports of fresh </a:t>
          </a:r>
          <a:r>
            <a:rPr lang="en-US" sz="1000" b="1" i="0" baseline="0">
              <a:effectLst/>
              <a:latin typeface="Consolas" pitchFamily="49" charset="0"/>
              <a:ea typeface="+mn-ea"/>
              <a:cs typeface="Consolas" pitchFamily="49" charset="0"/>
            </a:rPr>
            <a:t>agricultural</a:t>
          </a:r>
          <a:r>
            <a:rPr lang="en-US" sz="1050" b="1" i="0" baseline="0">
              <a:effectLst/>
              <a:latin typeface="Consolas" pitchFamily="49" charset="0"/>
              <a:ea typeface="+mn-ea"/>
              <a:cs typeface="Consolas" pitchFamily="49" charset="0"/>
            </a:rPr>
            <a:t> crops mainly produced in Maldives, 2014 - 2018</a:t>
          </a:r>
          <a:endParaRPr lang="en-US" sz="1050">
            <a:effectLst/>
            <a:latin typeface="Consolas" pitchFamily="49" charset="0"/>
            <a:cs typeface="Consolas" pitchFamily="49" charset="0"/>
          </a:endParaRPr>
        </a:p>
        <a:p xmlns:a="http://schemas.openxmlformats.org/drawingml/2006/main">
          <a:pPr algn="ctr"/>
          <a:endParaRPr lang="en-US" sz="1100">
            <a:latin typeface="Consolas" pitchFamily="49" charset="0"/>
            <a:cs typeface="Consolas" pitchFamily="49" charset="0"/>
          </a:endParaRP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54534</xdr:colOff>
      <xdr:row>19</xdr:row>
      <xdr:rowOff>124394</xdr:rowOff>
    </xdr:from>
    <xdr:to>
      <xdr:col>0</xdr:col>
      <xdr:colOff>131502</xdr:colOff>
      <xdr:row>19</xdr:row>
      <xdr:rowOff>124397</xdr:rowOff>
    </xdr:to>
    <xdr:cxnSp macro="">
      <xdr:nvCxnSpPr>
        <xdr:cNvPr id="2" name="Straight Connector 1"/>
        <xdr:cNvCxnSpPr/>
      </xdr:nvCxnSpPr>
      <xdr:spPr>
        <a:xfrm flipV="1">
          <a:off x="54534" y="5744144"/>
          <a:ext cx="76968" cy="3"/>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683146</xdr:colOff>
      <xdr:row>19</xdr:row>
      <xdr:rowOff>105400</xdr:rowOff>
    </xdr:from>
    <xdr:to>
      <xdr:col>13</xdr:col>
      <xdr:colOff>760114</xdr:colOff>
      <xdr:row>19</xdr:row>
      <xdr:rowOff>105403</xdr:rowOff>
    </xdr:to>
    <xdr:cxnSp macro="">
      <xdr:nvCxnSpPr>
        <xdr:cNvPr id="3" name="Straight Connector 2"/>
        <xdr:cNvCxnSpPr/>
      </xdr:nvCxnSpPr>
      <xdr:spPr>
        <a:xfrm flipV="1">
          <a:off x="8074546" y="5725150"/>
          <a:ext cx="76968" cy="3"/>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381000</xdr:colOff>
      <xdr:row>33</xdr:row>
      <xdr:rowOff>0</xdr:rowOff>
    </xdr:from>
    <xdr:to>
      <xdr:col>0</xdr:col>
      <xdr:colOff>457200</xdr:colOff>
      <xdr:row>34</xdr:row>
      <xdr:rowOff>47625</xdr:rowOff>
    </xdr:to>
    <xdr:sp macro="" textlink="">
      <xdr:nvSpPr>
        <xdr:cNvPr id="4" name="Text Box 3"/>
        <xdr:cNvSpPr txBox="1">
          <a:spLocks noChangeArrowheads="1"/>
        </xdr:cNvSpPr>
      </xdr:nvSpPr>
      <xdr:spPr bwMode="auto">
        <a:xfrm>
          <a:off x="381000" y="10029825"/>
          <a:ext cx="762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54534</xdr:colOff>
      <xdr:row>19</xdr:row>
      <xdr:rowOff>124394</xdr:rowOff>
    </xdr:from>
    <xdr:to>
      <xdr:col>0</xdr:col>
      <xdr:colOff>131502</xdr:colOff>
      <xdr:row>19</xdr:row>
      <xdr:rowOff>124397</xdr:rowOff>
    </xdr:to>
    <xdr:cxnSp macro="">
      <xdr:nvCxnSpPr>
        <xdr:cNvPr id="6" name="Straight Connector 5">
          <a:extLst>
            <a:ext uri="{FF2B5EF4-FFF2-40B4-BE49-F238E27FC236}">
              <a16:creationId xmlns:a16="http://schemas.microsoft.com/office/drawing/2014/main" id="{00000000-0008-0000-0300-000002000000}"/>
            </a:ext>
          </a:extLst>
        </xdr:cNvPr>
        <xdr:cNvCxnSpPr/>
      </xdr:nvCxnSpPr>
      <xdr:spPr>
        <a:xfrm flipV="1">
          <a:off x="54534" y="5810819"/>
          <a:ext cx="76968" cy="3"/>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683146</xdr:colOff>
      <xdr:row>19</xdr:row>
      <xdr:rowOff>105400</xdr:rowOff>
    </xdr:from>
    <xdr:to>
      <xdr:col>14</xdr:col>
      <xdr:colOff>760114</xdr:colOff>
      <xdr:row>19</xdr:row>
      <xdr:rowOff>105403</xdr:rowOff>
    </xdr:to>
    <xdr:cxnSp macro="">
      <xdr:nvCxnSpPr>
        <xdr:cNvPr id="7" name="Straight Connector 6">
          <a:extLst>
            <a:ext uri="{FF2B5EF4-FFF2-40B4-BE49-F238E27FC236}">
              <a16:creationId xmlns:a16="http://schemas.microsoft.com/office/drawing/2014/main" id="{00000000-0008-0000-0300-000003000000}"/>
            </a:ext>
          </a:extLst>
        </xdr:cNvPr>
        <xdr:cNvCxnSpPr/>
      </xdr:nvCxnSpPr>
      <xdr:spPr>
        <a:xfrm flipV="1">
          <a:off x="8960371" y="5791825"/>
          <a:ext cx="76968" cy="3"/>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381000</xdr:colOff>
      <xdr:row>33</xdr:row>
      <xdr:rowOff>0</xdr:rowOff>
    </xdr:from>
    <xdr:to>
      <xdr:col>0</xdr:col>
      <xdr:colOff>457200</xdr:colOff>
      <xdr:row>34</xdr:row>
      <xdr:rowOff>47625</xdr:rowOff>
    </xdr:to>
    <xdr:sp macro="" textlink="">
      <xdr:nvSpPr>
        <xdr:cNvPr id="8" name="Text Box 3">
          <a:extLst>
            <a:ext uri="{FF2B5EF4-FFF2-40B4-BE49-F238E27FC236}">
              <a16:creationId xmlns:a16="http://schemas.microsoft.com/office/drawing/2014/main" id="{00000000-0008-0000-0300-000004000000}"/>
            </a:ext>
          </a:extLst>
        </xdr:cNvPr>
        <xdr:cNvSpPr txBox="1">
          <a:spLocks noChangeArrowheads="1"/>
        </xdr:cNvSpPr>
      </xdr:nvSpPr>
      <xdr:spPr bwMode="auto">
        <a:xfrm>
          <a:off x="381000" y="10096500"/>
          <a:ext cx="762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26</xdr:row>
      <xdr:rowOff>57149</xdr:rowOff>
    </xdr:from>
    <xdr:to>
      <xdr:col>14</xdr:col>
      <xdr:colOff>361950</xdr:colOff>
      <xdr:row>44</xdr:row>
      <xdr:rowOff>85724</xdr:rowOff>
    </xdr:to>
    <xdr:graphicFrame macro="">
      <xdr:nvGraphicFramePr>
        <xdr:cNvPr id="9" name="Chart 8">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0.00712</cdr:x>
      <cdr:y>0.07767</cdr:y>
    </cdr:from>
    <cdr:to>
      <cdr:x>0.10399</cdr:x>
      <cdr:y>0.15534</cdr:y>
    </cdr:to>
    <cdr:sp macro="" textlink="">
      <cdr:nvSpPr>
        <cdr:cNvPr id="2" name="TextBox 1"/>
        <cdr:cNvSpPr txBox="1"/>
      </cdr:nvSpPr>
      <cdr:spPr>
        <a:xfrm xmlns:a="http://schemas.openxmlformats.org/drawingml/2006/main">
          <a:off x="47625" y="228601"/>
          <a:ext cx="64770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in MVR</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CHECKING/9.%20%20FISHERIES%20AND%20AGRICULTU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
      <sheetName val="9.2"/>
      <sheetName val="9.3"/>
      <sheetName val="9.4"/>
      <sheetName val="9.5"/>
      <sheetName val="9.6"/>
      <sheetName val="9.8"/>
      <sheetName val="9.9"/>
      <sheetName val="9.10"/>
    </sheetNames>
    <sheetDataSet>
      <sheetData sheetId="0"/>
      <sheetData sheetId="1"/>
      <sheetData sheetId="2"/>
      <sheetData sheetId="3"/>
      <sheetData sheetId="4"/>
      <sheetData sheetId="5"/>
      <sheetData sheetId="6"/>
      <sheetData sheetId="7">
        <row r="4">
          <cell r="AC4" t="str">
            <v>Pole and Line</v>
          </cell>
          <cell r="AD4" t="str">
            <v>Hand  Line</v>
          </cell>
          <cell r="AE4" t="str">
            <v>Other methods</v>
          </cell>
        </row>
        <row r="5">
          <cell r="AC5">
            <v>80.172670134023591</v>
          </cell>
          <cell r="AD5">
            <v>18.70465755671324</v>
          </cell>
          <cell r="AE5">
            <v>1.1226723092631659</v>
          </cell>
        </row>
      </sheetData>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N36"/>
  <sheetViews>
    <sheetView topLeftCell="A7" zoomScaleNormal="100" workbookViewId="0">
      <selection activeCell="Y29" sqref="Y29"/>
    </sheetView>
  </sheetViews>
  <sheetFormatPr defaultColWidth="8.85546875" defaultRowHeight="12"/>
  <cols>
    <col min="1" max="1" width="33.28515625" style="1" customWidth="1"/>
    <col min="2" max="2" width="8.85546875" style="1" hidden="1" customWidth="1"/>
    <col min="3" max="7" width="7" style="1" hidden="1" customWidth="1"/>
    <col min="8" max="17" width="7" style="1" customWidth="1"/>
    <col min="18" max="18" width="8.85546875" style="1" bestFit="1" customWidth="1"/>
    <col min="19" max="24" width="7.28515625" style="1" customWidth="1"/>
    <col min="25" max="27" width="7.42578125" style="1" customWidth="1"/>
    <col min="28" max="28" width="41.7109375" style="1" customWidth="1"/>
    <col min="29" max="16384" width="8.85546875" style="1"/>
  </cols>
  <sheetData>
    <row r="1" spans="1:40" ht="15.75">
      <c r="A1" s="750" t="s">
        <v>472</v>
      </c>
      <c r="B1" s="750"/>
      <c r="C1" s="750"/>
      <c r="D1" s="750"/>
      <c r="E1" s="750"/>
      <c r="F1" s="750"/>
      <c r="G1" s="750"/>
      <c r="H1" s="750"/>
      <c r="I1" s="750"/>
      <c r="J1" s="750"/>
      <c r="K1" s="750"/>
      <c r="L1" s="750"/>
      <c r="M1" s="750"/>
      <c r="N1" s="750"/>
      <c r="O1" s="750"/>
      <c r="P1" s="750"/>
      <c r="Q1" s="750"/>
      <c r="R1" s="750"/>
      <c r="S1" s="750"/>
      <c r="T1" s="750"/>
      <c r="U1" s="750"/>
      <c r="V1" s="750"/>
      <c r="W1" s="750"/>
      <c r="X1" s="750"/>
      <c r="Y1" s="750"/>
      <c r="Z1" s="750"/>
      <c r="AA1" s="750"/>
      <c r="AB1" s="750"/>
      <c r="AC1" s="750"/>
    </row>
    <row r="2" spans="1:40" ht="15.75">
      <c r="A2" s="751" t="s">
        <v>471</v>
      </c>
      <c r="B2" s="751"/>
      <c r="C2" s="751"/>
      <c r="D2" s="751"/>
      <c r="E2" s="751"/>
      <c r="F2" s="751"/>
      <c r="G2" s="751"/>
      <c r="H2" s="751"/>
      <c r="I2" s="751"/>
      <c r="J2" s="751"/>
      <c r="K2" s="751"/>
      <c r="L2" s="751"/>
      <c r="M2" s="751"/>
      <c r="N2" s="751"/>
      <c r="O2" s="751"/>
      <c r="P2" s="751"/>
      <c r="Q2" s="751"/>
      <c r="R2" s="751"/>
      <c r="S2" s="751"/>
      <c r="T2" s="751"/>
      <c r="U2" s="751"/>
      <c r="V2" s="751"/>
      <c r="W2" s="751"/>
      <c r="X2" s="751"/>
      <c r="Y2" s="751"/>
      <c r="Z2" s="751"/>
      <c r="AA2" s="751"/>
      <c r="AB2" s="751"/>
      <c r="AC2" s="2"/>
      <c r="AD2" s="2"/>
      <c r="AE2" s="2"/>
      <c r="AF2" s="2"/>
      <c r="AG2" s="2"/>
      <c r="AH2" s="2"/>
      <c r="AI2" s="2"/>
      <c r="AJ2" s="2"/>
      <c r="AK2" s="2"/>
      <c r="AL2" s="2"/>
    </row>
    <row r="3" spans="1:40" ht="15.75">
      <c r="A3" s="752" t="s">
        <v>0</v>
      </c>
      <c r="B3" s="752"/>
      <c r="C3" s="752"/>
      <c r="D3" s="752"/>
      <c r="E3" s="752"/>
      <c r="F3" s="752"/>
      <c r="G3" s="752"/>
      <c r="H3" s="752"/>
      <c r="I3" s="752"/>
      <c r="J3" s="752"/>
      <c r="K3" s="752"/>
      <c r="L3" s="752"/>
      <c r="M3" s="752"/>
      <c r="N3" s="752"/>
      <c r="O3" s="752"/>
      <c r="P3" s="752"/>
      <c r="Q3" s="752"/>
      <c r="R3" s="752"/>
      <c r="S3" s="752"/>
      <c r="T3" s="752"/>
      <c r="U3" s="752"/>
      <c r="V3" s="752"/>
      <c r="W3" s="752"/>
      <c r="X3" s="752"/>
      <c r="Y3" s="752"/>
      <c r="Z3" s="752"/>
      <c r="AA3" s="752"/>
      <c r="AB3" s="752"/>
      <c r="AC3" s="2"/>
      <c r="AD3" s="2"/>
      <c r="AE3" s="2"/>
      <c r="AF3" s="2"/>
      <c r="AG3" s="2"/>
      <c r="AH3" s="2"/>
      <c r="AI3" s="2"/>
      <c r="AJ3" s="2"/>
      <c r="AK3" s="2"/>
      <c r="AL3" s="2"/>
    </row>
    <row r="4" spans="1:40" ht="15">
      <c r="A4" s="753" t="s">
        <v>1</v>
      </c>
      <c r="B4" s="753"/>
      <c r="C4" s="753"/>
      <c r="D4" s="753"/>
      <c r="E4" s="753"/>
      <c r="F4" s="753"/>
      <c r="G4" s="753"/>
      <c r="H4" s="753"/>
      <c r="I4" s="753"/>
      <c r="J4" s="753"/>
      <c r="K4" s="753"/>
      <c r="L4" s="753"/>
      <c r="M4" s="753"/>
      <c r="N4" s="753"/>
      <c r="O4" s="753"/>
      <c r="P4" s="753"/>
      <c r="Q4" s="753"/>
      <c r="R4" s="753"/>
      <c r="S4" s="753"/>
      <c r="T4" s="753"/>
      <c r="U4" s="753"/>
      <c r="V4" s="753"/>
      <c r="W4" s="753"/>
      <c r="X4" s="753"/>
      <c r="Y4" s="753"/>
      <c r="Z4" s="753"/>
      <c r="AA4" s="753"/>
      <c r="AB4" s="753"/>
      <c r="AC4" s="2"/>
      <c r="AD4" s="2"/>
      <c r="AE4" s="2"/>
      <c r="AF4" s="2"/>
      <c r="AG4" s="2"/>
      <c r="AH4" s="2"/>
      <c r="AI4" s="2"/>
      <c r="AJ4" s="2"/>
      <c r="AK4" s="2"/>
      <c r="AL4" s="2"/>
    </row>
    <row r="5" spans="1:40" ht="17.25">
      <c r="A5" s="3"/>
      <c r="B5" s="586"/>
      <c r="D5" s="587"/>
      <c r="E5" s="587"/>
      <c r="F5" s="587"/>
      <c r="G5" s="587"/>
      <c r="H5" s="754" t="s">
        <v>2</v>
      </c>
      <c r="I5" s="754"/>
      <c r="J5" s="754"/>
      <c r="K5" s="754"/>
      <c r="L5" s="754"/>
      <c r="M5" s="754"/>
      <c r="N5" s="754"/>
      <c r="O5" s="754"/>
      <c r="P5" s="754"/>
      <c r="Q5" s="755"/>
      <c r="R5" s="758" t="s">
        <v>3</v>
      </c>
      <c r="S5" s="754"/>
      <c r="T5" s="754"/>
      <c r="U5" s="754"/>
      <c r="V5" s="754"/>
      <c r="W5" s="754"/>
      <c r="X5" s="754"/>
      <c r="Y5" s="754"/>
      <c r="Z5" s="754"/>
      <c r="AA5" s="754"/>
      <c r="AB5" s="4"/>
      <c r="AC5" s="2"/>
      <c r="AD5" s="2"/>
      <c r="AE5" s="2"/>
      <c r="AF5" s="2"/>
      <c r="AG5" s="2"/>
      <c r="AH5" s="2"/>
      <c r="AI5" s="2"/>
      <c r="AJ5" s="2"/>
      <c r="AK5" s="2"/>
      <c r="AL5" s="2"/>
    </row>
    <row r="6" spans="1:40" ht="15.75">
      <c r="A6" s="685" t="s">
        <v>4</v>
      </c>
      <c r="B6" s="588"/>
      <c r="D6" s="589"/>
      <c r="E6" s="589"/>
      <c r="F6" s="589"/>
      <c r="G6" s="589"/>
      <c r="H6" s="756" t="s">
        <v>5</v>
      </c>
      <c r="I6" s="756"/>
      <c r="J6" s="756"/>
      <c r="K6" s="756"/>
      <c r="L6" s="756"/>
      <c r="M6" s="756"/>
      <c r="N6" s="756"/>
      <c r="O6" s="756"/>
      <c r="P6" s="756"/>
      <c r="Q6" s="757"/>
      <c r="R6" s="759" t="s">
        <v>6</v>
      </c>
      <c r="S6" s="756"/>
      <c r="T6" s="756"/>
      <c r="U6" s="756"/>
      <c r="V6" s="756"/>
      <c r="W6" s="756"/>
      <c r="X6" s="756"/>
      <c r="Y6" s="756"/>
      <c r="Z6" s="756"/>
      <c r="AA6" s="756"/>
      <c r="AB6" s="639" t="s">
        <v>7</v>
      </c>
      <c r="AC6" s="2"/>
      <c r="AD6" s="2"/>
      <c r="AE6" s="2"/>
      <c r="AF6" s="2"/>
      <c r="AG6" s="2"/>
      <c r="AH6" s="2"/>
      <c r="AI6" s="2"/>
      <c r="AJ6" s="2"/>
      <c r="AK6" s="2"/>
      <c r="AL6" s="2"/>
    </row>
    <row r="7" spans="1:40" s="9" customFormat="1" ht="19.5" customHeight="1">
      <c r="A7" s="5"/>
      <c r="B7" s="590">
        <v>2005</v>
      </c>
      <c r="C7" s="6">
        <v>2006</v>
      </c>
      <c r="D7" s="6">
        <v>2007</v>
      </c>
      <c r="E7" s="591">
        <v>2008</v>
      </c>
      <c r="F7" s="591">
        <v>2009</v>
      </c>
      <c r="G7" s="591">
        <v>2010</v>
      </c>
      <c r="H7" s="6">
        <v>2011</v>
      </c>
      <c r="I7" s="6">
        <v>2012</v>
      </c>
      <c r="J7" s="6">
        <v>2013</v>
      </c>
      <c r="K7" s="6">
        <v>2014</v>
      </c>
      <c r="L7" s="6">
        <v>2015</v>
      </c>
      <c r="M7" s="6">
        <v>2016</v>
      </c>
      <c r="N7" s="6">
        <v>2017</v>
      </c>
      <c r="O7" s="6">
        <v>2018</v>
      </c>
      <c r="P7" s="6">
        <v>2019</v>
      </c>
      <c r="Q7" s="700">
        <v>2020</v>
      </c>
      <c r="R7" s="6">
        <v>2011</v>
      </c>
      <c r="S7" s="6">
        <v>2012</v>
      </c>
      <c r="T7" s="6">
        <v>2013</v>
      </c>
      <c r="U7" s="6">
        <v>2014</v>
      </c>
      <c r="V7" s="6">
        <v>2015</v>
      </c>
      <c r="W7" s="6">
        <v>2016</v>
      </c>
      <c r="X7" s="6">
        <v>2017</v>
      </c>
      <c r="Y7" s="6">
        <v>2018</v>
      </c>
      <c r="Z7" s="6">
        <v>2019</v>
      </c>
      <c r="AA7" s="6">
        <v>2020</v>
      </c>
      <c r="AB7" s="7"/>
      <c r="AC7" s="8"/>
      <c r="AD7" s="8"/>
      <c r="AE7" s="8"/>
      <c r="AF7" s="8"/>
      <c r="AG7" s="8"/>
      <c r="AH7" s="8"/>
      <c r="AI7" s="8"/>
      <c r="AJ7" s="8"/>
      <c r="AK7" s="8"/>
      <c r="AL7" s="8"/>
    </row>
    <row r="8" spans="1:40" ht="22.5" customHeight="1">
      <c r="A8" s="10" t="s">
        <v>8</v>
      </c>
      <c r="B8" s="12">
        <v>129.6</v>
      </c>
      <c r="C8" s="12">
        <v>148.44467879000001</v>
      </c>
      <c r="D8" s="12">
        <v>97.947148769999984</v>
      </c>
      <c r="E8" s="12">
        <v>88.402086870000019</v>
      </c>
      <c r="F8" s="12">
        <v>65.609831299999996</v>
      </c>
      <c r="G8" s="12">
        <v>59.360208729999997</v>
      </c>
      <c r="H8" s="11">
        <v>57.483915529999997</v>
      </c>
      <c r="I8" s="11">
        <v>56.340714440000021</v>
      </c>
      <c r="J8" s="11">
        <v>65.590923509000007</v>
      </c>
      <c r="K8" s="11">
        <v>64.930000000000007</v>
      </c>
      <c r="L8" s="11">
        <v>65.035457479999991</v>
      </c>
      <c r="M8" s="11">
        <v>68.271629390000015</v>
      </c>
      <c r="N8" s="11">
        <v>98.261768672168017</v>
      </c>
      <c r="O8" s="11">
        <v>105.33438042317202</v>
      </c>
      <c r="P8" s="11">
        <v>93.122168246499996</v>
      </c>
      <c r="Q8" s="733">
        <v>105.193641117808</v>
      </c>
      <c r="R8" s="12">
        <f>H8/H10*100</f>
        <v>47.571833240342848</v>
      </c>
      <c r="S8" s="12">
        <f>I8/I10*100</f>
        <v>46.950231738796376</v>
      </c>
      <c r="T8" s="12">
        <f>J8/J10*100</f>
        <v>50.515506623430049</v>
      </c>
      <c r="U8" s="12">
        <f>K8/K10*100</f>
        <v>50.457236357617887</v>
      </c>
      <c r="V8" s="12">
        <f>L8/L$10*100</f>
        <v>51.068053109979104</v>
      </c>
      <c r="W8" s="12">
        <f>M8/M10*100</f>
        <v>52.851756708961119</v>
      </c>
      <c r="X8" s="12">
        <f>N8/N10*100</f>
        <v>68.637743192327306</v>
      </c>
      <c r="Y8" s="12">
        <f>O8/O10*100</f>
        <v>69.746632731811147</v>
      </c>
      <c r="Z8" s="12">
        <f>P8/P10*100</f>
        <v>68.944183759061346</v>
      </c>
      <c r="AA8" s="12">
        <f>Q8/Q10*100</f>
        <v>70.797912907851696</v>
      </c>
      <c r="AB8" s="637" t="s">
        <v>9</v>
      </c>
      <c r="AE8" s="13"/>
      <c r="AF8" s="14"/>
      <c r="AG8" s="14"/>
      <c r="AH8" s="14"/>
      <c r="AI8" s="14"/>
      <c r="AJ8" s="14"/>
      <c r="AK8" s="14"/>
      <c r="AL8" s="14"/>
      <c r="AM8" s="14"/>
      <c r="AN8" s="14"/>
    </row>
    <row r="9" spans="1:40" ht="22.5" customHeight="1">
      <c r="A9" s="10" t="s">
        <v>10</v>
      </c>
      <c r="B9" s="12">
        <v>50.023182311000042</v>
      </c>
      <c r="C9" s="12">
        <v>33.123882013540019</v>
      </c>
      <c r="D9" s="12">
        <v>43.955257966350025</v>
      </c>
      <c r="E9" s="12">
        <v>42.582126319403983</v>
      </c>
      <c r="F9" s="12">
        <v>50.555216612999985</v>
      </c>
      <c r="G9" s="12">
        <f>G10-G8</f>
        <v>62.814928722012297</v>
      </c>
      <c r="H9" s="12">
        <f>H10-H8</f>
        <v>63.352116244473017</v>
      </c>
      <c r="I9" s="12">
        <f>I10-I8</f>
        <v>63.6602149557201</v>
      </c>
      <c r="J9" s="12">
        <v>64.252223463572804</v>
      </c>
      <c r="K9" s="12">
        <v>63.753227000000351</v>
      </c>
      <c r="L9" s="12">
        <f>L10-L8</f>
        <v>62.315114001432789</v>
      </c>
      <c r="M9" s="12">
        <v>60.919365716552136</v>
      </c>
      <c r="N9" s="12">
        <v>44.89819565945669</v>
      </c>
      <c r="O9" s="12">
        <v>45.689943329061933</v>
      </c>
      <c r="P9" s="12">
        <f>P10-P8</f>
        <v>41.946757323687706</v>
      </c>
      <c r="Q9" s="709">
        <f>Q10-Q8</f>
        <v>43.389328064807131</v>
      </c>
      <c r="R9" s="12">
        <f>H9/H10*100</f>
        <v>52.428166759657159</v>
      </c>
      <c r="S9" s="12">
        <f>I9/I10*100</f>
        <v>53.049768261203624</v>
      </c>
      <c r="T9" s="12">
        <f>J9/J10*100</f>
        <v>49.484493376569993</v>
      </c>
      <c r="U9" s="12">
        <f>K9/K10*100</f>
        <v>49.542763642382312</v>
      </c>
      <c r="V9" s="12">
        <f>L9/L$10*100</f>
        <v>48.931946890020903</v>
      </c>
      <c r="W9" s="12">
        <f>M9/M10*100</f>
        <v>47.160079882128031</v>
      </c>
      <c r="X9" s="12">
        <f>N9/N10*100</f>
        <v>31.362256807672612</v>
      </c>
      <c r="Y9" s="12">
        <f>O9/O10*100</f>
        <v>30.253367268188882</v>
      </c>
      <c r="Z9" s="12">
        <f>P9/P10*100</f>
        <v>31.055816240938661</v>
      </c>
      <c r="AA9" s="12">
        <f>Q9/Q10*100</f>
        <v>29.202087092148293</v>
      </c>
      <c r="AB9" s="638" t="s">
        <v>11</v>
      </c>
      <c r="AD9" s="14"/>
      <c r="AE9" s="14"/>
      <c r="AF9" s="14"/>
      <c r="AG9" s="14"/>
      <c r="AH9" s="14"/>
      <c r="AI9" s="14"/>
      <c r="AJ9" s="14"/>
      <c r="AK9" s="14"/>
      <c r="AL9" s="14"/>
      <c r="AM9" s="14"/>
      <c r="AN9" s="14"/>
    </row>
    <row r="10" spans="1:40" ht="22.5" customHeight="1">
      <c r="A10" s="15" t="s">
        <v>12</v>
      </c>
      <c r="B10" s="16">
        <v>185.92318231100003</v>
      </c>
      <c r="C10" s="16">
        <f t="shared" ref="C10:K10" si="0">SUM(C11:C15)</f>
        <v>184.15822232267499</v>
      </c>
      <c r="D10" s="16">
        <f t="shared" si="0"/>
        <v>144.16855006704401</v>
      </c>
      <c r="E10" s="16">
        <f t="shared" si="0"/>
        <v>132.57440870271301</v>
      </c>
      <c r="F10" s="16">
        <f t="shared" si="0"/>
        <v>116.73586114053802</v>
      </c>
      <c r="G10" s="16">
        <f t="shared" si="0"/>
        <v>122.17513745201229</v>
      </c>
      <c r="H10" s="16">
        <f t="shared" si="0"/>
        <v>120.83603177447301</v>
      </c>
      <c r="I10" s="16">
        <f t="shared" si="0"/>
        <v>120.00092939572012</v>
      </c>
      <c r="J10" s="16">
        <f t="shared" si="0"/>
        <v>129.84314697257275</v>
      </c>
      <c r="K10" s="16">
        <f t="shared" si="0"/>
        <v>128.6832270000001</v>
      </c>
      <c r="L10" s="16">
        <f t="shared" ref="L10:Q10" si="1">SUM(L11:L15)</f>
        <v>127.35057148143278</v>
      </c>
      <c r="M10" s="16">
        <f t="shared" si="1"/>
        <v>129.17570510655216</v>
      </c>
      <c r="N10" s="16">
        <f t="shared" si="1"/>
        <v>143.15996433162482</v>
      </c>
      <c r="O10" s="16">
        <f t="shared" si="1"/>
        <v>151.0243237522339</v>
      </c>
      <c r="P10" s="16">
        <f t="shared" si="1"/>
        <v>135.0689255701877</v>
      </c>
      <c r="Q10" s="592">
        <f t="shared" si="1"/>
        <v>148.58296918261513</v>
      </c>
      <c r="R10" s="16">
        <f t="shared" ref="R10:X10" si="2">H10/H10*100</f>
        <v>100</v>
      </c>
      <c r="S10" s="16">
        <f>I10/I10*100</f>
        <v>100</v>
      </c>
      <c r="T10" s="16">
        <f>J10/J10*100</f>
        <v>100</v>
      </c>
      <c r="U10" s="16">
        <f>K10/K10*100</f>
        <v>100</v>
      </c>
      <c r="V10" s="16">
        <f t="shared" si="2"/>
        <v>100</v>
      </c>
      <c r="W10" s="16">
        <f t="shared" si="2"/>
        <v>100</v>
      </c>
      <c r="X10" s="16">
        <f t="shared" si="2"/>
        <v>100</v>
      </c>
      <c r="Y10" s="16">
        <f>O10/O10*100</f>
        <v>100</v>
      </c>
      <c r="Z10" s="16">
        <f>P10/P10*100</f>
        <v>100</v>
      </c>
      <c r="AA10" s="16">
        <f>Q10/Q10*100</f>
        <v>100</v>
      </c>
      <c r="AB10" s="639" t="s">
        <v>13</v>
      </c>
      <c r="AD10" s="14"/>
      <c r="AE10" s="14"/>
      <c r="AF10" s="14"/>
      <c r="AG10" s="14"/>
      <c r="AH10" s="14"/>
      <c r="AI10" s="14"/>
      <c r="AJ10" s="14"/>
      <c r="AK10" s="14"/>
      <c r="AL10" s="14"/>
      <c r="AM10" s="14"/>
      <c r="AN10" s="14"/>
    </row>
    <row r="11" spans="1:40" ht="22.5" customHeight="1">
      <c r="A11" s="10" t="s">
        <v>386</v>
      </c>
      <c r="B11" s="12">
        <v>131.99824860000001</v>
      </c>
      <c r="C11" s="12">
        <v>138.45835473299999</v>
      </c>
      <c r="D11" s="12">
        <v>97.341794686838995</v>
      </c>
      <c r="E11" s="12">
        <v>87.072147391601007</v>
      </c>
      <c r="F11" s="12">
        <v>66.188623244799999</v>
      </c>
      <c r="G11" s="12">
        <v>73.72129191542227</v>
      </c>
      <c r="H11" s="12">
        <v>57.671721671347001</v>
      </c>
      <c r="I11" s="12">
        <v>53.391687689080399</v>
      </c>
      <c r="J11" s="12">
        <v>74.421630037020805</v>
      </c>
      <c r="K11" s="12">
        <v>68.521958485088447</v>
      </c>
      <c r="L11" s="12">
        <v>69.244324399131258</v>
      </c>
      <c r="M11" s="12">
        <v>69.589480938961444</v>
      </c>
      <c r="N11" s="12">
        <v>89.683148024090812</v>
      </c>
      <c r="O11" s="12">
        <v>100.0994869059859</v>
      </c>
      <c r="P11" s="12">
        <v>88.019666239199282</v>
      </c>
      <c r="Q11" s="734">
        <v>103.87066972179367</v>
      </c>
      <c r="R11" s="12">
        <f>(H11/$H$10)*100</f>
        <v>47.727255541612656</v>
      </c>
      <c r="S11" s="12">
        <f>(I11/$I$10)*100</f>
        <v>44.492728479638458</v>
      </c>
      <c r="T11" s="12">
        <f>(J11/$J$10)*100</f>
        <v>57.316563694147959</v>
      </c>
      <c r="U11" s="12">
        <f>(K11/$K$10)*100</f>
        <v>53.248554673786963</v>
      </c>
      <c r="V11" s="12">
        <f>(L11/$L$10)*100</f>
        <v>54.372998561083655</v>
      </c>
      <c r="W11" s="12">
        <f>(M11/$M$10)*100</f>
        <v>53.87195748733069</v>
      </c>
      <c r="X11" s="12">
        <f>(N11/$N$10)*100</f>
        <v>62.645410986791731</v>
      </c>
      <c r="Y11" s="12">
        <f>(O11/$O$10)*100</f>
        <v>66.280374193369141</v>
      </c>
      <c r="Z11" s="12">
        <f>(P11/$P$10)*100</f>
        <v>65.166481385431922</v>
      </c>
      <c r="AA11" s="12">
        <f>(Q11/$Q$10)*100</f>
        <v>69.907520554480215</v>
      </c>
      <c r="AB11" s="638" t="s">
        <v>14</v>
      </c>
      <c r="AD11" s="14"/>
      <c r="AE11" s="14"/>
      <c r="AF11" s="14"/>
      <c r="AG11" s="14"/>
      <c r="AH11" s="14"/>
      <c r="AI11" s="14"/>
      <c r="AJ11" s="14"/>
      <c r="AK11" s="14"/>
      <c r="AL11" s="14"/>
      <c r="AM11" s="14"/>
      <c r="AN11" s="14"/>
    </row>
    <row r="12" spans="1:40" ht="22.5" customHeight="1">
      <c r="A12" s="10" t="s">
        <v>387</v>
      </c>
      <c r="B12" s="12">
        <v>24.57092359</v>
      </c>
      <c r="C12" s="12">
        <v>22.953538301159995</v>
      </c>
      <c r="D12" s="12">
        <v>24.414838911040007</v>
      </c>
      <c r="E12" s="12">
        <v>23.768766590410003</v>
      </c>
      <c r="F12" s="12">
        <v>20.733008264210007</v>
      </c>
      <c r="G12" s="12">
        <v>21.835377509832018</v>
      </c>
      <c r="H12" s="12">
        <v>35.57521338092301</v>
      </c>
      <c r="I12" s="12">
        <v>44.977381086497097</v>
      </c>
      <c r="J12" s="12">
        <v>47.146416175683598</v>
      </c>
      <c r="K12" s="12">
        <v>49.100552219018809</v>
      </c>
      <c r="L12" s="12">
        <v>51.472456475638047</v>
      </c>
      <c r="M12" s="12">
        <v>53.705451966178899</v>
      </c>
      <c r="N12" s="12">
        <v>49.376811349197936</v>
      </c>
      <c r="O12" s="12">
        <v>47.21669550699999</v>
      </c>
      <c r="P12" s="12">
        <v>44.423897166028532</v>
      </c>
      <c r="Q12" s="734">
        <v>42.704576500856788</v>
      </c>
      <c r="R12" s="12">
        <f>(H12/$H$10)*100</f>
        <v>29.440898429468604</v>
      </c>
      <c r="S12" s="12">
        <f>(I12/$I$10)*100</f>
        <v>37.480860617485547</v>
      </c>
      <c r="T12" s="12">
        <f>(J12/$J$10)*100</f>
        <v>36.310284581782746</v>
      </c>
      <c r="U12" s="12">
        <f>(K12/$K$10)*100</f>
        <v>38.156139975428786</v>
      </c>
      <c r="V12" s="12">
        <f>(L12/$L$10)*100</f>
        <v>40.417923435186573</v>
      </c>
      <c r="W12" s="12">
        <f>(M12/$M$10)*100</f>
        <v>41.575505178686115</v>
      </c>
      <c r="X12" s="12">
        <f>(N12/$N$10)*100</f>
        <v>34.490656364525464</v>
      </c>
      <c r="Y12" s="12">
        <f>(O12/$O$10)*100</f>
        <v>31.264298580447431</v>
      </c>
      <c r="Z12" s="12">
        <f t="shared" ref="Z12:Z15" si="3">(P12/$P$10)*100</f>
        <v>32.889798285205089</v>
      </c>
      <c r="AA12" s="12">
        <f>(Q12/$Q$10)*100</f>
        <v>28.74123241430917</v>
      </c>
      <c r="AB12" s="638" t="s">
        <v>15</v>
      </c>
      <c r="AD12" s="14"/>
      <c r="AE12" s="14"/>
      <c r="AF12" s="14"/>
      <c r="AG12" s="13"/>
      <c r="AH12" s="14"/>
      <c r="AI12" s="14"/>
      <c r="AJ12" s="14"/>
      <c r="AK12" s="14"/>
      <c r="AL12" s="14"/>
      <c r="AM12" s="14"/>
      <c r="AN12" s="14"/>
    </row>
    <row r="13" spans="1:40" ht="22.5" customHeight="1">
      <c r="A13" s="10" t="s">
        <v>16</v>
      </c>
      <c r="B13" s="12"/>
      <c r="C13" s="12">
        <v>0</v>
      </c>
      <c r="D13" s="12">
        <v>0</v>
      </c>
      <c r="E13" s="12">
        <v>0</v>
      </c>
      <c r="F13" s="12">
        <v>0</v>
      </c>
      <c r="G13" s="12">
        <v>0</v>
      </c>
      <c r="H13" s="12">
        <v>0</v>
      </c>
      <c r="I13" s="12">
        <v>0</v>
      </c>
      <c r="J13" s="12">
        <v>0</v>
      </c>
      <c r="K13" s="12">
        <v>2.3340795325544512</v>
      </c>
      <c r="L13" s="12">
        <v>1.8282678227461437</v>
      </c>
      <c r="M13" s="12">
        <v>2.4800423404201255</v>
      </c>
      <c r="N13" s="12">
        <v>1.0741737564163372</v>
      </c>
      <c r="O13" s="12">
        <v>0.43230529269740253</v>
      </c>
      <c r="P13" s="12">
        <v>0.3959811523285271</v>
      </c>
      <c r="Q13" s="734">
        <v>0.21268961995324842</v>
      </c>
      <c r="R13" s="12">
        <v>0</v>
      </c>
      <c r="S13" s="12">
        <v>0</v>
      </c>
      <c r="T13" s="12">
        <v>0</v>
      </c>
      <c r="U13" s="12">
        <f>(K13/$K$10)*100</f>
        <v>1.8138179986381981</v>
      </c>
      <c r="V13" s="12">
        <f>(L13/$L$10)*100</f>
        <v>1.4356180749551628</v>
      </c>
      <c r="W13" s="12">
        <f>(M13/$M$10)*100</f>
        <v>1.9198984347516681</v>
      </c>
      <c r="X13" s="12">
        <f>(N13/$N$10)*100</f>
        <v>0.75033111486955462</v>
      </c>
      <c r="Y13" s="12">
        <f>(O13/$O$10)*100</f>
        <v>0.28624878559736511</v>
      </c>
      <c r="Z13" s="12">
        <f t="shared" si="3"/>
        <v>0.29316969144228372</v>
      </c>
      <c r="AA13" s="12">
        <f>(Q13/$Q$10)*100</f>
        <v>0.14314535583943228</v>
      </c>
      <c r="AB13" s="640" t="s">
        <v>17</v>
      </c>
      <c r="AD13" s="14"/>
      <c r="AE13" s="14"/>
      <c r="AF13" s="14"/>
      <c r="AG13" s="13"/>
      <c r="AH13" s="14"/>
      <c r="AI13" s="14"/>
      <c r="AJ13" s="14"/>
      <c r="AK13" s="14"/>
      <c r="AL13" s="14"/>
      <c r="AM13" s="14"/>
      <c r="AN13" s="14"/>
    </row>
    <row r="14" spans="1:40" ht="22.5" customHeight="1">
      <c r="A14" s="10" t="s">
        <v>18</v>
      </c>
      <c r="B14" s="12">
        <v>8.3012412409999996</v>
      </c>
      <c r="C14" s="12">
        <v>5.7175900621500002</v>
      </c>
      <c r="D14" s="12">
        <v>7.0996787907630008</v>
      </c>
      <c r="E14" s="12">
        <v>6.6990521868619997</v>
      </c>
      <c r="F14" s="12">
        <v>8.876155542958001</v>
      </c>
      <c r="G14" s="12">
        <v>7.1236269087170054</v>
      </c>
      <c r="H14" s="12">
        <v>4.9472398022119997</v>
      </c>
      <c r="I14" s="12">
        <v>2.5377990840052944</v>
      </c>
      <c r="J14" s="12">
        <v>1.6640466762930248</v>
      </c>
      <c r="K14" s="12">
        <v>1.5901763812155898</v>
      </c>
      <c r="L14" s="12">
        <v>0.38814185000950413</v>
      </c>
      <c r="M14" s="12">
        <v>0.18462584430785087</v>
      </c>
      <c r="N14" s="12">
        <v>0.5319048992427694</v>
      </c>
      <c r="O14" s="12">
        <v>0.45038129963149232</v>
      </c>
      <c r="P14" s="12">
        <v>0.18614795910647888</v>
      </c>
      <c r="Q14" s="734">
        <v>9.8424318844106906E-2</v>
      </c>
      <c r="R14" s="12">
        <f>(H14/$H$10)*100</f>
        <v>4.094175991682242</v>
      </c>
      <c r="S14" s="12">
        <f>(I14/$I$10)*100</f>
        <v>2.1148161908284404</v>
      </c>
      <c r="T14" s="12">
        <f>(J14/$J$10)*100</f>
        <v>1.2815822129176579</v>
      </c>
      <c r="U14" s="12">
        <f>(K14/$K$10)*100</f>
        <v>1.2357293318542506</v>
      </c>
      <c r="V14" s="12">
        <f>(L14/$L$10)*100</f>
        <v>0.30478218157512837</v>
      </c>
      <c r="W14" s="12">
        <f>(M14/$M$10)*100</f>
        <v>0.14292613626963366</v>
      </c>
      <c r="X14" s="12">
        <f>(N14/$N$10)*100</f>
        <v>0.37154584504549831</v>
      </c>
      <c r="Y14" s="12">
        <f>(O14/$O$10)*100</f>
        <v>0.29821772310689154</v>
      </c>
      <c r="Z14" s="12">
        <f t="shared" si="3"/>
        <v>0.13781701329203827</v>
      </c>
      <c r="AA14" s="12">
        <f>(Q14/$Q$10)*100</f>
        <v>6.6241992191675078E-2</v>
      </c>
      <c r="AB14" s="638" t="s">
        <v>19</v>
      </c>
      <c r="AD14" s="14"/>
      <c r="AE14" s="14"/>
      <c r="AF14" s="14"/>
      <c r="AG14" s="14"/>
      <c r="AH14" s="14"/>
      <c r="AI14" s="14"/>
      <c r="AJ14" s="14"/>
      <c r="AK14" s="14"/>
      <c r="AL14" s="14"/>
      <c r="AM14" s="14"/>
      <c r="AN14" s="14"/>
    </row>
    <row r="15" spans="1:40" ht="22.5" customHeight="1">
      <c r="A15" s="17" t="s">
        <v>388</v>
      </c>
      <c r="B15" s="18">
        <v>21.052768879999999</v>
      </c>
      <c r="C15" s="18">
        <v>17.028739226365001</v>
      </c>
      <c r="D15" s="18">
        <v>15.312237678402001</v>
      </c>
      <c r="E15" s="18">
        <v>15.03444253384</v>
      </c>
      <c r="F15" s="18">
        <v>20.938074088570005</v>
      </c>
      <c r="G15" s="18">
        <v>19.494841118041013</v>
      </c>
      <c r="H15" s="18">
        <v>22.641856919991007</v>
      </c>
      <c r="I15" s="18">
        <v>19.094061536137332</v>
      </c>
      <c r="J15" s="18">
        <v>6.6110540835753202</v>
      </c>
      <c r="K15" s="18">
        <v>7.1364603821227925</v>
      </c>
      <c r="L15" s="18">
        <v>4.4173809339078227</v>
      </c>
      <c r="M15" s="18">
        <v>3.2161040166838455</v>
      </c>
      <c r="N15" s="18">
        <v>2.4939263026769765</v>
      </c>
      <c r="O15" s="18">
        <v>2.8254547469191089</v>
      </c>
      <c r="P15" s="18">
        <v>2.0432330535248928</v>
      </c>
      <c r="Q15" s="735">
        <v>1.6966090211673268</v>
      </c>
      <c r="R15" s="18">
        <f>(H15/$H$10)*100</f>
        <v>18.737670037236501</v>
      </c>
      <c r="S15" s="18">
        <f>(I15/$I$10)*100</f>
        <v>15.911594712047563</v>
      </c>
      <c r="T15" s="18">
        <f>(J15/$J$10)*100</f>
        <v>5.0915695111516346</v>
      </c>
      <c r="U15" s="18">
        <f>(K15/$K$10)*100</f>
        <v>5.545758020291788</v>
      </c>
      <c r="V15" s="18">
        <f>(L15/$L$10)*100</f>
        <v>3.468677747199477</v>
      </c>
      <c r="W15" s="18">
        <f>(M15/$M$10)*100</f>
        <v>2.4897127629618923</v>
      </c>
      <c r="X15" s="18">
        <f>(N15/$N$10)*100</f>
        <v>1.7420556887677672</v>
      </c>
      <c r="Y15" s="18">
        <f>(O15/$O$10)*100</f>
        <v>1.8708607174791707</v>
      </c>
      <c r="Z15" s="18">
        <f t="shared" si="3"/>
        <v>1.512733624628664</v>
      </c>
      <c r="AA15" s="18">
        <f>(Q15/$Q$10)*100</f>
        <v>1.1418596831795158</v>
      </c>
      <c r="AB15" s="641" t="s">
        <v>20</v>
      </c>
      <c r="AD15" s="14"/>
      <c r="AE15" s="14"/>
      <c r="AF15" s="14"/>
      <c r="AG15" s="14"/>
      <c r="AH15" s="14"/>
      <c r="AI15" s="14"/>
      <c r="AJ15" s="14"/>
      <c r="AK15" s="14"/>
      <c r="AL15" s="14"/>
      <c r="AM15" s="14"/>
      <c r="AN15" s="14"/>
    </row>
    <row r="16" spans="1:40" ht="22.5" customHeight="1">
      <c r="A16" s="19" t="s">
        <v>21</v>
      </c>
      <c r="B16" s="19"/>
      <c r="C16" s="19"/>
      <c r="D16" s="19"/>
      <c r="E16" s="19"/>
      <c r="F16" s="19"/>
      <c r="G16" s="19"/>
      <c r="H16" s="19"/>
      <c r="I16" s="19"/>
      <c r="J16" s="19"/>
      <c r="K16" s="19"/>
      <c r="L16" s="19"/>
      <c r="AB16" s="20" t="s">
        <v>22</v>
      </c>
    </row>
    <row r="17" spans="1:38" ht="17.25">
      <c r="A17" s="749" t="s">
        <v>23</v>
      </c>
      <c r="B17" s="749"/>
      <c r="C17" s="749"/>
      <c r="D17" s="749"/>
      <c r="E17" s="749"/>
      <c r="F17" s="749"/>
      <c r="G17" s="749"/>
      <c r="H17" s="749"/>
      <c r="I17" s="749"/>
      <c r="J17" s="749"/>
      <c r="K17" s="749"/>
      <c r="L17" s="749"/>
      <c r="M17" s="749"/>
      <c r="N17" s="749"/>
      <c r="O17" s="749"/>
      <c r="P17" s="749"/>
      <c r="Q17" s="749"/>
      <c r="R17" s="749"/>
      <c r="S17" s="749"/>
      <c r="T17" s="749"/>
      <c r="U17" s="749"/>
      <c r="V17" s="749"/>
      <c r="W17" s="21"/>
      <c r="X17" s="21"/>
      <c r="Y17" s="21"/>
      <c r="Z17" s="21"/>
      <c r="AA17" s="21"/>
      <c r="AB17" s="20" t="s">
        <v>389</v>
      </c>
    </row>
    <row r="18" spans="1:38" s="23" customFormat="1" ht="14.25" customHeight="1">
      <c r="A18" s="24" t="s">
        <v>390</v>
      </c>
      <c r="W18" s="22"/>
      <c r="X18" s="22"/>
      <c r="Y18" s="22"/>
      <c r="Z18" s="22"/>
      <c r="AA18" s="22"/>
      <c r="AB18" s="20"/>
      <c r="AE18" s="22"/>
      <c r="AF18" s="22"/>
      <c r="AH18" s="2"/>
      <c r="AI18" s="2"/>
      <c r="AJ18" s="2"/>
      <c r="AK18" s="2"/>
      <c r="AL18" s="2"/>
    </row>
    <row r="19" spans="1:38" s="23" customFormat="1">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E19" s="22"/>
      <c r="AF19" s="22"/>
      <c r="AH19" s="2"/>
      <c r="AI19" s="2"/>
      <c r="AJ19" s="2"/>
      <c r="AK19" s="2"/>
      <c r="AL19" s="2"/>
    </row>
    <row r="20" spans="1:38" s="23" customFormat="1">
      <c r="A20" s="24"/>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E20" s="22"/>
      <c r="AF20" s="22"/>
      <c r="AH20" s="2"/>
      <c r="AI20" s="2"/>
      <c r="AJ20" s="2"/>
      <c r="AK20" s="2"/>
      <c r="AL20" s="2"/>
    </row>
    <row r="21" spans="1:38" s="23" customFormat="1" ht="12.75">
      <c r="A21" s="25"/>
      <c r="B21" s="593"/>
      <c r="C21" s="593"/>
      <c r="D21" s="593"/>
      <c r="E21" s="593"/>
      <c r="F21" s="26"/>
      <c r="G21" s="12"/>
      <c r="H21" s="12"/>
      <c r="I21" s="12"/>
      <c r="J21" s="12"/>
      <c r="K21" s="12"/>
      <c r="L21" s="12"/>
      <c r="M21" s="25"/>
      <c r="N21" s="25"/>
      <c r="O21" s="25"/>
      <c r="P21" s="25"/>
      <c r="Q21" s="25"/>
      <c r="R21" s="12"/>
      <c r="S21" s="12"/>
      <c r="T21" s="12"/>
      <c r="U21" s="12"/>
      <c r="V21" s="12"/>
      <c r="W21" s="12"/>
      <c r="X21" s="12"/>
      <c r="Y21" s="12"/>
      <c r="Z21" s="12"/>
      <c r="AA21" s="12"/>
      <c r="AB21" s="26"/>
      <c r="AC21" s="2"/>
      <c r="AD21" s="2"/>
      <c r="AE21" s="2"/>
      <c r="AF21" s="2"/>
      <c r="AG21" s="2"/>
      <c r="AH21" s="2"/>
      <c r="AI21" s="2"/>
      <c r="AJ21" s="2"/>
      <c r="AK21" s="2"/>
      <c r="AL21" s="2"/>
    </row>
    <row r="22" spans="1:38" ht="12.75">
      <c r="A22" s="27"/>
      <c r="B22" s="26"/>
      <c r="C22" s="28"/>
      <c r="D22" s="26"/>
      <c r="E22" s="26"/>
      <c r="F22" s="26"/>
      <c r="G22" s="12"/>
      <c r="H22" s="12"/>
      <c r="I22" s="12"/>
      <c r="J22" s="12"/>
      <c r="K22" s="12"/>
      <c r="L22" s="12"/>
      <c r="M22" s="25"/>
      <c r="N22" s="25"/>
      <c r="O22" s="25"/>
      <c r="P22" s="25"/>
      <c r="Q22" s="25"/>
      <c r="R22" s="12"/>
      <c r="S22" s="12"/>
      <c r="T22" s="12"/>
      <c r="U22" s="12"/>
      <c r="V22" s="739"/>
      <c r="W22" s="12"/>
      <c r="X22" s="12"/>
      <c r="Y22" s="12"/>
      <c r="Z22" s="12"/>
      <c r="AA22" s="12"/>
      <c r="AB22" s="26"/>
      <c r="AC22" s="2"/>
      <c r="AD22" s="2"/>
      <c r="AE22" s="2"/>
      <c r="AF22" s="2"/>
      <c r="AG22" s="2"/>
      <c r="AH22" s="2"/>
      <c r="AI22" s="2"/>
      <c r="AJ22" s="2"/>
      <c r="AK22" s="2"/>
      <c r="AL22" s="2"/>
    </row>
    <row r="23" spans="1:38" ht="15">
      <c r="A23" s="26"/>
      <c r="B23" s="26"/>
      <c r="C23" s="26"/>
      <c r="D23" s="26"/>
      <c r="E23" s="26"/>
      <c r="F23" s="26"/>
      <c r="G23" s="12"/>
      <c r="H23" s="12"/>
      <c r="I23" s="12"/>
      <c r="J23" s="12"/>
      <c r="K23" s="12"/>
      <c r="L23" s="12"/>
      <c r="M23" s="25"/>
      <c r="N23" s="25"/>
      <c r="O23" s="25"/>
      <c r="P23" s="25"/>
      <c r="Q23" s="25"/>
      <c r="R23" s="12"/>
      <c r="S23" s="12"/>
      <c r="T23" s="12"/>
      <c r="U23" s="12"/>
      <c r="V23" s="740"/>
      <c r="W23" s="12"/>
      <c r="X23" s="12"/>
      <c r="Y23" s="12"/>
      <c r="Z23" s="12"/>
      <c r="AA23" s="12"/>
      <c r="AB23" s="26"/>
      <c r="AC23" s="2"/>
      <c r="AD23" s="2"/>
      <c r="AE23" s="2"/>
      <c r="AF23" s="2"/>
      <c r="AG23" s="2"/>
      <c r="AH23" s="2"/>
      <c r="AI23" s="2"/>
      <c r="AJ23" s="2"/>
      <c r="AK23" s="2"/>
      <c r="AL23" s="2"/>
    </row>
    <row r="24" spans="1:38" ht="15">
      <c r="A24" s="26"/>
      <c r="B24" s="26"/>
      <c r="C24" s="26"/>
      <c r="D24" s="26"/>
      <c r="E24" s="26"/>
      <c r="F24" s="26"/>
      <c r="G24" s="16"/>
      <c r="H24" s="16"/>
      <c r="I24" s="16"/>
      <c r="J24" s="16"/>
      <c r="K24" s="16"/>
      <c r="L24" s="16"/>
      <c r="M24" s="25"/>
      <c r="N24" s="25"/>
      <c r="O24" s="25"/>
      <c r="P24" s="25"/>
      <c r="Q24" s="25"/>
      <c r="R24" s="16"/>
      <c r="S24" s="12"/>
      <c r="T24" s="16"/>
      <c r="U24" s="16"/>
      <c r="V24" s="740"/>
      <c r="W24" s="16"/>
      <c r="X24" s="16"/>
      <c r="Y24" s="16"/>
      <c r="Z24" s="16"/>
      <c r="AA24" s="16"/>
      <c r="AB24" s="26"/>
      <c r="AC24" s="2"/>
      <c r="AD24" s="2"/>
      <c r="AE24" s="2"/>
      <c r="AF24" s="2"/>
      <c r="AG24" s="2"/>
      <c r="AH24" s="2"/>
      <c r="AI24" s="2"/>
      <c r="AJ24" s="2"/>
      <c r="AK24" s="2"/>
      <c r="AL24" s="2"/>
    </row>
    <row r="25" spans="1:38" ht="15">
      <c r="A25" s="26"/>
      <c r="B25" s="26"/>
      <c r="C25" s="26"/>
      <c r="D25" s="26"/>
      <c r="E25" s="26"/>
      <c r="F25" s="26"/>
      <c r="G25" s="12"/>
      <c r="H25" s="12"/>
      <c r="I25" s="12"/>
      <c r="J25" s="12"/>
      <c r="K25" s="12"/>
      <c r="L25" s="12"/>
      <c r="M25" s="25"/>
      <c r="N25" s="25"/>
      <c r="O25" s="25"/>
      <c r="P25" s="25"/>
      <c r="Q25" s="25"/>
      <c r="R25" s="12"/>
      <c r="S25" s="12"/>
      <c r="T25" s="12"/>
      <c r="U25" s="12"/>
      <c r="V25" s="741"/>
      <c r="W25" s="12"/>
      <c r="X25" s="12"/>
      <c r="Y25" s="12"/>
      <c r="Z25" s="12"/>
      <c r="AA25" s="12"/>
      <c r="AB25" s="26"/>
      <c r="AC25" s="2"/>
      <c r="AD25" s="2"/>
      <c r="AE25" s="2"/>
      <c r="AF25" s="2"/>
      <c r="AG25" s="2"/>
      <c r="AH25" s="2"/>
      <c r="AI25" s="2"/>
      <c r="AJ25" s="2"/>
      <c r="AK25" s="2"/>
      <c r="AL25" s="2"/>
    </row>
    <row r="26" spans="1:38" ht="15">
      <c r="A26" s="26"/>
      <c r="B26" s="26"/>
      <c r="C26" s="26"/>
      <c r="D26" s="26"/>
      <c r="E26" s="26"/>
      <c r="F26" s="26"/>
      <c r="G26" s="12"/>
      <c r="H26" s="12"/>
      <c r="I26" s="12"/>
      <c r="J26" s="12"/>
      <c r="K26" s="12"/>
      <c r="L26" s="12"/>
      <c r="M26" s="25"/>
      <c r="N26" s="25"/>
      <c r="O26" s="25"/>
      <c r="P26" s="25"/>
      <c r="Q26" s="25"/>
      <c r="R26" s="12"/>
      <c r="S26" s="12"/>
      <c r="T26" s="12"/>
      <c r="U26" s="12"/>
      <c r="V26" s="742"/>
      <c r="W26" s="12"/>
      <c r="X26" s="12"/>
      <c r="Y26" s="12"/>
      <c r="Z26" s="12"/>
      <c r="AA26" s="12"/>
      <c r="AB26" s="26"/>
      <c r="AC26" s="2"/>
      <c r="AD26" s="2"/>
      <c r="AE26" s="2"/>
      <c r="AF26" s="2"/>
      <c r="AG26" s="2"/>
      <c r="AH26" s="2"/>
      <c r="AI26" s="2"/>
      <c r="AJ26" s="2"/>
      <c r="AK26" s="2"/>
      <c r="AL26" s="2"/>
    </row>
    <row r="27" spans="1:38" ht="15">
      <c r="A27" s="26"/>
      <c r="B27" s="26"/>
      <c r="C27" s="26"/>
      <c r="D27" s="26"/>
      <c r="E27" s="26"/>
      <c r="F27" s="26"/>
      <c r="G27" s="12"/>
      <c r="H27" s="12"/>
      <c r="I27" s="12"/>
      <c r="J27" s="12"/>
      <c r="K27" s="12"/>
      <c r="L27" s="12"/>
      <c r="M27" s="25"/>
      <c r="N27" s="25"/>
      <c r="O27" s="25"/>
      <c r="P27" s="25"/>
      <c r="Q27" s="25"/>
      <c r="R27" s="12"/>
      <c r="S27" s="12"/>
      <c r="T27" s="12"/>
      <c r="U27" s="12"/>
      <c r="V27" s="743"/>
      <c r="W27" s="12"/>
      <c r="X27" s="12"/>
      <c r="Y27" s="12"/>
      <c r="Z27" s="12"/>
      <c r="AA27" s="12"/>
      <c r="AB27" s="26"/>
      <c r="AC27" s="2"/>
      <c r="AD27" s="2"/>
      <c r="AE27" s="2"/>
      <c r="AF27" s="2"/>
      <c r="AG27" s="2"/>
      <c r="AH27" s="2"/>
      <c r="AI27" s="2"/>
      <c r="AJ27" s="2"/>
      <c r="AK27" s="2"/>
      <c r="AL27" s="2"/>
    </row>
    <row r="28" spans="1:38" ht="15">
      <c r="A28" s="26"/>
      <c r="B28" s="26"/>
      <c r="C28" s="26"/>
      <c r="D28" s="26"/>
      <c r="E28" s="26"/>
      <c r="F28" s="26"/>
      <c r="G28" s="12"/>
      <c r="H28" s="12"/>
      <c r="I28" s="12"/>
      <c r="J28" s="12"/>
      <c r="K28" s="12"/>
      <c r="L28" s="12"/>
      <c r="M28" s="25"/>
      <c r="N28" s="25"/>
      <c r="O28" s="25"/>
      <c r="P28" s="25"/>
      <c r="Q28" s="25"/>
      <c r="R28" s="12"/>
      <c r="S28" s="12"/>
      <c r="T28" s="12"/>
      <c r="U28" s="12"/>
      <c r="V28" s="744"/>
      <c r="W28" s="12"/>
      <c r="X28" s="12"/>
      <c r="Y28" s="12"/>
      <c r="Z28" s="12"/>
      <c r="AA28" s="12"/>
      <c r="AB28" s="26"/>
      <c r="AC28" s="2"/>
      <c r="AD28" s="2"/>
      <c r="AE28" s="2"/>
      <c r="AF28" s="2"/>
      <c r="AG28" s="2"/>
      <c r="AH28" s="2"/>
      <c r="AI28" s="2"/>
      <c r="AJ28" s="2"/>
      <c r="AK28" s="2"/>
      <c r="AL28" s="2"/>
    </row>
    <row r="29" spans="1:38" ht="15">
      <c r="A29" s="26"/>
      <c r="B29" s="26"/>
      <c r="C29" s="26"/>
      <c r="D29" s="26"/>
      <c r="E29" s="26"/>
      <c r="F29" s="26"/>
      <c r="G29" s="12"/>
      <c r="H29" s="12"/>
      <c r="I29" s="12"/>
      <c r="J29" s="12"/>
      <c r="K29" s="12"/>
      <c r="L29" s="12"/>
      <c r="M29" s="25"/>
      <c r="N29" s="25"/>
      <c r="O29" s="25"/>
      <c r="P29" s="25"/>
      <c r="Q29" s="25"/>
      <c r="R29" s="12"/>
      <c r="S29" s="12"/>
      <c r="T29" s="12"/>
      <c r="U29" s="12"/>
      <c r="V29" s="745"/>
      <c r="W29" s="12"/>
      <c r="X29" s="12"/>
      <c r="Y29" s="12"/>
      <c r="Z29" s="12"/>
      <c r="AA29" s="12"/>
      <c r="AB29" s="26"/>
      <c r="AC29" s="2"/>
      <c r="AD29" s="2"/>
      <c r="AE29" s="2"/>
      <c r="AF29" s="2"/>
      <c r="AG29" s="2"/>
      <c r="AH29" s="2"/>
      <c r="AI29" s="2"/>
      <c r="AJ29" s="2"/>
      <c r="AK29" s="2"/>
      <c r="AL29" s="2"/>
    </row>
    <row r="30" spans="1:38" ht="15">
      <c r="A30" s="26"/>
      <c r="B30" s="26"/>
      <c r="C30" s="26"/>
      <c r="D30" s="26"/>
      <c r="E30" s="26"/>
      <c r="F30" s="26"/>
      <c r="G30" s="12"/>
      <c r="H30" s="12"/>
      <c r="I30" s="12"/>
      <c r="J30" s="12"/>
      <c r="K30" s="12"/>
      <c r="L30" s="12"/>
      <c r="M30" s="25"/>
      <c r="N30" s="25"/>
      <c r="O30" s="25"/>
      <c r="P30" s="25"/>
      <c r="Q30" s="25"/>
      <c r="R30" s="12"/>
      <c r="S30" s="12"/>
      <c r="T30" s="12"/>
      <c r="U30" s="12"/>
      <c r="V30" s="740"/>
      <c r="W30" s="12"/>
      <c r="X30" s="12"/>
      <c r="Y30" s="12"/>
      <c r="Z30" s="12"/>
      <c r="AA30" s="12"/>
      <c r="AB30" s="26"/>
      <c r="AC30" s="2"/>
      <c r="AD30" s="2"/>
      <c r="AE30" s="2"/>
      <c r="AF30" s="2"/>
      <c r="AG30" s="2"/>
      <c r="AH30" s="2"/>
      <c r="AI30" s="2"/>
      <c r="AJ30" s="2"/>
      <c r="AK30" s="2"/>
      <c r="AL30" s="2"/>
    </row>
    <row r="31" spans="1:38" ht="12.75">
      <c r="A31" s="26"/>
      <c r="B31" s="26"/>
      <c r="C31" s="26"/>
      <c r="D31" s="26"/>
      <c r="E31" s="26"/>
      <c r="F31" s="26"/>
      <c r="G31" s="26"/>
      <c r="H31" s="26"/>
      <c r="I31" s="26"/>
      <c r="J31" s="26"/>
      <c r="K31" s="26"/>
      <c r="L31" s="26"/>
      <c r="M31" s="25"/>
      <c r="N31" s="25"/>
      <c r="O31" s="25"/>
      <c r="P31" s="25"/>
      <c r="Q31" s="25"/>
      <c r="R31" s="26"/>
      <c r="S31" s="26"/>
      <c r="T31" s="26"/>
      <c r="U31" s="26"/>
      <c r="V31" s="746"/>
      <c r="W31" s="26"/>
      <c r="X31" s="26"/>
      <c r="Y31" s="26"/>
      <c r="Z31" s="26"/>
      <c r="AA31" s="26"/>
      <c r="AB31" s="26"/>
      <c r="AC31" s="2"/>
      <c r="AD31" s="2"/>
      <c r="AE31" s="2"/>
      <c r="AF31" s="2"/>
      <c r="AG31" s="2"/>
      <c r="AH31" s="2"/>
      <c r="AI31" s="2"/>
      <c r="AJ31" s="2"/>
      <c r="AK31" s="2"/>
      <c r="AL31" s="2"/>
    </row>
    <row r="32" spans="1:38" ht="12.75">
      <c r="A32" s="26"/>
      <c r="B32" s="26"/>
      <c r="C32" s="26"/>
      <c r="D32" s="26"/>
      <c r="E32" s="26"/>
      <c r="F32" s="26"/>
      <c r="G32" s="26"/>
      <c r="H32" s="26"/>
      <c r="I32" s="26"/>
      <c r="J32" s="26"/>
      <c r="K32" s="26"/>
      <c r="L32" s="26"/>
      <c r="M32" s="26"/>
      <c r="N32" s="26"/>
      <c r="O32" s="26"/>
      <c r="P32" s="26"/>
      <c r="Q32" s="26"/>
      <c r="R32" s="26"/>
      <c r="S32" s="26"/>
      <c r="T32" s="26"/>
      <c r="U32" s="26"/>
      <c r="V32" s="747"/>
      <c r="W32" s="26"/>
      <c r="X32" s="26"/>
      <c r="Y32" s="26"/>
      <c r="Z32" s="26"/>
      <c r="AA32" s="26"/>
      <c r="AB32" s="26"/>
      <c r="AC32" s="2"/>
      <c r="AD32" s="2"/>
      <c r="AE32" s="2"/>
      <c r="AF32" s="2"/>
      <c r="AG32" s="2"/>
      <c r="AH32" s="2"/>
      <c r="AI32" s="2"/>
      <c r="AJ32" s="2"/>
      <c r="AK32" s="2"/>
      <c r="AL32" s="2"/>
    </row>
    <row r="33" spans="1:38" ht="12.75">
      <c r="A33" s="26"/>
      <c r="B33" s="26"/>
      <c r="C33" s="26"/>
      <c r="D33" s="26"/>
      <c r="E33" s="26"/>
      <c r="F33" s="26"/>
      <c r="G33" s="26"/>
      <c r="H33" s="26"/>
      <c r="I33" s="26"/>
      <c r="J33" s="26"/>
      <c r="K33" s="26"/>
      <c r="L33" s="26"/>
      <c r="M33" s="26"/>
      <c r="N33" s="26"/>
      <c r="O33" s="26"/>
      <c r="P33" s="26"/>
      <c r="Q33" s="26"/>
      <c r="R33" s="26"/>
      <c r="S33" s="26"/>
      <c r="T33" s="26"/>
      <c r="U33" s="26"/>
      <c r="V33" s="748"/>
      <c r="W33" s="26"/>
      <c r="X33" s="26"/>
      <c r="Y33" s="26"/>
      <c r="Z33" s="26"/>
      <c r="AA33" s="26"/>
      <c r="AB33" s="26"/>
      <c r="AC33" s="2"/>
      <c r="AD33" s="2"/>
      <c r="AE33" s="2"/>
      <c r="AF33" s="2"/>
      <c r="AG33" s="2"/>
      <c r="AH33" s="2"/>
      <c r="AI33" s="2"/>
      <c r="AJ33" s="2"/>
      <c r="AK33" s="2"/>
      <c r="AL33" s="2"/>
    </row>
    <row r="34" spans="1:38">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
      <c r="AD34" s="2"/>
      <c r="AE34" s="2"/>
      <c r="AF34" s="2"/>
      <c r="AG34" s="2"/>
      <c r="AH34" s="2"/>
      <c r="AI34" s="2"/>
      <c r="AJ34" s="2"/>
      <c r="AK34" s="2"/>
      <c r="AL34" s="2"/>
    </row>
    <row r="35" spans="1:38">
      <c r="A35" s="26"/>
      <c r="B35" s="26"/>
      <c r="C35" s="26"/>
      <c r="D35" s="26"/>
      <c r="E35" s="26"/>
      <c r="F35" s="26"/>
      <c r="G35" s="26"/>
      <c r="H35" s="26"/>
      <c r="I35" s="26"/>
      <c r="J35" s="26"/>
      <c r="K35" s="26"/>
      <c r="L35" s="26"/>
      <c r="M35" s="26"/>
      <c r="N35" s="26"/>
      <c r="O35" s="26"/>
      <c r="P35" s="26"/>
      <c r="Q35" s="26"/>
      <c r="R35" s="28"/>
      <c r="S35" s="28"/>
      <c r="T35" s="28"/>
      <c r="U35" s="28"/>
      <c r="V35" s="28"/>
      <c r="W35" s="28"/>
      <c r="X35" s="28"/>
      <c r="Y35" s="28"/>
      <c r="Z35" s="28"/>
      <c r="AA35" s="28"/>
      <c r="AB35" s="26"/>
      <c r="AC35" s="2"/>
      <c r="AD35" s="2"/>
      <c r="AE35" s="2"/>
      <c r="AF35" s="2"/>
      <c r="AG35" s="2"/>
      <c r="AH35" s="2"/>
      <c r="AI35" s="2"/>
      <c r="AJ35" s="2"/>
      <c r="AK35" s="2"/>
      <c r="AL35" s="2"/>
    </row>
    <row r="36" spans="1:38">
      <c r="A36" s="28"/>
      <c r="B36" s="26"/>
      <c r="C36" s="26"/>
      <c r="D36" s="26"/>
      <c r="E36" s="26"/>
      <c r="F36" s="26"/>
      <c r="G36" s="26"/>
      <c r="H36" s="26"/>
      <c r="I36" s="26"/>
      <c r="J36" s="26"/>
      <c r="K36" s="26"/>
      <c r="L36" s="26"/>
      <c r="M36" s="26"/>
      <c r="N36" s="26"/>
      <c r="O36" s="26"/>
      <c r="P36" s="26"/>
      <c r="Q36" s="26"/>
      <c r="R36" s="28"/>
      <c r="S36" s="28"/>
      <c r="T36" s="28"/>
      <c r="U36" s="28"/>
      <c r="V36" s="28"/>
      <c r="W36" s="28"/>
      <c r="X36" s="28"/>
      <c r="Y36" s="28"/>
      <c r="Z36" s="28"/>
      <c r="AA36" s="28"/>
      <c r="AB36" s="28"/>
      <c r="AC36" s="2"/>
      <c r="AD36" s="2"/>
      <c r="AE36" s="2"/>
      <c r="AF36" s="2"/>
      <c r="AG36" s="2"/>
      <c r="AH36" s="2"/>
      <c r="AI36" s="2"/>
      <c r="AJ36" s="2"/>
      <c r="AK36" s="2"/>
      <c r="AL36" s="2"/>
    </row>
  </sheetData>
  <mergeCells count="9">
    <mergeCell ref="A17:V17"/>
    <mergeCell ref="A1:AC1"/>
    <mergeCell ref="A2:AB2"/>
    <mergeCell ref="A3:AB3"/>
    <mergeCell ref="A4:AB4"/>
    <mergeCell ref="H5:Q5"/>
    <mergeCell ref="H6:Q6"/>
    <mergeCell ref="R5:AA5"/>
    <mergeCell ref="R6:AA6"/>
  </mergeCells>
  <dataValidations count="1">
    <dataValidation type="decimal" errorStyle="warning" allowBlank="1" showErrorMessage="1" errorTitle="Check data type!" error="You may enter only decimals but descriptors as NA (not available) &amp; &quot;-&quot; (dash). Check for exceptionally high or low values. Click 'yes' if you are sure what you have typed is correct." sqref="V23:V30">
      <formula1>0</formula1>
      <formula2>1000</formula2>
    </dataValidation>
  </dataValidations>
  <pageMargins left="0.7" right="0.7" top="0.75" bottom="0.75" header="0.3" footer="0.3"/>
  <pageSetup scale="41" orientation="portrait" horizontalDpi="4294967295" verticalDpi="4294967295" r:id="rId1"/>
  <ignoredErrors>
    <ignoredError sqref="H9:O15 R13:Y15 R8:U12 W9:Y12 W8" unlockedFormula="1"/>
    <ignoredError sqref="V8:V12" formula="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R67"/>
  <sheetViews>
    <sheetView topLeftCell="A19" workbookViewId="0">
      <selection activeCell="S8" sqref="S8"/>
    </sheetView>
  </sheetViews>
  <sheetFormatPr defaultColWidth="8.85546875" defaultRowHeight="12.75"/>
  <cols>
    <col min="1" max="1" width="7.85546875" style="14" customWidth="1"/>
    <col min="2" max="7" width="7.7109375" style="14" hidden="1" customWidth="1"/>
    <col min="8" max="13" width="9.28515625" style="14" customWidth="1"/>
    <col min="14" max="19" width="10" style="78" customWidth="1"/>
    <col min="20" max="25" width="9.28515625" style="14" customWidth="1"/>
    <col min="26" max="26" width="8.85546875" style="14"/>
    <col min="27" max="27" width="13" style="14" customWidth="1"/>
    <col min="28" max="29" width="10.140625" style="14" bestFit="1" customWidth="1"/>
    <col min="30" max="16384" width="8.85546875" style="14"/>
  </cols>
  <sheetData>
    <row r="1" spans="1:44" s="29" customFormat="1" ht="18.75">
      <c r="A1" s="766" t="s">
        <v>473</v>
      </c>
      <c r="B1" s="766"/>
      <c r="C1" s="766"/>
      <c r="D1" s="766"/>
      <c r="E1" s="766"/>
      <c r="F1" s="766"/>
      <c r="G1" s="766"/>
      <c r="H1" s="766"/>
      <c r="I1" s="766"/>
      <c r="J1" s="766"/>
      <c r="K1" s="766"/>
      <c r="L1" s="766"/>
      <c r="M1" s="766"/>
      <c r="N1" s="766"/>
      <c r="O1" s="766"/>
      <c r="P1" s="766"/>
      <c r="Q1" s="766"/>
      <c r="R1" s="766"/>
      <c r="S1" s="766"/>
      <c r="T1" s="766"/>
      <c r="U1" s="766"/>
      <c r="V1" s="766"/>
      <c r="W1" s="766"/>
      <c r="X1" s="766"/>
      <c r="Y1" s="766"/>
      <c r="Z1" s="766"/>
      <c r="AA1" s="766"/>
      <c r="AB1" s="1"/>
      <c r="AC1" s="1"/>
      <c r="AD1" s="1"/>
      <c r="AE1" s="1"/>
      <c r="AF1" s="1"/>
      <c r="AG1" s="1"/>
      <c r="AH1" s="1"/>
      <c r="AI1" s="1"/>
      <c r="AJ1" s="1"/>
      <c r="AK1" s="1"/>
      <c r="AL1" s="1"/>
      <c r="AM1" s="1"/>
      <c r="AN1" s="1"/>
      <c r="AO1" s="1"/>
      <c r="AP1" s="1"/>
      <c r="AQ1" s="1"/>
      <c r="AR1" s="1"/>
    </row>
    <row r="2" spans="1:44" s="30" customFormat="1">
      <c r="A2" s="767" t="s">
        <v>474</v>
      </c>
      <c r="B2" s="767"/>
      <c r="C2" s="767"/>
      <c r="D2" s="767"/>
      <c r="E2" s="767"/>
      <c r="F2" s="767"/>
      <c r="G2" s="767"/>
      <c r="H2" s="767"/>
      <c r="I2" s="767"/>
      <c r="J2" s="767"/>
      <c r="K2" s="767"/>
      <c r="L2" s="767"/>
      <c r="M2" s="767"/>
      <c r="N2" s="767"/>
      <c r="O2" s="767"/>
      <c r="P2" s="767"/>
      <c r="Q2" s="767"/>
      <c r="R2" s="767"/>
      <c r="S2" s="767"/>
      <c r="T2" s="767"/>
      <c r="U2" s="767"/>
      <c r="V2" s="767"/>
      <c r="W2" s="767"/>
      <c r="X2" s="767"/>
      <c r="Y2" s="767"/>
      <c r="Z2" s="767"/>
      <c r="AA2" s="767"/>
      <c r="AB2" s="23"/>
      <c r="AC2" s="23"/>
      <c r="AD2" s="23"/>
      <c r="AE2" s="23"/>
      <c r="AF2" s="23"/>
      <c r="AG2" s="23"/>
      <c r="AH2" s="23"/>
      <c r="AI2" s="23"/>
      <c r="AJ2" s="23"/>
      <c r="AK2" s="23"/>
      <c r="AL2" s="23"/>
      <c r="AM2" s="23"/>
      <c r="AN2" s="23"/>
      <c r="AO2" s="23"/>
      <c r="AP2" s="23"/>
      <c r="AQ2" s="23"/>
      <c r="AR2" s="23"/>
    </row>
    <row r="3" spans="1:44" s="30" customFormat="1" ht="14.25">
      <c r="A3" s="31" t="s">
        <v>0</v>
      </c>
      <c r="B3" s="32"/>
      <c r="C3" s="32"/>
      <c r="D3" s="32"/>
      <c r="E3" s="32"/>
      <c r="F3" s="32"/>
      <c r="G3" s="32"/>
      <c r="H3" s="32"/>
      <c r="I3" s="32"/>
      <c r="J3" s="32"/>
      <c r="K3" s="32"/>
      <c r="L3" s="32"/>
      <c r="M3" s="32"/>
      <c r="N3" s="32"/>
      <c r="O3" s="32"/>
      <c r="P3" s="32"/>
      <c r="Q3" s="32"/>
      <c r="R3" s="32"/>
      <c r="S3" s="32"/>
      <c r="T3" s="32"/>
      <c r="U3" s="32"/>
      <c r="V3" s="32"/>
      <c r="W3" s="32"/>
      <c r="X3" s="32"/>
      <c r="Y3" s="32"/>
      <c r="Z3" s="32"/>
      <c r="AA3" s="32"/>
      <c r="AB3" s="23"/>
      <c r="AC3" s="23"/>
      <c r="AD3" s="23"/>
      <c r="AE3" s="23"/>
      <c r="AF3" s="23"/>
      <c r="AG3" s="23"/>
      <c r="AH3" s="23"/>
      <c r="AI3" s="23"/>
      <c r="AJ3" s="23"/>
      <c r="AK3" s="23"/>
      <c r="AL3" s="23"/>
      <c r="AM3" s="23"/>
      <c r="AN3" s="23"/>
      <c r="AO3" s="23"/>
      <c r="AP3" s="23"/>
      <c r="AQ3" s="23"/>
      <c r="AR3" s="23"/>
    </row>
    <row r="4" spans="1:44" s="30" customFormat="1" ht="12">
      <c r="A4" s="33" t="s">
        <v>1</v>
      </c>
      <c r="B4" s="34"/>
      <c r="C4" s="34"/>
      <c r="D4" s="34"/>
      <c r="E4" s="34"/>
      <c r="F4" s="34"/>
      <c r="G4" s="34"/>
      <c r="H4" s="34"/>
      <c r="I4" s="34"/>
      <c r="J4" s="34"/>
      <c r="K4" s="34"/>
      <c r="L4" s="34"/>
      <c r="M4" s="34"/>
      <c r="N4" s="34"/>
      <c r="O4" s="34"/>
      <c r="P4" s="34"/>
      <c r="Q4" s="34"/>
      <c r="R4" s="34"/>
      <c r="S4" s="34"/>
      <c r="T4" s="34"/>
      <c r="U4" s="34"/>
      <c r="V4" s="34"/>
      <c r="W4" s="34"/>
      <c r="X4" s="34"/>
      <c r="Y4" s="34"/>
      <c r="Z4" s="34"/>
      <c r="AA4" s="34"/>
      <c r="AB4" s="23"/>
      <c r="AC4" s="23"/>
      <c r="AD4" s="23"/>
      <c r="AE4" s="23"/>
      <c r="AF4" s="23"/>
      <c r="AG4" s="23"/>
      <c r="AH4" s="23"/>
      <c r="AI4" s="23"/>
      <c r="AJ4" s="23"/>
      <c r="AK4" s="23"/>
      <c r="AL4" s="23"/>
      <c r="AM4" s="23"/>
      <c r="AN4" s="23"/>
      <c r="AO4" s="23"/>
      <c r="AP4" s="23"/>
      <c r="AQ4" s="23"/>
      <c r="AR4" s="23"/>
    </row>
    <row r="5" spans="1:44" s="30" customFormat="1" ht="17.25" customHeight="1">
      <c r="A5" s="763" t="s">
        <v>24</v>
      </c>
      <c r="B5" s="35"/>
      <c r="C5" s="772" t="s">
        <v>25</v>
      </c>
      <c r="D5" s="772"/>
      <c r="E5" s="772"/>
      <c r="F5" s="772"/>
      <c r="G5" s="772"/>
      <c r="H5" s="772"/>
      <c r="I5" s="772"/>
      <c r="J5" s="772"/>
      <c r="K5" s="772"/>
      <c r="L5" s="772"/>
      <c r="M5" s="774"/>
      <c r="N5" s="771" t="s">
        <v>3</v>
      </c>
      <c r="O5" s="772"/>
      <c r="P5" s="772"/>
      <c r="Q5" s="772"/>
      <c r="R5" s="772"/>
      <c r="S5" s="774"/>
      <c r="T5" s="771" t="s">
        <v>26</v>
      </c>
      <c r="U5" s="772"/>
      <c r="V5" s="772"/>
      <c r="W5" s="772"/>
      <c r="X5" s="772"/>
      <c r="Y5" s="686"/>
      <c r="Z5" s="36"/>
      <c r="AA5" s="768" t="s">
        <v>27</v>
      </c>
      <c r="AB5" s="23"/>
      <c r="AC5" s="23"/>
      <c r="AD5" s="23"/>
      <c r="AE5" s="23"/>
      <c r="AF5" s="23"/>
      <c r="AG5" s="23"/>
      <c r="AH5" s="23"/>
      <c r="AI5" s="23"/>
      <c r="AJ5" s="23"/>
      <c r="AK5" s="23"/>
      <c r="AL5" s="23"/>
      <c r="AM5" s="23"/>
      <c r="AN5" s="23"/>
      <c r="AO5" s="23"/>
      <c r="AP5" s="23"/>
      <c r="AQ5" s="23"/>
      <c r="AR5" s="23"/>
    </row>
    <row r="6" spans="1:44" s="39" customFormat="1" ht="16.5" customHeight="1">
      <c r="A6" s="764"/>
      <c r="B6" s="37"/>
      <c r="C6" s="775" t="s">
        <v>28</v>
      </c>
      <c r="D6" s="775"/>
      <c r="E6" s="775"/>
      <c r="F6" s="775"/>
      <c r="G6" s="775"/>
      <c r="H6" s="775"/>
      <c r="I6" s="775"/>
      <c r="J6" s="775"/>
      <c r="K6" s="775"/>
      <c r="L6" s="775"/>
      <c r="M6" s="776"/>
      <c r="N6" s="773" t="s">
        <v>6</v>
      </c>
      <c r="O6" s="756"/>
      <c r="P6" s="756"/>
      <c r="Q6" s="756"/>
      <c r="R6" s="756"/>
      <c r="S6" s="777"/>
      <c r="T6" s="773" t="s">
        <v>29</v>
      </c>
      <c r="U6" s="756"/>
      <c r="V6" s="756"/>
      <c r="W6" s="756"/>
      <c r="X6" s="756"/>
      <c r="Y6" s="687"/>
      <c r="Z6" s="38"/>
      <c r="AA6" s="769"/>
      <c r="AD6" s="40"/>
      <c r="AE6" s="40"/>
      <c r="AF6" s="40"/>
      <c r="AG6" s="40"/>
      <c r="AH6" s="40"/>
      <c r="AI6" s="40"/>
      <c r="AJ6" s="40"/>
      <c r="AK6" s="40"/>
      <c r="AL6" s="40"/>
      <c r="AM6" s="40"/>
      <c r="AN6" s="40"/>
      <c r="AO6" s="40"/>
      <c r="AP6" s="40"/>
      <c r="AQ6" s="40"/>
      <c r="AR6" s="40"/>
    </row>
    <row r="7" spans="1:44" s="49" customFormat="1">
      <c r="A7" s="765"/>
      <c r="B7" s="41">
        <v>2009</v>
      </c>
      <c r="C7" s="41">
        <v>2010</v>
      </c>
      <c r="D7" s="42">
        <v>2011</v>
      </c>
      <c r="E7" s="43">
        <v>2012</v>
      </c>
      <c r="F7" s="43">
        <v>2013</v>
      </c>
      <c r="G7" s="43">
        <v>2014</v>
      </c>
      <c r="H7" s="43">
        <v>2015</v>
      </c>
      <c r="I7" s="43">
        <v>2016</v>
      </c>
      <c r="J7" s="43">
        <v>2017</v>
      </c>
      <c r="K7" s="43">
        <v>2018</v>
      </c>
      <c r="L7" s="43">
        <v>2019</v>
      </c>
      <c r="M7" s="594">
        <v>2020</v>
      </c>
      <c r="N7" s="45">
        <v>2015</v>
      </c>
      <c r="O7" s="45">
        <v>2016</v>
      </c>
      <c r="P7" s="45">
        <v>2017</v>
      </c>
      <c r="Q7" s="45">
        <v>2018</v>
      </c>
      <c r="R7" s="45">
        <v>2019</v>
      </c>
      <c r="S7" s="45">
        <v>2020</v>
      </c>
      <c r="T7" s="44">
        <v>2015</v>
      </c>
      <c r="U7" s="45">
        <v>2016</v>
      </c>
      <c r="V7" s="45">
        <v>2017</v>
      </c>
      <c r="W7" s="45">
        <v>2018</v>
      </c>
      <c r="X7" s="45">
        <v>2019</v>
      </c>
      <c r="Y7" s="45">
        <v>2020</v>
      </c>
      <c r="Z7" s="46"/>
      <c r="AA7" s="770"/>
      <c r="AB7" s="47"/>
      <c r="AC7" s="48"/>
      <c r="AD7" s="47"/>
      <c r="AE7" s="47"/>
      <c r="AF7" s="47"/>
      <c r="AG7" s="47"/>
      <c r="AH7" s="47"/>
      <c r="AI7" s="47"/>
      <c r="AJ7" s="47"/>
      <c r="AK7" s="47"/>
      <c r="AL7" s="47"/>
      <c r="AM7" s="47"/>
      <c r="AN7" s="47"/>
      <c r="AO7" s="47"/>
      <c r="AP7" s="47"/>
      <c r="AQ7" s="47"/>
      <c r="AR7" s="47"/>
    </row>
    <row r="8" spans="1:44" s="30" customFormat="1" ht="15">
      <c r="A8" s="15" t="s">
        <v>30</v>
      </c>
      <c r="B8" s="50">
        <f t="shared" ref="B8:M8" si="0">B9+B10+B11</f>
        <v>116.73586114053799</v>
      </c>
      <c r="C8" s="51">
        <f t="shared" si="0"/>
        <v>122.17513745221166</v>
      </c>
      <c r="D8" s="51">
        <f t="shared" si="0"/>
        <v>120.8360317728901</v>
      </c>
      <c r="E8" s="51">
        <f t="shared" si="0"/>
        <v>120.00092939572015</v>
      </c>
      <c r="F8" s="51">
        <f t="shared" si="0"/>
        <v>129.84314697257253</v>
      </c>
      <c r="G8" s="51">
        <f t="shared" si="0"/>
        <v>128.68322700000019</v>
      </c>
      <c r="H8" s="51">
        <f t="shared" si="0"/>
        <v>127.35181848143279</v>
      </c>
      <c r="I8" s="51">
        <f t="shared" si="0"/>
        <v>129.19099510655224</v>
      </c>
      <c r="J8" s="51">
        <f t="shared" si="0"/>
        <v>143.15996433162485</v>
      </c>
      <c r="K8" s="51">
        <f t="shared" si="0"/>
        <v>151.02432375223395</v>
      </c>
      <c r="L8" s="51">
        <f t="shared" si="0"/>
        <v>135.06892557018762</v>
      </c>
      <c r="M8" s="52">
        <f t="shared" si="0"/>
        <v>148.58296918261513</v>
      </c>
      <c r="N8" s="51">
        <f>(H8/$H$8)*100</f>
        <v>100</v>
      </c>
      <c r="O8" s="51">
        <f t="shared" ref="O8:O31" si="1">(I8/$I$8)*100</f>
        <v>100</v>
      </c>
      <c r="P8" s="51">
        <f>(J8/$J$8)*100</f>
        <v>100</v>
      </c>
      <c r="Q8" s="51">
        <f t="shared" ref="Q8:R23" si="2">(K8/$K$8)*100</f>
        <v>100</v>
      </c>
      <c r="R8" s="51">
        <f t="shared" si="2"/>
        <v>89.435212960647121</v>
      </c>
      <c r="S8" s="51">
        <f>(M8/$L$8)*100</f>
        <v>110.00529437498562</v>
      </c>
      <c r="T8" s="53">
        <f t="shared" ref="T8:Y31" si="3">((H8-G8)/G8)*100</f>
        <v>-1.0346402943154343</v>
      </c>
      <c r="U8" s="54">
        <f t="shared" si="3"/>
        <v>1.4441698964727321</v>
      </c>
      <c r="V8" s="54">
        <f t="shared" si="3"/>
        <v>10.81264929769408</v>
      </c>
      <c r="W8" s="54">
        <f t="shared" si="3"/>
        <v>5.4934069432928911</v>
      </c>
      <c r="X8" s="54">
        <f t="shared" si="3"/>
        <v>-10.564787039352874</v>
      </c>
      <c r="Y8" s="54">
        <f t="shared" si="3"/>
        <v>10.005294374985633</v>
      </c>
      <c r="Z8" s="55"/>
      <c r="AA8" s="56" t="s">
        <v>31</v>
      </c>
      <c r="AB8" s="23"/>
      <c r="AC8" s="23"/>
      <c r="AD8" s="23"/>
      <c r="AE8" s="23"/>
      <c r="AF8" s="23"/>
      <c r="AG8" s="23"/>
      <c r="AH8" s="23"/>
      <c r="AI8" s="23"/>
      <c r="AJ8" s="23"/>
      <c r="AK8" s="23"/>
      <c r="AL8" s="23"/>
      <c r="AM8" s="23"/>
      <c r="AN8" s="23"/>
      <c r="AO8" s="23"/>
      <c r="AP8" s="23"/>
      <c r="AQ8" s="23"/>
      <c r="AR8" s="23"/>
    </row>
    <row r="9" spans="1:44" s="30" customFormat="1" ht="15">
      <c r="A9" s="15" t="s">
        <v>32</v>
      </c>
      <c r="B9" s="51">
        <v>14.241852868900001</v>
      </c>
      <c r="C9" s="51">
        <v>20.514003254182864</v>
      </c>
      <c r="D9" s="51">
        <v>21.900434233018</v>
      </c>
      <c r="E9" s="51">
        <v>20.231716260367946</v>
      </c>
      <c r="F9" s="51">
        <v>27.369233978176553</v>
      </c>
      <c r="G9" s="51">
        <v>17.203263173371155</v>
      </c>
      <c r="H9" s="51">
        <v>14.788513434148374</v>
      </c>
      <c r="I9" s="51">
        <v>19.525542058911476</v>
      </c>
      <c r="J9" s="51">
        <v>25.501210143903222</v>
      </c>
      <c r="K9" s="51">
        <v>28.304114418123373</v>
      </c>
      <c r="L9" s="51">
        <v>23.90253601145335</v>
      </c>
      <c r="M9" s="52">
        <v>24.817541091693119</v>
      </c>
      <c r="N9" s="51">
        <f t="shared" ref="N9:N31" si="4">(H9/$H$8)*100</f>
        <v>11.612330008702985</v>
      </c>
      <c r="O9" s="51">
        <f t="shared" si="1"/>
        <v>15.113702036900861</v>
      </c>
      <c r="P9" s="51">
        <f>(J9/$J$8)*100</f>
        <v>17.813087802139009</v>
      </c>
      <c r="Q9" s="51">
        <f t="shared" si="2"/>
        <v>18.741427681913191</v>
      </c>
      <c r="R9" s="51">
        <f t="shared" si="2"/>
        <v>15.826944572628673</v>
      </c>
      <c r="S9" s="51">
        <f t="shared" ref="S9:S31" si="5">(M9/$L$8)*100</f>
        <v>18.37398275504669</v>
      </c>
      <c r="T9" s="53">
        <f t="shared" si="3"/>
        <v>-14.036579658681037</v>
      </c>
      <c r="U9" s="54">
        <f t="shared" si="3"/>
        <v>32.031810674254515</v>
      </c>
      <c r="V9" s="54">
        <f t="shared" si="3"/>
        <v>30.604364616164116</v>
      </c>
      <c r="W9" s="54">
        <f t="shared" si="3"/>
        <v>10.991259859447348</v>
      </c>
      <c r="X9" s="54">
        <f t="shared" si="3"/>
        <v>-15.551019691510481</v>
      </c>
      <c r="Y9" s="54">
        <f t="shared" si="3"/>
        <v>3.8280669457053738</v>
      </c>
      <c r="Z9" s="55"/>
      <c r="AA9" s="56" t="s">
        <v>33</v>
      </c>
      <c r="AB9" s="57"/>
      <c r="AC9" s="57"/>
      <c r="AD9" s="23"/>
      <c r="AE9" s="23"/>
      <c r="AF9" s="23"/>
      <c r="AG9" s="23"/>
      <c r="AH9" s="23"/>
      <c r="AI9" s="23"/>
      <c r="AJ9" s="23"/>
      <c r="AK9" s="23"/>
      <c r="AL9" s="23"/>
      <c r="AM9" s="23"/>
      <c r="AN9" s="23"/>
      <c r="AO9" s="23"/>
      <c r="AP9" s="23"/>
      <c r="AQ9" s="23"/>
      <c r="AR9" s="23"/>
    </row>
    <row r="10" spans="1:44" s="30" customFormat="1" ht="15">
      <c r="A10" s="15" t="s">
        <v>34</v>
      </c>
      <c r="B10" s="58">
        <f>SUM(B12:B31)</f>
        <v>101.156123271136</v>
      </c>
      <c r="C10" s="54">
        <f>SUM(C12:C31)</f>
        <v>101.66113419802879</v>
      </c>
      <c r="D10" s="54">
        <f>SUM(D12:D31)</f>
        <v>98.935597539872091</v>
      </c>
      <c r="E10" s="54">
        <f>SUM(E12:E31)</f>
        <v>99.634469264293202</v>
      </c>
      <c r="F10" s="54">
        <f t="shared" ref="F10:M10" si="6">SUM(F12:F31)</f>
        <v>100.87349034439596</v>
      </c>
      <c r="G10" s="54">
        <f t="shared" si="6"/>
        <v>109.35672582662903</v>
      </c>
      <c r="H10" s="54">
        <f t="shared" si="6"/>
        <v>112.07942735728442</v>
      </c>
      <c r="I10" s="54">
        <f t="shared" si="6"/>
        <v>107.82345804764077</v>
      </c>
      <c r="J10" s="54">
        <f t="shared" si="6"/>
        <v>115.12306910772161</v>
      </c>
      <c r="K10" s="54">
        <f t="shared" si="6"/>
        <v>121.37470435411061</v>
      </c>
      <c r="L10" s="54">
        <f t="shared" si="6"/>
        <v>110.46671250873428</v>
      </c>
      <c r="M10" s="595">
        <f t="shared" si="6"/>
        <v>123.76542809092201</v>
      </c>
      <c r="N10" s="51">
        <f t="shared" si="4"/>
        <v>88.007716492579959</v>
      </c>
      <c r="O10" s="51">
        <f t="shared" si="1"/>
        <v>83.460505864756087</v>
      </c>
      <c r="P10" s="51">
        <f>(J10/$J$8)*100</f>
        <v>80.415687196626578</v>
      </c>
      <c r="Q10" s="51">
        <f t="shared" si="2"/>
        <v>80.367652930685765</v>
      </c>
      <c r="R10" s="51">
        <f t="shared" si="2"/>
        <v>73.14498073168842</v>
      </c>
      <c r="S10" s="51">
        <f t="shared" si="5"/>
        <v>91.631311619938955</v>
      </c>
      <c r="T10" s="53">
        <f t="shared" si="3"/>
        <v>2.4897430954286954</v>
      </c>
      <c r="U10" s="54">
        <f t="shared" si="3"/>
        <v>-3.7972796703150147</v>
      </c>
      <c r="V10" s="54">
        <f t="shared" si="3"/>
        <v>6.7699656385121418</v>
      </c>
      <c r="W10" s="54">
        <f t="shared" si="3"/>
        <v>5.4303931391364264</v>
      </c>
      <c r="X10" s="54">
        <f t="shared" si="3"/>
        <v>-8.9870388590626522</v>
      </c>
      <c r="Y10" s="54">
        <f t="shared" si="3"/>
        <v>12.038663304238595</v>
      </c>
      <c r="Z10" s="55"/>
      <c r="AA10" s="56" t="s">
        <v>35</v>
      </c>
      <c r="AB10" s="57"/>
      <c r="AC10" s="57"/>
      <c r="AD10" s="23"/>
      <c r="AE10" s="23"/>
      <c r="AG10" s="23"/>
      <c r="AH10" s="23"/>
      <c r="AI10" s="23"/>
      <c r="AJ10" s="23"/>
      <c r="AK10" s="23"/>
      <c r="AL10" s="23"/>
      <c r="AM10" s="23"/>
      <c r="AN10" s="23"/>
      <c r="AO10" s="23"/>
      <c r="AP10" s="23"/>
      <c r="AQ10" s="23"/>
      <c r="AR10" s="23"/>
    </row>
    <row r="11" spans="1:44" s="30" customFormat="1" ht="15">
      <c r="A11" s="15" t="s">
        <v>36</v>
      </c>
      <c r="B11" s="51">
        <v>1.337885000502</v>
      </c>
      <c r="C11" s="51">
        <v>0</v>
      </c>
      <c r="D11" s="51">
        <v>0</v>
      </c>
      <c r="E11" s="51">
        <v>0.13474387105900715</v>
      </c>
      <c r="F11" s="51">
        <v>1.6004226500000003</v>
      </c>
      <c r="G11" s="51">
        <v>2.1232380000000006</v>
      </c>
      <c r="H11" s="51">
        <v>0.48387768999999992</v>
      </c>
      <c r="I11" s="51">
        <v>1.841995</v>
      </c>
      <c r="J11" s="51">
        <v>2.5356850800000004</v>
      </c>
      <c r="K11" s="51">
        <v>1.3455049800000001</v>
      </c>
      <c r="L11" s="51">
        <v>0.69967704999999991</v>
      </c>
      <c r="M11" s="52"/>
      <c r="N11" s="51">
        <f t="shared" si="4"/>
        <v>0.37995349871705736</v>
      </c>
      <c r="O11" s="51">
        <f t="shared" si="1"/>
        <v>1.425792098343067</v>
      </c>
      <c r="P11" s="51">
        <f>(J11/$J$8)*100</f>
        <v>1.771225001234408</v>
      </c>
      <c r="Q11" s="51">
        <f t="shared" si="2"/>
        <v>0.89091938740106258</v>
      </c>
      <c r="R11" s="51">
        <f t="shared" si="2"/>
        <v>0.46328765633002894</v>
      </c>
      <c r="S11" s="51">
        <f t="shared" si="5"/>
        <v>0</v>
      </c>
      <c r="T11" s="53">
        <f t="shared" si="3"/>
        <v>-77.210388566896427</v>
      </c>
      <c r="U11" s="54">
        <f t="shared" si="3"/>
        <v>280.67367809414822</v>
      </c>
      <c r="V11" s="54">
        <f t="shared" si="3"/>
        <v>37.659715688696238</v>
      </c>
      <c r="W11" s="54">
        <f t="shared" si="3"/>
        <v>-46.937220611007426</v>
      </c>
      <c r="X11" s="54">
        <f t="shared" si="3"/>
        <v>-47.998925280826541</v>
      </c>
      <c r="Y11" s="54">
        <f t="shared" si="3"/>
        <v>-100</v>
      </c>
      <c r="Z11" s="55"/>
      <c r="AA11" s="596" t="s">
        <v>391</v>
      </c>
      <c r="AB11" s="57"/>
      <c r="AC11" s="57"/>
      <c r="AD11" s="23"/>
      <c r="AE11" s="23"/>
      <c r="AF11" s="59"/>
      <c r="AG11" s="23"/>
      <c r="AH11" s="23"/>
      <c r="AI11" s="23"/>
      <c r="AJ11" s="23"/>
      <c r="AK11" s="23"/>
      <c r="AL11" s="23"/>
      <c r="AM11" s="23"/>
      <c r="AN11" s="23"/>
      <c r="AO11" s="23"/>
      <c r="AP11" s="23"/>
      <c r="AQ11" s="23"/>
      <c r="AR11" s="23"/>
    </row>
    <row r="12" spans="1:44" s="30" customFormat="1" ht="15">
      <c r="A12" s="60" t="s">
        <v>37</v>
      </c>
      <c r="B12" s="61">
        <v>7.34610807412</v>
      </c>
      <c r="C12" s="61">
        <v>7.4792963201567524</v>
      </c>
      <c r="D12" s="61">
        <v>2.3323511113507149</v>
      </c>
      <c r="E12" s="61">
        <v>3.1428086732716922</v>
      </c>
      <c r="F12" s="61">
        <v>5.7152006351276752</v>
      </c>
      <c r="G12" s="61">
        <v>3.612260380041731</v>
      </c>
      <c r="H12" s="61">
        <v>3.4878232343030295</v>
      </c>
      <c r="I12" s="61">
        <v>5.4555677523293342</v>
      </c>
      <c r="J12" s="61">
        <v>3.5486896117828475</v>
      </c>
      <c r="K12" s="61">
        <v>4.8522798486124339</v>
      </c>
      <c r="L12" s="61">
        <v>4.8206493377963984</v>
      </c>
      <c r="M12" s="710">
        <v>7.8372333079125518</v>
      </c>
      <c r="N12" s="61">
        <f t="shared" si="4"/>
        <v>2.7387306093407182</v>
      </c>
      <c r="O12" s="61">
        <f t="shared" si="1"/>
        <v>4.2228699824084268</v>
      </c>
      <c r="P12" s="61">
        <f t="shared" ref="P12:P31" si="7">(J12/$J$8)*100</f>
        <v>2.4788282313080474</v>
      </c>
      <c r="Q12" s="61">
        <f t="shared" si="2"/>
        <v>3.2129128130200675</v>
      </c>
      <c r="R12" s="61">
        <f t="shared" si="2"/>
        <v>3.1919688286140011</v>
      </c>
      <c r="S12" s="51">
        <f t="shared" si="5"/>
        <v>5.8023955360776069</v>
      </c>
      <c r="T12" s="62">
        <f t="shared" si="3"/>
        <v>-3.4448553716181411</v>
      </c>
      <c r="U12" s="63">
        <f t="shared" si="3"/>
        <v>56.417552892972758</v>
      </c>
      <c r="V12" s="63">
        <f t="shared" si="3"/>
        <v>-34.952881663550365</v>
      </c>
      <c r="W12" s="63">
        <f t="shared" si="3"/>
        <v>36.734411273987639</v>
      </c>
      <c r="X12" s="63">
        <f t="shared" si="3"/>
        <v>-0.65186905543134799</v>
      </c>
      <c r="Y12" s="63">
        <f t="shared" si="3"/>
        <v>62.576299555011516</v>
      </c>
      <c r="Z12" s="64"/>
      <c r="AA12" s="65" t="s">
        <v>38</v>
      </c>
      <c r="AB12" s="57"/>
      <c r="AC12" s="57"/>
      <c r="AD12" s="23"/>
      <c r="AE12" s="23"/>
      <c r="AF12" s="23"/>
      <c r="AG12" s="23"/>
      <c r="AH12" s="23"/>
      <c r="AI12" s="23"/>
      <c r="AJ12" s="23"/>
      <c r="AK12" s="23"/>
      <c r="AL12" s="23"/>
      <c r="AM12" s="23"/>
      <c r="AN12" s="23"/>
      <c r="AO12" s="23"/>
      <c r="AP12" s="23"/>
      <c r="AQ12" s="23"/>
      <c r="AR12" s="23"/>
    </row>
    <row r="13" spans="1:44" s="30" customFormat="1" ht="15">
      <c r="A13" s="60" t="s">
        <v>39</v>
      </c>
      <c r="B13" s="61">
        <v>4.9552801943000002</v>
      </c>
      <c r="C13" s="61">
        <v>2.8515262262424557</v>
      </c>
      <c r="D13" s="61">
        <v>9.2377298550063696</v>
      </c>
      <c r="E13" s="61">
        <v>9.0049823578936952</v>
      </c>
      <c r="F13" s="61">
        <v>4.9765748983919904</v>
      </c>
      <c r="G13" s="61">
        <v>2.9861145487854035</v>
      </c>
      <c r="H13" s="61">
        <v>2.1431918991752941</v>
      </c>
      <c r="I13" s="61">
        <v>3.4027214464188993</v>
      </c>
      <c r="J13" s="61">
        <v>2.6651350675685075</v>
      </c>
      <c r="K13" s="61">
        <v>2.5656526699013371</v>
      </c>
      <c r="L13" s="61">
        <v>2.0613592502634659</v>
      </c>
      <c r="M13" s="710">
        <v>1.7425440616363188</v>
      </c>
      <c r="N13" s="61">
        <f t="shared" si="4"/>
        <v>1.6828906918889108</v>
      </c>
      <c r="O13" s="61">
        <f t="shared" si="1"/>
        <v>2.6338689036433638</v>
      </c>
      <c r="P13" s="61">
        <f t="shared" si="7"/>
        <v>1.8616483176782712</v>
      </c>
      <c r="Q13" s="61">
        <f t="shared" si="2"/>
        <v>1.6988340726560518</v>
      </c>
      <c r="R13" s="61">
        <f t="shared" si="2"/>
        <v>1.364918709151296</v>
      </c>
      <c r="S13" s="51">
        <f t="shared" si="5"/>
        <v>1.2901146983143936</v>
      </c>
      <c r="T13" s="62">
        <f t="shared" si="3"/>
        <v>-28.228074839023392</v>
      </c>
      <c r="U13" s="63">
        <f t="shared" si="3"/>
        <v>58.768864688611202</v>
      </c>
      <c r="V13" s="63">
        <f t="shared" si="3"/>
        <v>-21.676366710141508</v>
      </c>
      <c r="W13" s="63">
        <f t="shared" si="3"/>
        <v>-3.7327338069185179</v>
      </c>
      <c r="X13" s="63">
        <f t="shared" si="3"/>
        <v>-19.655560768374151</v>
      </c>
      <c r="Y13" s="63">
        <f t="shared" si="3"/>
        <v>-15.466260361283398</v>
      </c>
      <c r="Z13" s="64"/>
      <c r="AA13" s="65" t="s">
        <v>40</v>
      </c>
      <c r="AB13" s="57"/>
      <c r="AC13" s="57"/>
      <c r="AD13" s="23"/>
      <c r="AE13" s="23"/>
      <c r="AF13" s="23"/>
      <c r="AG13" s="23"/>
      <c r="AH13" s="23"/>
      <c r="AI13" s="23"/>
      <c r="AJ13" s="23"/>
      <c r="AK13" s="23"/>
      <c r="AL13" s="23"/>
      <c r="AM13" s="23"/>
      <c r="AN13" s="23"/>
      <c r="AO13" s="23"/>
      <c r="AP13" s="23"/>
      <c r="AQ13" s="23"/>
      <c r="AR13" s="23"/>
    </row>
    <row r="14" spans="1:44" s="30" customFormat="1" ht="15">
      <c r="A14" s="60" t="s">
        <v>41</v>
      </c>
      <c r="B14" s="61">
        <v>7.5944530101999996</v>
      </c>
      <c r="C14" s="61">
        <v>7.0366402730363058</v>
      </c>
      <c r="D14" s="61">
        <v>2.741984462502483</v>
      </c>
      <c r="E14" s="61">
        <v>2.7512880022950874</v>
      </c>
      <c r="F14" s="61">
        <v>2.1201342336535731</v>
      </c>
      <c r="G14" s="61">
        <v>2.1018988912779415</v>
      </c>
      <c r="H14" s="61">
        <v>2.543805271979108</v>
      </c>
      <c r="I14" s="61">
        <v>3.1284374683669443</v>
      </c>
      <c r="J14" s="61">
        <v>3.2212989848185964</v>
      </c>
      <c r="K14" s="61">
        <v>2.7634444005300427</v>
      </c>
      <c r="L14" s="61">
        <v>3.1946032976825478</v>
      </c>
      <c r="M14" s="710">
        <v>3.916127698023721</v>
      </c>
      <c r="N14" s="61">
        <f t="shared" si="4"/>
        <v>1.9974628570772872</v>
      </c>
      <c r="O14" s="61">
        <f t="shared" si="1"/>
        <v>2.4215600056232387</v>
      </c>
      <c r="P14" s="61">
        <f t="shared" si="7"/>
        <v>2.2501395553274759</v>
      </c>
      <c r="Q14" s="61">
        <f t="shared" si="2"/>
        <v>1.8298008770187697</v>
      </c>
      <c r="R14" s="61">
        <f t="shared" si="2"/>
        <v>2.1152905825445179</v>
      </c>
      <c r="S14" s="51">
        <f t="shared" si="5"/>
        <v>2.8993550378015946</v>
      </c>
      <c r="T14" s="62">
        <f t="shared" si="3"/>
        <v>21.024150235527749</v>
      </c>
      <c r="U14" s="63">
        <f t="shared" si="3"/>
        <v>22.98258450942615</v>
      </c>
      <c r="V14" s="63">
        <f t="shared" si="3"/>
        <v>2.9683034227347442</v>
      </c>
      <c r="W14" s="63">
        <f t="shared" si="3"/>
        <v>-14.213352639613403</v>
      </c>
      <c r="X14" s="63">
        <f t="shared" si="3"/>
        <v>15.602228040839419</v>
      </c>
      <c r="Y14" s="63">
        <f t="shared" si="3"/>
        <v>22.585727650897581</v>
      </c>
      <c r="Z14" s="64"/>
      <c r="AA14" s="65" t="s">
        <v>42</v>
      </c>
      <c r="AB14" s="57"/>
      <c r="AC14" s="57"/>
      <c r="AD14" s="23"/>
      <c r="AE14" s="23"/>
      <c r="AF14" s="23"/>
      <c r="AG14" s="23"/>
      <c r="AH14" s="23"/>
      <c r="AI14" s="23"/>
      <c r="AJ14" s="23"/>
      <c r="AK14" s="23"/>
      <c r="AL14" s="23"/>
      <c r="AM14" s="23"/>
      <c r="AN14" s="23"/>
      <c r="AO14" s="23"/>
      <c r="AP14" s="23"/>
      <c r="AQ14" s="23"/>
      <c r="AR14" s="23"/>
    </row>
    <row r="15" spans="1:44" s="30" customFormat="1" ht="15">
      <c r="A15" s="60" t="s">
        <v>43</v>
      </c>
      <c r="B15" s="61">
        <v>1.0602176586599998</v>
      </c>
      <c r="C15" s="61">
        <v>1.4576867688191688</v>
      </c>
      <c r="D15" s="61">
        <v>1.3417394656025601</v>
      </c>
      <c r="E15" s="61">
        <v>1.0400137274619674</v>
      </c>
      <c r="F15" s="61">
        <v>0.97883688999999985</v>
      </c>
      <c r="G15" s="61">
        <v>1.4568490041561279</v>
      </c>
      <c r="H15" s="61">
        <v>1.6440892896197707</v>
      </c>
      <c r="I15" s="61">
        <v>2.0282570049295896</v>
      </c>
      <c r="J15" s="61">
        <v>2.0373695496846889</v>
      </c>
      <c r="K15" s="61">
        <v>2.6820970062263165</v>
      </c>
      <c r="L15" s="61">
        <v>3.6999022280220193</v>
      </c>
      <c r="M15" s="710">
        <v>2.616621895499482</v>
      </c>
      <c r="N15" s="61">
        <f t="shared" si="4"/>
        <v>1.2909821855896546</v>
      </c>
      <c r="O15" s="61">
        <f t="shared" si="1"/>
        <v>1.5699677854921341</v>
      </c>
      <c r="P15" s="61">
        <f t="shared" si="7"/>
        <v>1.4231419791116993</v>
      </c>
      <c r="Q15" s="61">
        <f t="shared" si="2"/>
        <v>1.775937107075868</v>
      </c>
      <c r="R15" s="61">
        <f t="shared" si="2"/>
        <v>2.449871739927119</v>
      </c>
      <c r="S15" s="51">
        <f t="shared" si="5"/>
        <v>1.9372493595055458</v>
      </c>
      <c r="T15" s="62">
        <f t="shared" si="3"/>
        <v>12.852415379320711</v>
      </c>
      <c r="U15" s="63">
        <f t="shared" si="3"/>
        <v>23.366596798320209</v>
      </c>
      <c r="V15" s="63">
        <f t="shared" si="3"/>
        <v>0.44927958996081963</v>
      </c>
      <c r="W15" s="63">
        <f t="shared" si="3"/>
        <v>31.645091419051006</v>
      </c>
      <c r="X15" s="63">
        <f t="shared" si="3"/>
        <v>37.948113712253253</v>
      </c>
      <c r="Y15" s="63">
        <f t="shared" si="3"/>
        <v>-29.278620508349562</v>
      </c>
      <c r="Z15" s="64"/>
      <c r="AA15" s="65" t="s">
        <v>44</v>
      </c>
      <c r="AB15" s="57"/>
      <c r="AC15" s="57"/>
      <c r="AD15" s="23"/>
      <c r="AE15" s="23"/>
      <c r="AF15" s="23"/>
      <c r="AG15" s="23"/>
      <c r="AH15" s="23"/>
      <c r="AI15" s="23"/>
      <c r="AJ15" s="23"/>
      <c r="AK15" s="23"/>
      <c r="AL15" s="23"/>
      <c r="AM15" s="23"/>
      <c r="AN15" s="23"/>
      <c r="AO15" s="23"/>
      <c r="AP15" s="23"/>
      <c r="AQ15" s="23"/>
      <c r="AR15" s="23"/>
    </row>
    <row r="16" spans="1:44" s="30" customFormat="1" ht="15">
      <c r="A16" s="60" t="s">
        <v>45</v>
      </c>
      <c r="B16" s="61">
        <v>7.8325110090000001</v>
      </c>
      <c r="C16" s="61">
        <v>11.085912294046745</v>
      </c>
      <c r="D16" s="61">
        <v>2.5800405343084325</v>
      </c>
      <c r="E16" s="61">
        <v>5.9588929064596208</v>
      </c>
      <c r="F16" s="61">
        <v>7.3334399256405201</v>
      </c>
      <c r="G16" s="61">
        <v>5.412259509708238</v>
      </c>
      <c r="H16" s="61">
        <v>4.7879967742133633</v>
      </c>
      <c r="I16" s="61">
        <v>6.4831043342321335</v>
      </c>
      <c r="J16" s="61">
        <v>4.7365105807719861</v>
      </c>
      <c r="K16" s="61">
        <v>5.7753810964430077</v>
      </c>
      <c r="L16" s="61">
        <v>6.4741999351819688</v>
      </c>
      <c r="M16" s="710">
        <v>7.7595142166813016</v>
      </c>
      <c r="N16" s="61">
        <f t="shared" si="4"/>
        <v>3.7596610957788781</v>
      </c>
      <c r="O16" s="61">
        <f t="shared" si="1"/>
        <v>5.0182323689705264</v>
      </c>
      <c r="P16" s="61">
        <f t="shared" si="7"/>
        <v>3.3085441190806892</v>
      </c>
      <c r="Q16" s="61">
        <f t="shared" si="2"/>
        <v>3.8241396835637729</v>
      </c>
      <c r="R16" s="61">
        <f t="shared" si="2"/>
        <v>4.2868590796031967</v>
      </c>
      <c r="S16" s="51">
        <f t="shared" si="5"/>
        <v>5.7448552166420574</v>
      </c>
      <c r="T16" s="62">
        <f t="shared" si="3"/>
        <v>-11.534235089339372</v>
      </c>
      <c r="U16" s="63">
        <f t="shared" si="3"/>
        <v>35.403272808120576</v>
      </c>
      <c r="V16" s="63">
        <f t="shared" si="3"/>
        <v>-26.940700988533699</v>
      </c>
      <c r="W16" s="63">
        <f t="shared" si="3"/>
        <v>21.93324596145418</v>
      </c>
      <c r="X16" s="63">
        <f t="shared" si="3"/>
        <v>12.099960627175854</v>
      </c>
      <c r="Y16" s="63">
        <f t="shared" si="3"/>
        <v>19.852866676463041</v>
      </c>
      <c r="Z16" s="64"/>
      <c r="AA16" s="65" t="s">
        <v>46</v>
      </c>
      <c r="AB16" s="57"/>
      <c r="AC16" s="57"/>
      <c r="AD16" s="23"/>
      <c r="AE16" s="23"/>
      <c r="AF16" s="23"/>
      <c r="AG16" s="23"/>
      <c r="AH16" s="23"/>
      <c r="AI16" s="23"/>
      <c r="AJ16" s="23"/>
      <c r="AK16" s="23"/>
      <c r="AL16" s="23"/>
      <c r="AM16" s="23"/>
      <c r="AN16" s="23"/>
      <c r="AO16" s="23"/>
      <c r="AP16" s="23"/>
      <c r="AQ16" s="23"/>
      <c r="AR16" s="23"/>
    </row>
    <row r="17" spans="1:44" s="2" customFormat="1" ht="15">
      <c r="A17" s="60" t="s">
        <v>47</v>
      </c>
      <c r="B17" s="61">
        <v>2.3480398695</v>
      </c>
      <c r="C17" s="61">
        <v>1.6830638047342039</v>
      </c>
      <c r="D17" s="61">
        <v>1.4787385478497579</v>
      </c>
      <c r="E17" s="61">
        <v>3.4439310957034768</v>
      </c>
      <c r="F17" s="61">
        <v>2.3429787494957006</v>
      </c>
      <c r="G17" s="61">
        <v>3.2542377798601869</v>
      </c>
      <c r="H17" s="61">
        <v>3.8495688450349665</v>
      </c>
      <c r="I17" s="61">
        <v>1.8292509133074131</v>
      </c>
      <c r="J17" s="61">
        <v>1.6092743994481875</v>
      </c>
      <c r="K17" s="61">
        <v>1.8748629168399324</v>
      </c>
      <c r="L17" s="61">
        <v>1.6551629666460959</v>
      </c>
      <c r="M17" s="710">
        <v>2.2424289738665668</v>
      </c>
      <c r="N17" s="61">
        <f t="shared" si="4"/>
        <v>3.022782784681016</v>
      </c>
      <c r="O17" s="61">
        <f>(I17/$I$8)*100</f>
        <v>1.4159275666223567</v>
      </c>
      <c r="P17" s="61">
        <f t="shared" si="7"/>
        <v>1.1241092486725981</v>
      </c>
      <c r="Q17" s="61">
        <f t="shared" si="2"/>
        <v>1.2414310955073549</v>
      </c>
      <c r="R17" s="61">
        <f t="shared" si="2"/>
        <v>1.095957873224122</v>
      </c>
      <c r="S17" s="51">
        <f t="shared" si="5"/>
        <v>1.6602108622692082</v>
      </c>
      <c r="T17" s="62">
        <f t="shared" si="3"/>
        <v>18.294024759320354</v>
      </c>
      <c r="U17" s="63">
        <f t="shared" si="3"/>
        <v>-52.481667767373111</v>
      </c>
      <c r="V17" s="63">
        <f t="shared" si="3"/>
        <v>-12.025497008581109</v>
      </c>
      <c r="W17" s="63">
        <f t="shared" si="3"/>
        <v>16.503619114478795</v>
      </c>
      <c r="X17" s="63">
        <f t="shared" si="3"/>
        <v>-11.718187405623192</v>
      </c>
      <c r="Y17" s="63">
        <f t="shared" si="3"/>
        <v>35.4808571152643</v>
      </c>
      <c r="Z17" s="64"/>
      <c r="AA17" s="65" t="s">
        <v>48</v>
      </c>
      <c r="AB17" s="57"/>
      <c r="AC17" s="57"/>
      <c r="AD17" s="23"/>
      <c r="AE17" s="23"/>
      <c r="AF17" s="23"/>
      <c r="AG17" s="23"/>
      <c r="AH17" s="23"/>
      <c r="AI17" s="23"/>
      <c r="AJ17" s="23"/>
      <c r="AK17" s="23"/>
      <c r="AL17" s="23"/>
      <c r="AM17" s="23"/>
      <c r="AN17" s="23"/>
      <c r="AO17" s="23"/>
      <c r="AP17" s="23"/>
      <c r="AQ17" s="23"/>
      <c r="AR17" s="23"/>
    </row>
    <row r="18" spans="1:44" s="2" customFormat="1" ht="15">
      <c r="A18" s="60" t="s">
        <v>49</v>
      </c>
      <c r="B18" s="61">
        <v>4.2243457271000002</v>
      </c>
      <c r="C18" s="61">
        <v>1.7173440542476694</v>
      </c>
      <c r="D18" s="61">
        <v>1.7060308995360549</v>
      </c>
      <c r="E18" s="61">
        <v>4.4746328859186049</v>
      </c>
      <c r="F18" s="61">
        <v>3.1741366475837705</v>
      </c>
      <c r="G18" s="61">
        <v>6.5635837207718097</v>
      </c>
      <c r="H18" s="61">
        <v>4.9655628535871399</v>
      </c>
      <c r="I18" s="61">
        <v>5.9191232883164666</v>
      </c>
      <c r="J18" s="61">
        <v>3.28562210783848</v>
      </c>
      <c r="K18" s="61">
        <v>4.8539717464144525</v>
      </c>
      <c r="L18" s="61">
        <v>4.5546509441370615</v>
      </c>
      <c r="M18" s="710">
        <v>4.7149029731799859</v>
      </c>
      <c r="N18" s="61">
        <f t="shared" si="4"/>
        <v>3.8990906551609958</v>
      </c>
      <c r="O18" s="61">
        <f t="shared" si="1"/>
        <v>4.5816841053314743</v>
      </c>
      <c r="P18" s="61">
        <f t="shared" si="7"/>
        <v>2.2950704990589799</v>
      </c>
      <c r="Q18" s="61">
        <f t="shared" si="2"/>
        <v>3.2140330946806523</v>
      </c>
      <c r="R18" s="61">
        <f t="shared" si="2"/>
        <v>3.0158393237431658</v>
      </c>
      <c r="S18" s="51">
        <f t="shared" si="5"/>
        <v>3.4907384902013749</v>
      </c>
      <c r="T18" s="62">
        <f t="shared" si="3"/>
        <v>-24.346773579308579</v>
      </c>
      <c r="U18" s="63">
        <f t="shared" si="3"/>
        <v>19.203471244764756</v>
      </c>
      <c r="V18" s="63">
        <f t="shared" si="3"/>
        <v>-44.491406112053028</v>
      </c>
      <c r="W18" s="63">
        <f t="shared" si="3"/>
        <v>47.733719432748352</v>
      </c>
      <c r="X18" s="63">
        <f t="shared" si="3"/>
        <v>-6.1665130724853157</v>
      </c>
      <c r="Y18" s="63">
        <f t="shared" si="3"/>
        <v>3.5184261320663333</v>
      </c>
      <c r="Z18" s="64"/>
      <c r="AA18" s="65" t="s">
        <v>50</v>
      </c>
      <c r="AB18" s="57"/>
      <c r="AC18" s="57"/>
      <c r="AD18" s="23"/>
      <c r="AE18" s="23"/>
      <c r="AF18" s="23"/>
      <c r="AG18" s="23"/>
      <c r="AH18" s="23"/>
      <c r="AI18" s="23"/>
      <c r="AJ18" s="23"/>
      <c r="AK18" s="23"/>
      <c r="AL18" s="23"/>
      <c r="AM18" s="23"/>
      <c r="AN18" s="23"/>
      <c r="AO18" s="23"/>
      <c r="AP18" s="23"/>
      <c r="AQ18" s="23"/>
      <c r="AR18" s="23"/>
    </row>
    <row r="19" spans="1:44" s="2" customFormat="1" ht="15">
      <c r="A19" s="60" t="s">
        <v>51</v>
      </c>
      <c r="B19" s="61">
        <v>4.2046583994999995</v>
      </c>
      <c r="C19" s="61">
        <v>4.2501961797510015</v>
      </c>
      <c r="D19" s="61">
        <v>6.0657341060765466</v>
      </c>
      <c r="E19" s="61">
        <v>5.7701871802967002</v>
      </c>
      <c r="F19" s="61">
        <v>7.3967283598061551</v>
      </c>
      <c r="G19" s="61">
        <v>3.2771785756210088</v>
      </c>
      <c r="H19" s="61">
        <v>3.2643403035589014</v>
      </c>
      <c r="I19" s="61">
        <v>4.2727470002415435</v>
      </c>
      <c r="J19" s="61">
        <v>3.3523710822809956</v>
      </c>
      <c r="K19" s="61">
        <v>4.2366941379973797</v>
      </c>
      <c r="L19" s="61">
        <v>4.0403289710183294</v>
      </c>
      <c r="M19" s="710">
        <v>6.9489645043832642</v>
      </c>
      <c r="N19" s="61">
        <f t="shared" si="4"/>
        <v>2.56324592964868</v>
      </c>
      <c r="O19" s="61">
        <f t="shared" si="1"/>
        <v>3.3073102322011922</v>
      </c>
      <c r="P19" s="61">
        <f t="shared" si="7"/>
        <v>2.3416959468607788</v>
      </c>
      <c r="Q19" s="61">
        <f t="shared" si="2"/>
        <v>2.8053058161332838</v>
      </c>
      <c r="R19" s="61">
        <f t="shared" si="2"/>
        <v>2.6752836037503296</v>
      </c>
      <c r="S19" s="51">
        <f t="shared" si="5"/>
        <v>5.1447544096826947</v>
      </c>
      <c r="T19" s="62">
        <f t="shared" si="3"/>
        <v>-0.39174771120535068</v>
      </c>
      <c r="U19" s="63">
        <f t="shared" si="3"/>
        <v>30.891592263932804</v>
      </c>
      <c r="V19" s="63">
        <f t="shared" si="3"/>
        <v>-21.540613518856087</v>
      </c>
      <c r="W19" s="63">
        <f t="shared" si="3"/>
        <v>26.379032452298794</v>
      </c>
      <c r="X19" s="63">
        <f t="shared" si="3"/>
        <v>-4.6348676723656306</v>
      </c>
      <c r="Y19" s="63">
        <f t="shared" si="3"/>
        <v>71.990067002683674</v>
      </c>
      <c r="Z19" s="64"/>
      <c r="AA19" s="65" t="s">
        <v>52</v>
      </c>
      <c r="AB19" s="57"/>
      <c r="AC19" s="57"/>
      <c r="AD19" s="23"/>
      <c r="AE19" s="23"/>
      <c r="AF19" s="23"/>
      <c r="AG19" s="23"/>
      <c r="AH19" s="23"/>
      <c r="AI19" s="23"/>
      <c r="AJ19" s="23"/>
      <c r="AK19" s="23"/>
      <c r="AL19" s="23"/>
      <c r="AM19" s="23"/>
      <c r="AN19" s="23"/>
      <c r="AO19" s="23"/>
      <c r="AP19" s="23"/>
      <c r="AQ19" s="23"/>
      <c r="AR19" s="23"/>
    </row>
    <row r="20" spans="1:44" s="2" customFormat="1" ht="15">
      <c r="A20" s="60" t="s">
        <v>53</v>
      </c>
      <c r="B20" s="61">
        <v>7.7565121393999998</v>
      </c>
      <c r="C20" s="61">
        <v>5.7986605878494348</v>
      </c>
      <c r="D20" s="61">
        <v>6.0143811905367581</v>
      </c>
      <c r="E20" s="61">
        <v>5.8647873912791937</v>
      </c>
      <c r="F20" s="61">
        <v>3.9265395700280759</v>
      </c>
      <c r="G20" s="61">
        <v>2.6868825685070652</v>
      </c>
      <c r="H20" s="61">
        <v>2.9063640120344196</v>
      </c>
      <c r="I20" s="61">
        <v>2.7524573718329695</v>
      </c>
      <c r="J20" s="61">
        <v>2.3493707511765831</v>
      </c>
      <c r="K20" s="61">
        <v>2.5766094130832551</v>
      </c>
      <c r="L20" s="61">
        <v>2.8361701649421343</v>
      </c>
      <c r="M20" s="710">
        <v>3.2216682753374388</v>
      </c>
      <c r="N20" s="61">
        <f t="shared" si="4"/>
        <v>2.2821535229653214</v>
      </c>
      <c r="O20" s="61">
        <f t="shared" si="1"/>
        <v>2.1305334551861286</v>
      </c>
      <c r="P20" s="61">
        <f t="shared" si="7"/>
        <v>1.6410808441767639</v>
      </c>
      <c r="Q20" s="61">
        <f t="shared" si="2"/>
        <v>1.706089025308509</v>
      </c>
      <c r="R20" s="61">
        <f t="shared" si="2"/>
        <v>1.877955877885652</v>
      </c>
      <c r="S20" s="51">
        <f t="shared" si="5"/>
        <v>2.3852031558978544</v>
      </c>
      <c r="T20" s="62">
        <f t="shared" si="3"/>
        <v>8.1686280636115303</v>
      </c>
      <c r="U20" s="63">
        <f t="shared" si="3"/>
        <v>-5.2955046086507727</v>
      </c>
      <c r="V20" s="63">
        <f t="shared" si="3"/>
        <v>-14.644609023970284</v>
      </c>
      <c r="W20" s="63">
        <f t="shared" si="3"/>
        <v>9.672320207139256</v>
      </c>
      <c r="X20" s="63">
        <f t="shared" si="3"/>
        <v>10.073732966312511</v>
      </c>
      <c r="Y20" s="63">
        <f t="shared" si="3"/>
        <v>13.592206672238575</v>
      </c>
      <c r="Z20" s="64"/>
      <c r="AA20" s="65" t="s">
        <v>54</v>
      </c>
      <c r="AB20" s="57"/>
      <c r="AC20" s="57"/>
      <c r="AD20" s="23"/>
      <c r="AE20" s="23"/>
      <c r="AF20" s="23"/>
      <c r="AG20" s="23"/>
      <c r="AH20" s="23"/>
      <c r="AI20" s="23"/>
      <c r="AJ20" s="23"/>
      <c r="AK20" s="23"/>
      <c r="AL20" s="23"/>
      <c r="AM20" s="23"/>
      <c r="AN20" s="23"/>
      <c r="AO20" s="23"/>
      <c r="AP20" s="23"/>
      <c r="AQ20" s="23"/>
      <c r="AR20" s="23"/>
    </row>
    <row r="21" spans="1:44" s="2" customFormat="1" ht="15">
      <c r="A21" s="60" t="s">
        <v>55</v>
      </c>
      <c r="B21" s="61">
        <v>9.9887793546000001</v>
      </c>
      <c r="C21" s="61">
        <v>11.884629475991376</v>
      </c>
      <c r="D21" s="61">
        <v>13.181031367605668</v>
      </c>
      <c r="E21" s="61">
        <v>8.5367438048091007</v>
      </c>
      <c r="F21" s="61">
        <v>5.2962855117830294</v>
      </c>
      <c r="G21" s="61">
        <v>4.8564435251275615</v>
      </c>
      <c r="H21" s="61">
        <v>3.9660017230785827</v>
      </c>
      <c r="I21" s="61">
        <v>4.0751871960090158</v>
      </c>
      <c r="J21" s="61">
        <v>3.0697628263915906</v>
      </c>
      <c r="K21" s="61">
        <v>3.2696684813193393</v>
      </c>
      <c r="L21" s="61">
        <v>3.0080433639696103</v>
      </c>
      <c r="M21" s="710">
        <v>3.060880391124515</v>
      </c>
      <c r="N21" s="61">
        <f t="shared" si="4"/>
        <v>3.1142089452431372</v>
      </c>
      <c r="O21" s="61">
        <f t="shared" si="1"/>
        <v>3.154389508841497</v>
      </c>
      <c r="P21" s="61">
        <f t="shared" si="7"/>
        <v>2.1442886219785557</v>
      </c>
      <c r="Q21" s="61">
        <f t="shared" si="2"/>
        <v>2.1649946181407578</v>
      </c>
      <c r="R21" s="61">
        <f t="shared" si="2"/>
        <v>1.9917608562873075</v>
      </c>
      <c r="S21" s="51">
        <f t="shared" si="5"/>
        <v>2.2661617971736585</v>
      </c>
      <c r="T21" s="62">
        <f t="shared" si="3"/>
        <v>-18.335265250008032</v>
      </c>
      <c r="U21" s="63">
        <f t="shared" si="3"/>
        <v>2.7530364471369575</v>
      </c>
      <c r="V21" s="63">
        <f t="shared" si="3"/>
        <v>-24.671857297796652</v>
      </c>
      <c r="W21" s="63">
        <f t="shared" si="3"/>
        <v>6.512087944029588</v>
      </c>
      <c r="X21" s="63">
        <f t="shared" si="3"/>
        <v>-8.001579329662226</v>
      </c>
      <c r="Y21" s="63">
        <f t="shared" si="3"/>
        <v>1.7565247824478702</v>
      </c>
      <c r="Z21" s="64"/>
      <c r="AA21" s="65" t="s">
        <v>56</v>
      </c>
      <c r="AB21" s="57"/>
      <c r="AC21" s="57"/>
      <c r="AD21" s="23"/>
      <c r="AE21" s="23"/>
      <c r="AF21" s="23"/>
      <c r="AG21" s="23"/>
      <c r="AH21" s="23"/>
      <c r="AI21" s="23"/>
      <c r="AJ21" s="23"/>
      <c r="AK21" s="23"/>
      <c r="AL21" s="23"/>
      <c r="AM21" s="23"/>
      <c r="AN21" s="23"/>
      <c r="AO21" s="23"/>
      <c r="AP21" s="23"/>
      <c r="AQ21" s="23"/>
      <c r="AR21" s="23"/>
    </row>
    <row r="22" spans="1:44" s="2" customFormat="1" ht="15">
      <c r="A22" s="60" t="s">
        <v>57</v>
      </c>
      <c r="B22" s="61">
        <v>0.70046734777999997</v>
      </c>
      <c r="C22" s="61">
        <v>0.73156882546461344</v>
      </c>
      <c r="D22" s="61">
        <v>0.8466080721255872</v>
      </c>
      <c r="E22" s="61">
        <v>0.44778363665237386</v>
      </c>
      <c r="F22" s="61">
        <v>0.69458426939423545</v>
      </c>
      <c r="G22" s="61">
        <v>0.7782534712837853</v>
      </c>
      <c r="H22" s="61">
        <v>0.30394247344899167</v>
      </c>
      <c r="I22" s="61">
        <v>0.31269729273595998</v>
      </c>
      <c r="J22" s="61">
        <v>0.24041875105324056</v>
      </c>
      <c r="K22" s="61">
        <v>0.23480660959918051</v>
      </c>
      <c r="L22" s="61">
        <v>0.25677748611255835</v>
      </c>
      <c r="M22" s="710">
        <v>0.63955167891345943</v>
      </c>
      <c r="N22" s="61">
        <f t="shared" si="4"/>
        <v>0.23866363046343531</v>
      </c>
      <c r="O22" s="61">
        <f t="shared" si="1"/>
        <v>0.24204263809413196</v>
      </c>
      <c r="P22" s="61">
        <f t="shared" si="7"/>
        <v>0.16793714092881393</v>
      </c>
      <c r="Q22" s="61">
        <f t="shared" si="2"/>
        <v>0.15547602119006823</v>
      </c>
      <c r="R22" s="61">
        <f t="shared" si="2"/>
        <v>0.17002392709522732</v>
      </c>
      <c r="S22" s="51">
        <f t="shared" si="5"/>
        <v>0.47350023420532872</v>
      </c>
      <c r="T22" s="62">
        <f t="shared" si="3"/>
        <v>-60.945567907635976</v>
      </c>
      <c r="U22" s="63">
        <f t="shared" si="3"/>
        <v>2.8804198332739968</v>
      </c>
      <c r="V22" s="63">
        <f t="shared" si="3"/>
        <v>-23.114540279615099</v>
      </c>
      <c r="W22" s="63">
        <f t="shared" si="3"/>
        <v>-2.3343193613119007</v>
      </c>
      <c r="X22" s="63">
        <f t="shared" si="3"/>
        <v>9.3570093920620714</v>
      </c>
      <c r="Y22" s="63">
        <f t="shared" si="3"/>
        <v>149.06843999287076</v>
      </c>
      <c r="Z22" s="64"/>
      <c r="AA22" s="65" t="s">
        <v>58</v>
      </c>
      <c r="AB22" s="57"/>
      <c r="AC22" s="57"/>
      <c r="AD22" s="23"/>
      <c r="AE22" s="23"/>
      <c r="AF22" s="23"/>
      <c r="AG22" s="23"/>
      <c r="AH22" s="23"/>
      <c r="AI22" s="23"/>
      <c r="AJ22" s="23"/>
      <c r="AK22" s="23"/>
      <c r="AL22" s="23"/>
      <c r="AM22" s="23"/>
      <c r="AN22" s="23"/>
      <c r="AO22" s="23"/>
      <c r="AP22" s="23"/>
      <c r="AQ22" s="23"/>
      <c r="AR22" s="23"/>
    </row>
    <row r="23" spans="1:44" s="2" customFormat="1" ht="15">
      <c r="A23" s="60" t="s">
        <v>59</v>
      </c>
      <c r="B23" s="61">
        <v>4.9000881385799993</v>
      </c>
      <c r="C23" s="61">
        <v>4.96738592839072</v>
      </c>
      <c r="D23" s="61">
        <v>3.7799880291292838</v>
      </c>
      <c r="E23" s="61">
        <v>2.5567938881875243</v>
      </c>
      <c r="F23" s="61">
        <v>4.1488570930622419</v>
      </c>
      <c r="G23" s="61">
        <v>3.6170414694011317</v>
      </c>
      <c r="H23" s="61">
        <v>3.8464425361310637</v>
      </c>
      <c r="I23" s="61">
        <v>2.2948781910587521</v>
      </c>
      <c r="J23" s="61">
        <v>3.3034787321652641</v>
      </c>
      <c r="K23" s="61">
        <v>2.6945335002029829</v>
      </c>
      <c r="L23" s="61">
        <v>3.6609335097969522</v>
      </c>
      <c r="M23" s="710">
        <v>4.0860262316599076</v>
      </c>
      <c r="N23" s="61">
        <f t="shared" si="4"/>
        <v>3.0203279246396111</v>
      </c>
      <c r="O23" s="61">
        <f t="shared" si="1"/>
        <v>1.7763453166112826</v>
      </c>
      <c r="P23" s="61">
        <f t="shared" si="7"/>
        <v>2.3075436960244526</v>
      </c>
      <c r="Q23" s="61">
        <f t="shared" si="2"/>
        <v>1.7841718693099762</v>
      </c>
      <c r="R23" s="61">
        <f t="shared" si="2"/>
        <v>2.4240687982175451</v>
      </c>
      <c r="S23" s="51">
        <f t="shared" si="5"/>
        <v>3.0251415819078482</v>
      </c>
      <c r="T23" s="62">
        <f t="shared" si="3"/>
        <v>6.3422293791924256</v>
      </c>
      <c r="U23" s="63">
        <f t="shared" si="3"/>
        <v>-40.337645252668956</v>
      </c>
      <c r="V23" s="63">
        <f t="shared" si="3"/>
        <v>43.950068680603465</v>
      </c>
      <c r="W23" s="63">
        <f t="shared" si="3"/>
        <v>-18.433453983920405</v>
      </c>
      <c r="X23" s="63">
        <f t="shared" si="3"/>
        <v>35.865206705397021</v>
      </c>
      <c r="Y23" s="63">
        <f t="shared" si="3"/>
        <v>11.611593620189309</v>
      </c>
      <c r="Z23" s="64"/>
      <c r="AA23" s="65" t="s">
        <v>60</v>
      </c>
      <c r="AB23" s="57"/>
      <c r="AC23" s="57"/>
      <c r="AD23" s="23"/>
      <c r="AE23" s="23"/>
      <c r="AF23" s="23"/>
      <c r="AG23" s="23"/>
      <c r="AH23" s="23"/>
      <c r="AI23" s="23"/>
      <c r="AJ23" s="23"/>
      <c r="AK23" s="23"/>
      <c r="AL23" s="23"/>
      <c r="AM23" s="23"/>
      <c r="AN23" s="23"/>
      <c r="AO23" s="23"/>
      <c r="AP23" s="23"/>
      <c r="AQ23" s="23"/>
      <c r="AR23" s="23"/>
    </row>
    <row r="24" spans="1:44" s="2" customFormat="1" ht="15">
      <c r="A24" s="60" t="s">
        <v>61</v>
      </c>
      <c r="B24" s="61">
        <v>3.4896475003000003</v>
      </c>
      <c r="C24" s="61">
        <v>1.8145940874618773</v>
      </c>
      <c r="D24" s="61">
        <v>2.2385708185166902</v>
      </c>
      <c r="E24" s="61">
        <v>2.3926024162149369</v>
      </c>
      <c r="F24" s="61">
        <v>2.3510120797228331</v>
      </c>
      <c r="G24" s="61">
        <v>2.8558977392270024</v>
      </c>
      <c r="H24" s="61">
        <v>3.8642766938192219</v>
      </c>
      <c r="I24" s="61">
        <v>3.5967076673388623</v>
      </c>
      <c r="J24" s="61">
        <v>2.9696042037139136</v>
      </c>
      <c r="K24" s="61">
        <v>2.9324848575439835</v>
      </c>
      <c r="L24" s="61">
        <v>2.6582474096926743</v>
      </c>
      <c r="M24" s="710">
        <v>3.0837334818653956</v>
      </c>
      <c r="N24" s="61">
        <f t="shared" si="4"/>
        <v>3.0343317746833844</v>
      </c>
      <c r="O24" s="61">
        <f t="shared" si="1"/>
        <v>2.7840235028551508</v>
      </c>
      <c r="P24" s="61">
        <f t="shared" si="7"/>
        <v>2.074325889628565</v>
      </c>
      <c r="Q24" s="61">
        <f t="shared" ref="Q24:R31" si="8">(K24/$K$8)*100</f>
        <v>1.9417301694758331</v>
      </c>
      <c r="R24" s="61">
        <f t="shared" si="8"/>
        <v>1.7601452161134761</v>
      </c>
      <c r="S24" s="51">
        <f t="shared" si="5"/>
        <v>2.2830813740818243</v>
      </c>
      <c r="T24" s="62">
        <f t="shared" si="3"/>
        <v>35.30865061243945</v>
      </c>
      <c r="U24" s="63">
        <f t="shared" si="3"/>
        <v>-6.9241684196250004</v>
      </c>
      <c r="V24" s="63">
        <f t="shared" si="3"/>
        <v>-17.435486050745151</v>
      </c>
      <c r="W24" s="63">
        <f t="shared" si="3"/>
        <v>-1.2499762131097181</v>
      </c>
      <c r="X24" s="63">
        <f t="shared" si="3"/>
        <v>-9.351708914909409</v>
      </c>
      <c r="Y24" s="63">
        <f t="shared" si="3"/>
        <v>16.00626302206809</v>
      </c>
      <c r="Z24" s="64"/>
      <c r="AA24" s="65" t="s">
        <v>62</v>
      </c>
      <c r="AB24" s="57"/>
      <c r="AC24" s="57"/>
      <c r="AD24" s="23"/>
      <c r="AE24" s="23"/>
      <c r="AF24" s="23"/>
      <c r="AG24" s="23"/>
      <c r="AH24" s="23"/>
      <c r="AI24" s="23"/>
      <c r="AJ24" s="23"/>
      <c r="AK24" s="23"/>
      <c r="AL24" s="23"/>
      <c r="AM24" s="23"/>
      <c r="AN24" s="23"/>
      <c r="AO24" s="23"/>
      <c r="AP24" s="23"/>
      <c r="AQ24" s="23"/>
      <c r="AR24" s="23"/>
    </row>
    <row r="25" spans="1:44" s="2" customFormat="1" ht="15">
      <c r="A25" s="60" t="s">
        <v>63</v>
      </c>
      <c r="B25" s="61">
        <v>0.77320062969399994</v>
      </c>
      <c r="C25" s="61">
        <v>2.8363132528658399</v>
      </c>
      <c r="D25" s="61">
        <v>2.1143378283414398</v>
      </c>
      <c r="E25" s="61">
        <v>3.5650055825859033</v>
      </c>
      <c r="F25" s="61">
        <v>4.8873762700000016</v>
      </c>
      <c r="G25" s="61">
        <v>5.5584618312959835</v>
      </c>
      <c r="H25" s="61">
        <v>8.2203993305057246</v>
      </c>
      <c r="I25" s="61">
        <v>7.1836101718072625</v>
      </c>
      <c r="J25" s="61">
        <v>8.3901824668277172</v>
      </c>
      <c r="K25" s="61">
        <v>8.5304285251459255</v>
      </c>
      <c r="L25" s="61">
        <v>9.9004574381934045</v>
      </c>
      <c r="M25" s="710">
        <v>11.389740816779341</v>
      </c>
      <c r="N25" s="61">
        <f t="shared" si="4"/>
        <v>6.4548739299739282</v>
      </c>
      <c r="O25" s="61">
        <f t="shared" si="1"/>
        <v>5.560457341382401</v>
      </c>
      <c r="P25" s="61">
        <f t="shared" si="7"/>
        <v>5.8607044965393849</v>
      </c>
      <c r="Q25" s="61">
        <f t="shared" si="8"/>
        <v>5.6483805477193822</v>
      </c>
      <c r="R25" s="61">
        <f t="shared" si="8"/>
        <v>6.5555383346299916</v>
      </c>
      <c r="S25" s="51">
        <f t="shared" si="5"/>
        <v>8.4325397338418462</v>
      </c>
      <c r="T25" s="62">
        <f t="shared" si="3"/>
        <v>47.889822400545242</v>
      </c>
      <c r="U25" s="63">
        <f t="shared" si="3"/>
        <v>-12.612394082255346</v>
      </c>
      <c r="V25" s="63">
        <f t="shared" si="3"/>
        <v>16.796182785025813</v>
      </c>
      <c r="W25" s="63">
        <f t="shared" si="3"/>
        <v>1.6715495625118943</v>
      </c>
      <c r="X25" s="63">
        <f t="shared" si="3"/>
        <v>16.060493432527092</v>
      </c>
      <c r="Y25" s="63">
        <f t="shared" si="3"/>
        <v>15.042571395142474</v>
      </c>
      <c r="Z25" s="64"/>
      <c r="AA25" s="65" t="s">
        <v>64</v>
      </c>
      <c r="AB25" s="57"/>
      <c r="AC25" s="57"/>
      <c r="AD25" s="23"/>
      <c r="AE25" s="23"/>
      <c r="AF25" s="23"/>
      <c r="AG25" s="23"/>
      <c r="AH25" s="23"/>
      <c r="AI25" s="23"/>
      <c r="AJ25" s="23"/>
      <c r="AK25" s="23"/>
      <c r="AL25" s="23"/>
      <c r="AM25" s="23"/>
      <c r="AN25" s="23"/>
      <c r="AO25" s="23"/>
      <c r="AP25" s="23"/>
      <c r="AQ25" s="23"/>
      <c r="AR25" s="23"/>
    </row>
    <row r="26" spans="1:44" s="2" customFormat="1" ht="15">
      <c r="A26" s="60" t="s">
        <v>65</v>
      </c>
      <c r="B26" s="61">
        <v>5.3193023869199996</v>
      </c>
      <c r="C26" s="61">
        <v>3.2973057170663189</v>
      </c>
      <c r="D26" s="61">
        <v>3.6220961214457499</v>
      </c>
      <c r="E26" s="61">
        <v>4.4916609014078981</v>
      </c>
      <c r="F26" s="61">
        <v>6.1023330901973196</v>
      </c>
      <c r="G26" s="61">
        <v>3.8321071489999445</v>
      </c>
      <c r="H26" s="61">
        <v>3.5789821165928566</v>
      </c>
      <c r="I26" s="61">
        <v>4.117024274419717</v>
      </c>
      <c r="J26" s="61">
        <v>5.7942599899738356</v>
      </c>
      <c r="K26" s="61">
        <v>6.0494795388263602</v>
      </c>
      <c r="L26" s="61">
        <v>7.1989792228439535</v>
      </c>
      <c r="M26" s="710">
        <v>7.5536508780813598</v>
      </c>
      <c r="N26" s="61">
        <f t="shared" si="4"/>
        <v>2.8103109631800454</v>
      </c>
      <c r="O26" s="61">
        <f t="shared" si="1"/>
        <v>3.1867734055490002</v>
      </c>
      <c r="P26" s="61">
        <f t="shared" si="7"/>
        <v>4.0474025102099374</v>
      </c>
      <c r="Q26" s="61">
        <f t="shared" si="8"/>
        <v>4.005632595151333</v>
      </c>
      <c r="R26" s="61">
        <f t="shared" si="8"/>
        <v>4.7667680569484858</v>
      </c>
      <c r="S26" s="51">
        <f t="shared" si="5"/>
        <v>5.5924416709424092</v>
      </c>
      <c r="T26" s="62">
        <f t="shared" si="3"/>
        <v>-6.6053746037123569</v>
      </c>
      <c r="U26" s="63">
        <f t="shared" si="3"/>
        <v>15.033384920600534</v>
      </c>
      <c r="V26" s="63">
        <f t="shared" si="3"/>
        <v>40.739029059781785</v>
      </c>
      <c r="W26" s="63">
        <f t="shared" si="3"/>
        <v>4.4046961871601678</v>
      </c>
      <c r="X26" s="63">
        <f t="shared" si="3"/>
        <v>19.00162942348928</v>
      </c>
      <c r="Y26" s="63">
        <f t="shared" si="3"/>
        <v>4.926693691682769</v>
      </c>
      <c r="Z26" s="64"/>
      <c r="AA26" s="65" t="s">
        <v>66</v>
      </c>
      <c r="AB26" s="66"/>
      <c r="AC26" s="57"/>
      <c r="AD26" s="23"/>
      <c r="AE26" s="23"/>
      <c r="AF26" s="23"/>
      <c r="AG26" s="23"/>
      <c r="AH26" s="23"/>
      <c r="AI26" s="23"/>
      <c r="AJ26" s="23"/>
      <c r="AK26" s="23"/>
      <c r="AL26" s="23"/>
      <c r="AM26" s="23"/>
      <c r="AN26" s="23"/>
      <c r="AO26" s="23"/>
      <c r="AP26" s="23"/>
      <c r="AQ26" s="23"/>
      <c r="AR26" s="23"/>
    </row>
    <row r="27" spans="1:44" s="2" customFormat="1" ht="15">
      <c r="A27" s="60" t="s">
        <v>67</v>
      </c>
      <c r="B27" s="61">
        <v>10.323599863590001</v>
      </c>
      <c r="C27" s="61">
        <v>8.821061419899916</v>
      </c>
      <c r="D27" s="61">
        <v>4.6273621141007606</v>
      </c>
      <c r="E27" s="61">
        <v>6.4412472748291281</v>
      </c>
      <c r="F27" s="61">
        <v>8.2431673173022482</v>
      </c>
      <c r="G27" s="61">
        <v>14.670648390734787</v>
      </c>
      <c r="H27" s="61">
        <v>12.555886331006292</v>
      </c>
      <c r="I27" s="61">
        <v>10.779729136313419</v>
      </c>
      <c r="J27" s="61">
        <v>12.223952593290209</v>
      </c>
      <c r="K27" s="61">
        <v>11.585481944996269</v>
      </c>
      <c r="L27" s="61">
        <v>9.7740388693018012</v>
      </c>
      <c r="M27" s="710">
        <v>10.600246504316949</v>
      </c>
      <c r="N27" s="61">
        <f t="shared" si="4"/>
        <v>9.8592124405643045</v>
      </c>
      <c r="O27" s="61">
        <f t="shared" si="1"/>
        <v>8.3440251601302968</v>
      </c>
      <c r="P27" s="61">
        <f t="shared" si="7"/>
        <v>8.5386669732425098</v>
      </c>
      <c r="Q27" s="61">
        <f t="shared" si="8"/>
        <v>7.6712688771929676</v>
      </c>
      <c r="R27" s="61">
        <f t="shared" si="8"/>
        <v>6.4718309120435471</v>
      </c>
      <c r="S27" s="51">
        <f t="shared" si="5"/>
        <v>7.8480275604240344</v>
      </c>
      <c r="T27" s="62">
        <f t="shared" si="3"/>
        <v>-14.414918846150441</v>
      </c>
      <c r="U27" s="63">
        <f t="shared" si="3"/>
        <v>-14.1460120605482</v>
      </c>
      <c r="V27" s="63">
        <f t="shared" si="3"/>
        <v>13.397585771535466</v>
      </c>
      <c r="W27" s="63">
        <f t="shared" si="3"/>
        <v>-5.2231112925323284</v>
      </c>
      <c r="X27" s="63">
        <f t="shared" si="3"/>
        <v>-15.635457241179546</v>
      </c>
      <c r="Y27" s="63">
        <f t="shared" si="3"/>
        <v>8.4530831733245151</v>
      </c>
      <c r="Z27" s="64"/>
      <c r="AA27" s="65" t="s">
        <v>68</v>
      </c>
      <c r="AB27" s="66"/>
      <c r="AC27" s="57"/>
      <c r="AD27" s="23"/>
      <c r="AE27" s="23"/>
    </row>
    <row r="28" spans="1:44" s="2" customFormat="1" ht="15">
      <c r="A28" s="60" t="s">
        <v>69</v>
      </c>
      <c r="B28" s="61">
        <v>5.2756512949680001</v>
      </c>
      <c r="C28" s="61">
        <v>7.8095273806140346</v>
      </c>
      <c r="D28" s="61">
        <v>11.458809981990434</v>
      </c>
      <c r="E28" s="61">
        <v>12.605257593857838</v>
      </c>
      <c r="F28" s="61">
        <v>15.669094098018947</v>
      </c>
      <c r="G28" s="61">
        <v>19.57691873198684</v>
      </c>
      <c r="H28" s="61">
        <v>20.006961722130814</v>
      </c>
      <c r="I28" s="61">
        <v>17.591605791181756</v>
      </c>
      <c r="J28" s="61">
        <v>24.21426468123731</v>
      </c>
      <c r="K28" s="61">
        <v>25.065136682070062</v>
      </c>
      <c r="L28" s="61">
        <v>18.765171841803927</v>
      </c>
      <c r="M28" s="710">
        <v>21.156044330819775</v>
      </c>
      <c r="N28" s="61">
        <f t="shared" si="4"/>
        <v>15.709992963349576</v>
      </c>
      <c r="O28" s="61">
        <f t="shared" si="1"/>
        <v>13.616743006486489</v>
      </c>
      <c r="P28" s="61">
        <f t="shared" si="7"/>
        <v>16.914131541096118</v>
      </c>
      <c r="Q28" s="61">
        <f t="shared" si="8"/>
        <v>16.596754787123686</v>
      </c>
      <c r="R28" s="61">
        <f t="shared" si="8"/>
        <v>12.425264603461834</v>
      </c>
      <c r="S28" s="51">
        <f t="shared" si="5"/>
        <v>15.663146975894307</v>
      </c>
      <c r="T28" s="62">
        <f t="shared" si="3"/>
        <v>2.1966837377800648</v>
      </c>
      <c r="U28" s="63">
        <f t="shared" si="3"/>
        <v>-12.07257735829673</v>
      </c>
      <c r="V28" s="63">
        <f t="shared" si="3"/>
        <v>37.646699048789124</v>
      </c>
      <c r="W28" s="63">
        <f t="shared" si="3"/>
        <v>3.5139287194298285</v>
      </c>
      <c r="X28" s="63">
        <f t="shared" si="3"/>
        <v>-25.134372575644932</v>
      </c>
      <c r="Y28" s="63">
        <f t="shared" si="3"/>
        <v>12.741010363089805</v>
      </c>
      <c r="Z28" s="64"/>
      <c r="AA28" s="65" t="s">
        <v>70</v>
      </c>
      <c r="AB28" s="66"/>
      <c r="AC28" s="57"/>
      <c r="AD28" s="23"/>
      <c r="AE28" s="23"/>
    </row>
    <row r="29" spans="1:44" s="2" customFormat="1" ht="15">
      <c r="A29" s="60" t="s">
        <v>71</v>
      </c>
      <c r="B29" s="61">
        <v>7.9786564840130003</v>
      </c>
      <c r="C29" s="61">
        <v>10.312039520502237</v>
      </c>
      <c r="D29" s="61">
        <v>13.33071221199801</v>
      </c>
      <c r="E29" s="61">
        <v>6.8380931873861348</v>
      </c>
      <c r="F29" s="61">
        <v>6.5185484876734998</v>
      </c>
      <c r="G29" s="61">
        <v>10.485499486109854</v>
      </c>
      <c r="H29" s="61">
        <v>12.824944463209524</v>
      </c>
      <c r="I29" s="61">
        <v>8.5205992519975222</v>
      </c>
      <c r="J29" s="61">
        <v>13.637841725925478</v>
      </c>
      <c r="K29" s="61">
        <v>14.621351612458165</v>
      </c>
      <c r="L29" s="61">
        <v>12.213624200393626</v>
      </c>
      <c r="M29" s="710">
        <v>11.610003248031642</v>
      </c>
      <c r="N29" s="61">
        <f t="shared" si="4"/>
        <v>10.070483968063112</v>
      </c>
      <c r="O29" s="61">
        <f t="shared" si="1"/>
        <v>6.5953507401735152</v>
      </c>
      <c r="P29" s="61">
        <f t="shared" si="7"/>
        <v>9.5262958394805928</v>
      </c>
      <c r="Q29" s="61">
        <f t="shared" si="8"/>
        <v>9.6814547810493909</v>
      </c>
      <c r="R29" s="61">
        <f t="shared" si="8"/>
        <v>8.0871901273538818</v>
      </c>
      <c r="S29" s="51">
        <f t="shared" si="5"/>
        <v>8.5956138312498727</v>
      </c>
      <c r="T29" s="62">
        <f t="shared" si="3"/>
        <v>22.311240205568982</v>
      </c>
      <c r="U29" s="63">
        <f t="shared" si="3"/>
        <v>-33.562291232993083</v>
      </c>
      <c r="V29" s="63">
        <f t="shared" si="3"/>
        <v>60.057307268949387</v>
      </c>
      <c r="W29" s="63">
        <f t="shared" si="3"/>
        <v>7.2116241433058947</v>
      </c>
      <c r="X29" s="63">
        <f t="shared" si="3"/>
        <v>-16.467201363333793</v>
      </c>
      <c r="Y29" s="63">
        <f t="shared" si="3"/>
        <v>-4.9421935901919305</v>
      </c>
      <c r="Z29" s="64"/>
      <c r="AA29" s="65" t="s">
        <v>72</v>
      </c>
      <c r="AB29" s="66"/>
      <c r="AC29" s="57"/>
      <c r="AD29" s="23"/>
      <c r="AE29" s="23"/>
    </row>
    <row r="30" spans="1:44" s="2" customFormat="1" ht="15">
      <c r="A30" s="60" t="s">
        <v>73</v>
      </c>
      <c r="B30" s="61">
        <v>0.93327936740099993</v>
      </c>
      <c r="C30" s="61">
        <v>1.5026636156209401</v>
      </c>
      <c r="D30" s="61">
        <v>3.0038268644683379</v>
      </c>
      <c r="E30" s="61">
        <v>4.1531727146193713</v>
      </c>
      <c r="F30" s="61">
        <v>4.0198049527051953</v>
      </c>
      <c r="G30" s="61">
        <v>4.1304595743684711</v>
      </c>
      <c r="H30" s="61">
        <v>4.1757914603981243</v>
      </c>
      <c r="I30" s="61">
        <v>3.7228406026800092</v>
      </c>
      <c r="J30" s="61">
        <v>5.0960265002171319</v>
      </c>
      <c r="K30" s="61">
        <v>4.7624309815730665</v>
      </c>
      <c r="L30" s="61">
        <v>2.5162397100822615</v>
      </c>
      <c r="M30" s="710">
        <v>2.155572749456085</v>
      </c>
      <c r="N30" s="61">
        <f t="shared" si="4"/>
        <v>3.2789413690287685</v>
      </c>
      <c r="O30" s="61">
        <f t="shared" si="1"/>
        <v>2.8816564185526552</v>
      </c>
      <c r="P30" s="61">
        <f t="shared" si="7"/>
        <v>3.5596729323097422</v>
      </c>
      <c r="Q30" s="61">
        <f t="shared" si="8"/>
        <v>3.1534198354605247</v>
      </c>
      <c r="R30" s="61">
        <f t="shared" si="8"/>
        <v>1.6661155286550595</v>
      </c>
      <c r="S30" s="51">
        <f t="shared" si="5"/>
        <v>1.5959057498654321</v>
      </c>
      <c r="T30" s="62">
        <f t="shared" si="3"/>
        <v>1.0975022322203518</v>
      </c>
      <c r="U30" s="63">
        <f t="shared" si="3"/>
        <v>-10.84706604756863</v>
      </c>
      <c r="V30" s="63">
        <f t="shared" si="3"/>
        <v>36.88543357318575</v>
      </c>
      <c r="W30" s="63">
        <f t="shared" si="3"/>
        <v>-6.5461888518407712</v>
      </c>
      <c r="X30" s="63">
        <f t="shared" si="3"/>
        <v>-47.164804701250937</v>
      </c>
      <c r="Y30" s="63">
        <f t="shared" si="3"/>
        <v>-14.333569221605899</v>
      </c>
      <c r="Z30" s="64"/>
      <c r="AA30" s="65" t="s">
        <v>74</v>
      </c>
      <c r="AB30" s="66"/>
      <c r="AC30" s="57"/>
      <c r="AD30" s="23"/>
      <c r="AE30" s="23"/>
    </row>
    <row r="31" spans="1:44" s="2" customFormat="1" ht="15">
      <c r="A31" s="67" t="s">
        <v>42</v>
      </c>
      <c r="B31" s="68">
        <v>4.1513248215099994</v>
      </c>
      <c r="C31" s="68">
        <v>4.3237184652671763</v>
      </c>
      <c r="D31" s="68">
        <v>7.2335239573804548</v>
      </c>
      <c r="E31" s="68">
        <v>6.1545840431629619</v>
      </c>
      <c r="F31" s="68">
        <v>4.9778572648089474</v>
      </c>
      <c r="G31" s="68">
        <v>7.643729479364147</v>
      </c>
      <c r="H31" s="68">
        <v>9.1430560234572287</v>
      </c>
      <c r="I31" s="68">
        <v>10.356911892123186</v>
      </c>
      <c r="J31" s="68">
        <v>9.3776345015550255</v>
      </c>
      <c r="K31" s="68">
        <v>9.4479083843271106</v>
      </c>
      <c r="L31" s="68">
        <v>7.1771723608534721</v>
      </c>
      <c r="M31" s="69">
        <v>7.4299718733529492</v>
      </c>
      <c r="N31" s="68">
        <f t="shared" si="4"/>
        <v>7.1793682512591976</v>
      </c>
      <c r="O31" s="68">
        <f t="shared" si="1"/>
        <v>8.0167444206008067</v>
      </c>
      <c r="P31" s="68">
        <f t="shared" si="7"/>
        <v>6.5504588139125799</v>
      </c>
      <c r="Q31" s="68">
        <f t="shared" si="8"/>
        <v>6.2558852439075103</v>
      </c>
      <c r="R31" s="68">
        <f t="shared" si="8"/>
        <v>4.7523287524386664</v>
      </c>
      <c r="S31" s="738">
        <f t="shared" si="5"/>
        <v>5.500874343960052</v>
      </c>
      <c r="T31" s="70">
        <f t="shared" si="3"/>
        <v>19.615117831430698</v>
      </c>
      <c r="U31" s="71">
        <f t="shared" si="3"/>
        <v>13.276259770821866</v>
      </c>
      <c r="V31" s="71">
        <f t="shared" si="3"/>
        <v>-9.455302900789734</v>
      </c>
      <c r="W31" s="71">
        <f t="shared" si="3"/>
        <v>0.74937749770938511</v>
      </c>
      <c r="X31" s="71">
        <f t="shared" si="3"/>
        <v>-24.034272254804073</v>
      </c>
      <c r="Y31" s="71">
        <f t="shared" si="3"/>
        <v>3.522271721915502</v>
      </c>
      <c r="Z31" s="72"/>
      <c r="AA31" s="73" t="s">
        <v>75</v>
      </c>
      <c r="AB31" s="66"/>
      <c r="AC31" s="57"/>
      <c r="AD31" s="23"/>
      <c r="AE31" s="23"/>
    </row>
    <row r="32" spans="1:44" s="2" customFormat="1" ht="17.25">
      <c r="A32" s="24" t="s">
        <v>392</v>
      </c>
      <c r="B32" s="22"/>
      <c r="C32" s="22"/>
      <c r="D32" s="22"/>
      <c r="E32" s="22"/>
      <c r="F32" s="22"/>
      <c r="G32" s="22"/>
      <c r="H32" s="22"/>
      <c r="I32" s="22"/>
      <c r="J32" s="22"/>
      <c r="K32" s="22"/>
      <c r="L32" s="22"/>
      <c r="M32" s="22"/>
      <c r="N32" s="74"/>
      <c r="O32" s="74"/>
      <c r="P32" s="74"/>
      <c r="Q32" s="74"/>
      <c r="R32" s="74"/>
      <c r="S32" s="74"/>
      <c r="T32" s="22"/>
      <c r="U32" s="22"/>
      <c r="V32" s="22"/>
      <c r="W32" s="22"/>
      <c r="X32" s="22"/>
      <c r="Y32" s="22"/>
      <c r="Z32" s="22"/>
      <c r="AA32" s="20" t="s">
        <v>389</v>
      </c>
      <c r="AC32" s="57"/>
      <c r="AD32" s="23"/>
      <c r="AE32" s="23"/>
    </row>
    <row r="33" spans="1:31" s="75" customFormat="1" ht="37.5" customHeight="1">
      <c r="A33" s="760" t="s">
        <v>393</v>
      </c>
      <c r="B33" s="760"/>
      <c r="C33" s="760"/>
      <c r="D33" s="760"/>
      <c r="E33" s="760"/>
      <c r="F33" s="760"/>
      <c r="G33" s="760"/>
      <c r="H33" s="760"/>
      <c r="I33" s="760"/>
      <c r="J33" s="760"/>
      <c r="K33" s="760"/>
      <c r="L33" s="760"/>
      <c r="M33" s="760"/>
      <c r="N33" s="760"/>
      <c r="O33" s="760"/>
      <c r="P33" s="597"/>
      <c r="Q33" s="761" t="s">
        <v>394</v>
      </c>
      <c r="R33" s="761"/>
      <c r="S33" s="761"/>
      <c r="T33" s="762"/>
      <c r="U33" s="762"/>
      <c r="V33" s="762"/>
      <c r="W33" s="762"/>
      <c r="X33" s="762"/>
      <c r="Y33" s="762"/>
      <c r="Z33" s="762"/>
      <c r="AA33" s="762"/>
      <c r="AC33" s="57"/>
      <c r="AD33" s="23"/>
      <c r="AE33" s="23"/>
    </row>
    <row r="34" spans="1:31" s="75" customFormat="1">
      <c r="A34" s="27"/>
      <c r="N34" s="76"/>
      <c r="O34" s="76"/>
      <c r="P34" s="76"/>
      <c r="Q34" s="76"/>
      <c r="R34" s="76"/>
      <c r="S34" s="76"/>
      <c r="T34" s="77"/>
      <c r="U34" s="77"/>
      <c r="V34" s="77"/>
      <c r="W34" s="77"/>
      <c r="X34" s="77"/>
      <c r="Y34" s="77"/>
    </row>
    <row r="35" spans="1:31" s="2" customFormat="1" ht="12">
      <c r="N35" s="26"/>
      <c r="O35" s="26"/>
      <c r="P35" s="26"/>
      <c r="Q35" s="26"/>
      <c r="R35" s="26"/>
      <c r="S35" s="26"/>
    </row>
    <row r="36" spans="1:31" s="2" customFormat="1" ht="12">
      <c r="N36" s="26"/>
      <c r="O36" s="26"/>
      <c r="P36" s="26"/>
      <c r="Q36" s="26"/>
      <c r="R36" s="26"/>
      <c r="S36" s="26"/>
    </row>
    <row r="37" spans="1:31" s="2" customFormat="1" ht="12">
      <c r="N37" s="26"/>
      <c r="O37" s="26"/>
      <c r="P37" s="26"/>
      <c r="Q37" s="26"/>
      <c r="R37" s="26"/>
      <c r="S37" s="26"/>
    </row>
    <row r="38" spans="1:31" s="2" customFormat="1" ht="12">
      <c r="N38" s="26"/>
      <c r="O38" s="26"/>
      <c r="P38" s="26"/>
      <c r="Q38" s="26"/>
      <c r="R38" s="26"/>
      <c r="S38" s="26"/>
    </row>
    <row r="39" spans="1:31" s="2" customFormat="1" ht="12">
      <c r="N39" s="26"/>
      <c r="O39" s="26"/>
      <c r="P39" s="26"/>
      <c r="Q39" s="26"/>
      <c r="R39" s="26"/>
      <c r="S39" s="26"/>
    </row>
    <row r="40" spans="1:31" s="2" customFormat="1" ht="12">
      <c r="N40" s="26"/>
      <c r="O40" s="26"/>
      <c r="P40" s="26"/>
      <c r="Q40" s="26"/>
      <c r="R40" s="26"/>
      <c r="S40" s="26"/>
    </row>
    <row r="41" spans="1:31" s="2" customFormat="1" ht="12">
      <c r="N41" s="26"/>
      <c r="O41" s="26"/>
      <c r="P41" s="26"/>
      <c r="Q41" s="26"/>
      <c r="R41" s="26"/>
      <c r="S41" s="26"/>
    </row>
    <row r="42" spans="1:31" s="2" customFormat="1" ht="12">
      <c r="N42" s="26"/>
      <c r="O42" s="26"/>
      <c r="P42" s="26"/>
      <c r="Q42" s="26"/>
      <c r="R42" s="26"/>
      <c r="S42" s="26"/>
    </row>
    <row r="43" spans="1:31" s="2" customFormat="1" ht="12">
      <c r="N43" s="26"/>
      <c r="O43" s="26"/>
      <c r="P43" s="26"/>
      <c r="Q43" s="26"/>
      <c r="R43" s="26"/>
      <c r="S43" s="26"/>
    </row>
    <row r="44" spans="1:31" s="2" customFormat="1" ht="12">
      <c r="N44" s="26"/>
      <c r="O44" s="26"/>
      <c r="P44" s="26"/>
      <c r="Q44" s="26"/>
      <c r="R44" s="26"/>
      <c r="S44" s="26"/>
    </row>
    <row r="45" spans="1:31" s="2" customFormat="1" ht="12">
      <c r="N45" s="26"/>
      <c r="O45" s="26"/>
      <c r="P45" s="26"/>
      <c r="Q45" s="26"/>
      <c r="R45" s="26"/>
      <c r="S45" s="26"/>
    </row>
    <row r="46" spans="1:31" s="2" customFormat="1" ht="12">
      <c r="N46" s="26"/>
      <c r="O46" s="26"/>
      <c r="P46" s="26"/>
      <c r="Q46" s="26"/>
      <c r="R46" s="26"/>
      <c r="S46" s="26"/>
    </row>
    <row r="47" spans="1:31" s="2" customFormat="1" ht="12">
      <c r="N47" s="26"/>
      <c r="O47" s="26"/>
      <c r="P47" s="26"/>
      <c r="Q47" s="26"/>
      <c r="R47" s="26"/>
      <c r="S47" s="26"/>
    </row>
    <row r="48" spans="1:31" s="2" customFormat="1" ht="12">
      <c r="N48" s="26"/>
      <c r="O48" s="26"/>
      <c r="P48" s="26"/>
      <c r="Q48" s="26"/>
      <c r="R48" s="26"/>
      <c r="S48" s="26"/>
    </row>
    <row r="49" spans="1:27" s="2" customFormat="1" ht="12">
      <c r="N49" s="26"/>
      <c r="O49" s="26"/>
      <c r="P49" s="26"/>
      <c r="Q49" s="26"/>
      <c r="R49" s="26"/>
      <c r="S49" s="26"/>
    </row>
    <row r="50" spans="1:27" s="2" customFormat="1" ht="12">
      <c r="N50" s="26"/>
      <c r="O50" s="26"/>
      <c r="P50" s="26"/>
      <c r="Q50" s="26"/>
      <c r="R50" s="26"/>
      <c r="S50" s="26"/>
    </row>
    <row r="51" spans="1:27" s="2" customFormat="1" ht="12">
      <c r="N51" s="26"/>
      <c r="O51" s="26"/>
      <c r="P51" s="26"/>
      <c r="Q51" s="26"/>
      <c r="R51" s="26"/>
      <c r="S51" s="26"/>
    </row>
    <row r="52" spans="1:27" s="2" customFormat="1" ht="12">
      <c r="N52" s="26"/>
      <c r="O52" s="26"/>
      <c r="P52" s="26"/>
      <c r="Q52" s="26"/>
      <c r="R52" s="26"/>
      <c r="S52" s="26"/>
    </row>
    <row r="53" spans="1:27" s="2" customFormat="1" ht="12">
      <c r="N53" s="26"/>
      <c r="O53" s="26"/>
      <c r="P53" s="26"/>
      <c r="Q53" s="26"/>
      <c r="R53" s="26"/>
      <c r="S53" s="26"/>
    </row>
    <row r="54" spans="1:27" s="2" customFormat="1" ht="12">
      <c r="N54" s="26"/>
      <c r="O54" s="26"/>
      <c r="P54" s="26"/>
      <c r="Q54" s="26"/>
      <c r="R54" s="26"/>
      <c r="S54" s="26"/>
    </row>
    <row r="55" spans="1:27" s="2" customFormat="1" ht="12">
      <c r="N55" s="26"/>
      <c r="O55" s="26"/>
      <c r="P55" s="26"/>
      <c r="Q55" s="26"/>
      <c r="R55" s="26"/>
      <c r="S55" s="26"/>
    </row>
    <row r="56" spans="1:27" s="2" customFormat="1" ht="12">
      <c r="N56" s="26"/>
      <c r="O56" s="26"/>
      <c r="P56" s="26"/>
      <c r="Q56" s="26"/>
      <c r="R56" s="26"/>
      <c r="S56" s="26"/>
    </row>
    <row r="57" spans="1:27" s="2" customFormat="1" ht="12">
      <c r="N57" s="26"/>
      <c r="O57" s="26"/>
      <c r="P57" s="26"/>
      <c r="Q57" s="26"/>
      <c r="R57" s="26"/>
      <c r="S57" s="26"/>
    </row>
    <row r="58" spans="1:27" s="2" customFormat="1" ht="12">
      <c r="N58" s="26"/>
      <c r="O58" s="26"/>
      <c r="P58" s="26"/>
      <c r="Q58" s="26"/>
      <c r="R58" s="26"/>
      <c r="S58" s="26"/>
    </row>
    <row r="59" spans="1:27" s="2" customFormat="1" ht="12">
      <c r="N59" s="26"/>
      <c r="O59" s="26"/>
      <c r="P59" s="26"/>
      <c r="Q59" s="26"/>
      <c r="R59" s="26"/>
      <c r="S59" s="26"/>
    </row>
    <row r="60" spans="1:27" s="2" customFormat="1" ht="12">
      <c r="N60" s="26"/>
      <c r="O60" s="26"/>
      <c r="P60" s="26"/>
      <c r="Q60" s="26"/>
      <c r="R60" s="26"/>
      <c r="S60" s="26"/>
    </row>
    <row r="61" spans="1:27" s="2" customFormat="1" ht="12">
      <c r="N61" s="26"/>
      <c r="O61" s="26"/>
      <c r="P61" s="26"/>
      <c r="Q61" s="26"/>
      <c r="R61" s="26"/>
      <c r="S61" s="26"/>
    </row>
    <row r="62" spans="1:27">
      <c r="A62" s="2"/>
      <c r="B62" s="2"/>
      <c r="C62" s="2"/>
      <c r="D62" s="2"/>
      <c r="E62" s="2"/>
      <c r="F62" s="2"/>
      <c r="G62" s="2"/>
      <c r="H62" s="2"/>
      <c r="I62" s="2"/>
      <c r="J62" s="2"/>
      <c r="K62" s="2"/>
      <c r="L62" s="2"/>
      <c r="M62" s="2"/>
      <c r="N62" s="26"/>
      <c r="O62" s="26"/>
      <c r="P62" s="26"/>
      <c r="Q62" s="26"/>
      <c r="R62" s="26"/>
      <c r="S62" s="26"/>
      <c r="T62" s="2"/>
      <c r="U62" s="2"/>
      <c r="V62" s="2"/>
      <c r="W62" s="2"/>
      <c r="X62" s="2"/>
      <c r="Y62" s="2"/>
      <c r="Z62" s="2"/>
      <c r="AA62" s="2"/>
    </row>
    <row r="63" spans="1:27">
      <c r="A63" s="2"/>
      <c r="B63" s="2"/>
      <c r="C63" s="2"/>
      <c r="D63" s="2"/>
      <c r="E63" s="2"/>
      <c r="F63" s="2"/>
      <c r="G63" s="2"/>
      <c r="H63" s="2"/>
      <c r="I63" s="2"/>
      <c r="J63" s="2"/>
      <c r="K63" s="2"/>
      <c r="L63" s="2"/>
      <c r="M63" s="2"/>
      <c r="N63" s="26"/>
      <c r="O63" s="26"/>
      <c r="P63" s="26"/>
      <c r="Q63" s="26"/>
      <c r="R63" s="26"/>
      <c r="S63" s="26"/>
      <c r="T63" s="2"/>
      <c r="U63" s="2"/>
      <c r="V63" s="2"/>
      <c r="W63" s="2"/>
      <c r="X63" s="2"/>
      <c r="Y63" s="2"/>
      <c r="Z63" s="2"/>
      <c r="AA63" s="2"/>
    </row>
    <row r="64" spans="1:27">
      <c r="A64" s="2"/>
      <c r="B64" s="2"/>
      <c r="C64" s="2"/>
      <c r="D64" s="2"/>
      <c r="E64" s="2"/>
      <c r="F64" s="2"/>
      <c r="G64" s="2"/>
      <c r="H64" s="2"/>
      <c r="I64" s="2"/>
      <c r="J64" s="2"/>
      <c r="K64" s="2"/>
      <c r="L64" s="2"/>
      <c r="M64" s="2"/>
      <c r="N64" s="26"/>
      <c r="O64" s="26"/>
      <c r="P64" s="26"/>
      <c r="Q64" s="26"/>
      <c r="R64" s="26"/>
      <c r="S64" s="26"/>
      <c r="T64" s="2"/>
      <c r="U64" s="2"/>
      <c r="V64" s="2"/>
      <c r="W64" s="2"/>
      <c r="X64" s="2"/>
      <c r="Y64" s="2"/>
      <c r="Z64" s="2"/>
      <c r="AA64" s="2"/>
    </row>
    <row r="65" spans="1:27">
      <c r="A65" s="2"/>
      <c r="B65" s="2"/>
      <c r="C65" s="2"/>
      <c r="D65" s="2"/>
      <c r="E65" s="2"/>
      <c r="F65" s="2"/>
      <c r="G65" s="2"/>
      <c r="H65" s="2"/>
      <c r="I65" s="2"/>
      <c r="J65" s="2"/>
      <c r="K65" s="2"/>
      <c r="L65" s="2"/>
      <c r="M65" s="2"/>
      <c r="N65" s="26"/>
      <c r="O65" s="26"/>
      <c r="P65" s="26"/>
      <c r="Q65" s="26"/>
      <c r="R65" s="26"/>
      <c r="S65" s="26"/>
      <c r="T65" s="2"/>
      <c r="U65" s="2"/>
      <c r="V65" s="2"/>
      <c r="W65" s="2"/>
      <c r="X65" s="2"/>
      <c r="Y65" s="2"/>
      <c r="Z65" s="2"/>
      <c r="AA65" s="2"/>
    </row>
    <row r="66" spans="1:27">
      <c r="A66" s="2"/>
      <c r="B66" s="2"/>
      <c r="C66" s="2"/>
      <c r="D66" s="2"/>
      <c r="E66" s="2"/>
      <c r="F66" s="2"/>
      <c r="G66" s="2"/>
      <c r="H66" s="2"/>
      <c r="I66" s="2"/>
      <c r="J66" s="2"/>
      <c r="K66" s="2"/>
      <c r="L66" s="2"/>
      <c r="M66" s="2"/>
      <c r="N66" s="26"/>
      <c r="O66" s="26"/>
      <c r="P66" s="26"/>
      <c r="Q66" s="26"/>
      <c r="R66" s="26"/>
      <c r="S66" s="26"/>
      <c r="T66" s="2"/>
      <c r="U66" s="2"/>
      <c r="V66" s="2"/>
      <c r="W66" s="2"/>
      <c r="X66" s="2"/>
      <c r="Y66" s="2"/>
      <c r="Z66" s="2"/>
      <c r="AA66" s="2"/>
    </row>
    <row r="67" spans="1:27">
      <c r="A67" s="2"/>
      <c r="B67" s="2"/>
      <c r="C67" s="2"/>
      <c r="D67" s="2"/>
      <c r="E67" s="2"/>
      <c r="F67" s="2"/>
      <c r="G67" s="2"/>
      <c r="H67" s="2"/>
      <c r="I67" s="2"/>
      <c r="J67" s="2"/>
      <c r="K67" s="2"/>
      <c r="L67" s="2"/>
      <c r="M67" s="2"/>
      <c r="N67" s="26"/>
      <c r="O67" s="26"/>
      <c r="P67" s="26"/>
      <c r="Q67" s="26"/>
      <c r="R67" s="26"/>
      <c r="S67" s="26"/>
      <c r="T67" s="2"/>
      <c r="U67" s="2"/>
      <c r="V67" s="2"/>
      <c r="W67" s="2"/>
      <c r="X67" s="2"/>
      <c r="Y67" s="2"/>
      <c r="Z67" s="2"/>
      <c r="AA67" s="2"/>
    </row>
  </sheetData>
  <mergeCells count="12">
    <mergeCell ref="A33:O33"/>
    <mergeCell ref="Q33:AA33"/>
    <mergeCell ref="A5:A7"/>
    <mergeCell ref="A1:AA1"/>
    <mergeCell ref="A2:AA2"/>
    <mergeCell ref="AA5:AA7"/>
    <mergeCell ref="T5:X5"/>
    <mergeCell ref="T6:X6"/>
    <mergeCell ref="C5:M5"/>
    <mergeCell ref="C6:M6"/>
    <mergeCell ref="N5:S5"/>
    <mergeCell ref="N6:S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F167"/>
  <sheetViews>
    <sheetView topLeftCell="C84" zoomScale="118" zoomScaleNormal="118" workbookViewId="0">
      <selection activeCell="C84" sqref="A1:XFD1048576"/>
    </sheetView>
  </sheetViews>
  <sheetFormatPr defaultRowHeight="12.75"/>
  <cols>
    <col min="1" max="1" width="12" style="14" customWidth="1"/>
    <col min="2" max="2" width="10.42578125" style="14" bestFit="1" customWidth="1"/>
    <col min="3" max="3" width="1.28515625" style="14" customWidth="1"/>
    <col min="4" max="5" width="12.85546875" style="14" bestFit="1" customWidth="1"/>
    <col min="6" max="7" width="11.85546875" style="151" customWidth="1"/>
    <col min="8" max="8" width="11.85546875" style="14" customWidth="1"/>
    <col min="9" max="10" width="11.85546875" style="151" customWidth="1"/>
    <col min="11" max="11" width="11.85546875" style="152" customWidth="1"/>
    <col min="12" max="12" width="22.5703125" style="14" customWidth="1"/>
    <col min="13" max="13" width="5.85546875" style="14" customWidth="1"/>
    <col min="14" max="14" width="11.28515625" style="14" customWidth="1"/>
    <col min="15" max="18" width="3.140625" style="14" customWidth="1"/>
    <col min="19" max="19" width="16.5703125" style="14" customWidth="1"/>
    <col min="20" max="20" width="3.140625" style="14" customWidth="1"/>
    <col min="21" max="21" width="6.42578125" style="14" customWidth="1"/>
    <col min="22" max="22" width="18.42578125" style="14" customWidth="1"/>
    <col min="23" max="25" width="3.140625" style="14" customWidth="1"/>
    <col min="26" max="16384" width="9.140625" style="14"/>
  </cols>
  <sheetData>
    <row r="1" spans="1:32" s="29" customFormat="1" ht="18.75">
      <c r="A1" s="766" t="s">
        <v>441</v>
      </c>
      <c r="B1" s="766"/>
      <c r="C1" s="766"/>
      <c r="D1" s="766"/>
      <c r="E1" s="766"/>
      <c r="F1" s="766"/>
      <c r="G1" s="766"/>
      <c r="H1" s="766"/>
      <c r="I1" s="766"/>
      <c r="J1" s="766"/>
      <c r="K1" s="766"/>
      <c r="L1" s="766"/>
      <c r="M1" s="1"/>
      <c r="N1" s="1"/>
      <c r="O1" s="1"/>
      <c r="P1" s="1"/>
      <c r="Q1" s="1"/>
      <c r="R1" s="1"/>
      <c r="S1" s="1"/>
      <c r="T1" s="1"/>
      <c r="U1" s="1"/>
      <c r="V1" s="1"/>
      <c r="W1" s="1"/>
      <c r="X1" s="1"/>
      <c r="Y1" s="1"/>
      <c r="Z1" s="1"/>
      <c r="AA1" s="1"/>
      <c r="AB1" s="1"/>
      <c r="AC1" s="1"/>
      <c r="AD1" s="1"/>
    </row>
    <row r="2" spans="1:32" s="80" customFormat="1" ht="15.75">
      <c r="A2" s="778" t="s">
        <v>442</v>
      </c>
      <c r="B2" s="778"/>
      <c r="C2" s="778"/>
      <c r="D2" s="778"/>
      <c r="E2" s="778"/>
      <c r="F2" s="778"/>
      <c r="G2" s="778"/>
      <c r="H2" s="778"/>
      <c r="I2" s="778"/>
      <c r="J2" s="778"/>
      <c r="K2" s="778"/>
      <c r="L2" s="778"/>
      <c r="M2" s="79"/>
      <c r="N2" s="79"/>
      <c r="O2" s="79"/>
      <c r="P2" s="79"/>
      <c r="Q2" s="79"/>
      <c r="R2" s="79"/>
      <c r="S2" s="79"/>
      <c r="T2" s="79"/>
      <c r="U2" s="79"/>
      <c r="V2" s="79"/>
      <c r="W2" s="79"/>
      <c r="X2" s="79"/>
      <c r="Y2" s="79"/>
      <c r="Z2" s="79"/>
      <c r="AA2" s="79"/>
      <c r="AB2" s="79"/>
      <c r="AC2" s="79"/>
      <c r="AD2" s="79"/>
    </row>
    <row r="3" spans="1:32" s="82" customFormat="1" ht="14.25">
      <c r="A3" s="779" t="s">
        <v>77</v>
      </c>
      <c r="B3" s="779"/>
      <c r="C3" s="779"/>
      <c r="D3" s="779"/>
      <c r="E3" s="779"/>
      <c r="F3" s="779"/>
      <c r="G3" s="779"/>
      <c r="H3" s="779"/>
      <c r="I3" s="779"/>
      <c r="J3" s="779"/>
      <c r="K3" s="779"/>
      <c r="L3" s="779"/>
      <c r="M3" s="81"/>
      <c r="N3" s="81"/>
      <c r="O3" s="81"/>
      <c r="P3" s="81"/>
      <c r="Q3" s="81"/>
      <c r="R3" s="81"/>
      <c r="S3" s="81"/>
      <c r="T3" s="81"/>
      <c r="U3" s="81"/>
      <c r="V3" s="81"/>
      <c r="W3" s="81"/>
      <c r="X3" s="81"/>
      <c r="Y3" s="81"/>
      <c r="Z3" s="81"/>
      <c r="AA3" s="81"/>
      <c r="AB3" s="81"/>
      <c r="AC3" s="81"/>
      <c r="AD3" s="81"/>
    </row>
    <row r="4" spans="1:32" s="84" customFormat="1" ht="12">
      <c r="A4" s="780" t="s">
        <v>78</v>
      </c>
      <c r="B4" s="780"/>
      <c r="C4" s="780"/>
      <c r="D4" s="780"/>
      <c r="E4" s="780"/>
      <c r="F4" s="780"/>
      <c r="G4" s="780"/>
      <c r="H4" s="780"/>
      <c r="I4" s="780"/>
      <c r="J4" s="780"/>
      <c r="K4" s="780"/>
      <c r="L4" s="780"/>
      <c r="M4" s="83"/>
      <c r="N4" s="83"/>
      <c r="O4" s="83"/>
      <c r="P4" s="83"/>
      <c r="Q4" s="83"/>
      <c r="R4" s="83"/>
      <c r="S4" s="83"/>
      <c r="T4" s="83"/>
      <c r="U4" s="83"/>
      <c r="V4" s="83"/>
      <c r="W4" s="83"/>
      <c r="X4" s="83"/>
      <c r="Y4" s="83"/>
      <c r="Z4" s="83"/>
      <c r="AA4" s="83"/>
      <c r="AB4" s="83"/>
      <c r="AC4" s="83"/>
      <c r="AD4" s="83"/>
    </row>
    <row r="5" spans="1:32" s="80" customFormat="1" ht="6" customHeight="1">
      <c r="A5" s="703"/>
      <c r="B5" s="703"/>
      <c r="C5" s="703"/>
      <c r="D5" s="707"/>
      <c r="E5" s="707"/>
      <c r="F5" s="707"/>
      <c r="G5" s="707"/>
      <c r="H5" s="707"/>
      <c r="I5" s="707"/>
      <c r="J5" s="707"/>
      <c r="K5" s="707"/>
      <c r="L5" s="703"/>
      <c r="M5" s="79"/>
      <c r="N5" s="79"/>
      <c r="O5" s="79"/>
      <c r="P5" s="79"/>
      <c r="Q5" s="79"/>
      <c r="R5" s="79"/>
      <c r="S5" s="79"/>
      <c r="T5" s="79"/>
      <c r="U5" s="79"/>
      <c r="V5" s="79"/>
      <c r="W5" s="79"/>
      <c r="X5" s="79"/>
      <c r="Y5" s="79"/>
      <c r="Z5" s="79"/>
      <c r="AA5" s="79"/>
      <c r="AB5" s="79"/>
      <c r="AC5" s="79"/>
      <c r="AD5" s="79"/>
    </row>
    <row r="6" spans="1:32" s="30" customFormat="1" ht="17.25" customHeight="1">
      <c r="A6" s="85"/>
      <c r="B6" s="86"/>
      <c r="C6" s="86"/>
      <c r="D6" s="781" t="s">
        <v>79</v>
      </c>
      <c r="E6" s="781"/>
      <c r="F6" s="781"/>
      <c r="G6" s="781"/>
      <c r="H6" s="782" t="s">
        <v>80</v>
      </c>
      <c r="I6" s="782"/>
      <c r="J6" s="782"/>
      <c r="K6" s="782"/>
      <c r="L6" s="87"/>
      <c r="M6" s="23"/>
      <c r="N6" s="23"/>
      <c r="O6" s="23"/>
      <c r="P6" s="23"/>
      <c r="Q6" s="23"/>
      <c r="R6" s="25"/>
      <c r="S6" s="25"/>
      <c r="T6" s="25"/>
      <c r="U6" s="25"/>
      <c r="V6" s="25"/>
      <c r="W6" s="25"/>
      <c r="X6" s="25"/>
      <c r="Y6" s="25"/>
      <c r="Z6" s="25"/>
      <c r="AA6" s="25"/>
      <c r="AB6" s="23"/>
      <c r="AC6" s="23"/>
      <c r="AD6" s="23"/>
      <c r="AE6" s="23"/>
    </row>
    <row r="7" spans="1:32" s="97" customFormat="1" ht="35.25" customHeight="1">
      <c r="A7" s="88" t="s">
        <v>81</v>
      </c>
      <c r="B7" s="89" t="s">
        <v>82</v>
      </c>
      <c r="C7" s="90"/>
      <c r="D7" s="90" t="s">
        <v>83</v>
      </c>
      <c r="E7" s="90" t="s">
        <v>84</v>
      </c>
      <c r="F7" s="90" t="s">
        <v>17</v>
      </c>
      <c r="G7" s="91" t="s">
        <v>85</v>
      </c>
      <c r="H7" s="90" t="s">
        <v>86</v>
      </c>
      <c r="I7" s="90" t="s">
        <v>87</v>
      </c>
      <c r="J7" s="90" t="s">
        <v>88</v>
      </c>
      <c r="K7" s="90" t="s">
        <v>89</v>
      </c>
      <c r="L7" s="92" t="s">
        <v>27</v>
      </c>
      <c r="M7" s="93"/>
      <c r="N7" s="93"/>
      <c r="O7" s="93"/>
      <c r="P7" s="93"/>
      <c r="Q7" s="93"/>
      <c r="R7" s="94"/>
      <c r="S7" s="94"/>
      <c r="T7" s="94"/>
      <c r="U7" s="95"/>
      <c r="V7" s="94"/>
      <c r="W7" s="94"/>
      <c r="X7" s="94"/>
      <c r="Y7" s="94"/>
      <c r="Z7" s="96"/>
      <c r="AA7" s="96"/>
      <c r="AB7" s="93"/>
      <c r="AC7" s="93"/>
      <c r="AD7" s="93"/>
      <c r="AE7" s="93"/>
    </row>
    <row r="8" spans="1:32" s="80" customFormat="1" ht="24">
      <c r="A8" s="98"/>
      <c r="B8" s="99" t="s">
        <v>90</v>
      </c>
      <c r="C8" s="99"/>
      <c r="D8" s="100" t="s">
        <v>91</v>
      </c>
      <c r="E8" s="100" t="s">
        <v>92</v>
      </c>
      <c r="F8" s="100" t="s">
        <v>93</v>
      </c>
      <c r="G8" s="101" t="s">
        <v>94</v>
      </c>
      <c r="H8" s="100" t="s">
        <v>95</v>
      </c>
      <c r="I8" s="100" t="s">
        <v>96</v>
      </c>
      <c r="J8" s="100" t="s">
        <v>97</v>
      </c>
      <c r="K8" s="100" t="s">
        <v>98</v>
      </c>
      <c r="L8" s="102"/>
      <c r="M8" s="79"/>
      <c r="N8" s="79"/>
      <c r="O8" s="79"/>
      <c r="P8" s="79"/>
      <c r="Q8" s="79"/>
      <c r="R8" s="83"/>
      <c r="S8" s="83"/>
      <c r="T8" s="83"/>
      <c r="U8" s="83"/>
      <c r="V8" s="83"/>
      <c r="W8" s="83"/>
      <c r="X8" s="83"/>
      <c r="Y8" s="83"/>
      <c r="Z8" s="83"/>
      <c r="AA8" s="83"/>
      <c r="AB8" s="79"/>
      <c r="AC8" s="79"/>
      <c r="AD8" s="79"/>
      <c r="AE8" s="79"/>
    </row>
    <row r="9" spans="1:32" s="30" customFormat="1" ht="15">
      <c r="A9" s="103" t="s">
        <v>30</v>
      </c>
      <c r="B9" s="104">
        <f>SUM(D9:K9)</f>
        <v>148582.96918261514</v>
      </c>
      <c r="C9" s="105"/>
      <c r="D9" s="104">
        <f t="shared" ref="D9:K9" si="0">D10+D11+D12</f>
        <v>103870.66972179369</v>
      </c>
      <c r="E9" s="104">
        <f t="shared" si="0"/>
        <v>42704.576500856783</v>
      </c>
      <c r="F9" s="104">
        <f t="shared" si="0"/>
        <v>212.68961995324841</v>
      </c>
      <c r="G9" s="104">
        <f t="shared" si="0"/>
        <v>0</v>
      </c>
      <c r="H9" s="104">
        <f t="shared" si="0"/>
        <v>3.2111469335556504</v>
      </c>
      <c r="I9" s="104">
        <f t="shared" si="0"/>
        <v>7.0504098873260022</v>
      </c>
      <c r="J9" s="104">
        <f t="shared" si="0"/>
        <v>88.162762023225241</v>
      </c>
      <c r="K9" s="104">
        <f t="shared" si="0"/>
        <v>1696.6090211673268</v>
      </c>
      <c r="L9" s="106" t="s">
        <v>31</v>
      </c>
      <c r="M9" s="107"/>
      <c r="N9" s="107"/>
      <c r="O9" s="107"/>
      <c r="P9" s="107"/>
      <c r="Q9" s="107"/>
      <c r="R9" s="107"/>
      <c r="S9" s="107"/>
      <c r="T9" s="107"/>
      <c r="U9" s="107"/>
      <c r="V9" s="108"/>
      <c r="W9" s="25"/>
      <c r="X9" s="25"/>
      <c r="Y9" s="25"/>
      <c r="Z9" s="25"/>
      <c r="AA9" s="25"/>
      <c r="AB9" s="23"/>
      <c r="AC9" s="23"/>
      <c r="AD9" s="23"/>
      <c r="AE9" s="23"/>
      <c r="AF9" s="23"/>
    </row>
    <row r="10" spans="1:32" s="30" customFormat="1" ht="15">
      <c r="A10" s="103" t="s">
        <v>32</v>
      </c>
      <c r="B10" s="109">
        <f>SUM(D10:K10)</f>
        <v>24817.541091693121</v>
      </c>
      <c r="C10" s="110"/>
      <c r="D10" s="111">
        <v>19354.194136451391</v>
      </c>
      <c r="E10" s="111">
        <v>5166.4801072579103</v>
      </c>
      <c r="F10" s="111">
        <v>21.810831171841759</v>
      </c>
      <c r="G10" s="111">
        <v>0</v>
      </c>
      <c r="H10" s="111">
        <v>2.204153825727774E-2</v>
      </c>
      <c r="I10" s="111">
        <v>3.5554696711931868</v>
      </c>
      <c r="J10" s="111">
        <v>10.608422812933492</v>
      </c>
      <c r="K10" s="111">
        <v>260.87008278959644</v>
      </c>
      <c r="L10" s="106" t="s">
        <v>33</v>
      </c>
      <c r="M10" s="107"/>
      <c r="N10" s="598"/>
      <c r="O10" s="23"/>
      <c r="P10" s="23"/>
      <c r="Q10" s="23"/>
      <c r="R10" s="25"/>
      <c r="S10" s="25"/>
      <c r="T10" s="25"/>
      <c r="U10" s="25"/>
      <c r="V10" s="25"/>
      <c r="W10" s="25"/>
      <c r="X10" s="25"/>
      <c r="Y10" s="25"/>
      <c r="Z10" s="25"/>
      <c r="AA10" s="25"/>
      <c r="AB10" s="23"/>
      <c r="AC10" s="23"/>
      <c r="AD10" s="23"/>
      <c r="AE10" s="23"/>
      <c r="AF10" s="23"/>
    </row>
    <row r="11" spans="1:32" s="30" customFormat="1" ht="15">
      <c r="A11" s="103" t="s">
        <v>34</v>
      </c>
      <c r="B11" s="109">
        <f>SUM(D11:K11)</f>
        <v>123765.42809092204</v>
      </c>
      <c r="C11" s="110"/>
      <c r="D11" s="111">
        <f t="shared" ref="D11:K11" si="1">SUM(D13:D32)</f>
        <v>84516.475585342298</v>
      </c>
      <c r="E11" s="111">
        <f t="shared" si="1"/>
        <v>37538.096393598877</v>
      </c>
      <c r="F11" s="111">
        <f t="shared" si="1"/>
        <v>190.87878878140666</v>
      </c>
      <c r="G11" s="111">
        <f t="shared" si="1"/>
        <v>0</v>
      </c>
      <c r="H11" s="111">
        <f t="shared" si="1"/>
        <v>3.1891053952983728</v>
      </c>
      <c r="I11" s="111">
        <f t="shared" si="1"/>
        <v>3.4949402161328154</v>
      </c>
      <c r="J11" s="111">
        <f t="shared" si="1"/>
        <v>77.554339210291744</v>
      </c>
      <c r="K11" s="111">
        <f t="shared" si="1"/>
        <v>1435.7389383777304</v>
      </c>
      <c r="L11" s="106" t="s">
        <v>35</v>
      </c>
      <c r="M11" s="107"/>
      <c r="N11" s="598"/>
      <c r="O11" s="23"/>
      <c r="P11" s="23"/>
      <c r="Q11" s="23"/>
      <c r="R11" s="23"/>
      <c r="S11" s="23"/>
      <c r="T11" s="23"/>
      <c r="U11" s="23"/>
      <c r="V11" s="23"/>
      <c r="W11" s="23"/>
      <c r="X11" s="23"/>
      <c r="Y11" s="23"/>
      <c r="Z11" s="23"/>
      <c r="AA11" s="23"/>
      <c r="AB11" s="23"/>
      <c r="AC11" s="23"/>
      <c r="AD11" s="23"/>
      <c r="AE11" s="23"/>
      <c r="AF11" s="23"/>
    </row>
    <row r="12" spans="1:32" s="30" customFormat="1" ht="15.75" hidden="1">
      <c r="A12" s="112" t="s">
        <v>36</v>
      </c>
      <c r="B12" s="109">
        <f>SUM(D12:K12)</f>
        <v>0</v>
      </c>
      <c r="C12" s="105"/>
      <c r="D12" s="111"/>
      <c r="E12" s="111"/>
      <c r="F12" s="111"/>
      <c r="G12" s="111"/>
      <c r="H12" s="111"/>
      <c r="I12" s="111"/>
      <c r="J12" s="111"/>
      <c r="K12" s="113"/>
      <c r="L12" s="114" t="s">
        <v>391</v>
      </c>
      <c r="M12" s="115"/>
      <c r="N12" s="598"/>
      <c r="O12" s="23"/>
      <c r="P12" s="23"/>
      <c r="Q12" s="23"/>
      <c r="R12" s="23"/>
      <c r="S12" s="23"/>
      <c r="T12" s="23"/>
      <c r="U12" s="23"/>
      <c r="V12" s="23"/>
      <c r="W12" s="23"/>
      <c r="X12" s="23"/>
      <c r="Y12" s="23"/>
      <c r="Z12" s="23"/>
      <c r="AA12" s="23"/>
      <c r="AB12" s="23"/>
      <c r="AC12" s="23"/>
      <c r="AD12" s="23"/>
      <c r="AE12" s="23"/>
      <c r="AF12" s="23"/>
    </row>
    <row r="13" spans="1:32" s="30" customFormat="1" ht="15">
      <c r="A13" s="116" t="s">
        <v>37</v>
      </c>
      <c r="B13" s="117">
        <f t="shared" ref="B13:B32" si="2">SUM(D13:K13)</f>
        <v>7837.2333079125528</v>
      </c>
      <c r="C13" s="105"/>
      <c r="D13" s="118">
        <v>5538.7371375407129</v>
      </c>
      <c r="E13" s="118">
        <v>2275.0284598141689</v>
      </c>
      <c r="F13" s="118">
        <v>16.832953216788724</v>
      </c>
      <c r="G13" s="118">
        <v>0</v>
      </c>
      <c r="H13" s="118">
        <v>0</v>
      </c>
      <c r="I13" s="118">
        <v>1.0088242510061736</v>
      </c>
      <c r="J13" s="118">
        <v>0.8816615302911095</v>
      </c>
      <c r="K13" s="118">
        <v>4.7442715595847469</v>
      </c>
      <c r="L13" s="119" t="s">
        <v>38</v>
      </c>
      <c r="M13" s="120"/>
      <c r="N13" s="598"/>
      <c r="O13" s="23"/>
      <c r="P13" s="23"/>
      <c r="Q13" s="23"/>
      <c r="R13" s="23"/>
      <c r="S13" s="23"/>
      <c r="T13" s="23"/>
      <c r="U13" s="23"/>
      <c r="V13" s="23"/>
      <c r="W13" s="23"/>
      <c r="X13" s="23"/>
      <c r="Y13" s="23"/>
      <c r="Z13" s="23"/>
      <c r="AA13" s="23"/>
      <c r="AB13" s="23"/>
      <c r="AC13" s="23"/>
      <c r="AD13" s="23"/>
      <c r="AE13" s="23"/>
      <c r="AF13" s="23"/>
    </row>
    <row r="14" spans="1:32" s="30" customFormat="1" ht="15">
      <c r="A14" s="116" t="s">
        <v>39</v>
      </c>
      <c r="B14" s="117">
        <f t="shared" si="2"/>
        <v>1742.5440616363173</v>
      </c>
      <c r="C14" s="105"/>
      <c r="D14" s="118">
        <v>457.53131653753502</v>
      </c>
      <c r="E14" s="118">
        <v>1281.6405932057719</v>
      </c>
      <c r="F14" s="118">
        <v>1.1650987572502727</v>
      </c>
      <c r="G14" s="118">
        <v>0</v>
      </c>
      <c r="H14" s="118">
        <v>0</v>
      </c>
      <c r="I14" s="118">
        <v>0</v>
      </c>
      <c r="J14" s="118">
        <v>0</v>
      </c>
      <c r="K14" s="118">
        <v>2.2070531357600776</v>
      </c>
      <c r="L14" s="119" t="s">
        <v>40</v>
      </c>
      <c r="M14" s="120"/>
      <c r="N14" s="598"/>
      <c r="O14" s="23"/>
      <c r="P14" s="23"/>
      <c r="Q14" s="23"/>
      <c r="R14" s="23"/>
      <c r="S14" s="23"/>
      <c r="T14" s="23"/>
      <c r="U14" s="23"/>
      <c r="V14" s="23"/>
      <c r="W14" s="23"/>
      <c r="X14" s="23"/>
      <c r="Y14" s="23"/>
      <c r="Z14" s="23"/>
      <c r="AA14" s="23"/>
      <c r="AB14" s="23"/>
      <c r="AC14" s="23"/>
      <c r="AD14" s="23"/>
      <c r="AE14" s="23"/>
      <c r="AF14" s="23"/>
    </row>
    <row r="15" spans="1:32" s="30" customFormat="1" ht="15">
      <c r="A15" s="116" t="s">
        <v>41</v>
      </c>
      <c r="B15" s="117">
        <f t="shared" si="2"/>
        <v>3916.1276980237226</v>
      </c>
      <c r="C15" s="105"/>
      <c r="D15" s="118">
        <v>1400.3418386643382</v>
      </c>
      <c r="E15" s="118">
        <v>2498.2958139770872</v>
      </c>
      <c r="F15" s="118">
        <v>4.0104409308822557</v>
      </c>
      <c r="G15" s="118">
        <v>0</v>
      </c>
      <c r="H15" s="118">
        <v>0</v>
      </c>
      <c r="I15" s="118">
        <v>5.0865088286025553E-2</v>
      </c>
      <c r="J15" s="118">
        <v>4.2828404336833517</v>
      </c>
      <c r="K15" s="118">
        <v>9.1458989294453978</v>
      </c>
      <c r="L15" s="119" t="s">
        <v>42</v>
      </c>
      <c r="M15" s="120"/>
      <c r="N15" s="598"/>
      <c r="O15" s="23"/>
      <c r="P15" s="23"/>
      <c r="Q15" s="23"/>
      <c r="R15" s="23"/>
      <c r="S15" s="23"/>
      <c r="T15" s="23"/>
      <c r="U15" s="23"/>
      <c r="V15" s="23"/>
      <c r="W15" s="23"/>
      <c r="X15" s="23"/>
      <c r="Y15" s="23"/>
      <c r="Z15" s="23"/>
      <c r="AA15" s="23"/>
      <c r="AB15" s="23"/>
      <c r="AC15" s="23"/>
      <c r="AD15" s="23"/>
      <c r="AE15" s="23"/>
      <c r="AF15" s="23"/>
    </row>
    <row r="16" spans="1:32" s="30" customFormat="1" ht="15">
      <c r="A16" s="116" t="s">
        <v>43</v>
      </c>
      <c r="B16" s="117">
        <f t="shared" si="2"/>
        <v>2616.621895499482</v>
      </c>
      <c r="C16" s="105"/>
      <c r="D16" s="118">
        <v>897.83998546189241</v>
      </c>
      <c r="E16" s="118">
        <v>1704.7179674519452</v>
      </c>
      <c r="F16" s="118">
        <v>11.465584325700165</v>
      </c>
      <c r="G16" s="118">
        <v>0</v>
      </c>
      <c r="H16" s="118">
        <v>0</v>
      </c>
      <c r="I16" s="118">
        <v>0.25432544143012775</v>
      </c>
      <c r="J16" s="118">
        <v>0.25432544143012775</v>
      </c>
      <c r="K16" s="118">
        <v>2.0897073770842165</v>
      </c>
      <c r="L16" s="119" t="s">
        <v>44</v>
      </c>
      <c r="M16" s="120"/>
      <c r="N16" s="598"/>
      <c r="O16" s="23"/>
      <c r="P16" s="23"/>
      <c r="Q16" s="23"/>
      <c r="R16" s="23"/>
      <c r="S16" s="23"/>
      <c r="T16" s="23"/>
      <c r="U16" s="23"/>
      <c r="V16" s="23"/>
      <c r="W16" s="23"/>
      <c r="X16" s="23"/>
      <c r="Y16" s="23"/>
      <c r="Z16" s="23"/>
      <c r="AA16" s="23"/>
      <c r="AB16" s="23"/>
      <c r="AC16" s="23"/>
      <c r="AD16" s="23"/>
      <c r="AE16" s="23"/>
      <c r="AF16" s="23"/>
    </row>
    <row r="17" spans="1:32" s="2" customFormat="1" ht="15">
      <c r="A17" s="116" t="s">
        <v>45</v>
      </c>
      <c r="B17" s="117">
        <f t="shared" si="2"/>
        <v>7759.5142166813057</v>
      </c>
      <c r="C17" s="105"/>
      <c r="D17" s="118">
        <v>4829.6445241107513</v>
      </c>
      <c r="E17" s="118">
        <v>2875.6564098481012</v>
      </c>
      <c r="F17" s="118">
        <v>8.2943664864490447</v>
      </c>
      <c r="G17" s="118">
        <v>0</v>
      </c>
      <c r="H17" s="118">
        <v>0</v>
      </c>
      <c r="I17" s="118">
        <v>0.86301099791956704</v>
      </c>
      <c r="J17" s="118">
        <v>5.1916300110603419</v>
      </c>
      <c r="K17" s="118">
        <v>39.864275227024237</v>
      </c>
      <c r="L17" s="119" t="s">
        <v>46</v>
      </c>
      <c r="M17" s="120"/>
      <c r="N17" s="598"/>
      <c r="O17" s="23"/>
      <c r="P17" s="23"/>
      <c r="Q17" s="23"/>
      <c r="R17" s="23"/>
      <c r="S17" s="23"/>
      <c r="T17" s="23"/>
      <c r="U17" s="23"/>
      <c r="V17" s="23"/>
      <c r="W17" s="23"/>
      <c r="X17" s="23"/>
      <c r="Y17" s="23"/>
      <c r="Z17" s="23"/>
      <c r="AA17" s="23"/>
      <c r="AB17" s="23"/>
      <c r="AC17" s="23"/>
      <c r="AD17" s="23"/>
      <c r="AE17" s="23"/>
      <c r="AF17" s="23"/>
    </row>
    <row r="18" spans="1:32" s="2" customFormat="1" ht="15">
      <c r="A18" s="116" t="s">
        <v>47</v>
      </c>
      <c r="B18" s="117">
        <f t="shared" si="2"/>
        <v>2242.4289738665666</v>
      </c>
      <c r="C18" s="105"/>
      <c r="D18" s="118">
        <v>660.98878732663434</v>
      </c>
      <c r="E18" s="118">
        <v>1564.3066206513731</v>
      </c>
      <c r="F18" s="118">
        <v>4.5083423250847323</v>
      </c>
      <c r="G18" s="118">
        <v>0</v>
      </c>
      <c r="H18" s="118">
        <v>0</v>
      </c>
      <c r="I18" s="118">
        <v>3.7301064743085408E-2</v>
      </c>
      <c r="J18" s="118">
        <v>0.25432544143012775</v>
      </c>
      <c r="K18" s="118">
        <v>12.333597057301191</v>
      </c>
      <c r="L18" s="119" t="s">
        <v>48</v>
      </c>
      <c r="M18" s="120"/>
      <c r="N18" s="598"/>
      <c r="O18" s="23"/>
      <c r="P18" s="23"/>
      <c r="Q18" s="23"/>
      <c r="R18" s="23"/>
      <c r="S18" s="23"/>
      <c r="T18" s="23"/>
      <c r="U18" s="23"/>
      <c r="V18" s="23"/>
      <c r="W18" s="23"/>
      <c r="X18" s="23"/>
      <c r="Y18" s="23"/>
      <c r="Z18" s="23"/>
      <c r="AA18" s="23"/>
      <c r="AB18" s="23"/>
      <c r="AC18" s="23"/>
      <c r="AD18" s="23"/>
      <c r="AE18" s="23"/>
      <c r="AF18" s="23"/>
    </row>
    <row r="19" spans="1:32" s="2" customFormat="1" ht="15">
      <c r="A19" s="116" t="s">
        <v>49</v>
      </c>
      <c r="B19" s="117">
        <f t="shared" si="2"/>
        <v>4714.9029731799819</v>
      </c>
      <c r="C19" s="105"/>
      <c r="D19" s="118">
        <v>3656.1506705441889</v>
      </c>
      <c r="E19" s="118">
        <v>1051.9668998584373</v>
      </c>
      <c r="F19" s="118">
        <v>3.758930024337289</v>
      </c>
      <c r="G19" s="118">
        <v>0</v>
      </c>
      <c r="H19" s="118">
        <v>0</v>
      </c>
      <c r="I19" s="118">
        <v>0.95795916272014803</v>
      </c>
      <c r="J19" s="118">
        <v>1.6615928840101681</v>
      </c>
      <c r="K19" s="118">
        <v>0.40692070628820448</v>
      </c>
      <c r="L19" s="119" t="s">
        <v>50</v>
      </c>
      <c r="M19" s="120"/>
      <c r="N19" s="598"/>
      <c r="O19" s="23"/>
      <c r="P19" s="23"/>
      <c r="Q19" s="23"/>
      <c r="R19" s="23"/>
      <c r="S19" s="23"/>
      <c r="T19" s="23"/>
      <c r="U19" s="23"/>
      <c r="V19" s="23"/>
      <c r="W19" s="23"/>
      <c r="X19" s="23"/>
      <c r="Y19" s="23"/>
      <c r="Z19" s="23"/>
      <c r="AA19" s="23"/>
      <c r="AB19" s="23"/>
      <c r="AC19" s="23"/>
      <c r="AD19" s="23"/>
      <c r="AE19" s="23"/>
      <c r="AF19" s="23"/>
    </row>
    <row r="20" spans="1:32" s="2" customFormat="1" ht="15">
      <c r="A20" s="116" t="s">
        <v>51</v>
      </c>
      <c r="B20" s="117">
        <f t="shared" si="2"/>
        <v>6948.9645043832579</v>
      </c>
      <c r="C20" s="105"/>
      <c r="D20" s="118">
        <v>4924.8966247688613</v>
      </c>
      <c r="E20" s="118">
        <v>2011.1991309632383</v>
      </c>
      <c r="F20" s="118">
        <v>4.6551559249076302</v>
      </c>
      <c r="G20" s="118">
        <v>0</v>
      </c>
      <c r="H20" s="118">
        <v>8.4775147143375928E-3</v>
      </c>
      <c r="I20" s="118">
        <v>0</v>
      </c>
      <c r="J20" s="118">
        <v>7.3330502279020182</v>
      </c>
      <c r="K20" s="118">
        <v>0.87206498363447926</v>
      </c>
      <c r="L20" s="119" t="s">
        <v>52</v>
      </c>
      <c r="M20" s="120"/>
      <c r="N20" s="599"/>
      <c r="P20" s="23"/>
      <c r="AB20" s="23"/>
      <c r="AC20" s="23"/>
      <c r="AD20" s="23"/>
      <c r="AE20" s="23"/>
      <c r="AF20" s="23"/>
    </row>
    <row r="21" spans="1:32" s="2" customFormat="1" ht="15">
      <c r="A21" s="116" t="s">
        <v>53</v>
      </c>
      <c r="B21" s="117">
        <f t="shared" si="2"/>
        <v>3221.6682753374389</v>
      </c>
      <c r="C21" s="105"/>
      <c r="D21" s="118">
        <v>518.40243239592269</v>
      </c>
      <c r="E21" s="118">
        <v>2702.8450021560666</v>
      </c>
      <c r="F21" s="118">
        <v>0.24764515983522978</v>
      </c>
      <c r="G21" s="118">
        <v>0</v>
      </c>
      <c r="H21" s="118">
        <v>0</v>
      </c>
      <c r="I21" s="118">
        <v>0</v>
      </c>
      <c r="J21" s="118">
        <v>0</v>
      </c>
      <c r="K21" s="118">
        <v>0.17319562561391702</v>
      </c>
      <c r="L21" s="119" t="s">
        <v>54</v>
      </c>
      <c r="M21" s="120"/>
      <c r="N21" s="599"/>
      <c r="P21" s="23"/>
      <c r="AB21" s="23"/>
      <c r="AC21" s="23"/>
      <c r="AD21" s="23"/>
      <c r="AE21" s="23"/>
      <c r="AF21" s="23"/>
    </row>
    <row r="22" spans="1:32" s="2" customFormat="1" ht="15">
      <c r="A22" s="116" t="s">
        <v>55</v>
      </c>
      <c r="B22" s="117">
        <f t="shared" si="2"/>
        <v>3060.8803911245118</v>
      </c>
      <c r="C22" s="105"/>
      <c r="D22" s="118">
        <v>278.36228146063092</v>
      </c>
      <c r="E22" s="118">
        <v>2779.3682551617098</v>
      </c>
      <c r="F22" s="118">
        <v>0.36490614336394733</v>
      </c>
      <c r="G22" s="118">
        <v>0</v>
      </c>
      <c r="H22" s="118">
        <v>0.16093713933698486</v>
      </c>
      <c r="I22" s="118">
        <v>7.4602129486170824E-3</v>
      </c>
      <c r="J22" s="118">
        <v>0</v>
      </c>
      <c r="K22" s="118">
        <v>2.6165510065214406</v>
      </c>
      <c r="L22" s="119" t="s">
        <v>56</v>
      </c>
      <c r="M22" s="120"/>
      <c r="N22" s="599"/>
      <c r="P22" s="23"/>
      <c r="AB22" s="23"/>
      <c r="AC22" s="23"/>
      <c r="AD22" s="23"/>
      <c r="AE22" s="23"/>
      <c r="AF22" s="23"/>
    </row>
    <row r="23" spans="1:32" s="2" customFormat="1" ht="15">
      <c r="A23" s="116" t="s">
        <v>57</v>
      </c>
      <c r="B23" s="117">
        <f t="shared" si="2"/>
        <v>639.55167891345968</v>
      </c>
      <c r="C23" s="105"/>
      <c r="D23" s="118">
        <v>496.3318501732337</v>
      </c>
      <c r="E23" s="118">
        <v>138.76252105372146</v>
      </c>
      <c r="F23" s="118">
        <v>0</v>
      </c>
      <c r="G23" s="118">
        <v>0</v>
      </c>
      <c r="H23" s="118">
        <v>0</v>
      </c>
      <c r="I23" s="118">
        <v>0</v>
      </c>
      <c r="J23" s="118">
        <v>4.3540515572837872</v>
      </c>
      <c r="K23" s="118">
        <v>0.10325612922063188</v>
      </c>
      <c r="L23" s="119" t="s">
        <v>58</v>
      </c>
      <c r="M23" s="120"/>
      <c r="N23" s="599"/>
      <c r="P23" s="23"/>
      <c r="AB23" s="23"/>
      <c r="AC23" s="23"/>
      <c r="AD23" s="23"/>
      <c r="AE23" s="23"/>
      <c r="AF23" s="23"/>
    </row>
    <row r="24" spans="1:32" s="2" customFormat="1" ht="15">
      <c r="A24" s="116" t="s">
        <v>59</v>
      </c>
      <c r="B24" s="117">
        <f t="shared" si="2"/>
        <v>4086.0262316599055</v>
      </c>
      <c r="C24" s="105"/>
      <c r="D24" s="118">
        <v>3099.5441994028979</v>
      </c>
      <c r="E24" s="118">
        <v>975.15625910397625</v>
      </c>
      <c r="F24" s="118">
        <v>1.3818348984370277</v>
      </c>
      <c r="G24" s="118">
        <v>0</v>
      </c>
      <c r="H24" s="118">
        <v>0</v>
      </c>
      <c r="I24" s="118">
        <v>8.4775147143375931E-2</v>
      </c>
      <c r="J24" s="118">
        <v>9.3479859252057782</v>
      </c>
      <c r="K24" s="118">
        <v>0.5111771822451282</v>
      </c>
      <c r="L24" s="119" t="s">
        <v>60</v>
      </c>
      <c r="M24" s="120"/>
      <c r="N24" s="599"/>
      <c r="P24" s="23"/>
      <c r="AB24" s="23"/>
      <c r="AC24" s="23"/>
      <c r="AD24" s="23"/>
      <c r="AE24" s="23"/>
      <c r="AF24" s="23"/>
    </row>
    <row r="25" spans="1:32" s="2" customFormat="1" ht="15">
      <c r="A25" s="116" t="s">
        <v>61</v>
      </c>
      <c r="B25" s="117">
        <f t="shared" si="2"/>
        <v>3083.7334818653935</v>
      </c>
      <c r="C25" s="105"/>
      <c r="D25" s="118">
        <v>292.52203691757694</v>
      </c>
      <c r="E25" s="118">
        <v>1654.703563857443</v>
      </c>
      <c r="F25" s="118">
        <v>5.3001421994038629E-2</v>
      </c>
      <c r="G25" s="118">
        <v>0</v>
      </c>
      <c r="H25" s="118">
        <v>0</v>
      </c>
      <c r="I25" s="118">
        <v>0</v>
      </c>
      <c r="J25" s="118">
        <v>0</v>
      </c>
      <c r="K25" s="118">
        <v>1136.4548796683798</v>
      </c>
      <c r="L25" s="119" t="s">
        <v>62</v>
      </c>
      <c r="M25" s="120"/>
      <c r="N25" s="599"/>
      <c r="P25" s="23"/>
      <c r="AB25" s="23"/>
      <c r="AC25" s="23"/>
      <c r="AD25" s="23"/>
      <c r="AE25" s="23"/>
      <c r="AF25" s="23"/>
    </row>
    <row r="26" spans="1:32" s="2" customFormat="1" ht="15">
      <c r="A26" s="116" t="s">
        <v>63</v>
      </c>
      <c r="B26" s="117">
        <f t="shared" si="2"/>
        <v>11389.740816779351</v>
      </c>
      <c r="C26" s="105"/>
      <c r="D26" s="118">
        <v>5208.3621157620937</v>
      </c>
      <c r="E26" s="118">
        <v>6052.6651376704103</v>
      </c>
      <c r="F26" s="118">
        <v>24.004049003588037</v>
      </c>
      <c r="G26" s="118">
        <v>0</v>
      </c>
      <c r="H26" s="118">
        <v>0</v>
      </c>
      <c r="I26" s="118">
        <v>0.1186852060007263</v>
      </c>
      <c r="J26" s="118">
        <v>6.1122881090374044</v>
      </c>
      <c r="K26" s="118">
        <v>98.478541028219766</v>
      </c>
      <c r="L26" s="119" t="s">
        <v>64</v>
      </c>
      <c r="M26" s="120"/>
      <c r="N26" s="600"/>
      <c r="O26" s="121"/>
      <c r="P26" s="23"/>
      <c r="Q26" s="121"/>
      <c r="R26" s="121"/>
      <c r="S26" s="121"/>
      <c r="T26" s="121"/>
      <c r="U26" s="121"/>
      <c r="V26" s="121"/>
      <c r="W26" s="121"/>
      <c r="X26" s="121"/>
      <c r="Y26" s="121"/>
      <c r="Z26" s="121"/>
      <c r="AA26" s="121"/>
    </row>
    <row r="27" spans="1:32" ht="15">
      <c r="A27" s="116" t="s">
        <v>65</v>
      </c>
      <c r="B27" s="117">
        <f t="shared" si="2"/>
        <v>7553.6508780813638</v>
      </c>
      <c r="C27" s="105"/>
      <c r="D27" s="118">
        <v>6477.1965413303269</v>
      </c>
      <c r="E27" s="118">
        <v>1008.6165010305833</v>
      </c>
      <c r="F27" s="118">
        <v>8.942082520683293</v>
      </c>
      <c r="G27" s="118">
        <v>0</v>
      </c>
      <c r="H27" s="118">
        <v>3.0129087294755803</v>
      </c>
      <c r="I27" s="118">
        <v>1.6955029428675186E-2</v>
      </c>
      <c r="J27" s="118">
        <v>13.394473248653398</v>
      </c>
      <c r="K27" s="118">
        <v>42.47141619221275</v>
      </c>
      <c r="L27" s="119" t="s">
        <v>66</v>
      </c>
      <c r="M27" s="120"/>
      <c r="N27" s="601"/>
      <c r="P27" s="23"/>
    </row>
    <row r="28" spans="1:32" ht="15">
      <c r="A28" s="116" t="s">
        <v>67</v>
      </c>
      <c r="B28" s="117">
        <f t="shared" si="2"/>
        <v>10600.246504317003</v>
      </c>
      <c r="C28" s="105"/>
      <c r="D28" s="118">
        <v>9055.3349961545318</v>
      </c>
      <c r="E28" s="118">
        <v>1523.8957491856286</v>
      </c>
      <c r="F28" s="118">
        <v>3.4232204416495198</v>
      </c>
      <c r="G28" s="118">
        <v>0</v>
      </c>
      <c r="H28" s="118">
        <v>0</v>
      </c>
      <c r="I28" s="118">
        <v>0</v>
      </c>
      <c r="J28" s="118">
        <v>16.426032510500523</v>
      </c>
      <c r="K28" s="118">
        <v>1.1665060246928529</v>
      </c>
      <c r="L28" s="119" t="s">
        <v>68</v>
      </c>
      <c r="M28" s="120"/>
      <c r="N28" s="601"/>
      <c r="P28" s="23"/>
    </row>
    <row r="29" spans="1:32" ht="15">
      <c r="A29" s="116" t="s">
        <v>69</v>
      </c>
      <c r="B29" s="117">
        <f t="shared" si="2"/>
        <v>21156.044330819717</v>
      </c>
      <c r="C29" s="105"/>
      <c r="D29" s="118">
        <v>18733.615745849627</v>
      </c>
      <c r="E29" s="118">
        <v>2370.9785481687773</v>
      </c>
      <c r="F29" s="118">
        <v>36.799195871996616</v>
      </c>
      <c r="G29" s="118">
        <v>0</v>
      </c>
      <c r="H29" s="118">
        <v>6.7820117714700746E-3</v>
      </c>
      <c r="I29" s="118">
        <v>9.1048508031985748E-2</v>
      </c>
      <c r="J29" s="118">
        <v>1.6459942569357868</v>
      </c>
      <c r="K29" s="118">
        <v>12.907016152578986</v>
      </c>
      <c r="L29" s="119" t="s">
        <v>70</v>
      </c>
      <c r="M29" s="120"/>
      <c r="N29" s="601"/>
      <c r="P29" s="23"/>
    </row>
    <row r="30" spans="1:32" ht="15">
      <c r="A30" s="116" t="s">
        <v>71</v>
      </c>
      <c r="B30" s="117">
        <f t="shared" si="2"/>
        <v>11610.003248031657</v>
      </c>
      <c r="C30" s="105"/>
      <c r="D30" s="118">
        <v>10138.271291521201</v>
      </c>
      <c r="E30" s="118">
        <v>1449.8870965945493</v>
      </c>
      <c r="F30" s="118">
        <v>17.60610255873631</v>
      </c>
      <c r="G30" s="118">
        <v>0</v>
      </c>
      <c r="H30" s="118">
        <v>0</v>
      </c>
      <c r="I30" s="118">
        <v>0</v>
      </c>
      <c r="J30" s="118">
        <v>4.2387573571687964</v>
      </c>
      <c r="K30" s="118">
        <v>0</v>
      </c>
      <c r="L30" s="119" t="s">
        <v>72</v>
      </c>
      <c r="M30" s="120"/>
      <c r="N30" s="601"/>
      <c r="P30" s="23"/>
    </row>
    <row r="31" spans="1:32" ht="15">
      <c r="A31" s="116" t="s">
        <v>73</v>
      </c>
      <c r="B31" s="117">
        <f t="shared" si="2"/>
        <v>2155.5727494560856</v>
      </c>
      <c r="C31" s="105"/>
      <c r="D31" s="118">
        <v>1220.1697101363759</v>
      </c>
      <c r="E31" s="118">
        <v>827.49614552679225</v>
      </c>
      <c r="F31" s="118">
        <v>38.854145438752049</v>
      </c>
      <c r="G31" s="118">
        <v>0</v>
      </c>
      <c r="H31" s="118">
        <v>0</v>
      </c>
      <c r="I31" s="118">
        <v>0</v>
      </c>
      <c r="J31" s="118">
        <v>0</v>
      </c>
      <c r="K31" s="118">
        <v>69.052748354165431</v>
      </c>
      <c r="L31" s="119" t="s">
        <v>74</v>
      </c>
      <c r="M31" s="120"/>
      <c r="N31" s="601"/>
      <c r="P31" s="23"/>
    </row>
    <row r="32" spans="1:32" ht="15">
      <c r="A32" s="122" t="s">
        <v>42</v>
      </c>
      <c r="B32" s="123">
        <f t="shared" si="2"/>
        <v>7429.9718733529526</v>
      </c>
      <c r="C32" s="124"/>
      <c r="D32" s="125">
        <v>6632.2314992829552</v>
      </c>
      <c r="E32" s="125">
        <v>790.90971831909678</v>
      </c>
      <c r="F32" s="125">
        <v>4.5117333309704675</v>
      </c>
      <c r="G32" s="125">
        <v>0</v>
      </c>
      <c r="H32" s="125">
        <v>0</v>
      </c>
      <c r="I32" s="125">
        <v>3.7301064743085412E-3</v>
      </c>
      <c r="J32" s="125">
        <v>2.175330275699026</v>
      </c>
      <c r="K32" s="125">
        <v>0.13986203775714162</v>
      </c>
      <c r="L32" s="126" t="s">
        <v>75</v>
      </c>
      <c r="M32" s="127"/>
      <c r="N32" s="601"/>
      <c r="P32" s="23"/>
    </row>
    <row r="33" spans="1:32" ht="17.25">
      <c r="A33" s="24" t="s">
        <v>397</v>
      </c>
      <c r="B33" s="22"/>
      <c r="C33" s="22"/>
      <c r="D33" s="22"/>
      <c r="E33" s="22"/>
      <c r="F33" s="22"/>
      <c r="G33" s="22"/>
      <c r="H33" s="22"/>
      <c r="I33" s="22"/>
      <c r="J33" s="22"/>
      <c r="K33" s="22"/>
      <c r="L33" s="20" t="s">
        <v>389</v>
      </c>
    </row>
    <row r="34" spans="1:32" s="29" customFormat="1">
      <c r="A34" s="14"/>
      <c r="B34" s="14"/>
      <c r="C34" s="14"/>
      <c r="D34" s="14"/>
      <c r="E34" s="14"/>
      <c r="F34" s="151"/>
      <c r="G34" s="761" t="s">
        <v>394</v>
      </c>
      <c r="H34" s="761"/>
      <c r="I34" s="761"/>
      <c r="J34" s="761"/>
      <c r="K34" s="761"/>
      <c r="L34" s="761"/>
      <c r="M34" s="1"/>
      <c r="N34" s="1"/>
      <c r="O34" s="1"/>
      <c r="P34" s="1"/>
      <c r="Q34" s="1"/>
      <c r="R34" s="1"/>
      <c r="S34" s="1"/>
      <c r="T34" s="1"/>
      <c r="U34" s="1"/>
      <c r="V34" s="1"/>
      <c r="W34" s="1"/>
      <c r="X34" s="1"/>
      <c r="Y34" s="1"/>
      <c r="Z34" s="1"/>
      <c r="AA34" s="1"/>
      <c r="AB34" s="1"/>
      <c r="AC34" s="1"/>
      <c r="AD34" s="1"/>
    </row>
    <row r="35" spans="1:32" s="29" customFormat="1" ht="19.5" customHeight="1">
      <c r="A35" s="14"/>
      <c r="B35" s="14"/>
      <c r="C35" s="14"/>
      <c r="D35" s="14"/>
      <c r="E35" s="14"/>
      <c r="F35" s="151"/>
      <c r="G35" s="761"/>
      <c r="H35" s="761"/>
      <c r="I35" s="761"/>
      <c r="J35" s="761"/>
      <c r="K35" s="761"/>
      <c r="L35" s="761"/>
      <c r="M35" s="1"/>
      <c r="N35" s="1"/>
      <c r="O35" s="1"/>
      <c r="P35" s="1"/>
      <c r="Q35" s="1"/>
      <c r="R35" s="1"/>
      <c r="S35" s="1"/>
      <c r="T35" s="1"/>
      <c r="U35" s="1"/>
      <c r="V35" s="1"/>
      <c r="W35" s="1"/>
      <c r="X35" s="1"/>
      <c r="Y35" s="1"/>
      <c r="Z35" s="1"/>
      <c r="AA35" s="1"/>
      <c r="AB35" s="1"/>
      <c r="AC35" s="1"/>
      <c r="AD35" s="1"/>
    </row>
    <row r="36" spans="1:32" s="29" customFormat="1" ht="19.5" customHeight="1">
      <c r="A36" s="14"/>
      <c r="B36" s="14"/>
      <c r="C36" s="14"/>
      <c r="D36" s="14"/>
      <c r="E36" s="14"/>
      <c r="F36" s="151"/>
      <c r="G36" s="701"/>
      <c r="H36" s="701"/>
      <c r="I36" s="701"/>
      <c r="J36" s="701"/>
      <c r="K36" s="701"/>
      <c r="L36" s="701"/>
      <c r="M36" s="1"/>
      <c r="N36" s="1"/>
      <c r="O36" s="1"/>
      <c r="P36" s="1"/>
      <c r="Q36" s="1"/>
      <c r="R36" s="1"/>
      <c r="S36" s="1"/>
      <c r="T36" s="1"/>
      <c r="U36" s="1"/>
      <c r="V36" s="1"/>
      <c r="W36" s="1"/>
      <c r="X36" s="1"/>
      <c r="Y36" s="1"/>
      <c r="Z36" s="1"/>
      <c r="AA36" s="1"/>
      <c r="AB36" s="1"/>
      <c r="AC36" s="1"/>
      <c r="AD36" s="1"/>
    </row>
    <row r="37" spans="1:32" s="29" customFormat="1" ht="18.75">
      <c r="A37" s="766" t="s">
        <v>407</v>
      </c>
      <c r="B37" s="766"/>
      <c r="C37" s="766"/>
      <c r="D37" s="766"/>
      <c r="E37" s="766"/>
      <c r="F37" s="766"/>
      <c r="G37" s="766"/>
      <c r="H37" s="766"/>
      <c r="I37" s="766"/>
      <c r="J37" s="766"/>
      <c r="K37" s="766"/>
      <c r="L37" s="766"/>
      <c r="M37" s="1"/>
      <c r="N37" s="1"/>
      <c r="O37" s="1"/>
      <c r="P37" s="1"/>
      <c r="Q37" s="1"/>
      <c r="R37" s="1"/>
      <c r="S37" s="1"/>
      <c r="T37" s="1"/>
      <c r="U37" s="1"/>
      <c r="V37" s="1"/>
      <c r="W37" s="1"/>
      <c r="X37" s="1"/>
      <c r="Y37" s="1"/>
      <c r="Z37" s="1"/>
      <c r="AA37" s="1"/>
      <c r="AB37" s="1"/>
      <c r="AC37" s="1"/>
      <c r="AD37" s="1"/>
    </row>
    <row r="38" spans="1:32" s="80" customFormat="1" ht="15.75">
      <c r="A38" s="778" t="s">
        <v>406</v>
      </c>
      <c r="B38" s="778"/>
      <c r="C38" s="778"/>
      <c r="D38" s="778"/>
      <c r="E38" s="778"/>
      <c r="F38" s="778"/>
      <c r="G38" s="778"/>
      <c r="H38" s="778"/>
      <c r="I38" s="778"/>
      <c r="J38" s="778"/>
      <c r="K38" s="778"/>
      <c r="L38" s="778"/>
      <c r="M38" s="79"/>
      <c r="N38" s="79"/>
      <c r="O38" s="79"/>
      <c r="P38" s="79"/>
      <c r="Q38" s="79"/>
      <c r="R38" s="79"/>
      <c r="S38" s="79"/>
      <c r="T38" s="79"/>
      <c r="U38" s="79"/>
      <c r="V38" s="79"/>
      <c r="W38" s="79"/>
      <c r="X38" s="79"/>
      <c r="Y38" s="79"/>
      <c r="Z38" s="79"/>
      <c r="AA38" s="79"/>
      <c r="AB38" s="79"/>
      <c r="AC38" s="79"/>
      <c r="AD38" s="79"/>
    </row>
    <row r="39" spans="1:32" s="82" customFormat="1" ht="14.25">
      <c r="A39" s="779" t="s">
        <v>77</v>
      </c>
      <c r="B39" s="779"/>
      <c r="C39" s="779"/>
      <c r="D39" s="779"/>
      <c r="E39" s="779"/>
      <c r="F39" s="779"/>
      <c r="G39" s="779"/>
      <c r="H39" s="779"/>
      <c r="I39" s="779"/>
      <c r="J39" s="779"/>
      <c r="K39" s="779"/>
      <c r="L39" s="779"/>
      <c r="M39" s="81"/>
      <c r="N39" s="81"/>
      <c r="O39" s="81"/>
      <c r="P39" s="81"/>
      <c r="Q39" s="81"/>
      <c r="R39" s="81"/>
      <c r="S39" s="81"/>
      <c r="T39" s="81"/>
      <c r="U39" s="81"/>
      <c r="V39" s="81"/>
      <c r="W39" s="81"/>
      <c r="X39" s="81"/>
      <c r="Y39" s="81"/>
      <c r="Z39" s="81"/>
      <c r="AA39" s="81"/>
      <c r="AB39" s="81"/>
      <c r="AC39" s="81"/>
      <c r="AD39" s="81"/>
    </row>
    <row r="40" spans="1:32" s="84" customFormat="1" ht="12">
      <c r="A40" s="780" t="s">
        <v>78</v>
      </c>
      <c r="B40" s="780"/>
      <c r="C40" s="780"/>
      <c r="D40" s="780"/>
      <c r="E40" s="780"/>
      <c r="F40" s="780"/>
      <c r="G40" s="780"/>
      <c r="H40" s="780"/>
      <c r="I40" s="780"/>
      <c r="J40" s="780"/>
      <c r="K40" s="780"/>
      <c r="L40" s="780"/>
      <c r="M40" s="83"/>
      <c r="N40" s="83"/>
      <c r="O40" s="83"/>
      <c r="P40" s="83"/>
      <c r="Q40" s="83"/>
      <c r="R40" s="83"/>
      <c r="S40" s="83"/>
      <c r="T40" s="83"/>
      <c r="U40" s="83"/>
      <c r="V40" s="83"/>
      <c r="W40" s="83"/>
      <c r="X40" s="83"/>
      <c r="Y40" s="83"/>
      <c r="Z40" s="83"/>
      <c r="AA40" s="83"/>
      <c r="AB40" s="83"/>
      <c r="AC40" s="83"/>
      <c r="AD40" s="83"/>
    </row>
    <row r="41" spans="1:32" s="80" customFormat="1" ht="6" customHeight="1">
      <c r="A41" s="703"/>
      <c r="B41" s="703"/>
      <c r="C41" s="703"/>
      <c r="D41" s="707"/>
      <c r="E41" s="707"/>
      <c r="F41" s="707"/>
      <c r="G41" s="707"/>
      <c r="H41" s="707"/>
      <c r="I41" s="707"/>
      <c r="J41" s="707"/>
      <c r="K41" s="707"/>
      <c r="L41" s="703"/>
      <c r="M41" s="79"/>
      <c r="N41" s="79"/>
      <c r="O41" s="79"/>
      <c r="P41" s="79"/>
      <c r="Q41" s="79"/>
      <c r="R41" s="79"/>
      <c r="S41" s="79"/>
      <c r="T41" s="79"/>
      <c r="U41" s="79"/>
      <c r="V41" s="79"/>
      <c r="W41" s="79"/>
      <c r="X41" s="79"/>
      <c r="Y41" s="79"/>
      <c r="Z41" s="79"/>
      <c r="AA41" s="79"/>
      <c r="AB41" s="79"/>
      <c r="AC41" s="79"/>
      <c r="AD41" s="79"/>
    </row>
    <row r="42" spans="1:32" s="30" customFormat="1" ht="17.25" customHeight="1">
      <c r="A42" s="85"/>
      <c r="B42" s="86"/>
      <c r="C42" s="86"/>
      <c r="D42" s="781" t="s">
        <v>79</v>
      </c>
      <c r="E42" s="781"/>
      <c r="F42" s="781"/>
      <c r="G42" s="781"/>
      <c r="H42" s="782" t="s">
        <v>80</v>
      </c>
      <c r="I42" s="782"/>
      <c r="J42" s="782"/>
      <c r="K42" s="782"/>
      <c r="L42" s="87"/>
      <c r="M42" s="23"/>
      <c r="N42" s="23"/>
      <c r="O42" s="23"/>
      <c r="P42" s="23"/>
      <c r="Q42" s="23"/>
      <c r="R42" s="25"/>
      <c r="S42" s="25"/>
      <c r="T42" s="25"/>
      <c r="U42" s="25"/>
      <c r="V42" s="25"/>
      <c r="W42" s="25"/>
      <c r="X42" s="25"/>
      <c r="Y42" s="25"/>
      <c r="Z42" s="25"/>
      <c r="AA42" s="25"/>
      <c r="AB42" s="23"/>
      <c r="AC42" s="23"/>
      <c r="AD42" s="23"/>
      <c r="AE42" s="23"/>
    </row>
    <row r="43" spans="1:32" s="97" customFormat="1" ht="35.25" customHeight="1">
      <c r="A43" s="88" t="s">
        <v>81</v>
      </c>
      <c r="B43" s="89" t="s">
        <v>82</v>
      </c>
      <c r="C43" s="90"/>
      <c r="D43" s="90" t="s">
        <v>83</v>
      </c>
      <c r="E43" s="90" t="s">
        <v>84</v>
      </c>
      <c r="F43" s="90" t="s">
        <v>17</v>
      </c>
      <c r="G43" s="91" t="s">
        <v>85</v>
      </c>
      <c r="H43" s="90" t="s">
        <v>86</v>
      </c>
      <c r="I43" s="90" t="s">
        <v>87</v>
      </c>
      <c r="J43" s="90" t="s">
        <v>88</v>
      </c>
      <c r="K43" s="90" t="s">
        <v>89</v>
      </c>
      <c r="L43" s="92" t="s">
        <v>27</v>
      </c>
      <c r="M43" s="93"/>
      <c r="N43" s="93"/>
      <c r="O43" s="93"/>
      <c r="P43" s="93"/>
      <c r="Q43" s="93"/>
      <c r="R43" s="94"/>
      <c r="S43" s="94"/>
      <c r="T43" s="94"/>
      <c r="U43" s="95"/>
      <c r="V43" s="94"/>
      <c r="W43" s="94"/>
      <c r="X43" s="94"/>
      <c r="Y43" s="94"/>
      <c r="Z43" s="96"/>
      <c r="AA43" s="96"/>
      <c r="AB43" s="93"/>
      <c r="AC43" s="93"/>
      <c r="AD43" s="93"/>
      <c r="AE43" s="93"/>
    </row>
    <row r="44" spans="1:32" s="80" customFormat="1" ht="24">
      <c r="A44" s="98"/>
      <c r="B44" s="99" t="s">
        <v>90</v>
      </c>
      <c r="C44" s="99"/>
      <c r="D44" s="100" t="s">
        <v>91</v>
      </c>
      <c r="E44" s="100" t="s">
        <v>92</v>
      </c>
      <c r="F44" s="100" t="s">
        <v>93</v>
      </c>
      <c r="G44" s="101" t="s">
        <v>94</v>
      </c>
      <c r="H44" s="100" t="s">
        <v>95</v>
      </c>
      <c r="I44" s="100" t="s">
        <v>96</v>
      </c>
      <c r="J44" s="100" t="s">
        <v>97</v>
      </c>
      <c r="K44" s="100" t="s">
        <v>98</v>
      </c>
      <c r="L44" s="102"/>
      <c r="M44" s="79"/>
      <c r="N44" s="79"/>
      <c r="O44" s="79"/>
      <c r="P44" s="79"/>
      <c r="Q44" s="79"/>
      <c r="R44" s="83"/>
      <c r="S44" s="83"/>
      <c r="T44" s="83"/>
      <c r="U44" s="83"/>
      <c r="V44" s="83"/>
      <c r="W44" s="83"/>
      <c r="X44" s="83"/>
      <c r="Y44" s="83"/>
      <c r="Z44" s="83"/>
      <c r="AA44" s="83"/>
      <c r="AB44" s="79"/>
      <c r="AC44" s="79"/>
      <c r="AD44" s="79"/>
      <c r="AE44" s="79"/>
    </row>
    <row r="45" spans="1:32" s="30" customFormat="1" ht="15">
      <c r="A45" s="103" t="s">
        <v>30</v>
      </c>
      <c r="B45" s="104">
        <f t="shared" ref="B45:B68" si="3">SUM(D45:K45)</f>
        <v>135068.92557018765</v>
      </c>
      <c r="C45" s="105"/>
      <c r="D45" s="104">
        <f t="shared" ref="D45:K45" si="4">D46+D47+D48</f>
        <v>88019.666239199199</v>
      </c>
      <c r="E45" s="104">
        <f t="shared" si="4"/>
        <v>44423.897166028532</v>
      </c>
      <c r="F45" s="104">
        <f t="shared" si="4"/>
        <v>395.98115232852706</v>
      </c>
      <c r="G45" s="104">
        <f>G46+G47+G48</f>
        <v>4.1649999999999991</v>
      </c>
      <c r="H45" s="104">
        <f t="shared" si="4"/>
        <v>3.3175771206069244</v>
      </c>
      <c r="I45" s="104">
        <f t="shared" si="4"/>
        <v>45.756334734952446</v>
      </c>
      <c r="J45" s="104">
        <f t="shared" si="4"/>
        <v>132.90904725091949</v>
      </c>
      <c r="K45" s="104">
        <f t="shared" si="4"/>
        <v>2043.2330535248925</v>
      </c>
      <c r="L45" s="106" t="s">
        <v>31</v>
      </c>
      <c r="M45" s="107"/>
      <c r="N45" s="107"/>
      <c r="O45" s="107"/>
      <c r="P45" s="107"/>
      <c r="Q45" s="107"/>
      <c r="R45" s="107"/>
      <c r="S45" s="107"/>
      <c r="T45" s="107"/>
      <c r="U45" s="107"/>
      <c r="V45" s="108"/>
      <c r="W45" s="25"/>
      <c r="X45" s="25"/>
      <c r="Y45" s="25"/>
      <c r="Z45" s="25"/>
      <c r="AA45" s="25"/>
      <c r="AB45" s="23"/>
      <c r="AC45" s="23"/>
      <c r="AD45" s="23"/>
      <c r="AE45" s="23"/>
      <c r="AF45" s="23"/>
    </row>
    <row r="46" spans="1:32" s="30" customFormat="1" ht="15">
      <c r="A46" s="103" t="s">
        <v>32</v>
      </c>
      <c r="B46" s="109">
        <f t="shared" si="3"/>
        <v>23902.536011453336</v>
      </c>
      <c r="C46" s="110"/>
      <c r="D46" s="111">
        <v>17850.897178296571</v>
      </c>
      <c r="E46" s="111">
        <v>5862.6879271099406</v>
      </c>
      <c r="F46" s="111">
        <v>41.75010678998779</v>
      </c>
      <c r="G46" s="118">
        <v>0</v>
      </c>
      <c r="H46" s="111">
        <v>0.33711007375807944</v>
      </c>
      <c r="I46" s="111">
        <v>14.997406189255825</v>
      </c>
      <c r="J46" s="111">
        <v>12.279382291933553</v>
      </c>
      <c r="K46" s="111">
        <v>119.58690070188669</v>
      </c>
      <c r="L46" s="106" t="s">
        <v>33</v>
      </c>
      <c r="M46" s="107"/>
      <c r="N46" s="598"/>
      <c r="O46" s="23"/>
      <c r="P46" s="23"/>
      <c r="Q46" s="23"/>
      <c r="R46" s="25"/>
      <c r="S46" s="25"/>
      <c r="T46" s="25"/>
      <c r="U46" s="25"/>
      <c r="V46" s="25"/>
      <c r="W46" s="25"/>
      <c r="X46" s="25"/>
      <c r="Y46" s="25"/>
      <c r="Z46" s="25"/>
      <c r="AA46" s="25"/>
      <c r="AB46" s="23"/>
      <c r="AC46" s="23"/>
      <c r="AD46" s="23"/>
      <c r="AE46" s="23"/>
      <c r="AF46" s="23"/>
    </row>
    <row r="47" spans="1:32" s="30" customFormat="1" ht="15">
      <c r="A47" s="103" t="s">
        <v>34</v>
      </c>
      <c r="B47" s="109">
        <f t="shared" si="3"/>
        <v>110466.71250873432</v>
      </c>
      <c r="C47" s="110"/>
      <c r="D47" s="111">
        <f t="shared" ref="D47:K47" si="5">SUM(D49:D68)</f>
        <v>70167.311060902633</v>
      </c>
      <c r="E47" s="111">
        <f t="shared" si="5"/>
        <v>38081.995738918595</v>
      </c>
      <c r="F47" s="111">
        <f t="shared" si="5"/>
        <v>270.63449553853928</v>
      </c>
      <c r="G47" s="111">
        <f>SUM(G49:G68)</f>
        <v>0</v>
      </c>
      <c r="H47" s="111">
        <f t="shared" si="5"/>
        <v>2.9804670468488448</v>
      </c>
      <c r="I47" s="111">
        <f t="shared" si="5"/>
        <v>30.758928545696619</v>
      </c>
      <c r="J47" s="111">
        <f t="shared" si="5"/>
        <v>120.62966495898594</v>
      </c>
      <c r="K47" s="111">
        <f t="shared" si="5"/>
        <v>1792.402152823006</v>
      </c>
      <c r="L47" s="106" t="s">
        <v>35</v>
      </c>
      <c r="M47" s="107"/>
      <c r="N47" s="598"/>
      <c r="O47" s="23"/>
      <c r="P47" s="23"/>
      <c r="Q47" s="23"/>
      <c r="R47" s="23"/>
      <c r="S47" s="23"/>
      <c r="T47" s="23"/>
      <c r="U47" s="23"/>
      <c r="V47" s="23"/>
      <c r="W47" s="23"/>
      <c r="X47" s="23"/>
      <c r="Y47" s="23"/>
      <c r="Z47" s="23"/>
      <c r="AA47" s="23"/>
      <c r="AB47" s="23"/>
      <c r="AC47" s="23"/>
      <c r="AD47" s="23"/>
      <c r="AE47" s="23"/>
      <c r="AF47" s="23"/>
    </row>
    <row r="48" spans="1:32" s="30" customFormat="1" ht="15.75">
      <c r="A48" s="112" t="s">
        <v>36</v>
      </c>
      <c r="B48" s="109">
        <f>SUM(D48:K48)</f>
        <v>699.67705000000001</v>
      </c>
      <c r="C48" s="105"/>
      <c r="D48" s="111">
        <v>1.458</v>
      </c>
      <c r="E48" s="111">
        <v>479.21350000000007</v>
      </c>
      <c r="F48" s="111">
        <v>83.596549999999993</v>
      </c>
      <c r="G48" s="111">
        <v>4.1649999999999991</v>
      </c>
      <c r="H48" s="118">
        <v>0</v>
      </c>
      <c r="I48" s="118">
        <v>0</v>
      </c>
      <c r="J48" s="118">
        <v>0</v>
      </c>
      <c r="K48" s="113">
        <v>131.24399999999997</v>
      </c>
      <c r="L48" s="114" t="s">
        <v>391</v>
      </c>
      <c r="M48" s="115"/>
      <c r="N48" s="598"/>
      <c r="O48" s="23"/>
      <c r="P48" s="23"/>
      <c r="Q48" s="23"/>
      <c r="R48" s="23"/>
      <c r="S48" s="23"/>
      <c r="T48" s="23"/>
      <c r="U48" s="23"/>
      <c r="V48" s="23"/>
      <c r="W48" s="23"/>
      <c r="X48" s="23"/>
      <c r="Y48" s="23"/>
      <c r="Z48" s="23"/>
      <c r="AA48" s="23"/>
      <c r="AB48" s="23"/>
      <c r="AC48" s="23"/>
      <c r="AD48" s="23"/>
      <c r="AE48" s="23"/>
      <c r="AF48" s="23"/>
    </row>
    <row r="49" spans="1:32" s="30" customFormat="1" ht="15">
      <c r="A49" s="116" t="s">
        <v>37</v>
      </c>
      <c r="B49" s="117">
        <f t="shared" si="3"/>
        <v>4820.649337796397</v>
      </c>
      <c r="C49" s="105"/>
      <c r="D49" s="118">
        <v>1454.3663422742227</v>
      </c>
      <c r="E49" s="118">
        <v>3266.1567496729231</v>
      </c>
      <c r="F49" s="118">
        <v>12.924031380348126</v>
      </c>
      <c r="G49" s="118">
        <v>0</v>
      </c>
      <c r="H49" s="118">
        <v>0.11089147163094717</v>
      </c>
      <c r="I49" s="118">
        <v>0.29571059101585917</v>
      </c>
      <c r="J49" s="118">
        <v>0.19221188416030846</v>
      </c>
      <c r="K49" s="118">
        <v>86.603400522096038</v>
      </c>
      <c r="L49" s="119" t="s">
        <v>38</v>
      </c>
      <c r="M49" s="120"/>
      <c r="N49" s="598"/>
      <c r="O49" s="23"/>
      <c r="P49" s="23"/>
      <c r="Q49" s="23"/>
      <c r="R49" s="23"/>
      <c r="S49" s="23"/>
      <c r="T49" s="23"/>
      <c r="U49" s="23"/>
      <c r="V49" s="23"/>
      <c r="W49" s="23"/>
      <c r="X49" s="23"/>
      <c r="Y49" s="23"/>
      <c r="Z49" s="23"/>
      <c r="AA49" s="23"/>
      <c r="AB49" s="23"/>
      <c r="AC49" s="23"/>
      <c r="AD49" s="23"/>
      <c r="AE49" s="23"/>
      <c r="AF49" s="23"/>
    </row>
    <row r="50" spans="1:32" s="30" customFormat="1" ht="15">
      <c r="A50" s="116" t="s">
        <v>39</v>
      </c>
      <c r="B50" s="117">
        <f t="shared" si="3"/>
        <v>2061.359250263466</v>
      </c>
      <c r="C50" s="105"/>
      <c r="D50" s="118">
        <v>393.78883402491186</v>
      </c>
      <c r="E50" s="118">
        <v>1655.5710866618422</v>
      </c>
      <c r="F50" s="118">
        <v>8.5061151505711887</v>
      </c>
      <c r="G50" s="118">
        <v>0</v>
      </c>
      <c r="H50" s="118">
        <v>0</v>
      </c>
      <c r="I50" s="118">
        <v>0.22178294326189438</v>
      </c>
      <c r="J50" s="118">
        <v>0</v>
      </c>
      <c r="K50" s="118">
        <v>3.2714314828788993</v>
      </c>
      <c r="L50" s="119" t="s">
        <v>40</v>
      </c>
      <c r="M50" s="120"/>
      <c r="N50" s="598"/>
      <c r="O50" s="23"/>
      <c r="P50" s="23"/>
      <c r="Q50" s="23"/>
      <c r="R50" s="23"/>
      <c r="S50" s="23"/>
      <c r="T50" s="23"/>
      <c r="U50" s="23"/>
      <c r="V50" s="23"/>
      <c r="W50" s="23"/>
      <c r="X50" s="23"/>
      <c r="Y50" s="23"/>
      <c r="Z50" s="23"/>
      <c r="AA50" s="23"/>
      <c r="AB50" s="23"/>
      <c r="AC50" s="23"/>
      <c r="AD50" s="23"/>
      <c r="AE50" s="23"/>
      <c r="AF50" s="23"/>
    </row>
    <row r="51" spans="1:32" s="30" customFormat="1" ht="15">
      <c r="A51" s="116" t="s">
        <v>41</v>
      </c>
      <c r="B51" s="117">
        <f t="shared" si="3"/>
        <v>3194.6032976825468</v>
      </c>
      <c r="C51" s="105"/>
      <c r="D51" s="118">
        <v>804.81179957846439</v>
      </c>
      <c r="E51" s="118">
        <v>2385.53469978982</v>
      </c>
      <c r="F51" s="118">
        <v>0</v>
      </c>
      <c r="G51" s="118">
        <v>0</v>
      </c>
      <c r="H51" s="118">
        <v>0</v>
      </c>
      <c r="I51" s="118">
        <v>0</v>
      </c>
      <c r="J51" s="118">
        <v>0</v>
      </c>
      <c r="K51" s="118">
        <v>4.2567983142619443</v>
      </c>
      <c r="L51" s="119" t="s">
        <v>42</v>
      </c>
      <c r="M51" s="120"/>
      <c r="N51" s="598"/>
      <c r="O51" s="23"/>
      <c r="P51" s="23"/>
      <c r="Q51" s="23"/>
      <c r="R51" s="23"/>
      <c r="S51" s="23"/>
      <c r="T51" s="23"/>
      <c r="U51" s="23"/>
      <c r="V51" s="23"/>
      <c r="W51" s="23"/>
      <c r="X51" s="23"/>
      <c r="Y51" s="23"/>
      <c r="Z51" s="23"/>
      <c r="AA51" s="23"/>
      <c r="AB51" s="23"/>
      <c r="AC51" s="23"/>
      <c r="AD51" s="23"/>
      <c r="AE51" s="23"/>
      <c r="AF51" s="23"/>
    </row>
    <row r="52" spans="1:32" s="30" customFormat="1" ht="15">
      <c r="A52" s="116" t="s">
        <v>43</v>
      </c>
      <c r="B52" s="117">
        <f t="shared" si="3"/>
        <v>3699.9022280220215</v>
      </c>
      <c r="C52" s="105"/>
      <c r="D52" s="118">
        <v>1378.7801868850161</v>
      </c>
      <c r="E52" s="118">
        <v>2316.6646475433276</v>
      </c>
      <c r="F52" s="118">
        <v>9.610594208015423E-2</v>
      </c>
      <c r="G52" s="118">
        <v>0</v>
      </c>
      <c r="H52" s="118">
        <v>0</v>
      </c>
      <c r="I52" s="118">
        <v>0.66520097449017523</v>
      </c>
      <c r="J52" s="118">
        <v>1.4069909920534578</v>
      </c>
      <c r="K52" s="118">
        <v>2.2890956850537658</v>
      </c>
      <c r="L52" s="119" t="s">
        <v>44</v>
      </c>
      <c r="M52" s="120"/>
      <c r="N52" s="598"/>
      <c r="O52" s="23"/>
      <c r="P52" s="23"/>
      <c r="Q52" s="23"/>
      <c r="R52" s="23"/>
      <c r="S52" s="23"/>
      <c r="T52" s="23"/>
      <c r="U52" s="23"/>
      <c r="V52" s="23"/>
      <c r="W52" s="23"/>
      <c r="X52" s="23"/>
      <c r="Y52" s="23"/>
      <c r="Z52" s="23"/>
      <c r="AA52" s="23"/>
      <c r="AB52" s="23"/>
      <c r="AC52" s="23"/>
      <c r="AD52" s="23"/>
      <c r="AE52" s="23"/>
      <c r="AF52" s="23"/>
    </row>
    <row r="53" spans="1:32" s="2" customFormat="1" ht="15">
      <c r="A53" s="116" t="s">
        <v>45</v>
      </c>
      <c r="B53" s="117">
        <f t="shared" si="3"/>
        <v>6474.1999351819668</v>
      </c>
      <c r="C53" s="105"/>
      <c r="D53" s="118">
        <v>3346.6128843966512</v>
      </c>
      <c r="E53" s="118">
        <v>3063.4630962553001</v>
      </c>
      <c r="F53" s="118">
        <v>0</v>
      </c>
      <c r="G53" s="118">
        <v>0</v>
      </c>
      <c r="H53" s="118">
        <v>3.2528165011744506E-2</v>
      </c>
      <c r="I53" s="118">
        <v>1.7139385855279194</v>
      </c>
      <c r="J53" s="118">
        <v>10.743165771606167</v>
      </c>
      <c r="K53" s="118">
        <v>51.634322007870182</v>
      </c>
      <c r="L53" s="119" t="s">
        <v>46</v>
      </c>
      <c r="M53" s="120"/>
      <c r="N53" s="598"/>
      <c r="O53" s="23"/>
      <c r="P53" s="23"/>
      <c r="Q53" s="23"/>
      <c r="R53" s="23"/>
      <c r="S53" s="23"/>
      <c r="T53" s="23"/>
      <c r="U53" s="23"/>
      <c r="V53" s="23"/>
      <c r="W53" s="23"/>
      <c r="X53" s="23"/>
      <c r="Y53" s="23"/>
      <c r="Z53" s="23"/>
      <c r="AA53" s="23"/>
      <c r="AB53" s="23"/>
      <c r="AC53" s="23"/>
      <c r="AD53" s="23"/>
      <c r="AE53" s="23"/>
      <c r="AF53" s="23"/>
    </row>
    <row r="54" spans="1:32" s="2" customFormat="1" ht="15">
      <c r="A54" s="116" t="s">
        <v>47</v>
      </c>
      <c r="B54" s="117">
        <f t="shared" si="3"/>
        <v>1655.162966646096</v>
      </c>
      <c r="C54" s="105"/>
      <c r="D54" s="118">
        <v>507.82996351735744</v>
      </c>
      <c r="E54" s="118">
        <v>1134.6069499890755</v>
      </c>
      <c r="F54" s="118">
        <v>1.572736778317847</v>
      </c>
      <c r="G54" s="118">
        <v>0</v>
      </c>
      <c r="H54" s="118">
        <v>3.666811328596653E-2</v>
      </c>
      <c r="I54" s="118">
        <v>0</v>
      </c>
      <c r="J54" s="118">
        <v>0</v>
      </c>
      <c r="K54" s="118">
        <v>11.116648248059192</v>
      </c>
      <c r="L54" s="119" t="s">
        <v>48</v>
      </c>
      <c r="M54" s="120"/>
      <c r="N54" s="598"/>
      <c r="O54" s="23"/>
      <c r="P54" s="23"/>
      <c r="Q54" s="23"/>
      <c r="R54" s="23"/>
      <c r="S54" s="23"/>
      <c r="T54" s="23"/>
      <c r="U54" s="23"/>
      <c r="V54" s="23"/>
      <c r="W54" s="23"/>
      <c r="X54" s="23"/>
      <c r="Y54" s="23"/>
      <c r="Z54" s="23"/>
      <c r="AA54" s="23"/>
      <c r="AB54" s="23"/>
      <c r="AC54" s="23"/>
      <c r="AD54" s="23"/>
      <c r="AE54" s="23"/>
      <c r="AF54" s="23"/>
    </row>
    <row r="55" spans="1:32" s="2" customFormat="1" ht="15">
      <c r="A55" s="116" t="s">
        <v>49</v>
      </c>
      <c r="B55" s="117">
        <f t="shared" si="3"/>
        <v>4554.6509441370617</v>
      </c>
      <c r="C55" s="105"/>
      <c r="D55" s="118">
        <v>3261.6393962956477</v>
      </c>
      <c r="E55" s="118">
        <v>1216.6169344818993</v>
      </c>
      <c r="F55" s="118">
        <v>7.0556547016383986</v>
      </c>
      <c r="G55" s="118">
        <v>0</v>
      </c>
      <c r="H55" s="118">
        <v>8.8713177304757754E-3</v>
      </c>
      <c r="I55" s="118">
        <v>14.925844226229982</v>
      </c>
      <c r="J55" s="118">
        <v>28.562685986221833</v>
      </c>
      <c r="K55" s="118">
        <v>25.841557127693896</v>
      </c>
      <c r="L55" s="119" t="s">
        <v>50</v>
      </c>
      <c r="M55" s="120"/>
      <c r="N55" s="598"/>
      <c r="O55" s="23"/>
      <c r="P55" s="23"/>
      <c r="Q55" s="23"/>
      <c r="R55" s="23"/>
      <c r="S55" s="23"/>
      <c r="T55" s="23"/>
      <c r="U55" s="23"/>
      <c r="V55" s="23"/>
      <c r="W55" s="23"/>
      <c r="X55" s="23"/>
      <c r="Y55" s="23"/>
      <c r="Z55" s="23"/>
      <c r="AA55" s="23"/>
      <c r="AB55" s="23"/>
      <c r="AC55" s="23"/>
      <c r="AD55" s="23"/>
      <c r="AE55" s="23"/>
      <c r="AF55" s="23"/>
    </row>
    <row r="56" spans="1:32" s="2" customFormat="1" ht="15">
      <c r="A56" s="116" t="s">
        <v>51</v>
      </c>
      <c r="B56" s="117">
        <f t="shared" si="3"/>
        <v>4040.3289710183303</v>
      </c>
      <c r="C56" s="105"/>
      <c r="D56" s="118">
        <v>2311.2894746149254</v>
      </c>
      <c r="E56" s="118">
        <v>1712.2996451276467</v>
      </c>
      <c r="F56" s="118">
        <v>5.9100423009838599</v>
      </c>
      <c r="G56" s="118">
        <v>0</v>
      </c>
      <c r="H56" s="118">
        <v>0</v>
      </c>
      <c r="I56" s="118">
        <v>8.8713177304757737E-2</v>
      </c>
      <c r="J56" s="118">
        <v>0.7984185957428197</v>
      </c>
      <c r="K56" s="118">
        <v>9.9426772017262319</v>
      </c>
      <c r="L56" s="119" t="s">
        <v>52</v>
      </c>
      <c r="M56" s="120"/>
      <c r="N56" s="599"/>
      <c r="P56" s="23"/>
      <c r="AB56" s="23"/>
      <c r="AC56" s="23"/>
      <c r="AD56" s="23"/>
      <c r="AE56" s="23"/>
      <c r="AF56" s="23"/>
    </row>
    <row r="57" spans="1:32" s="2" customFormat="1" ht="15">
      <c r="A57" s="116" t="s">
        <v>53</v>
      </c>
      <c r="B57" s="117">
        <f t="shared" si="3"/>
        <v>2836.170164942137</v>
      </c>
      <c r="C57" s="105"/>
      <c r="D57" s="118">
        <v>340.13134886648851</v>
      </c>
      <c r="E57" s="118">
        <v>2480.6349408935116</v>
      </c>
      <c r="F57" s="118">
        <v>14.776658233062481</v>
      </c>
      <c r="G57" s="118">
        <v>0</v>
      </c>
      <c r="H57" s="118">
        <v>0</v>
      </c>
      <c r="I57" s="118">
        <v>0</v>
      </c>
      <c r="J57" s="118">
        <v>0</v>
      </c>
      <c r="K57" s="118">
        <v>0.62721694907418801</v>
      </c>
      <c r="L57" s="119" t="s">
        <v>54</v>
      </c>
      <c r="M57" s="120"/>
      <c r="N57" s="599"/>
      <c r="P57" s="23"/>
      <c r="AB57" s="23"/>
      <c r="AC57" s="23"/>
      <c r="AD57" s="23"/>
      <c r="AE57" s="23"/>
      <c r="AF57" s="23"/>
    </row>
    <row r="58" spans="1:32" s="2" customFormat="1" ht="15">
      <c r="A58" s="116" t="s">
        <v>55</v>
      </c>
      <c r="B58" s="117">
        <f t="shared" si="3"/>
        <v>3008.043363969608</v>
      </c>
      <c r="C58" s="105"/>
      <c r="D58" s="118">
        <v>180.37358378593416</v>
      </c>
      <c r="E58" s="118">
        <v>2764.2194248089331</v>
      </c>
      <c r="F58" s="118">
        <v>23.022548063539716</v>
      </c>
      <c r="G58" s="118">
        <v>0</v>
      </c>
      <c r="H58" s="118">
        <v>3.5485270921903102E-2</v>
      </c>
      <c r="I58" s="118">
        <v>2.5431110827363886E-2</v>
      </c>
      <c r="J58" s="118">
        <v>0</v>
      </c>
      <c r="K58" s="118">
        <v>40.366890929452012</v>
      </c>
      <c r="L58" s="119" t="s">
        <v>56</v>
      </c>
      <c r="M58" s="120"/>
      <c r="N58" s="599"/>
      <c r="P58" s="23"/>
      <c r="AB58" s="23"/>
      <c r="AC58" s="23"/>
      <c r="AD58" s="23"/>
      <c r="AE58" s="23"/>
      <c r="AF58" s="23"/>
    </row>
    <row r="59" spans="1:32" s="2" customFormat="1" ht="15">
      <c r="A59" s="116" t="s">
        <v>57</v>
      </c>
      <c r="B59" s="117">
        <f t="shared" si="3"/>
        <v>256.77748611255839</v>
      </c>
      <c r="C59" s="105"/>
      <c r="D59" s="118">
        <v>74.658496479660485</v>
      </c>
      <c r="E59" s="118">
        <v>177.88670572663116</v>
      </c>
      <c r="F59" s="118">
        <v>3.6963823876982396</v>
      </c>
      <c r="G59" s="118">
        <v>0</v>
      </c>
      <c r="H59" s="118">
        <v>0</v>
      </c>
      <c r="I59" s="118">
        <v>0</v>
      </c>
      <c r="J59" s="118">
        <v>8.1320412529361272E-2</v>
      </c>
      <c r="K59" s="118">
        <v>0.45458110603912949</v>
      </c>
      <c r="L59" s="119" t="s">
        <v>58</v>
      </c>
      <c r="M59" s="120"/>
      <c r="N59" s="599"/>
      <c r="P59" s="23"/>
      <c r="AB59" s="23"/>
      <c r="AC59" s="23"/>
      <c r="AD59" s="23"/>
      <c r="AE59" s="23"/>
      <c r="AF59" s="23"/>
    </row>
    <row r="60" spans="1:32" s="2" customFormat="1" ht="15">
      <c r="A60" s="116" t="s">
        <v>59</v>
      </c>
      <c r="B60" s="117">
        <f t="shared" si="3"/>
        <v>3660.9335097969497</v>
      </c>
      <c r="C60" s="105"/>
      <c r="D60" s="118">
        <v>2495.7374772081089</v>
      </c>
      <c r="E60" s="118">
        <v>957.17664307518885</v>
      </c>
      <c r="F60" s="118">
        <v>33.86477688313618</v>
      </c>
      <c r="G60" s="118">
        <v>0</v>
      </c>
      <c r="H60" s="118">
        <v>0</v>
      </c>
      <c r="I60" s="118">
        <v>3.4021503496374597</v>
      </c>
      <c r="J60" s="118">
        <v>19.524291771822103</v>
      </c>
      <c r="K60" s="118">
        <v>151.22817050905644</v>
      </c>
      <c r="L60" s="119" t="s">
        <v>60</v>
      </c>
      <c r="M60" s="120"/>
      <c r="N60" s="599"/>
      <c r="P60" s="23"/>
      <c r="AB60" s="23"/>
      <c r="AC60" s="23"/>
      <c r="AD60" s="23"/>
      <c r="AE60" s="23"/>
      <c r="AF60" s="23"/>
    </row>
    <row r="61" spans="1:32" s="2" customFormat="1" ht="15">
      <c r="A61" s="116" t="s">
        <v>61</v>
      </c>
      <c r="B61" s="117">
        <f t="shared" si="3"/>
        <v>2658.2474096926744</v>
      </c>
      <c r="C61" s="105"/>
      <c r="D61" s="118">
        <v>224.17445831014646</v>
      </c>
      <c r="E61" s="118">
        <v>1320.2828545589775</v>
      </c>
      <c r="F61" s="118">
        <v>5.914211820317183</v>
      </c>
      <c r="G61" s="118">
        <v>0</v>
      </c>
      <c r="H61" s="118">
        <v>0.17742635460951547</v>
      </c>
      <c r="I61" s="118">
        <v>9.7584495035233518E-2</v>
      </c>
      <c r="J61" s="118">
        <v>0</v>
      </c>
      <c r="K61" s="118">
        <v>1107.6008741535882</v>
      </c>
      <c r="L61" s="119" t="s">
        <v>62</v>
      </c>
      <c r="M61" s="120"/>
      <c r="N61" s="599"/>
      <c r="P61" s="23"/>
      <c r="AB61" s="23"/>
      <c r="AC61" s="23"/>
      <c r="AD61" s="23"/>
      <c r="AE61" s="23"/>
      <c r="AF61" s="23"/>
    </row>
    <row r="62" spans="1:32" s="2" customFormat="1" ht="15">
      <c r="A62" s="116" t="s">
        <v>63</v>
      </c>
      <c r="B62" s="117">
        <f t="shared" si="3"/>
        <v>9900.4574381934053</v>
      </c>
      <c r="C62" s="105"/>
      <c r="D62" s="118">
        <v>3963.2087370312047</v>
      </c>
      <c r="E62" s="118">
        <v>5695.0767196471779</v>
      </c>
      <c r="F62" s="118">
        <v>44.715625666460774</v>
      </c>
      <c r="G62" s="118">
        <v>0</v>
      </c>
      <c r="H62" s="118">
        <v>1.4785529550792958E-3</v>
      </c>
      <c r="I62" s="118">
        <v>5.2120470219500268</v>
      </c>
      <c r="J62" s="118">
        <v>14.493663197460307</v>
      </c>
      <c r="K62" s="118">
        <v>177.74916707619789</v>
      </c>
      <c r="L62" s="119" t="s">
        <v>64</v>
      </c>
      <c r="M62" s="120"/>
      <c r="N62" s="600"/>
      <c r="O62" s="121"/>
      <c r="P62" s="23"/>
      <c r="Q62" s="121"/>
      <c r="R62" s="121"/>
      <c r="S62" s="121"/>
      <c r="T62" s="121"/>
      <c r="U62" s="121"/>
      <c r="V62" s="121"/>
      <c r="W62" s="121"/>
      <c r="X62" s="121"/>
      <c r="Y62" s="121"/>
      <c r="Z62" s="121"/>
      <c r="AA62" s="121"/>
    </row>
    <row r="63" spans="1:32" ht="15">
      <c r="A63" s="116" t="s">
        <v>65</v>
      </c>
      <c r="B63" s="117">
        <f t="shared" si="3"/>
        <v>7198.9792228439528</v>
      </c>
      <c r="C63" s="105"/>
      <c r="D63" s="118">
        <v>5618.5835699153904</v>
      </c>
      <c r="E63" s="118">
        <v>1375.0054262796323</v>
      </c>
      <c r="F63" s="118">
        <v>55.419121862282125</v>
      </c>
      <c r="G63" s="118">
        <v>0</v>
      </c>
      <c r="H63" s="118">
        <v>2.5771178007032129</v>
      </c>
      <c r="I63" s="118">
        <v>2.7251209515066499</v>
      </c>
      <c r="J63" s="118">
        <v>29.109898434896675</v>
      </c>
      <c r="K63" s="118">
        <v>115.5589675995415</v>
      </c>
      <c r="L63" s="119" t="s">
        <v>66</v>
      </c>
      <c r="M63" s="120"/>
      <c r="N63" s="601"/>
      <c r="P63" s="23"/>
    </row>
    <row r="64" spans="1:32" ht="15">
      <c r="A64" s="116" t="s">
        <v>67</v>
      </c>
      <c r="B64" s="117">
        <f t="shared" si="3"/>
        <v>9774.0388693018449</v>
      </c>
      <c r="C64" s="105"/>
      <c r="D64" s="118">
        <v>7730.4390206056751</v>
      </c>
      <c r="E64" s="118">
        <v>1982.0936721731209</v>
      </c>
      <c r="F64" s="118">
        <v>44.400945241031259</v>
      </c>
      <c r="G64" s="118">
        <v>0</v>
      </c>
      <c r="H64" s="118">
        <v>0</v>
      </c>
      <c r="I64" s="118">
        <v>1.3513974009424763</v>
      </c>
      <c r="J64" s="118">
        <v>14.223679427862825</v>
      </c>
      <c r="K64" s="118">
        <v>1.5301544532115634</v>
      </c>
      <c r="L64" s="119" t="s">
        <v>68</v>
      </c>
      <c r="M64" s="120"/>
      <c r="N64" s="601"/>
      <c r="P64" s="23"/>
    </row>
    <row r="65" spans="1:30" ht="15">
      <c r="A65" s="116" t="s">
        <v>69</v>
      </c>
      <c r="B65" s="117">
        <f t="shared" si="3"/>
        <v>18765.171841803913</v>
      </c>
      <c r="C65" s="105"/>
      <c r="D65" s="118">
        <v>17122.872178248963</v>
      </c>
      <c r="E65" s="118">
        <v>1641.294247545499</v>
      </c>
      <c r="F65" s="118">
        <v>0</v>
      </c>
      <c r="G65" s="118">
        <v>0</v>
      </c>
      <c r="H65" s="118">
        <v>0</v>
      </c>
      <c r="I65" s="118">
        <v>2.9571059101585917E-2</v>
      </c>
      <c r="J65" s="118">
        <v>0.53227906382854639</v>
      </c>
      <c r="K65" s="118">
        <v>0.4435658865237887</v>
      </c>
      <c r="L65" s="119" t="s">
        <v>70</v>
      </c>
      <c r="M65" s="120"/>
      <c r="N65" s="601"/>
      <c r="P65" s="23"/>
    </row>
    <row r="66" spans="1:30" ht="15">
      <c r="A66" s="116" t="s">
        <v>71</v>
      </c>
      <c r="B66" s="117">
        <f t="shared" si="3"/>
        <v>12213.62420039364</v>
      </c>
      <c r="C66" s="105"/>
      <c r="D66" s="118">
        <v>11338.899079403733</v>
      </c>
      <c r="E66" s="118">
        <v>871.89812773979543</v>
      </c>
      <c r="F66" s="118">
        <v>1.6397152271829392</v>
      </c>
      <c r="G66" s="118">
        <v>0</v>
      </c>
      <c r="H66" s="118">
        <v>0</v>
      </c>
      <c r="I66" s="118">
        <v>0</v>
      </c>
      <c r="J66" s="118">
        <v>0.96105942080154216</v>
      </c>
      <c r="K66" s="118">
        <v>0.22621860212713224</v>
      </c>
      <c r="L66" s="119" t="s">
        <v>72</v>
      </c>
      <c r="M66" s="120"/>
      <c r="N66" s="601"/>
      <c r="P66" s="23"/>
    </row>
    <row r="67" spans="1:30" ht="15">
      <c r="A67" s="116" t="s">
        <v>73</v>
      </c>
      <c r="B67" s="117">
        <f t="shared" si="3"/>
        <v>2516.2397100822591</v>
      </c>
      <c r="C67" s="105"/>
      <c r="D67" s="118">
        <v>1340.8729870805737</v>
      </c>
      <c r="E67" s="118">
        <v>1167.3213249519172</v>
      </c>
      <c r="F67" s="118">
        <v>7.1198238998888401</v>
      </c>
      <c r="G67" s="118">
        <v>0</v>
      </c>
      <c r="H67" s="118">
        <v>0</v>
      </c>
      <c r="I67" s="118">
        <v>4.4356588652378877E-3</v>
      </c>
      <c r="J67" s="118">
        <v>0</v>
      </c>
      <c r="K67" s="118">
        <v>0.92113849101440115</v>
      </c>
      <c r="L67" s="119" t="s">
        <v>74</v>
      </c>
      <c r="M67" s="120"/>
      <c r="N67" s="601"/>
      <c r="P67" s="23"/>
    </row>
    <row r="68" spans="1:30" ht="15">
      <c r="A68" s="122" t="s">
        <v>42</v>
      </c>
      <c r="B68" s="123">
        <f t="shared" si="3"/>
        <v>7177.1723608534785</v>
      </c>
      <c r="C68" s="124"/>
      <c r="D68" s="125">
        <v>6278.2412423795677</v>
      </c>
      <c r="E68" s="125">
        <v>898.19184199637129</v>
      </c>
      <c r="F68" s="125">
        <v>0</v>
      </c>
      <c r="G68" s="125">
        <v>0</v>
      </c>
      <c r="H68" s="125">
        <v>0</v>
      </c>
      <c r="I68" s="125">
        <v>0</v>
      </c>
      <c r="J68" s="125">
        <v>0</v>
      </c>
      <c r="K68" s="125">
        <v>0.73927647753964787</v>
      </c>
      <c r="L68" s="126" t="s">
        <v>75</v>
      </c>
      <c r="M68" s="127"/>
      <c r="N68" s="601"/>
      <c r="P68" s="23"/>
    </row>
    <row r="69" spans="1:30" ht="17.25">
      <c r="A69" s="24" t="s">
        <v>397</v>
      </c>
      <c r="B69" s="22"/>
      <c r="C69" s="22"/>
      <c r="D69" s="22"/>
      <c r="E69" s="22"/>
      <c r="F69" s="22"/>
      <c r="G69" s="22"/>
      <c r="H69" s="22"/>
      <c r="I69" s="22"/>
      <c r="J69" s="22"/>
      <c r="K69" s="22"/>
      <c r="L69" s="20" t="s">
        <v>389</v>
      </c>
    </row>
    <row r="70" spans="1:30" s="29" customFormat="1">
      <c r="A70" s="760" t="s">
        <v>393</v>
      </c>
      <c r="B70" s="760"/>
      <c r="C70" s="760"/>
      <c r="D70" s="760"/>
      <c r="E70" s="760"/>
      <c r="F70" s="760"/>
      <c r="G70" s="761" t="s">
        <v>394</v>
      </c>
      <c r="H70" s="761"/>
      <c r="I70" s="761"/>
      <c r="J70" s="761"/>
      <c r="K70" s="761"/>
      <c r="L70" s="761"/>
      <c r="M70" s="1"/>
      <c r="N70" s="1"/>
      <c r="O70" s="1"/>
      <c r="P70" s="1"/>
      <c r="Q70" s="1"/>
      <c r="R70" s="1"/>
      <c r="S70" s="1"/>
      <c r="T70" s="1"/>
      <c r="U70" s="1"/>
      <c r="V70" s="1"/>
      <c r="W70" s="1"/>
      <c r="X70" s="1"/>
      <c r="Y70" s="1"/>
      <c r="Z70" s="1"/>
      <c r="AA70" s="1"/>
      <c r="AB70" s="1"/>
      <c r="AC70" s="1"/>
      <c r="AD70" s="1"/>
    </row>
    <row r="71" spans="1:30" s="29" customFormat="1" ht="19.5" customHeight="1">
      <c r="A71" s="760"/>
      <c r="B71" s="760"/>
      <c r="C71" s="760"/>
      <c r="D71" s="760"/>
      <c r="E71" s="760"/>
      <c r="F71" s="760"/>
      <c r="G71" s="761"/>
      <c r="H71" s="761"/>
      <c r="I71" s="761"/>
      <c r="J71" s="761"/>
      <c r="K71" s="761"/>
      <c r="L71" s="761"/>
      <c r="M71" s="1"/>
      <c r="N71" s="1"/>
      <c r="O71" s="1"/>
      <c r="P71" s="1"/>
      <c r="Q71" s="1"/>
      <c r="R71" s="1"/>
      <c r="S71" s="1"/>
      <c r="T71" s="1"/>
      <c r="U71" s="1"/>
      <c r="V71" s="1"/>
      <c r="W71" s="1"/>
      <c r="X71" s="1"/>
      <c r="Y71" s="1"/>
      <c r="Z71" s="1"/>
      <c r="AA71" s="1"/>
      <c r="AB71" s="1"/>
      <c r="AC71" s="1"/>
      <c r="AD71" s="1"/>
    </row>
    <row r="72" spans="1:30" s="80" customFormat="1">
      <c r="A72" s="760"/>
      <c r="B72" s="760"/>
      <c r="C72" s="760"/>
      <c r="D72" s="760"/>
      <c r="E72" s="760"/>
      <c r="F72" s="760"/>
      <c r="G72" s="151"/>
      <c r="H72" s="14"/>
      <c r="I72" s="151"/>
      <c r="J72" s="151"/>
      <c r="K72" s="152"/>
      <c r="L72" s="14"/>
      <c r="M72" s="1"/>
      <c r="N72" s="1"/>
      <c r="O72" s="1"/>
      <c r="P72" s="1"/>
      <c r="Q72" s="1"/>
      <c r="R72" s="1"/>
      <c r="S72" s="1"/>
      <c r="T72" s="1"/>
      <c r="U72" s="1"/>
      <c r="V72" s="1"/>
      <c r="W72" s="1"/>
      <c r="X72" s="1"/>
      <c r="Y72" s="1"/>
      <c r="Z72" s="1"/>
      <c r="AA72" s="1"/>
      <c r="AB72" s="1"/>
      <c r="AC72" s="1"/>
      <c r="AD72" s="79"/>
    </row>
    <row r="73" spans="1:30" s="82" customFormat="1">
      <c r="A73" s="760"/>
      <c r="B73" s="760"/>
      <c r="C73" s="760"/>
      <c r="D73" s="760"/>
      <c r="E73" s="760"/>
      <c r="F73" s="760"/>
      <c r="G73" s="151"/>
      <c r="H73" s="14"/>
      <c r="I73" s="151"/>
      <c r="J73" s="151"/>
      <c r="K73" s="152"/>
      <c r="L73" s="14"/>
      <c r="M73" s="1"/>
      <c r="N73" s="1"/>
      <c r="O73" s="1"/>
      <c r="P73" s="1"/>
      <c r="Q73" s="1"/>
      <c r="R73" s="1"/>
      <c r="S73" s="1"/>
      <c r="T73" s="1"/>
      <c r="U73" s="1"/>
      <c r="V73" s="1"/>
      <c r="W73" s="1"/>
      <c r="X73" s="1"/>
      <c r="Y73" s="1"/>
      <c r="Z73" s="1"/>
      <c r="AA73" s="1"/>
      <c r="AB73" s="1"/>
      <c r="AC73" s="1"/>
      <c r="AD73" s="81"/>
    </row>
    <row r="74" spans="1:30" s="80" customFormat="1" ht="12">
      <c r="A74" s="602"/>
      <c r="D74" s="603"/>
      <c r="E74" s="603"/>
      <c r="F74" s="603"/>
      <c r="G74" s="603"/>
      <c r="H74" s="603"/>
      <c r="I74" s="603"/>
      <c r="J74" s="603"/>
      <c r="K74" s="603"/>
      <c r="M74" s="1"/>
      <c r="N74" s="1"/>
      <c r="O74" s="1"/>
      <c r="P74" s="1"/>
      <c r="Q74" s="1"/>
      <c r="R74" s="1"/>
      <c r="S74" s="1"/>
      <c r="T74" s="1"/>
      <c r="U74" s="1"/>
      <c r="V74" s="1"/>
      <c r="W74" s="1"/>
      <c r="X74" s="1"/>
      <c r="Y74" s="1"/>
      <c r="Z74" s="1"/>
      <c r="AA74" s="1"/>
      <c r="AB74" s="1"/>
      <c r="AC74" s="1"/>
      <c r="AD74" s="79"/>
    </row>
    <row r="75" spans="1:30" s="30" customFormat="1" ht="12">
      <c r="A75" s="128"/>
      <c r="B75" s="129"/>
      <c r="C75" s="129"/>
      <c r="D75" s="604"/>
      <c r="E75" s="604"/>
      <c r="F75" s="604"/>
      <c r="G75" s="604"/>
      <c r="H75" s="604"/>
      <c r="I75" s="604"/>
      <c r="J75" s="604"/>
      <c r="K75" s="604"/>
      <c r="L75" s="23"/>
      <c r="M75" s="1"/>
      <c r="N75" s="1"/>
      <c r="O75" s="1"/>
      <c r="P75" s="1"/>
      <c r="Q75" s="1"/>
      <c r="R75" s="1"/>
      <c r="S75" s="1"/>
      <c r="T75" s="1"/>
      <c r="U75" s="1"/>
      <c r="V75" s="1"/>
      <c r="W75" s="1"/>
      <c r="X75" s="1"/>
      <c r="Y75" s="1"/>
      <c r="Z75" s="1"/>
      <c r="AA75" s="1"/>
      <c r="AB75" s="1"/>
      <c r="AC75" s="1"/>
      <c r="AD75" s="23"/>
    </row>
    <row r="76" spans="1:30" s="30" customFormat="1" ht="15">
      <c r="A76" s="129"/>
      <c r="B76" s="131"/>
      <c r="C76" s="131"/>
      <c r="D76" s="131"/>
      <c r="E76" s="131"/>
      <c r="F76" s="131"/>
      <c r="G76" s="131"/>
      <c r="H76" s="131"/>
      <c r="I76" s="131"/>
      <c r="J76" s="131"/>
      <c r="K76" s="130"/>
      <c r="L76" s="23"/>
      <c r="M76" s="1"/>
      <c r="N76" s="1"/>
      <c r="O76" s="1"/>
      <c r="P76" s="1"/>
      <c r="Q76" s="1"/>
      <c r="R76" s="1"/>
      <c r="S76" s="1"/>
      <c r="T76" s="1"/>
      <c r="U76" s="1"/>
      <c r="V76" s="1"/>
      <c r="W76" s="1"/>
      <c r="X76" s="1"/>
      <c r="Y76" s="1"/>
      <c r="Z76" s="1"/>
      <c r="AA76" s="1"/>
      <c r="AB76" s="1"/>
      <c r="AC76" s="1"/>
      <c r="AD76" s="23"/>
    </row>
    <row r="77" spans="1:30" s="80" customFormat="1" ht="12">
      <c r="A77" s="132"/>
      <c r="B77" s="133"/>
      <c r="C77" s="133"/>
      <c r="D77" s="134"/>
      <c r="E77" s="134"/>
      <c r="F77" s="134"/>
      <c r="G77" s="134"/>
      <c r="H77" s="134"/>
      <c r="I77" s="134"/>
      <c r="J77" s="134"/>
      <c r="K77" s="132"/>
      <c r="L77" s="79"/>
      <c r="M77" s="1"/>
      <c r="N77" s="1"/>
      <c r="O77" s="1"/>
      <c r="P77" s="1"/>
      <c r="Q77" s="1"/>
      <c r="R77" s="1"/>
      <c r="S77" s="1"/>
      <c r="T77" s="1"/>
      <c r="U77" s="1"/>
      <c r="V77" s="1"/>
      <c r="W77" s="1"/>
      <c r="X77" s="1"/>
      <c r="Y77" s="1"/>
      <c r="Z77" s="1"/>
      <c r="AA77" s="1"/>
      <c r="AB77" s="1"/>
      <c r="AC77" s="1"/>
      <c r="AD77" s="79"/>
    </row>
    <row r="78" spans="1:30" s="30" customFormat="1" ht="15">
      <c r="A78" s="129"/>
      <c r="B78" s="135"/>
      <c r="C78" s="135"/>
      <c r="D78" s="136"/>
      <c r="E78" s="136"/>
      <c r="F78" s="136"/>
      <c r="G78" s="136"/>
      <c r="H78" s="136"/>
      <c r="I78" s="136"/>
      <c r="J78" s="136"/>
      <c r="K78" s="130"/>
      <c r="L78" s="23"/>
      <c r="M78" s="1"/>
      <c r="N78" s="1"/>
      <c r="O78" s="1"/>
      <c r="P78" s="1"/>
      <c r="Q78" s="1"/>
      <c r="R78" s="1"/>
      <c r="S78" s="1"/>
      <c r="T78" s="1"/>
      <c r="U78" s="1"/>
      <c r="V78" s="1"/>
      <c r="W78" s="1"/>
      <c r="X78" s="1"/>
      <c r="Y78" s="1"/>
      <c r="Z78" s="1"/>
      <c r="AA78" s="1"/>
      <c r="AB78" s="1"/>
      <c r="AC78" s="1"/>
      <c r="AD78" s="23"/>
    </row>
    <row r="79" spans="1:30" s="30" customFormat="1" ht="15">
      <c r="A79" s="129"/>
      <c r="B79" s="137"/>
      <c r="C79" s="137"/>
      <c r="D79" s="138"/>
      <c r="E79" s="138"/>
      <c r="F79" s="138"/>
      <c r="G79" s="138"/>
      <c r="H79" s="138"/>
      <c r="I79" s="138"/>
      <c r="J79" s="138"/>
      <c r="K79" s="130"/>
      <c r="L79" s="23"/>
      <c r="M79" s="1"/>
      <c r="N79" s="1"/>
      <c r="O79" s="1"/>
      <c r="P79" s="1"/>
      <c r="Q79" s="1"/>
      <c r="R79" s="1"/>
      <c r="S79" s="1"/>
      <c r="T79" s="1"/>
      <c r="U79" s="1"/>
      <c r="V79" s="1"/>
      <c r="W79" s="1"/>
      <c r="X79" s="1"/>
      <c r="Y79" s="1"/>
      <c r="Z79" s="1"/>
      <c r="AA79" s="1"/>
      <c r="AB79" s="1"/>
      <c r="AC79" s="1"/>
      <c r="AD79" s="23"/>
    </row>
    <row r="80" spans="1:30" s="30" customFormat="1" ht="15">
      <c r="A80" s="129"/>
      <c r="B80" s="137"/>
      <c r="C80" s="137"/>
      <c r="D80" s="137"/>
      <c r="E80" s="137"/>
      <c r="F80" s="137"/>
      <c r="G80" s="137"/>
      <c r="H80" s="137"/>
      <c r="I80" s="137"/>
      <c r="J80" s="137"/>
      <c r="K80" s="130"/>
      <c r="L80" s="23"/>
      <c r="M80" s="1"/>
      <c r="N80" s="1"/>
      <c r="O80" s="1"/>
      <c r="P80" s="1"/>
      <c r="Q80" s="1"/>
      <c r="R80" s="1"/>
      <c r="S80" s="1"/>
      <c r="T80" s="1"/>
      <c r="U80" s="1"/>
      <c r="V80" s="1"/>
      <c r="W80" s="1"/>
      <c r="X80" s="1"/>
      <c r="Y80" s="1"/>
      <c r="Z80" s="1"/>
      <c r="AA80" s="1"/>
      <c r="AB80" s="1"/>
      <c r="AC80" s="1"/>
      <c r="AD80" s="23"/>
    </row>
    <row r="81" spans="1:30" s="30" customFormat="1" ht="15">
      <c r="A81" s="129"/>
      <c r="B81" s="136"/>
      <c r="C81" s="136"/>
      <c r="D81" s="139"/>
      <c r="E81" s="138"/>
      <c r="F81" s="140"/>
      <c r="G81" s="140"/>
      <c r="H81" s="140"/>
      <c r="I81" s="140"/>
      <c r="J81" s="138"/>
      <c r="K81" s="130"/>
      <c r="L81" s="23"/>
      <c r="M81" s="1"/>
      <c r="N81" s="1"/>
      <c r="O81" s="1"/>
      <c r="P81" s="1"/>
      <c r="Q81" s="1"/>
      <c r="R81" s="1"/>
      <c r="S81" s="1"/>
      <c r="T81" s="1"/>
      <c r="U81" s="1"/>
      <c r="V81" s="1"/>
      <c r="W81" s="1"/>
      <c r="X81" s="1"/>
      <c r="Y81" s="1"/>
      <c r="Z81" s="1"/>
      <c r="AA81" s="1"/>
      <c r="AB81" s="1"/>
      <c r="AC81" s="1"/>
      <c r="AD81" s="23"/>
    </row>
    <row r="82" spans="1:30" s="30" customFormat="1" ht="15">
      <c r="A82" s="141"/>
      <c r="B82" s="136"/>
      <c r="C82" s="136"/>
      <c r="D82" s="142"/>
      <c r="E82" s="143"/>
      <c r="F82" s="143"/>
      <c r="G82" s="143"/>
      <c r="H82" s="143"/>
      <c r="I82" s="143"/>
      <c r="J82" s="143"/>
      <c r="K82" s="144"/>
      <c r="L82" s="23"/>
      <c r="M82" s="1"/>
      <c r="N82" s="1"/>
      <c r="O82" s="1"/>
      <c r="P82" s="1"/>
      <c r="Q82" s="1"/>
      <c r="R82" s="1"/>
      <c r="S82" s="1"/>
      <c r="T82" s="1"/>
      <c r="U82" s="1"/>
      <c r="V82" s="1"/>
      <c r="W82" s="1"/>
      <c r="X82" s="1"/>
      <c r="Y82" s="1"/>
      <c r="Z82" s="1"/>
      <c r="AA82" s="1"/>
      <c r="AB82" s="1"/>
      <c r="AC82" s="1"/>
      <c r="AD82" s="23"/>
    </row>
    <row r="83" spans="1:30" s="30" customFormat="1" ht="15">
      <c r="A83" s="141"/>
      <c r="B83" s="136"/>
      <c r="C83" s="136"/>
      <c r="D83" s="142"/>
      <c r="E83" s="143"/>
      <c r="F83" s="143"/>
      <c r="G83" s="143"/>
      <c r="H83" s="143"/>
      <c r="I83" s="143"/>
      <c r="J83" s="143"/>
      <c r="K83" s="144"/>
      <c r="L83" s="23"/>
      <c r="M83" s="1"/>
      <c r="N83" s="1"/>
      <c r="O83" s="1"/>
      <c r="P83" s="1"/>
      <c r="Q83" s="1"/>
      <c r="R83" s="1"/>
      <c r="S83" s="1"/>
      <c r="T83" s="1"/>
      <c r="U83" s="1"/>
      <c r="V83" s="1"/>
      <c r="W83" s="1"/>
      <c r="X83" s="1"/>
      <c r="Y83" s="1"/>
      <c r="Z83" s="1"/>
      <c r="AA83" s="1"/>
      <c r="AB83" s="1"/>
      <c r="AC83" s="1"/>
      <c r="AD83" s="23"/>
    </row>
    <row r="84" spans="1:30" s="30" customFormat="1" ht="15">
      <c r="A84" s="141"/>
      <c r="B84" s="136"/>
      <c r="C84" s="136"/>
      <c r="D84" s="142"/>
      <c r="E84" s="143"/>
      <c r="F84" s="143"/>
      <c r="G84" s="143"/>
      <c r="H84" s="143"/>
      <c r="I84" s="143"/>
      <c r="J84" s="143"/>
      <c r="K84" s="144"/>
      <c r="L84" s="23"/>
      <c r="M84" s="1"/>
      <c r="N84" s="1"/>
      <c r="O84" s="1"/>
      <c r="P84" s="1"/>
      <c r="Q84" s="1"/>
      <c r="R84" s="1"/>
      <c r="S84" s="1"/>
      <c r="T84" s="1"/>
      <c r="U84" s="1"/>
      <c r="V84" s="1"/>
      <c r="W84" s="1"/>
      <c r="X84" s="1"/>
      <c r="Y84" s="1"/>
      <c r="Z84" s="1"/>
      <c r="AA84" s="1"/>
      <c r="AB84" s="1"/>
      <c r="AC84" s="1"/>
      <c r="AD84" s="23"/>
    </row>
    <row r="85" spans="1:30" s="30" customFormat="1" ht="15">
      <c r="A85" s="141"/>
      <c r="B85" s="136"/>
      <c r="C85" s="136"/>
      <c r="D85" s="142"/>
      <c r="E85" s="143"/>
      <c r="F85" s="145"/>
      <c r="G85" s="145"/>
      <c r="H85" s="143"/>
      <c r="I85" s="143"/>
      <c r="J85" s="143"/>
      <c r="K85" s="144"/>
      <c r="L85" s="23"/>
      <c r="M85" s="1"/>
      <c r="N85" s="1"/>
      <c r="O85" s="1"/>
      <c r="P85" s="1"/>
      <c r="Q85" s="1"/>
      <c r="R85" s="1"/>
      <c r="S85" s="1"/>
      <c r="T85" s="1"/>
      <c r="U85" s="1"/>
      <c r="V85" s="1"/>
      <c r="W85" s="1"/>
      <c r="X85" s="1"/>
      <c r="Y85" s="1"/>
      <c r="Z85" s="1"/>
      <c r="AA85" s="1"/>
      <c r="AB85" s="1"/>
      <c r="AC85" s="1"/>
      <c r="AD85" s="23"/>
    </row>
    <row r="86" spans="1:30" s="2" customFormat="1" ht="15">
      <c r="A86" s="141"/>
      <c r="B86" s="136"/>
      <c r="C86" s="136"/>
      <c r="D86" s="142"/>
      <c r="E86" s="143"/>
      <c r="F86" s="143"/>
      <c r="G86" s="143"/>
      <c r="H86" s="143"/>
      <c r="I86" s="143"/>
      <c r="J86" s="143"/>
      <c r="K86" s="144"/>
      <c r="L86" s="23"/>
      <c r="M86" s="1"/>
      <c r="N86" s="1"/>
      <c r="O86" s="1"/>
      <c r="P86" s="1"/>
      <c r="Q86" s="1"/>
      <c r="R86" s="1"/>
      <c r="S86" s="1"/>
      <c r="T86" s="1"/>
      <c r="U86" s="1"/>
      <c r="V86" s="1"/>
      <c r="W86" s="1"/>
      <c r="X86" s="1"/>
      <c r="Y86" s="1"/>
      <c r="Z86" s="1"/>
      <c r="AA86" s="1"/>
      <c r="AB86" s="1"/>
      <c r="AC86" s="1"/>
      <c r="AD86" s="23"/>
    </row>
    <row r="87" spans="1:30" s="2" customFormat="1" ht="15">
      <c r="A87" s="141"/>
      <c r="B87" s="136"/>
      <c r="C87" s="136"/>
      <c r="D87" s="142"/>
      <c r="E87" s="143"/>
      <c r="F87" s="143"/>
      <c r="G87" s="143"/>
      <c r="H87" s="143"/>
      <c r="I87" s="143"/>
      <c r="J87" s="143"/>
      <c r="K87" s="144"/>
      <c r="L87" s="23"/>
      <c r="M87" s="1"/>
      <c r="N87" s="1"/>
      <c r="O87" s="1"/>
      <c r="P87" s="1"/>
      <c r="Q87" s="1"/>
      <c r="R87" s="1"/>
      <c r="S87" s="1"/>
      <c r="T87" s="1"/>
      <c r="U87" s="1"/>
      <c r="V87" s="1"/>
      <c r="W87" s="1"/>
      <c r="X87" s="1"/>
      <c r="Y87" s="1"/>
      <c r="Z87" s="1"/>
      <c r="AA87" s="1"/>
      <c r="AB87" s="1"/>
      <c r="AC87" s="1"/>
      <c r="AD87" s="23"/>
    </row>
    <row r="88" spans="1:30" s="2" customFormat="1" ht="15">
      <c r="A88" s="141"/>
      <c r="B88" s="136"/>
      <c r="C88" s="136"/>
      <c r="D88" s="142"/>
      <c r="E88" s="143"/>
      <c r="F88" s="143"/>
      <c r="G88" s="143"/>
      <c r="H88" s="143"/>
      <c r="I88" s="143"/>
      <c r="J88" s="143"/>
      <c r="K88" s="144"/>
      <c r="L88" s="23"/>
      <c r="M88" s="1"/>
      <c r="N88" s="1"/>
      <c r="O88" s="1"/>
      <c r="P88" s="1"/>
      <c r="Q88" s="1"/>
      <c r="R88" s="1"/>
      <c r="S88" s="1"/>
      <c r="T88" s="1"/>
      <c r="U88" s="1"/>
      <c r="V88" s="1"/>
      <c r="W88" s="1"/>
      <c r="X88" s="1"/>
      <c r="Y88" s="1"/>
      <c r="Z88" s="1"/>
      <c r="AA88" s="1"/>
      <c r="AB88" s="1"/>
      <c r="AC88" s="1"/>
      <c r="AD88" s="23"/>
    </row>
    <row r="89" spans="1:30" s="2" customFormat="1" ht="15">
      <c r="A89" s="141"/>
      <c r="B89" s="136"/>
      <c r="C89" s="136"/>
      <c r="D89" s="142"/>
      <c r="E89" s="143"/>
      <c r="F89" s="143"/>
      <c r="G89" s="143"/>
      <c r="H89" s="143"/>
      <c r="I89" s="143"/>
      <c r="J89" s="143"/>
      <c r="K89" s="144"/>
      <c r="W89" s="23"/>
      <c r="X89" s="23"/>
      <c r="Y89" s="23"/>
      <c r="Z89" s="23"/>
      <c r="AA89" s="23"/>
      <c r="AB89" s="23"/>
      <c r="AC89" s="23"/>
      <c r="AD89" s="23"/>
    </row>
    <row r="90" spans="1:30" s="2" customFormat="1" ht="15">
      <c r="A90" s="141"/>
      <c r="B90" s="136"/>
      <c r="C90" s="136"/>
      <c r="D90" s="142"/>
      <c r="E90" s="143"/>
      <c r="F90" s="143"/>
      <c r="G90" s="143"/>
      <c r="H90" s="143"/>
      <c r="I90" s="143"/>
      <c r="J90" s="143"/>
      <c r="K90" s="144"/>
      <c r="W90" s="23"/>
      <c r="X90" s="23"/>
      <c r="Y90" s="23"/>
      <c r="Z90" s="23"/>
      <c r="AA90" s="23"/>
      <c r="AB90" s="23"/>
      <c r="AC90" s="23"/>
      <c r="AD90" s="23"/>
    </row>
    <row r="91" spans="1:30" s="2" customFormat="1" ht="15">
      <c r="A91" s="141"/>
      <c r="B91" s="136"/>
      <c r="C91" s="136"/>
      <c r="D91" s="142"/>
      <c r="E91" s="143"/>
      <c r="F91" s="143"/>
      <c r="G91" s="143"/>
      <c r="H91" s="143"/>
      <c r="I91" s="143"/>
      <c r="J91" s="143"/>
      <c r="K91" s="144"/>
      <c r="W91" s="23"/>
      <c r="X91" s="23"/>
      <c r="Y91" s="23"/>
      <c r="Z91" s="23"/>
      <c r="AA91" s="23"/>
      <c r="AB91" s="23"/>
      <c r="AC91" s="23"/>
      <c r="AD91" s="23"/>
    </row>
    <row r="92" spans="1:30" s="2" customFormat="1" ht="15">
      <c r="A92" s="141"/>
      <c r="B92" s="136"/>
      <c r="C92" s="136"/>
      <c r="D92" s="142"/>
      <c r="E92" s="143"/>
      <c r="F92" s="143"/>
      <c r="G92" s="143"/>
      <c r="H92" s="143"/>
      <c r="I92" s="143"/>
      <c r="J92" s="143"/>
      <c r="K92" s="144"/>
      <c r="W92" s="23"/>
      <c r="X92" s="23"/>
      <c r="Y92" s="23"/>
      <c r="Z92" s="23"/>
      <c r="AA92" s="23"/>
      <c r="AB92" s="23"/>
      <c r="AC92" s="23"/>
      <c r="AD92" s="23"/>
    </row>
    <row r="93" spans="1:30" s="2" customFormat="1" ht="15">
      <c r="A93" s="141"/>
      <c r="B93" s="136"/>
      <c r="C93" s="136"/>
      <c r="D93" s="142"/>
      <c r="E93" s="143"/>
      <c r="F93" s="146"/>
      <c r="G93" s="146"/>
      <c r="H93" s="143"/>
      <c r="I93" s="143"/>
      <c r="J93" s="143"/>
      <c r="K93" s="144"/>
      <c r="W93" s="23"/>
      <c r="X93" s="23"/>
      <c r="Y93" s="23"/>
      <c r="Z93" s="23"/>
      <c r="AA93" s="23"/>
      <c r="AB93" s="23"/>
      <c r="AC93" s="23"/>
      <c r="AD93" s="23"/>
    </row>
    <row r="94" spans="1:30" s="2" customFormat="1" ht="15">
      <c r="A94" s="141"/>
      <c r="B94" s="136"/>
      <c r="C94" s="136"/>
      <c r="D94" s="142"/>
      <c r="E94" s="143"/>
      <c r="F94" s="143"/>
      <c r="G94" s="143"/>
      <c r="H94" s="143"/>
      <c r="I94" s="143"/>
      <c r="J94" s="143"/>
      <c r="K94" s="144"/>
      <c r="W94" s="23"/>
      <c r="X94" s="23"/>
      <c r="Y94" s="23"/>
      <c r="Z94" s="23"/>
      <c r="AA94" s="23"/>
      <c r="AB94" s="23"/>
      <c r="AC94" s="23"/>
      <c r="AD94" s="23"/>
    </row>
    <row r="95" spans="1:30" s="2" customFormat="1" ht="15">
      <c r="A95" s="141"/>
      <c r="B95" s="136"/>
      <c r="C95" s="136"/>
      <c r="D95" s="142"/>
      <c r="E95" s="143"/>
      <c r="F95" s="143"/>
      <c r="G95" s="143"/>
      <c r="H95" s="143"/>
      <c r="I95" s="143"/>
      <c r="J95" s="143"/>
      <c r="K95" s="144"/>
      <c r="L95" s="121"/>
      <c r="M95" s="121"/>
      <c r="N95" s="121"/>
      <c r="O95" s="121"/>
      <c r="P95" s="121"/>
      <c r="Q95" s="121"/>
      <c r="R95" s="121"/>
      <c r="S95" s="121"/>
    </row>
    <row r="96" spans="1:30" ht="15">
      <c r="A96" s="141"/>
      <c r="B96" s="136"/>
      <c r="C96" s="136"/>
      <c r="D96" s="142"/>
      <c r="E96" s="143"/>
      <c r="F96" s="143"/>
      <c r="G96" s="143"/>
      <c r="H96" s="143"/>
      <c r="I96" s="143"/>
      <c r="J96" s="143"/>
      <c r="K96" s="144"/>
    </row>
    <row r="97" spans="1:11" ht="15">
      <c r="A97" s="141"/>
      <c r="B97" s="136"/>
      <c r="C97" s="136"/>
      <c r="D97" s="142"/>
      <c r="E97" s="143"/>
      <c r="F97" s="143"/>
      <c r="G97" s="143"/>
      <c r="H97" s="143"/>
      <c r="I97" s="143"/>
      <c r="J97" s="143"/>
      <c r="K97" s="144"/>
    </row>
    <row r="98" spans="1:11" ht="15">
      <c r="A98" s="141"/>
      <c r="B98" s="136"/>
      <c r="C98" s="136"/>
      <c r="D98" s="142"/>
      <c r="E98" s="143"/>
      <c r="F98" s="147"/>
      <c r="G98" s="147"/>
      <c r="H98" s="145"/>
      <c r="I98" s="143"/>
      <c r="J98" s="143"/>
      <c r="K98" s="144"/>
    </row>
    <row r="99" spans="1:11" ht="15">
      <c r="A99" s="141"/>
      <c r="B99" s="136"/>
      <c r="C99" s="136"/>
      <c r="D99" s="142"/>
      <c r="E99" s="143"/>
      <c r="F99" s="145"/>
      <c r="G99" s="145"/>
      <c r="H99" s="143"/>
      <c r="I99" s="143"/>
      <c r="J99" s="143"/>
      <c r="K99" s="144"/>
    </row>
    <row r="100" spans="1:11" ht="15">
      <c r="A100" s="141"/>
      <c r="B100" s="136"/>
      <c r="C100" s="136"/>
      <c r="D100" s="142"/>
      <c r="E100" s="143"/>
      <c r="F100" s="145"/>
      <c r="G100" s="145"/>
      <c r="H100" s="145"/>
      <c r="I100" s="145"/>
      <c r="J100" s="143"/>
      <c r="K100" s="144"/>
    </row>
    <row r="101" spans="1:11" ht="15">
      <c r="A101" s="141"/>
      <c r="B101" s="136"/>
      <c r="C101" s="136"/>
      <c r="D101" s="142"/>
      <c r="E101" s="143"/>
      <c r="F101" s="145"/>
      <c r="G101" s="145"/>
      <c r="H101" s="145"/>
      <c r="I101" s="145"/>
      <c r="J101" s="143"/>
      <c r="K101" s="144"/>
    </row>
    <row r="102" spans="1:11" ht="15">
      <c r="A102" s="148"/>
      <c r="B102" s="149"/>
      <c r="C102" s="149"/>
      <c r="D102" s="149"/>
      <c r="E102" s="149"/>
      <c r="F102" s="149"/>
      <c r="G102" s="149"/>
      <c r="H102" s="149"/>
      <c r="I102" s="149"/>
      <c r="J102" s="149"/>
      <c r="K102" s="150"/>
    </row>
    <row r="103" spans="1:11">
      <c r="A103" s="22"/>
    </row>
    <row r="107" spans="1:11">
      <c r="B107" s="152"/>
      <c r="C107" s="152"/>
      <c r="D107" s="152"/>
      <c r="E107" s="152"/>
      <c r="F107" s="152"/>
      <c r="G107" s="152"/>
      <c r="H107" s="152"/>
      <c r="I107" s="152"/>
      <c r="J107" s="152"/>
    </row>
    <row r="108" spans="1:11">
      <c r="B108" s="152"/>
      <c r="C108" s="152"/>
      <c r="D108" s="152"/>
      <c r="E108" s="152"/>
      <c r="F108" s="152"/>
      <c r="G108" s="152"/>
      <c r="H108" s="152"/>
      <c r="I108" s="152"/>
      <c r="J108" s="152"/>
    </row>
    <row r="109" spans="1:11">
      <c r="B109" s="152"/>
      <c r="C109" s="152"/>
      <c r="D109" s="152"/>
      <c r="E109" s="152"/>
      <c r="F109" s="152"/>
      <c r="G109" s="152"/>
      <c r="H109" s="152"/>
      <c r="I109" s="152"/>
      <c r="J109" s="152"/>
    </row>
    <row r="110" spans="1:11">
      <c r="B110" s="152"/>
      <c r="C110" s="152"/>
      <c r="D110" s="152"/>
      <c r="E110" s="152"/>
      <c r="F110" s="152"/>
      <c r="G110" s="152"/>
      <c r="H110" s="152"/>
      <c r="I110" s="152"/>
      <c r="J110" s="152"/>
    </row>
    <row r="111" spans="1:11">
      <c r="B111" s="152"/>
      <c r="C111" s="152"/>
      <c r="D111" s="152"/>
      <c r="E111" s="152"/>
      <c r="F111" s="152"/>
      <c r="G111" s="152"/>
      <c r="H111" s="152"/>
      <c r="I111" s="152"/>
      <c r="J111" s="152"/>
    </row>
    <row r="131" spans="1:13" ht="18.75">
      <c r="A131" s="766" t="s">
        <v>395</v>
      </c>
      <c r="B131" s="766"/>
      <c r="C131" s="766"/>
      <c r="D131" s="766"/>
      <c r="E131" s="766"/>
      <c r="F131" s="766"/>
      <c r="G131" s="766"/>
      <c r="H131" s="766"/>
      <c r="I131" s="766"/>
      <c r="J131" s="766"/>
      <c r="K131" s="766"/>
      <c r="L131" s="766"/>
      <c r="M131" s="1"/>
    </row>
    <row r="132" spans="1:13" ht="15.75">
      <c r="A132" s="778" t="s">
        <v>396</v>
      </c>
      <c r="B132" s="778"/>
      <c r="C132" s="778"/>
      <c r="D132" s="778"/>
      <c r="E132" s="778"/>
      <c r="F132" s="778"/>
      <c r="G132" s="778"/>
      <c r="H132" s="778"/>
      <c r="I132" s="778"/>
      <c r="J132" s="778"/>
      <c r="K132" s="778"/>
      <c r="L132" s="778"/>
      <c r="M132" s="79"/>
    </row>
    <row r="133" spans="1:13" ht="14.25">
      <c r="A133" s="779" t="s">
        <v>77</v>
      </c>
      <c r="B133" s="779"/>
      <c r="C133" s="779"/>
      <c r="D133" s="779"/>
      <c r="E133" s="779"/>
      <c r="F133" s="779"/>
      <c r="G133" s="779"/>
      <c r="H133" s="779"/>
      <c r="I133" s="779"/>
      <c r="J133" s="779"/>
      <c r="K133" s="779"/>
      <c r="L133" s="779"/>
      <c r="M133" s="81"/>
    </row>
    <row r="134" spans="1:13">
      <c r="A134" s="780" t="s">
        <v>78</v>
      </c>
      <c r="B134" s="780"/>
      <c r="C134" s="780"/>
      <c r="D134" s="780"/>
      <c r="E134" s="780"/>
      <c r="F134" s="780"/>
      <c r="G134" s="780"/>
      <c r="H134" s="780"/>
      <c r="I134" s="780"/>
      <c r="J134" s="780"/>
      <c r="K134" s="780"/>
      <c r="L134" s="780"/>
      <c r="M134" s="83"/>
    </row>
    <row r="135" spans="1:13">
      <c r="A135" s="703"/>
      <c r="B135" s="703"/>
      <c r="C135" s="703"/>
      <c r="D135" s="707"/>
      <c r="E135" s="707"/>
      <c r="F135" s="707"/>
      <c r="G135" s="707"/>
      <c r="H135" s="707"/>
      <c r="I135" s="707"/>
      <c r="J135" s="707"/>
      <c r="K135" s="707"/>
      <c r="L135" s="703"/>
      <c r="M135" s="79"/>
    </row>
    <row r="136" spans="1:13" ht="17.25">
      <c r="A136" s="85"/>
      <c r="B136" s="86"/>
      <c r="C136" s="86"/>
      <c r="D136" s="781" t="s">
        <v>79</v>
      </c>
      <c r="E136" s="781"/>
      <c r="F136" s="781"/>
      <c r="G136" s="781"/>
      <c r="H136" s="782" t="s">
        <v>80</v>
      </c>
      <c r="I136" s="782"/>
      <c r="J136" s="782"/>
      <c r="K136" s="782"/>
      <c r="L136" s="87"/>
      <c r="M136" s="23"/>
    </row>
    <row r="137" spans="1:13" ht="37.5">
      <c r="A137" s="88" t="s">
        <v>81</v>
      </c>
      <c r="B137" s="89" t="s">
        <v>82</v>
      </c>
      <c r="C137" s="90"/>
      <c r="D137" s="90" t="s">
        <v>83</v>
      </c>
      <c r="E137" s="90" t="s">
        <v>84</v>
      </c>
      <c r="F137" s="90" t="s">
        <v>17</v>
      </c>
      <c r="G137" s="91" t="s">
        <v>85</v>
      </c>
      <c r="H137" s="90" t="s">
        <v>86</v>
      </c>
      <c r="I137" s="90" t="s">
        <v>87</v>
      </c>
      <c r="J137" s="90" t="s">
        <v>88</v>
      </c>
      <c r="K137" s="90" t="s">
        <v>89</v>
      </c>
      <c r="L137" s="92" t="s">
        <v>27</v>
      </c>
      <c r="M137" s="93"/>
    </row>
    <row r="138" spans="1:13" ht="24">
      <c r="A138" s="98"/>
      <c r="B138" s="99" t="s">
        <v>90</v>
      </c>
      <c r="C138" s="99"/>
      <c r="D138" s="100" t="s">
        <v>91</v>
      </c>
      <c r="E138" s="100" t="s">
        <v>92</v>
      </c>
      <c r="F138" s="100" t="s">
        <v>93</v>
      </c>
      <c r="G138" s="101" t="s">
        <v>94</v>
      </c>
      <c r="H138" s="100" t="s">
        <v>95</v>
      </c>
      <c r="I138" s="100" t="s">
        <v>96</v>
      </c>
      <c r="J138" s="100" t="s">
        <v>97</v>
      </c>
      <c r="K138" s="100" t="s">
        <v>98</v>
      </c>
      <c r="L138" s="102"/>
      <c r="M138" s="79"/>
    </row>
    <row r="139" spans="1:13" ht="15">
      <c r="A139" s="103" t="s">
        <v>30</v>
      </c>
      <c r="B139" s="104">
        <f>SUM(D139:K139)</f>
        <v>151024.32375223393</v>
      </c>
      <c r="C139" s="105"/>
      <c r="D139" s="104">
        <f t="shared" ref="D139:K139" si="6">D140+D141+D142</f>
        <v>100099.48690598595</v>
      </c>
      <c r="E139" s="104">
        <f t="shared" si="6"/>
        <v>47216.695507000004</v>
      </c>
      <c r="F139" s="104">
        <f t="shared" si="6"/>
        <v>432.30529269740248</v>
      </c>
      <c r="G139" s="104">
        <f t="shared" si="6"/>
        <v>10.569000000000001</v>
      </c>
      <c r="H139" s="104">
        <f t="shared" si="6"/>
        <v>10.287406775922298</v>
      </c>
      <c r="I139" s="104">
        <f t="shared" si="6"/>
        <v>90.91167014604595</v>
      </c>
      <c r="J139" s="104">
        <f t="shared" si="6"/>
        <v>338.61322270952405</v>
      </c>
      <c r="K139" s="104">
        <f t="shared" si="6"/>
        <v>2825.4547469191107</v>
      </c>
      <c r="L139" s="106" t="s">
        <v>31</v>
      </c>
      <c r="M139" s="107"/>
    </row>
    <row r="140" spans="1:13" ht="15">
      <c r="A140" s="103" t="s">
        <v>32</v>
      </c>
      <c r="B140" s="109">
        <f>SUM(D140:K140)</f>
        <v>28304.114418123372</v>
      </c>
      <c r="C140" s="110"/>
      <c r="D140" s="111">
        <v>22114.229248236112</v>
      </c>
      <c r="E140" s="111">
        <v>5946.0214715000038</v>
      </c>
      <c r="F140" s="111">
        <v>32.292513208464982</v>
      </c>
      <c r="G140" s="111">
        <v>0</v>
      </c>
      <c r="H140" s="111">
        <v>1.1292287022419936</v>
      </c>
      <c r="I140" s="111">
        <v>14.093078886260614</v>
      </c>
      <c r="J140" s="111">
        <v>21.544845762505773</v>
      </c>
      <c r="K140" s="111">
        <v>174.80403182778463</v>
      </c>
      <c r="L140" s="106" t="s">
        <v>33</v>
      </c>
      <c r="M140" s="107"/>
    </row>
    <row r="141" spans="1:13" ht="15">
      <c r="A141" s="103" t="s">
        <v>34</v>
      </c>
      <c r="B141" s="109">
        <f>SUM(D141:K141)</f>
        <v>121374.70435411057</v>
      </c>
      <c r="C141" s="110"/>
      <c r="D141" s="111">
        <f t="shared" ref="D141:K141" si="7">SUM(D143:D162)</f>
        <v>77981.600657749834</v>
      </c>
      <c r="E141" s="111">
        <f t="shared" si="7"/>
        <v>40636.822695499999</v>
      </c>
      <c r="F141" s="111">
        <f t="shared" si="7"/>
        <v>236.07163948893751</v>
      </c>
      <c r="G141" s="111">
        <f t="shared" si="7"/>
        <v>0</v>
      </c>
      <c r="H141" s="111">
        <f t="shared" si="7"/>
        <v>9.158178073680304</v>
      </c>
      <c r="I141" s="111">
        <f t="shared" si="7"/>
        <v>76.818591259785336</v>
      </c>
      <c r="J141" s="111">
        <f t="shared" si="7"/>
        <v>317.06837694701829</v>
      </c>
      <c r="K141" s="111">
        <f t="shared" si="7"/>
        <v>2117.1642150913262</v>
      </c>
      <c r="L141" s="106" t="s">
        <v>35</v>
      </c>
      <c r="M141" s="107"/>
    </row>
    <row r="142" spans="1:13" ht="15.75">
      <c r="A142" s="112" t="s">
        <v>36</v>
      </c>
      <c r="B142" s="109">
        <f>SUM(D142:K142)</f>
        <v>1345.5049800000002</v>
      </c>
      <c r="C142" s="105"/>
      <c r="D142" s="111">
        <v>3.657</v>
      </c>
      <c r="E142" s="111">
        <v>633.85134000000016</v>
      </c>
      <c r="F142" s="111">
        <v>163.94113999999999</v>
      </c>
      <c r="G142" s="111">
        <v>10.569000000000001</v>
      </c>
      <c r="H142" s="111">
        <v>0</v>
      </c>
      <c r="I142" s="111">
        <v>0</v>
      </c>
      <c r="J142" s="111">
        <v>0</v>
      </c>
      <c r="K142" s="113">
        <v>533.48649999999998</v>
      </c>
      <c r="L142" s="114" t="s">
        <v>391</v>
      </c>
      <c r="M142" s="115"/>
    </row>
    <row r="143" spans="1:13" ht="15">
      <c r="A143" s="116" t="s">
        <v>37</v>
      </c>
      <c r="B143" s="117">
        <f t="shared" ref="B143:B162" si="8">SUM(D143:K143)</f>
        <v>4852.2798486124339</v>
      </c>
      <c r="C143" s="105"/>
      <c r="D143" s="118">
        <v>1750.6261567927688</v>
      </c>
      <c r="E143" s="118">
        <v>3063.0837715000021</v>
      </c>
      <c r="F143" s="118">
        <v>0.45702342080620317</v>
      </c>
      <c r="G143" s="530" t="s">
        <v>127</v>
      </c>
      <c r="H143" s="118">
        <v>0</v>
      </c>
      <c r="I143" s="118">
        <v>0</v>
      </c>
      <c r="J143" s="118">
        <v>1.4719962678466463</v>
      </c>
      <c r="K143" s="118">
        <v>36.640900631010652</v>
      </c>
      <c r="L143" s="119" t="s">
        <v>38</v>
      </c>
      <c r="M143" s="120"/>
    </row>
    <row r="144" spans="1:13" ht="15">
      <c r="A144" s="116" t="s">
        <v>39</v>
      </c>
      <c r="B144" s="117">
        <f t="shared" si="8"/>
        <v>2565.652669901337</v>
      </c>
      <c r="C144" s="105"/>
      <c r="D144" s="118">
        <v>591.19959393571867</v>
      </c>
      <c r="E144" s="118">
        <v>1779.9311495000006</v>
      </c>
      <c r="F144" s="118">
        <v>22.870213682843751</v>
      </c>
      <c r="G144" s="530" t="s">
        <v>127</v>
      </c>
      <c r="H144" s="118">
        <v>0</v>
      </c>
      <c r="I144" s="118">
        <v>21.506760477438576</v>
      </c>
      <c r="J144" s="118">
        <v>122.85360830546749</v>
      </c>
      <c r="K144" s="118">
        <v>27.29134399986776</v>
      </c>
      <c r="L144" s="119" t="s">
        <v>40</v>
      </c>
      <c r="M144" s="120"/>
    </row>
    <row r="145" spans="1:13" ht="15">
      <c r="A145" s="116" t="s">
        <v>41</v>
      </c>
      <c r="B145" s="117">
        <f t="shared" si="8"/>
        <v>2763.4444005300429</v>
      </c>
      <c r="C145" s="105"/>
      <c r="D145" s="118">
        <v>477.12750023461746</v>
      </c>
      <c r="E145" s="118">
        <v>2186.6708079999989</v>
      </c>
      <c r="F145" s="118">
        <v>14.56000448118429</v>
      </c>
      <c r="G145" s="530" t="s">
        <v>127</v>
      </c>
      <c r="H145" s="118">
        <v>0.26469273121692599</v>
      </c>
      <c r="I145" s="118">
        <v>0.38085285067183605</v>
      </c>
      <c r="J145" s="118">
        <v>0.19042642533591803</v>
      </c>
      <c r="K145" s="118">
        <v>84.250115807017266</v>
      </c>
      <c r="L145" s="119" t="s">
        <v>42</v>
      </c>
      <c r="M145" s="120"/>
    </row>
    <row r="146" spans="1:13" ht="15">
      <c r="A146" s="116" t="s">
        <v>43</v>
      </c>
      <c r="B146" s="117">
        <f t="shared" si="8"/>
        <v>2682.0970062263164</v>
      </c>
      <c r="C146" s="105"/>
      <c r="D146" s="118">
        <v>533.79402460680353</v>
      </c>
      <c r="E146" s="118">
        <v>2131.4165374999993</v>
      </c>
      <c r="F146" s="118">
        <v>5.9032191854134579</v>
      </c>
      <c r="G146" s="530" t="s">
        <v>127</v>
      </c>
      <c r="H146" s="118">
        <v>0</v>
      </c>
      <c r="I146" s="118">
        <v>0.50958111419891661</v>
      </c>
      <c r="J146" s="118">
        <v>0.46540218352098361</v>
      </c>
      <c r="K146" s="118">
        <v>10.008241636379841</v>
      </c>
      <c r="L146" s="119" t="s">
        <v>44</v>
      </c>
      <c r="M146" s="120"/>
    </row>
    <row r="147" spans="1:13" ht="15">
      <c r="A147" s="116" t="s">
        <v>45</v>
      </c>
      <c r="B147" s="117">
        <f t="shared" si="8"/>
        <v>5775.3810964430077</v>
      </c>
      <c r="C147" s="105"/>
      <c r="D147" s="118">
        <v>2530.4796488120951</v>
      </c>
      <c r="E147" s="118">
        <v>3106.9314850000001</v>
      </c>
      <c r="F147" s="118">
        <v>0</v>
      </c>
      <c r="G147" s="530" t="s">
        <v>127</v>
      </c>
      <c r="H147" s="118">
        <v>0</v>
      </c>
      <c r="I147" s="118">
        <v>16.258608195180678</v>
      </c>
      <c r="J147" s="118">
        <v>98.629462738485358</v>
      </c>
      <c r="K147" s="118">
        <v>23.081891697247158</v>
      </c>
      <c r="L147" s="119" t="s">
        <v>46</v>
      </c>
      <c r="M147" s="120"/>
    </row>
    <row r="148" spans="1:13" ht="15">
      <c r="A148" s="116" t="s">
        <v>47</v>
      </c>
      <c r="B148" s="117">
        <f t="shared" si="8"/>
        <v>1874.8629168399325</v>
      </c>
      <c r="C148" s="105"/>
      <c r="D148" s="118">
        <v>310.68242677337815</v>
      </c>
      <c r="E148" s="118">
        <v>1326.4551874999995</v>
      </c>
      <c r="F148" s="118">
        <v>0</v>
      </c>
      <c r="G148" s="530" t="s">
        <v>127</v>
      </c>
      <c r="H148" s="118">
        <v>0.33191325936050509</v>
      </c>
      <c r="I148" s="118">
        <v>0</v>
      </c>
      <c r="J148" s="118">
        <v>0</v>
      </c>
      <c r="K148" s="118">
        <v>237.39338930719413</v>
      </c>
      <c r="L148" s="119" t="s">
        <v>48</v>
      </c>
      <c r="M148" s="120"/>
    </row>
    <row r="149" spans="1:13" ht="15">
      <c r="A149" s="116" t="s">
        <v>49</v>
      </c>
      <c r="B149" s="117">
        <f t="shared" si="8"/>
        <v>4853.9717464144524</v>
      </c>
      <c r="C149" s="105"/>
      <c r="D149" s="118">
        <v>2920.877090859899</v>
      </c>
      <c r="E149" s="118">
        <v>1531.3946624999994</v>
      </c>
      <c r="F149" s="118">
        <v>6.5735202025958896</v>
      </c>
      <c r="G149" s="530" t="s">
        <v>127</v>
      </c>
      <c r="H149" s="118">
        <v>0</v>
      </c>
      <c r="I149" s="118">
        <v>18.695685586629757</v>
      </c>
      <c r="J149" s="118">
        <v>32.806664556871958</v>
      </c>
      <c r="K149" s="118">
        <v>343.62412270845596</v>
      </c>
      <c r="L149" s="119" t="s">
        <v>50</v>
      </c>
      <c r="M149" s="120"/>
    </row>
    <row r="150" spans="1:13" ht="15">
      <c r="A150" s="116" t="s">
        <v>51</v>
      </c>
      <c r="B150" s="117">
        <f t="shared" si="8"/>
        <v>4236.6941379973796</v>
      </c>
      <c r="C150" s="105"/>
      <c r="D150" s="118">
        <v>2423.2794735220887</v>
      </c>
      <c r="E150" s="118">
        <v>1768.1973385000008</v>
      </c>
      <c r="F150" s="118">
        <v>5.8689424288529928</v>
      </c>
      <c r="G150" s="530" t="s">
        <v>127</v>
      </c>
      <c r="H150" s="118">
        <v>0</v>
      </c>
      <c r="I150" s="118">
        <v>6.209424877353614</v>
      </c>
      <c r="J150" s="118">
        <v>4.289926509967561</v>
      </c>
      <c r="K150" s="118">
        <v>28.849032159115566</v>
      </c>
      <c r="L150" s="119" t="s">
        <v>52</v>
      </c>
      <c r="M150" s="120"/>
    </row>
    <row r="151" spans="1:13" ht="15">
      <c r="A151" s="116" t="s">
        <v>53</v>
      </c>
      <c r="B151" s="117">
        <f t="shared" si="8"/>
        <v>2576.6094130832553</v>
      </c>
      <c r="C151" s="105"/>
      <c r="D151" s="118">
        <v>157.04143572530086</v>
      </c>
      <c r="E151" s="118">
        <v>2410.6530499999981</v>
      </c>
      <c r="F151" s="118">
        <v>8.6834449953178598</v>
      </c>
      <c r="G151" s="530" t="s">
        <v>127</v>
      </c>
      <c r="H151" s="118">
        <v>0</v>
      </c>
      <c r="I151" s="118">
        <v>0</v>
      </c>
      <c r="J151" s="118">
        <v>0</v>
      </c>
      <c r="K151" s="118">
        <v>0.23148236263834199</v>
      </c>
      <c r="L151" s="119" t="s">
        <v>54</v>
      </c>
      <c r="M151" s="120"/>
    </row>
    <row r="152" spans="1:13" ht="15">
      <c r="A152" s="116" t="s">
        <v>55</v>
      </c>
      <c r="B152" s="117">
        <f t="shared" si="8"/>
        <v>3269.6684813193392</v>
      </c>
      <c r="C152" s="105"/>
      <c r="D152" s="118">
        <v>223.85487025679677</v>
      </c>
      <c r="E152" s="118">
        <v>2951.3325879999998</v>
      </c>
      <c r="F152" s="118">
        <v>0.66458822442235388</v>
      </c>
      <c r="G152" s="530" t="s">
        <v>127</v>
      </c>
      <c r="H152" s="118">
        <v>0.77313128686382715</v>
      </c>
      <c r="I152" s="118">
        <v>0.14034427547257158</v>
      </c>
      <c r="J152" s="118">
        <v>18.999606161465881</v>
      </c>
      <c r="K152" s="118">
        <v>73.903353114317753</v>
      </c>
      <c r="L152" s="119" t="s">
        <v>56</v>
      </c>
      <c r="M152" s="120"/>
    </row>
    <row r="153" spans="1:13" ht="15">
      <c r="A153" s="116" t="s">
        <v>57</v>
      </c>
      <c r="B153" s="117">
        <f t="shared" si="8"/>
        <v>234.80660959918052</v>
      </c>
      <c r="C153" s="105"/>
      <c r="D153" s="118">
        <v>109.17680158499121</v>
      </c>
      <c r="E153" s="118">
        <v>125.59050399999998</v>
      </c>
      <c r="F153" s="118">
        <v>0</v>
      </c>
      <c r="G153" s="530" t="s">
        <v>127</v>
      </c>
      <c r="H153" s="118">
        <v>0</v>
      </c>
      <c r="I153" s="118">
        <v>0</v>
      </c>
      <c r="J153" s="118">
        <v>0</v>
      </c>
      <c r="K153" s="118">
        <v>3.9304014189333478E-2</v>
      </c>
      <c r="L153" s="119" t="s">
        <v>58</v>
      </c>
      <c r="M153" s="120"/>
    </row>
    <row r="154" spans="1:13" ht="15">
      <c r="A154" s="116" t="s">
        <v>59</v>
      </c>
      <c r="B154" s="117">
        <f t="shared" si="8"/>
        <v>2694.5335002029829</v>
      </c>
      <c r="C154" s="105"/>
      <c r="D154" s="118">
        <v>1744.8859045421561</v>
      </c>
      <c r="E154" s="118">
        <v>920.31069100000013</v>
      </c>
      <c r="F154" s="118">
        <v>14.798037512854187</v>
      </c>
      <c r="G154" s="530" t="s">
        <v>127</v>
      </c>
      <c r="H154" s="118">
        <v>0.14662834750865686</v>
      </c>
      <c r="I154" s="118">
        <v>1.1665522816078335</v>
      </c>
      <c r="J154" s="118">
        <v>9.34993748399358</v>
      </c>
      <c r="K154" s="118">
        <v>3.8757490348619399</v>
      </c>
      <c r="L154" s="119" t="s">
        <v>60</v>
      </c>
      <c r="M154" s="120"/>
    </row>
    <row r="155" spans="1:13" ht="15">
      <c r="A155" s="116" t="s">
        <v>61</v>
      </c>
      <c r="B155" s="117">
        <f t="shared" si="8"/>
        <v>2932.4848575439837</v>
      </c>
      <c r="C155" s="105"/>
      <c r="D155" s="118">
        <v>321.50607436304642</v>
      </c>
      <c r="E155" s="118">
        <v>1528.2464060000007</v>
      </c>
      <c r="F155" s="118">
        <v>1.6833695999695151</v>
      </c>
      <c r="G155" s="530" t="s">
        <v>127</v>
      </c>
      <c r="H155" s="118">
        <v>0.22660744614974243</v>
      </c>
      <c r="I155" s="118">
        <v>0.33705477284457486</v>
      </c>
      <c r="J155" s="118">
        <v>0.97117476921318191</v>
      </c>
      <c r="K155" s="118">
        <v>1079.5141705927599</v>
      </c>
      <c r="L155" s="119" t="s">
        <v>62</v>
      </c>
      <c r="M155" s="120"/>
    </row>
    <row r="156" spans="1:13" ht="15">
      <c r="A156" s="116" t="s">
        <v>63</v>
      </c>
      <c r="B156" s="117">
        <f t="shared" si="8"/>
        <v>8530.428525145926</v>
      </c>
      <c r="C156" s="105"/>
      <c r="D156" s="118">
        <v>3641.2259621064763</v>
      </c>
      <c r="E156" s="118">
        <v>4838.9332239999985</v>
      </c>
      <c r="F156" s="118">
        <v>42.253719517786841</v>
      </c>
      <c r="G156" s="530" t="s">
        <v>127</v>
      </c>
      <c r="H156" s="118">
        <v>5.7127927600775397E-2</v>
      </c>
      <c r="I156" s="118">
        <v>1.8414235329983271</v>
      </c>
      <c r="J156" s="118">
        <v>1.1448436691195392</v>
      </c>
      <c r="K156" s="118">
        <v>4.9722243919461553</v>
      </c>
      <c r="L156" s="119" t="s">
        <v>64</v>
      </c>
      <c r="M156" s="120"/>
    </row>
    <row r="157" spans="1:13" ht="15">
      <c r="A157" s="116" t="s">
        <v>65</v>
      </c>
      <c r="B157" s="117">
        <f t="shared" si="8"/>
        <v>6049.4795388263601</v>
      </c>
      <c r="C157" s="105"/>
      <c r="D157" s="118">
        <v>4514.7348643786627</v>
      </c>
      <c r="E157" s="118">
        <v>1395.0383274999999</v>
      </c>
      <c r="F157" s="118">
        <v>32.962814225647378</v>
      </c>
      <c r="G157" s="530" t="s">
        <v>127</v>
      </c>
      <c r="H157" s="118">
        <v>7.0381606804155279</v>
      </c>
      <c r="I157" s="118">
        <v>0.47777990116781832</v>
      </c>
      <c r="J157" s="118">
        <v>17.432396680951285</v>
      </c>
      <c r="K157" s="118">
        <v>81.795195459514247</v>
      </c>
      <c r="L157" s="119" t="s">
        <v>66</v>
      </c>
      <c r="M157" s="120"/>
    </row>
    <row r="158" spans="1:13" ht="15">
      <c r="A158" s="116" t="s">
        <v>67</v>
      </c>
      <c r="B158" s="117">
        <f t="shared" si="8"/>
        <v>11585.481944996269</v>
      </c>
      <c r="C158" s="105"/>
      <c r="D158" s="118">
        <v>8855.5779156774606</v>
      </c>
      <c r="E158" s="118">
        <v>2594.172834</v>
      </c>
      <c r="F158" s="118">
        <v>54.707607734755896</v>
      </c>
      <c r="G158" s="530" t="s">
        <v>127</v>
      </c>
      <c r="H158" s="118">
        <v>0</v>
      </c>
      <c r="I158" s="118">
        <v>0</v>
      </c>
      <c r="J158" s="118">
        <v>2.5802780633016891</v>
      </c>
      <c r="K158" s="118">
        <v>78.443309520751384</v>
      </c>
      <c r="L158" s="119" t="s">
        <v>68</v>
      </c>
      <c r="M158" s="120"/>
    </row>
    <row r="159" spans="1:13" ht="15">
      <c r="A159" s="116" t="s">
        <v>69</v>
      </c>
      <c r="B159" s="117">
        <f t="shared" si="8"/>
        <v>25065.13668207006</v>
      </c>
      <c r="C159" s="105"/>
      <c r="D159" s="118">
        <v>22731.053478883976</v>
      </c>
      <c r="E159" s="118">
        <v>2315.1871890000002</v>
      </c>
      <c r="F159" s="118">
        <v>2.5231501357009134</v>
      </c>
      <c r="G159" s="530" t="s">
        <v>127</v>
      </c>
      <c r="H159" s="118">
        <v>0.31991639456434223</v>
      </c>
      <c r="I159" s="118">
        <v>8.0891241218444616</v>
      </c>
      <c r="J159" s="118">
        <v>5.0009787821718792</v>
      </c>
      <c r="K159" s="118">
        <v>2.9628447518015495</v>
      </c>
      <c r="L159" s="119" t="s">
        <v>70</v>
      </c>
      <c r="M159" s="120"/>
    </row>
    <row r="160" spans="1:13" ht="15">
      <c r="A160" s="116" t="s">
        <v>71</v>
      </c>
      <c r="B160" s="117">
        <f t="shared" si="8"/>
        <v>14621.351612458166</v>
      </c>
      <c r="C160" s="105"/>
      <c r="D160" s="118">
        <v>13332.728259359639</v>
      </c>
      <c r="E160" s="118">
        <v>1282.2307380000007</v>
      </c>
      <c r="F160" s="118">
        <v>6.3926150985267682</v>
      </c>
      <c r="G160" s="530" t="s">
        <v>127</v>
      </c>
      <c r="H160" s="118">
        <v>0</v>
      </c>
      <c r="I160" s="118">
        <v>0</v>
      </c>
      <c r="J160" s="118">
        <v>0</v>
      </c>
      <c r="K160" s="118">
        <v>0</v>
      </c>
      <c r="L160" s="119" t="s">
        <v>72</v>
      </c>
      <c r="M160" s="120"/>
    </row>
    <row r="161" spans="1:13" ht="15">
      <c r="A161" s="116" t="s">
        <v>73</v>
      </c>
      <c r="B161" s="117">
        <f t="shared" si="8"/>
        <v>4762.4309815730667</v>
      </c>
      <c r="C161" s="105"/>
      <c r="D161" s="118">
        <v>2441.6668587260997</v>
      </c>
      <c r="E161" s="118">
        <v>2315.5407260000025</v>
      </c>
      <c r="F161" s="118">
        <v>5.2233968469642313</v>
      </c>
      <c r="G161" s="530" t="s">
        <v>127</v>
      </c>
      <c r="H161" s="118">
        <v>0</v>
      </c>
      <c r="I161" s="118">
        <v>0</v>
      </c>
      <c r="J161" s="118">
        <v>0</v>
      </c>
      <c r="K161" s="118">
        <v>0</v>
      </c>
      <c r="L161" s="119" t="s">
        <v>74</v>
      </c>
      <c r="M161" s="120"/>
    </row>
    <row r="162" spans="1:13" ht="15">
      <c r="A162" s="122" t="s">
        <v>42</v>
      </c>
      <c r="B162" s="123">
        <f t="shared" si="8"/>
        <v>9447.908384327111</v>
      </c>
      <c r="C162" s="124"/>
      <c r="D162" s="125">
        <v>8370.0823166078771</v>
      </c>
      <c r="E162" s="125">
        <v>1065.505478</v>
      </c>
      <c r="F162" s="125">
        <v>9.9459721952949973</v>
      </c>
      <c r="G162" s="610" t="s">
        <v>127</v>
      </c>
      <c r="H162" s="125">
        <v>0</v>
      </c>
      <c r="I162" s="125">
        <v>1.2053992723763607</v>
      </c>
      <c r="J162" s="125">
        <v>0.88167434930530031</v>
      </c>
      <c r="K162" s="125">
        <v>0.28754390225723614</v>
      </c>
      <c r="L162" s="126" t="s">
        <v>75</v>
      </c>
      <c r="M162" s="127"/>
    </row>
    <row r="163" spans="1:13" ht="17.25">
      <c r="A163" s="24" t="s">
        <v>397</v>
      </c>
      <c r="B163" s="22"/>
      <c r="C163" s="22"/>
      <c r="D163" s="22"/>
      <c r="E163" s="22"/>
      <c r="F163" s="22"/>
      <c r="G163" s="22"/>
      <c r="H163" s="22"/>
      <c r="I163" s="22"/>
      <c r="J163" s="22"/>
      <c r="K163" s="22"/>
      <c r="L163" s="20" t="s">
        <v>389</v>
      </c>
    </row>
    <row r="164" spans="1:13">
      <c r="A164" s="760" t="s">
        <v>393</v>
      </c>
      <c r="B164" s="760"/>
      <c r="C164" s="760"/>
      <c r="D164" s="760"/>
      <c r="E164" s="760"/>
      <c r="F164" s="760"/>
      <c r="G164" s="761" t="s">
        <v>394</v>
      </c>
      <c r="H164" s="761"/>
      <c r="I164" s="761"/>
      <c r="J164" s="761"/>
      <c r="K164" s="761"/>
      <c r="L164" s="761"/>
      <c r="M164" s="1"/>
    </row>
    <row r="165" spans="1:13">
      <c r="A165" s="760"/>
      <c r="B165" s="760"/>
      <c r="C165" s="760"/>
      <c r="D165" s="760"/>
      <c r="E165" s="760"/>
      <c r="F165" s="760"/>
      <c r="G165" s="761"/>
      <c r="H165" s="761"/>
      <c r="I165" s="761"/>
      <c r="J165" s="761"/>
      <c r="K165" s="761"/>
      <c r="L165" s="761"/>
      <c r="M165" s="1"/>
    </row>
    <row r="166" spans="1:13">
      <c r="A166" s="760"/>
      <c r="B166" s="760"/>
      <c r="C166" s="760"/>
      <c r="D166" s="760"/>
      <c r="E166" s="760"/>
      <c r="F166" s="760"/>
      <c r="M166" s="1"/>
    </row>
    <row r="167" spans="1:13">
      <c r="A167" s="760"/>
      <c r="B167" s="760"/>
      <c r="C167" s="760"/>
      <c r="D167" s="760"/>
      <c r="E167" s="760"/>
      <c r="F167" s="760"/>
      <c r="M167" s="1"/>
    </row>
  </sheetData>
  <mergeCells count="23">
    <mergeCell ref="G34:L35"/>
    <mergeCell ref="A1:L1"/>
    <mergeCell ref="A2:L2"/>
    <mergeCell ref="A3:L3"/>
    <mergeCell ref="A4:L4"/>
    <mergeCell ref="D6:G6"/>
    <mergeCell ref="H6:K6"/>
    <mergeCell ref="A164:F167"/>
    <mergeCell ref="G164:L165"/>
    <mergeCell ref="A131:L131"/>
    <mergeCell ref="A132:L132"/>
    <mergeCell ref="A133:L133"/>
    <mergeCell ref="A134:L134"/>
    <mergeCell ref="D136:G136"/>
    <mergeCell ref="H136:K136"/>
    <mergeCell ref="A70:F73"/>
    <mergeCell ref="G70:L71"/>
    <mergeCell ref="A37:L37"/>
    <mergeCell ref="A38:L38"/>
    <mergeCell ref="A39:L39"/>
    <mergeCell ref="A40:L40"/>
    <mergeCell ref="D42:G42"/>
    <mergeCell ref="H42:K4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U62"/>
  <sheetViews>
    <sheetView topLeftCell="A19" workbookViewId="0">
      <selection activeCell="S34" sqref="S34"/>
    </sheetView>
  </sheetViews>
  <sheetFormatPr defaultColWidth="8.85546875" defaultRowHeight="12.75"/>
  <cols>
    <col min="1" max="1" width="8.85546875" style="165"/>
    <col min="2" max="4" width="0" style="164" hidden="1" customWidth="1"/>
    <col min="5" max="11" width="10.85546875" style="164" customWidth="1"/>
    <col min="12" max="18" width="9.85546875" style="164" customWidth="1"/>
    <col min="19" max="19" width="29.5703125" style="164" customWidth="1"/>
    <col min="20" max="21" width="4.85546875" style="164" customWidth="1"/>
    <col min="22" max="25" width="4.85546875" style="165" customWidth="1"/>
    <col min="26" max="26" width="21.28515625" style="165" customWidth="1"/>
    <col min="27" max="35" width="4.85546875" style="165" customWidth="1"/>
    <col min="36" max="39" width="8.85546875" style="165"/>
    <col min="40" max="40" width="10" style="165" bestFit="1" customWidth="1"/>
    <col min="41" max="16384" width="8.85546875" style="165"/>
  </cols>
  <sheetData>
    <row r="1" spans="1:47" s="29" customFormat="1" ht="19.5">
      <c r="A1" s="784" t="s">
        <v>444</v>
      </c>
      <c r="B1" s="784"/>
      <c r="C1" s="784"/>
      <c r="D1" s="784"/>
      <c r="E1" s="784"/>
      <c r="F1" s="784"/>
      <c r="G1" s="784"/>
      <c r="H1" s="784"/>
      <c r="I1" s="784"/>
      <c r="J1" s="784"/>
      <c r="K1" s="784"/>
      <c r="L1" s="784"/>
      <c r="M1" s="784"/>
      <c r="N1" s="784"/>
      <c r="O1" s="784"/>
      <c r="P1" s="784"/>
      <c r="Q1" s="784"/>
      <c r="R1" s="784"/>
      <c r="S1" s="784"/>
      <c r="T1" s="153"/>
      <c r="U1" s="153"/>
      <c r="V1" s="154"/>
      <c r="W1" s="154"/>
      <c r="X1" s="154"/>
    </row>
    <row r="2" spans="1:47" s="80" customFormat="1" ht="19.5">
      <c r="A2" s="783" t="s">
        <v>443</v>
      </c>
      <c r="B2" s="783"/>
      <c r="C2" s="783"/>
      <c r="D2" s="783"/>
      <c r="E2" s="783"/>
      <c r="F2" s="783"/>
      <c r="G2" s="783"/>
      <c r="H2" s="783"/>
      <c r="I2" s="783"/>
      <c r="J2" s="783"/>
      <c r="K2" s="783"/>
      <c r="L2" s="783"/>
      <c r="M2" s="783"/>
      <c r="N2" s="783"/>
      <c r="O2" s="783"/>
      <c r="P2" s="783"/>
      <c r="Q2" s="783"/>
      <c r="R2" s="783"/>
      <c r="S2" s="783"/>
      <c r="T2" s="155"/>
      <c r="U2" s="153"/>
      <c r="V2" s="154"/>
      <c r="W2" s="154"/>
      <c r="X2" s="154"/>
      <c r="Y2" s="29"/>
      <c r="Z2" s="29"/>
      <c r="AA2" s="29"/>
      <c r="AB2" s="84"/>
      <c r="AC2" s="84"/>
      <c r="AD2" s="84"/>
      <c r="AE2" s="84"/>
      <c r="AF2" s="84"/>
      <c r="AG2" s="84"/>
      <c r="AH2" s="84"/>
      <c r="AI2" s="84"/>
      <c r="AJ2" s="84"/>
      <c r="AK2" s="84"/>
      <c r="AL2" s="84"/>
      <c r="AM2" s="84"/>
      <c r="AN2" s="84"/>
      <c r="AO2" s="84"/>
    </row>
    <row r="3" spans="1:47" s="30" customFormat="1" ht="19.5">
      <c r="A3" s="784" t="s">
        <v>99</v>
      </c>
      <c r="B3" s="784"/>
      <c r="C3" s="784"/>
      <c r="D3" s="784"/>
      <c r="E3" s="784"/>
      <c r="F3" s="784"/>
      <c r="G3" s="784"/>
      <c r="H3" s="784"/>
      <c r="I3" s="784"/>
      <c r="J3" s="784"/>
      <c r="K3" s="784"/>
      <c r="L3" s="784"/>
      <c r="M3" s="784"/>
      <c r="N3" s="784"/>
      <c r="O3" s="784"/>
      <c r="P3" s="784"/>
      <c r="Q3" s="784"/>
      <c r="R3" s="784"/>
      <c r="S3" s="784"/>
      <c r="T3" s="157"/>
      <c r="U3" s="153"/>
      <c r="V3" s="154"/>
      <c r="W3" s="154"/>
      <c r="X3" s="154"/>
      <c r="Y3" s="29"/>
      <c r="Z3" s="29"/>
      <c r="AA3" s="29"/>
      <c r="AB3" s="108"/>
      <c r="AC3" s="108"/>
      <c r="AD3" s="108"/>
      <c r="AE3" s="108"/>
      <c r="AF3" s="108"/>
      <c r="AG3" s="159"/>
      <c r="AH3" s="108"/>
      <c r="AI3" s="108"/>
      <c r="AJ3" s="108"/>
      <c r="AK3" s="108"/>
      <c r="AL3" s="108"/>
      <c r="AM3" s="108"/>
      <c r="AN3" s="108"/>
      <c r="AO3" s="108"/>
    </row>
    <row r="4" spans="1:47" s="80" customFormat="1" ht="19.5">
      <c r="A4" s="785" t="s">
        <v>100</v>
      </c>
      <c r="B4" s="785"/>
      <c r="C4" s="785"/>
      <c r="D4" s="785"/>
      <c r="E4" s="785"/>
      <c r="F4" s="785"/>
      <c r="G4" s="785"/>
      <c r="H4" s="785"/>
      <c r="I4" s="785"/>
      <c r="J4" s="785"/>
      <c r="K4" s="785"/>
      <c r="L4" s="785"/>
      <c r="M4" s="785"/>
      <c r="N4" s="785"/>
      <c r="O4" s="785"/>
      <c r="P4" s="785"/>
      <c r="Q4" s="785"/>
      <c r="R4" s="785"/>
      <c r="S4" s="785"/>
      <c r="T4" s="688"/>
      <c r="U4" s="153"/>
      <c r="V4" s="154"/>
      <c r="W4" s="154"/>
      <c r="X4" s="154"/>
      <c r="Y4" s="29"/>
      <c r="Z4" s="29"/>
      <c r="AA4" s="29"/>
      <c r="AB4" s="161"/>
      <c r="AC4" s="161"/>
      <c r="AD4" s="161"/>
      <c r="AE4" s="161"/>
      <c r="AF4" s="161"/>
      <c r="AG4" s="84"/>
      <c r="AH4" s="84"/>
      <c r="AI4" s="162"/>
      <c r="AJ4" s="84"/>
      <c r="AK4" s="84"/>
      <c r="AL4" s="84"/>
      <c r="AM4" s="84"/>
      <c r="AN4" s="84"/>
      <c r="AO4" s="84"/>
    </row>
    <row r="5" spans="1:47" s="30" customFormat="1" ht="13.5" customHeight="1">
      <c r="A5" s="763" t="s">
        <v>101</v>
      </c>
      <c r="B5" s="786"/>
      <c r="C5" s="786"/>
      <c r="D5" s="786"/>
      <c r="E5" s="786"/>
      <c r="F5" s="786"/>
      <c r="G5" s="786"/>
      <c r="H5" s="786"/>
      <c r="I5" s="689"/>
      <c r="J5" s="689"/>
      <c r="K5" s="689"/>
      <c r="L5" s="642"/>
      <c r="M5" s="643"/>
      <c r="N5" s="643"/>
      <c r="O5" s="643"/>
      <c r="P5" s="643"/>
      <c r="Q5" s="643"/>
      <c r="R5" s="643"/>
      <c r="S5" s="644" t="s">
        <v>102</v>
      </c>
      <c r="T5" s="163"/>
      <c r="U5" s="153"/>
      <c r="V5" s="154"/>
      <c r="W5" s="154"/>
      <c r="X5" s="154"/>
      <c r="Y5" s="29"/>
      <c r="Z5" s="29"/>
      <c r="AA5" s="29"/>
      <c r="AB5" s="161"/>
      <c r="AC5" s="161"/>
      <c r="AD5" s="161"/>
      <c r="AE5" s="161"/>
      <c r="AF5" s="161"/>
      <c r="AG5" s="108"/>
      <c r="AH5" s="108"/>
      <c r="AI5" s="159"/>
      <c r="AJ5" s="108"/>
      <c r="AK5" s="108"/>
      <c r="AL5" s="164"/>
      <c r="AM5" s="164"/>
      <c r="AN5" s="165"/>
      <c r="AO5" s="165"/>
    </row>
    <row r="6" spans="1:47" s="2" customFormat="1" ht="20.45" customHeight="1">
      <c r="A6" s="764"/>
      <c r="B6" s="787" t="s">
        <v>25</v>
      </c>
      <c r="C6" s="787"/>
      <c r="D6" s="787"/>
      <c r="E6" s="787"/>
      <c r="F6" s="787"/>
      <c r="G6" s="787"/>
      <c r="H6" s="787"/>
      <c r="I6" s="787"/>
      <c r="J6" s="787"/>
      <c r="K6" s="788"/>
      <c r="L6" s="791" t="s">
        <v>3</v>
      </c>
      <c r="M6" s="787"/>
      <c r="N6" s="787"/>
      <c r="O6" s="787"/>
      <c r="P6" s="787"/>
      <c r="Q6" s="787"/>
      <c r="R6" s="787"/>
      <c r="S6" s="645" t="s">
        <v>103</v>
      </c>
      <c r="T6" s="163"/>
      <c r="U6" s="153"/>
      <c r="V6" s="154"/>
      <c r="W6" s="154"/>
      <c r="X6" s="154"/>
      <c r="Y6" s="29"/>
      <c r="Z6" s="29"/>
      <c r="AA6" s="29"/>
      <c r="AB6" s="161"/>
      <c r="AC6" s="161"/>
      <c r="AD6" s="161"/>
      <c r="AE6" s="161"/>
      <c r="AF6" s="161"/>
      <c r="AG6" s="26"/>
      <c r="AH6" s="26"/>
      <c r="AI6" s="159"/>
      <c r="AJ6" s="26"/>
      <c r="AK6" s="26"/>
      <c r="AL6" s="164"/>
      <c r="AM6" s="166" t="s">
        <v>101</v>
      </c>
      <c r="AN6" s="84" t="s">
        <v>104</v>
      </c>
      <c r="AO6" s="84" t="s">
        <v>105</v>
      </c>
    </row>
    <row r="7" spans="1:47" s="2" customFormat="1" ht="19.5">
      <c r="A7" s="764"/>
      <c r="B7" s="789" t="s">
        <v>28</v>
      </c>
      <c r="C7" s="789"/>
      <c r="D7" s="789"/>
      <c r="E7" s="789"/>
      <c r="F7" s="789"/>
      <c r="G7" s="789"/>
      <c r="H7" s="789"/>
      <c r="I7" s="789"/>
      <c r="J7" s="789"/>
      <c r="K7" s="790"/>
      <c r="L7" s="792" t="s">
        <v>6</v>
      </c>
      <c r="M7" s="789"/>
      <c r="N7" s="789"/>
      <c r="O7" s="789"/>
      <c r="P7" s="789"/>
      <c r="Q7" s="789"/>
      <c r="R7" s="789"/>
      <c r="S7" s="690" t="s">
        <v>106</v>
      </c>
      <c r="T7" s="167"/>
      <c r="U7" s="153"/>
      <c r="V7" s="154"/>
      <c r="W7" s="154"/>
      <c r="X7" s="154"/>
      <c r="Y7" s="29"/>
      <c r="Z7" s="29"/>
      <c r="AA7" s="29"/>
      <c r="AB7" s="161"/>
      <c r="AC7" s="161"/>
      <c r="AD7" s="161"/>
      <c r="AE7" s="161"/>
      <c r="AF7" s="161"/>
      <c r="AG7" s="26"/>
      <c r="AH7" s="26"/>
      <c r="AI7" s="159"/>
      <c r="AJ7" s="26"/>
      <c r="AK7" s="26"/>
      <c r="AL7" s="164"/>
      <c r="AM7" s="165" t="s">
        <v>107</v>
      </c>
      <c r="AN7" s="168">
        <f>K10</f>
        <v>8261.4003988551322</v>
      </c>
      <c r="AO7" s="169">
        <f>S10</f>
        <v>-14.178007738737858</v>
      </c>
    </row>
    <row r="8" spans="1:47" s="2" customFormat="1" ht="18" customHeight="1">
      <c r="A8" s="765"/>
      <c r="B8" s="170">
        <v>2011</v>
      </c>
      <c r="C8" s="170">
        <v>2012</v>
      </c>
      <c r="D8" s="170">
        <v>2013</v>
      </c>
      <c r="E8" s="170">
        <v>2014</v>
      </c>
      <c r="F8" s="170">
        <v>2015</v>
      </c>
      <c r="G8" s="170">
        <v>2016</v>
      </c>
      <c r="H8" s="170">
        <v>2017</v>
      </c>
      <c r="I8" s="170">
        <v>2018</v>
      </c>
      <c r="J8" s="170">
        <v>2019</v>
      </c>
      <c r="K8" s="170">
        <v>2020</v>
      </c>
      <c r="L8" s="605">
        <v>2014</v>
      </c>
      <c r="M8" s="171">
        <v>2015</v>
      </c>
      <c r="N8" s="171">
        <v>2016</v>
      </c>
      <c r="O8" s="171">
        <v>2017</v>
      </c>
      <c r="P8" s="171">
        <v>2018</v>
      </c>
      <c r="Q8" s="171">
        <v>2019</v>
      </c>
      <c r="R8" s="171">
        <v>2020</v>
      </c>
      <c r="S8" s="737" t="s">
        <v>408</v>
      </c>
      <c r="T8" s="175"/>
      <c r="U8" s="153"/>
      <c r="V8" s="154"/>
      <c r="W8" s="154"/>
      <c r="X8" s="154"/>
      <c r="Y8" s="29"/>
      <c r="Z8" s="29"/>
      <c r="AA8" s="29"/>
      <c r="AB8" s="161"/>
      <c r="AC8" s="161"/>
      <c r="AD8" s="161"/>
      <c r="AE8" s="161"/>
      <c r="AF8" s="161"/>
      <c r="AG8" s="26"/>
      <c r="AH8" s="26"/>
      <c r="AI8" s="159"/>
      <c r="AJ8" s="26"/>
      <c r="AK8" s="26"/>
      <c r="AL8" s="164"/>
      <c r="AM8" s="165" t="s">
        <v>108</v>
      </c>
      <c r="AN8" s="168">
        <f t="shared" ref="AN8:AN18" si="0">K11</f>
        <v>12845.465682601449</v>
      </c>
      <c r="AO8" s="169">
        <f t="shared" ref="AO8:AO18" si="1">S11</f>
        <v>-3.0872124705651935</v>
      </c>
    </row>
    <row r="9" spans="1:47" s="2" customFormat="1" ht="19.5" customHeight="1">
      <c r="A9" s="15" t="s">
        <v>90</v>
      </c>
      <c r="B9" s="172">
        <f t="shared" ref="B9:I9" si="2">SUM(B10:B21)</f>
        <v>120836.031774473</v>
      </c>
      <c r="C9" s="172">
        <f t="shared" si="2"/>
        <v>119866.18552466118</v>
      </c>
      <c r="D9" s="172">
        <f t="shared" si="2"/>
        <v>128242.72432257248</v>
      </c>
      <c r="E9" s="172">
        <f t="shared" si="2"/>
        <v>128683.2270000002</v>
      </c>
      <c r="F9" s="172">
        <f t="shared" si="2"/>
        <v>127351.81848143277</v>
      </c>
      <c r="G9" s="172">
        <f t="shared" si="2"/>
        <v>129190.99510655222</v>
      </c>
      <c r="H9" s="172">
        <f t="shared" si="2"/>
        <v>143159.9643316248</v>
      </c>
      <c r="I9" s="172">
        <f t="shared" si="2"/>
        <v>151024.32375223387</v>
      </c>
      <c r="J9" s="172">
        <f>SUM(J10:J21)</f>
        <v>135068.92557018771</v>
      </c>
      <c r="K9" s="172">
        <f>SUM(K10:K21)</f>
        <v>148582.96918261514</v>
      </c>
      <c r="L9" s="174">
        <f t="shared" ref="L9:R9" si="3">E9/E9*100</f>
        <v>100</v>
      </c>
      <c r="M9" s="173">
        <f t="shared" si="3"/>
        <v>100</v>
      </c>
      <c r="N9" s="173">
        <f t="shared" si="3"/>
        <v>100</v>
      </c>
      <c r="O9" s="173">
        <f t="shared" si="3"/>
        <v>100</v>
      </c>
      <c r="P9" s="173">
        <f t="shared" si="3"/>
        <v>100</v>
      </c>
      <c r="Q9" s="173">
        <f t="shared" si="3"/>
        <v>100</v>
      </c>
      <c r="R9" s="173">
        <f t="shared" si="3"/>
        <v>100</v>
      </c>
      <c r="S9" s="736">
        <f>((K9-J9)/J9)*100</f>
        <v>10.005294374985564</v>
      </c>
      <c r="U9" s="153"/>
      <c r="V9" s="154"/>
      <c r="W9" s="154"/>
      <c r="X9" s="154"/>
      <c r="Y9" s="29"/>
      <c r="Z9" s="29"/>
      <c r="AA9" s="29"/>
      <c r="AB9" s="161"/>
      <c r="AC9" s="161"/>
      <c r="AD9" s="161"/>
      <c r="AE9" s="161"/>
      <c r="AF9" s="161"/>
      <c r="AG9" s="26"/>
      <c r="AH9" s="26"/>
      <c r="AI9" s="159"/>
      <c r="AJ9" s="26"/>
      <c r="AK9" s="26"/>
      <c r="AL9" s="151"/>
      <c r="AM9" s="14" t="s">
        <v>109</v>
      </c>
      <c r="AN9" s="168">
        <f t="shared" si="0"/>
        <v>18426.100647688796</v>
      </c>
      <c r="AO9" s="169">
        <f t="shared" si="1"/>
        <v>19.972962379504949</v>
      </c>
    </row>
    <row r="10" spans="1:47" s="2" customFormat="1" ht="19.5" customHeight="1">
      <c r="A10" s="10" t="s">
        <v>107</v>
      </c>
      <c r="B10" s="178">
        <v>14955.189976228001</v>
      </c>
      <c r="C10" s="178">
        <v>7654.3823507463503</v>
      </c>
      <c r="D10" s="178">
        <v>9767.2253264603569</v>
      </c>
      <c r="E10" s="178">
        <v>15339.936517689775</v>
      </c>
      <c r="F10" s="178">
        <v>19422.337638591896</v>
      </c>
      <c r="G10" s="178">
        <v>9330.6410000792876</v>
      </c>
      <c r="H10" s="178">
        <v>15502.525800186488</v>
      </c>
      <c r="I10" s="178">
        <v>16624.189194349769</v>
      </c>
      <c r="J10" s="178">
        <v>9626.2044042341786</v>
      </c>
      <c r="K10" s="178">
        <v>8261.4003988551322</v>
      </c>
      <c r="L10" s="179">
        <f t="shared" ref="L10:L21" si="4">E10/$E$9*100</f>
        <v>11.920696174094042</v>
      </c>
      <c r="M10" s="63">
        <f>F10/$F$9*100</f>
        <v>15.250930744599907</v>
      </c>
      <c r="N10" s="63">
        <f t="shared" ref="N10:N21" si="5">G10/$G$9*100</f>
        <v>7.2223617384351764</v>
      </c>
      <c r="O10" s="63">
        <f t="shared" ref="O10:R21" si="6">H10/$H$9*100</f>
        <v>10.828813678854694</v>
      </c>
      <c r="P10" s="63">
        <f t="shared" si="6"/>
        <v>11.612317222879746</v>
      </c>
      <c r="Q10" s="63">
        <f t="shared" si="6"/>
        <v>6.7240896916790431</v>
      </c>
      <c r="R10" s="63">
        <f t="shared" si="6"/>
        <v>5.7707477348331144</v>
      </c>
      <c r="S10" s="180">
        <f t="shared" ref="S10:S21" si="7">((K10-J10)/J10)*100</f>
        <v>-14.178007738737858</v>
      </c>
      <c r="U10" s="153"/>
      <c r="V10" s="154"/>
      <c r="W10" s="154"/>
      <c r="X10" s="154"/>
      <c r="Y10" s="29"/>
      <c r="Z10" s="29"/>
      <c r="AA10" s="29"/>
      <c r="AB10" s="176"/>
      <c r="AC10" s="176"/>
      <c r="AD10" s="161"/>
      <c r="AE10" s="161"/>
      <c r="AF10" s="161"/>
      <c r="AG10" s="26"/>
      <c r="AH10" s="26"/>
      <c r="AI10" s="159"/>
      <c r="AJ10" s="26"/>
      <c r="AK10" s="26"/>
      <c r="AL10" s="151"/>
      <c r="AM10" s="165" t="s">
        <v>110</v>
      </c>
      <c r="AN10" s="168">
        <f t="shared" si="0"/>
        <v>10145.875757860187</v>
      </c>
      <c r="AO10" s="169">
        <f t="shared" si="1"/>
        <v>-38.558466069969896</v>
      </c>
    </row>
    <row r="11" spans="1:47" s="2" customFormat="1" ht="19.5" customHeight="1">
      <c r="A11" s="10" t="s">
        <v>108</v>
      </c>
      <c r="B11" s="178">
        <v>12368.042381476002</v>
      </c>
      <c r="C11" s="178">
        <v>7719.8029243069659</v>
      </c>
      <c r="D11" s="178">
        <v>9293.4740501910273</v>
      </c>
      <c r="E11" s="178">
        <v>9322.0790691187103</v>
      </c>
      <c r="F11" s="178">
        <v>10331.527911195368</v>
      </c>
      <c r="G11" s="178">
        <v>9712.784106420786</v>
      </c>
      <c r="H11" s="178">
        <v>12577.998944745086</v>
      </c>
      <c r="I11" s="178">
        <v>11703.499674855837</v>
      </c>
      <c r="J11" s="178">
        <v>13254.665364671266</v>
      </c>
      <c r="K11" s="178">
        <v>12845.465682601449</v>
      </c>
      <c r="L11" s="179">
        <f t="shared" si="4"/>
        <v>7.2442067909275352</v>
      </c>
      <c r="M11" s="63">
        <f t="shared" ref="M11:M21" si="8">F11/$F$9*100</f>
        <v>8.1125876602238307</v>
      </c>
      <c r="N11" s="63">
        <f t="shared" si="5"/>
        <v>7.5181587527907974</v>
      </c>
      <c r="O11" s="63">
        <f t="shared" si="6"/>
        <v>8.7859751875940777</v>
      </c>
      <c r="P11" s="63">
        <f t="shared" si="6"/>
        <v>8.1751205579690644</v>
      </c>
      <c r="Q11" s="63">
        <f t="shared" si="6"/>
        <v>9.2586397506828941</v>
      </c>
      <c r="R11" s="63">
        <f t="shared" si="6"/>
        <v>8.9728058696951045</v>
      </c>
      <c r="S11" s="180">
        <f t="shared" si="7"/>
        <v>-3.0872124705651935</v>
      </c>
      <c r="U11" s="153"/>
      <c r="V11" s="154"/>
      <c r="W11" s="154"/>
      <c r="X11" s="154"/>
      <c r="Y11" s="29"/>
      <c r="Z11" s="29"/>
      <c r="AA11" s="29"/>
      <c r="AB11" s="176"/>
      <c r="AC11" s="176"/>
      <c r="AD11" s="161"/>
      <c r="AE11" s="161"/>
      <c r="AF11" s="161"/>
      <c r="AG11" s="26"/>
      <c r="AH11" s="26"/>
      <c r="AI11" s="159"/>
      <c r="AJ11" s="26"/>
      <c r="AK11" s="26"/>
      <c r="AL11" s="151"/>
      <c r="AM11" s="14" t="s">
        <v>111</v>
      </c>
      <c r="AN11" s="168">
        <f t="shared" si="0"/>
        <v>4305.518616340647</v>
      </c>
      <c r="AO11" s="169">
        <f t="shared" si="1"/>
        <v>-51.456465112941139</v>
      </c>
    </row>
    <row r="12" spans="1:47" s="2" customFormat="1" ht="19.5" customHeight="1">
      <c r="A12" s="10" t="s">
        <v>109</v>
      </c>
      <c r="B12" s="178">
        <v>9653.7175542229998</v>
      </c>
      <c r="C12" s="178">
        <v>7106.4788059804832</v>
      </c>
      <c r="D12" s="178">
        <v>9850.8752725132399</v>
      </c>
      <c r="E12" s="178">
        <v>8608.8267200830196</v>
      </c>
      <c r="F12" s="178">
        <v>9502.0411982502246</v>
      </c>
      <c r="G12" s="178">
        <v>11336.591236540209</v>
      </c>
      <c r="H12" s="178">
        <v>11854.913529886182</v>
      </c>
      <c r="I12" s="178">
        <v>13777.073421766561</v>
      </c>
      <c r="J12" s="178">
        <v>15358.544360522132</v>
      </c>
      <c r="K12" s="178">
        <v>18426.100647688796</v>
      </c>
      <c r="L12" s="179">
        <f t="shared" si="4"/>
        <v>6.6899369255660686</v>
      </c>
      <c r="M12" s="63">
        <f t="shared" si="8"/>
        <v>7.4612528596406129</v>
      </c>
      <c r="N12" s="63">
        <f t="shared" si="5"/>
        <v>8.7750630198259447</v>
      </c>
      <c r="O12" s="63">
        <f t="shared" si="6"/>
        <v>8.2808860600333141</v>
      </c>
      <c r="P12" s="63">
        <f t="shared" si="6"/>
        <v>9.6235518680714929</v>
      </c>
      <c r="Q12" s="63">
        <f t="shared" si="6"/>
        <v>10.72823986246925</v>
      </c>
      <c r="R12" s="63">
        <f t="shared" si="6"/>
        <v>12.870987174183288</v>
      </c>
      <c r="S12" s="180">
        <f t="shared" si="7"/>
        <v>19.972962379504949</v>
      </c>
      <c r="U12" s="153"/>
      <c r="V12" s="154"/>
      <c r="W12" s="154"/>
      <c r="X12" s="154"/>
      <c r="Y12" s="29"/>
      <c r="Z12" s="29"/>
      <c r="AA12" s="29"/>
      <c r="AB12" s="176"/>
      <c r="AC12" s="176"/>
      <c r="AD12" s="161"/>
      <c r="AE12" s="161"/>
      <c r="AF12" s="161"/>
      <c r="AG12" s="26"/>
      <c r="AH12" s="26"/>
      <c r="AI12" s="159"/>
      <c r="AJ12" s="26"/>
      <c r="AK12" s="26"/>
      <c r="AL12" s="151"/>
      <c r="AM12" s="14" t="s">
        <v>112</v>
      </c>
      <c r="AN12" s="168">
        <f t="shared" si="0"/>
        <v>6833.2970732054591</v>
      </c>
      <c r="AO12" s="169">
        <f t="shared" si="1"/>
        <v>6.7129782225665107</v>
      </c>
    </row>
    <row r="13" spans="1:47" s="2" customFormat="1" ht="19.5" customHeight="1">
      <c r="A13" s="10" t="s">
        <v>110</v>
      </c>
      <c r="B13" s="178">
        <v>10557.514762582001</v>
      </c>
      <c r="C13" s="178">
        <v>11496.477852750637</v>
      </c>
      <c r="D13" s="178">
        <v>7526.4802679976619</v>
      </c>
      <c r="E13" s="178">
        <v>16224.338764017641</v>
      </c>
      <c r="F13" s="178">
        <v>16833.635232918969</v>
      </c>
      <c r="G13" s="178">
        <v>16353.251172322914</v>
      </c>
      <c r="H13" s="178">
        <v>14617.157081737798</v>
      </c>
      <c r="I13" s="178">
        <v>19615.087583546981</v>
      </c>
      <c r="J13" s="178">
        <v>16513.057387880901</v>
      </c>
      <c r="K13" s="178">
        <v>10145.875757860187</v>
      </c>
      <c r="L13" s="179">
        <f t="shared" si="4"/>
        <v>12.607966976160471</v>
      </c>
      <c r="M13" s="63">
        <f t="shared" si="8"/>
        <v>13.218213476373112</v>
      </c>
      <c r="N13" s="63">
        <f t="shared" si="5"/>
        <v>12.658197391261924</v>
      </c>
      <c r="O13" s="63">
        <f t="shared" si="6"/>
        <v>10.210366529484242</v>
      </c>
      <c r="P13" s="63">
        <f t="shared" si="6"/>
        <v>13.701517512332813</v>
      </c>
      <c r="Q13" s="63">
        <f t="shared" si="6"/>
        <v>11.534689509721455</v>
      </c>
      <c r="R13" s="63">
        <f t="shared" si="6"/>
        <v>7.0870901688391301</v>
      </c>
      <c r="S13" s="180">
        <f t="shared" si="7"/>
        <v>-38.558466069969896</v>
      </c>
      <c r="U13" s="153"/>
      <c r="V13" s="154"/>
      <c r="W13" s="154"/>
      <c r="X13" s="154"/>
      <c r="Y13" s="29"/>
      <c r="Z13" s="29"/>
      <c r="AA13" s="29"/>
      <c r="AB13" s="176"/>
      <c r="AC13" s="176"/>
      <c r="AD13" s="161"/>
      <c r="AE13" s="161"/>
      <c r="AF13" s="161"/>
      <c r="AG13" s="26"/>
      <c r="AH13" s="26"/>
      <c r="AI13" s="159"/>
      <c r="AJ13" s="26"/>
      <c r="AK13" s="26"/>
      <c r="AL13" s="151"/>
      <c r="AM13" s="14" t="s">
        <v>113</v>
      </c>
      <c r="AN13" s="168">
        <f t="shared" si="0"/>
        <v>10429.30445643955</v>
      </c>
      <c r="AO13" s="169">
        <f t="shared" si="1"/>
        <v>8.3429901978274721</v>
      </c>
    </row>
    <row r="14" spans="1:47" s="2" customFormat="1" ht="19.5" customHeight="1">
      <c r="A14" s="10" t="s">
        <v>111</v>
      </c>
      <c r="B14" s="178">
        <v>7156.1713736889997</v>
      </c>
      <c r="C14" s="178">
        <v>13126.340141529225</v>
      </c>
      <c r="D14" s="178">
        <v>6692.1508321880965</v>
      </c>
      <c r="E14" s="178">
        <v>12590.391144779127</v>
      </c>
      <c r="F14" s="178">
        <v>9249.1472113244563</v>
      </c>
      <c r="G14" s="178">
        <v>11204.604071055752</v>
      </c>
      <c r="H14" s="178">
        <v>13980.242230759486</v>
      </c>
      <c r="I14" s="178">
        <v>11454.638303350384</v>
      </c>
      <c r="J14" s="178">
        <v>8869.3965661088441</v>
      </c>
      <c r="K14" s="178">
        <v>4305.518616340647</v>
      </c>
      <c r="L14" s="179">
        <f t="shared" si="4"/>
        <v>9.7840188176032505</v>
      </c>
      <c r="M14" s="63">
        <f t="shared" si="8"/>
        <v>7.2626738444829781</v>
      </c>
      <c r="N14" s="63">
        <f t="shared" si="5"/>
        <v>8.6728986504164531</v>
      </c>
      <c r="O14" s="63">
        <f t="shared" si="6"/>
        <v>9.7654692050458802</v>
      </c>
      <c r="P14" s="63">
        <f t="shared" si="6"/>
        <v>8.0012860835981598</v>
      </c>
      <c r="Q14" s="63">
        <f t="shared" si="6"/>
        <v>6.1954448001699784</v>
      </c>
      <c r="R14" s="63">
        <f t="shared" si="6"/>
        <v>3.0074879079789874</v>
      </c>
      <c r="S14" s="180">
        <f t="shared" si="7"/>
        <v>-51.456465112941139</v>
      </c>
      <c r="U14" s="153"/>
      <c r="V14" s="154"/>
      <c r="W14" s="154"/>
      <c r="X14" s="154"/>
      <c r="Y14" s="29"/>
      <c r="Z14" s="29"/>
      <c r="AA14" s="29"/>
      <c r="AB14" s="176"/>
      <c r="AC14" s="176"/>
      <c r="AD14" s="161"/>
      <c r="AE14" s="161"/>
      <c r="AF14" s="161"/>
      <c r="AG14" s="26"/>
      <c r="AH14" s="26"/>
      <c r="AI14" s="159"/>
      <c r="AJ14" s="26"/>
      <c r="AK14" s="26"/>
      <c r="AL14" s="151"/>
      <c r="AM14" s="14" t="s">
        <v>114</v>
      </c>
      <c r="AN14" s="168">
        <f t="shared" si="0"/>
        <v>12848.42850617399</v>
      </c>
      <c r="AO14" s="169">
        <f t="shared" si="1"/>
        <v>46.253718231091398</v>
      </c>
    </row>
    <row r="15" spans="1:47" s="2" customFormat="1" ht="19.5" customHeight="1">
      <c r="A15" s="10" t="s">
        <v>112</v>
      </c>
      <c r="B15" s="178">
        <v>10604.482355167002</v>
      </c>
      <c r="C15" s="178">
        <v>8892.1734252299484</v>
      </c>
      <c r="D15" s="178">
        <v>11226.887568886428</v>
      </c>
      <c r="E15" s="178">
        <v>10581.04690025821</v>
      </c>
      <c r="F15" s="178">
        <v>6663.1824102206965</v>
      </c>
      <c r="G15" s="178">
        <v>3542.5939041135643</v>
      </c>
      <c r="H15" s="178">
        <v>8234.1337762096937</v>
      </c>
      <c r="I15" s="178">
        <v>6052.3320355677242</v>
      </c>
      <c r="J15" s="178">
        <v>6403.4358210428309</v>
      </c>
      <c r="K15" s="178">
        <v>6833.2970732054591</v>
      </c>
      <c r="L15" s="179">
        <f t="shared" si="4"/>
        <v>8.2225532782591735</v>
      </c>
      <c r="M15" s="63">
        <f t="shared" si="8"/>
        <v>5.232106215422557</v>
      </c>
      <c r="N15" s="63">
        <f t="shared" si="5"/>
        <v>2.7421368658022618</v>
      </c>
      <c r="O15" s="63">
        <f t="shared" si="6"/>
        <v>5.751701472302428</v>
      </c>
      <c r="P15" s="63">
        <f t="shared" si="6"/>
        <v>4.2276708183216076</v>
      </c>
      <c r="Q15" s="63">
        <f t="shared" si="6"/>
        <v>4.4729235935051692</v>
      </c>
      <c r="R15" s="63">
        <f t="shared" si="6"/>
        <v>4.773189980249211</v>
      </c>
      <c r="S15" s="180">
        <f t="shared" si="7"/>
        <v>6.7129782225665107</v>
      </c>
      <c r="U15" s="153"/>
      <c r="V15" s="154"/>
      <c r="W15" s="154"/>
      <c r="X15" s="154"/>
      <c r="Y15" s="29"/>
      <c r="Z15" s="29"/>
      <c r="AA15" s="29"/>
      <c r="AB15" s="176"/>
      <c r="AC15" s="176"/>
      <c r="AD15" s="161"/>
      <c r="AE15" s="26"/>
      <c r="AF15" s="26"/>
      <c r="AG15" s="25"/>
      <c r="AH15" s="25"/>
      <c r="AI15" s="25"/>
      <c r="AJ15" s="25"/>
      <c r="AK15" s="25"/>
      <c r="AL15" s="151"/>
      <c r="AM15" s="14" t="s">
        <v>115</v>
      </c>
      <c r="AN15" s="168">
        <f t="shared" si="0"/>
        <v>13847.217261766658</v>
      </c>
      <c r="AO15" s="169">
        <f t="shared" si="1"/>
        <v>7.2635885691097055</v>
      </c>
      <c r="AP15" s="23"/>
      <c r="AQ15" s="23"/>
      <c r="AR15" s="23"/>
      <c r="AS15" s="23"/>
      <c r="AT15" s="23"/>
      <c r="AU15" s="23"/>
    </row>
    <row r="16" spans="1:47" s="2" customFormat="1" ht="19.5" customHeight="1">
      <c r="A16" s="10" t="s">
        <v>113</v>
      </c>
      <c r="B16" s="178">
        <v>8156.2926204970008</v>
      </c>
      <c r="C16" s="178">
        <v>8574.5320683597911</v>
      </c>
      <c r="D16" s="178">
        <v>11224.360457733363</v>
      </c>
      <c r="E16" s="178">
        <v>5999.9784964833161</v>
      </c>
      <c r="F16" s="178">
        <v>5705.2319713741481</v>
      </c>
      <c r="G16" s="178">
        <v>4446.3519660894235</v>
      </c>
      <c r="H16" s="178">
        <v>11166.244052147251</v>
      </c>
      <c r="I16" s="178">
        <v>8732.0880706840289</v>
      </c>
      <c r="J16" s="178">
        <v>9626.1921859423455</v>
      </c>
      <c r="K16" s="178">
        <v>10429.30445643955</v>
      </c>
      <c r="L16" s="179">
        <f t="shared" si="4"/>
        <v>4.6625956127781176</v>
      </c>
      <c r="M16" s="63">
        <f t="shared" si="8"/>
        <v>4.4798983158657766</v>
      </c>
      <c r="N16" s="63">
        <f t="shared" si="5"/>
        <v>3.44168876663751</v>
      </c>
      <c r="O16" s="63">
        <f t="shared" si="6"/>
        <v>7.7998371292417046</v>
      </c>
      <c r="P16" s="63">
        <f t="shared" si="6"/>
        <v>6.0995321642135005</v>
      </c>
      <c r="Q16" s="63">
        <f t="shared" si="6"/>
        <v>6.7240811569662204</v>
      </c>
      <c r="R16" s="63">
        <f t="shared" si="6"/>
        <v>7.2850705887858762</v>
      </c>
      <c r="S16" s="180">
        <f t="shared" si="7"/>
        <v>8.3429901978274721</v>
      </c>
      <c r="U16" s="153"/>
      <c r="V16" s="154"/>
      <c r="W16" s="154"/>
      <c r="X16" s="154"/>
      <c r="Y16" s="29"/>
      <c r="Z16" s="29"/>
      <c r="AA16" s="29"/>
      <c r="AB16" s="176"/>
      <c r="AC16" s="176"/>
      <c r="AD16" s="161"/>
      <c r="AE16" s="26"/>
      <c r="AF16" s="26"/>
      <c r="AG16" s="26"/>
      <c r="AH16" s="26"/>
      <c r="AI16" s="26"/>
      <c r="AJ16" s="26"/>
      <c r="AK16" s="26"/>
      <c r="AL16" s="151"/>
      <c r="AM16" s="14" t="s">
        <v>116</v>
      </c>
      <c r="AN16" s="168">
        <f t="shared" si="0"/>
        <v>13827.910552801197</v>
      </c>
      <c r="AO16" s="169">
        <f t="shared" si="1"/>
        <v>-2.508824250602371</v>
      </c>
    </row>
    <row r="17" spans="1:41" s="2" customFormat="1" ht="19.5" customHeight="1">
      <c r="A17" s="10" t="s">
        <v>114</v>
      </c>
      <c r="B17" s="178">
        <v>9236.857506600998</v>
      </c>
      <c r="C17" s="178">
        <v>7636.4221581192196</v>
      </c>
      <c r="D17" s="178">
        <v>11467.470863380531</v>
      </c>
      <c r="E17" s="178">
        <v>8294.7931659124097</v>
      </c>
      <c r="F17" s="178">
        <v>7517.6798073128002</v>
      </c>
      <c r="G17" s="178">
        <v>6849.7522346372625</v>
      </c>
      <c r="H17" s="178">
        <v>6985.0008384718385</v>
      </c>
      <c r="I17" s="178">
        <v>7900.8902474691677</v>
      </c>
      <c r="J17" s="178">
        <v>8785.0269118440792</v>
      </c>
      <c r="K17" s="178">
        <v>12848.42850617399</v>
      </c>
      <c r="L17" s="179">
        <f t="shared" si="4"/>
        <v>6.4459008056367733</v>
      </c>
      <c r="M17" s="63">
        <f t="shared" si="8"/>
        <v>5.9030800635240546</v>
      </c>
      <c r="N17" s="63">
        <f t="shared" si="5"/>
        <v>5.3020353539252687</v>
      </c>
      <c r="O17" s="63">
        <f t="shared" si="6"/>
        <v>4.8791579902125015</v>
      </c>
      <c r="P17" s="63">
        <f t="shared" si="6"/>
        <v>5.5189244313913397</v>
      </c>
      <c r="Q17" s="63">
        <f t="shared" si="6"/>
        <v>6.1365109671960294</v>
      </c>
      <c r="R17" s="63">
        <f t="shared" si="6"/>
        <v>8.9748754591829023</v>
      </c>
      <c r="S17" s="180">
        <f t="shared" si="7"/>
        <v>46.253718231091398</v>
      </c>
      <c r="U17" s="153"/>
      <c r="V17" s="154"/>
      <c r="W17" s="154"/>
      <c r="X17" s="154"/>
      <c r="Y17" s="29"/>
      <c r="AA17" s="29"/>
      <c r="AB17" s="176"/>
      <c r="AC17" s="176"/>
      <c r="AD17" s="161"/>
      <c r="AE17" s="26"/>
      <c r="AF17" s="26"/>
      <c r="AG17" s="26"/>
      <c r="AH17" s="26"/>
      <c r="AI17" s="26"/>
      <c r="AJ17" s="26"/>
      <c r="AK17" s="26"/>
      <c r="AL17" s="151"/>
      <c r="AM17" s="14" t="s">
        <v>117</v>
      </c>
      <c r="AN17" s="168">
        <f t="shared" si="0"/>
        <v>18874.862941691033</v>
      </c>
      <c r="AO17" s="169">
        <f t="shared" si="1"/>
        <v>68.911108900625479</v>
      </c>
    </row>
    <row r="18" spans="1:41" s="2" customFormat="1" ht="19.5" customHeight="1">
      <c r="A18" s="10" t="s">
        <v>115</v>
      </c>
      <c r="B18" s="178">
        <v>8492.9045429220023</v>
      </c>
      <c r="C18" s="178">
        <v>8898.5551975141716</v>
      </c>
      <c r="D18" s="178">
        <v>9268.4341059480703</v>
      </c>
      <c r="E18" s="178">
        <v>10311.062738892764</v>
      </c>
      <c r="F18" s="178">
        <v>5944.2507932135295</v>
      </c>
      <c r="G18" s="178">
        <v>7211.9517685126457</v>
      </c>
      <c r="H18" s="178">
        <v>5862.8220043651399</v>
      </c>
      <c r="I18" s="178">
        <v>8501.6631821592819</v>
      </c>
      <c r="J18" s="178">
        <v>12909.522650218742</v>
      </c>
      <c r="K18" s="178">
        <v>13847.217261766658</v>
      </c>
      <c r="L18" s="179">
        <f t="shared" si="4"/>
        <v>8.0127480319503857</v>
      </c>
      <c r="M18" s="63">
        <f t="shared" si="8"/>
        <v>4.6675821861783389</v>
      </c>
      <c r="N18" s="63">
        <f t="shared" si="5"/>
        <v>5.5823950907448925</v>
      </c>
      <c r="O18" s="63">
        <f t="shared" si="6"/>
        <v>4.0952944014320432</v>
      </c>
      <c r="P18" s="63">
        <f t="shared" si="6"/>
        <v>5.9385759292769107</v>
      </c>
      <c r="Q18" s="63">
        <f t="shared" si="6"/>
        <v>9.0175508987375181</v>
      </c>
      <c r="R18" s="63">
        <f t="shared" si="6"/>
        <v>9.6725486950318658</v>
      </c>
      <c r="S18" s="180">
        <f t="shared" si="7"/>
        <v>7.2635885691097055</v>
      </c>
      <c r="U18" s="153"/>
      <c r="V18" s="154"/>
      <c r="W18" s="154"/>
      <c r="X18" s="154"/>
      <c r="Y18" s="29"/>
      <c r="Z18" s="29"/>
      <c r="AA18" s="29"/>
      <c r="AB18" s="176"/>
      <c r="AC18" s="176"/>
      <c r="AD18" s="161"/>
      <c r="AE18" s="26"/>
      <c r="AF18" s="26"/>
      <c r="AG18" s="26"/>
      <c r="AH18" s="26"/>
      <c r="AI18" s="26"/>
      <c r="AJ18" s="26"/>
      <c r="AK18" s="26"/>
      <c r="AL18" s="26"/>
      <c r="AM18" s="14" t="s">
        <v>118</v>
      </c>
      <c r="AN18" s="168">
        <f t="shared" si="0"/>
        <v>17937.58728719104</v>
      </c>
      <c r="AO18" s="169">
        <f t="shared" si="1"/>
        <v>114.44417965136553</v>
      </c>
    </row>
    <row r="19" spans="1:41" s="2" customFormat="1" ht="19.5" customHeight="1">
      <c r="A19" s="10" t="s">
        <v>116</v>
      </c>
      <c r="B19" s="178">
        <v>12514.620116255997</v>
      </c>
      <c r="C19" s="178">
        <v>10731.297585609453</v>
      </c>
      <c r="D19" s="178">
        <v>14779.970038353686</v>
      </c>
      <c r="E19" s="178">
        <v>8739.8404707656719</v>
      </c>
      <c r="F19" s="178">
        <v>14365.957756026388</v>
      </c>
      <c r="G19" s="178">
        <v>17269.85730980118</v>
      </c>
      <c r="H19" s="178">
        <v>11841.761255422482</v>
      </c>
      <c r="I19" s="178">
        <v>15063.659543159578</v>
      </c>
      <c r="J19" s="178">
        <v>14183.756064596068</v>
      </c>
      <c r="K19" s="178">
        <v>13827.910552801197</v>
      </c>
      <c r="L19" s="179">
        <f t="shared" si="4"/>
        <v>6.7917479803064449</v>
      </c>
      <c r="M19" s="63">
        <f t="shared" si="8"/>
        <v>11.280528167817932</v>
      </c>
      <c r="N19" s="63">
        <f t="shared" si="5"/>
        <v>13.367694316122888</v>
      </c>
      <c r="O19" s="63">
        <f t="shared" si="6"/>
        <v>8.2716989423044804</v>
      </c>
      <c r="P19" s="63">
        <f t="shared" si="6"/>
        <v>10.522257122295144</v>
      </c>
      <c r="Q19" s="63">
        <f t="shared" si="6"/>
        <v>9.9076275485371852</v>
      </c>
      <c r="R19" s="63">
        <f t="shared" si="6"/>
        <v>9.6590625859401236</v>
      </c>
      <c r="S19" s="180">
        <f t="shared" si="7"/>
        <v>-2.508824250602371</v>
      </c>
      <c r="U19" s="153"/>
      <c r="V19" s="154"/>
      <c r="W19" s="154"/>
      <c r="X19" s="154"/>
      <c r="Y19" s="29"/>
      <c r="Z19" s="29"/>
      <c r="AA19" s="29"/>
      <c r="AB19" s="176"/>
      <c r="AC19" s="176"/>
      <c r="AD19" s="176"/>
      <c r="AE19" s="26"/>
      <c r="AF19" s="26"/>
      <c r="AG19" s="26"/>
      <c r="AH19" s="26"/>
      <c r="AI19" s="26"/>
      <c r="AJ19" s="26"/>
      <c r="AK19" s="26"/>
      <c r="AL19" s="26"/>
      <c r="AM19" s="26"/>
      <c r="AN19" s="26"/>
      <c r="AO19" s="26"/>
    </row>
    <row r="20" spans="1:41" s="2" customFormat="1" ht="19.5" customHeight="1">
      <c r="A20" s="10" t="s">
        <v>117</v>
      </c>
      <c r="B20" s="178">
        <v>8293.5629008889991</v>
      </c>
      <c r="C20" s="178">
        <v>13742.635969865547</v>
      </c>
      <c r="D20" s="178">
        <v>15548.262440127372</v>
      </c>
      <c r="E20" s="178">
        <v>10449.915819876145</v>
      </c>
      <c r="F20" s="178">
        <v>12692.422778464579</v>
      </c>
      <c r="G20" s="178">
        <v>16136.678894941842</v>
      </c>
      <c r="H20" s="178">
        <v>15699.534266345063</v>
      </c>
      <c r="I20" s="178">
        <v>17296.697324919154</v>
      </c>
      <c r="J20" s="178">
        <v>11174.435514952173</v>
      </c>
      <c r="K20" s="178">
        <v>18874.862941691033</v>
      </c>
      <c r="L20" s="179">
        <f t="shared" si="4"/>
        <v>8.1206510463684047</v>
      </c>
      <c r="M20" s="63">
        <f t="shared" si="8"/>
        <v>9.9664244529928467</v>
      </c>
      <c r="N20" s="63">
        <f t="shared" si="5"/>
        <v>12.490560105704636</v>
      </c>
      <c r="O20" s="63">
        <f t="shared" si="6"/>
        <v>10.966427897381749</v>
      </c>
      <c r="P20" s="63">
        <f t="shared" si="6"/>
        <v>12.082077140541884</v>
      </c>
      <c r="Q20" s="63">
        <f t="shared" si="6"/>
        <v>7.8055590242164383</v>
      </c>
      <c r="R20" s="63">
        <f t="shared" si="6"/>
        <v>13.184456303696827</v>
      </c>
      <c r="S20" s="180">
        <f t="shared" si="7"/>
        <v>68.911108900625479</v>
      </c>
      <c r="U20" s="153"/>
      <c r="V20" s="154"/>
      <c r="W20" s="154"/>
      <c r="X20" s="154"/>
      <c r="Y20" s="29"/>
      <c r="Z20" s="29"/>
      <c r="AA20" s="29"/>
      <c r="AB20" s="176"/>
      <c r="AC20" s="176"/>
      <c r="AD20" s="176"/>
      <c r="AE20" s="26"/>
      <c r="AF20" s="26"/>
      <c r="AG20" s="26"/>
      <c r="AH20" s="26"/>
      <c r="AI20" s="26"/>
      <c r="AJ20" s="26"/>
      <c r="AK20" s="26"/>
      <c r="AL20" s="26"/>
      <c r="AM20" s="26"/>
      <c r="AN20" s="26"/>
      <c r="AO20" s="26"/>
    </row>
    <row r="21" spans="1:41" s="2" customFormat="1" ht="19.5" customHeight="1">
      <c r="A21" s="17" t="s">
        <v>118</v>
      </c>
      <c r="B21" s="181">
        <v>8846.6756839430018</v>
      </c>
      <c r="C21" s="181">
        <v>14287.087044649401</v>
      </c>
      <c r="D21" s="181">
        <v>11597.133098792654</v>
      </c>
      <c r="E21" s="181">
        <v>12221.017192123414</v>
      </c>
      <c r="F21" s="181">
        <v>9124.4037725397029</v>
      </c>
      <c r="G21" s="181">
        <v>15795.937442037344</v>
      </c>
      <c r="H21" s="181">
        <v>14837.630551348317</v>
      </c>
      <c r="I21" s="181">
        <v>14302.505170405399</v>
      </c>
      <c r="J21" s="181">
        <v>8364.68833817417</v>
      </c>
      <c r="K21" s="181">
        <v>17937.58728719104</v>
      </c>
      <c r="L21" s="182">
        <f t="shared" si="4"/>
        <v>9.4969775603493325</v>
      </c>
      <c r="M21" s="71">
        <f t="shared" si="8"/>
        <v>7.1647220128780447</v>
      </c>
      <c r="N21" s="71">
        <f t="shared" si="5"/>
        <v>12.226809948332241</v>
      </c>
      <c r="O21" s="71">
        <f t="shared" si="6"/>
        <v>10.364371506112905</v>
      </c>
      <c r="P21" s="71">
        <f t="shared" si="6"/>
        <v>9.9905760924012039</v>
      </c>
      <c r="Q21" s="71">
        <f t="shared" si="6"/>
        <v>5.8428963552950295</v>
      </c>
      <c r="R21" s="71">
        <f t="shared" si="6"/>
        <v>12.529751156991964</v>
      </c>
      <c r="S21" s="183">
        <f t="shared" si="7"/>
        <v>114.44417965136553</v>
      </c>
      <c r="U21" s="153"/>
      <c r="V21" s="154"/>
      <c r="W21" s="154"/>
      <c r="X21" s="154"/>
      <c r="Y21" s="29"/>
      <c r="Z21" s="29"/>
      <c r="AA21" s="29"/>
      <c r="AB21" s="176"/>
      <c r="AC21" s="176"/>
      <c r="AD21" s="176"/>
      <c r="AE21" s="26"/>
      <c r="AF21" s="26"/>
      <c r="AG21" s="26"/>
      <c r="AH21" s="26"/>
      <c r="AI21" s="26"/>
      <c r="AJ21" s="26"/>
      <c r="AK21" s="26"/>
      <c r="AL21" s="26"/>
      <c r="AM21" s="26"/>
      <c r="AN21" s="26"/>
      <c r="AO21" s="26"/>
    </row>
    <row r="22" spans="1:41" s="186" customFormat="1" ht="19.5">
      <c r="A22" s="24" t="s">
        <v>392</v>
      </c>
      <c r="B22" s="22"/>
      <c r="C22" s="22"/>
      <c r="D22" s="22"/>
      <c r="E22" s="22"/>
      <c r="F22" s="22"/>
      <c r="G22" s="22"/>
      <c r="H22" s="22"/>
      <c r="I22" s="22"/>
      <c r="J22" s="22"/>
      <c r="K22" s="22"/>
      <c r="L22" s="22"/>
      <c r="M22" s="22"/>
      <c r="O22" s="22"/>
      <c r="P22" s="22"/>
      <c r="Q22" s="22"/>
      <c r="R22" s="22"/>
      <c r="S22" s="20" t="s">
        <v>389</v>
      </c>
      <c r="T22" s="184"/>
      <c r="U22" s="153"/>
      <c r="V22" s="154"/>
      <c r="W22" s="154"/>
      <c r="X22" s="154"/>
      <c r="Y22" s="29"/>
      <c r="Z22" s="29"/>
      <c r="AA22" s="29"/>
      <c r="AB22" s="185"/>
      <c r="AC22" s="185"/>
      <c r="AD22" s="185"/>
      <c r="AE22" s="185"/>
      <c r="AF22" s="185"/>
      <c r="AG22" s="185"/>
      <c r="AH22" s="185"/>
      <c r="AI22" s="185"/>
      <c r="AJ22" s="185"/>
      <c r="AK22" s="185"/>
      <c r="AL22" s="185"/>
      <c r="AM22" s="185"/>
      <c r="AN22" s="185"/>
      <c r="AO22" s="185"/>
    </row>
    <row r="23" spans="1:41" s="186" customFormat="1" ht="19.5">
      <c r="B23" s="166"/>
      <c r="C23" s="166"/>
      <c r="D23" s="166"/>
      <c r="E23" s="166"/>
      <c r="F23" s="166"/>
      <c r="G23" s="166"/>
      <c r="H23" s="166"/>
      <c r="I23" s="166"/>
      <c r="J23" s="166"/>
      <c r="K23" s="166"/>
      <c r="L23" s="166"/>
      <c r="M23" s="166"/>
      <c r="N23" s="166"/>
      <c r="O23" s="166"/>
      <c r="P23" s="166"/>
      <c r="Q23" s="166"/>
      <c r="R23" s="166"/>
      <c r="S23" s="166"/>
      <c r="T23" s="166"/>
      <c r="U23" s="153"/>
      <c r="V23" s="154"/>
      <c r="W23" s="154"/>
      <c r="X23" s="154"/>
      <c r="Y23" s="29"/>
      <c r="Z23" s="29"/>
      <c r="AA23" s="29"/>
    </row>
    <row r="24" spans="1:41" s="186" customFormat="1" ht="19.5">
      <c r="B24" s="166"/>
      <c r="C24" s="166"/>
      <c r="D24" s="166"/>
      <c r="E24" s="166"/>
      <c r="F24" s="166"/>
      <c r="G24" s="166"/>
      <c r="H24" s="166"/>
      <c r="I24" s="166"/>
      <c r="J24" s="166"/>
      <c r="K24" s="166"/>
      <c r="L24" s="166"/>
      <c r="M24" s="166"/>
      <c r="N24" s="166"/>
      <c r="O24" s="166"/>
      <c r="P24" s="166"/>
      <c r="Q24" s="166"/>
      <c r="R24" s="166"/>
      <c r="S24" s="166"/>
      <c r="T24" s="166"/>
      <c r="U24" s="153"/>
      <c r="V24" s="154"/>
      <c r="W24" s="154"/>
      <c r="X24" s="154"/>
      <c r="Y24" s="29"/>
      <c r="Z24" s="29"/>
      <c r="AA24" s="29"/>
    </row>
    <row r="25" spans="1:41" s="186" customFormat="1" ht="19.5">
      <c r="B25" s="166"/>
      <c r="C25" s="166"/>
      <c r="D25" s="166"/>
      <c r="E25" s="166"/>
      <c r="F25" s="166"/>
      <c r="G25" s="166"/>
      <c r="H25" s="166"/>
      <c r="I25" s="166"/>
      <c r="J25" s="166"/>
      <c r="K25" s="166"/>
      <c r="L25" s="166"/>
      <c r="M25" s="166"/>
      <c r="N25" s="166"/>
      <c r="O25" s="166"/>
      <c r="P25" s="166"/>
      <c r="Q25" s="166"/>
      <c r="R25" s="166"/>
      <c r="S25" s="166"/>
      <c r="T25" s="166"/>
      <c r="U25" s="153"/>
      <c r="V25" s="154"/>
      <c r="W25" s="154"/>
      <c r="X25" s="154"/>
      <c r="Y25" s="29"/>
      <c r="Z25" s="29"/>
      <c r="AA25" s="29"/>
    </row>
    <row r="26" spans="1:41" s="186" customFormat="1" ht="12">
      <c r="B26" s="166"/>
      <c r="C26" s="166"/>
      <c r="D26" s="166"/>
      <c r="E26" s="166"/>
      <c r="F26" s="166"/>
      <c r="G26" s="166"/>
      <c r="H26" s="166"/>
      <c r="I26" s="166"/>
      <c r="J26" s="166"/>
      <c r="K26" s="166"/>
      <c r="L26" s="166"/>
      <c r="M26" s="166"/>
      <c r="N26" s="166"/>
      <c r="O26" s="166"/>
      <c r="P26" s="166"/>
      <c r="Q26" s="166"/>
      <c r="R26" s="166"/>
      <c r="S26" s="166"/>
      <c r="T26" s="166"/>
      <c r="U26" s="166"/>
    </row>
    <row r="27" spans="1:41" s="186" customFormat="1" ht="12">
      <c r="B27" s="166"/>
      <c r="C27" s="166"/>
      <c r="D27" s="166"/>
      <c r="E27" s="166"/>
      <c r="F27" s="166"/>
      <c r="G27" s="166"/>
      <c r="H27" s="166"/>
      <c r="I27" s="166"/>
      <c r="J27" s="166"/>
      <c r="K27" s="166"/>
      <c r="L27" s="166"/>
      <c r="M27" s="166"/>
      <c r="N27" s="166"/>
      <c r="O27" s="166"/>
      <c r="P27" s="166"/>
      <c r="Q27" s="166"/>
      <c r="R27" s="166"/>
      <c r="S27" s="166"/>
      <c r="T27" s="166"/>
      <c r="U27" s="166"/>
    </row>
    <row r="28" spans="1:41">
      <c r="A28" s="186"/>
      <c r="B28" s="166"/>
      <c r="C28" s="166"/>
      <c r="D28" s="166"/>
      <c r="E28" s="166"/>
      <c r="F28" s="166"/>
      <c r="G28" s="166"/>
      <c r="H28" s="166"/>
      <c r="I28" s="166"/>
      <c r="J28" s="166"/>
      <c r="K28" s="166"/>
      <c r="L28" s="166"/>
      <c r="M28" s="166"/>
      <c r="N28" s="166"/>
      <c r="O28" s="166"/>
      <c r="P28" s="166"/>
      <c r="Q28" s="166"/>
      <c r="R28" s="166"/>
      <c r="S28" s="166"/>
      <c r="T28" s="166"/>
      <c r="U28" s="166"/>
      <c r="V28" s="186"/>
      <c r="W28" s="186"/>
      <c r="X28" s="186"/>
    </row>
    <row r="29" spans="1:41">
      <c r="A29" s="186"/>
      <c r="B29" s="166"/>
      <c r="C29" s="166"/>
      <c r="D29" s="166"/>
      <c r="E29" s="166"/>
      <c r="F29" s="166"/>
      <c r="G29" s="166"/>
      <c r="H29" s="166"/>
      <c r="I29" s="166"/>
      <c r="J29" s="166"/>
      <c r="K29" s="166"/>
      <c r="L29" s="166"/>
      <c r="M29" s="166"/>
      <c r="N29" s="166"/>
      <c r="O29" s="166"/>
      <c r="P29" s="166"/>
      <c r="Q29" s="166"/>
      <c r="R29" s="166"/>
      <c r="S29" s="166"/>
      <c r="T29" s="166"/>
      <c r="U29" s="166"/>
      <c r="V29" s="186"/>
      <c r="W29" s="186"/>
      <c r="X29" s="186"/>
    </row>
    <row r="30" spans="1:41">
      <c r="A30" s="186"/>
      <c r="B30" s="166"/>
      <c r="C30" s="166"/>
      <c r="D30" s="166"/>
      <c r="E30" s="166"/>
      <c r="F30" s="166"/>
      <c r="G30" s="166"/>
      <c r="H30" s="166"/>
      <c r="I30" s="166"/>
      <c r="J30" s="166"/>
      <c r="K30" s="166"/>
      <c r="L30" s="166"/>
      <c r="M30" s="166"/>
      <c r="N30" s="166"/>
      <c r="O30" s="166"/>
      <c r="P30" s="166"/>
      <c r="Q30" s="166"/>
      <c r="R30" s="166"/>
      <c r="S30" s="166"/>
      <c r="T30" s="166"/>
      <c r="U30" s="166"/>
      <c r="V30" s="186"/>
      <c r="W30" s="186"/>
      <c r="X30" s="186"/>
    </row>
    <row r="31" spans="1:41">
      <c r="A31" s="186"/>
      <c r="B31" s="166"/>
      <c r="C31" s="166"/>
      <c r="D31" s="166"/>
      <c r="E31" s="166"/>
      <c r="F31" s="166"/>
      <c r="G31" s="166"/>
      <c r="H31" s="166"/>
      <c r="I31" s="166"/>
      <c r="J31" s="166"/>
      <c r="K31" s="166"/>
      <c r="L31" s="166"/>
      <c r="M31" s="166"/>
      <c r="N31" s="166"/>
      <c r="O31" s="166"/>
      <c r="P31" s="166"/>
      <c r="Q31" s="166"/>
      <c r="R31" s="166"/>
      <c r="S31" s="166"/>
      <c r="T31" s="166"/>
      <c r="U31" s="166"/>
      <c r="V31" s="186"/>
      <c r="W31" s="186"/>
      <c r="X31" s="186"/>
    </row>
    <row r="32" spans="1:41">
      <c r="A32" s="186"/>
      <c r="B32" s="166"/>
      <c r="C32" s="166"/>
      <c r="D32" s="166"/>
      <c r="E32" s="166"/>
      <c r="F32" s="166"/>
      <c r="G32" s="166"/>
      <c r="H32" s="166"/>
      <c r="I32" s="166"/>
      <c r="J32" s="166"/>
      <c r="K32" s="166"/>
      <c r="L32" s="166"/>
      <c r="M32" s="166"/>
      <c r="N32" s="166"/>
      <c r="O32" s="166"/>
      <c r="P32" s="166"/>
      <c r="Q32" s="166"/>
      <c r="R32" s="166"/>
      <c r="S32" s="166"/>
      <c r="T32" s="166"/>
      <c r="U32" s="166"/>
      <c r="V32" s="186"/>
      <c r="W32" s="186"/>
      <c r="X32" s="186"/>
    </row>
    <row r="33" spans="1:24">
      <c r="A33" s="186"/>
      <c r="B33" s="166"/>
      <c r="C33" s="166"/>
      <c r="D33" s="166"/>
      <c r="E33" s="166"/>
      <c r="F33" s="166"/>
      <c r="G33" s="166"/>
      <c r="H33" s="166"/>
      <c r="I33" s="166"/>
      <c r="J33" s="166"/>
      <c r="K33" s="166"/>
      <c r="L33" s="166"/>
      <c r="M33" s="166"/>
      <c r="N33" s="166"/>
      <c r="O33" s="166"/>
      <c r="P33" s="166"/>
      <c r="Q33" s="166"/>
      <c r="R33" s="166"/>
      <c r="S33" s="166"/>
      <c r="T33" s="166"/>
      <c r="U33" s="166"/>
      <c r="V33" s="186"/>
      <c r="W33" s="186"/>
      <c r="X33" s="186"/>
    </row>
    <row r="34" spans="1:24">
      <c r="A34" s="186"/>
      <c r="B34" s="166"/>
      <c r="C34" s="166"/>
      <c r="D34" s="166"/>
      <c r="E34" s="166"/>
      <c r="F34" s="166"/>
      <c r="G34" s="166"/>
      <c r="H34" s="166"/>
      <c r="I34" s="166"/>
      <c r="J34" s="166"/>
      <c r="K34" s="166"/>
      <c r="L34" s="166"/>
      <c r="M34" s="166"/>
      <c r="N34" s="166"/>
      <c r="O34" s="166"/>
      <c r="P34" s="166"/>
      <c r="Q34" s="166"/>
      <c r="R34" s="166"/>
      <c r="S34" s="166"/>
      <c r="T34" s="166"/>
      <c r="U34" s="166"/>
      <c r="V34" s="186"/>
      <c r="W34" s="186"/>
      <c r="X34" s="186"/>
    </row>
    <row r="35" spans="1:24">
      <c r="B35" s="166"/>
      <c r="C35" s="166"/>
      <c r="D35" s="166"/>
      <c r="E35" s="166"/>
      <c r="F35" s="166"/>
      <c r="G35" s="166"/>
      <c r="H35" s="166"/>
      <c r="I35" s="166"/>
      <c r="J35" s="166"/>
      <c r="K35" s="166"/>
      <c r="L35" s="166"/>
      <c r="M35" s="166"/>
      <c r="N35" s="166"/>
      <c r="O35" s="166"/>
      <c r="P35" s="166"/>
      <c r="Q35" s="166"/>
      <c r="R35" s="166"/>
    </row>
    <row r="36" spans="1:24">
      <c r="B36" s="166"/>
      <c r="C36" s="166"/>
      <c r="D36" s="166"/>
      <c r="E36" s="166"/>
      <c r="F36" s="166"/>
      <c r="G36" s="166"/>
      <c r="H36" s="166"/>
      <c r="I36" s="166"/>
      <c r="J36" s="166"/>
      <c r="K36" s="166"/>
      <c r="L36" s="166"/>
      <c r="M36" s="166"/>
      <c r="N36" s="166"/>
      <c r="O36" s="166"/>
      <c r="P36" s="166"/>
      <c r="Q36" s="166"/>
      <c r="R36" s="166"/>
    </row>
    <row r="37" spans="1:24">
      <c r="B37" s="166"/>
      <c r="C37" s="166"/>
      <c r="D37" s="166"/>
      <c r="E37" s="166"/>
      <c r="F37" s="166"/>
      <c r="G37" s="166"/>
      <c r="H37" s="166"/>
      <c r="I37" s="166"/>
      <c r="J37" s="166"/>
      <c r="K37" s="166"/>
      <c r="L37" s="166"/>
      <c r="M37" s="166"/>
      <c r="N37" s="166"/>
      <c r="O37" s="166"/>
      <c r="P37" s="166"/>
      <c r="Q37" s="166"/>
      <c r="R37" s="166"/>
    </row>
    <row r="38" spans="1:24">
      <c r="B38" s="166"/>
      <c r="C38" s="166"/>
      <c r="D38" s="166"/>
      <c r="E38" s="166"/>
      <c r="F38" s="166"/>
      <c r="G38" s="166"/>
      <c r="H38" s="166"/>
      <c r="I38" s="166"/>
      <c r="J38" s="166"/>
      <c r="K38" s="166"/>
      <c r="L38" s="166"/>
      <c r="M38" s="166"/>
      <c r="N38" s="166"/>
      <c r="O38" s="166"/>
      <c r="P38" s="166"/>
      <c r="Q38" s="166"/>
      <c r="R38" s="166"/>
    </row>
    <row r="39" spans="1:24">
      <c r="B39" s="166"/>
      <c r="C39" s="166"/>
      <c r="D39" s="166"/>
      <c r="E39" s="166"/>
      <c r="F39" s="166"/>
      <c r="G39" s="166"/>
      <c r="H39" s="166"/>
      <c r="I39" s="166"/>
      <c r="J39" s="166"/>
      <c r="K39" s="166"/>
      <c r="L39" s="166"/>
      <c r="M39" s="166"/>
      <c r="N39" s="166"/>
      <c r="O39" s="166"/>
      <c r="P39" s="166"/>
      <c r="Q39" s="166"/>
      <c r="R39" s="166"/>
    </row>
    <row r="40" spans="1:24">
      <c r="B40" s="166"/>
      <c r="C40" s="166"/>
      <c r="D40" s="166"/>
      <c r="E40" s="166"/>
      <c r="F40" s="166"/>
      <c r="G40" s="166"/>
      <c r="H40" s="166"/>
      <c r="I40" s="166"/>
      <c r="J40" s="166"/>
      <c r="K40" s="166"/>
      <c r="L40" s="166"/>
      <c r="M40" s="166"/>
      <c r="N40" s="166"/>
      <c r="O40" s="166"/>
      <c r="P40" s="166"/>
      <c r="Q40" s="166"/>
      <c r="R40" s="166"/>
    </row>
    <row r="41" spans="1:24">
      <c r="B41" s="166"/>
      <c r="C41" s="166"/>
      <c r="D41" s="166"/>
      <c r="E41" s="166"/>
      <c r="F41" s="166"/>
      <c r="G41" s="166"/>
      <c r="H41" s="166"/>
      <c r="I41" s="166"/>
      <c r="J41" s="166"/>
      <c r="K41" s="166"/>
      <c r="L41" s="166"/>
      <c r="M41" s="166"/>
      <c r="N41" s="166"/>
      <c r="O41" s="166"/>
      <c r="P41" s="166"/>
      <c r="Q41" s="166"/>
      <c r="R41" s="166"/>
    </row>
    <row r="42" spans="1:24">
      <c r="B42" s="166"/>
      <c r="C42" s="166"/>
      <c r="D42" s="166"/>
      <c r="E42" s="166"/>
      <c r="F42" s="166"/>
      <c r="G42" s="166"/>
      <c r="H42" s="166"/>
      <c r="I42" s="166"/>
      <c r="J42" s="166"/>
      <c r="K42" s="166"/>
      <c r="L42" s="166"/>
      <c r="M42" s="166"/>
      <c r="N42" s="166"/>
      <c r="O42" s="166"/>
      <c r="P42" s="166"/>
      <c r="Q42" s="166"/>
      <c r="R42" s="166"/>
    </row>
    <row r="43" spans="1:24">
      <c r="B43" s="166"/>
      <c r="C43" s="166"/>
      <c r="D43" s="166"/>
      <c r="E43" s="166"/>
      <c r="F43" s="166"/>
      <c r="G43" s="166"/>
      <c r="H43" s="166"/>
      <c r="I43" s="166"/>
      <c r="J43" s="166"/>
      <c r="K43" s="166"/>
      <c r="L43" s="166"/>
      <c r="M43" s="166"/>
      <c r="N43" s="166"/>
      <c r="O43" s="166"/>
      <c r="P43" s="166"/>
      <c r="Q43" s="166"/>
      <c r="R43" s="166"/>
    </row>
    <row r="44" spans="1:24">
      <c r="B44" s="166"/>
      <c r="C44" s="166"/>
      <c r="D44" s="166"/>
      <c r="E44" s="166"/>
      <c r="F44" s="166"/>
      <c r="G44" s="166"/>
      <c r="H44" s="166"/>
      <c r="I44" s="166"/>
      <c r="J44" s="166"/>
      <c r="K44" s="166"/>
      <c r="L44" s="166"/>
      <c r="M44" s="166"/>
      <c r="N44" s="166"/>
      <c r="O44" s="166"/>
      <c r="P44" s="166"/>
      <c r="Q44" s="166"/>
      <c r="R44" s="166"/>
    </row>
    <row r="45" spans="1:24">
      <c r="B45" s="166"/>
      <c r="C45" s="166"/>
      <c r="D45" s="166"/>
      <c r="E45" s="166"/>
      <c r="F45" s="166"/>
      <c r="G45" s="166"/>
      <c r="H45" s="166"/>
      <c r="I45" s="166"/>
      <c r="J45" s="166"/>
      <c r="K45" s="166"/>
      <c r="L45" s="166"/>
      <c r="M45" s="166"/>
      <c r="N45" s="166"/>
      <c r="O45" s="166"/>
      <c r="P45" s="166"/>
      <c r="Q45" s="166"/>
      <c r="R45" s="166"/>
    </row>
    <row r="46" spans="1:24">
      <c r="B46" s="166"/>
      <c r="C46" s="166"/>
      <c r="D46" s="166"/>
      <c r="E46" s="166"/>
      <c r="F46" s="166"/>
      <c r="G46" s="166"/>
      <c r="H46" s="166"/>
      <c r="I46" s="166"/>
      <c r="J46" s="166"/>
      <c r="K46" s="166"/>
      <c r="L46" s="166"/>
      <c r="M46" s="166"/>
      <c r="N46" s="166"/>
      <c r="O46" s="166"/>
      <c r="P46" s="166"/>
      <c r="Q46" s="166"/>
      <c r="R46" s="166"/>
    </row>
    <row r="47" spans="1:24">
      <c r="B47" s="166"/>
      <c r="C47" s="166"/>
      <c r="D47" s="166"/>
      <c r="E47" s="166"/>
      <c r="F47" s="166"/>
      <c r="G47" s="166"/>
      <c r="H47" s="166"/>
      <c r="I47" s="166"/>
      <c r="J47" s="166"/>
      <c r="K47" s="166"/>
      <c r="L47" s="166"/>
      <c r="M47" s="166"/>
      <c r="N47" s="166"/>
      <c r="O47" s="166"/>
      <c r="P47" s="166"/>
      <c r="Q47" s="166"/>
      <c r="R47" s="166"/>
    </row>
    <row r="48" spans="1:24">
      <c r="B48" s="166"/>
      <c r="C48" s="166"/>
      <c r="D48" s="166"/>
      <c r="E48" s="166"/>
      <c r="F48" s="166"/>
      <c r="G48" s="166"/>
      <c r="H48" s="166"/>
      <c r="I48" s="166"/>
      <c r="J48" s="166"/>
      <c r="K48" s="166"/>
      <c r="L48" s="166"/>
      <c r="M48" s="166"/>
      <c r="N48" s="166"/>
      <c r="O48" s="166"/>
      <c r="P48" s="166"/>
      <c r="Q48" s="166"/>
      <c r="R48" s="166"/>
    </row>
    <row r="49" spans="2:18">
      <c r="B49" s="166"/>
      <c r="C49" s="166"/>
      <c r="D49" s="166"/>
      <c r="E49" s="166"/>
      <c r="F49" s="166"/>
      <c r="G49" s="166"/>
      <c r="H49" s="166"/>
      <c r="I49" s="166"/>
      <c r="J49" s="166"/>
      <c r="K49" s="166"/>
      <c r="L49" s="166"/>
      <c r="M49" s="166"/>
      <c r="N49" s="166"/>
      <c r="O49" s="166"/>
      <c r="P49" s="166"/>
      <c r="Q49" s="166"/>
      <c r="R49" s="166"/>
    </row>
    <row r="50" spans="2:18">
      <c r="C50" s="84"/>
      <c r="D50" s="84"/>
      <c r="E50" s="84"/>
      <c r="F50" s="84"/>
      <c r="G50" s="84"/>
      <c r="H50" s="84"/>
      <c r="I50" s="84"/>
      <c r="J50" s="84"/>
      <c r="K50" s="84"/>
      <c r="L50" s="166"/>
      <c r="M50" s="166"/>
      <c r="N50" s="166"/>
      <c r="O50" s="166"/>
      <c r="P50" s="166"/>
      <c r="Q50" s="166"/>
      <c r="R50" s="166"/>
    </row>
    <row r="51" spans="2:18">
      <c r="C51" s="187"/>
      <c r="D51" s="187"/>
      <c r="E51" s="187"/>
      <c r="F51" s="187"/>
      <c r="G51" s="187"/>
      <c r="H51" s="187"/>
      <c r="I51" s="187"/>
      <c r="J51" s="187"/>
      <c r="K51" s="187"/>
      <c r="L51" s="166"/>
      <c r="M51" s="166"/>
      <c r="N51" s="166"/>
      <c r="O51" s="166"/>
      <c r="P51" s="166"/>
      <c r="Q51" s="166"/>
      <c r="R51" s="166"/>
    </row>
    <row r="52" spans="2:18">
      <c r="C52" s="187"/>
      <c r="D52" s="187"/>
      <c r="E52" s="187"/>
      <c r="F52" s="187"/>
      <c r="G52" s="187"/>
      <c r="H52" s="187"/>
      <c r="I52" s="187"/>
      <c r="J52" s="187"/>
      <c r="K52" s="187"/>
      <c r="L52" s="166"/>
      <c r="M52" s="166"/>
      <c r="N52" s="166"/>
      <c r="O52" s="166"/>
      <c r="P52" s="166"/>
      <c r="Q52" s="166"/>
      <c r="R52" s="166"/>
    </row>
    <row r="53" spans="2:18">
      <c r="C53" s="187"/>
      <c r="D53" s="187"/>
      <c r="E53" s="187"/>
      <c r="F53" s="187"/>
      <c r="G53" s="187"/>
      <c r="H53" s="187"/>
      <c r="I53" s="187"/>
      <c r="J53" s="187"/>
      <c r="K53" s="187"/>
      <c r="L53" s="166"/>
      <c r="M53" s="166"/>
      <c r="N53" s="166"/>
      <c r="O53" s="166"/>
      <c r="P53" s="166"/>
      <c r="Q53" s="166"/>
      <c r="R53" s="166"/>
    </row>
    <row r="54" spans="2:18">
      <c r="C54" s="187"/>
      <c r="D54" s="187"/>
      <c r="E54" s="187"/>
      <c r="F54" s="187"/>
      <c r="G54" s="187"/>
      <c r="H54" s="187"/>
      <c r="I54" s="187"/>
      <c r="J54" s="187"/>
      <c r="K54" s="187"/>
      <c r="L54" s="166"/>
      <c r="M54" s="166"/>
      <c r="N54" s="166"/>
      <c r="O54" s="166"/>
      <c r="P54" s="166"/>
      <c r="Q54" s="166"/>
      <c r="R54" s="166"/>
    </row>
    <row r="55" spans="2:18">
      <c r="C55" s="187"/>
      <c r="D55" s="187"/>
      <c r="E55" s="187"/>
      <c r="F55" s="187"/>
      <c r="G55" s="187"/>
      <c r="H55" s="187"/>
      <c r="I55" s="187"/>
      <c r="J55" s="187"/>
      <c r="K55" s="187"/>
      <c r="L55" s="166"/>
      <c r="M55" s="166"/>
      <c r="N55" s="166"/>
      <c r="O55" s="166"/>
      <c r="P55" s="166"/>
      <c r="Q55" s="166"/>
      <c r="R55" s="166"/>
    </row>
    <row r="56" spans="2:18">
      <c r="C56" s="187"/>
      <c r="D56" s="187"/>
      <c r="E56" s="187"/>
      <c r="F56" s="187"/>
      <c r="G56" s="187"/>
      <c r="H56" s="187"/>
      <c r="I56" s="187"/>
      <c r="J56" s="187"/>
      <c r="K56" s="187"/>
      <c r="L56" s="166"/>
      <c r="M56" s="166"/>
      <c r="N56" s="166"/>
      <c r="O56" s="166"/>
      <c r="P56" s="166"/>
      <c r="Q56" s="166"/>
      <c r="R56" s="166"/>
    </row>
    <row r="57" spans="2:18">
      <c r="C57" s="187"/>
      <c r="D57" s="187"/>
      <c r="E57" s="187"/>
      <c r="F57" s="187"/>
      <c r="G57" s="187"/>
      <c r="H57" s="187"/>
      <c r="I57" s="187"/>
      <c r="J57" s="187"/>
      <c r="K57" s="187"/>
      <c r="L57" s="166"/>
      <c r="M57" s="166"/>
      <c r="N57" s="166"/>
      <c r="O57" s="166"/>
      <c r="P57" s="166"/>
      <c r="Q57" s="166"/>
      <c r="R57" s="166"/>
    </row>
    <row r="58" spans="2:18">
      <c r="C58" s="188"/>
      <c r="D58" s="188"/>
      <c r="E58" s="188"/>
      <c r="F58" s="188"/>
      <c r="G58" s="188"/>
      <c r="H58" s="188"/>
      <c r="I58" s="188"/>
      <c r="J58" s="188"/>
      <c r="K58" s="188"/>
    </row>
    <row r="59" spans="2:18">
      <c r="C59" s="188"/>
      <c r="D59" s="188"/>
      <c r="E59" s="188"/>
      <c r="F59" s="188"/>
      <c r="G59" s="188"/>
      <c r="H59" s="188"/>
      <c r="I59" s="188"/>
      <c r="J59" s="188"/>
      <c r="K59" s="188"/>
    </row>
    <row r="60" spans="2:18">
      <c r="C60" s="188"/>
      <c r="D60" s="188"/>
      <c r="E60" s="188"/>
      <c r="F60" s="188"/>
      <c r="G60" s="188"/>
      <c r="H60" s="188"/>
      <c r="I60" s="188"/>
      <c r="J60" s="188"/>
      <c r="K60" s="188"/>
    </row>
    <row r="61" spans="2:18">
      <c r="C61" s="188"/>
      <c r="D61" s="188"/>
      <c r="E61" s="188"/>
      <c r="F61" s="188"/>
      <c r="G61" s="188"/>
      <c r="H61" s="188"/>
      <c r="I61" s="188"/>
      <c r="J61" s="188"/>
      <c r="K61" s="188"/>
    </row>
    <row r="62" spans="2:18">
      <c r="C62" s="188"/>
      <c r="D62" s="188"/>
      <c r="E62" s="188"/>
      <c r="F62" s="188"/>
      <c r="G62" s="188"/>
      <c r="H62" s="188"/>
      <c r="I62" s="188"/>
      <c r="J62" s="188"/>
      <c r="K62" s="188"/>
    </row>
  </sheetData>
  <mergeCells count="10">
    <mergeCell ref="A2:S2"/>
    <mergeCell ref="A1:S1"/>
    <mergeCell ref="A3:S3"/>
    <mergeCell ref="A4:S4"/>
    <mergeCell ref="A5:A8"/>
    <mergeCell ref="B5:H5"/>
    <mergeCell ref="B6:K6"/>
    <mergeCell ref="B7:K7"/>
    <mergeCell ref="L6:R6"/>
    <mergeCell ref="L7:R7"/>
  </mergeCells>
  <pageMargins left="0.7" right="0.7" top="0.75" bottom="0.75" header="0.3" footer="0.3"/>
  <pageSetup paperSize="9" orientation="portrait"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X48"/>
  <sheetViews>
    <sheetView workbookViewId="0">
      <selection activeCell="G63" sqref="G63"/>
    </sheetView>
  </sheetViews>
  <sheetFormatPr defaultRowHeight="12.75"/>
  <cols>
    <col min="1" max="1" width="15.5703125" style="14" customWidth="1"/>
    <col min="2" max="2" width="9.140625" style="14"/>
    <col min="3" max="4" width="13.42578125" style="14" customWidth="1"/>
    <col min="5" max="5" width="10.28515625" style="151" bestFit="1" customWidth="1"/>
    <col min="6" max="6" width="11.42578125" style="151" bestFit="1" customWidth="1"/>
    <col min="7" max="7" width="12.42578125" style="14" bestFit="1" customWidth="1"/>
    <col min="8" max="9" width="9.140625" style="151"/>
    <col min="10" max="10" width="13.85546875" style="14" customWidth="1"/>
    <col min="11" max="11" width="19.85546875" style="14" customWidth="1"/>
    <col min="12" max="16384" width="9.140625" style="14"/>
  </cols>
  <sheetData>
    <row r="1" spans="1:24" s="29" customFormat="1" ht="19.5">
      <c r="A1" s="784" t="s">
        <v>445</v>
      </c>
      <c r="B1" s="784"/>
      <c r="C1" s="784"/>
      <c r="D1" s="784"/>
      <c r="E1" s="784"/>
      <c r="F1" s="784"/>
      <c r="G1" s="784"/>
      <c r="H1" s="784"/>
      <c r="I1" s="784"/>
      <c r="J1" s="784"/>
      <c r="K1" s="784"/>
      <c r="L1" s="153"/>
      <c r="M1" s="153"/>
      <c r="N1" s="153"/>
      <c r="O1" s="153"/>
      <c r="P1" s="153"/>
      <c r="Q1" s="153"/>
      <c r="R1" s="153"/>
      <c r="S1" s="153"/>
      <c r="T1" s="1"/>
      <c r="U1" s="1"/>
      <c r="V1" s="1"/>
    </row>
    <row r="2" spans="1:24" s="30" customFormat="1" ht="15">
      <c r="A2" s="793" t="s">
        <v>446</v>
      </c>
      <c r="B2" s="793"/>
      <c r="C2" s="793"/>
      <c r="D2" s="793"/>
      <c r="E2" s="793"/>
      <c r="F2" s="793"/>
      <c r="G2" s="793"/>
      <c r="H2" s="793"/>
      <c r="I2" s="793"/>
      <c r="J2" s="793"/>
      <c r="K2" s="793"/>
      <c r="L2" s="189"/>
      <c r="M2" s="189"/>
      <c r="N2" s="189"/>
      <c r="O2" s="189"/>
      <c r="P2" s="189"/>
      <c r="Q2" s="189"/>
      <c r="R2" s="189"/>
      <c r="S2" s="189"/>
      <c r="T2" s="23"/>
      <c r="U2" s="23"/>
      <c r="V2" s="23"/>
    </row>
    <row r="3" spans="1:24" s="82" customFormat="1" ht="15.75" customHeight="1">
      <c r="A3" s="794" t="s">
        <v>77</v>
      </c>
      <c r="B3" s="794"/>
      <c r="C3" s="794"/>
      <c r="D3" s="794"/>
      <c r="E3" s="794"/>
      <c r="F3" s="794"/>
      <c r="G3" s="794"/>
      <c r="H3" s="794"/>
      <c r="I3" s="794"/>
      <c r="J3" s="794"/>
      <c r="K3" s="794"/>
      <c r="M3" s="190"/>
      <c r="N3" s="190"/>
      <c r="O3" s="190"/>
      <c r="P3" s="190"/>
      <c r="Q3" s="190"/>
      <c r="R3" s="190"/>
      <c r="S3" s="190"/>
      <c r="T3" s="81"/>
      <c r="U3" s="81"/>
      <c r="V3" s="81"/>
    </row>
    <row r="4" spans="1:24" s="30" customFormat="1" ht="12">
      <c r="A4" s="795" t="s">
        <v>100</v>
      </c>
      <c r="B4" s="795"/>
      <c r="C4" s="795"/>
      <c r="D4" s="795"/>
      <c r="E4" s="795"/>
      <c r="F4" s="795"/>
      <c r="G4" s="795"/>
      <c r="H4" s="795"/>
      <c r="I4" s="795"/>
      <c r="J4" s="795"/>
      <c r="K4" s="795"/>
      <c r="M4" s="158"/>
      <c r="N4" s="158"/>
      <c r="O4" s="158"/>
      <c r="P4" s="158"/>
      <c r="Q4" s="158"/>
      <c r="R4" s="158"/>
      <c r="S4" s="158"/>
      <c r="T4" s="23"/>
      <c r="U4" s="23"/>
      <c r="V4" s="23"/>
    </row>
    <row r="5" spans="1:24" s="30" customFormat="1" ht="17.25" customHeight="1">
      <c r="A5" s="191"/>
      <c r="B5" s="650"/>
      <c r="C5" s="796" t="s">
        <v>119</v>
      </c>
      <c r="D5" s="796"/>
      <c r="E5" s="796"/>
      <c r="F5" s="796"/>
      <c r="G5" s="796"/>
      <c r="H5" s="797" t="s">
        <v>120</v>
      </c>
      <c r="I5" s="797"/>
      <c r="J5" s="797"/>
      <c r="K5" s="192"/>
      <c r="L5" s="193"/>
      <c r="M5" s="194"/>
      <c r="N5" s="194"/>
      <c r="O5" s="194"/>
      <c r="P5" s="194"/>
      <c r="Q5" s="194"/>
      <c r="R5" s="194"/>
      <c r="S5" s="194"/>
      <c r="T5" s="23"/>
      <c r="U5" s="23"/>
      <c r="V5" s="23"/>
      <c r="W5" s="23"/>
      <c r="X5" s="23"/>
    </row>
    <row r="6" spans="1:24" s="2" customFormat="1" ht="24" customHeight="1">
      <c r="A6" s="195"/>
      <c r="B6" s="651" t="s">
        <v>121</v>
      </c>
      <c r="C6" s="652" t="s">
        <v>122</v>
      </c>
      <c r="D6" s="653" t="s">
        <v>84</v>
      </c>
      <c r="E6" s="653" t="s">
        <v>17</v>
      </c>
      <c r="F6" s="653" t="s">
        <v>123</v>
      </c>
      <c r="G6" s="653" t="s">
        <v>86</v>
      </c>
      <c r="H6" s="653" t="s">
        <v>87</v>
      </c>
      <c r="I6" s="653" t="s">
        <v>88</v>
      </c>
      <c r="J6" s="653" t="s">
        <v>89</v>
      </c>
      <c r="K6" s="640" t="s">
        <v>124</v>
      </c>
      <c r="L6" s="617"/>
      <c r="M6" s="617"/>
      <c r="N6" s="617"/>
      <c r="O6" s="617"/>
      <c r="P6" s="617"/>
      <c r="Q6" s="617"/>
      <c r="R6" s="617"/>
      <c r="S6" s="617"/>
      <c r="T6" s="23"/>
      <c r="U6" s="23"/>
      <c r="V6" s="23"/>
      <c r="W6" s="23"/>
      <c r="X6" s="23"/>
    </row>
    <row r="7" spans="1:24" s="80" customFormat="1" ht="25.5">
      <c r="A7" s="198" t="s">
        <v>101</v>
      </c>
      <c r="B7" s="199" t="s">
        <v>90</v>
      </c>
      <c r="C7" s="200" t="s">
        <v>125</v>
      </c>
      <c r="D7" s="199" t="s">
        <v>92</v>
      </c>
      <c r="E7" s="199" t="s">
        <v>16</v>
      </c>
      <c r="F7" s="201" t="s">
        <v>94</v>
      </c>
      <c r="G7" s="199" t="s">
        <v>95</v>
      </c>
      <c r="H7" s="199" t="s">
        <v>126</v>
      </c>
      <c r="I7" s="200" t="s">
        <v>97</v>
      </c>
      <c r="J7" s="200" t="s">
        <v>98</v>
      </c>
      <c r="K7" s="641"/>
      <c r="L7" s="197"/>
      <c r="M7" s="202"/>
      <c r="N7" s="202"/>
      <c r="O7" s="202"/>
      <c r="P7" s="202"/>
      <c r="Q7" s="202"/>
      <c r="R7" s="202"/>
      <c r="S7" s="202"/>
      <c r="T7" s="79"/>
      <c r="U7" s="79"/>
      <c r="V7" s="79"/>
      <c r="W7" s="79"/>
      <c r="X7" s="79"/>
    </row>
    <row r="8" spans="1:24" s="30" customFormat="1" ht="15.75">
      <c r="A8" s="203" t="s">
        <v>90</v>
      </c>
      <c r="B8" s="204">
        <f t="shared" ref="B8:B21" si="0">SUM(C8:J8)</f>
        <v>148582.96918261523</v>
      </c>
      <c r="C8" s="204">
        <f t="shared" ref="C8:J8" si="1">SUM(C9:C21)</f>
        <v>103870.66972179376</v>
      </c>
      <c r="D8" s="204">
        <f t="shared" si="1"/>
        <v>42704.576500856783</v>
      </c>
      <c r="E8" s="204">
        <f t="shared" si="1"/>
        <v>212.68961995324838</v>
      </c>
      <c r="F8" s="204">
        <f t="shared" si="1"/>
        <v>0</v>
      </c>
      <c r="G8" s="204">
        <f t="shared" si="1"/>
        <v>3.2111469335556508</v>
      </c>
      <c r="H8" s="204">
        <f t="shared" si="1"/>
        <v>7.0504098873260022</v>
      </c>
      <c r="I8" s="204">
        <f t="shared" si="1"/>
        <v>88.162762023225255</v>
      </c>
      <c r="J8" s="204">
        <f t="shared" si="1"/>
        <v>1696.6090211673277</v>
      </c>
      <c r="K8" s="646" t="s">
        <v>82</v>
      </c>
      <c r="L8" s="197"/>
      <c r="M8" s="197"/>
      <c r="N8" s="197"/>
      <c r="O8" s="197"/>
      <c r="P8" s="197"/>
      <c r="Q8" s="197"/>
      <c r="R8" s="197"/>
      <c r="S8" s="197"/>
      <c r="T8" s="23"/>
      <c r="U8" s="23"/>
      <c r="V8" s="23"/>
      <c r="W8" s="23"/>
      <c r="X8" s="23"/>
    </row>
    <row r="9" spans="1:24" s="30" customFormat="1" ht="15.75" hidden="1">
      <c r="A9" s="203" t="s">
        <v>36</v>
      </c>
      <c r="B9" s="204">
        <f t="shared" si="0"/>
        <v>0</v>
      </c>
      <c r="C9" s="205"/>
      <c r="D9" s="205"/>
      <c r="E9" s="205"/>
      <c r="F9" s="205"/>
      <c r="G9" s="615"/>
      <c r="H9" s="615"/>
      <c r="I9" s="615"/>
      <c r="J9" s="205"/>
      <c r="K9" s="647" t="s">
        <v>391</v>
      </c>
      <c r="L9" s="197"/>
      <c r="M9" s="197"/>
      <c r="N9" s="197"/>
      <c r="O9" s="197"/>
      <c r="P9" s="197"/>
      <c r="Q9" s="197"/>
      <c r="R9" s="197"/>
      <c r="S9" s="197"/>
      <c r="T9" s="23"/>
      <c r="U9" s="23"/>
      <c r="V9" s="23"/>
      <c r="W9" s="23"/>
      <c r="X9" s="23"/>
    </row>
    <row r="10" spans="1:24" s="30" customFormat="1" ht="17.25">
      <c r="A10" s="206" t="s">
        <v>107</v>
      </c>
      <c r="B10" s="204">
        <f t="shared" si="0"/>
        <v>8261.400398855134</v>
      </c>
      <c r="C10" s="207">
        <v>4464.7685267891275</v>
      </c>
      <c r="D10" s="207">
        <v>3593.5103312749793</v>
      </c>
      <c r="E10" s="207">
        <v>17.559323632542597</v>
      </c>
      <c r="F10" s="207">
        <v>0</v>
      </c>
      <c r="G10" s="207">
        <v>5.4256094171760597E-2</v>
      </c>
      <c r="H10" s="207">
        <v>1.7207659367162444</v>
      </c>
      <c r="I10" s="207">
        <v>20.632236211166266</v>
      </c>
      <c r="J10" s="207">
        <v>163.15495891643221</v>
      </c>
      <c r="K10" s="648" t="s">
        <v>128</v>
      </c>
      <c r="L10" s="197"/>
      <c r="M10" s="197"/>
      <c r="N10" s="208"/>
      <c r="O10" s="208"/>
      <c r="P10" s="208"/>
      <c r="Q10" s="208"/>
      <c r="R10" s="208"/>
      <c r="S10" s="208"/>
      <c r="T10" s="23"/>
      <c r="U10" s="23"/>
      <c r="V10" s="23"/>
      <c r="W10" s="23"/>
      <c r="X10" s="23"/>
    </row>
    <row r="11" spans="1:24" s="30" customFormat="1" ht="17.25">
      <c r="A11" s="206" t="s">
        <v>108</v>
      </c>
      <c r="B11" s="204">
        <f t="shared" si="0"/>
        <v>12845.465682601467</v>
      </c>
      <c r="C11" s="207">
        <v>8043.9272903592437</v>
      </c>
      <c r="D11" s="207">
        <v>4583.4719594464941</v>
      </c>
      <c r="E11" s="207">
        <v>9.7644014479740413</v>
      </c>
      <c r="F11" s="207">
        <v>0</v>
      </c>
      <c r="G11" s="207">
        <v>2.204153825727774E-2</v>
      </c>
      <c r="H11" s="207">
        <v>0.50898998344882906</v>
      </c>
      <c r="I11" s="207">
        <v>34.325457078352933</v>
      </c>
      <c r="J11" s="207">
        <v>173.4455427476957</v>
      </c>
      <c r="K11" s="648" t="s">
        <v>129</v>
      </c>
      <c r="L11" s="197"/>
      <c r="M11" s="197"/>
      <c r="N11" s="208"/>
      <c r="O11" s="208"/>
      <c r="P11" s="208"/>
      <c r="Q11" s="208"/>
      <c r="R11" s="208"/>
      <c r="S11" s="208"/>
      <c r="T11" s="23"/>
      <c r="U11" s="23"/>
      <c r="V11" s="23"/>
      <c r="W11" s="23"/>
      <c r="X11" s="23"/>
    </row>
    <row r="12" spans="1:24" s="30" customFormat="1" ht="17.25">
      <c r="A12" s="206" t="s">
        <v>109</v>
      </c>
      <c r="B12" s="204">
        <f t="shared" si="0"/>
        <v>18426.100647688832</v>
      </c>
      <c r="C12" s="207">
        <v>12086.517245967261</v>
      </c>
      <c r="D12" s="207">
        <v>6214.3687630227741</v>
      </c>
      <c r="E12" s="207">
        <v>15.300218556436489</v>
      </c>
      <c r="F12" s="207">
        <v>0</v>
      </c>
      <c r="G12" s="207">
        <v>3.7301064743085408E-2</v>
      </c>
      <c r="H12" s="207">
        <v>3.3910058857350371E-2</v>
      </c>
      <c r="I12" s="207">
        <v>4.7548684529776706</v>
      </c>
      <c r="J12" s="207">
        <v>105.0883405657828</v>
      </c>
      <c r="K12" s="648" t="s">
        <v>130</v>
      </c>
      <c r="L12" s="197"/>
      <c r="M12" s="197"/>
      <c r="N12" s="208"/>
      <c r="O12" s="208"/>
      <c r="P12" s="208"/>
      <c r="Q12" s="208"/>
      <c r="R12" s="208"/>
      <c r="S12" s="208"/>
      <c r="T12" s="23"/>
      <c r="U12" s="23"/>
      <c r="V12" s="23"/>
      <c r="W12" s="23"/>
      <c r="X12" s="23"/>
    </row>
    <row r="13" spans="1:24" s="30" customFormat="1" ht="17.25">
      <c r="A13" s="206" t="s">
        <v>110</v>
      </c>
      <c r="B13" s="204">
        <f t="shared" si="0"/>
        <v>10145.875757860178</v>
      </c>
      <c r="C13" s="207">
        <v>6624.1173817143499</v>
      </c>
      <c r="D13" s="207">
        <v>3497.2642928816922</v>
      </c>
      <c r="E13" s="207">
        <v>2.1973718139563041</v>
      </c>
      <c r="F13" s="207">
        <v>0</v>
      </c>
      <c r="G13" s="207">
        <v>3.8996567685952929E-2</v>
      </c>
      <c r="H13" s="207">
        <v>0.12377171482932886</v>
      </c>
      <c r="I13" s="207">
        <v>5.490038529005024</v>
      </c>
      <c r="J13" s="207">
        <v>16.643904638658992</v>
      </c>
      <c r="K13" s="648" t="s">
        <v>131</v>
      </c>
      <c r="L13" s="208"/>
      <c r="M13" s="197"/>
      <c r="N13" s="208"/>
      <c r="O13" s="208"/>
      <c r="P13" s="208"/>
      <c r="Q13" s="208"/>
      <c r="R13" s="208"/>
      <c r="S13" s="208"/>
      <c r="T13" s="23"/>
      <c r="U13" s="23"/>
      <c r="V13" s="23"/>
      <c r="W13" s="23"/>
      <c r="X13" s="23"/>
    </row>
    <row r="14" spans="1:24" s="30" customFormat="1" ht="17.25">
      <c r="A14" s="206" t="s">
        <v>111</v>
      </c>
      <c r="B14" s="204">
        <f t="shared" si="0"/>
        <v>4305.5186163406497</v>
      </c>
      <c r="C14" s="207">
        <v>3574.0315626708784</v>
      </c>
      <c r="D14" s="207">
        <v>717.79281550081851</v>
      </c>
      <c r="E14" s="207">
        <v>1.5615582103809849</v>
      </c>
      <c r="F14" s="207">
        <v>0</v>
      </c>
      <c r="G14" s="207">
        <v>0</v>
      </c>
      <c r="H14" s="207">
        <v>0</v>
      </c>
      <c r="I14" s="207">
        <v>0.57613189998638281</v>
      </c>
      <c r="J14" s="207">
        <v>11.556548058585008</v>
      </c>
      <c r="K14" s="648" t="s">
        <v>132</v>
      </c>
      <c r="L14" s="208"/>
      <c r="M14" s="197"/>
      <c r="N14" s="208"/>
      <c r="O14" s="208"/>
      <c r="P14" s="208"/>
      <c r="Q14" s="208"/>
      <c r="R14" s="208"/>
      <c r="S14" s="208"/>
      <c r="T14" s="23"/>
      <c r="U14" s="23"/>
      <c r="V14" s="23"/>
      <c r="W14" s="23"/>
      <c r="X14" s="23"/>
    </row>
    <row r="15" spans="1:24" s="30" customFormat="1" ht="17.25">
      <c r="A15" s="206" t="s">
        <v>112</v>
      </c>
      <c r="B15" s="204">
        <f t="shared" si="0"/>
        <v>6833.2970732054773</v>
      </c>
      <c r="C15" s="207">
        <v>5287.7597549067932</v>
      </c>
      <c r="D15" s="207">
        <v>1518.9682785330665</v>
      </c>
      <c r="E15" s="207">
        <v>8.6979300969103708</v>
      </c>
      <c r="F15" s="207">
        <v>0</v>
      </c>
      <c r="G15" s="207">
        <v>0</v>
      </c>
      <c r="H15" s="207">
        <v>0</v>
      </c>
      <c r="I15" s="207">
        <v>1.9888249519835992</v>
      </c>
      <c r="J15" s="207">
        <v>15.882284716722905</v>
      </c>
      <c r="K15" s="648" t="s">
        <v>133</v>
      </c>
      <c r="L15" s="208"/>
      <c r="M15" s="197"/>
      <c r="N15" s="208"/>
      <c r="O15" s="208"/>
      <c r="P15" s="208"/>
      <c r="Q15" s="208"/>
      <c r="R15" s="208"/>
      <c r="S15" s="208"/>
      <c r="T15" s="23"/>
      <c r="U15" s="23"/>
      <c r="V15" s="23"/>
      <c r="W15" s="23"/>
      <c r="X15" s="23"/>
    </row>
    <row r="16" spans="1:24" s="2" customFormat="1" ht="17.25">
      <c r="A16" s="206" t="s">
        <v>113</v>
      </c>
      <c r="B16" s="204">
        <f t="shared" si="0"/>
        <v>10429.304456439548</v>
      </c>
      <c r="C16" s="207">
        <v>7725.3136842597769</v>
      </c>
      <c r="D16" s="207">
        <v>2640.1915566491084</v>
      </c>
      <c r="E16" s="207">
        <v>2.9244373859167525</v>
      </c>
      <c r="F16" s="207">
        <v>0</v>
      </c>
      <c r="G16" s="207">
        <v>0</v>
      </c>
      <c r="H16" s="207">
        <v>0.33570958268776868</v>
      </c>
      <c r="I16" s="207">
        <v>0.67141916537553736</v>
      </c>
      <c r="J16" s="207">
        <v>59.867649396680939</v>
      </c>
      <c r="K16" s="648" t="s">
        <v>134</v>
      </c>
      <c r="L16" s="208"/>
      <c r="M16" s="197"/>
      <c r="N16" s="208"/>
      <c r="O16" s="208"/>
      <c r="P16" s="208"/>
      <c r="Q16" s="208"/>
      <c r="R16" s="208"/>
      <c r="S16" s="208"/>
      <c r="T16" s="23"/>
      <c r="U16" s="23"/>
      <c r="V16" s="23"/>
      <c r="W16" s="23"/>
      <c r="X16" s="23"/>
    </row>
    <row r="17" spans="1:19" s="2" customFormat="1" ht="17.25">
      <c r="A17" s="206" t="s">
        <v>114</v>
      </c>
      <c r="B17" s="204">
        <f t="shared" si="0"/>
        <v>12848.428506174001</v>
      </c>
      <c r="C17" s="207">
        <v>9275.1948471880387</v>
      </c>
      <c r="D17" s="207">
        <v>3350.6723631135446</v>
      </c>
      <c r="E17" s="207">
        <v>3.9301758215669076</v>
      </c>
      <c r="F17" s="207">
        <v>0</v>
      </c>
      <c r="G17" s="207">
        <v>0.92574460680566517</v>
      </c>
      <c r="H17" s="207">
        <v>1.1258139540640324</v>
      </c>
      <c r="I17" s="207">
        <v>4.4049166455698128</v>
      </c>
      <c r="J17" s="207">
        <v>212.17464484441126</v>
      </c>
      <c r="K17" s="648" t="s">
        <v>135</v>
      </c>
      <c r="L17" s="208"/>
      <c r="M17" s="197"/>
      <c r="N17" s="208"/>
      <c r="O17" s="208"/>
      <c r="P17" s="208"/>
      <c r="Q17" s="208"/>
      <c r="R17" s="208"/>
      <c r="S17" s="208"/>
    </row>
    <row r="18" spans="1:19" s="2" customFormat="1" ht="17.25">
      <c r="A18" s="206" t="s">
        <v>115</v>
      </c>
      <c r="B18" s="204">
        <f t="shared" si="0"/>
        <v>13847.21726176666</v>
      </c>
      <c r="C18" s="207">
        <v>9629.606030795987</v>
      </c>
      <c r="D18" s="207">
        <v>3955.8753565583306</v>
      </c>
      <c r="E18" s="207">
        <v>30.368187119758979</v>
      </c>
      <c r="F18" s="207">
        <v>0</v>
      </c>
      <c r="G18" s="207">
        <v>0.8086192635123769</v>
      </c>
      <c r="H18" s="207">
        <v>0.54934295348907602</v>
      </c>
      <c r="I18" s="207">
        <v>4.3659200778838603</v>
      </c>
      <c r="J18" s="207">
        <v>225.64380499769794</v>
      </c>
      <c r="K18" s="648" t="s">
        <v>136</v>
      </c>
      <c r="L18" s="208"/>
      <c r="M18" s="197"/>
      <c r="N18" s="208"/>
      <c r="O18" s="208"/>
      <c r="P18" s="208"/>
      <c r="Q18" s="208"/>
      <c r="R18" s="208"/>
      <c r="S18" s="208"/>
    </row>
    <row r="19" spans="1:19" s="2" customFormat="1" ht="17.25">
      <c r="A19" s="206" t="s">
        <v>116</v>
      </c>
      <c r="B19" s="204">
        <f t="shared" si="0"/>
        <v>13827.910552801202</v>
      </c>
      <c r="C19" s="207">
        <v>9512.0217318110954</v>
      </c>
      <c r="D19" s="207">
        <v>4094.5827737664131</v>
      </c>
      <c r="E19" s="207">
        <v>44.120631904739987</v>
      </c>
      <c r="F19" s="207">
        <v>0</v>
      </c>
      <c r="G19" s="207">
        <v>0.34588260034497381</v>
      </c>
      <c r="H19" s="207">
        <v>1.1617586164528237</v>
      </c>
      <c r="I19" s="207">
        <v>6.4971672770683302</v>
      </c>
      <c r="J19" s="207">
        <v>169.180606825089</v>
      </c>
      <c r="K19" s="648" t="s">
        <v>137</v>
      </c>
      <c r="L19" s="208"/>
      <c r="M19" s="197"/>
      <c r="N19" s="208"/>
      <c r="O19" s="208"/>
      <c r="P19" s="208"/>
      <c r="Q19" s="208"/>
      <c r="R19" s="208"/>
      <c r="S19" s="208"/>
    </row>
    <row r="20" spans="1:19" s="2" customFormat="1" ht="17.25">
      <c r="A20" s="206" t="s">
        <v>117</v>
      </c>
      <c r="B20" s="204">
        <f t="shared" si="0"/>
        <v>18874.862941691026</v>
      </c>
      <c r="C20" s="207">
        <v>13176.565040192292</v>
      </c>
      <c r="D20" s="207">
        <v>5363.4452938184095</v>
      </c>
      <c r="E20" s="207">
        <v>37.09906252247216</v>
      </c>
      <c r="F20" s="207">
        <v>0</v>
      </c>
      <c r="G20" s="207">
        <v>0.63242259768958442</v>
      </c>
      <c r="H20" s="207">
        <v>0.61885857414664436</v>
      </c>
      <c r="I20" s="207">
        <v>3.3672688445348915</v>
      </c>
      <c r="J20" s="207">
        <v>293.13499514148242</v>
      </c>
      <c r="K20" s="648" t="s">
        <v>138</v>
      </c>
      <c r="L20" s="208"/>
      <c r="M20" s="197"/>
      <c r="N20" s="208"/>
      <c r="O20" s="208"/>
      <c r="P20" s="208"/>
      <c r="Q20" s="208"/>
      <c r="R20" s="208"/>
      <c r="S20" s="208"/>
    </row>
    <row r="21" spans="1:19" s="2" customFormat="1" ht="17.25">
      <c r="A21" s="209" t="s">
        <v>118</v>
      </c>
      <c r="B21" s="210">
        <f t="shared" si="0"/>
        <v>17937.587287191047</v>
      </c>
      <c r="C21" s="211">
        <v>14470.846625138915</v>
      </c>
      <c r="D21" s="211">
        <v>3174.4327162911509</v>
      </c>
      <c r="E21" s="211">
        <v>39.166321440592803</v>
      </c>
      <c r="F21" s="211">
        <v>0</v>
      </c>
      <c r="G21" s="211">
        <v>0.34588260034497381</v>
      </c>
      <c r="H21" s="211">
        <v>0.87148851263390448</v>
      </c>
      <c r="I21" s="211">
        <v>1.0885128893209468</v>
      </c>
      <c r="J21" s="211">
        <v>250.83574031808843</v>
      </c>
      <c r="K21" s="649" t="s">
        <v>139</v>
      </c>
      <c r="L21" s="212"/>
      <c r="M21" s="197"/>
      <c r="N21" s="212"/>
      <c r="O21" s="212"/>
      <c r="P21" s="212"/>
      <c r="Q21" s="212"/>
      <c r="R21" s="212"/>
      <c r="S21" s="212"/>
    </row>
    <row r="22" spans="1:19" s="2" customFormat="1" ht="17.25">
      <c r="A22" s="24" t="s">
        <v>397</v>
      </c>
      <c r="B22" s="213"/>
      <c r="C22" s="213"/>
      <c r="D22" s="213"/>
      <c r="E22" s="213"/>
      <c r="F22" s="213"/>
      <c r="G22" s="213"/>
      <c r="H22" s="213"/>
      <c r="I22" s="213"/>
      <c r="K22" s="20" t="s">
        <v>389</v>
      </c>
      <c r="L22" s="208"/>
      <c r="M22" s="208"/>
      <c r="N22" s="208"/>
      <c r="O22" s="208"/>
      <c r="P22" s="208"/>
      <c r="Q22" s="208"/>
      <c r="R22" s="208"/>
      <c r="S22" s="208"/>
    </row>
    <row r="23" spans="1:19" s="2" customFormat="1" ht="15.75">
      <c r="A23" s="24"/>
      <c r="B23" s="213"/>
      <c r="C23" s="213"/>
      <c r="D23" s="213"/>
      <c r="E23" s="213"/>
      <c r="F23" s="213"/>
      <c r="G23" s="213"/>
      <c r="H23" s="213"/>
      <c r="I23" s="213"/>
      <c r="K23" s="214"/>
      <c r="L23" s="208"/>
      <c r="M23" s="208"/>
      <c r="N23" s="208"/>
      <c r="O23" s="208"/>
      <c r="P23" s="208"/>
      <c r="Q23" s="208"/>
      <c r="R23" s="208"/>
      <c r="S23" s="208"/>
    </row>
    <row r="24" spans="1:19" s="2" customFormat="1" ht="15.75">
      <c r="A24" s="417"/>
      <c r="B24" s="611"/>
      <c r="C24" s="611"/>
      <c r="D24" s="611"/>
      <c r="E24" s="611"/>
      <c r="F24" s="611"/>
      <c r="G24" s="611"/>
      <c r="H24" s="611"/>
      <c r="I24" s="611"/>
      <c r="J24" s="611"/>
      <c r="K24" s="612"/>
      <c r="L24" s="208"/>
      <c r="M24" s="208"/>
      <c r="N24" s="208"/>
      <c r="O24" s="208"/>
      <c r="P24" s="208"/>
      <c r="Q24" s="208"/>
      <c r="R24" s="208"/>
      <c r="S24" s="208"/>
    </row>
    <row r="25" spans="1:19" ht="15">
      <c r="A25" s="78"/>
      <c r="B25" s="78"/>
      <c r="C25" s="78"/>
      <c r="D25" s="78"/>
      <c r="E25" s="613"/>
      <c r="F25" s="613"/>
      <c r="G25" s="78"/>
      <c r="H25" s="613"/>
      <c r="I25" s="613"/>
      <c r="J25" s="78"/>
      <c r="K25" s="614"/>
    </row>
    <row r="26" spans="1:19">
      <c r="A26" s="78"/>
      <c r="B26" s="78"/>
      <c r="C26" s="78"/>
      <c r="D26" s="78"/>
      <c r="E26" s="613"/>
      <c r="F26" s="613"/>
      <c r="G26" s="78"/>
      <c r="H26" s="613"/>
      <c r="I26" s="613"/>
      <c r="J26" s="78"/>
      <c r="K26" s="78"/>
    </row>
    <row r="27" spans="1:19" ht="18.75">
      <c r="A27" s="784" t="s">
        <v>409</v>
      </c>
      <c r="B27" s="784"/>
      <c r="C27" s="784"/>
      <c r="D27" s="784"/>
      <c r="E27" s="784"/>
      <c r="F27" s="784"/>
      <c r="G27" s="784"/>
      <c r="H27" s="784"/>
      <c r="I27" s="784"/>
      <c r="J27" s="784"/>
      <c r="K27" s="784"/>
    </row>
    <row r="28" spans="1:19" ht="15">
      <c r="A28" s="793" t="s">
        <v>410</v>
      </c>
      <c r="B28" s="793"/>
      <c r="C28" s="793"/>
      <c r="D28" s="793"/>
      <c r="E28" s="793"/>
      <c r="F28" s="793"/>
      <c r="G28" s="793"/>
      <c r="H28" s="793"/>
      <c r="I28" s="793"/>
      <c r="J28" s="793"/>
      <c r="K28" s="793"/>
    </row>
    <row r="29" spans="1:19" ht="15.75">
      <c r="A29" s="794" t="s">
        <v>77</v>
      </c>
      <c r="B29" s="794"/>
      <c r="C29" s="794"/>
      <c r="D29" s="794"/>
      <c r="E29" s="794"/>
      <c r="F29" s="794"/>
      <c r="G29" s="794"/>
      <c r="H29" s="794"/>
      <c r="I29" s="794"/>
      <c r="J29" s="794"/>
      <c r="K29" s="794"/>
    </row>
    <row r="30" spans="1:19">
      <c r="A30" s="795" t="s">
        <v>100</v>
      </c>
      <c r="B30" s="795"/>
      <c r="C30" s="795"/>
      <c r="D30" s="795"/>
      <c r="E30" s="795"/>
      <c r="F30" s="795"/>
      <c r="G30" s="795"/>
      <c r="H30" s="795"/>
      <c r="I30" s="795"/>
      <c r="J30" s="795"/>
      <c r="K30" s="795"/>
    </row>
    <row r="31" spans="1:19" ht="15.75">
      <c r="A31" s="191"/>
      <c r="B31" s="650"/>
      <c r="C31" s="796" t="s">
        <v>119</v>
      </c>
      <c r="D31" s="796"/>
      <c r="E31" s="796"/>
      <c r="F31" s="796"/>
      <c r="G31" s="796"/>
      <c r="H31" s="797" t="s">
        <v>120</v>
      </c>
      <c r="I31" s="797"/>
      <c r="J31" s="797"/>
      <c r="K31" s="192"/>
    </row>
    <row r="32" spans="1:19" ht="28.5">
      <c r="A32" s="195"/>
      <c r="B32" s="651" t="s">
        <v>121</v>
      </c>
      <c r="C32" s="652" t="s">
        <v>122</v>
      </c>
      <c r="D32" s="653" t="s">
        <v>84</v>
      </c>
      <c r="E32" s="653" t="s">
        <v>17</v>
      </c>
      <c r="F32" s="653" t="s">
        <v>123</v>
      </c>
      <c r="G32" s="653" t="s">
        <v>86</v>
      </c>
      <c r="H32" s="653" t="s">
        <v>87</v>
      </c>
      <c r="I32" s="653" t="s">
        <v>88</v>
      </c>
      <c r="J32" s="653" t="s">
        <v>89</v>
      </c>
      <c r="K32" s="640" t="s">
        <v>124</v>
      </c>
    </row>
    <row r="33" spans="1:11" ht="25.5">
      <c r="A33" s="198" t="s">
        <v>101</v>
      </c>
      <c r="B33" s="199" t="s">
        <v>90</v>
      </c>
      <c r="C33" s="200" t="s">
        <v>125</v>
      </c>
      <c r="D33" s="199" t="s">
        <v>92</v>
      </c>
      <c r="E33" s="199" t="s">
        <v>16</v>
      </c>
      <c r="F33" s="201" t="s">
        <v>94</v>
      </c>
      <c r="G33" s="199" t="s">
        <v>95</v>
      </c>
      <c r="H33" s="199" t="s">
        <v>126</v>
      </c>
      <c r="I33" s="200" t="s">
        <v>97</v>
      </c>
      <c r="J33" s="200" t="s">
        <v>98</v>
      </c>
      <c r="K33" s="641"/>
    </row>
    <row r="34" spans="1:11" ht="15.75">
      <c r="A34" s="203" t="s">
        <v>90</v>
      </c>
      <c r="B34" s="204">
        <f t="shared" ref="B34:B47" si="2">SUM(C34:J34)</f>
        <v>135068.92557018774</v>
      </c>
      <c r="C34" s="204">
        <f t="shared" ref="C34:J34" si="3">SUM(C35:C47)</f>
        <v>88019.666239199287</v>
      </c>
      <c r="D34" s="204">
        <f t="shared" si="3"/>
        <v>44423.897166028532</v>
      </c>
      <c r="E34" s="204">
        <f t="shared" si="3"/>
        <v>395.98115232852712</v>
      </c>
      <c r="F34" s="204">
        <f t="shared" si="3"/>
        <v>4.1649999999999991</v>
      </c>
      <c r="G34" s="204">
        <f t="shared" si="3"/>
        <v>3.3175771206069236</v>
      </c>
      <c r="H34" s="204">
        <f t="shared" si="3"/>
        <v>45.756334734952461</v>
      </c>
      <c r="I34" s="204">
        <f t="shared" si="3"/>
        <v>132.90904725091951</v>
      </c>
      <c r="J34" s="204">
        <f t="shared" si="3"/>
        <v>2043.233053524893</v>
      </c>
      <c r="K34" s="646" t="s">
        <v>82</v>
      </c>
    </row>
    <row r="35" spans="1:11" ht="15.75">
      <c r="A35" s="203" t="s">
        <v>36</v>
      </c>
      <c r="B35" s="204">
        <f t="shared" si="2"/>
        <v>699.67705000000001</v>
      </c>
      <c r="C35" s="205">
        <v>1.458</v>
      </c>
      <c r="D35" s="205">
        <v>479.21350000000007</v>
      </c>
      <c r="E35" s="205">
        <v>83.596549999999993</v>
      </c>
      <c r="F35" s="205">
        <v>4.1649999999999991</v>
      </c>
      <c r="G35" s="615">
        <v>0</v>
      </c>
      <c r="H35" s="615">
        <v>0</v>
      </c>
      <c r="I35" s="615">
        <v>0</v>
      </c>
      <c r="J35" s="205">
        <v>131.24399999999997</v>
      </c>
      <c r="K35" s="647" t="s">
        <v>391</v>
      </c>
    </row>
    <row r="36" spans="1:11" ht="17.25">
      <c r="A36" s="206" t="s">
        <v>107</v>
      </c>
      <c r="B36" s="204">
        <f t="shared" si="2"/>
        <v>9441.6519042341788</v>
      </c>
      <c r="C36" s="207">
        <v>5146.33382999071</v>
      </c>
      <c r="D36" s="207">
        <v>4025.9585497036242</v>
      </c>
      <c r="E36" s="207">
        <v>35.14668229518994</v>
      </c>
      <c r="F36" s="615">
        <v>0</v>
      </c>
      <c r="G36" s="207">
        <v>0.32055028066119129</v>
      </c>
      <c r="H36" s="207">
        <v>4.3601048092333361</v>
      </c>
      <c r="I36" s="207">
        <v>6.6552625614029264</v>
      </c>
      <c r="J36" s="207">
        <v>222.87692459335759</v>
      </c>
      <c r="K36" s="648" t="s">
        <v>128</v>
      </c>
    </row>
    <row r="37" spans="1:11" ht="17.25">
      <c r="A37" s="206" t="s">
        <v>108</v>
      </c>
      <c r="B37" s="204">
        <f t="shared" si="2"/>
        <v>13126.517464671266</v>
      </c>
      <c r="C37" s="207">
        <v>8958.6709347724664</v>
      </c>
      <c r="D37" s="207">
        <v>4052.9453705089745</v>
      </c>
      <c r="E37" s="207">
        <v>43.893801577439056</v>
      </c>
      <c r="F37" s="615">
        <v>0</v>
      </c>
      <c r="G37" s="207">
        <v>0.52784340496330862</v>
      </c>
      <c r="H37" s="207">
        <v>2.1106343433756947</v>
      </c>
      <c r="I37" s="207">
        <v>3.5523713298735156</v>
      </c>
      <c r="J37" s="207">
        <v>64.816508734175144</v>
      </c>
      <c r="K37" s="648" t="s">
        <v>129</v>
      </c>
    </row>
    <row r="38" spans="1:11" ht="17.25">
      <c r="A38" s="206" t="s">
        <v>109</v>
      </c>
      <c r="B38" s="204">
        <f t="shared" si="2"/>
        <v>15208.675210522131</v>
      </c>
      <c r="C38" s="207">
        <v>9570.172093133091</v>
      </c>
      <c r="D38" s="207">
        <v>5334.6857535902473</v>
      </c>
      <c r="E38" s="207">
        <v>83.919708624390665</v>
      </c>
      <c r="F38" s="615">
        <v>0</v>
      </c>
      <c r="G38" s="207">
        <v>0.15376950732824674</v>
      </c>
      <c r="H38" s="207">
        <v>5.2828697084983238</v>
      </c>
      <c r="I38" s="207">
        <v>3.0299985708440009</v>
      </c>
      <c r="J38" s="207">
        <v>211.43101738773171</v>
      </c>
      <c r="K38" s="648" t="s">
        <v>130</v>
      </c>
    </row>
    <row r="39" spans="1:11" ht="17.25">
      <c r="A39" s="206" t="s">
        <v>110</v>
      </c>
      <c r="B39" s="204">
        <f t="shared" si="2"/>
        <v>16386.6063878809</v>
      </c>
      <c r="C39" s="207">
        <v>12180.594299149532</v>
      </c>
      <c r="D39" s="207">
        <v>3948.6988969666772</v>
      </c>
      <c r="E39" s="207">
        <v>39.087779982483333</v>
      </c>
      <c r="F39" s="615">
        <v>0</v>
      </c>
      <c r="G39" s="207">
        <v>5.4706459337933944E-2</v>
      </c>
      <c r="H39" s="207">
        <v>9.885013636478142</v>
      </c>
      <c r="I39" s="207">
        <v>18.938341235724174</v>
      </c>
      <c r="J39" s="207">
        <v>189.34735045066731</v>
      </c>
      <c r="K39" s="648" t="s">
        <v>131</v>
      </c>
    </row>
    <row r="40" spans="1:11" ht="17.25">
      <c r="A40" s="206" t="s">
        <v>111</v>
      </c>
      <c r="B40" s="204">
        <f t="shared" si="2"/>
        <v>8758.740066108845</v>
      </c>
      <c r="C40" s="207">
        <v>6348.0965856570083</v>
      </c>
      <c r="D40" s="207">
        <v>2342.8158986246422</v>
      </c>
      <c r="E40" s="207">
        <v>7.1893158887775686</v>
      </c>
      <c r="F40" s="615">
        <v>0</v>
      </c>
      <c r="G40" s="207">
        <v>0.33267441489284155</v>
      </c>
      <c r="H40" s="207">
        <v>1.7486845799722828</v>
      </c>
      <c r="I40" s="207">
        <v>19.792944843760012</v>
      </c>
      <c r="J40" s="207">
        <v>38.763962099791435</v>
      </c>
      <c r="K40" s="648" t="s">
        <v>132</v>
      </c>
    </row>
    <row r="41" spans="1:11" ht="17.25">
      <c r="A41" s="206" t="s">
        <v>112</v>
      </c>
      <c r="B41" s="204">
        <f t="shared" si="2"/>
        <v>6403.4358210428309</v>
      </c>
      <c r="C41" s="207">
        <v>3966.8648288508871</v>
      </c>
      <c r="D41" s="207">
        <v>2266.4464861366168</v>
      </c>
      <c r="E41" s="207">
        <v>19.838779985367463</v>
      </c>
      <c r="F41" s="615">
        <v>0</v>
      </c>
      <c r="G41" s="207">
        <v>0.22326149621697366</v>
      </c>
      <c r="H41" s="207">
        <v>3.9048583543644195</v>
      </c>
      <c r="I41" s="207">
        <v>25.815978161571021</v>
      </c>
      <c r="J41" s="207">
        <v>120.34162805780694</v>
      </c>
      <c r="K41" s="648" t="s">
        <v>133</v>
      </c>
    </row>
    <row r="42" spans="1:11" ht="17.25">
      <c r="A42" s="206" t="s">
        <v>113</v>
      </c>
      <c r="B42" s="204">
        <f t="shared" si="2"/>
        <v>9626.1921859423455</v>
      </c>
      <c r="C42" s="207">
        <v>5574.1166664270331</v>
      </c>
      <c r="D42" s="207">
        <v>3787.4218298221854</v>
      </c>
      <c r="E42" s="207">
        <v>3.8294521536553763</v>
      </c>
      <c r="F42" s="615">
        <v>0</v>
      </c>
      <c r="G42" s="207">
        <v>0.21291162553141857</v>
      </c>
      <c r="H42" s="207">
        <v>2.337444366684859</v>
      </c>
      <c r="I42" s="207">
        <v>12.183128494557884</v>
      </c>
      <c r="J42" s="207">
        <v>246.09075305269587</v>
      </c>
      <c r="K42" s="648" t="s">
        <v>134</v>
      </c>
    </row>
    <row r="43" spans="1:11" ht="17.25">
      <c r="A43" s="206" t="s">
        <v>114</v>
      </c>
      <c r="B43" s="204">
        <f t="shared" si="2"/>
        <v>8785.0269118440792</v>
      </c>
      <c r="C43" s="207">
        <v>6305.2664550754416</v>
      </c>
      <c r="D43" s="207">
        <v>2360.8632123071193</v>
      </c>
      <c r="E43" s="207">
        <v>8.3362294160325767</v>
      </c>
      <c r="F43" s="615">
        <v>0</v>
      </c>
      <c r="G43" s="207">
        <v>2.3656847281268732E-2</v>
      </c>
      <c r="H43" s="207">
        <v>3.0786429630661094</v>
      </c>
      <c r="I43" s="207">
        <v>1.3806727494530464</v>
      </c>
      <c r="J43" s="207">
        <v>106.07804248568655</v>
      </c>
      <c r="K43" s="648" t="s">
        <v>135</v>
      </c>
    </row>
    <row r="44" spans="1:11" ht="17.25">
      <c r="A44" s="206" t="s">
        <v>115</v>
      </c>
      <c r="B44" s="204">
        <f t="shared" si="2"/>
        <v>12909.522650218742</v>
      </c>
      <c r="C44" s="207">
        <v>9148.5764093926045</v>
      </c>
      <c r="D44" s="207">
        <v>3534.3723276383721</v>
      </c>
      <c r="E44" s="207">
        <v>6.4642335196066814</v>
      </c>
      <c r="F44" s="615">
        <v>0</v>
      </c>
      <c r="G44" s="207">
        <v>1.0926506338035995</v>
      </c>
      <c r="H44" s="207">
        <v>0.8171962182723268</v>
      </c>
      <c r="I44" s="207">
        <v>0.98589911044687439</v>
      </c>
      <c r="J44" s="207">
        <v>217.21393370563783</v>
      </c>
      <c r="K44" s="648" t="s">
        <v>136</v>
      </c>
    </row>
    <row r="45" spans="1:11" ht="17.25">
      <c r="A45" s="206" t="s">
        <v>116</v>
      </c>
      <c r="B45" s="204">
        <f t="shared" si="2"/>
        <v>14183.756064596068</v>
      </c>
      <c r="C45" s="207">
        <v>8306.0498880333944</v>
      </c>
      <c r="D45" s="207">
        <v>5605.7757737155953</v>
      </c>
      <c r="E45" s="207">
        <v>37.279554075010019</v>
      </c>
      <c r="F45" s="615">
        <v>0</v>
      </c>
      <c r="G45" s="207">
        <v>0.14341963664269169</v>
      </c>
      <c r="H45" s="207">
        <v>3.2705591366354025</v>
      </c>
      <c r="I45" s="207">
        <v>5.8175144570549975</v>
      </c>
      <c r="J45" s="207">
        <v>225.41935554173463</v>
      </c>
      <c r="K45" s="648" t="s">
        <v>137</v>
      </c>
    </row>
    <row r="46" spans="1:11" ht="17.25">
      <c r="A46" s="206" t="s">
        <v>117</v>
      </c>
      <c r="B46" s="204">
        <f t="shared" si="2"/>
        <v>11174.435514952173</v>
      </c>
      <c r="C46" s="207">
        <v>7228.0146762631102</v>
      </c>
      <c r="D46" s="207">
        <v>3769.852222219849</v>
      </c>
      <c r="E46" s="207">
        <v>19.602655078441302</v>
      </c>
      <c r="F46" s="615">
        <v>0</v>
      </c>
      <c r="G46" s="207">
        <v>0.18925477825014986</v>
      </c>
      <c r="H46" s="207">
        <v>6.765858322442857</v>
      </c>
      <c r="I46" s="207">
        <v>15.079761588853744</v>
      </c>
      <c r="J46" s="207">
        <v>134.93108670122683</v>
      </c>
      <c r="K46" s="648" t="s">
        <v>138</v>
      </c>
    </row>
    <row r="47" spans="1:11" ht="17.25">
      <c r="A47" s="209" t="s">
        <v>118</v>
      </c>
      <c r="B47" s="210">
        <f t="shared" si="2"/>
        <v>8364.68833817417</v>
      </c>
      <c r="C47" s="211">
        <v>5285.4515724540261</v>
      </c>
      <c r="D47" s="211">
        <v>2914.8473447946271</v>
      </c>
      <c r="E47" s="211">
        <v>7.7964097321331263</v>
      </c>
      <c r="F47" s="616">
        <v>0</v>
      </c>
      <c r="G47" s="211">
        <v>4.2878035697299581E-2</v>
      </c>
      <c r="H47" s="211">
        <v>2.1944682959286905</v>
      </c>
      <c r="I47" s="211">
        <v>19.677174147377301</v>
      </c>
      <c r="J47" s="211">
        <v>134.67849071438113</v>
      </c>
      <c r="K47" s="649" t="s">
        <v>139</v>
      </c>
    </row>
    <row r="48" spans="1:11" ht="17.25">
      <c r="A48" s="24" t="s">
        <v>397</v>
      </c>
      <c r="B48" s="213"/>
      <c r="C48" s="213"/>
      <c r="D48" s="213"/>
      <c r="E48" s="213"/>
      <c r="F48" s="213"/>
      <c r="G48" s="213"/>
      <c r="H48" s="213"/>
      <c r="I48" s="213"/>
      <c r="J48" s="2"/>
      <c r="K48" s="20" t="s">
        <v>389</v>
      </c>
    </row>
  </sheetData>
  <mergeCells count="12">
    <mergeCell ref="A27:K27"/>
    <mergeCell ref="A28:K28"/>
    <mergeCell ref="A29:K29"/>
    <mergeCell ref="A30:K30"/>
    <mergeCell ref="C31:G31"/>
    <mergeCell ref="H31:J31"/>
    <mergeCell ref="A1:K1"/>
    <mergeCell ref="A2:K2"/>
    <mergeCell ref="A3:K3"/>
    <mergeCell ref="A4:K4"/>
    <mergeCell ref="C5:G5"/>
    <mergeCell ref="H5:J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L51"/>
  <sheetViews>
    <sheetView zoomScale="160" zoomScaleNormal="160" workbookViewId="0">
      <selection activeCell="O33" sqref="O33"/>
    </sheetView>
  </sheetViews>
  <sheetFormatPr defaultColWidth="8.85546875" defaultRowHeight="12.75"/>
  <cols>
    <col min="1" max="1" width="24.7109375" style="14" customWidth="1"/>
    <col min="2" max="2" width="0" style="14" hidden="1" customWidth="1"/>
    <col min="3" max="6" width="0" style="252" hidden="1" customWidth="1"/>
    <col min="7" max="7" width="12.7109375" style="252" hidden="1" customWidth="1"/>
    <col min="8" max="8" width="13" style="252" hidden="1" customWidth="1"/>
    <col min="9" max="9" width="13.28515625" style="252" hidden="1" customWidth="1"/>
    <col min="10" max="10" width="13" style="252" hidden="1" customWidth="1"/>
    <col min="11" max="18" width="12.7109375" style="252" customWidth="1"/>
    <col min="19" max="23" width="8.85546875" style="14"/>
    <col min="24" max="24" width="22.28515625" style="14" bestFit="1" customWidth="1"/>
    <col min="25" max="16384" width="8.85546875" style="14"/>
  </cols>
  <sheetData>
    <row r="1" spans="1:38" s="29" customFormat="1" ht="18.75">
      <c r="A1" s="784" t="s">
        <v>448</v>
      </c>
      <c r="B1" s="784"/>
      <c r="C1" s="784"/>
      <c r="D1" s="784"/>
      <c r="E1" s="784"/>
      <c r="F1" s="784"/>
      <c r="G1" s="784"/>
      <c r="H1" s="784"/>
      <c r="I1" s="784"/>
      <c r="J1" s="784"/>
      <c r="K1" s="784"/>
      <c r="L1" s="784"/>
      <c r="M1" s="784"/>
      <c r="N1" s="784"/>
      <c r="O1" s="784"/>
      <c r="P1" s="784"/>
      <c r="Q1" s="784"/>
      <c r="R1" s="704"/>
      <c r="S1" s="1"/>
      <c r="T1" s="1"/>
      <c r="U1" s="1"/>
      <c r="V1" s="1"/>
      <c r="W1" s="1"/>
      <c r="X1" s="1"/>
      <c r="Y1" s="1"/>
      <c r="Z1" s="1"/>
      <c r="AA1" s="1"/>
      <c r="AB1" s="1"/>
      <c r="AC1" s="1"/>
      <c r="AD1" s="1"/>
      <c r="AE1" s="1"/>
      <c r="AF1" s="1"/>
      <c r="AG1" s="1"/>
      <c r="AH1" s="1"/>
      <c r="AI1" s="1"/>
      <c r="AJ1" s="1"/>
      <c r="AK1" s="1"/>
      <c r="AL1" s="1"/>
    </row>
    <row r="2" spans="1:38" s="216" customFormat="1" ht="15.75">
      <c r="A2" s="783" t="s">
        <v>447</v>
      </c>
      <c r="B2" s="783"/>
      <c r="C2" s="783"/>
      <c r="D2" s="783"/>
      <c r="E2" s="783"/>
      <c r="F2" s="783"/>
      <c r="G2" s="783"/>
      <c r="H2" s="783"/>
      <c r="I2" s="783"/>
      <c r="J2" s="783"/>
      <c r="K2" s="783"/>
      <c r="L2" s="783"/>
      <c r="M2" s="783"/>
      <c r="N2" s="783"/>
      <c r="O2" s="783"/>
      <c r="P2" s="783"/>
      <c r="Q2" s="783"/>
      <c r="R2" s="783"/>
      <c r="S2" s="215"/>
      <c r="T2" s="215"/>
      <c r="U2" s="215"/>
      <c r="V2" s="215"/>
      <c r="W2" s="215"/>
      <c r="X2" s="215"/>
      <c r="Y2" s="215"/>
      <c r="Z2" s="215"/>
      <c r="AA2" s="215"/>
      <c r="AB2" s="215"/>
      <c r="AC2" s="215"/>
      <c r="AD2" s="215"/>
      <c r="AE2" s="215"/>
      <c r="AF2" s="215"/>
      <c r="AG2" s="215"/>
      <c r="AH2" s="215"/>
      <c r="AI2" s="215"/>
      <c r="AJ2" s="215"/>
      <c r="AK2" s="215"/>
      <c r="AL2" s="215"/>
    </row>
    <row r="3" spans="1:38" s="30" customFormat="1" ht="15.75">
      <c r="A3" s="794" t="s">
        <v>77</v>
      </c>
      <c r="B3" s="794"/>
      <c r="C3" s="794"/>
      <c r="D3" s="794"/>
      <c r="E3" s="794"/>
      <c r="F3" s="794"/>
      <c r="G3" s="794"/>
      <c r="H3" s="794"/>
      <c r="I3" s="794"/>
      <c r="J3" s="794"/>
      <c r="K3" s="794"/>
      <c r="L3" s="794"/>
      <c r="M3" s="794"/>
      <c r="N3" s="794"/>
      <c r="O3" s="794"/>
      <c r="P3" s="794"/>
      <c r="Q3" s="794"/>
      <c r="R3" s="706"/>
      <c r="S3" s="23"/>
      <c r="T3" s="23"/>
      <c r="U3" s="23"/>
      <c r="V3" s="23"/>
      <c r="W3" s="23"/>
      <c r="X3" s="23"/>
      <c r="Y3" s="23"/>
      <c r="Z3" s="23"/>
      <c r="AA3" s="23"/>
      <c r="AB3" s="23"/>
      <c r="AC3" s="23"/>
      <c r="AD3" s="23"/>
      <c r="AE3" s="23"/>
      <c r="AF3" s="23"/>
      <c r="AG3" s="23"/>
      <c r="AH3" s="23"/>
      <c r="AI3" s="23"/>
      <c r="AJ3" s="23"/>
      <c r="AK3" s="23"/>
      <c r="AL3" s="23"/>
    </row>
    <row r="4" spans="1:38" s="80" customFormat="1">
      <c r="A4" s="217" t="s">
        <v>100</v>
      </c>
      <c r="B4" s="218"/>
      <c r="C4" s="219"/>
      <c r="D4" s="220"/>
      <c r="E4" s="220"/>
      <c r="F4" s="220"/>
      <c r="G4" s="220"/>
      <c r="H4" s="220"/>
      <c r="I4" s="220"/>
      <c r="J4" s="220"/>
      <c r="K4" s="220"/>
      <c r="L4" s="220"/>
      <c r="M4" s="220"/>
      <c r="N4" s="220"/>
      <c r="O4" s="220"/>
      <c r="P4" s="220"/>
      <c r="Q4" s="220"/>
      <c r="R4" s="220"/>
      <c r="S4" s="79"/>
      <c r="T4" s="79"/>
      <c r="U4" s="79"/>
      <c r="V4" s="79"/>
      <c r="W4" s="79"/>
      <c r="X4" s="79"/>
      <c r="Y4" s="79"/>
      <c r="Z4" s="79"/>
      <c r="AA4" s="79"/>
      <c r="AB4" s="79"/>
      <c r="AC4" s="79"/>
      <c r="AD4" s="79"/>
      <c r="AE4" s="79"/>
      <c r="AF4" s="79"/>
      <c r="AG4" s="79"/>
      <c r="AH4" s="79"/>
      <c r="AI4" s="79"/>
      <c r="AJ4" s="79"/>
      <c r="AK4" s="79"/>
      <c r="AL4" s="79"/>
    </row>
    <row r="5" spans="1:38" s="29" customFormat="1">
      <c r="A5" s="221" t="s">
        <v>140</v>
      </c>
      <c r="B5" s="222">
        <v>2001</v>
      </c>
      <c r="C5" s="223">
        <v>2005</v>
      </c>
      <c r="D5" s="223">
        <v>2006</v>
      </c>
      <c r="E5" s="223">
        <v>2007</v>
      </c>
      <c r="F5" s="223">
        <v>2008</v>
      </c>
      <c r="G5" s="223">
        <v>2009</v>
      </c>
      <c r="H5" s="223">
        <v>2010</v>
      </c>
      <c r="I5" s="223">
        <v>2011</v>
      </c>
      <c r="J5" s="223">
        <v>2012</v>
      </c>
      <c r="K5" s="223">
        <v>2013</v>
      </c>
      <c r="L5" s="223">
        <v>2014</v>
      </c>
      <c r="M5" s="223">
        <v>2015</v>
      </c>
      <c r="N5" s="223">
        <v>2016</v>
      </c>
      <c r="O5" s="223">
        <v>2017</v>
      </c>
      <c r="P5" s="223">
        <v>2018</v>
      </c>
      <c r="Q5" s="223">
        <v>2019</v>
      </c>
      <c r="R5" s="223">
        <v>2020</v>
      </c>
      <c r="S5" s="1"/>
      <c r="T5" s="1"/>
      <c r="U5" s="1"/>
      <c r="V5" s="1"/>
      <c r="W5" s="1"/>
      <c r="X5" s="1"/>
      <c r="Y5" s="1"/>
      <c r="Z5" s="1"/>
      <c r="AA5" s="1"/>
      <c r="AB5" s="1"/>
      <c r="AC5" s="1"/>
      <c r="AD5" s="1"/>
      <c r="AE5" s="1"/>
      <c r="AF5" s="1"/>
      <c r="AG5" s="1"/>
      <c r="AH5" s="1"/>
      <c r="AI5" s="1"/>
      <c r="AJ5" s="1"/>
      <c r="AK5" s="1"/>
      <c r="AL5" s="1"/>
    </row>
    <row r="6" spans="1:38" s="30" customFormat="1">
      <c r="A6" s="15" t="s">
        <v>141</v>
      </c>
      <c r="B6" s="224">
        <v>127183.61479999998</v>
      </c>
      <c r="C6" s="225" t="e">
        <f t="shared" ref="C6:I6" si="0">SUM(C7:C12)</f>
        <v>#REF!</v>
      </c>
      <c r="D6" s="225" t="e">
        <f t="shared" si="0"/>
        <v>#REF!</v>
      </c>
      <c r="E6" s="225" t="e">
        <f t="shared" si="0"/>
        <v>#REF!</v>
      </c>
      <c r="F6" s="225" t="e">
        <f t="shared" si="0"/>
        <v>#REF!</v>
      </c>
      <c r="G6" s="225" t="e">
        <f t="shared" si="0"/>
        <v>#REF!</v>
      </c>
      <c r="H6" s="225" t="e">
        <f t="shared" si="0"/>
        <v>#REF!</v>
      </c>
      <c r="I6" s="225" t="e">
        <f t="shared" si="0"/>
        <v>#REF!</v>
      </c>
      <c r="J6" s="226" t="e">
        <f t="shared" ref="J6:P6" si="1">SUM(J7:J12)</f>
        <v>#REF!</v>
      </c>
      <c r="K6" s="225">
        <f>SUM(K7:K12)</f>
        <v>129843.14697257294</v>
      </c>
      <c r="L6" s="225">
        <f t="shared" si="1"/>
        <v>128683.22700000007</v>
      </c>
      <c r="M6" s="225">
        <f t="shared" si="1"/>
        <v>127351.81848143297</v>
      </c>
      <c r="N6" s="225">
        <f t="shared" si="1"/>
        <v>129190.99510655231</v>
      </c>
      <c r="O6" s="225">
        <f t="shared" si="1"/>
        <v>143159.96433162465</v>
      </c>
      <c r="P6" s="225">
        <f t="shared" si="1"/>
        <v>151024.32375223361</v>
      </c>
      <c r="Q6" s="225">
        <f>SUM(Q7:Q12)</f>
        <v>135068.92557018774</v>
      </c>
      <c r="R6" s="225">
        <f>SUM(R7:R12)</f>
        <v>148582.96918261508</v>
      </c>
      <c r="S6" s="23"/>
      <c r="T6" s="23"/>
      <c r="U6" s="23"/>
      <c r="V6" s="23"/>
      <c r="W6" s="23"/>
      <c r="X6" s="23"/>
      <c r="Y6" s="23"/>
      <c r="Z6" s="23"/>
      <c r="AA6" s="23"/>
      <c r="AB6" s="23"/>
      <c r="AC6" s="23"/>
      <c r="AD6" s="23"/>
      <c r="AE6" s="23"/>
      <c r="AF6" s="23"/>
      <c r="AG6" s="23"/>
      <c r="AH6" s="23"/>
      <c r="AI6" s="23"/>
      <c r="AJ6" s="23"/>
      <c r="AK6" s="23"/>
      <c r="AL6" s="23"/>
    </row>
    <row r="7" spans="1:38" s="30" customFormat="1">
      <c r="A7" s="15" t="s">
        <v>125</v>
      </c>
      <c r="B7" s="224">
        <v>88043.980999999985</v>
      </c>
      <c r="C7" s="226" t="e">
        <f>C14+#REF!+#REF!+#REF!+C28+#REF!+#REF!</f>
        <v>#REF!</v>
      </c>
      <c r="D7" s="226" t="e">
        <f>D14+#REF!+#REF!+#REF!+D28+V28+#REF!</f>
        <v>#REF!</v>
      </c>
      <c r="E7" s="226" t="e">
        <f>E14+#REF!+#REF!+#REF!+E28+W28+#REF!</f>
        <v>#REF!</v>
      </c>
      <c r="F7" s="226" t="e">
        <f>F14+#REF!+#REF!+#REF!+F28+X28+#REF!</f>
        <v>#REF!</v>
      </c>
      <c r="G7" s="226" t="e">
        <f>G14+#REF!+#REF!+#REF!+G28+Y28+#REF!</f>
        <v>#REF!</v>
      </c>
      <c r="H7" s="226" t="e">
        <f>H14+#REF!+#REF!+#REF!+H28+Z28+#REF!</f>
        <v>#REF!</v>
      </c>
      <c r="I7" s="226" t="e">
        <f>I14+#REF!+#REF!+#REF!+I28+AA28+#REF!</f>
        <v>#REF!</v>
      </c>
      <c r="J7" s="226" t="e">
        <f>J14+#REF!+#REF!+#REF!+J28+AB28+#REF!</f>
        <v>#REF!</v>
      </c>
      <c r="K7" s="226">
        <f t="shared" ref="K7:P12" si="2">K14+K21+K28</f>
        <v>74421.630037020906</v>
      </c>
      <c r="L7" s="226">
        <f t="shared" si="2"/>
        <v>68521.958485088442</v>
      </c>
      <c r="M7" s="226">
        <f t="shared" si="2"/>
        <v>69244.324399131321</v>
      </c>
      <c r="N7" s="226">
        <f t="shared" si="2"/>
        <v>69589.480938961424</v>
      </c>
      <c r="O7" s="226">
        <f t="shared" si="2"/>
        <v>89683.148024090726</v>
      </c>
      <c r="P7" s="226">
        <f t="shared" si="2"/>
        <v>100099.48690598567</v>
      </c>
      <c r="Q7" s="226">
        <f t="shared" ref="Q7:R12" si="3">Q14+Q21+Q28</f>
        <v>88019.666239199301</v>
      </c>
      <c r="R7" s="226">
        <f t="shared" si="3"/>
        <v>103870.66972179353</v>
      </c>
      <c r="S7" s="227"/>
      <c r="T7" s="227"/>
      <c r="U7" s="227"/>
      <c r="V7" s="23"/>
      <c r="W7" s="23"/>
      <c r="X7" s="23"/>
      <c r="Y7" s="23"/>
      <c r="Z7" s="23"/>
      <c r="AA7" s="23"/>
      <c r="AB7" s="23"/>
      <c r="AC7" s="23"/>
      <c r="AD7" s="23"/>
      <c r="AE7" s="23"/>
      <c r="AF7" s="23"/>
      <c r="AG7" s="23"/>
      <c r="AH7" s="23"/>
      <c r="AI7" s="23"/>
      <c r="AJ7" s="23"/>
      <c r="AK7" s="23"/>
      <c r="AL7" s="23"/>
    </row>
    <row r="8" spans="1:38" s="30" customFormat="1">
      <c r="A8" s="15" t="s">
        <v>92</v>
      </c>
      <c r="B8" s="224">
        <v>15246.67</v>
      </c>
      <c r="C8" s="226" t="e">
        <f>C15+#REF!+#REF!+#REF!+C29+#REF!+#REF!</f>
        <v>#REF!</v>
      </c>
      <c r="D8" s="226" t="e">
        <f>D15+#REF!+#REF!+#REF!+D29+V29+#REF!</f>
        <v>#REF!</v>
      </c>
      <c r="E8" s="226" t="e">
        <f>E15+#REF!+#REF!+#REF!+E29+W29+#REF!</f>
        <v>#REF!</v>
      </c>
      <c r="F8" s="226" t="e">
        <f>F15+#REF!+#REF!+#REF!+F29+X29+#REF!</f>
        <v>#REF!</v>
      </c>
      <c r="G8" s="226" t="e">
        <f>G15+#REF!+#REF!+#REF!+G29+Y29+#REF!</f>
        <v>#REF!</v>
      </c>
      <c r="H8" s="226" t="e">
        <f>H15+#REF!+#REF!+#REF!+H29+Z29+#REF!</f>
        <v>#REF!</v>
      </c>
      <c r="I8" s="226" t="e">
        <f>I15+#REF!+#REF!+#REF!+I29+AA29+#REF!</f>
        <v>#REF!</v>
      </c>
      <c r="J8" s="226" t="e">
        <f>J15+#REF!+#REF!+#REF!+J29+AB29+#REF!</f>
        <v>#REF!</v>
      </c>
      <c r="K8" s="226">
        <f>K15+K22+K29</f>
        <v>45626.057995683717</v>
      </c>
      <c r="L8" s="226">
        <f t="shared" si="2"/>
        <v>49100.552219018806</v>
      </c>
      <c r="M8" s="226">
        <f t="shared" si="2"/>
        <v>51472.456475638181</v>
      </c>
      <c r="N8" s="226">
        <f t="shared" si="2"/>
        <v>53705.451966179055</v>
      </c>
      <c r="O8" s="226">
        <f t="shared" si="2"/>
        <v>49376.811349197844</v>
      </c>
      <c r="P8" s="226">
        <f t="shared" si="2"/>
        <v>47216.695506999946</v>
      </c>
      <c r="Q8" s="226">
        <f t="shared" si="3"/>
        <v>44423.897166028532</v>
      </c>
      <c r="R8" s="226">
        <f t="shared" si="3"/>
        <v>42704.576500856863</v>
      </c>
      <c r="S8" s="227"/>
      <c r="T8" s="227"/>
      <c r="U8" s="227"/>
      <c r="V8" s="23"/>
      <c r="W8" s="23"/>
      <c r="X8" s="23"/>
      <c r="Y8" s="23"/>
      <c r="Z8" s="23"/>
      <c r="AA8" s="23"/>
      <c r="AB8" s="23"/>
      <c r="AC8" s="23"/>
      <c r="AD8" s="23"/>
      <c r="AE8" s="23"/>
      <c r="AF8" s="23"/>
      <c r="AG8" s="23"/>
      <c r="AH8" s="23"/>
      <c r="AI8" s="23"/>
      <c r="AJ8" s="23"/>
      <c r="AK8" s="23"/>
      <c r="AL8" s="23"/>
    </row>
    <row r="9" spans="1:38" s="30" customFormat="1">
      <c r="A9" s="15" t="s">
        <v>16</v>
      </c>
      <c r="B9" s="224"/>
      <c r="C9" s="226"/>
      <c r="D9" s="226"/>
      <c r="E9" s="226"/>
      <c r="F9" s="226"/>
      <c r="G9" s="226" t="e">
        <f>G16+#REF!+#REF!+#REF!+G30+Y30+#REF!</f>
        <v>#REF!</v>
      </c>
      <c r="H9" s="226" t="e">
        <f>H16+#REF!+#REF!+#REF!+H30+Z30+#REF!</f>
        <v>#REF!</v>
      </c>
      <c r="I9" s="226" t="e">
        <f>I16+#REF!+#REF!+#REF!+I30+AA30+#REF!</f>
        <v>#REF!</v>
      </c>
      <c r="J9" s="226" t="e">
        <f>J16+#REF!+#REF!+#REF!+J30+AB30+#REF!</f>
        <v>#REF!</v>
      </c>
      <c r="K9" s="226">
        <f>K16+K23+K30</f>
        <v>1520.3581800000002</v>
      </c>
      <c r="L9" s="226">
        <f t="shared" si="2"/>
        <v>2334.0795325544514</v>
      </c>
      <c r="M9" s="226">
        <f t="shared" si="2"/>
        <v>1828.2678227461424</v>
      </c>
      <c r="N9" s="226">
        <f t="shared" si="2"/>
        <v>2480.0423404201283</v>
      </c>
      <c r="O9" s="226">
        <f t="shared" si="2"/>
        <v>1074.1737564163373</v>
      </c>
      <c r="P9" s="226">
        <f t="shared" si="2"/>
        <v>432.30529269740236</v>
      </c>
      <c r="Q9" s="226">
        <f t="shared" si="3"/>
        <v>395.98115232852712</v>
      </c>
      <c r="R9" s="226">
        <f t="shared" si="3"/>
        <v>212.68961995324838</v>
      </c>
      <c r="S9" s="227"/>
      <c r="T9" s="227"/>
      <c r="U9" s="227"/>
      <c r="V9" s="23"/>
      <c r="W9" s="23"/>
      <c r="X9" s="23"/>
      <c r="Y9" s="23"/>
      <c r="Z9" s="23"/>
      <c r="AA9" s="23"/>
      <c r="AB9" s="23"/>
      <c r="AC9" s="23"/>
      <c r="AD9" s="23"/>
      <c r="AE9" s="23"/>
      <c r="AF9" s="23"/>
      <c r="AG9" s="23"/>
      <c r="AH9" s="23"/>
      <c r="AI9" s="23"/>
      <c r="AJ9" s="23"/>
      <c r="AK9" s="23"/>
      <c r="AL9" s="23"/>
    </row>
    <row r="10" spans="1:38" s="30" customFormat="1">
      <c r="A10" s="228" t="s">
        <v>142</v>
      </c>
      <c r="B10" s="224"/>
      <c r="C10" s="226"/>
      <c r="D10" s="226"/>
      <c r="E10" s="226"/>
      <c r="F10" s="226"/>
      <c r="G10" s="226" t="e">
        <f>G17+#REF!+#REF!+#REF!+G31+Y31+#REF!</f>
        <v>#REF!</v>
      </c>
      <c r="H10" s="226" t="e">
        <f>H17+#REF!+#REF!+#REF!+H31+Z31+#REF!</f>
        <v>#REF!</v>
      </c>
      <c r="I10" s="226" t="e">
        <f>I17+#REF!+#REF!+#REF!+I31+AA31+#REF!</f>
        <v>#REF!</v>
      </c>
      <c r="J10" s="226" t="e">
        <f>J17+#REF!+#REF!+#REF!+J31+AB31+#REF!</f>
        <v>#REF!</v>
      </c>
      <c r="K10" s="226">
        <f>K17+K24+K31</f>
        <v>0</v>
      </c>
      <c r="L10" s="226">
        <f t="shared" si="2"/>
        <v>0</v>
      </c>
      <c r="M10" s="226">
        <f t="shared" si="2"/>
        <v>1.2469999999999999</v>
      </c>
      <c r="N10" s="226">
        <f t="shared" si="2"/>
        <v>15.290000000000001</v>
      </c>
      <c r="O10" s="226">
        <f t="shared" si="2"/>
        <v>3.4710000000000005</v>
      </c>
      <c r="P10" s="226">
        <f t="shared" si="2"/>
        <v>10.569000000000001</v>
      </c>
      <c r="Q10" s="226">
        <f t="shared" si="3"/>
        <v>4.1649999999999991</v>
      </c>
      <c r="R10" s="226">
        <f t="shared" si="3"/>
        <v>0</v>
      </c>
      <c r="S10" s="227"/>
      <c r="T10" s="227"/>
      <c r="U10" s="227"/>
      <c r="V10" s="23"/>
      <c r="W10" s="23"/>
      <c r="X10" s="23"/>
      <c r="Y10" s="23"/>
      <c r="Z10" s="23"/>
      <c r="AA10" s="23"/>
      <c r="AB10" s="23"/>
      <c r="AC10" s="23"/>
      <c r="AD10" s="23"/>
      <c r="AE10" s="23"/>
      <c r="AF10" s="23"/>
      <c r="AG10" s="23"/>
      <c r="AH10" s="23"/>
      <c r="AI10" s="23"/>
      <c r="AJ10" s="23"/>
      <c r="AK10" s="23"/>
      <c r="AL10" s="23"/>
    </row>
    <row r="11" spans="1:38" s="30" customFormat="1">
      <c r="A11" s="15" t="s">
        <v>143</v>
      </c>
      <c r="B11" s="224">
        <v>6777.5630000000001</v>
      </c>
      <c r="C11" s="226" t="e">
        <f>C18+#REF!+#REF!+#REF!+C32+#REF!+#REF!</f>
        <v>#REF!</v>
      </c>
      <c r="D11" s="226" t="e">
        <f>D18+#REF!+#REF!+#REF!+D32+V32+#REF!</f>
        <v>#REF!</v>
      </c>
      <c r="E11" s="226" t="e">
        <f>E18+#REF!+#REF!+#REF!+E32+W32+#REF!</f>
        <v>#REF!</v>
      </c>
      <c r="F11" s="226" t="e">
        <f>F18+#REF!+#REF!+#REF!+F32+X32+#REF!</f>
        <v>#REF!</v>
      </c>
      <c r="G11" s="226" t="e">
        <f>G18+#REF!+#REF!+#REF!+G32+Y32+#REF!</f>
        <v>#REF!</v>
      </c>
      <c r="H11" s="226" t="e">
        <f>H18+#REF!+#REF!+#REF!+H32+Z32+#REF!</f>
        <v>#REF!</v>
      </c>
      <c r="I11" s="226" t="e">
        <f>I18+#REF!+#REF!+#REF!+I32+AA32+#REF!</f>
        <v>#REF!</v>
      </c>
      <c r="J11" s="226" t="e">
        <f>J18+#REF!+#REF!+#REF!+J32+AB32+#REF!</f>
        <v>#REF!</v>
      </c>
      <c r="K11" s="226">
        <f>K18+K25+K32</f>
        <v>1664.0466762930218</v>
      </c>
      <c r="L11" s="226">
        <f t="shared" si="2"/>
        <v>1590.1763812155898</v>
      </c>
      <c r="M11" s="226">
        <f t="shared" si="2"/>
        <v>388.14185000950374</v>
      </c>
      <c r="N11" s="226">
        <f t="shared" si="2"/>
        <v>184.62584430785094</v>
      </c>
      <c r="O11" s="226">
        <f t="shared" si="2"/>
        <v>528.43389924277017</v>
      </c>
      <c r="P11" s="226">
        <f t="shared" si="2"/>
        <v>439.81229963149298</v>
      </c>
      <c r="Q11" s="226">
        <f t="shared" si="3"/>
        <v>181.98295910647892</v>
      </c>
      <c r="R11" s="226">
        <f t="shared" si="3"/>
        <v>98.424318844106836</v>
      </c>
      <c r="S11" s="227"/>
      <c r="T11" s="227"/>
      <c r="U11" s="227"/>
      <c r="V11" s="23"/>
      <c r="W11" s="23"/>
      <c r="X11" s="23"/>
      <c r="Y11" s="23"/>
      <c r="Z11" s="23"/>
      <c r="AA11" s="23"/>
      <c r="AB11" s="23"/>
      <c r="AC11" s="23"/>
      <c r="AD11" s="23"/>
      <c r="AE11" s="23"/>
      <c r="AF11" s="23"/>
      <c r="AG11" s="23"/>
      <c r="AH11" s="23"/>
      <c r="AI11" s="23"/>
      <c r="AJ11" s="23"/>
      <c r="AK11" s="23"/>
      <c r="AL11" s="23"/>
    </row>
    <row r="12" spans="1:38" s="30" customFormat="1">
      <c r="A12" s="229" t="s">
        <v>144</v>
      </c>
      <c r="B12" s="230">
        <v>17115.400799999999</v>
      </c>
      <c r="C12" s="231" t="e">
        <f>C19+#REF!+#REF!+#REF!+C33+#REF!+#REF!</f>
        <v>#REF!</v>
      </c>
      <c r="D12" s="231" t="e">
        <f>D19+#REF!+#REF!+#REF!+D33+V33+#REF!</f>
        <v>#REF!</v>
      </c>
      <c r="E12" s="231" t="e">
        <f>E19+#REF!+#REF!+#REF!+E33+W33+#REF!</f>
        <v>#REF!</v>
      </c>
      <c r="F12" s="231" t="e">
        <f>F19+#REF!+#REF!+#REF!+F33+X33+#REF!</f>
        <v>#REF!</v>
      </c>
      <c r="G12" s="231" t="e">
        <f>G19+#REF!+#REF!+#REF!+G33+Y33+#REF!</f>
        <v>#REF!</v>
      </c>
      <c r="H12" s="231" t="e">
        <f>H19+#REF!+#REF!+#REF!+H33+Z33+#REF!</f>
        <v>#REF!</v>
      </c>
      <c r="I12" s="231" t="e">
        <f>I19+#REF!+#REF!+#REF!+I33+AA33+#REF!</f>
        <v>#REF!</v>
      </c>
      <c r="J12" s="231" t="e">
        <f>J19+#REF!+#REF!+#REF!+J33+AB33+#REF!</f>
        <v>#REF!</v>
      </c>
      <c r="K12" s="231">
        <f>K19+K26+K33</f>
        <v>6611.0540835753118</v>
      </c>
      <c r="L12" s="231">
        <f t="shared" si="2"/>
        <v>7136.4603821227938</v>
      </c>
      <c r="M12" s="231">
        <f t="shared" si="2"/>
        <v>4417.3809339078243</v>
      </c>
      <c r="N12" s="231">
        <f t="shared" si="2"/>
        <v>3216.1040166838497</v>
      </c>
      <c r="O12" s="231">
        <f t="shared" si="2"/>
        <v>2493.9263026769804</v>
      </c>
      <c r="P12" s="231">
        <f t="shared" si="2"/>
        <v>2825.4547469191102</v>
      </c>
      <c r="Q12" s="231">
        <f t="shared" si="3"/>
        <v>2043.233053524893</v>
      </c>
      <c r="R12" s="231">
        <f t="shared" si="3"/>
        <v>1696.6090211673259</v>
      </c>
      <c r="S12" s="227"/>
      <c r="T12" s="227"/>
      <c r="U12" s="227"/>
      <c r="V12" s="23"/>
      <c r="W12" s="23"/>
      <c r="X12" s="23"/>
      <c r="Y12" s="23"/>
      <c r="Z12" s="23"/>
      <c r="AA12" s="23"/>
      <c r="AB12" s="23"/>
      <c r="AC12" s="23"/>
      <c r="AD12" s="23"/>
      <c r="AE12" s="23"/>
      <c r="AF12" s="23"/>
      <c r="AG12" s="23"/>
      <c r="AH12" s="23"/>
      <c r="AI12" s="23"/>
      <c r="AJ12" s="23"/>
      <c r="AK12" s="23"/>
      <c r="AL12" s="23"/>
    </row>
    <row r="13" spans="1:38" s="30" customFormat="1">
      <c r="A13" s="15" t="s">
        <v>145</v>
      </c>
      <c r="B13" s="224">
        <v>123441.52179999999</v>
      </c>
      <c r="C13" s="225" t="e">
        <f>SUM(C7:C12)</f>
        <v>#REF!</v>
      </c>
      <c r="D13" s="225">
        <f t="shared" ref="D13:P13" si="4">SUM(D14:D19)</f>
        <v>179098.81922800001</v>
      </c>
      <c r="E13" s="225">
        <f t="shared" si="4"/>
        <v>138531.81159499998</v>
      </c>
      <c r="F13" s="225">
        <f t="shared" si="4"/>
        <v>123326.2542388</v>
      </c>
      <c r="G13" s="225">
        <f t="shared" si="4"/>
        <v>106772.492109</v>
      </c>
      <c r="H13" s="225">
        <f t="shared" si="4"/>
        <v>109453.65800629825</v>
      </c>
      <c r="I13" s="225">
        <f t="shared" si="4"/>
        <v>114902.46807111595</v>
      </c>
      <c r="J13" s="225">
        <f t="shared" si="4"/>
        <v>116940.02259357934</v>
      </c>
      <c r="K13" s="225">
        <f t="shared" si="4"/>
        <v>127749.7519243329</v>
      </c>
      <c r="L13" s="225">
        <f t="shared" si="4"/>
        <v>125719.12905590361</v>
      </c>
      <c r="M13" s="225">
        <f t="shared" si="4"/>
        <v>126033.20197139472</v>
      </c>
      <c r="N13" s="225">
        <f t="shared" si="4"/>
        <v>126998.75543939034</v>
      </c>
      <c r="O13" s="225">
        <f t="shared" si="4"/>
        <v>140592.52760031726</v>
      </c>
      <c r="P13" s="225">
        <f t="shared" si="4"/>
        <v>149483.07983864215</v>
      </c>
      <c r="Q13" s="225">
        <f>SUM(Q14:Q19)</f>
        <v>134369.24852018774</v>
      </c>
      <c r="R13" s="225">
        <f>SUM(R14:R19)</f>
        <v>148465.82010228059</v>
      </c>
      <c r="S13" s="23"/>
      <c r="T13" s="23"/>
      <c r="U13" s="23"/>
      <c r="V13" s="23"/>
      <c r="W13" s="23"/>
      <c r="X13" s="23"/>
      <c r="Y13" s="23"/>
      <c r="Z13" s="23"/>
      <c r="AA13" s="23"/>
      <c r="AB13" s="23"/>
      <c r="AC13" s="23"/>
      <c r="AD13" s="23"/>
      <c r="AE13" s="23"/>
      <c r="AF13" s="23"/>
      <c r="AG13" s="23"/>
      <c r="AH13" s="23"/>
      <c r="AI13" s="23"/>
      <c r="AJ13" s="23"/>
      <c r="AK13" s="23"/>
      <c r="AL13" s="23"/>
    </row>
    <row r="14" spans="1:38" s="30" customFormat="1">
      <c r="A14" s="10" t="s">
        <v>125</v>
      </c>
      <c r="B14" s="232">
        <v>87847.14</v>
      </c>
      <c r="C14" s="233">
        <v>131059.01283817913</v>
      </c>
      <c r="D14" s="233">
        <v>137538.1894</v>
      </c>
      <c r="E14" s="233">
        <v>95867.160529999994</v>
      </c>
      <c r="F14" s="234">
        <v>81988.624779999998</v>
      </c>
      <c r="G14" s="234">
        <v>59828.945319999999</v>
      </c>
      <c r="H14" s="234">
        <v>68277.277675476245</v>
      </c>
      <c r="I14" s="234">
        <v>54422.884471610952</v>
      </c>
      <c r="J14" s="234">
        <v>51815.356512558494</v>
      </c>
      <c r="K14" s="234">
        <v>74320.951139064913</v>
      </c>
      <c r="L14" s="234">
        <v>68264.06166711259</v>
      </c>
      <c r="M14" s="234">
        <v>68993.039348680875</v>
      </c>
      <c r="N14" s="234">
        <v>69296.858985614817</v>
      </c>
      <c r="O14" s="234">
        <v>89674.12634652984</v>
      </c>
      <c r="P14" s="234">
        <v>99948.05043073585</v>
      </c>
      <c r="Q14" s="234">
        <v>88018.208239199303</v>
      </c>
      <c r="R14" s="234">
        <v>103788.1665485936</v>
      </c>
      <c r="S14" s="23"/>
      <c r="T14" s="23"/>
      <c r="U14" s="23"/>
      <c r="V14" s="23"/>
      <c r="W14" s="23"/>
      <c r="X14" s="23"/>
      <c r="Y14" s="23"/>
      <c r="Z14" s="23"/>
      <c r="AA14" s="23"/>
      <c r="AB14" s="23"/>
      <c r="AC14" s="23"/>
      <c r="AD14" s="23"/>
      <c r="AE14" s="23"/>
      <c r="AF14" s="23"/>
      <c r="AG14" s="23"/>
      <c r="AH14" s="23"/>
      <c r="AI14" s="23"/>
      <c r="AJ14" s="23"/>
      <c r="AK14" s="23"/>
      <c r="AL14" s="23"/>
    </row>
    <row r="15" spans="1:38" s="30" customFormat="1">
      <c r="A15" s="10" t="s">
        <v>92</v>
      </c>
      <c r="B15" s="232">
        <v>14539.53</v>
      </c>
      <c r="C15" s="233">
        <v>21460.484190571817</v>
      </c>
      <c r="D15" s="233">
        <v>19627.635699999999</v>
      </c>
      <c r="E15" s="233">
        <v>21449.080109999999</v>
      </c>
      <c r="F15" s="234">
        <v>21301.63421</v>
      </c>
      <c r="G15" s="234">
        <v>18860.525280000002</v>
      </c>
      <c r="H15" s="234">
        <v>16212.205000281998</v>
      </c>
      <c r="I15" s="234">
        <v>33476.492815308986</v>
      </c>
      <c r="J15" s="234">
        <v>44130.616418938866</v>
      </c>
      <c r="K15" s="234">
        <v>45098.605516431489</v>
      </c>
      <c r="L15" s="234">
        <v>48392.262881971219</v>
      </c>
      <c r="M15" s="234">
        <v>50839.521094786913</v>
      </c>
      <c r="N15" s="234">
        <v>52923.722126591507</v>
      </c>
      <c r="O15" s="234">
        <v>48084.267819922592</v>
      </c>
      <c r="P15" s="234">
        <v>46558.076742999947</v>
      </c>
      <c r="Q15" s="234">
        <v>43944.683666028533</v>
      </c>
      <c r="R15" s="234">
        <v>42670.296822357966</v>
      </c>
      <c r="S15" s="23"/>
      <c r="T15" s="23"/>
      <c r="U15" s="23"/>
      <c r="V15" s="23"/>
      <c r="W15" s="23"/>
      <c r="X15" s="15"/>
      <c r="Y15" s="23"/>
      <c r="Z15" s="23"/>
      <c r="AA15" s="23"/>
      <c r="AB15" s="15"/>
      <c r="AC15" s="225"/>
      <c r="AD15" s="235"/>
      <c r="AE15" s="23"/>
      <c r="AF15" s="23"/>
      <c r="AG15" s="23"/>
      <c r="AH15" s="23"/>
      <c r="AI15" s="23"/>
      <c r="AJ15" s="23"/>
      <c r="AK15" s="23"/>
      <c r="AL15" s="23"/>
    </row>
    <row r="16" spans="1:38" s="30" customFormat="1">
      <c r="A16" s="10" t="s">
        <v>16</v>
      </c>
      <c r="B16" s="232"/>
      <c r="C16" s="233"/>
      <c r="D16" s="233"/>
      <c r="E16" s="233"/>
      <c r="F16" s="234"/>
      <c r="G16" s="234">
        <v>0</v>
      </c>
      <c r="H16" s="234">
        <v>0</v>
      </c>
      <c r="I16" s="234">
        <v>0</v>
      </c>
      <c r="J16" s="234">
        <v>0</v>
      </c>
      <c r="K16" s="234">
        <v>461.89524</v>
      </c>
      <c r="L16" s="234">
        <v>832.08553255445054</v>
      </c>
      <c r="M16" s="234">
        <v>1597.0517227461426</v>
      </c>
      <c r="N16" s="234">
        <v>1850.7364661923034</v>
      </c>
      <c r="O16" s="234">
        <v>382.19979641633751</v>
      </c>
      <c r="P16" s="234">
        <v>267.71670285126027</v>
      </c>
      <c r="Q16" s="234">
        <v>312.38460232852714</v>
      </c>
      <c r="R16" s="234">
        <v>212.323391317589</v>
      </c>
      <c r="S16" s="23"/>
      <c r="T16" s="23"/>
      <c r="U16" s="23"/>
      <c r="V16" s="23"/>
      <c r="W16" s="23"/>
      <c r="X16" s="15"/>
      <c r="Y16" s="23"/>
      <c r="Z16" s="23"/>
      <c r="AA16" s="23"/>
      <c r="AB16" s="15"/>
      <c r="AC16" s="225"/>
      <c r="AD16" s="235"/>
      <c r="AE16" s="23"/>
      <c r="AF16" s="23"/>
      <c r="AG16" s="23"/>
      <c r="AH16" s="23"/>
      <c r="AI16" s="23"/>
      <c r="AJ16" s="23"/>
      <c r="AK16" s="23"/>
      <c r="AL16" s="23"/>
    </row>
    <row r="17" spans="1:38" s="30" customFormat="1">
      <c r="A17" s="237" t="s">
        <v>142</v>
      </c>
      <c r="B17" s="232"/>
      <c r="C17" s="233"/>
      <c r="D17" s="233"/>
      <c r="E17" s="233"/>
      <c r="F17" s="234"/>
      <c r="G17" s="234">
        <v>0</v>
      </c>
      <c r="H17" s="234">
        <v>0</v>
      </c>
      <c r="I17" s="234">
        <v>0</v>
      </c>
      <c r="J17" s="234">
        <v>0</v>
      </c>
      <c r="K17" s="234">
        <v>0</v>
      </c>
      <c r="L17" s="234">
        <v>0</v>
      </c>
      <c r="M17" s="234">
        <v>0</v>
      </c>
      <c r="N17" s="234">
        <v>0</v>
      </c>
      <c r="O17" s="234">
        <v>0</v>
      </c>
      <c r="P17" s="234">
        <v>0</v>
      </c>
      <c r="Q17" s="234">
        <v>0</v>
      </c>
      <c r="R17" s="234">
        <v>0</v>
      </c>
      <c r="S17" s="23"/>
      <c r="T17" s="23"/>
      <c r="U17" s="23"/>
      <c r="V17" s="23"/>
      <c r="W17" s="23"/>
      <c r="X17" s="15"/>
      <c r="Y17" s="23"/>
      <c r="Z17" s="23"/>
      <c r="AA17" s="23"/>
      <c r="AB17" s="15"/>
      <c r="AC17" s="225"/>
      <c r="AD17" s="235"/>
      <c r="AE17" s="23"/>
      <c r="AF17" s="23"/>
      <c r="AG17" s="23"/>
      <c r="AH17" s="23"/>
      <c r="AI17" s="23"/>
      <c r="AJ17" s="23"/>
      <c r="AK17" s="23"/>
      <c r="AL17" s="23"/>
    </row>
    <row r="18" spans="1:38" s="30" customFormat="1">
      <c r="A18" s="10" t="s">
        <v>143</v>
      </c>
      <c r="B18" s="232">
        <v>6485.2039999999997</v>
      </c>
      <c r="C18" s="233">
        <v>8093.4694342817056</v>
      </c>
      <c r="D18" s="233">
        <v>5580.3521579999997</v>
      </c>
      <c r="E18" s="233">
        <v>6842.8306849999999</v>
      </c>
      <c r="F18" s="234">
        <v>6333.590475</v>
      </c>
      <c r="G18" s="234">
        <v>8375.7986290000008</v>
      </c>
      <c r="H18" s="234">
        <v>6891.0496869969984</v>
      </c>
      <c r="I18" s="234">
        <v>4864.9074575819986</v>
      </c>
      <c r="J18" s="234">
        <v>2458.4200803633976</v>
      </c>
      <c r="K18" s="234">
        <v>1633.567275997812</v>
      </c>
      <c r="L18" s="234">
        <v>1578.9184695880226</v>
      </c>
      <c r="M18" s="234">
        <v>382.14671124456078</v>
      </c>
      <c r="N18" s="234">
        <v>184.62584430785094</v>
      </c>
      <c r="O18" s="234">
        <v>528.43389924277017</v>
      </c>
      <c r="P18" s="234">
        <v>420.82297649699524</v>
      </c>
      <c r="Q18" s="234">
        <v>181.98295910647892</v>
      </c>
      <c r="R18" s="234">
        <v>98.424318844106836</v>
      </c>
      <c r="S18" s="23"/>
      <c r="T18" s="23"/>
      <c r="U18" s="23"/>
      <c r="V18" s="23"/>
      <c r="W18" s="23"/>
      <c r="X18" s="15"/>
      <c r="Y18" s="23"/>
      <c r="Z18" s="23"/>
      <c r="AA18" s="23"/>
      <c r="AB18" s="15"/>
      <c r="AC18" s="225"/>
      <c r="AD18" s="235"/>
      <c r="AE18" s="23"/>
      <c r="AF18" s="23"/>
      <c r="AG18" s="23"/>
      <c r="AH18" s="23"/>
      <c r="AI18" s="23"/>
      <c r="AJ18" s="23"/>
      <c r="AK18" s="23"/>
      <c r="AL18" s="23"/>
    </row>
    <row r="19" spans="1:38" s="30" customFormat="1">
      <c r="A19" s="238" t="s">
        <v>144</v>
      </c>
      <c r="B19" s="239">
        <v>14569.647799999999</v>
      </c>
      <c r="C19" s="240">
        <v>19358.525576055014</v>
      </c>
      <c r="D19" s="240">
        <v>16352.641970000001</v>
      </c>
      <c r="E19" s="240">
        <v>14372.74027</v>
      </c>
      <c r="F19" s="241">
        <v>13702.404773800001</v>
      </c>
      <c r="G19" s="241">
        <v>19707.222880000001</v>
      </c>
      <c r="H19" s="241">
        <v>18073.125643543015</v>
      </c>
      <c r="I19" s="241">
        <v>22138.183326613998</v>
      </c>
      <c r="J19" s="241">
        <v>18535.629581718593</v>
      </c>
      <c r="K19" s="241">
        <v>6234.7327528386877</v>
      </c>
      <c r="L19" s="241">
        <v>6651.8005046773324</v>
      </c>
      <c r="M19" s="241">
        <v>4221.4430939362337</v>
      </c>
      <c r="N19" s="241">
        <v>2742.8120166838498</v>
      </c>
      <c r="O19" s="241">
        <v>1923.4997382057331</v>
      </c>
      <c r="P19" s="241">
        <v>2288.4129855580886</v>
      </c>
      <c r="Q19" s="241">
        <v>1911.9890535248931</v>
      </c>
      <c r="R19" s="241">
        <v>1696.6090211673259</v>
      </c>
      <c r="S19" s="23"/>
      <c r="T19" s="23"/>
      <c r="U19" s="23"/>
      <c r="V19" s="23"/>
      <c r="W19" s="23"/>
      <c r="X19" s="15"/>
      <c r="Y19" s="23"/>
      <c r="Z19" s="23"/>
      <c r="AA19" s="23"/>
      <c r="AB19" s="15"/>
      <c r="AC19" s="225"/>
      <c r="AD19" s="235"/>
      <c r="AE19" s="23"/>
      <c r="AF19" s="23"/>
      <c r="AG19" s="23"/>
      <c r="AH19" s="23"/>
      <c r="AI19" s="23"/>
      <c r="AJ19" s="23"/>
      <c r="AK19" s="23"/>
      <c r="AL19" s="23"/>
    </row>
    <row r="20" spans="1:38" s="30" customFormat="1">
      <c r="A20" s="15" t="s">
        <v>146</v>
      </c>
      <c r="B20" s="224">
        <v>429.96600000000001</v>
      </c>
      <c r="C20" s="225">
        <f>SUM(C21:C26)</f>
        <v>58.925099017143246</v>
      </c>
      <c r="D20" s="225">
        <f t="shared" ref="D20:P20" si="5">SUM(D21:D26)</f>
        <v>69.595798700000003</v>
      </c>
      <c r="E20" s="225">
        <f t="shared" si="5"/>
        <v>231.71674548999999</v>
      </c>
      <c r="F20" s="225">
        <f t="shared" si="5"/>
        <v>5911.7731307599997</v>
      </c>
      <c r="G20" s="225">
        <f t="shared" si="5"/>
        <v>7132.3696824999997</v>
      </c>
      <c r="H20" s="225">
        <f t="shared" si="5"/>
        <v>5020.7373510580001</v>
      </c>
      <c r="I20" s="225">
        <f t="shared" si="5"/>
        <v>2404.4193284139997</v>
      </c>
      <c r="J20" s="225">
        <f t="shared" si="5"/>
        <v>1005.9614987606687</v>
      </c>
      <c r="K20" s="225">
        <f t="shared" si="5"/>
        <v>492.97239824004771</v>
      </c>
      <c r="L20" s="225">
        <f t="shared" si="5"/>
        <v>840.85994409647162</v>
      </c>
      <c r="M20" s="225">
        <f t="shared" si="5"/>
        <v>834.73882003824372</v>
      </c>
      <c r="N20" s="225">
        <f t="shared" si="5"/>
        <v>350.24466716197429</v>
      </c>
      <c r="O20" s="225">
        <f t="shared" si="5"/>
        <v>31.751651307386688</v>
      </c>
      <c r="P20" s="225">
        <f t="shared" si="5"/>
        <v>195.73893359147394</v>
      </c>
      <c r="Q20" s="225">
        <f>SUM(Q21:Q26)</f>
        <v>0</v>
      </c>
      <c r="R20" s="225">
        <f>SUM(R21:R26)</f>
        <v>117.14908033448833</v>
      </c>
      <c r="S20" s="23"/>
      <c r="T20" s="23"/>
      <c r="U20" s="23"/>
      <c r="V20" s="23"/>
      <c r="W20" s="23"/>
      <c r="X20" s="15"/>
      <c r="Y20" s="23"/>
      <c r="Z20" s="23"/>
      <c r="AA20" s="23"/>
      <c r="AB20" s="15"/>
      <c r="AC20" s="225"/>
      <c r="AD20" s="235"/>
      <c r="AE20" s="23"/>
      <c r="AF20" s="23"/>
      <c r="AG20" s="23"/>
      <c r="AH20" s="23"/>
      <c r="AI20" s="23"/>
      <c r="AJ20" s="23"/>
      <c r="AK20" s="23"/>
      <c r="AL20" s="23"/>
    </row>
    <row r="21" spans="1:38" s="30" customFormat="1">
      <c r="A21" s="10" t="s">
        <v>125</v>
      </c>
      <c r="B21" s="232">
        <v>157.41200000000001</v>
      </c>
      <c r="C21" s="233">
        <v>28.089599071979521</v>
      </c>
      <c r="D21" s="233">
        <v>31.27739871</v>
      </c>
      <c r="E21" s="233">
        <v>174.49349509999999</v>
      </c>
      <c r="F21" s="234">
        <v>4254.2962399999997</v>
      </c>
      <c r="G21" s="234">
        <v>5966.0160379999998</v>
      </c>
      <c r="H21" s="234">
        <v>4546.45069642</v>
      </c>
      <c r="I21" s="234">
        <v>1956.0335058009998</v>
      </c>
      <c r="J21" s="234">
        <v>905.66866325578246</v>
      </c>
      <c r="K21" s="234">
        <v>74.834397955989857</v>
      </c>
      <c r="L21" s="234">
        <v>257.56381797585459</v>
      </c>
      <c r="M21" s="234">
        <v>250.95905045044441</v>
      </c>
      <c r="N21" s="234">
        <v>290.20995334660569</v>
      </c>
      <c r="O21" s="234">
        <v>7.8696775608898752</v>
      </c>
      <c r="P21" s="234">
        <v>147.77947524981249</v>
      </c>
      <c r="Q21" s="234">
        <v>0</v>
      </c>
      <c r="R21" s="234">
        <v>82.503173199933457</v>
      </c>
      <c r="S21" s="23"/>
      <c r="T21" s="23"/>
      <c r="U21" s="23"/>
      <c r="V21" s="23"/>
      <c r="W21" s="23"/>
      <c r="X21" s="15"/>
      <c r="Y21" s="23"/>
      <c r="Z21" s="23"/>
      <c r="AA21" s="23"/>
      <c r="AB21" s="15"/>
      <c r="AC21" s="225"/>
      <c r="AD21" s="235"/>
      <c r="AE21" s="23"/>
      <c r="AF21" s="23"/>
      <c r="AG21" s="23"/>
      <c r="AH21" s="23"/>
      <c r="AI21" s="23"/>
      <c r="AJ21" s="23"/>
      <c r="AK21" s="23"/>
      <c r="AL21" s="23"/>
    </row>
    <row r="22" spans="1:38" s="30" customFormat="1">
      <c r="A22" s="10" t="s">
        <v>92</v>
      </c>
      <c r="B22" s="232">
        <v>24.353000000000002</v>
      </c>
      <c r="C22" s="233">
        <v>8.6059995746612543</v>
      </c>
      <c r="D22" s="233">
        <v>13.64219952</v>
      </c>
      <c r="E22" s="233">
        <v>20.61539952</v>
      </c>
      <c r="F22" s="234">
        <v>1286.2701850000001</v>
      </c>
      <c r="G22" s="234">
        <v>657.33698560000005</v>
      </c>
      <c r="H22" s="234">
        <v>279.00243961700028</v>
      </c>
      <c r="I22" s="234">
        <v>393.20454459599989</v>
      </c>
      <c r="J22" s="234">
        <v>85.784520867374269</v>
      </c>
      <c r="K22" s="234">
        <v>283.11389925222397</v>
      </c>
      <c r="L22" s="234">
        <v>515.8723370475883</v>
      </c>
      <c r="M22" s="234">
        <v>520.86879085126566</v>
      </c>
      <c r="N22" s="234">
        <v>54.944839587543285</v>
      </c>
      <c r="O22" s="234">
        <v>23.359729275249677</v>
      </c>
      <c r="P22" s="234">
        <v>24.767424000000002</v>
      </c>
      <c r="Q22" s="234">
        <v>0</v>
      </c>
      <c r="R22" s="234">
        <v>34.279678498895493</v>
      </c>
      <c r="S22" s="23"/>
      <c r="T22" s="23"/>
      <c r="U22" s="23"/>
      <c r="V22" s="23"/>
      <c r="W22" s="23"/>
      <c r="X22" s="15"/>
      <c r="Y22" s="23"/>
      <c r="Z22" s="23"/>
      <c r="AA22" s="23"/>
      <c r="AB22" s="15"/>
      <c r="AC22" s="225"/>
      <c r="AD22" s="235"/>
      <c r="AE22" s="23"/>
      <c r="AF22" s="23"/>
      <c r="AG22" s="23"/>
      <c r="AH22" s="23"/>
      <c r="AI22" s="23"/>
      <c r="AJ22" s="23"/>
      <c r="AK22" s="23"/>
      <c r="AL22" s="23"/>
    </row>
    <row r="23" spans="1:38" s="30" customFormat="1">
      <c r="A23" s="10" t="s">
        <v>16</v>
      </c>
      <c r="B23" s="232"/>
      <c r="C23" s="233"/>
      <c r="D23" s="233"/>
      <c r="E23" s="233"/>
      <c r="F23" s="234"/>
      <c r="G23" s="234">
        <v>0</v>
      </c>
      <c r="H23" s="234">
        <v>0</v>
      </c>
      <c r="I23" s="234">
        <v>0</v>
      </c>
      <c r="J23" s="234">
        <v>0</v>
      </c>
      <c r="K23" s="234">
        <v>0</v>
      </c>
      <c r="L23" s="234">
        <v>0</v>
      </c>
      <c r="M23" s="234">
        <v>0</v>
      </c>
      <c r="N23" s="234">
        <v>5.089874227825316</v>
      </c>
      <c r="O23" s="234">
        <v>0</v>
      </c>
      <c r="P23" s="234">
        <v>0.64744984614212131</v>
      </c>
      <c r="Q23" s="234">
        <v>0</v>
      </c>
      <c r="R23" s="234">
        <v>0.36622863565938402</v>
      </c>
      <c r="S23" s="23"/>
      <c r="T23" s="23"/>
      <c r="U23" s="23"/>
      <c r="V23" s="23"/>
      <c r="W23" s="23"/>
      <c r="X23" s="15"/>
      <c r="Y23" s="23"/>
      <c r="Z23" s="23"/>
      <c r="AA23" s="23"/>
      <c r="AB23" s="15"/>
      <c r="AC23" s="225"/>
      <c r="AD23" s="235"/>
      <c r="AE23" s="23"/>
      <c r="AF23" s="23"/>
      <c r="AG23" s="23"/>
      <c r="AH23" s="23"/>
      <c r="AI23" s="23"/>
      <c r="AJ23" s="23"/>
      <c r="AK23" s="23"/>
      <c r="AL23" s="23"/>
    </row>
    <row r="24" spans="1:38" s="30" customFormat="1">
      <c r="A24" s="237" t="s">
        <v>142</v>
      </c>
      <c r="B24" s="232"/>
      <c r="C24" s="233"/>
      <c r="D24" s="233"/>
      <c r="E24" s="233"/>
      <c r="F24" s="234"/>
      <c r="G24" s="234">
        <v>0</v>
      </c>
      <c r="H24" s="234">
        <v>0</v>
      </c>
      <c r="I24" s="234">
        <v>0</v>
      </c>
      <c r="J24" s="234">
        <v>0</v>
      </c>
      <c r="K24" s="234">
        <v>0</v>
      </c>
      <c r="L24" s="234">
        <v>0</v>
      </c>
      <c r="M24" s="234">
        <v>0</v>
      </c>
      <c r="N24" s="234">
        <v>0</v>
      </c>
      <c r="O24" s="234">
        <v>0</v>
      </c>
      <c r="P24" s="234">
        <v>0</v>
      </c>
      <c r="Q24" s="234">
        <v>0</v>
      </c>
      <c r="R24" s="234">
        <v>0</v>
      </c>
      <c r="S24" s="23"/>
      <c r="T24" s="23"/>
      <c r="U24" s="23"/>
      <c r="V24" s="23"/>
      <c r="W24" s="23"/>
      <c r="X24" s="15"/>
      <c r="Y24" s="23"/>
      <c r="Z24" s="23"/>
      <c r="AA24" s="23"/>
      <c r="AB24" s="15"/>
      <c r="AC24" s="225"/>
      <c r="AD24" s="235"/>
      <c r="AE24" s="23"/>
      <c r="AF24" s="23"/>
      <c r="AG24" s="23"/>
      <c r="AH24" s="23"/>
      <c r="AI24" s="23"/>
      <c r="AJ24" s="23"/>
      <c r="AK24" s="23"/>
      <c r="AL24" s="23"/>
    </row>
    <row r="25" spans="1:38" s="30" customFormat="1">
      <c r="A25" s="10" t="s">
        <v>143</v>
      </c>
      <c r="B25" s="232">
        <v>89.188999999999993</v>
      </c>
      <c r="C25" s="233">
        <v>14.053500182628632</v>
      </c>
      <c r="D25" s="233">
        <v>10.215200210000001</v>
      </c>
      <c r="E25" s="233">
        <v>23.694000679999998</v>
      </c>
      <c r="F25" s="234">
        <v>156.36760495999999</v>
      </c>
      <c r="G25" s="234">
        <v>237.0726071</v>
      </c>
      <c r="H25" s="234">
        <v>84.076735112000009</v>
      </c>
      <c r="I25" s="234">
        <v>15.668938939</v>
      </c>
      <c r="J25" s="234">
        <v>1.793792020538612</v>
      </c>
      <c r="K25" s="234">
        <v>28.987400295209881</v>
      </c>
      <c r="L25" s="234">
        <v>11.257911627567223</v>
      </c>
      <c r="M25" s="234">
        <v>5.9951387649429648</v>
      </c>
      <c r="N25" s="234">
        <v>0</v>
      </c>
      <c r="O25" s="234">
        <v>0</v>
      </c>
      <c r="P25" s="234">
        <v>18.989323134497742</v>
      </c>
      <c r="Q25" s="234">
        <v>0</v>
      </c>
      <c r="R25" s="234">
        <v>0</v>
      </c>
      <c r="S25" s="23"/>
      <c r="T25" s="23"/>
      <c r="U25" s="23"/>
      <c r="V25" s="23"/>
      <c r="W25" s="23"/>
      <c r="X25" s="15"/>
      <c r="Y25" s="23"/>
      <c r="Z25" s="23"/>
      <c r="AA25" s="23"/>
      <c r="AB25" s="15"/>
      <c r="AC25" s="225"/>
      <c r="AD25" s="235"/>
      <c r="AE25" s="23"/>
      <c r="AF25" s="23"/>
      <c r="AG25" s="23"/>
      <c r="AH25" s="23"/>
      <c r="AI25" s="23"/>
      <c r="AJ25" s="23"/>
      <c r="AK25" s="23"/>
      <c r="AL25" s="23"/>
    </row>
    <row r="26" spans="1:38" s="30" customFormat="1">
      <c r="A26" s="238" t="s">
        <v>144</v>
      </c>
      <c r="B26" s="239">
        <v>159.012</v>
      </c>
      <c r="C26" s="240">
        <v>8.1760001878738393</v>
      </c>
      <c r="D26" s="240">
        <v>14.46100026</v>
      </c>
      <c r="E26" s="240">
        <v>12.91385019</v>
      </c>
      <c r="F26" s="241">
        <v>214.83910080000001</v>
      </c>
      <c r="G26" s="241">
        <v>271.94405180000001</v>
      </c>
      <c r="H26" s="241">
        <v>111.207479909</v>
      </c>
      <c r="I26" s="241">
        <v>39.512339077999989</v>
      </c>
      <c r="J26" s="241">
        <v>12.714522616973507</v>
      </c>
      <c r="K26" s="241">
        <v>106.03670073662398</v>
      </c>
      <c r="L26" s="241">
        <v>56.165877445461554</v>
      </c>
      <c r="M26" s="241">
        <v>56.915839971590572</v>
      </c>
      <c r="N26" s="241">
        <v>0</v>
      </c>
      <c r="O26" s="241">
        <v>0.5222444712471328</v>
      </c>
      <c r="P26" s="241">
        <v>3.5552613610215893</v>
      </c>
      <c r="Q26" s="241">
        <v>0</v>
      </c>
      <c r="R26" s="241">
        <v>0</v>
      </c>
      <c r="S26" s="23"/>
      <c r="T26" s="23"/>
      <c r="U26" s="23"/>
      <c r="V26" s="23"/>
      <c r="W26" s="23"/>
      <c r="X26" s="15"/>
      <c r="Y26" s="23"/>
      <c r="Z26" s="23"/>
      <c r="AA26" s="23"/>
      <c r="AB26" s="15"/>
      <c r="AC26" s="225"/>
      <c r="AD26" s="235"/>
      <c r="AE26" s="23"/>
      <c r="AF26" s="23"/>
      <c r="AG26" s="23"/>
      <c r="AH26" s="23"/>
      <c r="AI26" s="23"/>
      <c r="AJ26" s="23"/>
      <c r="AK26" s="23"/>
      <c r="AL26" s="23"/>
    </row>
    <row r="27" spans="1:38" s="30" customFormat="1">
      <c r="A27" s="242" t="s">
        <v>148</v>
      </c>
      <c r="B27" s="224">
        <v>2212.69</v>
      </c>
      <c r="C27" s="225">
        <f t="shared" ref="C27:N27" si="6">SUM(C28:C33)</f>
        <v>3011.2780008999998</v>
      </c>
      <c r="D27" s="225">
        <f t="shared" si="6"/>
        <v>3177.06800204</v>
      </c>
      <c r="E27" s="225">
        <f t="shared" si="6"/>
        <v>3047.8236006000002</v>
      </c>
      <c r="F27" s="225">
        <f t="shared" si="6"/>
        <v>1349.825001405</v>
      </c>
      <c r="G27" s="225">
        <f t="shared" si="6"/>
        <v>1337.8850005019999</v>
      </c>
      <c r="H27" s="225">
        <f t="shared" si="6"/>
        <v>0</v>
      </c>
      <c r="I27" s="225">
        <f t="shared" si="6"/>
        <v>0</v>
      </c>
      <c r="J27" s="225">
        <f t="shared" si="6"/>
        <v>134.74387105900715</v>
      </c>
      <c r="K27" s="225">
        <f t="shared" si="6"/>
        <v>1600.4226500000002</v>
      </c>
      <c r="L27" s="225">
        <f t="shared" si="6"/>
        <v>2123.2380000000007</v>
      </c>
      <c r="M27" s="225">
        <f t="shared" si="6"/>
        <v>483.87768999999992</v>
      </c>
      <c r="N27" s="225">
        <f t="shared" si="6"/>
        <v>1841.9949999999999</v>
      </c>
      <c r="O27" s="225">
        <f>SUM(O28:O33)</f>
        <v>2535.6850800000002</v>
      </c>
      <c r="P27" s="225">
        <f>SUM(P28:P33)</f>
        <v>1345.5049800000002</v>
      </c>
      <c r="Q27" s="225">
        <f>SUM(Q28:Q33)</f>
        <v>699.67705000000001</v>
      </c>
      <c r="R27" s="225">
        <f>SUM(R28:R33)</f>
        <v>0</v>
      </c>
      <c r="S27" s="23"/>
      <c r="T27" s="23"/>
      <c r="U27" s="23"/>
      <c r="V27" s="23"/>
      <c r="W27" s="23"/>
      <c r="X27" s="23"/>
      <c r="Y27" s="23"/>
      <c r="Z27" s="23"/>
      <c r="AA27" s="23"/>
      <c r="AB27" s="23"/>
      <c r="AC27" s="23"/>
      <c r="AD27" s="23"/>
      <c r="AE27" s="23"/>
      <c r="AF27" s="23"/>
      <c r="AG27" s="23"/>
      <c r="AH27" s="23"/>
      <c r="AI27" s="23"/>
      <c r="AJ27" s="23"/>
      <c r="AK27" s="23"/>
      <c r="AL27" s="23"/>
    </row>
    <row r="28" spans="1:38" s="30" customFormat="1">
      <c r="A28" s="243" t="s">
        <v>125</v>
      </c>
      <c r="B28" s="244" t="s">
        <v>127</v>
      </c>
      <c r="C28" s="245">
        <v>0.2</v>
      </c>
      <c r="D28" s="245">
        <v>0.2</v>
      </c>
      <c r="E28" s="245">
        <v>0</v>
      </c>
      <c r="F28" s="245">
        <v>9.9000001000000004E-2</v>
      </c>
      <c r="G28" s="245">
        <v>1.597</v>
      </c>
      <c r="H28" s="245">
        <v>0</v>
      </c>
      <c r="I28" s="245">
        <v>0</v>
      </c>
      <c r="J28" s="245">
        <v>0</v>
      </c>
      <c r="K28" s="245">
        <v>25.8445</v>
      </c>
      <c r="L28" s="245">
        <v>0.33300000000000007</v>
      </c>
      <c r="M28" s="245">
        <v>0.32600000000000001</v>
      </c>
      <c r="N28" s="245">
        <v>2.4120000000000004</v>
      </c>
      <c r="O28" s="245">
        <v>1.1520000000000001</v>
      </c>
      <c r="P28" s="245">
        <v>3.657</v>
      </c>
      <c r="Q28" s="245">
        <v>1.458</v>
      </c>
      <c r="R28" s="245">
        <v>0</v>
      </c>
      <c r="S28" s="246"/>
      <c r="T28" s="246"/>
      <c r="U28" s="246"/>
      <c r="V28" s="246"/>
      <c r="W28" s="246"/>
      <c r="X28" s="247"/>
      <c r="Y28" s="23"/>
      <c r="Z28" s="23"/>
      <c r="AA28" s="23"/>
      <c r="AB28" s="23"/>
      <c r="AC28" s="23"/>
      <c r="AD28" s="23"/>
      <c r="AE28" s="23"/>
      <c r="AF28" s="23"/>
      <c r="AG28" s="23"/>
      <c r="AH28" s="23"/>
      <c r="AI28" s="23"/>
      <c r="AJ28" s="23"/>
      <c r="AK28" s="23"/>
      <c r="AL28" s="23"/>
    </row>
    <row r="29" spans="1:38" s="30" customFormat="1">
      <c r="A29" s="10" t="s">
        <v>92</v>
      </c>
      <c r="B29" s="232">
        <v>667.65800000000002</v>
      </c>
      <c r="C29" s="233">
        <v>2860.9250010000001</v>
      </c>
      <c r="D29" s="233">
        <v>3083.443002</v>
      </c>
      <c r="E29" s="233">
        <v>2792.3116</v>
      </c>
      <c r="F29" s="233">
        <v>1080.7790010000001</v>
      </c>
      <c r="G29" s="233">
        <v>1095.0540000000001</v>
      </c>
      <c r="H29" s="233">
        <v>0</v>
      </c>
      <c r="I29" s="233">
        <v>0</v>
      </c>
      <c r="J29" s="233">
        <v>113.2043318935259</v>
      </c>
      <c r="K29" s="233">
        <v>244.33858000000012</v>
      </c>
      <c r="L29" s="233">
        <v>192.41699999999997</v>
      </c>
      <c r="M29" s="233">
        <v>112.06659000000001</v>
      </c>
      <c r="N29" s="233">
        <v>726.78499999999997</v>
      </c>
      <c r="O29" s="233">
        <v>1269.1838000000002</v>
      </c>
      <c r="P29" s="233">
        <v>633.85134000000016</v>
      </c>
      <c r="Q29" s="233">
        <v>479.21350000000007</v>
      </c>
      <c r="R29" s="233">
        <v>0</v>
      </c>
      <c r="S29" s="23"/>
      <c r="T29" s="23"/>
      <c r="U29" s="23"/>
      <c r="V29" s="23"/>
      <c r="W29" s="23"/>
      <c r="X29" s="23"/>
      <c r="Y29" s="23"/>
      <c r="Z29" s="23"/>
      <c r="AA29" s="23"/>
      <c r="AB29" s="23"/>
      <c r="AC29" s="23"/>
      <c r="AD29" s="23"/>
      <c r="AE29" s="23"/>
      <c r="AF29" s="23"/>
      <c r="AG29" s="23"/>
      <c r="AH29" s="23"/>
      <c r="AI29" s="23"/>
      <c r="AJ29" s="23"/>
      <c r="AK29" s="23"/>
      <c r="AL29" s="23"/>
    </row>
    <row r="30" spans="1:38" s="30" customFormat="1">
      <c r="A30" s="10" t="s">
        <v>16</v>
      </c>
      <c r="B30" s="232"/>
      <c r="C30" s="233"/>
      <c r="D30" s="233"/>
      <c r="E30" s="233"/>
      <c r="F30" s="233"/>
      <c r="G30" s="233">
        <v>0</v>
      </c>
      <c r="H30" s="233">
        <v>0</v>
      </c>
      <c r="I30" s="233">
        <v>0</v>
      </c>
      <c r="J30" s="233">
        <v>0</v>
      </c>
      <c r="K30" s="233">
        <v>1058.4629400000001</v>
      </c>
      <c r="L30" s="233">
        <v>1501.9940000000006</v>
      </c>
      <c r="M30" s="233">
        <v>231.21609999999993</v>
      </c>
      <c r="N30" s="233">
        <v>624.21599999999989</v>
      </c>
      <c r="O30" s="233">
        <v>691.97395999999981</v>
      </c>
      <c r="P30" s="233">
        <v>163.94113999999999</v>
      </c>
      <c r="Q30" s="233">
        <v>83.596549999999993</v>
      </c>
      <c r="R30" s="233">
        <v>0</v>
      </c>
      <c r="S30" s="23"/>
      <c r="T30" s="23"/>
      <c r="U30" s="23"/>
      <c r="V30" s="23"/>
      <c r="W30" s="23"/>
      <c r="X30" s="23"/>
      <c r="Y30" s="23"/>
      <c r="Z30" s="23"/>
      <c r="AA30" s="23"/>
      <c r="AB30" s="23"/>
      <c r="AC30" s="23"/>
      <c r="AD30" s="23"/>
      <c r="AE30" s="23"/>
      <c r="AF30" s="23"/>
      <c r="AG30" s="23"/>
      <c r="AH30" s="23"/>
      <c r="AI30" s="23"/>
      <c r="AJ30" s="23"/>
      <c r="AK30" s="23"/>
      <c r="AL30" s="23"/>
    </row>
    <row r="31" spans="1:38" s="30" customFormat="1">
      <c r="A31" s="237" t="s">
        <v>142</v>
      </c>
      <c r="B31" s="232"/>
      <c r="C31" s="233"/>
      <c r="D31" s="233"/>
      <c r="E31" s="233"/>
      <c r="F31" s="233"/>
      <c r="G31" s="233">
        <v>0</v>
      </c>
      <c r="H31" s="233">
        <v>0</v>
      </c>
      <c r="I31" s="233">
        <v>0</v>
      </c>
      <c r="J31" s="233">
        <v>0</v>
      </c>
      <c r="K31" s="233">
        <v>0</v>
      </c>
      <c r="L31" s="233">
        <v>0</v>
      </c>
      <c r="M31" s="233">
        <v>1.2469999999999999</v>
      </c>
      <c r="N31" s="233">
        <v>15.290000000000001</v>
      </c>
      <c r="O31" s="233">
        <v>3.4710000000000005</v>
      </c>
      <c r="P31" s="233">
        <v>10.569000000000001</v>
      </c>
      <c r="Q31" s="233">
        <v>4.1649999999999991</v>
      </c>
      <c r="R31" s="233">
        <v>0</v>
      </c>
      <c r="S31" s="23"/>
      <c r="T31" s="23"/>
      <c r="U31" s="23"/>
      <c r="V31" s="23"/>
      <c r="W31" s="23"/>
      <c r="X31" s="23"/>
      <c r="Y31" s="23"/>
      <c r="Z31" s="23"/>
      <c r="AA31" s="23"/>
      <c r="AB31" s="23"/>
      <c r="AC31" s="23"/>
      <c r="AD31" s="23"/>
      <c r="AE31" s="23"/>
      <c r="AF31" s="23"/>
      <c r="AG31" s="23"/>
      <c r="AH31" s="23"/>
      <c r="AI31" s="23"/>
      <c r="AJ31" s="23"/>
      <c r="AK31" s="23"/>
      <c r="AL31" s="23"/>
    </row>
    <row r="32" spans="1:38" s="30" customFormat="1">
      <c r="A32" s="10" t="s">
        <v>143</v>
      </c>
      <c r="B32" s="232"/>
      <c r="C32" s="233">
        <v>0</v>
      </c>
      <c r="D32" s="233">
        <v>0</v>
      </c>
      <c r="E32" s="233">
        <v>0</v>
      </c>
      <c r="F32" s="233">
        <v>0.15200000399999999</v>
      </c>
      <c r="G32" s="233">
        <v>8.9000001999999995E-2</v>
      </c>
      <c r="H32" s="233">
        <v>0</v>
      </c>
      <c r="I32" s="233">
        <v>0</v>
      </c>
      <c r="J32" s="233">
        <v>0</v>
      </c>
      <c r="K32" s="233">
        <v>1.4919999999999998</v>
      </c>
      <c r="L32" s="233">
        <v>0</v>
      </c>
      <c r="M32" s="233">
        <v>0</v>
      </c>
      <c r="N32" s="233">
        <v>0</v>
      </c>
      <c r="O32" s="233">
        <v>0</v>
      </c>
      <c r="P32" s="233">
        <v>0</v>
      </c>
      <c r="Q32" s="233">
        <v>0</v>
      </c>
      <c r="R32" s="233">
        <v>0</v>
      </c>
      <c r="S32" s="23"/>
      <c r="T32" s="23"/>
      <c r="U32" s="23"/>
      <c r="V32" s="23"/>
      <c r="W32" s="23"/>
      <c r="X32" s="23"/>
      <c r="Y32" s="23"/>
      <c r="Z32" s="23"/>
      <c r="AA32" s="23"/>
      <c r="AB32" s="23"/>
      <c r="AC32" s="23"/>
      <c r="AD32" s="23"/>
      <c r="AE32" s="23"/>
      <c r="AF32" s="23"/>
      <c r="AG32" s="23"/>
      <c r="AH32" s="23"/>
      <c r="AI32" s="23"/>
      <c r="AJ32" s="23"/>
      <c r="AK32" s="23"/>
      <c r="AL32" s="23"/>
    </row>
    <row r="33" spans="1:38" s="30" customFormat="1">
      <c r="A33" s="17" t="s">
        <v>144</v>
      </c>
      <c r="B33" s="248">
        <v>1545.0320000000002</v>
      </c>
      <c r="C33" s="249">
        <v>150.1529999</v>
      </c>
      <c r="D33" s="249">
        <v>93.42500004</v>
      </c>
      <c r="E33" s="249">
        <v>255.51200059999999</v>
      </c>
      <c r="F33" s="249">
        <v>268.79500039999999</v>
      </c>
      <c r="G33" s="249">
        <v>241.14500050000001</v>
      </c>
      <c r="H33" s="249">
        <v>0</v>
      </c>
      <c r="I33" s="249">
        <v>0</v>
      </c>
      <c r="J33" s="249">
        <v>21.539539165481248</v>
      </c>
      <c r="K33" s="249">
        <v>270.28463000000005</v>
      </c>
      <c r="L33" s="249">
        <v>428.49399999999997</v>
      </c>
      <c r="M33" s="249">
        <v>139.02200000000002</v>
      </c>
      <c r="N33" s="249">
        <v>473.29199999999992</v>
      </c>
      <c r="O33" s="249">
        <v>569.90431999999998</v>
      </c>
      <c r="P33" s="249">
        <v>533.48649999999998</v>
      </c>
      <c r="Q33" s="249">
        <v>131.24399999999997</v>
      </c>
      <c r="R33" s="249">
        <v>0</v>
      </c>
      <c r="S33" s="23"/>
      <c r="T33" s="23"/>
      <c r="U33" s="23"/>
      <c r="V33" s="23"/>
      <c r="W33" s="23"/>
      <c r="X33" s="23"/>
      <c r="Y33" s="23"/>
      <c r="Z33" s="23"/>
      <c r="AA33" s="23"/>
      <c r="AB33" s="23"/>
      <c r="AC33" s="23"/>
      <c r="AD33" s="23"/>
      <c r="AE33" s="23"/>
      <c r="AF33" s="23"/>
      <c r="AG33" s="23"/>
      <c r="AH33" s="23"/>
      <c r="AI33" s="23"/>
      <c r="AJ33" s="23"/>
      <c r="AK33" s="23"/>
      <c r="AL33" s="23"/>
    </row>
    <row r="34" spans="1:38">
      <c r="A34" s="24" t="s">
        <v>398</v>
      </c>
      <c r="B34" s="24"/>
      <c r="C34" s="250"/>
      <c r="D34" s="250"/>
      <c r="E34" s="250"/>
      <c r="F34" s="250"/>
      <c r="G34" s="250"/>
      <c r="H34" s="250"/>
      <c r="I34" s="250"/>
      <c r="J34" s="250"/>
      <c r="K34" s="250"/>
      <c r="L34" s="250"/>
      <c r="M34" s="250"/>
      <c r="N34" s="250"/>
      <c r="O34" s="250"/>
      <c r="P34" s="250"/>
      <c r="Q34" s="250"/>
      <c r="R34" s="250"/>
    </row>
    <row r="35" spans="1:38">
      <c r="A35" s="251"/>
      <c r="B35" s="251"/>
    </row>
    <row r="36" spans="1:38">
      <c r="A36" s="251"/>
      <c r="B36" s="251"/>
    </row>
    <row r="37" spans="1:38">
      <c r="A37" s="251"/>
      <c r="B37" s="251"/>
    </row>
    <row r="39" spans="1:38" s="30" customFormat="1">
      <c r="B39" s="253">
        <v>127183.61479999998</v>
      </c>
      <c r="C39" s="225"/>
      <c r="D39" s="225"/>
      <c r="E39" s="103" t="s">
        <v>141</v>
      </c>
      <c r="F39" s="225">
        <f>SUM(F40:F45)</f>
        <v>120000.92939572007</v>
      </c>
      <c r="G39" s="225"/>
      <c r="H39" s="225"/>
      <c r="I39" s="225"/>
      <c r="J39" s="254"/>
      <c r="K39" s="254"/>
      <c r="L39" s="254"/>
      <c r="M39" s="254"/>
      <c r="N39" s="254"/>
      <c r="O39" s="254"/>
      <c r="P39" s="254"/>
      <c r="Q39" s="254"/>
      <c r="R39" s="254"/>
      <c r="S39" s="23"/>
      <c r="T39" s="23"/>
      <c r="U39" s="23"/>
      <c r="V39" s="23"/>
      <c r="W39" s="23"/>
      <c r="X39" s="23"/>
      <c r="Y39" s="23"/>
      <c r="Z39" s="23"/>
      <c r="AA39" s="23"/>
      <c r="AB39" s="23"/>
      <c r="AC39" s="23"/>
      <c r="AD39" s="23"/>
      <c r="AE39" s="23"/>
      <c r="AF39" s="23"/>
      <c r="AG39" s="23"/>
      <c r="AH39" s="23"/>
      <c r="AI39" s="23"/>
      <c r="AJ39" s="23"/>
      <c r="AK39" s="23"/>
      <c r="AL39" s="23"/>
    </row>
    <row r="40" spans="1:38" s="30" customFormat="1">
      <c r="B40" s="253">
        <v>123441.52179999999</v>
      </c>
      <c r="C40" s="225"/>
      <c r="D40" s="225"/>
      <c r="E40" s="103" t="s">
        <v>145</v>
      </c>
      <c r="F40" s="225">
        <v>116940.02259357934</v>
      </c>
      <c r="G40" s="225"/>
      <c r="H40" s="225"/>
      <c r="I40" s="225"/>
      <c r="J40" s="254"/>
      <c r="K40" s="254"/>
      <c r="L40" s="254"/>
      <c r="M40" s="254"/>
      <c r="N40" s="254"/>
      <c r="O40" s="254"/>
      <c r="P40" s="254"/>
      <c r="Q40" s="254"/>
      <c r="R40" s="254"/>
      <c r="S40" s="23"/>
      <c r="T40" s="23"/>
      <c r="U40" s="23"/>
      <c r="V40" s="23"/>
      <c r="W40" s="23"/>
      <c r="Y40" s="15"/>
      <c r="Z40" s="255"/>
      <c r="AA40" s="225"/>
      <c r="AB40" s="23"/>
      <c r="AC40" s="23"/>
      <c r="AD40" s="23"/>
      <c r="AE40" s="23"/>
      <c r="AF40" s="23"/>
      <c r="AG40" s="23"/>
      <c r="AH40" s="23"/>
      <c r="AI40" s="23"/>
      <c r="AJ40" s="23"/>
      <c r="AK40" s="23"/>
      <c r="AL40" s="23"/>
    </row>
    <row r="41" spans="1:38" s="30" customFormat="1" ht="15">
      <c r="B41" s="253">
        <v>429.96600000000001</v>
      </c>
      <c r="C41" s="225"/>
      <c r="D41" s="225"/>
      <c r="E41" s="103" t="s">
        <v>150</v>
      </c>
      <c r="F41" s="225">
        <v>1005.9614987606687</v>
      </c>
      <c r="G41" s="225"/>
      <c r="H41" s="225"/>
      <c r="I41" s="225"/>
      <c r="J41" s="254"/>
      <c r="K41" s="254"/>
      <c r="L41" s="254"/>
      <c r="M41" s="254"/>
      <c r="N41" s="254"/>
      <c r="O41" s="254"/>
      <c r="P41" s="254"/>
      <c r="Q41" s="254"/>
      <c r="R41" s="254"/>
      <c r="S41" s="23"/>
      <c r="T41" s="23"/>
      <c r="U41" s="23"/>
      <c r="V41" s="23"/>
      <c r="W41" s="23"/>
      <c r="Y41" s="15"/>
      <c r="Z41" s="256"/>
      <c r="AA41" s="226"/>
      <c r="AB41" s="23"/>
      <c r="AC41" s="23"/>
      <c r="AD41" s="23"/>
      <c r="AE41" s="23"/>
      <c r="AF41" s="23"/>
      <c r="AG41" s="23"/>
      <c r="AH41" s="23"/>
      <c r="AI41" s="23"/>
      <c r="AJ41" s="23"/>
      <c r="AK41" s="23"/>
      <c r="AL41" s="23"/>
    </row>
    <row r="42" spans="1:38" s="30" customFormat="1">
      <c r="B42" s="253">
        <v>494.35300000000001</v>
      </c>
      <c r="C42" s="225"/>
      <c r="D42" s="225"/>
      <c r="E42" s="103" t="s">
        <v>151</v>
      </c>
      <c r="F42" s="225">
        <v>677.87643155977037</v>
      </c>
      <c r="G42" s="225"/>
      <c r="H42" s="225"/>
      <c r="I42" s="225"/>
      <c r="J42" s="254"/>
      <c r="K42" s="254"/>
      <c r="L42" s="254"/>
      <c r="M42" s="254"/>
      <c r="N42" s="254"/>
      <c r="O42" s="254"/>
      <c r="P42" s="254"/>
      <c r="Q42" s="254"/>
      <c r="R42" s="254"/>
      <c r="S42" s="23"/>
      <c r="T42" s="23"/>
      <c r="U42" s="23"/>
      <c r="V42" s="23"/>
      <c r="W42" s="23"/>
      <c r="Y42" s="15"/>
      <c r="Z42" s="255"/>
      <c r="AA42" s="226"/>
      <c r="AB42" s="23"/>
      <c r="AC42" s="23"/>
      <c r="AD42" s="23"/>
      <c r="AE42" s="23"/>
      <c r="AF42" s="23"/>
      <c r="AG42" s="23"/>
      <c r="AH42" s="23"/>
      <c r="AI42" s="23"/>
      <c r="AJ42" s="23"/>
      <c r="AK42" s="23"/>
      <c r="AL42" s="23"/>
    </row>
    <row r="43" spans="1:38" s="30" customFormat="1">
      <c r="B43" s="253">
        <v>73.063000000000002</v>
      </c>
      <c r="C43" s="225"/>
      <c r="D43" s="225"/>
      <c r="E43" s="103" t="s">
        <v>152</v>
      </c>
      <c r="F43" s="225">
        <v>1060.6535379842462</v>
      </c>
      <c r="G43" s="225"/>
      <c r="H43" s="225"/>
      <c r="I43" s="225"/>
      <c r="J43" s="254"/>
      <c r="K43" s="254"/>
      <c r="L43" s="254"/>
      <c r="M43" s="254"/>
      <c r="N43" s="254"/>
      <c r="O43" s="254"/>
      <c r="P43" s="254"/>
      <c r="Q43" s="254"/>
      <c r="R43" s="254"/>
      <c r="S43" s="23"/>
      <c r="T43" s="23"/>
      <c r="U43" s="23"/>
      <c r="V43" s="23"/>
      <c r="W43" s="23"/>
      <c r="Y43" s="15"/>
      <c r="Z43" s="255"/>
      <c r="AA43" s="226"/>
      <c r="AB43" s="23"/>
      <c r="AC43" s="23"/>
      <c r="AD43" s="23"/>
      <c r="AE43" s="23"/>
      <c r="AF43" s="23"/>
      <c r="AG43" s="23"/>
      <c r="AH43" s="23"/>
      <c r="AI43" s="23"/>
      <c r="AJ43" s="23"/>
      <c r="AK43" s="23"/>
      <c r="AL43" s="23"/>
    </row>
    <row r="44" spans="1:38" s="30" customFormat="1">
      <c r="B44" s="253">
        <v>2212.69</v>
      </c>
      <c r="C44" s="225"/>
      <c r="D44" s="225"/>
      <c r="E44" s="257" t="s">
        <v>153</v>
      </c>
      <c r="F44" s="225">
        <v>134.74387105900715</v>
      </c>
      <c r="G44" s="225"/>
      <c r="H44" s="225"/>
      <c r="I44" s="225"/>
      <c r="J44" s="254"/>
      <c r="K44" s="254"/>
      <c r="L44" s="254"/>
      <c r="M44" s="254"/>
      <c r="N44" s="254"/>
      <c r="O44" s="254"/>
      <c r="P44" s="254"/>
      <c r="Q44" s="254"/>
      <c r="R44" s="254"/>
      <c r="S44" s="23"/>
      <c r="T44" s="23"/>
      <c r="U44" s="23"/>
      <c r="V44" s="23"/>
      <c r="W44" s="23"/>
      <c r="Y44" s="15"/>
      <c r="Z44" s="255"/>
      <c r="AA44" s="226"/>
      <c r="AB44" s="23"/>
      <c r="AC44" s="23"/>
      <c r="AD44" s="23"/>
      <c r="AE44" s="23"/>
      <c r="AF44" s="23"/>
      <c r="AG44" s="23"/>
      <c r="AH44" s="23"/>
      <c r="AI44" s="23"/>
      <c r="AJ44" s="23"/>
      <c r="AK44" s="23"/>
      <c r="AL44" s="23"/>
    </row>
    <row r="45" spans="1:38" s="30" customFormat="1">
      <c r="B45" s="253">
        <v>532.16600000000005</v>
      </c>
      <c r="C45" s="225"/>
      <c r="D45" s="225"/>
      <c r="E45" s="103" t="s">
        <v>154</v>
      </c>
      <c r="F45" s="225">
        <v>181.67146277704833</v>
      </c>
      <c r="G45" s="225"/>
      <c r="H45" s="225"/>
      <c r="I45" s="225"/>
      <c r="J45" s="254"/>
      <c r="K45" s="254"/>
      <c r="L45" s="254"/>
      <c r="M45" s="254"/>
      <c r="N45" s="254"/>
      <c r="O45" s="254"/>
      <c r="P45" s="254"/>
      <c r="Q45" s="254"/>
      <c r="R45" s="254"/>
      <c r="S45" s="23"/>
      <c r="T45" s="23"/>
      <c r="U45" s="23"/>
      <c r="V45" s="23"/>
      <c r="W45" s="23"/>
      <c r="Z45" s="255"/>
      <c r="AB45" s="23"/>
      <c r="AC45" s="23"/>
      <c r="AD45" s="23"/>
      <c r="AE45" s="23"/>
      <c r="AF45" s="23"/>
      <c r="AG45" s="23"/>
      <c r="AH45" s="23"/>
      <c r="AI45" s="23"/>
      <c r="AJ45" s="23"/>
      <c r="AK45" s="23"/>
      <c r="AL45" s="23"/>
    </row>
    <row r="46" spans="1:38">
      <c r="Y46" s="15"/>
      <c r="Z46" s="152"/>
      <c r="AA46" s="225"/>
    </row>
    <row r="47" spans="1:38">
      <c r="Y47" s="15"/>
      <c r="Z47" s="152"/>
      <c r="AA47" s="23"/>
    </row>
    <row r="48" spans="1:38">
      <c r="Y48" s="15"/>
      <c r="Z48" s="152"/>
      <c r="AA48" s="23"/>
    </row>
    <row r="49" spans="25:27">
      <c r="Y49" s="15"/>
      <c r="Z49" s="152"/>
      <c r="AA49" s="23"/>
    </row>
    <row r="50" spans="25:27">
      <c r="Y50" s="242"/>
      <c r="Z50" s="152"/>
      <c r="AA50" s="23"/>
    </row>
    <row r="51" spans="25:27">
      <c r="Y51" s="15"/>
      <c r="Z51" s="152"/>
      <c r="AA51" s="23"/>
    </row>
  </sheetData>
  <mergeCells count="3">
    <mergeCell ref="A1:Q1"/>
    <mergeCell ref="A3:Q3"/>
    <mergeCell ref="A2:R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5"/>
  <sheetViews>
    <sheetView workbookViewId="0">
      <selection activeCell="H6" sqref="H6"/>
    </sheetView>
  </sheetViews>
  <sheetFormatPr defaultRowHeight="15"/>
  <cols>
    <col min="1" max="1" width="17.7109375" style="258" customWidth="1"/>
    <col min="2" max="8" width="15.140625" style="258" customWidth="1"/>
    <col min="9" max="9" width="21.140625" style="258" customWidth="1"/>
    <col min="10" max="16384" width="9.140625" style="258"/>
  </cols>
  <sheetData>
    <row r="1" spans="1:59" ht="21.75">
      <c r="A1" s="800" t="s">
        <v>450</v>
      </c>
      <c r="B1" s="800"/>
      <c r="C1" s="800"/>
      <c r="D1" s="800"/>
      <c r="E1" s="800"/>
      <c r="F1" s="800"/>
      <c r="G1" s="800"/>
      <c r="H1" s="800"/>
      <c r="I1" s="800"/>
    </row>
    <row r="2" spans="1:59" ht="15.75">
      <c r="A2" s="801" t="s">
        <v>449</v>
      </c>
      <c r="B2" s="801"/>
      <c r="C2" s="801"/>
      <c r="D2" s="801"/>
      <c r="E2" s="801"/>
      <c r="F2" s="801"/>
      <c r="G2" s="801"/>
      <c r="H2" s="801"/>
      <c r="I2" s="801"/>
    </row>
    <row r="3" spans="1:59" ht="18.75">
      <c r="A3" s="802" t="s">
        <v>155</v>
      </c>
      <c r="B3" s="802"/>
      <c r="C3" s="802"/>
      <c r="D3" s="802"/>
      <c r="E3" s="802"/>
      <c r="F3" s="802"/>
      <c r="G3" s="802"/>
      <c r="H3" s="802"/>
      <c r="I3" s="802"/>
    </row>
    <row r="4" spans="1:59">
      <c r="A4" s="803" t="s">
        <v>399</v>
      </c>
      <c r="B4" s="803"/>
      <c r="C4" s="803"/>
      <c r="D4" s="803"/>
      <c r="E4" s="803"/>
      <c r="F4" s="803"/>
      <c r="G4" s="803"/>
      <c r="H4" s="803"/>
      <c r="I4" s="803"/>
    </row>
    <row r="5" spans="1:59" ht="17.25">
      <c r="A5" s="798" t="s">
        <v>101</v>
      </c>
      <c r="B5" s="806" t="s">
        <v>428</v>
      </c>
      <c r="C5" s="806"/>
      <c r="D5" s="806"/>
      <c r="E5" s="806"/>
      <c r="F5" s="806"/>
      <c r="G5" s="806"/>
      <c r="H5" s="691"/>
      <c r="I5" s="804" t="s">
        <v>156</v>
      </c>
    </row>
    <row r="6" spans="1:59">
      <c r="A6" s="799"/>
      <c r="B6" s="259">
        <v>2014</v>
      </c>
      <c r="C6" s="259">
        <v>2015</v>
      </c>
      <c r="D6" s="259">
        <v>2016</v>
      </c>
      <c r="E6" s="259">
        <v>2017</v>
      </c>
      <c r="F6" s="259">
        <v>2018</v>
      </c>
      <c r="G6" s="259">
        <v>2019</v>
      </c>
      <c r="H6" s="259">
        <v>2020</v>
      </c>
      <c r="I6" s="805"/>
    </row>
    <row r="7" spans="1:59" ht="18.75">
      <c r="A7" s="260" t="s">
        <v>157</v>
      </c>
      <c r="B7" s="261">
        <f t="shared" ref="B7:H7" si="0">SUM(B8:B19)</f>
        <v>50511.167105346387</v>
      </c>
      <c r="C7" s="261">
        <f t="shared" si="0"/>
        <v>45235.160591439198</v>
      </c>
      <c r="D7" s="261">
        <f t="shared" si="0"/>
        <v>53875.950018537958</v>
      </c>
      <c r="E7" s="261">
        <f t="shared" si="0"/>
        <v>76620.719259999983</v>
      </c>
      <c r="F7" s="261">
        <f t="shared" si="0"/>
        <v>78886.13721999999</v>
      </c>
      <c r="G7" s="261">
        <f t="shared" si="0"/>
        <v>84237.085239999986</v>
      </c>
      <c r="H7" s="261">
        <f t="shared" si="0"/>
        <v>0</v>
      </c>
      <c r="I7" s="262" t="s">
        <v>158</v>
      </c>
    </row>
    <row r="8" spans="1:59" ht="18.75">
      <c r="A8" s="263" t="s">
        <v>107</v>
      </c>
      <c r="B8" s="264">
        <v>6427.6346399999957</v>
      </c>
      <c r="C8" s="264">
        <v>7005.5622908703162</v>
      </c>
      <c r="D8" s="264">
        <v>3547.4878672424238</v>
      </c>
      <c r="E8" s="264">
        <v>8385.2395499999984</v>
      </c>
      <c r="F8" s="264">
        <v>8743.6588799999972</v>
      </c>
      <c r="G8" s="264">
        <v>6523.0436100000006</v>
      </c>
      <c r="H8" s="692"/>
      <c r="I8" s="265" t="s">
        <v>159</v>
      </c>
      <c r="BC8" s="266" t="s">
        <v>160</v>
      </c>
      <c r="BG8" s="267"/>
    </row>
    <row r="9" spans="1:59" ht="18.75">
      <c r="A9" s="263" t="s">
        <v>108</v>
      </c>
      <c r="B9" s="264">
        <v>3337.3280439999999</v>
      </c>
      <c r="C9" s="264">
        <v>3432.4047981818185</v>
      </c>
      <c r="D9" s="264">
        <v>3700.1932358455538</v>
      </c>
      <c r="E9" s="264">
        <v>6537.4725400000016</v>
      </c>
      <c r="F9" s="264">
        <v>5954.8143700000001</v>
      </c>
      <c r="G9" s="264">
        <v>8987.2074699999994</v>
      </c>
      <c r="H9" s="692"/>
      <c r="I9" s="265" t="s">
        <v>161</v>
      </c>
      <c r="BC9" s="266" t="s">
        <v>162</v>
      </c>
    </row>
    <row r="10" spans="1:59" ht="18.75">
      <c r="A10" s="263" t="s">
        <v>109</v>
      </c>
      <c r="B10" s="264">
        <v>2850.1987300000042</v>
      </c>
      <c r="C10" s="264">
        <v>3232.3788616976231</v>
      </c>
      <c r="D10" s="264">
        <v>4344.6222404040418</v>
      </c>
      <c r="E10" s="264">
        <v>6336.2513199999994</v>
      </c>
      <c r="F10" s="264">
        <v>7078.495469999998</v>
      </c>
      <c r="G10" s="264">
        <v>10165.657089999999</v>
      </c>
      <c r="H10" s="692"/>
      <c r="I10" s="265" t="s">
        <v>163</v>
      </c>
      <c r="BC10" s="266" t="s">
        <v>164</v>
      </c>
    </row>
    <row r="11" spans="1:59" ht="18.75">
      <c r="A11" s="263" t="s">
        <v>110</v>
      </c>
      <c r="B11" s="264">
        <v>6818.7001700000001</v>
      </c>
      <c r="C11" s="264">
        <v>6238.2860586999041</v>
      </c>
      <c r="D11" s="264">
        <v>7413.7048332277618</v>
      </c>
      <c r="E11" s="264">
        <v>7958.81142</v>
      </c>
      <c r="F11" s="264">
        <v>10419.583229999998</v>
      </c>
      <c r="G11" s="264">
        <v>10978.011440000004</v>
      </c>
      <c r="H11" s="692"/>
      <c r="I11" s="265" t="s">
        <v>165</v>
      </c>
      <c r="BC11" s="266" t="s">
        <v>166</v>
      </c>
    </row>
    <row r="12" spans="1:59" ht="18.75">
      <c r="A12" s="263" t="s">
        <v>111</v>
      </c>
      <c r="B12" s="264">
        <v>5057.5095330000004</v>
      </c>
      <c r="C12" s="264">
        <v>2909.6493069999997</v>
      </c>
      <c r="D12" s="264">
        <v>4516.7131408181813</v>
      </c>
      <c r="E12" s="264">
        <v>7659.9021600000005</v>
      </c>
      <c r="F12" s="264">
        <v>5828.2491600000003</v>
      </c>
      <c r="G12" s="264">
        <v>5539.4655199999997</v>
      </c>
      <c r="H12" s="692"/>
      <c r="I12" s="265" t="s">
        <v>167</v>
      </c>
      <c r="BC12" s="266" t="s">
        <v>111</v>
      </c>
    </row>
    <row r="13" spans="1:59" ht="18.75">
      <c r="A13" s="263" t="s">
        <v>112</v>
      </c>
      <c r="B13" s="264">
        <v>4295.1361399999969</v>
      </c>
      <c r="C13" s="264">
        <v>1880.0532999999991</v>
      </c>
      <c r="D13" s="264">
        <v>1124.6612380000001</v>
      </c>
      <c r="E13" s="264">
        <v>4299.6456900000003</v>
      </c>
      <c r="F13" s="264">
        <v>2995.8265099999999</v>
      </c>
      <c r="G13" s="264">
        <v>3298.5679300000002</v>
      </c>
      <c r="H13" s="692"/>
      <c r="I13" s="265" t="s">
        <v>168</v>
      </c>
      <c r="BC13" s="266" t="s">
        <v>169</v>
      </c>
    </row>
    <row r="14" spans="1:59" ht="18.75">
      <c r="A14" s="263" t="s">
        <v>113</v>
      </c>
      <c r="B14" s="264">
        <v>2096.68469</v>
      </c>
      <c r="C14" s="264">
        <v>1747.8004599999992</v>
      </c>
      <c r="D14" s="264">
        <v>1603.4366600000001</v>
      </c>
      <c r="E14" s="264">
        <v>5847.2433899999987</v>
      </c>
      <c r="F14" s="264">
        <v>4428.2140399999989</v>
      </c>
      <c r="G14" s="264">
        <v>5777.6544599999988</v>
      </c>
      <c r="H14" s="692"/>
      <c r="I14" s="265" t="s">
        <v>170</v>
      </c>
      <c r="BC14" s="266" t="s">
        <v>171</v>
      </c>
    </row>
    <row r="15" spans="1:59" ht="18.75">
      <c r="A15" s="263" t="s">
        <v>114</v>
      </c>
      <c r="B15" s="264">
        <v>2505.1015399999978</v>
      </c>
      <c r="C15" s="264">
        <v>2545.4261136559116</v>
      </c>
      <c r="D15" s="264">
        <v>2762.3959530000002</v>
      </c>
      <c r="E15" s="264">
        <v>3700.7813699999992</v>
      </c>
      <c r="F15" s="264">
        <v>4136.3727600000011</v>
      </c>
      <c r="G15" s="264">
        <v>4951.4767700000002</v>
      </c>
      <c r="H15" s="692"/>
      <c r="I15" s="265" t="s">
        <v>172</v>
      </c>
      <c r="BC15" s="266" t="s">
        <v>173</v>
      </c>
    </row>
    <row r="16" spans="1:59" ht="18.75">
      <c r="A16" s="263" t="s">
        <v>115</v>
      </c>
      <c r="B16" s="264">
        <v>3946.1871780563961</v>
      </c>
      <c r="C16" s="264">
        <v>2073.095701560117</v>
      </c>
      <c r="D16" s="264">
        <v>2860.8742099999999</v>
      </c>
      <c r="E16" s="264">
        <v>3018.0501900000004</v>
      </c>
      <c r="F16" s="264">
        <v>4453.6516599999977</v>
      </c>
      <c r="G16" s="264">
        <v>7790.8638199999968</v>
      </c>
      <c r="H16" s="692"/>
      <c r="I16" s="265" t="s">
        <v>174</v>
      </c>
      <c r="BC16" s="266" t="s">
        <v>175</v>
      </c>
    </row>
    <row r="17" spans="1:55" ht="18.75">
      <c r="A17" s="263" t="s">
        <v>116</v>
      </c>
      <c r="B17" s="264">
        <v>3405.6147045259017</v>
      </c>
      <c r="C17" s="264">
        <v>5343.2705124809372</v>
      </c>
      <c r="D17" s="264">
        <v>7922.7490699999998</v>
      </c>
      <c r="E17" s="264">
        <v>6461.2722199999962</v>
      </c>
      <c r="F17" s="264">
        <v>7975.2993599999991</v>
      </c>
      <c r="G17" s="264">
        <v>8787.9639099999968</v>
      </c>
      <c r="H17" s="692"/>
      <c r="I17" s="265" t="s">
        <v>176</v>
      </c>
      <c r="BC17" s="266" t="s">
        <v>177</v>
      </c>
    </row>
    <row r="18" spans="1:55" ht="18.75">
      <c r="A18" s="263" t="s">
        <v>117</v>
      </c>
      <c r="B18" s="264">
        <v>4392.3005135386093</v>
      </c>
      <c r="C18" s="264">
        <v>5043.6594446735089</v>
      </c>
      <c r="D18" s="264">
        <v>6950.4351099999994</v>
      </c>
      <c r="E18" s="264">
        <v>8485.2940499999968</v>
      </c>
      <c r="F18" s="264">
        <v>9291.3220500000007</v>
      </c>
      <c r="G18" s="264">
        <v>6594.389079999999</v>
      </c>
      <c r="H18" s="692"/>
      <c r="I18" s="265" t="s">
        <v>178</v>
      </c>
      <c r="BC18" s="266" t="s">
        <v>179</v>
      </c>
    </row>
    <row r="19" spans="1:55" ht="18.75">
      <c r="A19" s="268" t="s">
        <v>118</v>
      </c>
      <c r="B19" s="269">
        <v>5378.771222225485</v>
      </c>
      <c r="C19" s="269">
        <v>3783.5737426190631</v>
      </c>
      <c r="D19" s="269">
        <v>7128.6764600000006</v>
      </c>
      <c r="E19" s="269">
        <v>7930.7553599999992</v>
      </c>
      <c r="F19" s="269">
        <v>7580.649730000001</v>
      </c>
      <c r="G19" s="269">
        <v>4842.7841400000007</v>
      </c>
      <c r="H19" s="693"/>
      <c r="I19" s="270" t="s">
        <v>180</v>
      </c>
      <c r="BC19" s="266" t="s">
        <v>181</v>
      </c>
    </row>
    <row r="20" spans="1:55" ht="17.25">
      <c r="A20" s="271" t="s">
        <v>182</v>
      </c>
      <c r="B20" s="272"/>
      <c r="C20" s="272"/>
      <c r="D20" s="273"/>
      <c r="E20" s="273"/>
      <c r="F20" s="273"/>
      <c r="G20" s="273"/>
      <c r="H20" s="273"/>
      <c r="I20" s="274" t="s">
        <v>183</v>
      </c>
    </row>
    <row r="21" spans="1:55" ht="17.25">
      <c r="A21" s="275" t="s">
        <v>184</v>
      </c>
      <c r="B21" s="276"/>
      <c r="C21" s="276"/>
      <c r="D21" s="273"/>
      <c r="E21" s="273"/>
      <c r="F21" s="273"/>
      <c r="G21" s="273"/>
      <c r="H21" s="273"/>
      <c r="I21" s="274" t="s">
        <v>185</v>
      </c>
    </row>
    <row r="22" spans="1:55" ht="17.25">
      <c r="A22" s="277" t="s">
        <v>400</v>
      </c>
      <c r="B22" s="606"/>
      <c r="C22" s="606"/>
      <c r="D22" s="607"/>
      <c r="E22" s="607"/>
      <c r="F22" s="607"/>
      <c r="G22" s="607"/>
      <c r="H22" s="607"/>
      <c r="I22" s="20" t="s">
        <v>401</v>
      </c>
    </row>
    <row r="23" spans="1:55">
      <c r="A23" s="278"/>
    </row>
    <row r="25" spans="1:55">
      <c r="B25" s="608"/>
      <c r="C25" s="608"/>
      <c r="D25" s="608"/>
      <c r="E25" s="608"/>
      <c r="F25" s="608"/>
      <c r="G25" s="608"/>
      <c r="H25" s="608"/>
    </row>
  </sheetData>
  <mergeCells count="7">
    <mergeCell ref="A5:A6"/>
    <mergeCell ref="A1:I1"/>
    <mergeCell ref="A2:I2"/>
    <mergeCell ref="A3:I3"/>
    <mergeCell ref="A4:I4"/>
    <mergeCell ref="I5:I6"/>
    <mergeCell ref="B5:G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T132"/>
  <sheetViews>
    <sheetView workbookViewId="0">
      <selection activeCell="A94" sqref="A1:XFD1048576"/>
    </sheetView>
  </sheetViews>
  <sheetFormatPr defaultRowHeight="12"/>
  <cols>
    <col min="1" max="1" width="15.140625" style="279" customWidth="1"/>
    <col min="2" max="2" width="23.140625" style="279" customWidth="1"/>
    <col min="3" max="4" width="24.7109375" style="279" customWidth="1"/>
    <col min="5" max="5" width="26.28515625" style="279" customWidth="1"/>
    <col min="6" max="6" width="9.140625" style="279"/>
    <col min="7" max="7" width="20.28515625" style="279" customWidth="1"/>
    <col min="8" max="16384" width="9.140625" style="279"/>
  </cols>
  <sheetData>
    <row r="1" spans="1:228" ht="27" customHeight="1">
      <c r="A1" s="813" t="s">
        <v>475</v>
      </c>
      <c r="B1" s="813"/>
      <c r="C1" s="813"/>
      <c r="D1" s="813"/>
      <c r="E1" s="813"/>
    </row>
    <row r="2" spans="1:228" s="280" customFormat="1" ht="23.25" customHeight="1">
      <c r="A2" s="814" t="s">
        <v>476</v>
      </c>
      <c r="B2" s="814"/>
      <c r="C2" s="814"/>
      <c r="D2" s="814"/>
      <c r="E2" s="814"/>
    </row>
    <row r="3" spans="1:228" s="280" customFormat="1" ht="12.75">
      <c r="A3" s="815"/>
      <c r="B3" s="816"/>
      <c r="C3" s="816"/>
    </row>
    <row r="4" spans="1:228" ht="15.75">
      <c r="A4" s="807" t="s">
        <v>24</v>
      </c>
      <c r="B4" s="281" t="s">
        <v>186</v>
      </c>
      <c r="C4" s="281"/>
      <c r="D4" s="281"/>
      <c r="E4" s="810" t="s">
        <v>187</v>
      </c>
    </row>
    <row r="5" spans="1:228" s="284" customFormat="1" ht="39" customHeight="1">
      <c r="A5" s="808"/>
      <c r="B5" s="282" t="s">
        <v>188</v>
      </c>
      <c r="C5" s="114" t="s">
        <v>147</v>
      </c>
      <c r="D5" s="283" t="s">
        <v>402</v>
      </c>
      <c r="E5" s="811"/>
    </row>
    <row r="6" spans="1:228" ht="1.1499999999999999" customHeight="1">
      <c r="A6" s="808"/>
      <c r="B6" s="285"/>
      <c r="C6" s="285"/>
      <c r="D6" s="286"/>
      <c r="E6" s="811"/>
    </row>
    <row r="7" spans="1:228" s="289" customFormat="1" ht="12" customHeight="1">
      <c r="A7" s="808"/>
      <c r="B7" s="287" t="s">
        <v>189</v>
      </c>
      <c r="C7" s="288" t="s">
        <v>146</v>
      </c>
      <c r="D7" s="287" t="s">
        <v>148</v>
      </c>
      <c r="E7" s="811"/>
      <c r="F7" s="280"/>
      <c r="G7" s="280"/>
      <c r="H7" s="280"/>
      <c r="I7" s="280"/>
      <c r="J7" s="280"/>
      <c r="K7" s="280"/>
      <c r="L7" s="280"/>
      <c r="M7" s="280"/>
      <c r="N7" s="280"/>
      <c r="O7" s="280"/>
      <c r="P7" s="280"/>
      <c r="Q7" s="280"/>
      <c r="R7" s="280"/>
      <c r="S7" s="280"/>
      <c r="T7" s="280"/>
      <c r="U7" s="280"/>
      <c r="V7" s="280"/>
      <c r="W7" s="280"/>
      <c r="X7" s="280"/>
      <c r="Y7" s="280"/>
      <c r="Z7" s="280"/>
      <c r="AA7" s="280"/>
      <c r="AB7" s="280"/>
      <c r="AC7" s="280"/>
      <c r="AD7" s="280"/>
      <c r="AE7" s="280"/>
      <c r="AF7" s="280"/>
      <c r="AG7" s="280"/>
      <c r="AH7" s="280"/>
      <c r="AI7" s="280"/>
      <c r="AJ7" s="280"/>
      <c r="AK7" s="280"/>
      <c r="AL7" s="280"/>
      <c r="AM7" s="280"/>
      <c r="AN7" s="280"/>
      <c r="AO7" s="280"/>
      <c r="AP7" s="280"/>
      <c r="AQ7" s="280"/>
      <c r="AR7" s="280"/>
      <c r="AS7" s="280"/>
      <c r="AT7" s="280"/>
      <c r="AU7" s="280"/>
      <c r="AV7" s="280"/>
      <c r="AW7" s="280"/>
      <c r="AX7" s="280"/>
      <c r="AY7" s="280"/>
      <c r="AZ7" s="280"/>
      <c r="BA7" s="280"/>
      <c r="BB7" s="280"/>
      <c r="BC7" s="280"/>
      <c r="BD7" s="280"/>
      <c r="BE7" s="280"/>
      <c r="BF7" s="280"/>
      <c r="BG7" s="280"/>
      <c r="BH7" s="280"/>
      <c r="BI7" s="280"/>
      <c r="BJ7" s="280"/>
      <c r="BK7" s="280"/>
      <c r="BL7" s="280"/>
      <c r="BM7" s="280"/>
      <c r="BN7" s="280"/>
      <c r="BO7" s="280"/>
      <c r="BP7" s="280"/>
      <c r="BQ7" s="280"/>
      <c r="BR7" s="280"/>
      <c r="BS7" s="280"/>
      <c r="BT7" s="280"/>
      <c r="BU7" s="280"/>
      <c r="BV7" s="280"/>
      <c r="BW7" s="280"/>
      <c r="BX7" s="280"/>
      <c r="BY7" s="280"/>
      <c r="BZ7" s="280"/>
      <c r="CA7" s="280"/>
      <c r="CB7" s="280"/>
      <c r="CC7" s="280"/>
      <c r="CD7" s="280"/>
      <c r="CE7" s="280"/>
      <c r="CF7" s="280"/>
      <c r="CG7" s="280"/>
      <c r="CH7" s="280"/>
      <c r="CI7" s="280"/>
      <c r="CJ7" s="280"/>
      <c r="CK7" s="280"/>
      <c r="CL7" s="280"/>
      <c r="CM7" s="280"/>
      <c r="CN7" s="280"/>
      <c r="CO7" s="280"/>
      <c r="CP7" s="280"/>
      <c r="CQ7" s="280"/>
      <c r="CR7" s="280"/>
      <c r="CS7" s="280"/>
      <c r="CT7" s="280"/>
      <c r="CU7" s="280"/>
      <c r="CV7" s="280"/>
      <c r="CW7" s="280"/>
      <c r="CX7" s="280"/>
      <c r="CY7" s="280"/>
      <c r="CZ7" s="280"/>
      <c r="DA7" s="280"/>
      <c r="DB7" s="280"/>
      <c r="DC7" s="280"/>
      <c r="DD7" s="280"/>
      <c r="DE7" s="280"/>
      <c r="DF7" s="280"/>
      <c r="DG7" s="280"/>
      <c r="DH7" s="280"/>
      <c r="DI7" s="280"/>
      <c r="DJ7" s="280"/>
      <c r="DK7" s="280"/>
      <c r="DL7" s="280"/>
      <c r="DM7" s="280"/>
      <c r="DN7" s="280"/>
      <c r="DO7" s="280"/>
      <c r="DP7" s="280"/>
      <c r="DQ7" s="280"/>
      <c r="DR7" s="280"/>
      <c r="DS7" s="280"/>
      <c r="DT7" s="280"/>
      <c r="DU7" s="280"/>
      <c r="DV7" s="280"/>
      <c r="DW7" s="280"/>
      <c r="DX7" s="280"/>
      <c r="DY7" s="280"/>
      <c r="DZ7" s="280"/>
      <c r="EA7" s="280"/>
      <c r="EB7" s="280"/>
      <c r="EC7" s="280"/>
      <c r="ED7" s="280"/>
      <c r="EE7" s="280"/>
      <c r="EF7" s="280"/>
      <c r="EG7" s="280"/>
      <c r="EH7" s="280"/>
      <c r="EI7" s="280"/>
      <c r="EJ7" s="280"/>
      <c r="EK7" s="280"/>
      <c r="EL7" s="280"/>
      <c r="EM7" s="280"/>
      <c r="EN7" s="280"/>
      <c r="EO7" s="280"/>
      <c r="EP7" s="280"/>
      <c r="EQ7" s="280"/>
      <c r="ER7" s="280"/>
      <c r="ES7" s="280"/>
      <c r="ET7" s="280"/>
      <c r="EU7" s="280"/>
      <c r="EV7" s="280"/>
      <c r="EW7" s="280"/>
      <c r="EX7" s="280"/>
      <c r="EY7" s="280"/>
      <c r="EZ7" s="280"/>
      <c r="FA7" s="280"/>
      <c r="FB7" s="280"/>
      <c r="FC7" s="280"/>
      <c r="FD7" s="280"/>
      <c r="FE7" s="280"/>
      <c r="FF7" s="280"/>
      <c r="FG7" s="280"/>
      <c r="FH7" s="280"/>
      <c r="FI7" s="280"/>
      <c r="FJ7" s="280"/>
      <c r="FK7" s="280"/>
      <c r="FL7" s="280"/>
      <c r="FM7" s="280"/>
      <c r="FN7" s="280"/>
      <c r="FO7" s="280"/>
      <c r="FP7" s="280"/>
      <c r="FQ7" s="280"/>
      <c r="FR7" s="280"/>
      <c r="FS7" s="280"/>
      <c r="FT7" s="280"/>
      <c r="FU7" s="280"/>
      <c r="FV7" s="280"/>
      <c r="FW7" s="280"/>
      <c r="FX7" s="280"/>
      <c r="FY7" s="280"/>
      <c r="FZ7" s="280"/>
      <c r="GA7" s="280"/>
      <c r="GB7" s="280"/>
      <c r="GC7" s="280"/>
      <c r="GD7" s="280"/>
      <c r="GE7" s="280"/>
      <c r="GF7" s="280"/>
      <c r="GG7" s="280"/>
      <c r="GH7" s="280"/>
      <c r="GI7" s="280"/>
      <c r="GJ7" s="280"/>
      <c r="GK7" s="280"/>
      <c r="GL7" s="280"/>
      <c r="GM7" s="280"/>
      <c r="GN7" s="280"/>
      <c r="GO7" s="280"/>
      <c r="GP7" s="280"/>
      <c r="GQ7" s="280"/>
      <c r="GR7" s="280"/>
      <c r="GS7" s="280"/>
      <c r="GT7" s="280"/>
      <c r="GU7" s="280"/>
      <c r="GV7" s="280"/>
      <c r="GW7" s="280"/>
      <c r="GX7" s="280"/>
      <c r="GY7" s="280"/>
      <c r="GZ7" s="280"/>
      <c r="HA7" s="280"/>
      <c r="HB7" s="280"/>
      <c r="HC7" s="280"/>
      <c r="HD7" s="280"/>
      <c r="HE7" s="280"/>
      <c r="HF7" s="280"/>
      <c r="HG7" s="280"/>
      <c r="HH7" s="280"/>
      <c r="HI7" s="280"/>
      <c r="HJ7" s="280"/>
      <c r="HK7" s="280"/>
      <c r="HL7" s="280"/>
      <c r="HM7" s="280"/>
      <c r="HN7" s="280"/>
      <c r="HO7" s="280"/>
      <c r="HP7" s="280"/>
      <c r="HQ7" s="280"/>
      <c r="HR7" s="280"/>
      <c r="HS7" s="280"/>
      <c r="HT7" s="280"/>
    </row>
    <row r="8" spans="1:228" s="289" customFormat="1" ht="12.75">
      <c r="A8" s="809"/>
      <c r="B8" s="290" t="s">
        <v>190</v>
      </c>
      <c r="C8" s="290"/>
      <c r="D8" s="287"/>
      <c r="E8" s="812"/>
      <c r="F8" s="280"/>
      <c r="G8" s="280"/>
      <c r="H8" s="280"/>
      <c r="I8" s="280"/>
      <c r="J8" s="280"/>
      <c r="K8" s="280"/>
      <c r="L8" s="280"/>
      <c r="M8" s="280"/>
      <c r="N8" s="280"/>
      <c r="O8" s="280"/>
      <c r="P8" s="280"/>
      <c r="Q8" s="280"/>
      <c r="R8" s="280"/>
      <c r="S8" s="280"/>
      <c r="T8" s="280"/>
      <c r="U8" s="280"/>
      <c r="V8" s="280"/>
      <c r="W8" s="280"/>
      <c r="X8" s="280"/>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0"/>
      <c r="BK8" s="280"/>
      <c r="BL8" s="280"/>
      <c r="BM8" s="280"/>
      <c r="BN8" s="280"/>
      <c r="BO8" s="280"/>
      <c r="BP8" s="280"/>
      <c r="BQ8" s="280"/>
      <c r="BR8" s="280"/>
      <c r="BS8" s="280"/>
      <c r="BT8" s="280"/>
      <c r="BU8" s="280"/>
      <c r="BV8" s="280"/>
      <c r="BW8" s="280"/>
      <c r="BX8" s="280"/>
      <c r="BY8" s="280"/>
      <c r="BZ8" s="280"/>
      <c r="CA8" s="280"/>
      <c r="CB8" s="280"/>
      <c r="CC8" s="280"/>
      <c r="CD8" s="280"/>
      <c r="CE8" s="280"/>
      <c r="CF8" s="280"/>
      <c r="CG8" s="280"/>
      <c r="CH8" s="280"/>
      <c r="CI8" s="280"/>
      <c r="CJ8" s="280"/>
      <c r="CK8" s="280"/>
      <c r="CL8" s="280"/>
      <c r="CM8" s="280"/>
      <c r="CN8" s="280"/>
      <c r="CO8" s="280"/>
      <c r="CP8" s="280"/>
      <c r="CQ8" s="280"/>
      <c r="CR8" s="280"/>
      <c r="CS8" s="280"/>
      <c r="CT8" s="280"/>
      <c r="CU8" s="280"/>
      <c r="CV8" s="280"/>
      <c r="CW8" s="280"/>
      <c r="CX8" s="280"/>
      <c r="CY8" s="280"/>
      <c r="CZ8" s="280"/>
      <c r="DA8" s="280"/>
      <c r="DB8" s="280"/>
      <c r="DC8" s="280"/>
      <c r="DD8" s="280"/>
      <c r="DE8" s="280"/>
      <c r="DF8" s="280"/>
      <c r="DG8" s="280"/>
      <c r="DH8" s="280"/>
      <c r="DI8" s="280"/>
      <c r="DJ8" s="280"/>
      <c r="DK8" s="280"/>
      <c r="DL8" s="280"/>
      <c r="DM8" s="280"/>
      <c r="DN8" s="280"/>
      <c r="DO8" s="280"/>
      <c r="DP8" s="280"/>
      <c r="DQ8" s="280"/>
      <c r="DR8" s="280"/>
      <c r="DS8" s="280"/>
      <c r="DT8" s="280"/>
      <c r="DU8" s="280"/>
      <c r="DV8" s="280"/>
      <c r="DW8" s="280"/>
      <c r="DX8" s="280"/>
      <c r="DY8" s="280"/>
      <c r="DZ8" s="280"/>
      <c r="EA8" s="280"/>
      <c r="EB8" s="280"/>
      <c r="EC8" s="280"/>
      <c r="ED8" s="280"/>
      <c r="EE8" s="280"/>
      <c r="EF8" s="280"/>
      <c r="EG8" s="280"/>
      <c r="EH8" s="280"/>
      <c r="EI8" s="280"/>
      <c r="EJ8" s="280"/>
      <c r="EK8" s="280"/>
      <c r="EL8" s="280"/>
      <c r="EM8" s="280"/>
      <c r="EN8" s="280"/>
      <c r="EO8" s="280"/>
      <c r="EP8" s="280"/>
      <c r="EQ8" s="280"/>
      <c r="ER8" s="280"/>
      <c r="ES8" s="280"/>
      <c r="ET8" s="280"/>
      <c r="EU8" s="280"/>
      <c r="EV8" s="280"/>
      <c r="EW8" s="280"/>
      <c r="EX8" s="280"/>
      <c r="EY8" s="280"/>
      <c r="EZ8" s="280"/>
      <c r="FA8" s="280"/>
      <c r="FB8" s="280"/>
      <c r="FC8" s="280"/>
      <c r="FD8" s="280"/>
      <c r="FE8" s="280"/>
      <c r="FF8" s="280"/>
      <c r="FG8" s="280"/>
      <c r="FH8" s="280"/>
      <c r="FI8" s="280"/>
      <c r="FJ8" s="280"/>
      <c r="FK8" s="280"/>
      <c r="FL8" s="280"/>
      <c r="FM8" s="280"/>
      <c r="FN8" s="280"/>
      <c r="FO8" s="280"/>
      <c r="FP8" s="280"/>
      <c r="FQ8" s="280"/>
      <c r="FR8" s="280"/>
      <c r="FS8" s="280"/>
      <c r="FT8" s="280"/>
      <c r="FU8" s="280"/>
      <c r="FV8" s="280"/>
      <c r="FW8" s="280"/>
      <c r="FX8" s="280"/>
      <c r="FY8" s="280"/>
      <c r="FZ8" s="280"/>
      <c r="GA8" s="280"/>
      <c r="GB8" s="280"/>
      <c r="GC8" s="280"/>
      <c r="GD8" s="280"/>
      <c r="GE8" s="280"/>
      <c r="GF8" s="280"/>
      <c r="GG8" s="280"/>
      <c r="GH8" s="280"/>
      <c r="GI8" s="280"/>
      <c r="GJ8" s="280"/>
      <c r="GK8" s="280"/>
      <c r="GL8" s="280"/>
      <c r="GM8" s="280"/>
      <c r="GN8" s="280"/>
      <c r="GO8" s="280"/>
      <c r="GP8" s="280"/>
      <c r="GQ8" s="280"/>
      <c r="GR8" s="280"/>
      <c r="GS8" s="280"/>
      <c r="GT8" s="280"/>
      <c r="GU8" s="280"/>
      <c r="GV8" s="280"/>
      <c r="GW8" s="280"/>
      <c r="GX8" s="280"/>
      <c r="GY8" s="280"/>
      <c r="GZ8" s="280"/>
      <c r="HA8" s="280"/>
      <c r="HB8" s="280"/>
      <c r="HC8" s="280"/>
      <c r="HD8" s="280"/>
      <c r="HE8" s="280"/>
      <c r="HF8" s="280"/>
      <c r="HG8" s="280"/>
      <c r="HH8" s="280"/>
      <c r="HI8" s="280"/>
      <c r="HJ8" s="280"/>
      <c r="HK8" s="280"/>
      <c r="HL8" s="280"/>
      <c r="HM8" s="280"/>
      <c r="HN8" s="280"/>
      <c r="HO8" s="280"/>
      <c r="HP8" s="280"/>
      <c r="HQ8" s="280"/>
      <c r="HR8" s="280"/>
      <c r="HS8" s="280"/>
      <c r="HT8" s="280"/>
    </row>
    <row r="9" spans="1:228" s="293" customFormat="1" ht="15">
      <c r="A9" s="291" t="s">
        <v>30</v>
      </c>
      <c r="B9" s="292">
        <f>B10+B12+B11</f>
        <v>52604</v>
      </c>
      <c r="C9" s="292">
        <f>C10+C12+C11</f>
        <v>70</v>
      </c>
      <c r="D9" s="292">
        <f>D10+D12+D11</f>
        <v>0</v>
      </c>
      <c r="E9" s="114" t="s">
        <v>31</v>
      </c>
    </row>
    <row r="10" spans="1:228" s="293" customFormat="1" ht="15">
      <c r="A10" s="291" t="s">
        <v>32</v>
      </c>
      <c r="B10" s="294">
        <v>7174</v>
      </c>
      <c r="C10" s="294">
        <v>3</v>
      </c>
      <c r="D10" s="294"/>
      <c r="E10" s="114" t="s">
        <v>33</v>
      </c>
    </row>
    <row r="11" spans="1:228" s="293" customFormat="1" ht="15">
      <c r="A11" s="291" t="s">
        <v>36</v>
      </c>
      <c r="B11" s="294"/>
      <c r="C11" s="294"/>
      <c r="D11" s="295"/>
      <c r="E11" s="114" t="s">
        <v>391</v>
      </c>
    </row>
    <row r="12" spans="1:228" s="293" customFormat="1" ht="15">
      <c r="A12" s="291" t="s">
        <v>34</v>
      </c>
      <c r="B12" s="294">
        <f>SUM(B13:B32)</f>
        <v>45430</v>
      </c>
      <c r="C12" s="294">
        <f>SUM(C13:C32)</f>
        <v>67</v>
      </c>
      <c r="D12" s="294">
        <f>SUM(D13:D32)</f>
        <v>0</v>
      </c>
      <c r="E12" s="114" t="s">
        <v>35</v>
      </c>
    </row>
    <row r="13" spans="1:228" s="299" customFormat="1" ht="15">
      <c r="A13" s="296" t="s">
        <v>37</v>
      </c>
      <c r="B13" s="297">
        <v>2447</v>
      </c>
      <c r="C13" s="297">
        <v>0</v>
      </c>
      <c r="D13" s="297"/>
      <c r="E13" s="298" t="s">
        <v>38</v>
      </c>
    </row>
    <row r="14" spans="1:228" s="299" customFormat="1" ht="15">
      <c r="A14" s="296" t="s">
        <v>39</v>
      </c>
      <c r="B14" s="297">
        <v>1503</v>
      </c>
      <c r="C14" s="297">
        <v>0</v>
      </c>
      <c r="D14" s="297"/>
      <c r="E14" s="298" t="s">
        <v>40</v>
      </c>
    </row>
    <row r="15" spans="1:228" s="299" customFormat="1" ht="15">
      <c r="A15" s="296" t="s">
        <v>41</v>
      </c>
      <c r="B15" s="297">
        <v>2527</v>
      </c>
      <c r="C15" s="297">
        <v>0</v>
      </c>
      <c r="D15" s="297"/>
      <c r="E15" s="298" t="s">
        <v>42</v>
      </c>
    </row>
    <row r="16" spans="1:228" s="299" customFormat="1" ht="15">
      <c r="A16" s="296" t="s">
        <v>43</v>
      </c>
      <c r="B16" s="297">
        <v>1546</v>
      </c>
      <c r="C16" s="297">
        <v>1</v>
      </c>
      <c r="D16" s="297"/>
      <c r="E16" s="298" t="s">
        <v>44</v>
      </c>
    </row>
    <row r="17" spans="1:228" s="299" customFormat="1" ht="15">
      <c r="A17" s="296" t="s">
        <v>45</v>
      </c>
      <c r="B17" s="297">
        <v>2813</v>
      </c>
      <c r="C17" s="297">
        <v>0</v>
      </c>
      <c r="D17" s="297"/>
      <c r="E17" s="298" t="s">
        <v>46</v>
      </c>
    </row>
    <row r="18" spans="1:228" s="299" customFormat="1" ht="15">
      <c r="A18" s="296" t="s">
        <v>47</v>
      </c>
      <c r="B18" s="297">
        <v>1273</v>
      </c>
      <c r="C18" s="297">
        <v>0</v>
      </c>
      <c r="D18" s="297"/>
      <c r="E18" s="298" t="s">
        <v>48</v>
      </c>
    </row>
    <row r="19" spans="1:228" s="299" customFormat="1" ht="15">
      <c r="A19" s="296" t="s">
        <v>49</v>
      </c>
      <c r="B19" s="297">
        <v>1198</v>
      </c>
      <c r="C19" s="297">
        <v>0</v>
      </c>
      <c r="D19" s="297"/>
      <c r="E19" s="298" t="s">
        <v>50</v>
      </c>
    </row>
    <row r="20" spans="1:228" s="299" customFormat="1" ht="15">
      <c r="A20" s="296" t="s">
        <v>51</v>
      </c>
      <c r="B20" s="297">
        <v>2226</v>
      </c>
      <c r="C20" s="297">
        <v>1</v>
      </c>
      <c r="D20" s="297"/>
      <c r="E20" s="298" t="s">
        <v>52</v>
      </c>
    </row>
    <row r="21" spans="1:228" s="299" customFormat="1" ht="15">
      <c r="A21" s="296" t="s">
        <v>191</v>
      </c>
      <c r="B21" s="297">
        <v>2514</v>
      </c>
      <c r="C21" s="297">
        <v>3</v>
      </c>
      <c r="D21" s="297"/>
      <c r="E21" s="298" t="s">
        <v>54</v>
      </c>
    </row>
    <row r="22" spans="1:228" s="299" customFormat="1" ht="15">
      <c r="A22" s="296" t="s">
        <v>55</v>
      </c>
      <c r="B22" s="297">
        <v>2972</v>
      </c>
      <c r="C22" s="297">
        <v>1</v>
      </c>
      <c r="D22" s="297"/>
      <c r="E22" s="298" t="s">
        <v>56</v>
      </c>
    </row>
    <row r="23" spans="1:228" s="299" customFormat="1" ht="15">
      <c r="A23" s="296" t="s">
        <v>57</v>
      </c>
      <c r="B23" s="297">
        <v>206</v>
      </c>
      <c r="C23" s="297">
        <v>0</v>
      </c>
      <c r="D23" s="297"/>
      <c r="E23" s="298" t="s">
        <v>58</v>
      </c>
    </row>
    <row r="24" spans="1:228" s="299" customFormat="1" ht="15">
      <c r="A24" s="296" t="s">
        <v>59</v>
      </c>
      <c r="B24" s="297">
        <v>1263</v>
      </c>
      <c r="C24" s="297">
        <v>2</v>
      </c>
      <c r="D24" s="297"/>
      <c r="E24" s="298" t="s">
        <v>60</v>
      </c>
    </row>
    <row r="25" spans="1:228" s="299" customFormat="1" ht="15">
      <c r="A25" s="296" t="s">
        <v>61</v>
      </c>
      <c r="B25" s="297">
        <v>1910</v>
      </c>
      <c r="C25" s="297">
        <v>6</v>
      </c>
      <c r="D25" s="297"/>
      <c r="E25" s="298" t="s">
        <v>62</v>
      </c>
    </row>
    <row r="26" spans="1:228" ht="15">
      <c r="A26" s="296" t="s">
        <v>63</v>
      </c>
      <c r="B26" s="297">
        <v>4815</v>
      </c>
      <c r="C26" s="297">
        <v>10</v>
      </c>
      <c r="D26" s="297"/>
      <c r="E26" s="298" t="s">
        <v>64</v>
      </c>
      <c r="F26" s="299"/>
      <c r="G26" s="299"/>
      <c r="H26" s="299"/>
      <c r="I26" s="299"/>
      <c r="J26" s="299"/>
      <c r="K26" s="299"/>
      <c r="L26" s="299"/>
      <c r="M26" s="299"/>
      <c r="N26" s="299"/>
      <c r="O26" s="299"/>
      <c r="P26" s="299"/>
      <c r="Q26" s="299"/>
      <c r="R26" s="299"/>
      <c r="S26" s="299"/>
      <c r="T26" s="299"/>
      <c r="U26" s="299"/>
      <c r="V26" s="299"/>
      <c r="W26" s="299"/>
      <c r="X26" s="299"/>
      <c r="Y26" s="299"/>
      <c r="Z26" s="299"/>
      <c r="AA26" s="299"/>
      <c r="AB26" s="299"/>
      <c r="AC26" s="299"/>
      <c r="AD26" s="299"/>
      <c r="AE26" s="299"/>
      <c r="AF26" s="299"/>
      <c r="AG26" s="299"/>
      <c r="AH26" s="299"/>
      <c r="AI26" s="299"/>
      <c r="AJ26" s="299"/>
      <c r="AK26" s="299"/>
      <c r="AL26" s="299"/>
      <c r="AM26" s="299"/>
      <c r="AN26" s="299"/>
      <c r="AO26" s="299"/>
      <c r="AP26" s="299"/>
      <c r="AQ26" s="299"/>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99"/>
      <c r="BR26" s="299"/>
      <c r="BS26" s="299"/>
      <c r="BT26" s="299"/>
      <c r="BU26" s="299"/>
      <c r="BV26" s="299"/>
      <c r="BW26" s="299"/>
      <c r="BX26" s="299"/>
      <c r="BY26" s="299"/>
      <c r="BZ26" s="299"/>
      <c r="CA26" s="299"/>
      <c r="CB26" s="299"/>
      <c r="CC26" s="299"/>
      <c r="CD26" s="299"/>
      <c r="CE26" s="299"/>
      <c r="CF26" s="299"/>
      <c r="CG26" s="299"/>
      <c r="CH26" s="299"/>
      <c r="CI26" s="299"/>
      <c r="CJ26" s="299"/>
      <c r="CK26" s="299"/>
      <c r="CL26" s="299"/>
      <c r="CM26" s="299"/>
      <c r="CN26" s="299"/>
      <c r="CO26" s="299"/>
      <c r="CP26" s="299"/>
      <c r="CQ26" s="299"/>
      <c r="CR26" s="299"/>
      <c r="CS26" s="299"/>
      <c r="CT26" s="299"/>
      <c r="CU26" s="299"/>
      <c r="CV26" s="299"/>
      <c r="CW26" s="299"/>
      <c r="CX26" s="299"/>
      <c r="CY26" s="299"/>
      <c r="CZ26" s="299"/>
      <c r="DA26" s="299"/>
      <c r="DB26" s="299"/>
      <c r="DC26" s="299"/>
      <c r="DD26" s="299"/>
      <c r="DE26" s="299"/>
      <c r="DF26" s="299"/>
      <c r="DG26" s="299"/>
      <c r="DH26" s="299"/>
      <c r="DI26" s="299"/>
      <c r="DJ26" s="299"/>
      <c r="DK26" s="299"/>
      <c r="DL26" s="299"/>
      <c r="DM26" s="299"/>
      <c r="DN26" s="299"/>
      <c r="DO26" s="299"/>
      <c r="DP26" s="299"/>
      <c r="DQ26" s="299"/>
      <c r="DR26" s="299"/>
      <c r="DS26" s="299"/>
      <c r="DT26" s="299"/>
      <c r="DU26" s="299"/>
      <c r="DV26" s="299"/>
      <c r="DW26" s="299"/>
      <c r="DX26" s="299"/>
      <c r="DY26" s="299"/>
      <c r="DZ26" s="299"/>
      <c r="EA26" s="299"/>
      <c r="EB26" s="299"/>
      <c r="EC26" s="299"/>
      <c r="ED26" s="299"/>
      <c r="EE26" s="299"/>
      <c r="EF26" s="299"/>
      <c r="EG26" s="299"/>
      <c r="EH26" s="299"/>
      <c r="EI26" s="299"/>
      <c r="EJ26" s="299"/>
      <c r="EK26" s="299"/>
      <c r="EL26" s="299"/>
      <c r="EM26" s="299"/>
      <c r="EN26" s="299"/>
      <c r="EO26" s="299"/>
      <c r="EP26" s="299"/>
      <c r="EQ26" s="299"/>
      <c r="ER26" s="299"/>
      <c r="ES26" s="299"/>
      <c r="ET26" s="299"/>
      <c r="EU26" s="299"/>
      <c r="EV26" s="299"/>
      <c r="EW26" s="299"/>
      <c r="EX26" s="299"/>
      <c r="EY26" s="299"/>
      <c r="EZ26" s="299"/>
      <c r="FA26" s="299"/>
      <c r="FB26" s="299"/>
      <c r="FC26" s="299"/>
      <c r="FD26" s="299"/>
      <c r="FE26" s="299"/>
      <c r="FF26" s="299"/>
      <c r="FG26" s="299"/>
      <c r="FH26" s="299"/>
      <c r="FI26" s="299"/>
      <c r="FJ26" s="299"/>
      <c r="FK26" s="299"/>
      <c r="FL26" s="299"/>
      <c r="FM26" s="299"/>
      <c r="FN26" s="299"/>
      <c r="FO26" s="299"/>
      <c r="FP26" s="299"/>
      <c r="FQ26" s="299"/>
      <c r="FR26" s="299"/>
      <c r="FS26" s="299"/>
      <c r="FT26" s="299"/>
      <c r="FU26" s="299"/>
      <c r="FV26" s="299"/>
      <c r="FW26" s="299"/>
      <c r="FX26" s="299"/>
      <c r="FY26" s="299"/>
      <c r="FZ26" s="299"/>
      <c r="GA26" s="299"/>
      <c r="GB26" s="299"/>
      <c r="GC26" s="299"/>
      <c r="GD26" s="299"/>
      <c r="GE26" s="299"/>
      <c r="GF26" s="299"/>
      <c r="GG26" s="299"/>
      <c r="GH26" s="299"/>
      <c r="GI26" s="299"/>
      <c r="GJ26" s="299"/>
      <c r="GK26" s="299"/>
      <c r="GL26" s="299"/>
      <c r="GM26" s="299"/>
      <c r="GN26" s="299"/>
      <c r="GO26" s="299"/>
      <c r="GP26" s="299"/>
      <c r="GQ26" s="299"/>
      <c r="GR26" s="299"/>
      <c r="GS26" s="299"/>
      <c r="GT26" s="299"/>
      <c r="GU26" s="299"/>
      <c r="GV26" s="299"/>
      <c r="GW26" s="299"/>
      <c r="GX26" s="299"/>
      <c r="GY26" s="299"/>
      <c r="GZ26" s="299"/>
      <c r="HA26" s="299"/>
      <c r="HB26" s="299"/>
      <c r="HC26" s="299"/>
      <c r="HD26" s="299"/>
      <c r="HE26" s="299"/>
      <c r="HF26" s="299"/>
      <c r="HG26" s="299"/>
      <c r="HH26" s="299"/>
      <c r="HI26" s="299"/>
      <c r="HJ26" s="299"/>
      <c r="HK26" s="299"/>
      <c r="HL26" s="299"/>
      <c r="HM26" s="299"/>
      <c r="HN26" s="299"/>
      <c r="HO26" s="299"/>
      <c r="HP26" s="299"/>
      <c r="HQ26" s="299"/>
      <c r="HR26" s="299"/>
      <c r="HS26" s="299"/>
      <c r="HT26" s="299"/>
    </row>
    <row r="27" spans="1:228" ht="15">
      <c r="A27" s="296" t="s">
        <v>65</v>
      </c>
      <c r="B27" s="297">
        <v>2097</v>
      </c>
      <c r="C27" s="297">
        <v>3</v>
      </c>
      <c r="D27" s="297"/>
      <c r="E27" s="298" t="s">
        <v>66</v>
      </c>
      <c r="F27" s="299"/>
      <c r="G27" s="299"/>
      <c r="H27" s="299"/>
      <c r="I27" s="299"/>
      <c r="J27" s="299"/>
      <c r="K27" s="299"/>
      <c r="L27" s="299"/>
      <c r="M27" s="299"/>
      <c r="N27" s="299"/>
      <c r="O27" s="299"/>
      <c r="P27" s="299"/>
      <c r="Q27" s="299"/>
      <c r="R27" s="299"/>
      <c r="S27" s="299"/>
      <c r="T27" s="299"/>
      <c r="U27" s="299"/>
      <c r="V27" s="299"/>
      <c r="W27" s="299"/>
      <c r="X27" s="299"/>
      <c r="Y27" s="299"/>
      <c r="Z27" s="299"/>
      <c r="AA27" s="299"/>
      <c r="AB27" s="299"/>
      <c r="AC27" s="299"/>
      <c r="AD27" s="299"/>
      <c r="AE27" s="299"/>
      <c r="AF27" s="299"/>
      <c r="AG27" s="299"/>
      <c r="AH27" s="299"/>
      <c r="AI27" s="299"/>
      <c r="AJ27" s="299"/>
      <c r="AK27" s="299"/>
      <c r="AL27" s="299"/>
      <c r="AM27" s="299"/>
      <c r="AN27" s="299"/>
      <c r="AO27" s="299"/>
      <c r="AP27" s="299"/>
      <c r="AQ27" s="299"/>
      <c r="AR27" s="299"/>
      <c r="AS27" s="299"/>
      <c r="AT27" s="299"/>
      <c r="AU27" s="299"/>
      <c r="AV27" s="299"/>
      <c r="AW27" s="299"/>
      <c r="AX27" s="299"/>
      <c r="AY27" s="299"/>
      <c r="AZ27" s="299"/>
      <c r="BA27" s="299"/>
      <c r="BB27" s="299"/>
      <c r="BC27" s="299"/>
      <c r="BD27" s="299"/>
      <c r="BE27" s="299"/>
      <c r="BF27" s="299"/>
      <c r="BG27" s="299"/>
      <c r="BH27" s="299"/>
      <c r="BI27" s="299"/>
      <c r="BJ27" s="299"/>
      <c r="BK27" s="299"/>
      <c r="BL27" s="299"/>
      <c r="BM27" s="299"/>
      <c r="BN27" s="299"/>
      <c r="BO27" s="299"/>
      <c r="BP27" s="299"/>
      <c r="BQ27" s="299"/>
      <c r="BR27" s="299"/>
      <c r="BS27" s="299"/>
      <c r="BT27" s="299"/>
      <c r="BU27" s="299"/>
      <c r="BV27" s="299"/>
      <c r="BW27" s="299"/>
      <c r="BX27" s="299"/>
      <c r="BY27" s="299"/>
      <c r="BZ27" s="299"/>
      <c r="CA27" s="299"/>
      <c r="CB27" s="299"/>
      <c r="CC27" s="299"/>
      <c r="CD27" s="299"/>
      <c r="CE27" s="299"/>
      <c r="CF27" s="299"/>
      <c r="CG27" s="299"/>
      <c r="CH27" s="299"/>
      <c r="CI27" s="299"/>
      <c r="CJ27" s="299"/>
      <c r="CK27" s="299"/>
      <c r="CL27" s="299"/>
      <c r="CM27" s="299"/>
      <c r="CN27" s="299"/>
      <c r="CO27" s="299"/>
      <c r="CP27" s="299"/>
      <c r="CQ27" s="299"/>
      <c r="CR27" s="299"/>
      <c r="CS27" s="299"/>
      <c r="CT27" s="299"/>
      <c r="CU27" s="299"/>
      <c r="CV27" s="299"/>
      <c r="CW27" s="299"/>
      <c r="CX27" s="299"/>
      <c r="CY27" s="299"/>
      <c r="CZ27" s="299"/>
      <c r="DA27" s="299"/>
      <c r="DB27" s="299"/>
      <c r="DC27" s="299"/>
      <c r="DD27" s="299"/>
      <c r="DE27" s="299"/>
      <c r="DF27" s="299"/>
      <c r="DG27" s="299"/>
      <c r="DH27" s="299"/>
      <c r="DI27" s="299"/>
      <c r="DJ27" s="299"/>
      <c r="DK27" s="299"/>
      <c r="DL27" s="299"/>
      <c r="DM27" s="299"/>
      <c r="DN27" s="299"/>
      <c r="DO27" s="299"/>
      <c r="DP27" s="299"/>
      <c r="DQ27" s="299"/>
      <c r="DR27" s="299"/>
      <c r="DS27" s="299"/>
      <c r="DT27" s="299"/>
      <c r="DU27" s="299"/>
      <c r="DV27" s="299"/>
      <c r="DW27" s="299"/>
      <c r="DX27" s="299"/>
      <c r="DY27" s="299"/>
      <c r="DZ27" s="299"/>
      <c r="EA27" s="299"/>
      <c r="EB27" s="299"/>
      <c r="EC27" s="299"/>
      <c r="ED27" s="299"/>
      <c r="EE27" s="299"/>
      <c r="EF27" s="299"/>
      <c r="EG27" s="299"/>
      <c r="EH27" s="299"/>
      <c r="EI27" s="299"/>
      <c r="EJ27" s="299"/>
      <c r="EK27" s="299"/>
      <c r="EL27" s="299"/>
      <c r="EM27" s="299"/>
      <c r="EN27" s="299"/>
      <c r="EO27" s="299"/>
      <c r="EP27" s="299"/>
      <c r="EQ27" s="299"/>
      <c r="ER27" s="299"/>
      <c r="ES27" s="299"/>
      <c r="ET27" s="299"/>
      <c r="EU27" s="299"/>
      <c r="EV27" s="299"/>
      <c r="EW27" s="299"/>
      <c r="EX27" s="299"/>
      <c r="EY27" s="299"/>
      <c r="EZ27" s="299"/>
      <c r="FA27" s="299"/>
      <c r="FB27" s="299"/>
      <c r="FC27" s="299"/>
      <c r="FD27" s="299"/>
      <c r="FE27" s="299"/>
      <c r="FF27" s="299"/>
      <c r="FG27" s="299"/>
      <c r="FH27" s="299"/>
      <c r="FI27" s="299"/>
      <c r="FJ27" s="299"/>
      <c r="FK27" s="299"/>
      <c r="FL27" s="299"/>
      <c r="FM27" s="299"/>
      <c r="FN27" s="299"/>
      <c r="FO27" s="299"/>
      <c r="FP27" s="299"/>
      <c r="FQ27" s="299"/>
      <c r="FR27" s="299"/>
      <c r="FS27" s="299"/>
      <c r="FT27" s="299"/>
      <c r="FU27" s="299"/>
      <c r="FV27" s="299"/>
      <c r="FW27" s="299"/>
      <c r="FX27" s="299"/>
      <c r="FY27" s="299"/>
      <c r="FZ27" s="299"/>
      <c r="GA27" s="299"/>
      <c r="GB27" s="299"/>
      <c r="GC27" s="299"/>
      <c r="GD27" s="299"/>
      <c r="GE27" s="299"/>
      <c r="GF27" s="299"/>
      <c r="GG27" s="299"/>
      <c r="GH27" s="299"/>
      <c r="GI27" s="299"/>
      <c r="GJ27" s="299"/>
      <c r="GK27" s="299"/>
      <c r="GL27" s="299"/>
      <c r="GM27" s="299"/>
      <c r="GN27" s="299"/>
      <c r="GO27" s="299"/>
      <c r="GP27" s="299"/>
      <c r="GQ27" s="299"/>
      <c r="GR27" s="299"/>
      <c r="GS27" s="299"/>
      <c r="GT27" s="299"/>
      <c r="GU27" s="299"/>
      <c r="GV27" s="299"/>
      <c r="GW27" s="299"/>
      <c r="GX27" s="299"/>
      <c r="GY27" s="299"/>
      <c r="GZ27" s="299"/>
      <c r="HA27" s="299"/>
      <c r="HB27" s="299"/>
      <c r="HC27" s="299"/>
      <c r="HD27" s="299"/>
      <c r="HE27" s="299"/>
      <c r="HF27" s="299"/>
      <c r="HG27" s="299"/>
      <c r="HH27" s="299"/>
      <c r="HI27" s="299"/>
      <c r="HJ27" s="299"/>
      <c r="HK27" s="299"/>
      <c r="HL27" s="299"/>
      <c r="HM27" s="299"/>
      <c r="HN27" s="299"/>
      <c r="HO27" s="299"/>
      <c r="HP27" s="299"/>
      <c r="HQ27" s="299"/>
      <c r="HR27" s="299"/>
      <c r="HS27" s="299"/>
      <c r="HT27" s="299"/>
    </row>
    <row r="28" spans="1:228" ht="15">
      <c r="A28" s="296" t="s">
        <v>67</v>
      </c>
      <c r="B28" s="297">
        <v>3453</v>
      </c>
      <c r="C28" s="297">
        <v>11</v>
      </c>
      <c r="D28" s="297"/>
      <c r="E28" s="298" t="s">
        <v>68</v>
      </c>
      <c r="F28" s="299"/>
      <c r="G28" s="299"/>
      <c r="H28" s="299"/>
      <c r="I28" s="299"/>
      <c r="J28" s="299"/>
      <c r="K28" s="299"/>
      <c r="L28" s="299"/>
      <c r="M28" s="299"/>
      <c r="N28" s="299"/>
      <c r="O28" s="299"/>
      <c r="P28" s="299"/>
      <c r="Q28" s="299"/>
      <c r="R28" s="299"/>
      <c r="S28" s="299"/>
      <c r="T28" s="299"/>
      <c r="U28" s="299"/>
      <c r="V28" s="299"/>
      <c r="W28" s="299"/>
      <c r="X28" s="299"/>
      <c r="Y28" s="299"/>
      <c r="Z28" s="299"/>
      <c r="AA28" s="299"/>
      <c r="AB28" s="299"/>
      <c r="AC28" s="299"/>
      <c r="AD28" s="299"/>
      <c r="AE28" s="299"/>
      <c r="AF28" s="299"/>
      <c r="AG28" s="299"/>
      <c r="AH28" s="299"/>
      <c r="AI28" s="299"/>
      <c r="AJ28" s="299"/>
      <c r="AK28" s="299"/>
      <c r="AL28" s="299"/>
      <c r="AM28" s="299"/>
      <c r="AN28" s="299"/>
      <c r="AO28" s="299"/>
      <c r="AP28" s="299"/>
      <c r="AQ28" s="299"/>
      <c r="AR28" s="299"/>
      <c r="AS28" s="299"/>
      <c r="AT28" s="299"/>
      <c r="AU28" s="299"/>
      <c r="AV28" s="299"/>
      <c r="AW28" s="299"/>
      <c r="AX28" s="299"/>
      <c r="AY28" s="299"/>
      <c r="AZ28" s="299"/>
      <c r="BA28" s="299"/>
      <c r="BB28" s="299"/>
      <c r="BC28" s="299"/>
      <c r="BD28" s="299"/>
      <c r="BE28" s="299"/>
      <c r="BF28" s="299"/>
      <c r="BG28" s="299"/>
      <c r="BH28" s="299"/>
      <c r="BI28" s="299"/>
      <c r="BJ28" s="299"/>
      <c r="BK28" s="299"/>
      <c r="BL28" s="299"/>
      <c r="BM28" s="299"/>
      <c r="BN28" s="299"/>
      <c r="BO28" s="299"/>
      <c r="BP28" s="299"/>
      <c r="BQ28" s="299"/>
      <c r="BR28" s="299"/>
      <c r="BS28" s="299"/>
      <c r="BT28" s="299"/>
      <c r="BU28" s="299"/>
      <c r="BV28" s="299"/>
      <c r="BW28" s="299"/>
      <c r="BX28" s="299"/>
      <c r="BY28" s="299"/>
      <c r="BZ28" s="299"/>
      <c r="CA28" s="299"/>
      <c r="CB28" s="299"/>
      <c r="CC28" s="299"/>
      <c r="CD28" s="299"/>
      <c r="CE28" s="299"/>
      <c r="CF28" s="299"/>
      <c r="CG28" s="299"/>
      <c r="CH28" s="299"/>
      <c r="CI28" s="299"/>
      <c r="CJ28" s="299"/>
      <c r="CK28" s="299"/>
      <c r="CL28" s="299"/>
      <c r="CM28" s="299"/>
      <c r="CN28" s="299"/>
      <c r="CO28" s="299"/>
      <c r="CP28" s="299"/>
      <c r="CQ28" s="299"/>
      <c r="CR28" s="299"/>
      <c r="CS28" s="299"/>
      <c r="CT28" s="299"/>
      <c r="CU28" s="299"/>
      <c r="CV28" s="299"/>
      <c r="CW28" s="299"/>
      <c r="CX28" s="299"/>
      <c r="CY28" s="299"/>
      <c r="CZ28" s="299"/>
      <c r="DA28" s="299"/>
      <c r="DB28" s="299"/>
      <c r="DC28" s="299"/>
      <c r="DD28" s="299"/>
      <c r="DE28" s="299"/>
      <c r="DF28" s="299"/>
      <c r="DG28" s="299"/>
      <c r="DH28" s="299"/>
      <c r="DI28" s="299"/>
      <c r="DJ28" s="299"/>
      <c r="DK28" s="299"/>
      <c r="DL28" s="299"/>
      <c r="DM28" s="299"/>
      <c r="DN28" s="299"/>
      <c r="DO28" s="299"/>
      <c r="DP28" s="299"/>
      <c r="DQ28" s="299"/>
      <c r="DR28" s="299"/>
      <c r="DS28" s="299"/>
      <c r="DT28" s="299"/>
      <c r="DU28" s="299"/>
      <c r="DV28" s="299"/>
      <c r="DW28" s="299"/>
      <c r="DX28" s="299"/>
      <c r="DY28" s="299"/>
      <c r="DZ28" s="299"/>
      <c r="EA28" s="299"/>
      <c r="EB28" s="299"/>
      <c r="EC28" s="299"/>
      <c r="ED28" s="299"/>
      <c r="EE28" s="299"/>
      <c r="EF28" s="299"/>
      <c r="EG28" s="299"/>
      <c r="EH28" s="299"/>
      <c r="EI28" s="299"/>
      <c r="EJ28" s="299"/>
      <c r="EK28" s="299"/>
      <c r="EL28" s="299"/>
      <c r="EM28" s="299"/>
      <c r="EN28" s="299"/>
      <c r="EO28" s="299"/>
      <c r="EP28" s="299"/>
      <c r="EQ28" s="299"/>
      <c r="ER28" s="299"/>
      <c r="ES28" s="299"/>
      <c r="ET28" s="299"/>
      <c r="EU28" s="299"/>
      <c r="EV28" s="299"/>
      <c r="EW28" s="299"/>
      <c r="EX28" s="299"/>
      <c r="EY28" s="299"/>
      <c r="EZ28" s="299"/>
      <c r="FA28" s="299"/>
      <c r="FB28" s="299"/>
      <c r="FC28" s="299"/>
      <c r="FD28" s="299"/>
      <c r="FE28" s="299"/>
      <c r="FF28" s="299"/>
      <c r="FG28" s="299"/>
      <c r="FH28" s="299"/>
      <c r="FI28" s="299"/>
      <c r="FJ28" s="299"/>
      <c r="FK28" s="299"/>
      <c r="FL28" s="299"/>
      <c r="FM28" s="299"/>
      <c r="FN28" s="299"/>
      <c r="FO28" s="299"/>
      <c r="FP28" s="299"/>
      <c r="FQ28" s="299"/>
      <c r="FR28" s="299"/>
      <c r="FS28" s="299"/>
      <c r="FT28" s="299"/>
      <c r="FU28" s="299"/>
      <c r="FV28" s="299"/>
      <c r="FW28" s="299"/>
      <c r="FX28" s="299"/>
      <c r="FY28" s="299"/>
      <c r="FZ28" s="299"/>
      <c r="GA28" s="299"/>
      <c r="GB28" s="299"/>
      <c r="GC28" s="299"/>
      <c r="GD28" s="299"/>
      <c r="GE28" s="299"/>
      <c r="GF28" s="299"/>
      <c r="GG28" s="299"/>
      <c r="GH28" s="299"/>
      <c r="GI28" s="299"/>
      <c r="GJ28" s="299"/>
      <c r="GK28" s="299"/>
      <c r="GL28" s="299"/>
      <c r="GM28" s="299"/>
      <c r="GN28" s="299"/>
      <c r="GO28" s="299"/>
      <c r="GP28" s="299"/>
      <c r="GQ28" s="299"/>
      <c r="GR28" s="299"/>
      <c r="GS28" s="299"/>
      <c r="GT28" s="299"/>
      <c r="GU28" s="299"/>
      <c r="GV28" s="299"/>
      <c r="GW28" s="299"/>
      <c r="GX28" s="299"/>
      <c r="GY28" s="299"/>
      <c r="GZ28" s="299"/>
      <c r="HA28" s="299"/>
      <c r="HB28" s="299"/>
      <c r="HC28" s="299"/>
      <c r="HD28" s="299"/>
      <c r="HE28" s="299"/>
      <c r="HF28" s="299"/>
      <c r="HG28" s="299"/>
      <c r="HH28" s="299"/>
      <c r="HI28" s="299"/>
      <c r="HJ28" s="299"/>
      <c r="HK28" s="299"/>
      <c r="HL28" s="299"/>
      <c r="HM28" s="299"/>
      <c r="HN28" s="299"/>
      <c r="HO28" s="299"/>
      <c r="HP28" s="299"/>
      <c r="HQ28" s="299"/>
      <c r="HR28" s="299"/>
      <c r="HS28" s="299"/>
      <c r="HT28" s="299"/>
    </row>
    <row r="29" spans="1:228" s="300" customFormat="1" ht="15">
      <c r="A29" s="296" t="s">
        <v>69</v>
      </c>
      <c r="B29" s="297">
        <v>5035</v>
      </c>
      <c r="C29" s="297">
        <v>0</v>
      </c>
      <c r="D29" s="297"/>
      <c r="E29" s="298" t="s">
        <v>70</v>
      </c>
      <c r="F29" s="299"/>
      <c r="G29" s="299"/>
      <c r="H29" s="299"/>
      <c r="I29" s="299"/>
      <c r="J29" s="299"/>
      <c r="K29" s="299"/>
      <c r="L29" s="299"/>
      <c r="M29" s="299"/>
      <c r="N29" s="299"/>
      <c r="O29" s="299"/>
      <c r="P29" s="299"/>
      <c r="Q29" s="299"/>
      <c r="R29" s="299"/>
      <c r="S29" s="299"/>
      <c r="T29" s="299"/>
      <c r="U29" s="299"/>
      <c r="V29" s="299"/>
      <c r="W29" s="299"/>
      <c r="X29" s="299"/>
      <c r="Y29" s="299"/>
      <c r="Z29" s="299"/>
      <c r="AA29" s="299"/>
      <c r="AB29" s="299"/>
      <c r="AC29" s="299"/>
      <c r="AD29" s="299"/>
      <c r="AE29" s="299"/>
      <c r="AF29" s="299"/>
      <c r="AG29" s="299"/>
      <c r="AH29" s="299"/>
      <c r="AI29" s="299"/>
      <c r="AJ29" s="299"/>
      <c r="AK29" s="299"/>
      <c r="AL29" s="299"/>
      <c r="AM29" s="299"/>
      <c r="AN29" s="299"/>
      <c r="AO29" s="299"/>
      <c r="AP29" s="299"/>
      <c r="AQ29" s="299"/>
      <c r="AR29" s="299"/>
      <c r="AS29" s="299"/>
      <c r="AT29" s="299"/>
      <c r="AU29" s="299"/>
      <c r="AV29" s="299"/>
      <c r="AW29" s="299"/>
      <c r="AX29" s="299"/>
      <c r="AY29" s="299"/>
      <c r="AZ29" s="299"/>
      <c r="BA29" s="299"/>
      <c r="BB29" s="299"/>
      <c r="BC29" s="299"/>
      <c r="BD29" s="299"/>
      <c r="BE29" s="299"/>
      <c r="BF29" s="299"/>
      <c r="BG29" s="299"/>
      <c r="BH29" s="299"/>
      <c r="BI29" s="299"/>
      <c r="BJ29" s="299"/>
      <c r="BK29" s="299"/>
      <c r="BL29" s="299"/>
      <c r="BM29" s="299"/>
      <c r="BN29" s="299"/>
      <c r="BO29" s="299"/>
      <c r="BP29" s="299"/>
      <c r="BQ29" s="299"/>
      <c r="BR29" s="299"/>
      <c r="BS29" s="299"/>
      <c r="BT29" s="299"/>
      <c r="BU29" s="299"/>
      <c r="BV29" s="299"/>
      <c r="BW29" s="299"/>
      <c r="BX29" s="299"/>
      <c r="BY29" s="299"/>
      <c r="BZ29" s="299"/>
      <c r="CA29" s="299"/>
      <c r="CB29" s="299"/>
      <c r="CC29" s="299"/>
      <c r="CD29" s="299"/>
      <c r="CE29" s="299"/>
      <c r="CF29" s="299"/>
      <c r="CG29" s="299"/>
      <c r="CH29" s="299"/>
      <c r="CI29" s="299"/>
      <c r="CJ29" s="299"/>
      <c r="CK29" s="299"/>
      <c r="CL29" s="299"/>
      <c r="CM29" s="299"/>
      <c r="CN29" s="299"/>
      <c r="CO29" s="299"/>
      <c r="CP29" s="299"/>
      <c r="CQ29" s="299"/>
      <c r="CR29" s="299"/>
      <c r="CS29" s="299"/>
      <c r="CT29" s="299"/>
      <c r="CU29" s="299"/>
      <c r="CV29" s="299"/>
      <c r="CW29" s="299"/>
      <c r="CX29" s="299"/>
      <c r="CY29" s="299"/>
      <c r="CZ29" s="299"/>
      <c r="DA29" s="299"/>
      <c r="DB29" s="299"/>
      <c r="DC29" s="299"/>
      <c r="DD29" s="299"/>
      <c r="DE29" s="299"/>
      <c r="DF29" s="299"/>
      <c r="DG29" s="299"/>
      <c r="DH29" s="299"/>
      <c r="DI29" s="299"/>
      <c r="DJ29" s="299"/>
      <c r="DK29" s="299"/>
      <c r="DL29" s="299"/>
      <c r="DM29" s="299"/>
      <c r="DN29" s="299"/>
      <c r="DO29" s="299"/>
      <c r="DP29" s="299"/>
      <c r="DQ29" s="299"/>
      <c r="DR29" s="299"/>
      <c r="DS29" s="299"/>
      <c r="DT29" s="299"/>
      <c r="DU29" s="299"/>
      <c r="DV29" s="299"/>
      <c r="DW29" s="299"/>
      <c r="DX29" s="299"/>
      <c r="DY29" s="299"/>
      <c r="DZ29" s="299"/>
      <c r="EA29" s="299"/>
      <c r="EB29" s="299"/>
      <c r="EC29" s="299"/>
      <c r="ED29" s="299"/>
      <c r="EE29" s="299"/>
      <c r="EF29" s="299"/>
      <c r="EG29" s="299"/>
      <c r="EH29" s="299"/>
      <c r="EI29" s="299"/>
      <c r="EJ29" s="299"/>
      <c r="EK29" s="299"/>
      <c r="EL29" s="299"/>
      <c r="EM29" s="299"/>
      <c r="EN29" s="299"/>
      <c r="EO29" s="299"/>
      <c r="EP29" s="299"/>
      <c r="EQ29" s="299"/>
      <c r="ER29" s="299"/>
      <c r="ES29" s="299"/>
      <c r="ET29" s="299"/>
      <c r="EU29" s="299"/>
      <c r="EV29" s="299"/>
      <c r="EW29" s="299"/>
      <c r="EX29" s="299"/>
      <c r="EY29" s="299"/>
      <c r="EZ29" s="299"/>
      <c r="FA29" s="299"/>
      <c r="FB29" s="299"/>
      <c r="FC29" s="299"/>
      <c r="FD29" s="299"/>
      <c r="FE29" s="299"/>
      <c r="FF29" s="299"/>
      <c r="FG29" s="299"/>
      <c r="FH29" s="299"/>
      <c r="FI29" s="299"/>
      <c r="FJ29" s="299"/>
      <c r="FK29" s="299"/>
      <c r="FL29" s="299"/>
      <c r="FM29" s="299"/>
      <c r="FN29" s="299"/>
      <c r="FO29" s="299"/>
      <c r="FP29" s="299"/>
      <c r="FQ29" s="299"/>
      <c r="FR29" s="299"/>
      <c r="FS29" s="299"/>
      <c r="FT29" s="299"/>
      <c r="FU29" s="299"/>
      <c r="FV29" s="299"/>
      <c r="FW29" s="299"/>
      <c r="FX29" s="299"/>
      <c r="FY29" s="299"/>
      <c r="FZ29" s="299"/>
      <c r="GA29" s="299"/>
      <c r="GB29" s="299"/>
      <c r="GC29" s="299"/>
      <c r="GD29" s="299"/>
      <c r="GE29" s="299"/>
      <c r="GF29" s="299"/>
      <c r="GG29" s="299"/>
      <c r="GH29" s="299"/>
      <c r="GI29" s="299"/>
      <c r="GJ29" s="299"/>
      <c r="GK29" s="299"/>
      <c r="GL29" s="299"/>
      <c r="GM29" s="299"/>
      <c r="GN29" s="299"/>
      <c r="GO29" s="299"/>
      <c r="GP29" s="299"/>
      <c r="GQ29" s="299"/>
      <c r="GR29" s="299"/>
      <c r="GS29" s="299"/>
      <c r="GT29" s="299"/>
      <c r="GU29" s="299"/>
      <c r="GV29" s="299"/>
      <c r="GW29" s="299"/>
      <c r="GX29" s="299"/>
      <c r="GY29" s="299"/>
      <c r="GZ29" s="299"/>
      <c r="HA29" s="299"/>
      <c r="HB29" s="299"/>
      <c r="HC29" s="299"/>
      <c r="HD29" s="299"/>
      <c r="HE29" s="299"/>
      <c r="HF29" s="299"/>
      <c r="HG29" s="299"/>
      <c r="HH29" s="299"/>
      <c r="HI29" s="299"/>
      <c r="HJ29" s="299"/>
      <c r="HK29" s="299"/>
      <c r="HL29" s="299"/>
      <c r="HM29" s="299"/>
      <c r="HN29" s="299"/>
      <c r="HO29" s="299"/>
      <c r="HP29" s="299"/>
      <c r="HQ29" s="299"/>
      <c r="HR29" s="299"/>
      <c r="HS29" s="299"/>
      <c r="HT29" s="299"/>
    </row>
    <row r="30" spans="1:228" s="300" customFormat="1" ht="15">
      <c r="A30" s="296" t="s">
        <v>71</v>
      </c>
      <c r="B30" s="297">
        <v>2904</v>
      </c>
      <c r="C30" s="297">
        <v>0</v>
      </c>
      <c r="D30" s="297"/>
      <c r="E30" s="298" t="s">
        <v>72</v>
      </c>
      <c r="F30" s="299"/>
      <c r="G30" s="299"/>
      <c r="H30" s="299"/>
      <c r="I30" s="299"/>
      <c r="J30" s="299"/>
      <c r="K30" s="299"/>
      <c r="L30" s="299"/>
      <c r="M30" s="299"/>
      <c r="N30" s="299"/>
      <c r="O30" s="299"/>
      <c r="P30" s="299"/>
      <c r="Q30" s="299"/>
      <c r="R30" s="299"/>
      <c r="S30" s="299"/>
      <c r="T30" s="299"/>
      <c r="U30" s="299"/>
      <c r="V30" s="299"/>
      <c r="W30" s="299"/>
      <c r="X30" s="299"/>
      <c r="Y30" s="299"/>
      <c r="Z30" s="299"/>
      <c r="AA30" s="299"/>
      <c r="AB30" s="299"/>
      <c r="AC30" s="299"/>
      <c r="AD30" s="299"/>
      <c r="AE30" s="299"/>
      <c r="AF30" s="299"/>
      <c r="AG30" s="299"/>
      <c r="AH30" s="299"/>
      <c r="AI30" s="299"/>
      <c r="AJ30" s="299"/>
      <c r="AK30" s="299"/>
      <c r="AL30" s="299"/>
      <c r="AM30" s="299"/>
      <c r="AN30" s="299"/>
      <c r="AO30" s="299"/>
      <c r="AP30" s="299"/>
      <c r="AQ30" s="299"/>
      <c r="AR30" s="299"/>
      <c r="AS30" s="299"/>
      <c r="AT30" s="299"/>
      <c r="AU30" s="299"/>
      <c r="AV30" s="299"/>
      <c r="AW30" s="299"/>
      <c r="AX30" s="299"/>
      <c r="AY30" s="299"/>
      <c r="AZ30" s="299"/>
      <c r="BA30" s="299"/>
      <c r="BB30" s="299"/>
      <c r="BC30" s="299"/>
      <c r="BD30" s="299"/>
      <c r="BE30" s="299"/>
      <c r="BF30" s="299"/>
      <c r="BG30" s="299"/>
      <c r="BH30" s="299"/>
      <c r="BI30" s="299"/>
      <c r="BJ30" s="299"/>
      <c r="BK30" s="299"/>
      <c r="BL30" s="299"/>
      <c r="BM30" s="299"/>
      <c r="BN30" s="299"/>
      <c r="BO30" s="299"/>
      <c r="BP30" s="299"/>
      <c r="BQ30" s="299"/>
      <c r="BR30" s="299"/>
      <c r="BS30" s="299"/>
      <c r="BT30" s="299"/>
      <c r="BU30" s="299"/>
      <c r="BV30" s="299"/>
      <c r="BW30" s="299"/>
      <c r="BX30" s="299"/>
      <c r="BY30" s="299"/>
      <c r="BZ30" s="299"/>
      <c r="CA30" s="299"/>
      <c r="CB30" s="299"/>
      <c r="CC30" s="299"/>
      <c r="CD30" s="299"/>
      <c r="CE30" s="299"/>
      <c r="CF30" s="299"/>
      <c r="CG30" s="299"/>
      <c r="CH30" s="299"/>
      <c r="CI30" s="299"/>
      <c r="CJ30" s="299"/>
      <c r="CK30" s="299"/>
      <c r="CL30" s="299"/>
      <c r="CM30" s="299"/>
      <c r="CN30" s="299"/>
      <c r="CO30" s="299"/>
      <c r="CP30" s="299"/>
      <c r="CQ30" s="299"/>
      <c r="CR30" s="299"/>
      <c r="CS30" s="299"/>
      <c r="CT30" s="299"/>
      <c r="CU30" s="299"/>
      <c r="CV30" s="299"/>
      <c r="CW30" s="299"/>
      <c r="CX30" s="299"/>
      <c r="CY30" s="299"/>
      <c r="CZ30" s="299"/>
      <c r="DA30" s="299"/>
      <c r="DB30" s="299"/>
      <c r="DC30" s="299"/>
      <c r="DD30" s="299"/>
      <c r="DE30" s="299"/>
      <c r="DF30" s="299"/>
      <c r="DG30" s="299"/>
      <c r="DH30" s="299"/>
      <c r="DI30" s="299"/>
      <c r="DJ30" s="299"/>
      <c r="DK30" s="299"/>
      <c r="DL30" s="299"/>
      <c r="DM30" s="299"/>
      <c r="DN30" s="299"/>
      <c r="DO30" s="299"/>
      <c r="DP30" s="299"/>
      <c r="DQ30" s="299"/>
      <c r="DR30" s="299"/>
      <c r="DS30" s="299"/>
      <c r="DT30" s="299"/>
      <c r="DU30" s="299"/>
      <c r="DV30" s="299"/>
      <c r="DW30" s="299"/>
      <c r="DX30" s="299"/>
      <c r="DY30" s="299"/>
      <c r="DZ30" s="299"/>
      <c r="EA30" s="299"/>
      <c r="EB30" s="299"/>
      <c r="EC30" s="299"/>
      <c r="ED30" s="299"/>
      <c r="EE30" s="299"/>
      <c r="EF30" s="299"/>
      <c r="EG30" s="299"/>
      <c r="EH30" s="299"/>
      <c r="EI30" s="299"/>
      <c r="EJ30" s="299"/>
      <c r="EK30" s="299"/>
      <c r="EL30" s="299"/>
      <c r="EM30" s="299"/>
      <c r="EN30" s="299"/>
      <c r="EO30" s="299"/>
      <c r="EP30" s="299"/>
      <c r="EQ30" s="299"/>
      <c r="ER30" s="299"/>
      <c r="ES30" s="299"/>
      <c r="ET30" s="299"/>
      <c r="EU30" s="299"/>
      <c r="EV30" s="299"/>
      <c r="EW30" s="299"/>
      <c r="EX30" s="299"/>
      <c r="EY30" s="299"/>
      <c r="EZ30" s="299"/>
      <c r="FA30" s="299"/>
      <c r="FB30" s="299"/>
      <c r="FC30" s="299"/>
      <c r="FD30" s="299"/>
      <c r="FE30" s="299"/>
      <c r="FF30" s="299"/>
      <c r="FG30" s="299"/>
      <c r="FH30" s="299"/>
      <c r="FI30" s="299"/>
      <c r="FJ30" s="299"/>
      <c r="FK30" s="299"/>
      <c r="FL30" s="299"/>
      <c r="FM30" s="299"/>
      <c r="FN30" s="299"/>
      <c r="FO30" s="299"/>
      <c r="FP30" s="299"/>
      <c r="FQ30" s="299"/>
      <c r="FR30" s="299"/>
      <c r="FS30" s="299"/>
      <c r="FT30" s="299"/>
      <c r="FU30" s="299"/>
      <c r="FV30" s="299"/>
      <c r="FW30" s="299"/>
      <c r="FX30" s="299"/>
      <c r="FY30" s="299"/>
      <c r="FZ30" s="299"/>
      <c r="GA30" s="299"/>
      <c r="GB30" s="299"/>
      <c r="GC30" s="299"/>
      <c r="GD30" s="299"/>
      <c r="GE30" s="299"/>
      <c r="GF30" s="299"/>
      <c r="GG30" s="299"/>
      <c r="GH30" s="299"/>
      <c r="GI30" s="299"/>
      <c r="GJ30" s="299"/>
      <c r="GK30" s="299"/>
      <c r="GL30" s="299"/>
      <c r="GM30" s="299"/>
      <c r="GN30" s="299"/>
      <c r="GO30" s="299"/>
      <c r="GP30" s="299"/>
      <c r="GQ30" s="299"/>
      <c r="GR30" s="299"/>
      <c r="GS30" s="299"/>
      <c r="GT30" s="299"/>
      <c r="GU30" s="299"/>
      <c r="GV30" s="299"/>
      <c r="GW30" s="299"/>
      <c r="GX30" s="299"/>
      <c r="GY30" s="299"/>
      <c r="GZ30" s="299"/>
      <c r="HA30" s="299"/>
      <c r="HB30" s="299"/>
      <c r="HC30" s="299"/>
      <c r="HD30" s="299"/>
      <c r="HE30" s="299"/>
      <c r="HF30" s="299"/>
      <c r="HG30" s="299"/>
      <c r="HH30" s="299"/>
      <c r="HI30" s="299"/>
      <c r="HJ30" s="299"/>
      <c r="HK30" s="299"/>
      <c r="HL30" s="299"/>
      <c r="HM30" s="299"/>
      <c r="HN30" s="299"/>
      <c r="HO30" s="299"/>
      <c r="HP30" s="299"/>
      <c r="HQ30" s="299"/>
      <c r="HR30" s="299"/>
      <c r="HS30" s="299"/>
      <c r="HT30" s="299"/>
    </row>
    <row r="31" spans="1:228" s="300" customFormat="1" ht="15">
      <c r="A31" s="296" t="s">
        <v>73</v>
      </c>
      <c r="B31" s="297">
        <v>1159</v>
      </c>
      <c r="C31" s="297">
        <v>13</v>
      </c>
      <c r="D31" s="297"/>
      <c r="E31" s="298" t="s">
        <v>74</v>
      </c>
      <c r="F31" s="299"/>
      <c r="G31" s="299"/>
      <c r="H31" s="299"/>
      <c r="I31" s="299"/>
      <c r="J31" s="299"/>
      <c r="K31" s="299"/>
      <c r="L31" s="299"/>
      <c r="M31" s="299"/>
      <c r="N31" s="299"/>
      <c r="O31" s="299"/>
      <c r="P31" s="299"/>
      <c r="Q31" s="299"/>
      <c r="R31" s="299"/>
      <c r="S31" s="299"/>
      <c r="T31" s="299"/>
      <c r="U31" s="299"/>
      <c r="V31" s="299"/>
      <c r="W31" s="299"/>
      <c r="X31" s="299"/>
      <c r="Y31" s="299"/>
      <c r="Z31" s="299"/>
      <c r="AA31" s="299"/>
      <c r="AB31" s="299"/>
      <c r="AC31" s="299"/>
      <c r="AD31" s="299"/>
      <c r="AE31" s="299"/>
      <c r="AF31" s="299"/>
      <c r="AG31" s="299"/>
      <c r="AH31" s="299"/>
      <c r="AI31" s="299"/>
      <c r="AJ31" s="299"/>
      <c r="AK31" s="299"/>
      <c r="AL31" s="299"/>
      <c r="AM31" s="299"/>
      <c r="AN31" s="299"/>
      <c r="AO31" s="299"/>
      <c r="AP31" s="299"/>
      <c r="AQ31" s="299"/>
      <c r="AR31" s="299"/>
      <c r="AS31" s="299"/>
      <c r="AT31" s="299"/>
      <c r="AU31" s="299"/>
      <c r="AV31" s="299"/>
      <c r="AW31" s="299"/>
      <c r="AX31" s="299"/>
      <c r="AY31" s="299"/>
      <c r="AZ31" s="299"/>
      <c r="BA31" s="299"/>
      <c r="BB31" s="299"/>
      <c r="BC31" s="299"/>
      <c r="BD31" s="299"/>
      <c r="BE31" s="299"/>
      <c r="BF31" s="299"/>
      <c r="BG31" s="299"/>
      <c r="BH31" s="299"/>
      <c r="BI31" s="299"/>
      <c r="BJ31" s="299"/>
      <c r="BK31" s="299"/>
      <c r="BL31" s="299"/>
      <c r="BM31" s="299"/>
      <c r="BN31" s="299"/>
      <c r="BO31" s="299"/>
      <c r="BP31" s="299"/>
      <c r="BQ31" s="299"/>
      <c r="BR31" s="299"/>
      <c r="BS31" s="299"/>
      <c r="BT31" s="299"/>
      <c r="BU31" s="299"/>
      <c r="BV31" s="299"/>
      <c r="BW31" s="299"/>
      <c r="BX31" s="299"/>
      <c r="BY31" s="299"/>
      <c r="BZ31" s="299"/>
      <c r="CA31" s="299"/>
      <c r="CB31" s="299"/>
      <c r="CC31" s="299"/>
      <c r="CD31" s="299"/>
      <c r="CE31" s="299"/>
      <c r="CF31" s="299"/>
      <c r="CG31" s="299"/>
      <c r="CH31" s="299"/>
      <c r="CI31" s="299"/>
      <c r="CJ31" s="299"/>
      <c r="CK31" s="299"/>
      <c r="CL31" s="299"/>
      <c r="CM31" s="299"/>
      <c r="CN31" s="299"/>
      <c r="CO31" s="299"/>
      <c r="CP31" s="299"/>
      <c r="CQ31" s="299"/>
      <c r="CR31" s="299"/>
      <c r="CS31" s="299"/>
      <c r="CT31" s="299"/>
      <c r="CU31" s="299"/>
      <c r="CV31" s="299"/>
      <c r="CW31" s="299"/>
      <c r="CX31" s="299"/>
      <c r="CY31" s="299"/>
      <c r="CZ31" s="299"/>
      <c r="DA31" s="299"/>
      <c r="DB31" s="299"/>
      <c r="DC31" s="299"/>
      <c r="DD31" s="299"/>
      <c r="DE31" s="299"/>
      <c r="DF31" s="299"/>
      <c r="DG31" s="299"/>
      <c r="DH31" s="299"/>
      <c r="DI31" s="299"/>
      <c r="DJ31" s="299"/>
      <c r="DK31" s="299"/>
      <c r="DL31" s="299"/>
      <c r="DM31" s="299"/>
      <c r="DN31" s="299"/>
      <c r="DO31" s="299"/>
      <c r="DP31" s="299"/>
      <c r="DQ31" s="299"/>
      <c r="DR31" s="299"/>
      <c r="DS31" s="299"/>
      <c r="DT31" s="299"/>
      <c r="DU31" s="299"/>
      <c r="DV31" s="299"/>
      <c r="DW31" s="299"/>
      <c r="DX31" s="299"/>
      <c r="DY31" s="299"/>
      <c r="DZ31" s="299"/>
      <c r="EA31" s="299"/>
      <c r="EB31" s="299"/>
      <c r="EC31" s="299"/>
      <c r="ED31" s="299"/>
      <c r="EE31" s="299"/>
      <c r="EF31" s="299"/>
      <c r="EG31" s="299"/>
      <c r="EH31" s="299"/>
      <c r="EI31" s="299"/>
      <c r="EJ31" s="299"/>
      <c r="EK31" s="299"/>
      <c r="EL31" s="299"/>
      <c r="EM31" s="299"/>
      <c r="EN31" s="299"/>
      <c r="EO31" s="299"/>
      <c r="EP31" s="299"/>
      <c r="EQ31" s="299"/>
      <c r="ER31" s="299"/>
      <c r="ES31" s="299"/>
      <c r="ET31" s="299"/>
      <c r="EU31" s="299"/>
      <c r="EV31" s="299"/>
      <c r="EW31" s="299"/>
      <c r="EX31" s="299"/>
      <c r="EY31" s="299"/>
      <c r="EZ31" s="299"/>
      <c r="FA31" s="299"/>
      <c r="FB31" s="299"/>
      <c r="FC31" s="299"/>
      <c r="FD31" s="299"/>
      <c r="FE31" s="299"/>
      <c r="FF31" s="299"/>
      <c r="FG31" s="299"/>
      <c r="FH31" s="299"/>
      <c r="FI31" s="299"/>
      <c r="FJ31" s="299"/>
      <c r="FK31" s="299"/>
      <c r="FL31" s="299"/>
      <c r="FM31" s="299"/>
      <c r="FN31" s="299"/>
      <c r="FO31" s="299"/>
      <c r="FP31" s="299"/>
      <c r="FQ31" s="299"/>
      <c r="FR31" s="299"/>
      <c r="FS31" s="299"/>
      <c r="FT31" s="299"/>
      <c r="FU31" s="299"/>
      <c r="FV31" s="299"/>
      <c r="FW31" s="299"/>
      <c r="FX31" s="299"/>
      <c r="FY31" s="299"/>
      <c r="FZ31" s="299"/>
      <c r="GA31" s="299"/>
      <c r="GB31" s="299"/>
      <c r="GC31" s="299"/>
      <c r="GD31" s="299"/>
      <c r="GE31" s="299"/>
      <c r="GF31" s="299"/>
      <c r="GG31" s="299"/>
      <c r="GH31" s="299"/>
      <c r="GI31" s="299"/>
      <c r="GJ31" s="299"/>
      <c r="GK31" s="299"/>
      <c r="GL31" s="299"/>
      <c r="GM31" s="299"/>
      <c r="GN31" s="299"/>
      <c r="GO31" s="299"/>
      <c r="GP31" s="299"/>
      <c r="GQ31" s="299"/>
      <c r="GR31" s="299"/>
      <c r="GS31" s="299"/>
      <c r="GT31" s="299"/>
      <c r="GU31" s="299"/>
      <c r="GV31" s="299"/>
      <c r="GW31" s="299"/>
      <c r="GX31" s="299"/>
      <c r="GY31" s="299"/>
      <c r="GZ31" s="299"/>
      <c r="HA31" s="299"/>
      <c r="HB31" s="299"/>
      <c r="HC31" s="299"/>
      <c r="HD31" s="299"/>
      <c r="HE31" s="299"/>
      <c r="HF31" s="299"/>
      <c r="HG31" s="299"/>
      <c r="HH31" s="299"/>
      <c r="HI31" s="299"/>
      <c r="HJ31" s="299"/>
      <c r="HK31" s="299"/>
      <c r="HL31" s="299"/>
      <c r="HM31" s="299"/>
      <c r="HN31" s="299"/>
      <c r="HO31" s="299"/>
      <c r="HP31" s="299"/>
      <c r="HQ31" s="299"/>
      <c r="HR31" s="299"/>
      <c r="HS31" s="299"/>
      <c r="HT31" s="299"/>
    </row>
    <row r="32" spans="1:228" s="300" customFormat="1" ht="15">
      <c r="A32" s="301" t="s">
        <v>42</v>
      </c>
      <c r="B32" s="302">
        <v>1569</v>
      </c>
      <c r="C32" s="302">
        <v>16</v>
      </c>
      <c r="D32" s="302"/>
      <c r="E32" s="303" t="s">
        <v>75</v>
      </c>
      <c r="F32" s="299"/>
      <c r="G32" s="299"/>
      <c r="H32" s="299"/>
      <c r="I32" s="299"/>
      <c r="J32" s="299"/>
      <c r="K32" s="299"/>
      <c r="L32" s="299"/>
      <c r="M32" s="299"/>
      <c r="N32" s="299"/>
      <c r="O32" s="299"/>
      <c r="P32" s="299"/>
      <c r="Q32" s="299"/>
      <c r="R32" s="299"/>
      <c r="S32" s="299"/>
      <c r="T32" s="299"/>
      <c r="U32" s="299"/>
      <c r="V32" s="299"/>
      <c r="W32" s="299"/>
      <c r="X32" s="299"/>
      <c r="Y32" s="299"/>
      <c r="Z32" s="299"/>
      <c r="AA32" s="299"/>
      <c r="AB32" s="299"/>
      <c r="AC32" s="299"/>
      <c r="AD32" s="299"/>
      <c r="AE32" s="299"/>
      <c r="AF32" s="299"/>
      <c r="AG32" s="299"/>
      <c r="AH32" s="299"/>
      <c r="AI32" s="299"/>
      <c r="AJ32" s="299"/>
      <c r="AK32" s="299"/>
      <c r="AL32" s="299"/>
      <c r="AM32" s="299"/>
      <c r="AN32" s="299"/>
      <c r="AO32" s="299"/>
      <c r="AP32" s="299"/>
      <c r="AQ32" s="299"/>
      <c r="AR32" s="299"/>
      <c r="AS32" s="299"/>
      <c r="AT32" s="299"/>
      <c r="AU32" s="299"/>
      <c r="AV32" s="299"/>
      <c r="AW32" s="299"/>
      <c r="AX32" s="299"/>
      <c r="AY32" s="299"/>
      <c r="AZ32" s="299"/>
      <c r="BA32" s="299"/>
      <c r="BB32" s="299"/>
      <c r="BC32" s="299"/>
      <c r="BD32" s="299"/>
      <c r="BE32" s="299"/>
      <c r="BF32" s="299"/>
      <c r="BG32" s="299"/>
      <c r="BH32" s="299"/>
      <c r="BI32" s="299"/>
      <c r="BJ32" s="299"/>
      <c r="BK32" s="299"/>
      <c r="BL32" s="299"/>
      <c r="BM32" s="299"/>
      <c r="BN32" s="299"/>
      <c r="BO32" s="299"/>
      <c r="BP32" s="299"/>
      <c r="BQ32" s="299"/>
      <c r="BR32" s="299"/>
      <c r="BS32" s="299"/>
      <c r="BT32" s="299"/>
      <c r="BU32" s="299"/>
      <c r="BV32" s="299"/>
      <c r="BW32" s="299"/>
      <c r="BX32" s="299"/>
      <c r="BY32" s="299"/>
      <c r="BZ32" s="299"/>
      <c r="CA32" s="299"/>
      <c r="CB32" s="299"/>
      <c r="CC32" s="299"/>
      <c r="CD32" s="299"/>
      <c r="CE32" s="299"/>
      <c r="CF32" s="299"/>
      <c r="CG32" s="299"/>
      <c r="CH32" s="299"/>
      <c r="CI32" s="299"/>
      <c r="CJ32" s="299"/>
      <c r="CK32" s="299"/>
      <c r="CL32" s="299"/>
      <c r="CM32" s="299"/>
      <c r="CN32" s="299"/>
      <c r="CO32" s="299"/>
      <c r="CP32" s="299"/>
      <c r="CQ32" s="299"/>
      <c r="CR32" s="299"/>
      <c r="CS32" s="299"/>
      <c r="CT32" s="299"/>
      <c r="CU32" s="299"/>
      <c r="CV32" s="299"/>
      <c r="CW32" s="299"/>
      <c r="CX32" s="299"/>
      <c r="CY32" s="299"/>
      <c r="CZ32" s="299"/>
      <c r="DA32" s="299"/>
      <c r="DB32" s="299"/>
      <c r="DC32" s="299"/>
      <c r="DD32" s="299"/>
      <c r="DE32" s="299"/>
      <c r="DF32" s="299"/>
      <c r="DG32" s="299"/>
      <c r="DH32" s="299"/>
      <c r="DI32" s="299"/>
      <c r="DJ32" s="299"/>
      <c r="DK32" s="299"/>
      <c r="DL32" s="299"/>
      <c r="DM32" s="299"/>
      <c r="DN32" s="299"/>
      <c r="DO32" s="299"/>
      <c r="DP32" s="299"/>
      <c r="DQ32" s="299"/>
      <c r="DR32" s="299"/>
      <c r="DS32" s="299"/>
      <c r="DT32" s="299"/>
      <c r="DU32" s="299"/>
      <c r="DV32" s="299"/>
      <c r="DW32" s="299"/>
      <c r="DX32" s="299"/>
      <c r="DY32" s="299"/>
      <c r="DZ32" s="299"/>
      <c r="EA32" s="299"/>
      <c r="EB32" s="299"/>
      <c r="EC32" s="299"/>
      <c r="ED32" s="299"/>
      <c r="EE32" s="299"/>
      <c r="EF32" s="299"/>
      <c r="EG32" s="299"/>
      <c r="EH32" s="299"/>
      <c r="EI32" s="299"/>
      <c r="EJ32" s="299"/>
      <c r="EK32" s="299"/>
      <c r="EL32" s="299"/>
      <c r="EM32" s="299"/>
      <c r="EN32" s="299"/>
      <c r="EO32" s="299"/>
      <c r="EP32" s="299"/>
      <c r="EQ32" s="299"/>
      <c r="ER32" s="299"/>
      <c r="ES32" s="299"/>
      <c r="ET32" s="299"/>
      <c r="EU32" s="299"/>
      <c r="EV32" s="299"/>
      <c r="EW32" s="299"/>
      <c r="EX32" s="299"/>
      <c r="EY32" s="299"/>
      <c r="EZ32" s="299"/>
      <c r="FA32" s="299"/>
      <c r="FB32" s="299"/>
      <c r="FC32" s="299"/>
      <c r="FD32" s="299"/>
      <c r="FE32" s="299"/>
      <c r="FF32" s="299"/>
      <c r="FG32" s="299"/>
      <c r="FH32" s="299"/>
      <c r="FI32" s="299"/>
      <c r="FJ32" s="299"/>
      <c r="FK32" s="299"/>
      <c r="FL32" s="299"/>
      <c r="FM32" s="299"/>
      <c r="FN32" s="299"/>
      <c r="FO32" s="299"/>
      <c r="FP32" s="299"/>
      <c r="FQ32" s="299"/>
      <c r="FR32" s="299"/>
      <c r="FS32" s="299"/>
      <c r="FT32" s="299"/>
      <c r="FU32" s="299"/>
      <c r="FV32" s="299"/>
      <c r="FW32" s="299"/>
      <c r="FX32" s="299"/>
      <c r="FY32" s="299"/>
      <c r="FZ32" s="299"/>
      <c r="GA32" s="299"/>
      <c r="GB32" s="299"/>
      <c r="GC32" s="299"/>
      <c r="GD32" s="299"/>
      <c r="GE32" s="299"/>
      <c r="GF32" s="299"/>
      <c r="GG32" s="299"/>
      <c r="GH32" s="299"/>
      <c r="GI32" s="299"/>
      <c r="GJ32" s="299"/>
      <c r="GK32" s="299"/>
      <c r="GL32" s="299"/>
      <c r="GM32" s="299"/>
      <c r="GN32" s="299"/>
      <c r="GO32" s="299"/>
      <c r="GP32" s="299"/>
      <c r="GQ32" s="299"/>
      <c r="GR32" s="299"/>
      <c r="GS32" s="299"/>
      <c r="GT32" s="299"/>
      <c r="GU32" s="299"/>
      <c r="GV32" s="299"/>
      <c r="GW32" s="299"/>
      <c r="GX32" s="299"/>
      <c r="GY32" s="299"/>
      <c r="GZ32" s="299"/>
      <c r="HA32" s="299"/>
      <c r="HB32" s="299"/>
      <c r="HC32" s="299"/>
      <c r="HD32" s="299"/>
      <c r="HE32" s="299"/>
      <c r="HF32" s="299"/>
      <c r="HG32" s="299"/>
      <c r="HH32" s="299"/>
      <c r="HI32" s="299"/>
      <c r="HJ32" s="299"/>
      <c r="HK32" s="299"/>
      <c r="HL32" s="299"/>
      <c r="HM32" s="299"/>
      <c r="HN32" s="299"/>
      <c r="HO32" s="299"/>
      <c r="HP32" s="299"/>
      <c r="HQ32" s="299"/>
      <c r="HR32" s="299"/>
      <c r="HS32" s="299"/>
      <c r="HT32" s="299"/>
    </row>
    <row r="33" spans="1:228" s="300" customFormat="1" ht="17.25">
      <c r="B33" s="304"/>
      <c r="C33" s="304"/>
      <c r="E33" s="20" t="s">
        <v>389</v>
      </c>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c r="CI33" s="279"/>
      <c r="CJ33" s="279"/>
      <c r="CK33" s="279"/>
      <c r="CL33" s="279"/>
      <c r="CM33" s="279"/>
      <c r="CN33" s="279"/>
      <c r="CO33" s="279"/>
      <c r="CP33" s="279"/>
      <c r="CQ33" s="279"/>
      <c r="CR33" s="279"/>
      <c r="CS33" s="279"/>
      <c r="CT33" s="279"/>
      <c r="CU33" s="279"/>
      <c r="CV33" s="279"/>
      <c r="CW33" s="279"/>
      <c r="CX33" s="279"/>
      <c r="CY33" s="279"/>
      <c r="CZ33" s="279"/>
      <c r="DA33" s="279"/>
      <c r="DB33" s="279"/>
      <c r="DC33" s="279"/>
      <c r="DD33" s="279"/>
      <c r="DE33" s="279"/>
      <c r="DF33" s="279"/>
      <c r="DG33" s="279"/>
      <c r="DH33" s="279"/>
      <c r="DI33" s="279"/>
      <c r="DJ33" s="279"/>
      <c r="DK33" s="279"/>
      <c r="DL33" s="279"/>
      <c r="DM33" s="279"/>
      <c r="DN33" s="279"/>
      <c r="DO33" s="279"/>
      <c r="DP33" s="279"/>
      <c r="DQ33" s="279"/>
      <c r="DR33" s="279"/>
      <c r="DS33" s="279"/>
      <c r="DT33" s="279"/>
      <c r="DU33" s="279"/>
      <c r="DV33" s="279"/>
      <c r="DW33" s="279"/>
      <c r="DX33" s="279"/>
      <c r="DY33" s="279"/>
      <c r="DZ33" s="279"/>
      <c r="EA33" s="279"/>
      <c r="EB33" s="279"/>
      <c r="EC33" s="279"/>
      <c r="ED33" s="279"/>
      <c r="EE33" s="279"/>
      <c r="EF33" s="279"/>
      <c r="EG33" s="279"/>
      <c r="EH33" s="279"/>
      <c r="EI33" s="279"/>
      <c r="EJ33" s="279"/>
      <c r="EK33" s="279"/>
      <c r="EL33" s="279"/>
      <c r="EM33" s="279"/>
      <c r="EN33" s="279"/>
      <c r="EO33" s="279"/>
      <c r="EP33" s="279"/>
      <c r="EQ33" s="279"/>
      <c r="ER33" s="279"/>
      <c r="ES33" s="279"/>
      <c r="ET33" s="279"/>
      <c r="EU33" s="279"/>
      <c r="EV33" s="279"/>
      <c r="EW33" s="279"/>
      <c r="EX33" s="279"/>
      <c r="EY33" s="279"/>
      <c r="EZ33" s="279"/>
      <c r="FA33" s="279"/>
      <c r="FB33" s="279"/>
      <c r="FC33" s="279"/>
      <c r="FD33" s="279"/>
      <c r="FE33" s="279"/>
      <c r="FF33" s="279"/>
      <c r="FG33" s="279"/>
      <c r="FH33" s="279"/>
      <c r="FI33" s="279"/>
      <c r="FJ33" s="279"/>
      <c r="FK33" s="279"/>
      <c r="FL33" s="279"/>
      <c r="FM33" s="279"/>
      <c r="FN33" s="279"/>
      <c r="FO33" s="279"/>
      <c r="FP33" s="279"/>
      <c r="FQ33" s="279"/>
      <c r="FR33" s="279"/>
      <c r="FS33" s="279"/>
      <c r="FT33" s="279"/>
      <c r="FU33" s="279"/>
      <c r="FV33" s="279"/>
      <c r="FW33" s="279"/>
      <c r="FX33" s="279"/>
      <c r="FY33" s="279"/>
      <c r="FZ33" s="279"/>
      <c r="GA33" s="279"/>
      <c r="GB33" s="279"/>
      <c r="GC33" s="279"/>
      <c r="GD33" s="279"/>
      <c r="GE33" s="279"/>
      <c r="GF33" s="279"/>
      <c r="GG33" s="279"/>
      <c r="GH33" s="279"/>
      <c r="GI33" s="279"/>
      <c r="GJ33" s="279"/>
      <c r="GK33" s="279"/>
      <c r="GL33" s="279"/>
      <c r="GM33" s="279"/>
      <c r="GN33" s="279"/>
      <c r="GO33" s="279"/>
      <c r="GP33" s="279"/>
      <c r="GQ33" s="279"/>
      <c r="GR33" s="279"/>
      <c r="GS33" s="279"/>
      <c r="GT33" s="279"/>
      <c r="GU33" s="279"/>
      <c r="GV33" s="279"/>
      <c r="GW33" s="279"/>
      <c r="GX33" s="279"/>
      <c r="GY33" s="279"/>
      <c r="GZ33" s="279"/>
      <c r="HA33" s="279"/>
      <c r="HB33" s="279"/>
      <c r="HC33" s="279"/>
      <c r="HD33" s="279"/>
      <c r="HE33" s="279"/>
      <c r="HF33" s="279"/>
      <c r="HG33" s="279"/>
      <c r="HH33" s="279"/>
      <c r="HI33" s="279"/>
      <c r="HJ33" s="279"/>
      <c r="HK33" s="279"/>
      <c r="HL33" s="279"/>
      <c r="HM33" s="279"/>
      <c r="HN33" s="279"/>
      <c r="HO33" s="279"/>
      <c r="HP33" s="279"/>
      <c r="HQ33" s="279"/>
      <c r="HR33" s="279"/>
      <c r="HS33" s="279"/>
      <c r="HT33" s="279"/>
    </row>
    <row r="34" spans="1:228" ht="12.75">
      <c r="A34" s="305" t="s">
        <v>192</v>
      </c>
    </row>
    <row r="36" spans="1:228" ht="39" customHeight="1">
      <c r="A36" s="807" t="s">
        <v>24</v>
      </c>
      <c r="B36" s="306" t="s">
        <v>193</v>
      </c>
      <c r="C36" s="307"/>
      <c r="D36" s="609" t="s">
        <v>194</v>
      </c>
      <c r="E36" s="810" t="s">
        <v>187</v>
      </c>
    </row>
    <row r="37" spans="1:228" ht="40.15" customHeight="1">
      <c r="A37" s="808"/>
      <c r="B37" s="282" t="s">
        <v>195</v>
      </c>
      <c r="C37" s="114" t="s">
        <v>147</v>
      </c>
      <c r="D37" s="282" t="s">
        <v>149</v>
      </c>
      <c r="E37" s="811"/>
    </row>
    <row r="38" spans="1:228" ht="12.75">
      <c r="A38" s="808"/>
      <c r="B38" s="287" t="s">
        <v>189</v>
      </c>
      <c r="C38" s="288" t="s">
        <v>146</v>
      </c>
      <c r="D38" s="287" t="s">
        <v>148</v>
      </c>
      <c r="E38" s="811"/>
    </row>
    <row r="39" spans="1:228" ht="12.75">
      <c r="A39" s="809"/>
      <c r="B39" s="290" t="s">
        <v>190</v>
      </c>
      <c r="C39" s="290"/>
      <c r="D39" s="290"/>
      <c r="E39" s="812"/>
    </row>
    <row r="40" spans="1:228" ht="15">
      <c r="A40" s="15" t="s">
        <v>30</v>
      </c>
      <c r="B40" s="294">
        <f>B41+B43+B42</f>
        <v>757</v>
      </c>
      <c r="C40" s="294">
        <f>C41+C43+C42</f>
        <v>24</v>
      </c>
      <c r="D40" s="294">
        <f>D41+D43+D42</f>
        <v>0</v>
      </c>
      <c r="E40" s="114" t="s">
        <v>31</v>
      </c>
    </row>
    <row r="41" spans="1:228" ht="15">
      <c r="A41" s="15" t="s">
        <v>32</v>
      </c>
      <c r="B41" s="294">
        <v>100</v>
      </c>
      <c r="C41" s="294">
        <v>3</v>
      </c>
      <c r="D41" s="295"/>
      <c r="E41" s="114" t="s">
        <v>33</v>
      </c>
    </row>
    <row r="42" spans="1:228" s="308" customFormat="1" ht="15">
      <c r="A42" s="156" t="s">
        <v>36</v>
      </c>
      <c r="B42" s="294"/>
      <c r="C42" s="294"/>
      <c r="D42" s="294"/>
      <c r="E42" s="114" t="s">
        <v>391</v>
      </c>
    </row>
    <row r="43" spans="1:228" ht="15">
      <c r="A43" s="15" t="s">
        <v>34</v>
      </c>
      <c r="B43" s="294">
        <f>SUM(B44:B63)</f>
        <v>657</v>
      </c>
      <c r="C43" s="294">
        <f>SUM(C44:C63)</f>
        <v>21</v>
      </c>
      <c r="D43" s="294">
        <f>SUM(D44:D63)</f>
        <v>0</v>
      </c>
      <c r="E43" s="114" t="s">
        <v>35</v>
      </c>
    </row>
    <row r="44" spans="1:228" ht="15">
      <c r="A44" s="309" t="s">
        <v>37</v>
      </c>
      <c r="B44" s="297">
        <v>49</v>
      </c>
      <c r="C44" s="297">
        <v>0</v>
      </c>
      <c r="D44" s="297"/>
      <c r="E44" s="236" t="s">
        <v>38</v>
      </c>
    </row>
    <row r="45" spans="1:228" ht="15">
      <c r="A45" s="309" t="s">
        <v>39</v>
      </c>
      <c r="B45" s="297">
        <v>24</v>
      </c>
      <c r="C45" s="297">
        <v>0</v>
      </c>
      <c r="D45" s="297"/>
      <c r="E45" s="236" t="s">
        <v>40</v>
      </c>
    </row>
    <row r="46" spans="1:228" ht="15">
      <c r="A46" s="309" t="s">
        <v>41</v>
      </c>
      <c r="B46" s="297">
        <v>37</v>
      </c>
      <c r="C46" s="297">
        <v>0</v>
      </c>
      <c r="D46" s="297"/>
      <c r="E46" s="236" t="s">
        <v>42</v>
      </c>
    </row>
    <row r="47" spans="1:228" ht="15">
      <c r="A47" s="309" t="s">
        <v>43</v>
      </c>
      <c r="B47" s="297">
        <v>24</v>
      </c>
      <c r="C47" s="297">
        <v>1</v>
      </c>
      <c r="D47" s="297"/>
      <c r="E47" s="236" t="s">
        <v>44</v>
      </c>
    </row>
    <row r="48" spans="1:228" ht="15">
      <c r="A48" s="309" t="s">
        <v>45</v>
      </c>
      <c r="B48" s="297">
        <v>52</v>
      </c>
      <c r="C48" s="297">
        <v>0</v>
      </c>
      <c r="D48" s="297"/>
      <c r="E48" s="236" t="s">
        <v>46</v>
      </c>
    </row>
    <row r="49" spans="1:5" ht="15">
      <c r="A49" s="309" t="s">
        <v>47</v>
      </c>
      <c r="B49" s="297">
        <v>25</v>
      </c>
      <c r="C49" s="297">
        <v>0</v>
      </c>
      <c r="D49" s="297"/>
      <c r="E49" s="236" t="s">
        <v>48</v>
      </c>
    </row>
    <row r="50" spans="1:5" ht="15">
      <c r="A50" s="309" t="s">
        <v>49</v>
      </c>
      <c r="B50" s="297">
        <v>20</v>
      </c>
      <c r="C50" s="297">
        <v>0</v>
      </c>
      <c r="D50" s="297"/>
      <c r="E50" s="236" t="s">
        <v>50</v>
      </c>
    </row>
    <row r="51" spans="1:5" ht="15">
      <c r="A51" s="309" t="s">
        <v>51</v>
      </c>
      <c r="B51" s="297">
        <v>36</v>
      </c>
      <c r="C51" s="297">
        <v>1</v>
      </c>
      <c r="D51" s="297"/>
      <c r="E51" s="236" t="s">
        <v>52</v>
      </c>
    </row>
    <row r="52" spans="1:5" ht="15">
      <c r="A52" s="309" t="s">
        <v>191</v>
      </c>
      <c r="B52" s="297">
        <v>27</v>
      </c>
      <c r="C52" s="297">
        <v>1</v>
      </c>
      <c r="D52" s="297"/>
      <c r="E52" s="236" t="s">
        <v>54</v>
      </c>
    </row>
    <row r="53" spans="1:5" ht="15">
      <c r="A53" s="309" t="s">
        <v>55</v>
      </c>
      <c r="B53" s="297">
        <v>23</v>
      </c>
      <c r="C53" s="297">
        <v>1</v>
      </c>
      <c r="D53" s="297"/>
      <c r="E53" s="236" t="s">
        <v>56</v>
      </c>
    </row>
    <row r="54" spans="1:5" ht="15">
      <c r="A54" s="309" t="s">
        <v>57</v>
      </c>
      <c r="B54" s="297">
        <v>3</v>
      </c>
      <c r="C54" s="297">
        <v>0</v>
      </c>
      <c r="D54" s="297"/>
      <c r="E54" s="236" t="s">
        <v>58</v>
      </c>
    </row>
    <row r="55" spans="1:5" ht="15">
      <c r="A55" s="309" t="s">
        <v>59</v>
      </c>
      <c r="B55" s="297">
        <v>28</v>
      </c>
      <c r="C55" s="297">
        <v>2</v>
      </c>
      <c r="D55" s="297"/>
      <c r="E55" s="236" t="s">
        <v>60</v>
      </c>
    </row>
    <row r="56" spans="1:5" ht="15">
      <c r="A56" s="309" t="s">
        <v>61</v>
      </c>
      <c r="B56" s="297">
        <v>28</v>
      </c>
      <c r="C56" s="297">
        <v>2</v>
      </c>
      <c r="D56" s="297"/>
      <c r="E56" s="236" t="s">
        <v>62</v>
      </c>
    </row>
    <row r="57" spans="1:5" ht="15">
      <c r="A57" s="309" t="s">
        <v>63</v>
      </c>
      <c r="B57" s="297">
        <v>61</v>
      </c>
      <c r="C57" s="297">
        <v>3</v>
      </c>
      <c r="D57" s="297"/>
      <c r="E57" s="236" t="s">
        <v>64</v>
      </c>
    </row>
    <row r="58" spans="1:5" ht="15">
      <c r="A58" s="309" t="s">
        <v>65</v>
      </c>
      <c r="B58" s="297">
        <v>33</v>
      </c>
      <c r="C58" s="297">
        <v>2</v>
      </c>
      <c r="D58" s="297"/>
      <c r="E58" s="236" t="s">
        <v>66</v>
      </c>
    </row>
    <row r="59" spans="1:5" ht="15">
      <c r="A59" s="309" t="s">
        <v>67</v>
      </c>
      <c r="B59" s="297">
        <v>44</v>
      </c>
      <c r="C59" s="297">
        <v>3</v>
      </c>
      <c r="D59" s="297"/>
      <c r="E59" s="236" t="s">
        <v>68</v>
      </c>
    </row>
    <row r="60" spans="1:5" ht="15">
      <c r="A60" s="309" t="s">
        <v>69</v>
      </c>
      <c r="B60" s="297">
        <v>45</v>
      </c>
      <c r="C60" s="297">
        <v>0</v>
      </c>
      <c r="D60" s="297"/>
      <c r="E60" s="236" t="s">
        <v>70</v>
      </c>
    </row>
    <row r="61" spans="1:5" ht="15">
      <c r="A61" s="309" t="s">
        <v>71</v>
      </c>
      <c r="B61" s="297">
        <v>34</v>
      </c>
      <c r="C61" s="297">
        <v>0</v>
      </c>
      <c r="D61" s="297"/>
      <c r="E61" s="236" t="s">
        <v>72</v>
      </c>
    </row>
    <row r="62" spans="1:5" ht="15">
      <c r="A62" s="309" t="s">
        <v>73</v>
      </c>
      <c r="B62" s="297">
        <v>37</v>
      </c>
      <c r="C62" s="297">
        <v>1</v>
      </c>
      <c r="D62" s="297"/>
      <c r="E62" s="236" t="s">
        <v>74</v>
      </c>
    </row>
    <row r="63" spans="1:5" ht="15">
      <c r="A63" s="310" t="s">
        <v>42</v>
      </c>
      <c r="B63" s="302">
        <v>27</v>
      </c>
      <c r="C63" s="302">
        <v>4</v>
      </c>
      <c r="D63" s="302"/>
      <c r="E63" s="311" t="s">
        <v>75</v>
      </c>
    </row>
    <row r="64" spans="1:5" s="14" customFormat="1" ht="17.25">
      <c r="A64" s="312" t="s">
        <v>392</v>
      </c>
      <c r="B64" s="312"/>
      <c r="C64" s="312"/>
      <c r="D64" s="313"/>
      <c r="E64" s="20" t="s">
        <v>389</v>
      </c>
    </row>
    <row r="69" spans="1:228" ht="27" customHeight="1">
      <c r="A69" s="813" t="s">
        <v>411</v>
      </c>
      <c r="B69" s="813"/>
      <c r="C69" s="813"/>
      <c r="D69" s="813"/>
      <c r="E69" s="813"/>
    </row>
    <row r="70" spans="1:228" s="280" customFormat="1" ht="23.25" customHeight="1">
      <c r="A70" s="814" t="s">
        <v>412</v>
      </c>
      <c r="B70" s="814"/>
      <c r="C70" s="814"/>
      <c r="D70" s="814"/>
      <c r="E70" s="814"/>
    </row>
    <row r="71" spans="1:228" s="280" customFormat="1" ht="12.75">
      <c r="A71" s="815"/>
      <c r="B71" s="816"/>
      <c r="C71" s="816"/>
    </row>
    <row r="72" spans="1:228" ht="15.75">
      <c r="A72" s="807" t="s">
        <v>24</v>
      </c>
      <c r="B72" s="281" t="s">
        <v>186</v>
      </c>
      <c r="C72" s="281"/>
      <c r="D72" s="281"/>
      <c r="E72" s="810" t="s">
        <v>187</v>
      </c>
    </row>
    <row r="73" spans="1:228" s="284" customFormat="1" ht="39" customHeight="1">
      <c r="A73" s="808"/>
      <c r="B73" s="282" t="s">
        <v>188</v>
      </c>
      <c r="C73" s="114" t="s">
        <v>147</v>
      </c>
      <c r="D73" s="283" t="s">
        <v>402</v>
      </c>
      <c r="E73" s="811"/>
    </row>
    <row r="74" spans="1:228" ht="1.1499999999999999" customHeight="1">
      <c r="A74" s="808"/>
      <c r="B74" s="285"/>
      <c r="C74" s="285"/>
      <c r="D74" s="286"/>
      <c r="E74" s="811"/>
    </row>
    <row r="75" spans="1:228" s="289" customFormat="1" ht="12" customHeight="1">
      <c r="A75" s="808"/>
      <c r="B75" s="287" t="s">
        <v>189</v>
      </c>
      <c r="C75" s="288" t="s">
        <v>146</v>
      </c>
      <c r="D75" s="287" t="s">
        <v>148</v>
      </c>
      <c r="E75" s="811"/>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c r="BA75" s="280"/>
      <c r="BB75" s="280"/>
      <c r="BC75" s="280"/>
      <c r="BD75" s="280"/>
      <c r="BE75" s="280"/>
      <c r="BF75" s="280"/>
      <c r="BG75" s="280"/>
      <c r="BH75" s="280"/>
      <c r="BI75" s="280"/>
      <c r="BJ75" s="280"/>
      <c r="BK75" s="280"/>
      <c r="BL75" s="280"/>
      <c r="BM75" s="280"/>
      <c r="BN75" s="280"/>
      <c r="BO75" s="280"/>
      <c r="BP75" s="280"/>
      <c r="BQ75" s="280"/>
      <c r="BR75" s="280"/>
      <c r="BS75" s="280"/>
      <c r="BT75" s="280"/>
      <c r="BU75" s="280"/>
      <c r="BV75" s="280"/>
      <c r="BW75" s="280"/>
      <c r="BX75" s="280"/>
      <c r="BY75" s="280"/>
      <c r="BZ75" s="280"/>
      <c r="CA75" s="280"/>
      <c r="CB75" s="280"/>
      <c r="CC75" s="280"/>
      <c r="CD75" s="280"/>
      <c r="CE75" s="280"/>
      <c r="CF75" s="280"/>
      <c r="CG75" s="280"/>
      <c r="CH75" s="280"/>
      <c r="CI75" s="280"/>
      <c r="CJ75" s="280"/>
      <c r="CK75" s="280"/>
      <c r="CL75" s="280"/>
      <c r="CM75" s="280"/>
      <c r="CN75" s="280"/>
      <c r="CO75" s="280"/>
      <c r="CP75" s="280"/>
      <c r="CQ75" s="280"/>
      <c r="CR75" s="280"/>
      <c r="CS75" s="280"/>
      <c r="CT75" s="280"/>
      <c r="CU75" s="280"/>
      <c r="CV75" s="280"/>
      <c r="CW75" s="280"/>
      <c r="CX75" s="280"/>
      <c r="CY75" s="280"/>
      <c r="CZ75" s="280"/>
      <c r="DA75" s="280"/>
      <c r="DB75" s="280"/>
      <c r="DC75" s="280"/>
      <c r="DD75" s="280"/>
      <c r="DE75" s="280"/>
      <c r="DF75" s="280"/>
      <c r="DG75" s="280"/>
      <c r="DH75" s="280"/>
      <c r="DI75" s="280"/>
      <c r="DJ75" s="280"/>
      <c r="DK75" s="280"/>
      <c r="DL75" s="280"/>
      <c r="DM75" s="280"/>
      <c r="DN75" s="280"/>
      <c r="DO75" s="280"/>
      <c r="DP75" s="280"/>
      <c r="DQ75" s="280"/>
      <c r="DR75" s="280"/>
      <c r="DS75" s="280"/>
      <c r="DT75" s="280"/>
      <c r="DU75" s="280"/>
      <c r="DV75" s="280"/>
      <c r="DW75" s="280"/>
      <c r="DX75" s="280"/>
      <c r="DY75" s="280"/>
      <c r="DZ75" s="280"/>
      <c r="EA75" s="280"/>
      <c r="EB75" s="280"/>
      <c r="EC75" s="280"/>
      <c r="ED75" s="280"/>
      <c r="EE75" s="280"/>
      <c r="EF75" s="280"/>
      <c r="EG75" s="280"/>
      <c r="EH75" s="280"/>
      <c r="EI75" s="280"/>
      <c r="EJ75" s="280"/>
      <c r="EK75" s="280"/>
      <c r="EL75" s="280"/>
      <c r="EM75" s="280"/>
      <c r="EN75" s="280"/>
      <c r="EO75" s="280"/>
      <c r="EP75" s="280"/>
      <c r="EQ75" s="280"/>
      <c r="ER75" s="280"/>
      <c r="ES75" s="280"/>
      <c r="ET75" s="280"/>
      <c r="EU75" s="280"/>
      <c r="EV75" s="280"/>
      <c r="EW75" s="280"/>
      <c r="EX75" s="280"/>
      <c r="EY75" s="280"/>
      <c r="EZ75" s="280"/>
      <c r="FA75" s="280"/>
      <c r="FB75" s="280"/>
      <c r="FC75" s="280"/>
      <c r="FD75" s="280"/>
      <c r="FE75" s="280"/>
      <c r="FF75" s="280"/>
      <c r="FG75" s="280"/>
      <c r="FH75" s="280"/>
      <c r="FI75" s="280"/>
      <c r="FJ75" s="280"/>
      <c r="FK75" s="280"/>
      <c r="FL75" s="280"/>
      <c r="FM75" s="280"/>
      <c r="FN75" s="280"/>
      <c r="FO75" s="280"/>
      <c r="FP75" s="280"/>
      <c r="FQ75" s="280"/>
      <c r="FR75" s="280"/>
      <c r="FS75" s="280"/>
      <c r="FT75" s="280"/>
      <c r="FU75" s="280"/>
      <c r="FV75" s="280"/>
      <c r="FW75" s="280"/>
      <c r="FX75" s="280"/>
      <c r="FY75" s="280"/>
      <c r="FZ75" s="280"/>
      <c r="GA75" s="280"/>
      <c r="GB75" s="280"/>
      <c r="GC75" s="280"/>
      <c r="GD75" s="280"/>
      <c r="GE75" s="280"/>
      <c r="GF75" s="280"/>
      <c r="GG75" s="280"/>
      <c r="GH75" s="280"/>
      <c r="GI75" s="280"/>
      <c r="GJ75" s="280"/>
      <c r="GK75" s="280"/>
      <c r="GL75" s="280"/>
      <c r="GM75" s="280"/>
      <c r="GN75" s="280"/>
      <c r="GO75" s="280"/>
      <c r="GP75" s="280"/>
      <c r="GQ75" s="280"/>
      <c r="GR75" s="280"/>
      <c r="GS75" s="280"/>
      <c r="GT75" s="280"/>
      <c r="GU75" s="280"/>
      <c r="GV75" s="280"/>
      <c r="GW75" s="280"/>
      <c r="GX75" s="280"/>
      <c r="GY75" s="280"/>
      <c r="GZ75" s="280"/>
      <c r="HA75" s="280"/>
      <c r="HB75" s="280"/>
      <c r="HC75" s="280"/>
      <c r="HD75" s="280"/>
      <c r="HE75" s="280"/>
      <c r="HF75" s="280"/>
      <c r="HG75" s="280"/>
      <c r="HH75" s="280"/>
      <c r="HI75" s="280"/>
      <c r="HJ75" s="280"/>
      <c r="HK75" s="280"/>
      <c r="HL75" s="280"/>
      <c r="HM75" s="280"/>
      <c r="HN75" s="280"/>
      <c r="HO75" s="280"/>
      <c r="HP75" s="280"/>
      <c r="HQ75" s="280"/>
      <c r="HR75" s="280"/>
      <c r="HS75" s="280"/>
      <c r="HT75" s="280"/>
    </row>
    <row r="76" spans="1:228" s="289" customFormat="1" ht="12.75">
      <c r="A76" s="809"/>
      <c r="B76" s="290" t="s">
        <v>190</v>
      </c>
      <c r="C76" s="290"/>
      <c r="D76" s="287"/>
      <c r="E76" s="812"/>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c r="BA76" s="280"/>
      <c r="BB76" s="280"/>
      <c r="BC76" s="280"/>
      <c r="BD76" s="280"/>
      <c r="BE76" s="280"/>
      <c r="BF76" s="280"/>
      <c r="BG76" s="280"/>
      <c r="BH76" s="280"/>
      <c r="BI76" s="280"/>
      <c r="BJ76" s="280"/>
      <c r="BK76" s="280"/>
      <c r="BL76" s="280"/>
      <c r="BM76" s="280"/>
      <c r="BN76" s="280"/>
      <c r="BO76" s="280"/>
      <c r="BP76" s="280"/>
      <c r="BQ76" s="280"/>
      <c r="BR76" s="280"/>
      <c r="BS76" s="280"/>
      <c r="BT76" s="280"/>
      <c r="BU76" s="280"/>
      <c r="BV76" s="280"/>
      <c r="BW76" s="280"/>
      <c r="BX76" s="280"/>
      <c r="BY76" s="280"/>
      <c r="BZ76" s="280"/>
      <c r="CA76" s="280"/>
      <c r="CB76" s="280"/>
      <c r="CC76" s="280"/>
      <c r="CD76" s="280"/>
      <c r="CE76" s="280"/>
      <c r="CF76" s="280"/>
      <c r="CG76" s="280"/>
      <c r="CH76" s="280"/>
      <c r="CI76" s="280"/>
      <c r="CJ76" s="280"/>
      <c r="CK76" s="280"/>
      <c r="CL76" s="280"/>
      <c r="CM76" s="280"/>
      <c r="CN76" s="280"/>
      <c r="CO76" s="280"/>
      <c r="CP76" s="280"/>
      <c r="CQ76" s="280"/>
      <c r="CR76" s="280"/>
      <c r="CS76" s="280"/>
      <c r="CT76" s="280"/>
      <c r="CU76" s="280"/>
      <c r="CV76" s="280"/>
      <c r="CW76" s="280"/>
      <c r="CX76" s="280"/>
      <c r="CY76" s="280"/>
      <c r="CZ76" s="280"/>
      <c r="DA76" s="280"/>
      <c r="DB76" s="280"/>
      <c r="DC76" s="280"/>
      <c r="DD76" s="280"/>
      <c r="DE76" s="280"/>
      <c r="DF76" s="280"/>
      <c r="DG76" s="280"/>
      <c r="DH76" s="280"/>
      <c r="DI76" s="280"/>
      <c r="DJ76" s="280"/>
      <c r="DK76" s="280"/>
      <c r="DL76" s="280"/>
      <c r="DM76" s="280"/>
      <c r="DN76" s="280"/>
      <c r="DO76" s="280"/>
      <c r="DP76" s="280"/>
      <c r="DQ76" s="280"/>
      <c r="DR76" s="280"/>
      <c r="DS76" s="280"/>
      <c r="DT76" s="280"/>
      <c r="DU76" s="280"/>
      <c r="DV76" s="280"/>
      <c r="DW76" s="280"/>
      <c r="DX76" s="280"/>
      <c r="DY76" s="280"/>
      <c r="DZ76" s="280"/>
      <c r="EA76" s="280"/>
      <c r="EB76" s="280"/>
      <c r="EC76" s="280"/>
      <c r="ED76" s="280"/>
      <c r="EE76" s="280"/>
      <c r="EF76" s="280"/>
      <c r="EG76" s="280"/>
      <c r="EH76" s="280"/>
      <c r="EI76" s="280"/>
      <c r="EJ76" s="280"/>
      <c r="EK76" s="280"/>
      <c r="EL76" s="280"/>
      <c r="EM76" s="280"/>
      <c r="EN76" s="280"/>
      <c r="EO76" s="280"/>
      <c r="EP76" s="280"/>
      <c r="EQ76" s="280"/>
      <c r="ER76" s="280"/>
      <c r="ES76" s="280"/>
      <c r="ET76" s="280"/>
      <c r="EU76" s="280"/>
      <c r="EV76" s="280"/>
      <c r="EW76" s="280"/>
      <c r="EX76" s="280"/>
      <c r="EY76" s="280"/>
      <c r="EZ76" s="280"/>
      <c r="FA76" s="280"/>
      <c r="FB76" s="280"/>
      <c r="FC76" s="280"/>
      <c r="FD76" s="280"/>
      <c r="FE76" s="280"/>
      <c r="FF76" s="280"/>
      <c r="FG76" s="280"/>
      <c r="FH76" s="280"/>
      <c r="FI76" s="280"/>
      <c r="FJ76" s="280"/>
      <c r="FK76" s="280"/>
      <c r="FL76" s="280"/>
      <c r="FM76" s="280"/>
      <c r="FN76" s="280"/>
      <c r="FO76" s="280"/>
      <c r="FP76" s="280"/>
      <c r="FQ76" s="280"/>
      <c r="FR76" s="280"/>
      <c r="FS76" s="280"/>
      <c r="FT76" s="280"/>
      <c r="FU76" s="280"/>
      <c r="FV76" s="280"/>
      <c r="FW76" s="280"/>
      <c r="FX76" s="280"/>
      <c r="FY76" s="280"/>
      <c r="FZ76" s="280"/>
      <c r="GA76" s="280"/>
      <c r="GB76" s="280"/>
      <c r="GC76" s="280"/>
      <c r="GD76" s="280"/>
      <c r="GE76" s="280"/>
      <c r="GF76" s="280"/>
      <c r="GG76" s="280"/>
      <c r="GH76" s="280"/>
      <c r="GI76" s="280"/>
      <c r="GJ76" s="280"/>
      <c r="GK76" s="280"/>
      <c r="GL76" s="280"/>
      <c r="GM76" s="280"/>
      <c r="GN76" s="280"/>
      <c r="GO76" s="280"/>
      <c r="GP76" s="280"/>
      <c r="GQ76" s="280"/>
      <c r="GR76" s="280"/>
      <c r="GS76" s="280"/>
      <c r="GT76" s="280"/>
      <c r="GU76" s="280"/>
      <c r="GV76" s="280"/>
      <c r="GW76" s="280"/>
      <c r="GX76" s="280"/>
      <c r="GY76" s="280"/>
      <c r="GZ76" s="280"/>
      <c r="HA76" s="280"/>
      <c r="HB76" s="280"/>
      <c r="HC76" s="280"/>
      <c r="HD76" s="280"/>
      <c r="HE76" s="280"/>
      <c r="HF76" s="280"/>
      <c r="HG76" s="280"/>
      <c r="HH76" s="280"/>
      <c r="HI76" s="280"/>
      <c r="HJ76" s="280"/>
      <c r="HK76" s="280"/>
      <c r="HL76" s="280"/>
      <c r="HM76" s="280"/>
      <c r="HN76" s="280"/>
      <c r="HO76" s="280"/>
      <c r="HP76" s="280"/>
      <c r="HQ76" s="280"/>
      <c r="HR76" s="280"/>
      <c r="HS76" s="280"/>
      <c r="HT76" s="280"/>
    </row>
    <row r="77" spans="1:228" s="293" customFormat="1" ht="15">
      <c r="A77" s="291" t="s">
        <v>30</v>
      </c>
      <c r="B77" s="292">
        <f>B78+B80+B79</f>
        <v>58759</v>
      </c>
      <c r="C77" s="292">
        <f>C78+C80+C79</f>
        <v>14</v>
      </c>
      <c r="D77" s="292">
        <f>D78+D80+D79</f>
        <v>2760</v>
      </c>
      <c r="E77" s="114" t="s">
        <v>31</v>
      </c>
    </row>
    <row r="78" spans="1:228" s="293" customFormat="1" ht="15">
      <c r="A78" s="291" t="s">
        <v>32</v>
      </c>
      <c r="B78" s="294">
        <v>8271</v>
      </c>
      <c r="C78" s="294">
        <v>0</v>
      </c>
      <c r="D78" s="294"/>
      <c r="E78" s="114" t="s">
        <v>33</v>
      </c>
    </row>
    <row r="79" spans="1:228" s="293" customFormat="1" ht="15">
      <c r="A79" s="291" t="s">
        <v>36</v>
      </c>
      <c r="B79" s="294"/>
      <c r="C79" s="294"/>
      <c r="D79" s="295">
        <v>2760</v>
      </c>
      <c r="E79" s="114" t="s">
        <v>391</v>
      </c>
    </row>
    <row r="80" spans="1:228" s="293" customFormat="1" ht="15">
      <c r="A80" s="291" t="s">
        <v>34</v>
      </c>
      <c r="B80" s="294">
        <f>SUM(B81:B100)</f>
        <v>50488</v>
      </c>
      <c r="C80" s="294">
        <f>SUM(C81:C100)</f>
        <v>14</v>
      </c>
      <c r="D80" s="294">
        <f>SUM(D81:D100)</f>
        <v>0</v>
      </c>
      <c r="E80" s="114" t="s">
        <v>35</v>
      </c>
    </row>
    <row r="81" spans="1:228" s="299" customFormat="1" ht="15">
      <c r="A81" s="296" t="s">
        <v>37</v>
      </c>
      <c r="B81" s="297">
        <v>3281</v>
      </c>
      <c r="C81" s="297">
        <v>0</v>
      </c>
      <c r="D81" s="297"/>
      <c r="E81" s="298" t="s">
        <v>38</v>
      </c>
    </row>
    <row r="82" spans="1:228" s="299" customFormat="1" ht="15">
      <c r="A82" s="296" t="s">
        <v>39</v>
      </c>
      <c r="B82" s="297">
        <v>2168</v>
      </c>
      <c r="C82" s="297">
        <v>0</v>
      </c>
      <c r="D82" s="297"/>
      <c r="E82" s="298" t="s">
        <v>40</v>
      </c>
    </row>
    <row r="83" spans="1:228" s="299" customFormat="1" ht="15">
      <c r="A83" s="296" t="s">
        <v>41</v>
      </c>
      <c r="B83" s="297">
        <v>2591</v>
      </c>
      <c r="C83" s="297">
        <v>0</v>
      </c>
      <c r="D83" s="297"/>
      <c r="E83" s="298" t="s">
        <v>42</v>
      </c>
    </row>
    <row r="84" spans="1:228" s="299" customFormat="1" ht="15">
      <c r="A84" s="296" t="s">
        <v>43</v>
      </c>
      <c r="B84" s="297">
        <v>2009</v>
      </c>
      <c r="C84" s="297">
        <v>0</v>
      </c>
      <c r="D84" s="297"/>
      <c r="E84" s="298" t="s">
        <v>44</v>
      </c>
    </row>
    <row r="85" spans="1:228" s="299" customFormat="1" ht="15">
      <c r="A85" s="296" t="s">
        <v>45</v>
      </c>
      <c r="B85" s="297">
        <v>3068</v>
      </c>
      <c r="C85" s="297">
        <v>0</v>
      </c>
      <c r="D85" s="297"/>
      <c r="E85" s="298" t="s">
        <v>46</v>
      </c>
    </row>
    <row r="86" spans="1:228" s="299" customFormat="1" ht="15">
      <c r="A86" s="296" t="s">
        <v>47</v>
      </c>
      <c r="B86" s="297">
        <v>1030</v>
      </c>
      <c r="C86" s="297">
        <v>0</v>
      </c>
      <c r="D86" s="297"/>
      <c r="E86" s="298" t="s">
        <v>48</v>
      </c>
    </row>
    <row r="87" spans="1:228" s="299" customFormat="1" ht="15">
      <c r="A87" s="296" t="s">
        <v>49</v>
      </c>
      <c r="B87" s="297">
        <v>1470</v>
      </c>
      <c r="C87" s="297">
        <v>0</v>
      </c>
      <c r="D87" s="297"/>
      <c r="E87" s="298" t="s">
        <v>50</v>
      </c>
    </row>
    <row r="88" spans="1:228" s="299" customFormat="1" ht="15">
      <c r="A88" s="296" t="s">
        <v>51</v>
      </c>
      <c r="B88" s="297">
        <v>1527</v>
      </c>
      <c r="C88" s="297">
        <v>0</v>
      </c>
      <c r="D88" s="297"/>
      <c r="E88" s="298" t="s">
        <v>52</v>
      </c>
    </row>
    <row r="89" spans="1:228" s="299" customFormat="1" ht="15">
      <c r="A89" s="296" t="s">
        <v>191</v>
      </c>
      <c r="B89" s="297">
        <v>2435</v>
      </c>
      <c r="C89" s="297">
        <v>0</v>
      </c>
      <c r="D89" s="297"/>
      <c r="E89" s="298" t="s">
        <v>54</v>
      </c>
    </row>
    <row r="90" spans="1:228" s="299" customFormat="1" ht="15">
      <c r="A90" s="296" t="s">
        <v>55</v>
      </c>
      <c r="B90" s="297">
        <v>3105</v>
      </c>
      <c r="C90" s="297">
        <v>0</v>
      </c>
      <c r="D90" s="297"/>
      <c r="E90" s="298" t="s">
        <v>56</v>
      </c>
    </row>
    <row r="91" spans="1:228" s="299" customFormat="1" ht="15">
      <c r="A91" s="296" t="s">
        <v>57</v>
      </c>
      <c r="B91" s="297">
        <v>214</v>
      </c>
      <c r="C91" s="297">
        <v>0</v>
      </c>
      <c r="D91" s="297"/>
      <c r="E91" s="298" t="s">
        <v>58</v>
      </c>
    </row>
    <row r="92" spans="1:228" s="299" customFormat="1" ht="15">
      <c r="A92" s="296" t="s">
        <v>59</v>
      </c>
      <c r="B92" s="297">
        <v>1406</v>
      </c>
      <c r="C92" s="297">
        <v>0</v>
      </c>
      <c r="D92" s="297"/>
      <c r="E92" s="298" t="s">
        <v>60</v>
      </c>
    </row>
    <row r="93" spans="1:228" s="299" customFormat="1" ht="15">
      <c r="A93" s="296" t="s">
        <v>61</v>
      </c>
      <c r="B93" s="297">
        <v>1946</v>
      </c>
      <c r="C93" s="297">
        <v>0</v>
      </c>
      <c r="D93" s="297"/>
      <c r="E93" s="298" t="s">
        <v>62</v>
      </c>
    </row>
    <row r="94" spans="1:228" ht="15">
      <c r="A94" s="296" t="s">
        <v>63</v>
      </c>
      <c r="B94" s="297">
        <v>4780</v>
      </c>
      <c r="C94" s="297">
        <v>0</v>
      </c>
      <c r="D94" s="297"/>
      <c r="E94" s="298" t="s">
        <v>64</v>
      </c>
      <c r="F94" s="299"/>
      <c r="G94" s="299"/>
      <c r="H94" s="299"/>
      <c r="I94" s="299"/>
      <c r="J94" s="299"/>
      <c r="K94" s="299"/>
      <c r="L94" s="299"/>
      <c r="M94" s="299"/>
      <c r="N94" s="299"/>
      <c r="O94" s="299"/>
      <c r="P94" s="299"/>
      <c r="Q94" s="299"/>
      <c r="R94" s="299"/>
      <c r="S94" s="299"/>
      <c r="T94" s="299"/>
      <c r="U94" s="299"/>
      <c r="V94" s="299"/>
      <c r="W94" s="299"/>
      <c r="X94" s="299"/>
      <c r="Y94" s="299"/>
      <c r="Z94" s="299"/>
      <c r="AA94" s="299"/>
      <c r="AB94" s="299"/>
      <c r="AC94" s="299"/>
      <c r="AD94" s="299"/>
      <c r="AE94" s="299"/>
      <c r="AF94" s="299"/>
      <c r="AG94" s="299"/>
      <c r="AH94" s="299"/>
      <c r="AI94" s="299"/>
      <c r="AJ94" s="299"/>
      <c r="AK94" s="299"/>
      <c r="AL94" s="299"/>
      <c r="AM94" s="299"/>
      <c r="AN94" s="299"/>
      <c r="AO94" s="299"/>
      <c r="AP94" s="299"/>
      <c r="AQ94" s="299"/>
      <c r="AR94" s="299"/>
      <c r="AS94" s="299"/>
      <c r="AT94" s="299"/>
      <c r="AU94" s="299"/>
      <c r="AV94" s="299"/>
      <c r="AW94" s="299"/>
      <c r="AX94" s="299"/>
      <c r="AY94" s="299"/>
      <c r="AZ94" s="299"/>
      <c r="BA94" s="299"/>
      <c r="BB94" s="299"/>
      <c r="BC94" s="299"/>
      <c r="BD94" s="299"/>
      <c r="BE94" s="299"/>
      <c r="BF94" s="299"/>
      <c r="BG94" s="299"/>
      <c r="BH94" s="299"/>
      <c r="BI94" s="299"/>
      <c r="BJ94" s="299"/>
      <c r="BK94" s="299"/>
      <c r="BL94" s="299"/>
      <c r="BM94" s="299"/>
      <c r="BN94" s="299"/>
      <c r="BO94" s="299"/>
      <c r="BP94" s="299"/>
      <c r="BQ94" s="299"/>
      <c r="BR94" s="299"/>
      <c r="BS94" s="299"/>
      <c r="BT94" s="299"/>
      <c r="BU94" s="299"/>
      <c r="BV94" s="299"/>
      <c r="BW94" s="299"/>
      <c r="BX94" s="299"/>
      <c r="BY94" s="299"/>
      <c r="BZ94" s="299"/>
      <c r="CA94" s="299"/>
      <c r="CB94" s="299"/>
      <c r="CC94" s="299"/>
      <c r="CD94" s="299"/>
      <c r="CE94" s="299"/>
      <c r="CF94" s="299"/>
      <c r="CG94" s="299"/>
      <c r="CH94" s="299"/>
      <c r="CI94" s="299"/>
      <c r="CJ94" s="299"/>
      <c r="CK94" s="299"/>
      <c r="CL94" s="299"/>
      <c r="CM94" s="299"/>
      <c r="CN94" s="299"/>
      <c r="CO94" s="299"/>
      <c r="CP94" s="299"/>
      <c r="CQ94" s="299"/>
      <c r="CR94" s="299"/>
      <c r="CS94" s="299"/>
      <c r="CT94" s="299"/>
      <c r="CU94" s="299"/>
      <c r="CV94" s="299"/>
      <c r="CW94" s="299"/>
      <c r="CX94" s="299"/>
      <c r="CY94" s="299"/>
      <c r="CZ94" s="299"/>
      <c r="DA94" s="299"/>
      <c r="DB94" s="299"/>
      <c r="DC94" s="299"/>
      <c r="DD94" s="299"/>
      <c r="DE94" s="299"/>
      <c r="DF94" s="299"/>
      <c r="DG94" s="299"/>
      <c r="DH94" s="299"/>
      <c r="DI94" s="299"/>
      <c r="DJ94" s="299"/>
      <c r="DK94" s="299"/>
      <c r="DL94" s="299"/>
      <c r="DM94" s="299"/>
      <c r="DN94" s="299"/>
      <c r="DO94" s="299"/>
      <c r="DP94" s="299"/>
      <c r="DQ94" s="299"/>
      <c r="DR94" s="299"/>
      <c r="DS94" s="299"/>
      <c r="DT94" s="299"/>
      <c r="DU94" s="299"/>
      <c r="DV94" s="299"/>
      <c r="DW94" s="299"/>
      <c r="DX94" s="299"/>
      <c r="DY94" s="299"/>
      <c r="DZ94" s="299"/>
      <c r="EA94" s="299"/>
      <c r="EB94" s="299"/>
      <c r="EC94" s="299"/>
      <c r="ED94" s="299"/>
      <c r="EE94" s="299"/>
      <c r="EF94" s="299"/>
      <c r="EG94" s="299"/>
      <c r="EH94" s="299"/>
      <c r="EI94" s="299"/>
      <c r="EJ94" s="299"/>
      <c r="EK94" s="299"/>
      <c r="EL94" s="299"/>
      <c r="EM94" s="299"/>
      <c r="EN94" s="299"/>
      <c r="EO94" s="299"/>
      <c r="EP94" s="299"/>
      <c r="EQ94" s="299"/>
      <c r="ER94" s="299"/>
      <c r="ES94" s="299"/>
      <c r="ET94" s="299"/>
      <c r="EU94" s="299"/>
      <c r="EV94" s="299"/>
      <c r="EW94" s="299"/>
      <c r="EX94" s="299"/>
      <c r="EY94" s="299"/>
      <c r="EZ94" s="299"/>
      <c r="FA94" s="299"/>
      <c r="FB94" s="299"/>
      <c r="FC94" s="299"/>
      <c r="FD94" s="299"/>
      <c r="FE94" s="299"/>
      <c r="FF94" s="299"/>
      <c r="FG94" s="299"/>
      <c r="FH94" s="299"/>
      <c r="FI94" s="299"/>
      <c r="FJ94" s="299"/>
      <c r="FK94" s="299"/>
      <c r="FL94" s="299"/>
      <c r="FM94" s="299"/>
      <c r="FN94" s="299"/>
      <c r="FO94" s="299"/>
      <c r="FP94" s="299"/>
      <c r="FQ94" s="299"/>
      <c r="FR94" s="299"/>
      <c r="FS94" s="299"/>
      <c r="FT94" s="299"/>
      <c r="FU94" s="299"/>
      <c r="FV94" s="299"/>
      <c r="FW94" s="299"/>
      <c r="FX94" s="299"/>
      <c r="FY94" s="299"/>
      <c r="FZ94" s="299"/>
      <c r="GA94" s="299"/>
      <c r="GB94" s="299"/>
      <c r="GC94" s="299"/>
      <c r="GD94" s="299"/>
      <c r="GE94" s="299"/>
      <c r="GF94" s="299"/>
      <c r="GG94" s="299"/>
      <c r="GH94" s="299"/>
      <c r="GI94" s="299"/>
      <c r="GJ94" s="299"/>
      <c r="GK94" s="299"/>
      <c r="GL94" s="299"/>
      <c r="GM94" s="299"/>
      <c r="GN94" s="299"/>
      <c r="GO94" s="299"/>
      <c r="GP94" s="299"/>
      <c r="GQ94" s="299"/>
      <c r="GR94" s="299"/>
      <c r="GS94" s="299"/>
      <c r="GT94" s="299"/>
      <c r="GU94" s="299"/>
      <c r="GV94" s="299"/>
      <c r="GW94" s="299"/>
      <c r="GX94" s="299"/>
      <c r="GY94" s="299"/>
      <c r="GZ94" s="299"/>
      <c r="HA94" s="299"/>
      <c r="HB94" s="299"/>
      <c r="HC94" s="299"/>
      <c r="HD94" s="299"/>
      <c r="HE94" s="299"/>
      <c r="HF94" s="299"/>
      <c r="HG94" s="299"/>
      <c r="HH94" s="299"/>
      <c r="HI94" s="299"/>
      <c r="HJ94" s="299"/>
      <c r="HK94" s="299"/>
      <c r="HL94" s="299"/>
      <c r="HM94" s="299"/>
      <c r="HN94" s="299"/>
      <c r="HO94" s="299"/>
      <c r="HP94" s="299"/>
      <c r="HQ94" s="299"/>
      <c r="HR94" s="299"/>
      <c r="HS94" s="299"/>
      <c r="HT94" s="299"/>
    </row>
    <row r="95" spans="1:228" ht="15">
      <c r="A95" s="296" t="s">
        <v>65</v>
      </c>
      <c r="B95" s="297">
        <v>2815</v>
      </c>
      <c r="C95" s="297">
        <v>0</v>
      </c>
      <c r="D95" s="297"/>
      <c r="E95" s="298" t="s">
        <v>66</v>
      </c>
      <c r="F95" s="299"/>
      <c r="G95" s="299"/>
      <c r="H95" s="299"/>
      <c r="I95" s="299"/>
      <c r="J95" s="299"/>
      <c r="K95" s="299"/>
      <c r="L95" s="299"/>
      <c r="M95" s="299"/>
      <c r="N95" s="299"/>
      <c r="O95" s="299"/>
      <c r="P95" s="299"/>
      <c r="Q95" s="299"/>
      <c r="R95" s="299"/>
      <c r="S95" s="299"/>
      <c r="T95" s="299"/>
      <c r="U95" s="299"/>
      <c r="V95" s="299"/>
      <c r="W95" s="299"/>
      <c r="X95" s="299"/>
      <c r="Y95" s="299"/>
      <c r="Z95" s="299"/>
      <c r="AA95" s="299"/>
      <c r="AB95" s="299"/>
      <c r="AC95" s="299"/>
      <c r="AD95" s="299"/>
      <c r="AE95" s="299"/>
      <c r="AF95" s="299"/>
      <c r="AG95" s="299"/>
      <c r="AH95" s="299"/>
      <c r="AI95" s="299"/>
      <c r="AJ95" s="299"/>
      <c r="AK95" s="299"/>
      <c r="AL95" s="299"/>
      <c r="AM95" s="299"/>
      <c r="AN95" s="299"/>
      <c r="AO95" s="299"/>
      <c r="AP95" s="299"/>
      <c r="AQ95" s="299"/>
      <c r="AR95" s="299"/>
      <c r="AS95" s="299"/>
      <c r="AT95" s="299"/>
      <c r="AU95" s="299"/>
      <c r="AV95" s="299"/>
      <c r="AW95" s="299"/>
      <c r="AX95" s="299"/>
      <c r="AY95" s="299"/>
      <c r="AZ95" s="299"/>
      <c r="BA95" s="299"/>
      <c r="BB95" s="299"/>
      <c r="BC95" s="299"/>
      <c r="BD95" s="299"/>
      <c r="BE95" s="299"/>
      <c r="BF95" s="299"/>
      <c r="BG95" s="299"/>
      <c r="BH95" s="299"/>
      <c r="BI95" s="299"/>
      <c r="BJ95" s="299"/>
      <c r="BK95" s="299"/>
      <c r="BL95" s="299"/>
      <c r="BM95" s="299"/>
      <c r="BN95" s="299"/>
      <c r="BO95" s="299"/>
      <c r="BP95" s="299"/>
      <c r="BQ95" s="299"/>
      <c r="BR95" s="299"/>
      <c r="BS95" s="299"/>
      <c r="BT95" s="299"/>
      <c r="BU95" s="299"/>
      <c r="BV95" s="299"/>
      <c r="BW95" s="299"/>
      <c r="BX95" s="299"/>
      <c r="BY95" s="299"/>
      <c r="BZ95" s="299"/>
      <c r="CA95" s="299"/>
      <c r="CB95" s="299"/>
      <c r="CC95" s="299"/>
      <c r="CD95" s="299"/>
      <c r="CE95" s="299"/>
      <c r="CF95" s="299"/>
      <c r="CG95" s="299"/>
      <c r="CH95" s="299"/>
      <c r="CI95" s="299"/>
      <c r="CJ95" s="299"/>
      <c r="CK95" s="299"/>
      <c r="CL95" s="299"/>
      <c r="CM95" s="299"/>
      <c r="CN95" s="299"/>
      <c r="CO95" s="299"/>
      <c r="CP95" s="299"/>
      <c r="CQ95" s="299"/>
      <c r="CR95" s="299"/>
      <c r="CS95" s="299"/>
      <c r="CT95" s="299"/>
      <c r="CU95" s="299"/>
      <c r="CV95" s="299"/>
      <c r="CW95" s="299"/>
      <c r="CX95" s="299"/>
      <c r="CY95" s="299"/>
      <c r="CZ95" s="299"/>
      <c r="DA95" s="299"/>
      <c r="DB95" s="299"/>
      <c r="DC95" s="299"/>
      <c r="DD95" s="299"/>
      <c r="DE95" s="299"/>
      <c r="DF95" s="299"/>
      <c r="DG95" s="299"/>
      <c r="DH95" s="299"/>
      <c r="DI95" s="299"/>
      <c r="DJ95" s="299"/>
      <c r="DK95" s="299"/>
      <c r="DL95" s="299"/>
      <c r="DM95" s="299"/>
      <c r="DN95" s="299"/>
      <c r="DO95" s="299"/>
      <c r="DP95" s="299"/>
      <c r="DQ95" s="299"/>
      <c r="DR95" s="299"/>
      <c r="DS95" s="299"/>
      <c r="DT95" s="299"/>
      <c r="DU95" s="299"/>
      <c r="DV95" s="299"/>
      <c r="DW95" s="299"/>
      <c r="DX95" s="299"/>
      <c r="DY95" s="299"/>
      <c r="DZ95" s="299"/>
      <c r="EA95" s="299"/>
      <c r="EB95" s="299"/>
      <c r="EC95" s="299"/>
      <c r="ED95" s="299"/>
      <c r="EE95" s="299"/>
      <c r="EF95" s="299"/>
      <c r="EG95" s="299"/>
      <c r="EH95" s="299"/>
      <c r="EI95" s="299"/>
      <c r="EJ95" s="299"/>
      <c r="EK95" s="299"/>
      <c r="EL95" s="299"/>
      <c r="EM95" s="299"/>
      <c r="EN95" s="299"/>
      <c r="EO95" s="299"/>
      <c r="EP95" s="299"/>
      <c r="EQ95" s="299"/>
      <c r="ER95" s="299"/>
      <c r="ES95" s="299"/>
      <c r="ET95" s="299"/>
      <c r="EU95" s="299"/>
      <c r="EV95" s="299"/>
      <c r="EW95" s="299"/>
      <c r="EX95" s="299"/>
      <c r="EY95" s="299"/>
      <c r="EZ95" s="299"/>
      <c r="FA95" s="299"/>
      <c r="FB95" s="299"/>
      <c r="FC95" s="299"/>
      <c r="FD95" s="299"/>
      <c r="FE95" s="299"/>
      <c r="FF95" s="299"/>
      <c r="FG95" s="299"/>
      <c r="FH95" s="299"/>
      <c r="FI95" s="299"/>
      <c r="FJ95" s="299"/>
      <c r="FK95" s="299"/>
      <c r="FL95" s="299"/>
      <c r="FM95" s="299"/>
      <c r="FN95" s="299"/>
      <c r="FO95" s="299"/>
      <c r="FP95" s="299"/>
      <c r="FQ95" s="299"/>
      <c r="FR95" s="299"/>
      <c r="FS95" s="299"/>
      <c r="FT95" s="299"/>
      <c r="FU95" s="299"/>
      <c r="FV95" s="299"/>
      <c r="FW95" s="299"/>
      <c r="FX95" s="299"/>
      <c r="FY95" s="299"/>
      <c r="FZ95" s="299"/>
      <c r="GA95" s="299"/>
      <c r="GB95" s="299"/>
      <c r="GC95" s="299"/>
      <c r="GD95" s="299"/>
      <c r="GE95" s="299"/>
      <c r="GF95" s="299"/>
      <c r="GG95" s="299"/>
      <c r="GH95" s="299"/>
      <c r="GI95" s="299"/>
      <c r="GJ95" s="299"/>
      <c r="GK95" s="299"/>
      <c r="GL95" s="299"/>
      <c r="GM95" s="299"/>
      <c r="GN95" s="299"/>
      <c r="GO95" s="299"/>
      <c r="GP95" s="299"/>
      <c r="GQ95" s="299"/>
      <c r="GR95" s="299"/>
      <c r="GS95" s="299"/>
      <c r="GT95" s="299"/>
      <c r="GU95" s="299"/>
      <c r="GV95" s="299"/>
      <c r="GW95" s="299"/>
      <c r="GX95" s="299"/>
      <c r="GY95" s="299"/>
      <c r="GZ95" s="299"/>
      <c r="HA95" s="299"/>
      <c r="HB95" s="299"/>
      <c r="HC95" s="299"/>
      <c r="HD95" s="299"/>
      <c r="HE95" s="299"/>
      <c r="HF95" s="299"/>
      <c r="HG95" s="299"/>
      <c r="HH95" s="299"/>
      <c r="HI95" s="299"/>
      <c r="HJ95" s="299"/>
      <c r="HK95" s="299"/>
      <c r="HL95" s="299"/>
      <c r="HM95" s="299"/>
      <c r="HN95" s="299"/>
      <c r="HO95" s="299"/>
      <c r="HP95" s="299"/>
      <c r="HQ95" s="299"/>
      <c r="HR95" s="299"/>
      <c r="HS95" s="299"/>
      <c r="HT95" s="299"/>
    </row>
    <row r="96" spans="1:228" ht="15">
      <c r="A96" s="296" t="s">
        <v>67</v>
      </c>
      <c r="B96" s="297">
        <v>4018</v>
      </c>
      <c r="C96" s="297">
        <v>0</v>
      </c>
      <c r="D96" s="297"/>
      <c r="E96" s="298" t="s">
        <v>68</v>
      </c>
      <c r="F96" s="299"/>
      <c r="G96" s="299"/>
      <c r="H96" s="299"/>
      <c r="I96" s="299"/>
      <c r="J96" s="299"/>
      <c r="K96" s="299"/>
      <c r="L96" s="299"/>
      <c r="M96" s="299"/>
      <c r="N96" s="299"/>
      <c r="O96" s="299"/>
      <c r="P96" s="299"/>
      <c r="Q96" s="299"/>
      <c r="R96" s="299"/>
      <c r="S96" s="299"/>
      <c r="T96" s="299"/>
      <c r="U96" s="299"/>
      <c r="V96" s="299"/>
      <c r="W96" s="299"/>
      <c r="X96" s="299"/>
      <c r="Y96" s="299"/>
      <c r="Z96" s="299"/>
      <c r="AA96" s="299"/>
      <c r="AB96" s="299"/>
      <c r="AC96" s="299"/>
      <c r="AD96" s="299"/>
      <c r="AE96" s="299"/>
      <c r="AF96" s="299"/>
      <c r="AG96" s="299"/>
      <c r="AH96" s="299"/>
      <c r="AI96" s="299"/>
      <c r="AJ96" s="299"/>
      <c r="AK96" s="299"/>
      <c r="AL96" s="299"/>
      <c r="AM96" s="299"/>
      <c r="AN96" s="299"/>
      <c r="AO96" s="299"/>
      <c r="AP96" s="299"/>
      <c r="AQ96" s="299"/>
      <c r="AR96" s="299"/>
      <c r="AS96" s="299"/>
      <c r="AT96" s="299"/>
      <c r="AU96" s="299"/>
      <c r="AV96" s="299"/>
      <c r="AW96" s="299"/>
      <c r="AX96" s="299"/>
      <c r="AY96" s="299"/>
      <c r="AZ96" s="299"/>
      <c r="BA96" s="299"/>
      <c r="BB96" s="299"/>
      <c r="BC96" s="299"/>
      <c r="BD96" s="299"/>
      <c r="BE96" s="299"/>
      <c r="BF96" s="299"/>
      <c r="BG96" s="299"/>
      <c r="BH96" s="299"/>
      <c r="BI96" s="299"/>
      <c r="BJ96" s="299"/>
      <c r="BK96" s="299"/>
      <c r="BL96" s="299"/>
      <c r="BM96" s="299"/>
      <c r="BN96" s="299"/>
      <c r="BO96" s="299"/>
      <c r="BP96" s="299"/>
      <c r="BQ96" s="299"/>
      <c r="BR96" s="299"/>
      <c r="BS96" s="299"/>
      <c r="BT96" s="299"/>
      <c r="BU96" s="299"/>
      <c r="BV96" s="299"/>
      <c r="BW96" s="299"/>
      <c r="BX96" s="299"/>
      <c r="BY96" s="299"/>
      <c r="BZ96" s="299"/>
      <c r="CA96" s="299"/>
      <c r="CB96" s="299"/>
      <c r="CC96" s="299"/>
      <c r="CD96" s="299"/>
      <c r="CE96" s="299"/>
      <c r="CF96" s="299"/>
      <c r="CG96" s="299"/>
      <c r="CH96" s="299"/>
      <c r="CI96" s="299"/>
      <c r="CJ96" s="299"/>
      <c r="CK96" s="299"/>
      <c r="CL96" s="299"/>
      <c r="CM96" s="299"/>
      <c r="CN96" s="299"/>
      <c r="CO96" s="299"/>
      <c r="CP96" s="299"/>
      <c r="CQ96" s="299"/>
      <c r="CR96" s="299"/>
      <c r="CS96" s="299"/>
      <c r="CT96" s="299"/>
      <c r="CU96" s="299"/>
      <c r="CV96" s="299"/>
      <c r="CW96" s="299"/>
      <c r="CX96" s="299"/>
      <c r="CY96" s="299"/>
      <c r="CZ96" s="299"/>
      <c r="DA96" s="299"/>
      <c r="DB96" s="299"/>
      <c r="DC96" s="299"/>
      <c r="DD96" s="299"/>
      <c r="DE96" s="299"/>
      <c r="DF96" s="299"/>
      <c r="DG96" s="299"/>
      <c r="DH96" s="299"/>
      <c r="DI96" s="299"/>
      <c r="DJ96" s="299"/>
      <c r="DK96" s="299"/>
      <c r="DL96" s="299"/>
      <c r="DM96" s="299"/>
      <c r="DN96" s="299"/>
      <c r="DO96" s="299"/>
      <c r="DP96" s="299"/>
      <c r="DQ96" s="299"/>
      <c r="DR96" s="299"/>
      <c r="DS96" s="299"/>
      <c r="DT96" s="299"/>
      <c r="DU96" s="299"/>
      <c r="DV96" s="299"/>
      <c r="DW96" s="299"/>
      <c r="DX96" s="299"/>
      <c r="DY96" s="299"/>
      <c r="DZ96" s="299"/>
      <c r="EA96" s="299"/>
      <c r="EB96" s="299"/>
      <c r="EC96" s="299"/>
      <c r="ED96" s="299"/>
      <c r="EE96" s="299"/>
      <c r="EF96" s="299"/>
      <c r="EG96" s="299"/>
      <c r="EH96" s="299"/>
      <c r="EI96" s="299"/>
      <c r="EJ96" s="299"/>
      <c r="EK96" s="299"/>
      <c r="EL96" s="299"/>
      <c r="EM96" s="299"/>
      <c r="EN96" s="299"/>
      <c r="EO96" s="299"/>
      <c r="EP96" s="299"/>
      <c r="EQ96" s="299"/>
      <c r="ER96" s="299"/>
      <c r="ES96" s="299"/>
      <c r="ET96" s="299"/>
      <c r="EU96" s="299"/>
      <c r="EV96" s="299"/>
      <c r="EW96" s="299"/>
      <c r="EX96" s="299"/>
      <c r="EY96" s="299"/>
      <c r="EZ96" s="299"/>
      <c r="FA96" s="299"/>
      <c r="FB96" s="299"/>
      <c r="FC96" s="299"/>
      <c r="FD96" s="299"/>
      <c r="FE96" s="299"/>
      <c r="FF96" s="299"/>
      <c r="FG96" s="299"/>
      <c r="FH96" s="299"/>
      <c r="FI96" s="299"/>
      <c r="FJ96" s="299"/>
      <c r="FK96" s="299"/>
      <c r="FL96" s="299"/>
      <c r="FM96" s="299"/>
      <c r="FN96" s="299"/>
      <c r="FO96" s="299"/>
      <c r="FP96" s="299"/>
      <c r="FQ96" s="299"/>
      <c r="FR96" s="299"/>
      <c r="FS96" s="299"/>
      <c r="FT96" s="299"/>
      <c r="FU96" s="299"/>
      <c r="FV96" s="299"/>
      <c r="FW96" s="299"/>
      <c r="FX96" s="299"/>
      <c r="FY96" s="299"/>
      <c r="FZ96" s="299"/>
      <c r="GA96" s="299"/>
      <c r="GB96" s="299"/>
      <c r="GC96" s="299"/>
      <c r="GD96" s="299"/>
      <c r="GE96" s="299"/>
      <c r="GF96" s="299"/>
      <c r="GG96" s="299"/>
      <c r="GH96" s="299"/>
      <c r="GI96" s="299"/>
      <c r="GJ96" s="299"/>
      <c r="GK96" s="299"/>
      <c r="GL96" s="299"/>
      <c r="GM96" s="299"/>
      <c r="GN96" s="299"/>
      <c r="GO96" s="299"/>
      <c r="GP96" s="299"/>
      <c r="GQ96" s="299"/>
      <c r="GR96" s="299"/>
      <c r="GS96" s="299"/>
      <c r="GT96" s="299"/>
      <c r="GU96" s="299"/>
      <c r="GV96" s="299"/>
      <c r="GW96" s="299"/>
      <c r="GX96" s="299"/>
      <c r="GY96" s="299"/>
      <c r="GZ96" s="299"/>
      <c r="HA96" s="299"/>
      <c r="HB96" s="299"/>
      <c r="HC96" s="299"/>
      <c r="HD96" s="299"/>
      <c r="HE96" s="299"/>
      <c r="HF96" s="299"/>
      <c r="HG96" s="299"/>
      <c r="HH96" s="299"/>
      <c r="HI96" s="299"/>
      <c r="HJ96" s="299"/>
      <c r="HK96" s="299"/>
      <c r="HL96" s="299"/>
      <c r="HM96" s="299"/>
      <c r="HN96" s="299"/>
      <c r="HO96" s="299"/>
      <c r="HP96" s="299"/>
      <c r="HQ96" s="299"/>
      <c r="HR96" s="299"/>
      <c r="HS96" s="299"/>
      <c r="HT96" s="299"/>
    </row>
    <row r="97" spans="1:228" s="300" customFormat="1" ht="15">
      <c r="A97" s="296" t="s">
        <v>69</v>
      </c>
      <c r="B97" s="297">
        <v>5052</v>
      </c>
      <c r="C97" s="297">
        <v>0</v>
      </c>
      <c r="D97" s="297"/>
      <c r="E97" s="298" t="s">
        <v>70</v>
      </c>
      <c r="F97" s="299"/>
      <c r="G97" s="299"/>
      <c r="H97" s="299"/>
      <c r="I97" s="299"/>
      <c r="J97" s="299"/>
      <c r="K97" s="299"/>
      <c r="L97" s="299"/>
      <c r="M97" s="299"/>
      <c r="N97" s="299"/>
      <c r="O97" s="299"/>
      <c r="P97" s="299"/>
      <c r="Q97" s="299"/>
      <c r="R97" s="299"/>
      <c r="S97" s="299"/>
      <c r="T97" s="299"/>
      <c r="U97" s="299"/>
      <c r="V97" s="299"/>
      <c r="W97" s="299"/>
      <c r="X97" s="299"/>
      <c r="Y97" s="299"/>
      <c r="Z97" s="299"/>
      <c r="AA97" s="299"/>
      <c r="AB97" s="299"/>
      <c r="AC97" s="299"/>
      <c r="AD97" s="299"/>
      <c r="AE97" s="299"/>
      <c r="AF97" s="299"/>
      <c r="AG97" s="299"/>
      <c r="AH97" s="299"/>
      <c r="AI97" s="299"/>
      <c r="AJ97" s="299"/>
      <c r="AK97" s="299"/>
      <c r="AL97" s="299"/>
      <c r="AM97" s="299"/>
      <c r="AN97" s="299"/>
      <c r="AO97" s="299"/>
      <c r="AP97" s="299"/>
      <c r="AQ97" s="299"/>
      <c r="AR97" s="299"/>
      <c r="AS97" s="299"/>
      <c r="AT97" s="299"/>
      <c r="AU97" s="299"/>
      <c r="AV97" s="299"/>
      <c r="AW97" s="299"/>
      <c r="AX97" s="299"/>
      <c r="AY97" s="299"/>
      <c r="AZ97" s="299"/>
      <c r="BA97" s="299"/>
      <c r="BB97" s="299"/>
      <c r="BC97" s="299"/>
      <c r="BD97" s="299"/>
      <c r="BE97" s="299"/>
      <c r="BF97" s="299"/>
      <c r="BG97" s="299"/>
      <c r="BH97" s="299"/>
      <c r="BI97" s="299"/>
      <c r="BJ97" s="299"/>
      <c r="BK97" s="299"/>
      <c r="BL97" s="299"/>
      <c r="BM97" s="299"/>
      <c r="BN97" s="299"/>
      <c r="BO97" s="299"/>
      <c r="BP97" s="299"/>
      <c r="BQ97" s="299"/>
      <c r="BR97" s="299"/>
      <c r="BS97" s="299"/>
      <c r="BT97" s="299"/>
      <c r="BU97" s="299"/>
      <c r="BV97" s="299"/>
      <c r="BW97" s="299"/>
      <c r="BX97" s="299"/>
      <c r="BY97" s="299"/>
      <c r="BZ97" s="299"/>
      <c r="CA97" s="299"/>
      <c r="CB97" s="299"/>
      <c r="CC97" s="299"/>
      <c r="CD97" s="299"/>
      <c r="CE97" s="299"/>
      <c r="CF97" s="299"/>
      <c r="CG97" s="299"/>
      <c r="CH97" s="299"/>
      <c r="CI97" s="299"/>
      <c r="CJ97" s="299"/>
      <c r="CK97" s="299"/>
      <c r="CL97" s="299"/>
      <c r="CM97" s="299"/>
      <c r="CN97" s="299"/>
      <c r="CO97" s="299"/>
      <c r="CP97" s="299"/>
      <c r="CQ97" s="299"/>
      <c r="CR97" s="299"/>
      <c r="CS97" s="299"/>
      <c r="CT97" s="299"/>
      <c r="CU97" s="299"/>
      <c r="CV97" s="299"/>
      <c r="CW97" s="299"/>
      <c r="CX97" s="299"/>
      <c r="CY97" s="299"/>
      <c r="CZ97" s="299"/>
      <c r="DA97" s="299"/>
      <c r="DB97" s="299"/>
      <c r="DC97" s="299"/>
      <c r="DD97" s="299"/>
      <c r="DE97" s="299"/>
      <c r="DF97" s="299"/>
      <c r="DG97" s="299"/>
      <c r="DH97" s="299"/>
      <c r="DI97" s="299"/>
      <c r="DJ97" s="299"/>
      <c r="DK97" s="299"/>
      <c r="DL97" s="299"/>
      <c r="DM97" s="299"/>
      <c r="DN97" s="299"/>
      <c r="DO97" s="299"/>
      <c r="DP97" s="299"/>
      <c r="DQ97" s="299"/>
      <c r="DR97" s="299"/>
      <c r="DS97" s="299"/>
      <c r="DT97" s="299"/>
      <c r="DU97" s="299"/>
      <c r="DV97" s="299"/>
      <c r="DW97" s="299"/>
      <c r="DX97" s="299"/>
      <c r="DY97" s="299"/>
      <c r="DZ97" s="299"/>
      <c r="EA97" s="299"/>
      <c r="EB97" s="299"/>
      <c r="EC97" s="299"/>
      <c r="ED97" s="299"/>
      <c r="EE97" s="299"/>
      <c r="EF97" s="299"/>
      <c r="EG97" s="299"/>
      <c r="EH97" s="299"/>
      <c r="EI97" s="299"/>
      <c r="EJ97" s="299"/>
      <c r="EK97" s="299"/>
      <c r="EL97" s="299"/>
      <c r="EM97" s="299"/>
      <c r="EN97" s="299"/>
      <c r="EO97" s="299"/>
      <c r="EP97" s="299"/>
      <c r="EQ97" s="299"/>
      <c r="ER97" s="299"/>
      <c r="ES97" s="299"/>
      <c r="ET97" s="299"/>
      <c r="EU97" s="299"/>
      <c r="EV97" s="299"/>
      <c r="EW97" s="299"/>
      <c r="EX97" s="299"/>
      <c r="EY97" s="299"/>
      <c r="EZ97" s="299"/>
      <c r="FA97" s="299"/>
      <c r="FB97" s="299"/>
      <c r="FC97" s="299"/>
      <c r="FD97" s="299"/>
      <c r="FE97" s="299"/>
      <c r="FF97" s="299"/>
      <c r="FG97" s="299"/>
      <c r="FH97" s="299"/>
      <c r="FI97" s="299"/>
      <c r="FJ97" s="299"/>
      <c r="FK97" s="299"/>
      <c r="FL97" s="299"/>
      <c r="FM97" s="299"/>
      <c r="FN97" s="299"/>
      <c r="FO97" s="299"/>
      <c r="FP97" s="299"/>
      <c r="FQ97" s="299"/>
      <c r="FR97" s="299"/>
      <c r="FS97" s="299"/>
      <c r="FT97" s="299"/>
      <c r="FU97" s="299"/>
      <c r="FV97" s="299"/>
      <c r="FW97" s="299"/>
      <c r="FX97" s="299"/>
      <c r="FY97" s="299"/>
      <c r="FZ97" s="299"/>
      <c r="GA97" s="299"/>
      <c r="GB97" s="299"/>
      <c r="GC97" s="299"/>
      <c r="GD97" s="299"/>
      <c r="GE97" s="299"/>
      <c r="GF97" s="299"/>
      <c r="GG97" s="299"/>
      <c r="GH97" s="299"/>
      <c r="GI97" s="299"/>
      <c r="GJ97" s="299"/>
      <c r="GK97" s="299"/>
      <c r="GL97" s="299"/>
      <c r="GM97" s="299"/>
      <c r="GN97" s="299"/>
      <c r="GO97" s="299"/>
      <c r="GP97" s="299"/>
      <c r="GQ97" s="299"/>
      <c r="GR97" s="299"/>
      <c r="GS97" s="299"/>
      <c r="GT97" s="299"/>
      <c r="GU97" s="299"/>
      <c r="GV97" s="299"/>
      <c r="GW97" s="299"/>
      <c r="GX97" s="299"/>
      <c r="GY97" s="299"/>
      <c r="GZ97" s="299"/>
      <c r="HA97" s="299"/>
      <c r="HB97" s="299"/>
      <c r="HC97" s="299"/>
      <c r="HD97" s="299"/>
      <c r="HE97" s="299"/>
      <c r="HF97" s="299"/>
      <c r="HG97" s="299"/>
      <c r="HH97" s="299"/>
      <c r="HI97" s="299"/>
      <c r="HJ97" s="299"/>
      <c r="HK97" s="299"/>
      <c r="HL97" s="299"/>
      <c r="HM97" s="299"/>
      <c r="HN97" s="299"/>
      <c r="HO97" s="299"/>
      <c r="HP97" s="299"/>
      <c r="HQ97" s="299"/>
      <c r="HR97" s="299"/>
      <c r="HS97" s="299"/>
      <c r="HT97" s="299"/>
    </row>
    <row r="98" spans="1:228" s="300" customFormat="1" ht="15">
      <c r="A98" s="296" t="s">
        <v>71</v>
      </c>
      <c r="B98" s="297">
        <v>3504</v>
      </c>
      <c r="C98" s="297">
        <v>1</v>
      </c>
      <c r="D98" s="297"/>
      <c r="E98" s="298" t="s">
        <v>72</v>
      </c>
      <c r="F98" s="299"/>
      <c r="G98" s="299"/>
      <c r="H98" s="299"/>
      <c r="I98" s="299"/>
      <c r="J98" s="299"/>
      <c r="K98" s="299"/>
      <c r="L98" s="299"/>
      <c r="M98" s="299"/>
      <c r="N98" s="299"/>
      <c r="O98" s="299"/>
      <c r="P98" s="299"/>
      <c r="Q98" s="299"/>
      <c r="R98" s="299"/>
      <c r="S98" s="299"/>
      <c r="T98" s="299"/>
      <c r="U98" s="299"/>
      <c r="V98" s="299"/>
      <c r="W98" s="299"/>
      <c r="X98" s="299"/>
      <c r="Y98" s="299"/>
      <c r="Z98" s="299"/>
      <c r="AA98" s="299"/>
      <c r="AB98" s="299"/>
      <c r="AC98" s="299"/>
      <c r="AD98" s="299"/>
      <c r="AE98" s="299"/>
      <c r="AF98" s="299"/>
      <c r="AG98" s="299"/>
      <c r="AH98" s="299"/>
      <c r="AI98" s="299"/>
      <c r="AJ98" s="299"/>
      <c r="AK98" s="299"/>
      <c r="AL98" s="299"/>
      <c r="AM98" s="299"/>
      <c r="AN98" s="299"/>
      <c r="AO98" s="299"/>
      <c r="AP98" s="299"/>
      <c r="AQ98" s="299"/>
      <c r="AR98" s="299"/>
      <c r="AS98" s="299"/>
      <c r="AT98" s="299"/>
      <c r="AU98" s="299"/>
      <c r="AV98" s="299"/>
      <c r="AW98" s="299"/>
      <c r="AX98" s="299"/>
      <c r="AY98" s="299"/>
      <c r="AZ98" s="299"/>
      <c r="BA98" s="299"/>
      <c r="BB98" s="299"/>
      <c r="BC98" s="299"/>
      <c r="BD98" s="299"/>
      <c r="BE98" s="299"/>
      <c r="BF98" s="299"/>
      <c r="BG98" s="299"/>
      <c r="BH98" s="299"/>
      <c r="BI98" s="299"/>
      <c r="BJ98" s="299"/>
      <c r="BK98" s="299"/>
      <c r="BL98" s="299"/>
      <c r="BM98" s="299"/>
      <c r="BN98" s="299"/>
      <c r="BO98" s="299"/>
      <c r="BP98" s="299"/>
      <c r="BQ98" s="299"/>
      <c r="BR98" s="299"/>
      <c r="BS98" s="299"/>
      <c r="BT98" s="299"/>
      <c r="BU98" s="299"/>
      <c r="BV98" s="299"/>
      <c r="BW98" s="299"/>
      <c r="BX98" s="299"/>
      <c r="BY98" s="299"/>
      <c r="BZ98" s="299"/>
      <c r="CA98" s="299"/>
      <c r="CB98" s="299"/>
      <c r="CC98" s="299"/>
      <c r="CD98" s="299"/>
      <c r="CE98" s="299"/>
      <c r="CF98" s="299"/>
      <c r="CG98" s="299"/>
      <c r="CH98" s="299"/>
      <c r="CI98" s="299"/>
      <c r="CJ98" s="299"/>
      <c r="CK98" s="299"/>
      <c r="CL98" s="299"/>
      <c r="CM98" s="299"/>
      <c r="CN98" s="299"/>
      <c r="CO98" s="299"/>
      <c r="CP98" s="299"/>
      <c r="CQ98" s="299"/>
      <c r="CR98" s="299"/>
      <c r="CS98" s="299"/>
      <c r="CT98" s="299"/>
      <c r="CU98" s="299"/>
      <c r="CV98" s="299"/>
      <c r="CW98" s="299"/>
      <c r="CX98" s="299"/>
      <c r="CY98" s="299"/>
      <c r="CZ98" s="299"/>
      <c r="DA98" s="299"/>
      <c r="DB98" s="299"/>
      <c r="DC98" s="299"/>
      <c r="DD98" s="299"/>
      <c r="DE98" s="299"/>
      <c r="DF98" s="299"/>
      <c r="DG98" s="299"/>
      <c r="DH98" s="299"/>
      <c r="DI98" s="299"/>
      <c r="DJ98" s="299"/>
      <c r="DK98" s="299"/>
      <c r="DL98" s="299"/>
      <c r="DM98" s="299"/>
      <c r="DN98" s="299"/>
      <c r="DO98" s="299"/>
      <c r="DP98" s="299"/>
      <c r="DQ98" s="299"/>
      <c r="DR98" s="299"/>
      <c r="DS98" s="299"/>
      <c r="DT98" s="299"/>
      <c r="DU98" s="299"/>
      <c r="DV98" s="299"/>
      <c r="DW98" s="299"/>
      <c r="DX98" s="299"/>
      <c r="DY98" s="299"/>
      <c r="DZ98" s="299"/>
      <c r="EA98" s="299"/>
      <c r="EB98" s="299"/>
      <c r="EC98" s="299"/>
      <c r="ED98" s="299"/>
      <c r="EE98" s="299"/>
      <c r="EF98" s="299"/>
      <c r="EG98" s="299"/>
      <c r="EH98" s="299"/>
      <c r="EI98" s="299"/>
      <c r="EJ98" s="299"/>
      <c r="EK98" s="299"/>
      <c r="EL98" s="299"/>
      <c r="EM98" s="299"/>
      <c r="EN98" s="299"/>
      <c r="EO98" s="299"/>
      <c r="EP98" s="299"/>
      <c r="EQ98" s="299"/>
      <c r="ER98" s="299"/>
      <c r="ES98" s="299"/>
      <c r="ET98" s="299"/>
      <c r="EU98" s="299"/>
      <c r="EV98" s="299"/>
      <c r="EW98" s="299"/>
      <c r="EX98" s="299"/>
      <c r="EY98" s="299"/>
      <c r="EZ98" s="299"/>
      <c r="FA98" s="299"/>
      <c r="FB98" s="299"/>
      <c r="FC98" s="299"/>
      <c r="FD98" s="299"/>
      <c r="FE98" s="299"/>
      <c r="FF98" s="299"/>
      <c r="FG98" s="299"/>
      <c r="FH98" s="299"/>
      <c r="FI98" s="299"/>
      <c r="FJ98" s="299"/>
      <c r="FK98" s="299"/>
      <c r="FL98" s="299"/>
      <c r="FM98" s="299"/>
      <c r="FN98" s="299"/>
      <c r="FO98" s="299"/>
      <c r="FP98" s="299"/>
      <c r="FQ98" s="299"/>
      <c r="FR98" s="299"/>
      <c r="FS98" s="299"/>
      <c r="FT98" s="299"/>
      <c r="FU98" s="299"/>
      <c r="FV98" s="299"/>
      <c r="FW98" s="299"/>
      <c r="FX98" s="299"/>
      <c r="FY98" s="299"/>
      <c r="FZ98" s="299"/>
      <c r="GA98" s="299"/>
      <c r="GB98" s="299"/>
      <c r="GC98" s="299"/>
      <c r="GD98" s="299"/>
      <c r="GE98" s="299"/>
      <c r="GF98" s="299"/>
      <c r="GG98" s="299"/>
      <c r="GH98" s="299"/>
      <c r="GI98" s="299"/>
      <c r="GJ98" s="299"/>
      <c r="GK98" s="299"/>
      <c r="GL98" s="299"/>
      <c r="GM98" s="299"/>
      <c r="GN98" s="299"/>
      <c r="GO98" s="299"/>
      <c r="GP98" s="299"/>
      <c r="GQ98" s="299"/>
      <c r="GR98" s="299"/>
      <c r="GS98" s="299"/>
      <c r="GT98" s="299"/>
      <c r="GU98" s="299"/>
      <c r="GV98" s="299"/>
      <c r="GW98" s="299"/>
      <c r="GX98" s="299"/>
      <c r="GY98" s="299"/>
      <c r="GZ98" s="299"/>
      <c r="HA98" s="299"/>
      <c r="HB98" s="299"/>
      <c r="HC98" s="299"/>
      <c r="HD98" s="299"/>
      <c r="HE98" s="299"/>
      <c r="HF98" s="299"/>
      <c r="HG98" s="299"/>
      <c r="HH98" s="299"/>
      <c r="HI98" s="299"/>
      <c r="HJ98" s="299"/>
      <c r="HK98" s="299"/>
      <c r="HL98" s="299"/>
      <c r="HM98" s="299"/>
      <c r="HN98" s="299"/>
      <c r="HO98" s="299"/>
      <c r="HP98" s="299"/>
      <c r="HQ98" s="299"/>
      <c r="HR98" s="299"/>
      <c r="HS98" s="299"/>
      <c r="HT98" s="299"/>
    </row>
    <row r="99" spans="1:228" s="300" customFormat="1" ht="15">
      <c r="A99" s="296" t="s">
        <v>73</v>
      </c>
      <c r="B99" s="297">
        <v>2153</v>
      </c>
      <c r="C99" s="297">
        <v>7</v>
      </c>
      <c r="D99" s="297"/>
      <c r="E99" s="298" t="s">
        <v>74</v>
      </c>
      <c r="F99" s="299"/>
      <c r="G99" s="299"/>
      <c r="H99" s="299"/>
      <c r="I99" s="299"/>
      <c r="J99" s="299"/>
      <c r="K99" s="299"/>
      <c r="L99" s="299"/>
      <c r="M99" s="299"/>
      <c r="N99" s="299"/>
      <c r="O99" s="299"/>
      <c r="P99" s="299"/>
      <c r="Q99" s="299"/>
      <c r="R99" s="299"/>
      <c r="S99" s="299"/>
      <c r="T99" s="299"/>
      <c r="U99" s="299"/>
      <c r="V99" s="299"/>
      <c r="W99" s="299"/>
      <c r="X99" s="299"/>
      <c r="Y99" s="299"/>
      <c r="Z99" s="299"/>
      <c r="AA99" s="299"/>
      <c r="AB99" s="299"/>
      <c r="AC99" s="299"/>
      <c r="AD99" s="299"/>
      <c r="AE99" s="299"/>
      <c r="AF99" s="299"/>
      <c r="AG99" s="299"/>
      <c r="AH99" s="299"/>
      <c r="AI99" s="299"/>
      <c r="AJ99" s="299"/>
      <c r="AK99" s="299"/>
      <c r="AL99" s="299"/>
      <c r="AM99" s="299"/>
      <c r="AN99" s="299"/>
      <c r="AO99" s="299"/>
      <c r="AP99" s="299"/>
      <c r="AQ99" s="299"/>
      <c r="AR99" s="299"/>
      <c r="AS99" s="299"/>
      <c r="AT99" s="299"/>
      <c r="AU99" s="299"/>
      <c r="AV99" s="299"/>
      <c r="AW99" s="299"/>
      <c r="AX99" s="299"/>
      <c r="AY99" s="299"/>
      <c r="AZ99" s="299"/>
      <c r="BA99" s="299"/>
      <c r="BB99" s="299"/>
      <c r="BC99" s="299"/>
      <c r="BD99" s="299"/>
      <c r="BE99" s="299"/>
      <c r="BF99" s="299"/>
      <c r="BG99" s="299"/>
      <c r="BH99" s="299"/>
      <c r="BI99" s="299"/>
      <c r="BJ99" s="299"/>
      <c r="BK99" s="299"/>
      <c r="BL99" s="299"/>
      <c r="BM99" s="299"/>
      <c r="BN99" s="299"/>
      <c r="BO99" s="299"/>
      <c r="BP99" s="299"/>
      <c r="BQ99" s="299"/>
      <c r="BR99" s="299"/>
      <c r="BS99" s="299"/>
      <c r="BT99" s="299"/>
      <c r="BU99" s="299"/>
      <c r="BV99" s="299"/>
      <c r="BW99" s="299"/>
      <c r="BX99" s="299"/>
      <c r="BY99" s="299"/>
      <c r="BZ99" s="299"/>
      <c r="CA99" s="299"/>
      <c r="CB99" s="299"/>
      <c r="CC99" s="299"/>
      <c r="CD99" s="299"/>
      <c r="CE99" s="299"/>
      <c r="CF99" s="299"/>
      <c r="CG99" s="299"/>
      <c r="CH99" s="299"/>
      <c r="CI99" s="299"/>
      <c r="CJ99" s="299"/>
      <c r="CK99" s="299"/>
      <c r="CL99" s="299"/>
      <c r="CM99" s="299"/>
      <c r="CN99" s="299"/>
      <c r="CO99" s="299"/>
      <c r="CP99" s="299"/>
      <c r="CQ99" s="299"/>
      <c r="CR99" s="299"/>
      <c r="CS99" s="299"/>
      <c r="CT99" s="299"/>
      <c r="CU99" s="299"/>
      <c r="CV99" s="299"/>
      <c r="CW99" s="299"/>
      <c r="CX99" s="299"/>
      <c r="CY99" s="299"/>
      <c r="CZ99" s="299"/>
      <c r="DA99" s="299"/>
      <c r="DB99" s="299"/>
      <c r="DC99" s="299"/>
      <c r="DD99" s="299"/>
      <c r="DE99" s="299"/>
      <c r="DF99" s="299"/>
      <c r="DG99" s="299"/>
      <c r="DH99" s="299"/>
      <c r="DI99" s="299"/>
      <c r="DJ99" s="299"/>
      <c r="DK99" s="299"/>
      <c r="DL99" s="299"/>
      <c r="DM99" s="299"/>
      <c r="DN99" s="299"/>
      <c r="DO99" s="299"/>
      <c r="DP99" s="299"/>
      <c r="DQ99" s="299"/>
      <c r="DR99" s="299"/>
      <c r="DS99" s="299"/>
      <c r="DT99" s="299"/>
      <c r="DU99" s="299"/>
      <c r="DV99" s="299"/>
      <c r="DW99" s="299"/>
      <c r="DX99" s="299"/>
      <c r="DY99" s="299"/>
      <c r="DZ99" s="299"/>
      <c r="EA99" s="299"/>
      <c r="EB99" s="299"/>
      <c r="EC99" s="299"/>
      <c r="ED99" s="299"/>
      <c r="EE99" s="299"/>
      <c r="EF99" s="299"/>
      <c r="EG99" s="299"/>
      <c r="EH99" s="299"/>
      <c r="EI99" s="299"/>
      <c r="EJ99" s="299"/>
      <c r="EK99" s="299"/>
      <c r="EL99" s="299"/>
      <c r="EM99" s="299"/>
      <c r="EN99" s="299"/>
      <c r="EO99" s="299"/>
      <c r="EP99" s="299"/>
      <c r="EQ99" s="299"/>
      <c r="ER99" s="299"/>
      <c r="ES99" s="299"/>
      <c r="ET99" s="299"/>
      <c r="EU99" s="299"/>
      <c r="EV99" s="299"/>
      <c r="EW99" s="299"/>
      <c r="EX99" s="299"/>
      <c r="EY99" s="299"/>
      <c r="EZ99" s="299"/>
      <c r="FA99" s="299"/>
      <c r="FB99" s="299"/>
      <c r="FC99" s="299"/>
      <c r="FD99" s="299"/>
      <c r="FE99" s="299"/>
      <c r="FF99" s="299"/>
      <c r="FG99" s="299"/>
      <c r="FH99" s="299"/>
      <c r="FI99" s="299"/>
      <c r="FJ99" s="299"/>
      <c r="FK99" s="299"/>
      <c r="FL99" s="299"/>
      <c r="FM99" s="299"/>
      <c r="FN99" s="299"/>
      <c r="FO99" s="299"/>
      <c r="FP99" s="299"/>
      <c r="FQ99" s="299"/>
      <c r="FR99" s="299"/>
      <c r="FS99" s="299"/>
      <c r="FT99" s="299"/>
      <c r="FU99" s="299"/>
      <c r="FV99" s="299"/>
      <c r="FW99" s="299"/>
      <c r="FX99" s="299"/>
      <c r="FY99" s="299"/>
      <c r="FZ99" s="299"/>
      <c r="GA99" s="299"/>
      <c r="GB99" s="299"/>
      <c r="GC99" s="299"/>
      <c r="GD99" s="299"/>
      <c r="GE99" s="299"/>
      <c r="GF99" s="299"/>
      <c r="GG99" s="299"/>
      <c r="GH99" s="299"/>
      <c r="GI99" s="299"/>
      <c r="GJ99" s="299"/>
      <c r="GK99" s="299"/>
      <c r="GL99" s="299"/>
      <c r="GM99" s="299"/>
      <c r="GN99" s="299"/>
      <c r="GO99" s="299"/>
      <c r="GP99" s="299"/>
      <c r="GQ99" s="299"/>
      <c r="GR99" s="299"/>
      <c r="GS99" s="299"/>
      <c r="GT99" s="299"/>
      <c r="GU99" s="299"/>
      <c r="GV99" s="299"/>
      <c r="GW99" s="299"/>
      <c r="GX99" s="299"/>
      <c r="GY99" s="299"/>
      <c r="GZ99" s="299"/>
      <c r="HA99" s="299"/>
      <c r="HB99" s="299"/>
      <c r="HC99" s="299"/>
      <c r="HD99" s="299"/>
      <c r="HE99" s="299"/>
      <c r="HF99" s="299"/>
      <c r="HG99" s="299"/>
      <c r="HH99" s="299"/>
      <c r="HI99" s="299"/>
      <c r="HJ99" s="299"/>
      <c r="HK99" s="299"/>
      <c r="HL99" s="299"/>
      <c r="HM99" s="299"/>
      <c r="HN99" s="299"/>
      <c r="HO99" s="299"/>
      <c r="HP99" s="299"/>
      <c r="HQ99" s="299"/>
      <c r="HR99" s="299"/>
      <c r="HS99" s="299"/>
      <c r="HT99" s="299"/>
    </row>
    <row r="100" spans="1:228" s="300" customFormat="1" ht="15">
      <c r="A100" s="301" t="s">
        <v>42</v>
      </c>
      <c r="B100" s="302">
        <v>1916</v>
      </c>
      <c r="C100" s="302">
        <v>6</v>
      </c>
      <c r="D100" s="302"/>
      <c r="E100" s="303" t="s">
        <v>75</v>
      </c>
      <c r="F100" s="299"/>
      <c r="G100" s="299"/>
      <c r="H100" s="299"/>
      <c r="I100" s="299"/>
      <c r="J100" s="299"/>
      <c r="K100" s="299"/>
      <c r="L100" s="299"/>
      <c r="M100" s="299"/>
      <c r="N100" s="299"/>
      <c r="O100" s="299"/>
      <c r="P100" s="299"/>
      <c r="Q100" s="299"/>
      <c r="R100" s="299"/>
      <c r="S100" s="299"/>
      <c r="T100" s="299"/>
      <c r="U100" s="299"/>
      <c r="V100" s="299"/>
      <c r="W100" s="299"/>
      <c r="X100" s="299"/>
      <c r="Y100" s="299"/>
      <c r="Z100" s="299"/>
      <c r="AA100" s="299"/>
      <c r="AB100" s="299"/>
      <c r="AC100" s="299"/>
      <c r="AD100" s="299"/>
      <c r="AE100" s="299"/>
      <c r="AF100" s="299"/>
      <c r="AG100" s="299"/>
      <c r="AH100" s="299"/>
      <c r="AI100" s="299"/>
      <c r="AJ100" s="299"/>
      <c r="AK100" s="299"/>
      <c r="AL100" s="299"/>
      <c r="AM100" s="299"/>
      <c r="AN100" s="299"/>
      <c r="AO100" s="299"/>
      <c r="AP100" s="299"/>
      <c r="AQ100" s="299"/>
      <c r="AR100" s="299"/>
      <c r="AS100" s="299"/>
      <c r="AT100" s="299"/>
      <c r="AU100" s="299"/>
      <c r="AV100" s="299"/>
      <c r="AW100" s="299"/>
      <c r="AX100" s="299"/>
      <c r="AY100" s="299"/>
      <c r="AZ100" s="299"/>
      <c r="BA100" s="299"/>
      <c r="BB100" s="299"/>
      <c r="BC100" s="299"/>
      <c r="BD100" s="299"/>
      <c r="BE100" s="299"/>
      <c r="BF100" s="299"/>
      <c r="BG100" s="299"/>
      <c r="BH100" s="299"/>
      <c r="BI100" s="299"/>
      <c r="BJ100" s="299"/>
      <c r="BK100" s="299"/>
      <c r="BL100" s="299"/>
      <c r="BM100" s="299"/>
      <c r="BN100" s="299"/>
      <c r="BO100" s="299"/>
      <c r="BP100" s="299"/>
      <c r="BQ100" s="299"/>
      <c r="BR100" s="299"/>
      <c r="BS100" s="299"/>
      <c r="BT100" s="299"/>
      <c r="BU100" s="299"/>
      <c r="BV100" s="299"/>
      <c r="BW100" s="299"/>
      <c r="BX100" s="299"/>
      <c r="BY100" s="299"/>
      <c r="BZ100" s="299"/>
      <c r="CA100" s="299"/>
      <c r="CB100" s="299"/>
      <c r="CC100" s="299"/>
      <c r="CD100" s="299"/>
      <c r="CE100" s="299"/>
      <c r="CF100" s="299"/>
      <c r="CG100" s="299"/>
      <c r="CH100" s="299"/>
      <c r="CI100" s="299"/>
      <c r="CJ100" s="299"/>
      <c r="CK100" s="299"/>
      <c r="CL100" s="299"/>
      <c r="CM100" s="299"/>
      <c r="CN100" s="299"/>
      <c r="CO100" s="299"/>
      <c r="CP100" s="299"/>
      <c r="CQ100" s="299"/>
      <c r="CR100" s="299"/>
      <c r="CS100" s="299"/>
      <c r="CT100" s="299"/>
      <c r="CU100" s="299"/>
      <c r="CV100" s="299"/>
      <c r="CW100" s="299"/>
      <c r="CX100" s="299"/>
      <c r="CY100" s="299"/>
      <c r="CZ100" s="299"/>
      <c r="DA100" s="299"/>
      <c r="DB100" s="299"/>
      <c r="DC100" s="299"/>
      <c r="DD100" s="299"/>
      <c r="DE100" s="299"/>
      <c r="DF100" s="299"/>
      <c r="DG100" s="299"/>
      <c r="DH100" s="299"/>
      <c r="DI100" s="299"/>
      <c r="DJ100" s="299"/>
      <c r="DK100" s="299"/>
      <c r="DL100" s="299"/>
      <c r="DM100" s="299"/>
      <c r="DN100" s="299"/>
      <c r="DO100" s="299"/>
      <c r="DP100" s="299"/>
      <c r="DQ100" s="299"/>
      <c r="DR100" s="299"/>
      <c r="DS100" s="299"/>
      <c r="DT100" s="299"/>
      <c r="DU100" s="299"/>
      <c r="DV100" s="299"/>
      <c r="DW100" s="299"/>
      <c r="DX100" s="299"/>
      <c r="DY100" s="299"/>
      <c r="DZ100" s="299"/>
      <c r="EA100" s="299"/>
      <c r="EB100" s="299"/>
      <c r="EC100" s="299"/>
      <c r="ED100" s="299"/>
      <c r="EE100" s="299"/>
      <c r="EF100" s="299"/>
      <c r="EG100" s="299"/>
      <c r="EH100" s="299"/>
      <c r="EI100" s="299"/>
      <c r="EJ100" s="299"/>
      <c r="EK100" s="299"/>
      <c r="EL100" s="299"/>
      <c r="EM100" s="299"/>
      <c r="EN100" s="299"/>
      <c r="EO100" s="299"/>
      <c r="EP100" s="299"/>
      <c r="EQ100" s="299"/>
      <c r="ER100" s="299"/>
      <c r="ES100" s="299"/>
      <c r="ET100" s="299"/>
      <c r="EU100" s="299"/>
      <c r="EV100" s="299"/>
      <c r="EW100" s="299"/>
      <c r="EX100" s="299"/>
      <c r="EY100" s="299"/>
      <c r="EZ100" s="299"/>
      <c r="FA100" s="299"/>
      <c r="FB100" s="299"/>
      <c r="FC100" s="299"/>
      <c r="FD100" s="299"/>
      <c r="FE100" s="299"/>
      <c r="FF100" s="299"/>
      <c r="FG100" s="299"/>
      <c r="FH100" s="299"/>
      <c r="FI100" s="299"/>
      <c r="FJ100" s="299"/>
      <c r="FK100" s="299"/>
      <c r="FL100" s="299"/>
      <c r="FM100" s="299"/>
      <c r="FN100" s="299"/>
      <c r="FO100" s="299"/>
      <c r="FP100" s="299"/>
      <c r="FQ100" s="299"/>
      <c r="FR100" s="299"/>
      <c r="FS100" s="299"/>
      <c r="FT100" s="299"/>
      <c r="FU100" s="299"/>
      <c r="FV100" s="299"/>
      <c r="FW100" s="299"/>
      <c r="FX100" s="299"/>
      <c r="FY100" s="299"/>
      <c r="FZ100" s="299"/>
      <c r="GA100" s="299"/>
      <c r="GB100" s="299"/>
      <c r="GC100" s="299"/>
      <c r="GD100" s="299"/>
      <c r="GE100" s="299"/>
      <c r="GF100" s="299"/>
      <c r="GG100" s="299"/>
      <c r="GH100" s="299"/>
      <c r="GI100" s="299"/>
      <c r="GJ100" s="299"/>
      <c r="GK100" s="299"/>
      <c r="GL100" s="299"/>
      <c r="GM100" s="299"/>
      <c r="GN100" s="299"/>
      <c r="GO100" s="299"/>
      <c r="GP100" s="299"/>
      <c r="GQ100" s="299"/>
      <c r="GR100" s="299"/>
      <c r="GS100" s="299"/>
      <c r="GT100" s="299"/>
      <c r="GU100" s="299"/>
      <c r="GV100" s="299"/>
      <c r="GW100" s="299"/>
      <c r="GX100" s="299"/>
      <c r="GY100" s="299"/>
      <c r="GZ100" s="299"/>
      <c r="HA100" s="299"/>
      <c r="HB100" s="299"/>
      <c r="HC100" s="299"/>
      <c r="HD100" s="299"/>
      <c r="HE100" s="299"/>
      <c r="HF100" s="299"/>
      <c r="HG100" s="299"/>
      <c r="HH100" s="299"/>
      <c r="HI100" s="299"/>
      <c r="HJ100" s="299"/>
      <c r="HK100" s="299"/>
      <c r="HL100" s="299"/>
      <c r="HM100" s="299"/>
      <c r="HN100" s="299"/>
      <c r="HO100" s="299"/>
      <c r="HP100" s="299"/>
      <c r="HQ100" s="299"/>
      <c r="HR100" s="299"/>
      <c r="HS100" s="299"/>
      <c r="HT100" s="299"/>
    </row>
    <row r="101" spans="1:228" s="300" customFormat="1" ht="17.25">
      <c r="B101" s="304"/>
      <c r="C101" s="304"/>
      <c r="E101" s="20" t="s">
        <v>389</v>
      </c>
      <c r="F101" s="279"/>
      <c r="G101" s="279"/>
      <c r="H101" s="279"/>
      <c r="I101" s="279"/>
      <c r="J101" s="279"/>
      <c r="K101" s="279"/>
      <c r="L101" s="279"/>
      <c r="M101" s="279"/>
      <c r="N101" s="279"/>
      <c r="O101" s="279"/>
      <c r="P101" s="279"/>
      <c r="Q101" s="279"/>
      <c r="R101" s="279"/>
      <c r="S101" s="279"/>
      <c r="T101" s="279"/>
      <c r="U101" s="279"/>
      <c r="V101" s="279"/>
      <c r="W101" s="279"/>
      <c r="X101" s="279"/>
      <c r="Y101" s="279"/>
      <c r="Z101" s="279"/>
      <c r="AA101" s="279"/>
      <c r="AB101" s="279"/>
      <c r="AC101" s="279"/>
      <c r="AD101" s="279"/>
      <c r="AE101" s="279"/>
      <c r="AF101" s="279"/>
      <c r="AG101" s="279"/>
      <c r="AH101" s="279"/>
      <c r="AI101" s="279"/>
      <c r="AJ101" s="279"/>
      <c r="AK101" s="279"/>
      <c r="AL101" s="279"/>
      <c r="AM101" s="279"/>
      <c r="AN101" s="279"/>
      <c r="AO101" s="279"/>
      <c r="AP101" s="279"/>
      <c r="AQ101" s="279"/>
      <c r="AR101" s="279"/>
      <c r="AS101" s="279"/>
      <c r="AT101" s="279"/>
      <c r="AU101" s="279"/>
      <c r="AV101" s="279"/>
      <c r="AW101" s="279"/>
      <c r="AX101" s="279"/>
      <c r="AY101" s="279"/>
      <c r="AZ101" s="279"/>
      <c r="BA101" s="279"/>
      <c r="BB101" s="279"/>
      <c r="BC101" s="279"/>
      <c r="BD101" s="279"/>
      <c r="BE101" s="279"/>
      <c r="BF101" s="279"/>
      <c r="BG101" s="279"/>
      <c r="BH101" s="279"/>
      <c r="BI101" s="279"/>
      <c r="BJ101" s="279"/>
      <c r="BK101" s="279"/>
      <c r="BL101" s="279"/>
      <c r="BM101" s="279"/>
      <c r="BN101" s="279"/>
      <c r="BO101" s="279"/>
      <c r="BP101" s="279"/>
      <c r="BQ101" s="279"/>
      <c r="BR101" s="279"/>
      <c r="BS101" s="279"/>
      <c r="BT101" s="279"/>
      <c r="BU101" s="279"/>
      <c r="BV101" s="279"/>
      <c r="BW101" s="279"/>
      <c r="BX101" s="279"/>
      <c r="BY101" s="279"/>
      <c r="BZ101" s="279"/>
      <c r="CA101" s="279"/>
      <c r="CB101" s="279"/>
      <c r="CC101" s="279"/>
      <c r="CD101" s="279"/>
      <c r="CE101" s="279"/>
      <c r="CF101" s="279"/>
      <c r="CG101" s="279"/>
      <c r="CH101" s="279"/>
      <c r="CI101" s="279"/>
      <c r="CJ101" s="279"/>
      <c r="CK101" s="279"/>
      <c r="CL101" s="279"/>
      <c r="CM101" s="279"/>
      <c r="CN101" s="279"/>
      <c r="CO101" s="279"/>
      <c r="CP101" s="279"/>
      <c r="CQ101" s="279"/>
      <c r="CR101" s="279"/>
      <c r="CS101" s="279"/>
      <c r="CT101" s="279"/>
      <c r="CU101" s="279"/>
      <c r="CV101" s="279"/>
      <c r="CW101" s="279"/>
      <c r="CX101" s="279"/>
      <c r="CY101" s="279"/>
      <c r="CZ101" s="279"/>
      <c r="DA101" s="279"/>
      <c r="DB101" s="279"/>
      <c r="DC101" s="279"/>
      <c r="DD101" s="279"/>
      <c r="DE101" s="279"/>
      <c r="DF101" s="279"/>
      <c r="DG101" s="279"/>
      <c r="DH101" s="279"/>
      <c r="DI101" s="279"/>
      <c r="DJ101" s="279"/>
      <c r="DK101" s="279"/>
      <c r="DL101" s="279"/>
      <c r="DM101" s="279"/>
      <c r="DN101" s="279"/>
      <c r="DO101" s="279"/>
      <c r="DP101" s="279"/>
      <c r="DQ101" s="279"/>
      <c r="DR101" s="279"/>
      <c r="DS101" s="279"/>
      <c r="DT101" s="279"/>
      <c r="DU101" s="279"/>
      <c r="DV101" s="279"/>
      <c r="DW101" s="279"/>
      <c r="DX101" s="279"/>
      <c r="DY101" s="279"/>
      <c r="DZ101" s="279"/>
      <c r="EA101" s="279"/>
      <c r="EB101" s="279"/>
      <c r="EC101" s="279"/>
      <c r="ED101" s="279"/>
      <c r="EE101" s="279"/>
      <c r="EF101" s="279"/>
      <c r="EG101" s="279"/>
      <c r="EH101" s="279"/>
      <c r="EI101" s="279"/>
      <c r="EJ101" s="279"/>
      <c r="EK101" s="279"/>
      <c r="EL101" s="279"/>
      <c r="EM101" s="279"/>
      <c r="EN101" s="279"/>
      <c r="EO101" s="279"/>
      <c r="EP101" s="279"/>
      <c r="EQ101" s="279"/>
      <c r="ER101" s="279"/>
      <c r="ES101" s="279"/>
      <c r="ET101" s="279"/>
      <c r="EU101" s="279"/>
      <c r="EV101" s="279"/>
      <c r="EW101" s="279"/>
      <c r="EX101" s="279"/>
      <c r="EY101" s="279"/>
      <c r="EZ101" s="279"/>
      <c r="FA101" s="279"/>
      <c r="FB101" s="279"/>
      <c r="FC101" s="279"/>
      <c r="FD101" s="279"/>
      <c r="FE101" s="279"/>
      <c r="FF101" s="279"/>
      <c r="FG101" s="279"/>
      <c r="FH101" s="279"/>
      <c r="FI101" s="279"/>
      <c r="FJ101" s="279"/>
      <c r="FK101" s="279"/>
      <c r="FL101" s="279"/>
      <c r="FM101" s="279"/>
      <c r="FN101" s="279"/>
      <c r="FO101" s="279"/>
      <c r="FP101" s="279"/>
      <c r="FQ101" s="279"/>
      <c r="FR101" s="279"/>
      <c r="FS101" s="279"/>
      <c r="FT101" s="279"/>
      <c r="FU101" s="279"/>
      <c r="FV101" s="279"/>
      <c r="FW101" s="279"/>
      <c r="FX101" s="279"/>
      <c r="FY101" s="279"/>
      <c r="FZ101" s="279"/>
      <c r="GA101" s="279"/>
      <c r="GB101" s="279"/>
      <c r="GC101" s="279"/>
      <c r="GD101" s="279"/>
      <c r="GE101" s="279"/>
      <c r="GF101" s="279"/>
      <c r="GG101" s="279"/>
      <c r="GH101" s="279"/>
      <c r="GI101" s="279"/>
      <c r="GJ101" s="279"/>
      <c r="GK101" s="279"/>
      <c r="GL101" s="279"/>
      <c r="GM101" s="279"/>
      <c r="GN101" s="279"/>
      <c r="GO101" s="279"/>
      <c r="GP101" s="279"/>
      <c r="GQ101" s="279"/>
      <c r="GR101" s="279"/>
      <c r="GS101" s="279"/>
      <c r="GT101" s="279"/>
      <c r="GU101" s="279"/>
      <c r="GV101" s="279"/>
      <c r="GW101" s="279"/>
      <c r="GX101" s="279"/>
      <c r="GY101" s="279"/>
      <c r="GZ101" s="279"/>
      <c r="HA101" s="279"/>
      <c r="HB101" s="279"/>
      <c r="HC101" s="279"/>
      <c r="HD101" s="279"/>
      <c r="HE101" s="279"/>
      <c r="HF101" s="279"/>
      <c r="HG101" s="279"/>
      <c r="HH101" s="279"/>
      <c r="HI101" s="279"/>
      <c r="HJ101" s="279"/>
      <c r="HK101" s="279"/>
      <c r="HL101" s="279"/>
      <c r="HM101" s="279"/>
      <c r="HN101" s="279"/>
      <c r="HO101" s="279"/>
      <c r="HP101" s="279"/>
      <c r="HQ101" s="279"/>
      <c r="HR101" s="279"/>
      <c r="HS101" s="279"/>
      <c r="HT101" s="279"/>
    </row>
    <row r="102" spans="1:228" ht="12.75">
      <c r="A102" s="305" t="s">
        <v>192</v>
      </c>
    </row>
    <row r="104" spans="1:228" ht="33" customHeight="1">
      <c r="A104" s="807" t="s">
        <v>24</v>
      </c>
      <c r="B104" s="306" t="s">
        <v>193</v>
      </c>
      <c r="C104" s="307"/>
      <c r="D104" s="609" t="s">
        <v>194</v>
      </c>
      <c r="E104" s="810" t="s">
        <v>187</v>
      </c>
    </row>
    <row r="105" spans="1:228" ht="40.15" customHeight="1">
      <c r="A105" s="808"/>
      <c r="B105" s="282" t="s">
        <v>195</v>
      </c>
      <c r="C105" s="114" t="s">
        <v>147</v>
      </c>
      <c r="D105" s="282" t="s">
        <v>149</v>
      </c>
      <c r="E105" s="811"/>
    </row>
    <row r="106" spans="1:228" ht="12.75">
      <c r="A106" s="808"/>
      <c r="B106" s="287" t="s">
        <v>189</v>
      </c>
      <c r="C106" s="288" t="s">
        <v>146</v>
      </c>
      <c r="D106" s="287" t="s">
        <v>148</v>
      </c>
      <c r="E106" s="811"/>
    </row>
    <row r="107" spans="1:228" ht="12.75">
      <c r="A107" s="809"/>
      <c r="B107" s="290" t="s">
        <v>190</v>
      </c>
      <c r="C107" s="290"/>
      <c r="D107" s="290"/>
      <c r="E107" s="812"/>
    </row>
    <row r="108" spans="1:228" ht="15">
      <c r="A108" s="15" t="s">
        <v>30</v>
      </c>
      <c r="B108" s="294">
        <f>B109+B111+B110</f>
        <v>793</v>
      </c>
      <c r="C108" s="294">
        <f>C109+C111+C110</f>
        <v>3</v>
      </c>
      <c r="D108" s="294">
        <f>D109+D111+D110</f>
        <v>21</v>
      </c>
      <c r="E108" s="114" t="s">
        <v>31</v>
      </c>
    </row>
    <row r="109" spans="1:228" ht="15">
      <c r="A109" s="15" t="s">
        <v>32</v>
      </c>
      <c r="B109" s="294">
        <v>108</v>
      </c>
      <c r="C109" s="294">
        <v>0</v>
      </c>
      <c r="D109" s="295"/>
      <c r="E109" s="114" t="s">
        <v>33</v>
      </c>
    </row>
    <row r="110" spans="1:228" s="308" customFormat="1" ht="15">
      <c r="A110" s="156" t="s">
        <v>36</v>
      </c>
      <c r="B110" s="294"/>
      <c r="C110" s="294"/>
      <c r="D110" s="294">
        <v>21</v>
      </c>
      <c r="E110" s="114" t="s">
        <v>391</v>
      </c>
    </row>
    <row r="111" spans="1:228" ht="15">
      <c r="A111" s="15" t="s">
        <v>34</v>
      </c>
      <c r="B111" s="294">
        <f>SUM(B112:B131)</f>
        <v>685</v>
      </c>
      <c r="C111" s="294">
        <f>SUM(C112:C131)</f>
        <v>3</v>
      </c>
      <c r="D111" s="294">
        <f>SUM(D112:D131)</f>
        <v>0</v>
      </c>
      <c r="E111" s="114" t="s">
        <v>35</v>
      </c>
    </row>
    <row r="112" spans="1:228" ht="15">
      <c r="A112" s="309" t="s">
        <v>37</v>
      </c>
      <c r="B112" s="297">
        <v>47</v>
      </c>
      <c r="C112" s="297">
        <v>0</v>
      </c>
      <c r="D112" s="297"/>
      <c r="E112" s="236" t="s">
        <v>38</v>
      </c>
    </row>
    <row r="113" spans="1:5" ht="15">
      <c r="A113" s="309" t="s">
        <v>39</v>
      </c>
      <c r="B113" s="297">
        <v>32</v>
      </c>
      <c r="C113" s="297">
        <v>0</v>
      </c>
      <c r="D113" s="297"/>
      <c r="E113" s="236" t="s">
        <v>40</v>
      </c>
    </row>
    <row r="114" spans="1:5" ht="15">
      <c r="A114" s="309" t="s">
        <v>41</v>
      </c>
      <c r="B114" s="297">
        <v>37</v>
      </c>
      <c r="C114" s="297">
        <v>0</v>
      </c>
      <c r="D114" s="297"/>
      <c r="E114" s="236" t="s">
        <v>42</v>
      </c>
    </row>
    <row r="115" spans="1:5" ht="15">
      <c r="A115" s="309" t="s">
        <v>43</v>
      </c>
      <c r="B115" s="297">
        <v>28</v>
      </c>
      <c r="C115" s="297">
        <v>0</v>
      </c>
      <c r="D115" s="297"/>
      <c r="E115" s="236" t="s">
        <v>44</v>
      </c>
    </row>
    <row r="116" spans="1:5" ht="15">
      <c r="A116" s="309" t="s">
        <v>45</v>
      </c>
      <c r="B116" s="297">
        <v>47</v>
      </c>
      <c r="C116" s="297">
        <v>0</v>
      </c>
      <c r="D116" s="297"/>
      <c r="E116" s="236" t="s">
        <v>46</v>
      </c>
    </row>
    <row r="117" spans="1:5" ht="15">
      <c r="A117" s="309" t="s">
        <v>47</v>
      </c>
      <c r="B117" s="297">
        <v>25</v>
      </c>
      <c r="C117" s="297">
        <v>0</v>
      </c>
      <c r="D117" s="297"/>
      <c r="E117" s="236" t="s">
        <v>48</v>
      </c>
    </row>
    <row r="118" spans="1:5" ht="15">
      <c r="A118" s="309" t="s">
        <v>49</v>
      </c>
      <c r="B118" s="297">
        <v>21</v>
      </c>
      <c r="C118" s="297">
        <v>0</v>
      </c>
      <c r="D118" s="297"/>
      <c r="E118" s="236" t="s">
        <v>50</v>
      </c>
    </row>
    <row r="119" spans="1:5" ht="15">
      <c r="A119" s="309" t="s">
        <v>51</v>
      </c>
      <c r="B119" s="297">
        <v>39</v>
      </c>
      <c r="C119" s="297">
        <v>0</v>
      </c>
      <c r="D119" s="297"/>
      <c r="E119" s="236" t="s">
        <v>52</v>
      </c>
    </row>
    <row r="120" spans="1:5" ht="15">
      <c r="A120" s="309" t="s">
        <v>191</v>
      </c>
      <c r="B120" s="297">
        <v>25</v>
      </c>
      <c r="C120" s="297">
        <v>0</v>
      </c>
      <c r="D120" s="297"/>
      <c r="E120" s="236" t="s">
        <v>54</v>
      </c>
    </row>
    <row r="121" spans="1:5" ht="15">
      <c r="A121" s="309" t="s">
        <v>55</v>
      </c>
      <c r="B121" s="297">
        <v>24</v>
      </c>
      <c r="C121" s="297">
        <v>0</v>
      </c>
      <c r="D121" s="297"/>
      <c r="E121" s="236" t="s">
        <v>56</v>
      </c>
    </row>
    <row r="122" spans="1:5" ht="15">
      <c r="A122" s="309" t="s">
        <v>57</v>
      </c>
      <c r="B122" s="297">
        <v>5</v>
      </c>
      <c r="C122" s="297">
        <v>0</v>
      </c>
      <c r="D122" s="297"/>
      <c r="E122" s="236" t="s">
        <v>58</v>
      </c>
    </row>
    <row r="123" spans="1:5" ht="15">
      <c r="A123" s="309" t="s">
        <v>59</v>
      </c>
      <c r="B123" s="297">
        <v>31</v>
      </c>
      <c r="C123" s="297">
        <v>0</v>
      </c>
      <c r="D123" s="297"/>
      <c r="E123" s="236" t="s">
        <v>60</v>
      </c>
    </row>
    <row r="124" spans="1:5" ht="15">
      <c r="A124" s="309" t="s">
        <v>61</v>
      </c>
      <c r="B124" s="297">
        <v>29</v>
      </c>
      <c r="C124" s="297">
        <v>0</v>
      </c>
      <c r="D124" s="297"/>
      <c r="E124" s="236" t="s">
        <v>62</v>
      </c>
    </row>
    <row r="125" spans="1:5" ht="15">
      <c r="A125" s="309" t="s">
        <v>63</v>
      </c>
      <c r="B125" s="297">
        <v>61</v>
      </c>
      <c r="C125" s="297">
        <v>0</v>
      </c>
      <c r="D125" s="297"/>
      <c r="E125" s="236" t="s">
        <v>64</v>
      </c>
    </row>
    <row r="126" spans="1:5" ht="15">
      <c r="A126" s="309" t="s">
        <v>65</v>
      </c>
      <c r="B126" s="297">
        <v>36</v>
      </c>
      <c r="C126" s="297">
        <v>0</v>
      </c>
      <c r="D126" s="297"/>
      <c r="E126" s="236" t="s">
        <v>66</v>
      </c>
    </row>
    <row r="127" spans="1:5" ht="15">
      <c r="A127" s="309" t="s">
        <v>67</v>
      </c>
      <c r="B127" s="297">
        <v>45</v>
      </c>
      <c r="C127" s="297">
        <v>0</v>
      </c>
      <c r="D127" s="297"/>
      <c r="E127" s="236" t="s">
        <v>68</v>
      </c>
    </row>
    <row r="128" spans="1:5" ht="15">
      <c r="A128" s="309" t="s">
        <v>69</v>
      </c>
      <c r="B128" s="297">
        <v>41</v>
      </c>
      <c r="C128" s="297">
        <v>0</v>
      </c>
      <c r="D128" s="297"/>
      <c r="E128" s="236" t="s">
        <v>70</v>
      </c>
    </row>
    <row r="129" spans="1:5" ht="15">
      <c r="A129" s="309" t="s">
        <v>71</v>
      </c>
      <c r="B129" s="297">
        <v>33</v>
      </c>
      <c r="C129" s="297">
        <v>1</v>
      </c>
      <c r="D129" s="297"/>
      <c r="E129" s="236" t="s">
        <v>72</v>
      </c>
    </row>
    <row r="130" spans="1:5" ht="15">
      <c r="A130" s="309" t="s">
        <v>73</v>
      </c>
      <c r="B130" s="297">
        <v>44</v>
      </c>
      <c r="C130" s="297">
        <v>1</v>
      </c>
      <c r="D130" s="297"/>
      <c r="E130" s="236" t="s">
        <v>74</v>
      </c>
    </row>
    <row r="131" spans="1:5" ht="15">
      <c r="A131" s="310" t="s">
        <v>42</v>
      </c>
      <c r="B131" s="302">
        <v>35</v>
      </c>
      <c r="C131" s="302">
        <v>1</v>
      </c>
      <c r="D131" s="302"/>
      <c r="E131" s="311" t="s">
        <v>75</v>
      </c>
    </row>
    <row r="132" spans="1:5" s="14" customFormat="1" ht="17.25">
      <c r="A132" s="312" t="s">
        <v>392</v>
      </c>
      <c r="B132" s="312"/>
      <c r="C132" s="312"/>
      <c r="D132" s="313"/>
      <c r="E132" s="20" t="s">
        <v>389</v>
      </c>
    </row>
  </sheetData>
  <mergeCells count="14">
    <mergeCell ref="A36:A39"/>
    <mergeCell ref="E36:E39"/>
    <mergeCell ref="A1:E1"/>
    <mergeCell ref="A2:E2"/>
    <mergeCell ref="A3:C3"/>
    <mergeCell ref="A4:A8"/>
    <mergeCell ref="E4:E8"/>
    <mergeCell ref="A104:A107"/>
    <mergeCell ref="E104:E107"/>
    <mergeCell ref="A69:E69"/>
    <mergeCell ref="A70:E70"/>
    <mergeCell ref="A71:C71"/>
    <mergeCell ref="A72:A76"/>
    <mergeCell ref="E72:E76"/>
  </mergeCells>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G137"/>
  <sheetViews>
    <sheetView workbookViewId="0">
      <selection activeCell="N24" sqref="N24"/>
    </sheetView>
  </sheetViews>
  <sheetFormatPr defaultRowHeight="12.75"/>
  <cols>
    <col min="1" max="1" width="16.85546875" style="14" customWidth="1"/>
    <col min="2" max="2" width="12.28515625" style="29" customWidth="1"/>
    <col min="3" max="3" width="12.28515625" style="14" customWidth="1"/>
    <col min="4" max="5" width="10.7109375" style="14" customWidth="1"/>
    <col min="6" max="6" width="11" style="14" customWidth="1"/>
    <col min="7" max="7" width="11.85546875" style="14" customWidth="1"/>
    <col min="8" max="8" width="11.28515625" style="14" customWidth="1"/>
    <col min="9" max="9" width="12.28515625" style="14" customWidth="1"/>
    <col min="10" max="10" width="12.28515625" style="14" hidden="1" customWidth="1"/>
    <col min="11" max="11" width="21.5703125" style="14" customWidth="1"/>
    <col min="12" max="16384" width="9.140625" style="14"/>
  </cols>
  <sheetData>
    <row r="1" spans="1:33" s="315" customFormat="1" ht="21.75">
      <c r="A1" s="817" t="s">
        <v>451</v>
      </c>
      <c r="B1" s="817"/>
      <c r="C1" s="817"/>
      <c r="D1" s="817"/>
      <c r="E1" s="817"/>
      <c r="F1" s="817"/>
      <c r="G1" s="817"/>
      <c r="H1" s="817"/>
      <c r="I1" s="817"/>
      <c r="J1" s="817"/>
      <c r="K1" s="817"/>
    </row>
    <row r="2" spans="1:33" s="317" customFormat="1" ht="15">
      <c r="A2" s="818" t="s">
        <v>452</v>
      </c>
      <c r="B2" s="818"/>
      <c r="C2" s="818"/>
      <c r="D2" s="818"/>
      <c r="E2" s="818"/>
      <c r="F2" s="818"/>
      <c r="G2" s="818"/>
      <c r="H2" s="818"/>
      <c r="I2" s="818"/>
      <c r="J2" s="818"/>
      <c r="K2" s="818"/>
      <c r="L2" s="316"/>
      <c r="M2" s="316"/>
      <c r="N2" s="316"/>
      <c r="O2" s="316"/>
      <c r="P2" s="316"/>
      <c r="Q2" s="316"/>
      <c r="R2" s="316"/>
      <c r="S2" s="316"/>
      <c r="T2" s="316"/>
      <c r="U2" s="316"/>
      <c r="V2" s="316"/>
      <c r="W2" s="316"/>
      <c r="X2" s="316"/>
      <c r="Y2" s="316"/>
      <c r="Z2" s="316"/>
      <c r="AA2" s="316"/>
      <c r="AB2" s="316"/>
      <c r="AC2" s="316"/>
      <c r="AD2" s="316"/>
      <c r="AE2" s="316"/>
      <c r="AF2" s="316"/>
      <c r="AG2" s="316"/>
    </row>
    <row r="3" spans="1:33" s="318" customFormat="1">
      <c r="A3" s="819"/>
      <c r="B3" s="820"/>
      <c r="C3" s="820"/>
      <c r="D3" s="820"/>
      <c r="E3" s="820"/>
      <c r="F3" s="820"/>
      <c r="G3" s="820"/>
      <c r="H3" s="702"/>
      <c r="I3" s="28"/>
      <c r="J3" s="28"/>
      <c r="K3" s="28"/>
      <c r="L3" s="28"/>
      <c r="M3" s="28"/>
      <c r="N3" s="28"/>
      <c r="O3" s="28"/>
      <c r="P3" s="28"/>
      <c r="Q3" s="28"/>
      <c r="R3" s="28"/>
      <c r="S3" s="28"/>
      <c r="T3" s="28"/>
      <c r="U3" s="28"/>
      <c r="V3" s="28"/>
      <c r="W3" s="28"/>
      <c r="X3" s="28"/>
      <c r="Y3" s="28"/>
      <c r="Z3" s="28"/>
      <c r="AA3" s="28"/>
      <c r="AB3" s="28"/>
      <c r="AC3" s="321"/>
      <c r="AD3" s="321"/>
      <c r="AE3" s="321"/>
      <c r="AF3" s="321"/>
      <c r="AG3" s="28"/>
    </row>
    <row r="4" spans="1:33" s="30" customFormat="1" ht="24">
      <c r="A4" s="763" t="s">
        <v>79</v>
      </c>
      <c r="B4" s="821" t="s">
        <v>196</v>
      </c>
      <c r="C4" s="821"/>
      <c r="D4" s="821"/>
      <c r="E4" s="821"/>
      <c r="F4" s="821"/>
      <c r="G4" s="821"/>
      <c r="H4" s="821"/>
      <c r="I4" s="821"/>
      <c r="J4" s="708"/>
      <c r="K4" s="822" t="s">
        <v>120</v>
      </c>
      <c r="L4" s="23"/>
      <c r="M4" s="23"/>
      <c r="N4" s="23"/>
      <c r="O4" s="23"/>
      <c r="P4" s="23"/>
      <c r="Q4" s="23"/>
      <c r="R4" s="23"/>
      <c r="S4" s="23"/>
      <c r="T4" s="23"/>
      <c r="U4" s="23"/>
      <c r="V4" s="23"/>
      <c r="W4" s="23"/>
      <c r="X4" s="23"/>
      <c r="Y4" s="23"/>
      <c r="Z4" s="23"/>
      <c r="AA4" s="23"/>
      <c r="AB4" s="23"/>
      <c r="AC4" s="100" t="s">
        <v>197</v>
      </c>
      <c r="AD4" s="100" t="s">
        <v>200</v>
      </c>
      <c r="AE4" s="100" t="s">
        <v>203</v>
      </c>
      <c r="AF4" s="23"/>
      <c r="AG4" s="23"/>
    </row>
    <row r="5" spans="1:33" s="322" customFormat="1" ht="12">
      <c r="A5" s="765"/>
      <c r="B5" s="100" t="s">
        <v>90</v>
      </c>
      <c r="C5" s="100" t="s">
        <v>197</v>
      </c>
      <c r="D5" s="100" t="s">
        <v>198</v>
      </c>
      <c r="E5" s="100"/>
      <c r="F5" s="100" t="s">
        <v>200</v>
      </c>
      <c r="G5" s="100" t="s">
        <v>477</v>
      </c>
      <c r="H5" s="319" t="s">
        <v>478</v>
      </c>
      <c r="I5" s="320"/>
      <c r="J5" s="320" t="s">
        <v>202</v>
      </c>
      <c r="K5" s="823"/>
      <c r="L5" s="321"/>
      <c r="M5" s="321"/>
      <c r="R5" s="321"/>
      <c r="S5" s="321"/>
      <c r="T5" s="321"/>
      <c r="U5" s="321"/>
      <c r="V5" s="321"/>
      <c r="W5" s="321"/>
      <c r="X5" s="321"/>
      <c r="Y5" s="321"/>
      <c r="Z5" s="321"/>
      <c r="AA5" s="321"/>
      <c r="AB5" s="321"/>
      <c r="AC5" s="328">
        <f>C6/$B$6*100</f>
        <v>80.172670134023591</v>
      </c>
      <c r="AD5" s="328">
        <f>F6/$B$6*100</f>
        <v>18.70465755671324</v>
      </c>
      <c r="AE5" s="328">
        <f>AF5/B6*100</f>
        <v>1.1226723092631659</v>
      </c>
      <c r="AF5" s="23">
        <f>D6+E6+G6+H6+I6+J6</f>
        <v>1668.0998512942447</v>
      </c>
    </row>
    <row r="6" spans="1:33" s="30" customFormat="1" ht="15">
      <c r="A6" s="323" t="s">
        <v>90</v>
      </c>
      <c r="B6" s="324">
        <f>SUM(B7:B15)</f>
        <v>148582.96918261526</v>
      </c>
      <c r="C6" s="324">
        <f>SUM(C7:C14)</f>
        <v>119122.93375811607</v>
      </c>
      <c r="D6" s="324">
        <f>SUM(D7:D14)</f>
        <v>26.265883839432163</v>
      </c>
      <c r="E6" s="324"/>
      <c r="F6" s="324">
        <f>SUM(F7:F14)</f>
        <v>27791.935573204948</v>
      </c>
      <c r="G6" s="324">
        <f>SUM(G7:G14)</f>
        <v>1565.3861643301243</v>
      </c>
      <c r="H6" s="324">
        <f>SUM(H7:H14)</f>
        <v>76.447803124688093</v>
      </c>
      <c r="I6" s="324"/>
      <c r="J6" s="324">
        <f>SUM(J7:J14)</f>
        <v>0</v>
      </c>
      <c r="K6" s="196" t="s">
        <v>121</v>
      </c>
      <c r="L6" s="23"/>
      <c r="M6" s="23"/>
      <c r="R6" s="23"/>
      <c r="S6" s="23"/>
      <c r="T6" s="23"/>
      <c r="U6" s="23"/>
      <c r="V6" s="23"/>
      <c r="W6" s="23"/>
      <c r="X6" s="23"/>
      <c r="Y6" s="23"/>
      <c r="Z6" s="23"/>
      <c r="AA6" s="23"/>
      <c r="AB6" s="23"/>
      <c r="AC6" s="328"/>
      <c r="AD6" s="328"/>
      <c r="AE6" s="328"/>
      <c r="AF6" s="23"/>
    </row>
    <row r="7" spans="1:33" s="30" customFormat="1" ht="15">
      <c r="A7" s="325" t="s">
        <v>125</v>
      </c>
      <c r="B7" s="324">
        <f>SUM(C7:J7)</f>
        <v>103870.66972179373</v>
      </c>
      <c r="C7" s="326">
        <v>103195.10505172289</v>
      </c>
      <c r="D7" s="326">
        <v>1.2190666159217458</v>
      </c>
      <c r="E7" s="326"/>
      <c r="F7" s="326">
        <v>674.34560345492616</v>
      </c>
      <c r="G7" s="326">
        <v>0</v>
      </c>
      <c r="H7" s="326">
        <v>0</v>
      </c>
      <c r="I7" s="326"/>
      <c r="J7" s="326">
        <v>0</v>
      </c>
      <c r="K7" s="327" t="s">
        <v>122</v>
      </c>
      <c r="L7" s="23"/>
      <c r="M7" s="23"/>
      <c r="R7" s="23"/>
      <c r="S7" s="23"/>
      <c r="T7" s="23"/>
      <c r="U7" s="23"/>
      <c r="V7" s="23"/>
      <c r="W7" s="23"/>
      <c r="X7" s="23"/>
      <c r="Y7" s="23"/>
      <c r="Z7" s="23"/>
      <c r="AA7" s="23"/>
      <c r="AB7" s="23"/>
      <c r="AC7" s="23"/>
      <c r="AD7" s="23"/>
      <c r="AE7" s="23"/>
      <c r="AF7" s="23"/>
    </row>
    <row r="8" spans="1:33" s="30" customFormat="1" ht="15">
      <c r="A8" s="160" t="s">
        <v>92</v>
      </c>
      <c r="B8" s="324">
        <f t="shared" ref="B8:B15" si="0">SUM(C8:J8)</f>
        <v>42704.576500856834</v>
      </c>
      <c r="C8" s="326">
        <v>15651.269456672046</v>
      </c>
      <c r="D8" s="326">
        <v>0.70702472717575526</v>
      </c>
      <c r="E8" s="326"/>
      <c r="F8" s="326">
        <v>27052.600019457612</v>
      </c>
      <c r="G8" s="326">
        <v>0</v>
      </c>
      <c r="H8" s="326">
        <v>0</v>
      </c>
      <c r="I8" s="326"/>
      <c r="J8" s="326">
        <v>0</v>
      </c>
      <c r="K8" s="327" t="s">
        <v>84</v>
      </c>
      <c r="L8" s="23"/>
      <c r="M8" s="23"/>
      <c r="R8" s="23"/>
      <c r="S8" s="23"/>
      <c r="T8" s="23"/>
      <c r="U8" s="23"/>
      <c r="V8" s="23"/>
      <c r="W8" s="23"/>
      <c r="X8" s="23"/>
      <c r="Y8" s="23"/>
      <c r="Z8" s="23"/>
      <c r="AA8" s="23"/>
      <c r="AB8" s="23"/>
      <c r="AC8" s="23"/>
      <c r="AD8" s="23"/>
      <c r="AE8" s="23"/>
      <c r="AF8" s="23"/>
    </row>
    <row r="9" spans="1:33" s="30" customFormat="1" ht="15">
      <c r="A9" s="160" t="s">
        <v>16</v>
      </c>
      <c r="B9" s="324">
        <f t="shared" si="0"/>
        <v>212.68961995324844</v>
      </c>
      <c r="C9" s="326">
        <v>162.17824749116389</v>
      </c>
      <c r="D9" s="326">
        <v>0</v>
      </c>
      <c r="E9" s="326"/>
      <c r="F9" s="326">
        <v>50.511372462084537</v>
      </c>
      <c r="G9" s="326">
        <v>0</v>
      </c>
      <c r="H9" s="326">
        <v>0</v>
      </c>
      <c r="I9" s="326"/>
      <c r="J9" s="326">
        <v>0</v>
      </c>
      <c r="K9" s="327" t="s">
        <v>17</v>
      </c>
      <c r="L9" s="23"/>
      <c r="M9" s="23"/>
      <c r="N9" s="23"/>
      <c r="O9" s="23"/>
      <c r="P9" s="23"/>
      <c r="Q9" s="23"/>
      <c r="R9" s="23"/>
      <c r="S9" s="23"/>
      <c r="T9" s="23"/>
      <c r="U9" s="23"/>
      <c r="V9" s="23"/>
      <c r="W9" s="23"/>
      <c r="X9" s="23"/>
      <c r="Y9" s="23"/>
      <c r="Z9" s="23"/>
      <c r="AA9" s="23"/>
      <c r="AB9" s="23"/>
      <c r="AC9" s="23"/>
      <c r="AD9" s="23"/>
      <c r="AE9" s="23"/>
      <c r="AF9" s="23"/>
    </row>
    <row r="10" spans="1:33" s="30" customFormat="1" ht="15">
      <c r="A10" s="237" t="s">
        <v>142</v>
      </c>
      <c r="B10" s="324">
        <f t="shared" si="0"/>
        <v>0</v>
      </c>
      <c r="C10" s="326">
        <v>0</v>
      </c>
      <c r="D10" s="326">
        <v>0</v>
      </c>
      <c r="E10" s="326"/>
      <c r="F10" s="326">
        <v>0</v>
      </c>
      <c r="G10" s="326">
        <v>0</v>
      </c>
      <c r="H10" s="326">
        <v>0</v>
      </c>
      <c r="I10" s="326"/>
      <c r="J10" s="326">
        <v>0</v>
      </c>
      <c r="K10" s="327" t="s">
        <v>123</v>
      </c>
      <c r="L10" s="23"/>
      <c r="M10" s="23"/>
      <c r="N10" s="23"/>
      <c r="O10" s="23"/>
      <c r="P10" s="23"/>
      <c r="Q10" s="23"/>
      <c r="R10" s="23"/>
      <c r="S10" s="23"/>
      <c r="T10" s="23"/>
      <c r="U10" s="23"/>
      <c r="V10" s="23"/>
      <c r="W10" s="23"/>
      <c r="X10" s="23"/>
      <c r="Y10" s="23"/>
      <c r="Z10" s="23"/>
      <c r="AA10" s="23"/>
      <c r="AB10" s="23"/>
      <c r="AC10" s="23"/>
      <c r="AD10" s="23"/>
      <c r="AE10" s="23"/>
      <c r="AF10" s="23"/>
    </row>
    <row r="11" spans="1:33" s="30" customFormat="1" ht="15">
      <c r="A11" s="325" t="s">
        <v>95</v>
      </c>
      <c r="B11" s="324">
        <f t="shared" si="0"/>
        <v>3.2111469335556504</v>
      </c>
      <c r="C11" s="326">
        <v>3.0519052971615331E-2</v>
      </c>
      <c r="D11" s="326">
        <v>2.0346035314410222E-2</v>
      </c>
      <c r="E11" s="326"/>
      <c r="F11" s="326">
        <v>0.1812831746513951</v>
      </c>
      <c r="G11" s="326">
        <v>0</v>
      </c>
      <c r="H11" s="326">
        <v>2.9789986706182296</v>
      </c>
      <c r="I11" s="326"/>
      <c r="J11" s="326">
        <v>0</v>
      </c>
      <c r="K11" s="327" t="s">
        <v>86</v>
      </c>
      <c r="L11" s="23"/>
      <c r="M11" s="23"/>
      <c r="N11" s="23"/>
      <c r="O11" s="23"/>
      <c r="P11" s="23"/>
      <c r="Q11" s="23"/>
      <c r="R11" s="23"/>
      <c r="S11" s="23"/>
      <c r="T11" s="23"/>
      <c r="U11" s="23"/>
      <c r="V11" s="23"/>
      <c r="W11" s="23"/>
      <c r="X11" s="23"/>
      <c r="Y11" s="23"/>
      <c r="Z11" s="23"/>
      <c r="AA11" s="23"/>
      <c r="AB11" s="23"/>
      <c r="AC11" s="23"/>
      <c r="AD11" s="23"/>
      <c r="AE11" s="23"/>
      <c r="AF11" s="23"/>
    </row>
    <row r="12" spans="1:33" s="30" customFormat="1" ht="15">
      <c r="A12" s="325" t="s">
        <v>126</v>
      </c>
      <c r="B12" s="324">
        <f t="shared" si="0"/>
        <v>7.0504098873260013</v>
      </c>
      <c r="C12" s="326">
        <v>3.4027048560408226</v>
      </c>
      <c r="D12" s="326">
        <v>3.0790333442474136</v>
      </c>
      <c r="E12" s="326"/>
      <c r="F12" s="326">
        <v>0.56867168703776572</v>
      </c>
      <c r="G12" s="326">
        <v>0</v>
      </c>
      <c r="H12" s="326">
        <v>0</v>
      </c>
      <c r="I12" s="326"/>
      <c r="J12" s="326">
        <v>0</v>
      </c>
      <c r="K12" s="327" t="s">
        <v>87</v>
      </c>
      <c r="L12" s="23"/>
      <c r="M12" s="23"/>
      <c r="N12" s="23"/>
      <c r="O12" s="23"/>
      <c r="P12" s="23"/>
      <c r="Q12" s="23"/>
      <c r="R12" s="23"/>
      <c r="S12" s="23"/>
      <c r="T12" s="23"/>
      <c r="U12" s="23"/>
      <c r="V12" s="23"/>
      <c r="W12" s="23"/>
      <c r="X12" s="23"/>
      <c r="Y12" s="23"/>
      <c r="Z12" s="23"/>
      <c r="AA12" s="23"/>
      <c r="AB12" s="23"/>
      <c r="AC12" s="23"/>
      <c r="AD12" s="23"/>
      <c r="AE12" s="23"/>
      <c r="AF12" s="23"/>
    </row>
    <row r="13" spans="1:33" s="30" customFormat="1" ht="15">
      <c r="A13" s="325" t="s">
        <v>97</v>
      </c>
      <c r="B13" s="324">
        <f t="shared" si="0"/>
        <v>88.16276202322517</v>
      </c>
      <c r="C13" s="326">
        <v>86.167155059470105</v>
      </c>
      <c r="D13" s="326">
        <v>0.91218058326272511</v>
      </c>
      <c r="E13" s="326"/>
      <c r="F13" s="326">
        <v>1.0834263804923443</v>
      </c>
      <c r="G13" s="326">
        <v>0</v>
      </c>
      <c r="H13" s="326">
        <v>0</v>
      </c>
      <c r="I13" s="326"/>
      <c r="J13" s="326">
        <v>0</v>
      </c>
      <c r="K13" s="327" t="s">
        <v>88</v>
      </c>
      <c r="L13" s="23"/>
      <c r="M13" s="23"/>
      <c r="N13" s="23"/>
      <c r="O13" s="23"/>
      <c r="P13" s="23"/>
      <c r="Q13" s="23"/>
      <c r="R13" s="23"/>
      <c r="S13" s="23"/>
      <c r="T13" s="23"/>
      <c r="U13" s="23"/>
      <c r="V13" s="23"/>
      <c r="W13" s="23"/>
      <c r="X13" s="23"/>
      <c r="Y13" s="23"/>
      <c r="Z13" s="23"/>
      <c r="AA13" s="23"/>
      <c r="AB13" s="23"/>
      <c r="AC13" s="23"/>
      <c r="AD13" s="23"/>
      <c r="AE13" s="23"/>
      <c r="AF13" s="23"/>
    </row>
    <row r="14" spans="1:33" s="30" customFormat="1" ht="15">
      <c r="A14" s="329" t="s">
        <v>98</v>
      </c>
      <c r="B14" s="330">
        <f t="shared" si="0"/>
        <v>1696.6090211673259</v>
      </c>
      <c r="C14" s="331">
        <v>24.780623261480216</v>
      </c>
      <c r="D14" s="331">
        <v>20.328232533510114</v>
      </c>
      <c r="E14" s="331"/>
      <c r="F14" s="331">
        <v>12.645196588141383</v>
      </c>
      <c r="G14" s="331">
        <v>1565.3861643301243</v>
      </c>
      <c r="H14" s="331">
        <v>73.468804454069868</v>
      </c>
      <c r="I14" s="332"/>
      <c r="J14" s="331">
        <v>0</v>
      </c>
      <c r="K14" s="333" t="s">
        <v>89</v>
      </c>
      <c r="L14" s="23"/>
      <c r="M14" s="23"/>
      <c r="N14" s="23"/>
      <c r="O14" s="23"/>
      <c r="P14" s="23"/>
      <c r="Q14" s="23"/>
      <c r="R14" s="23"/>
      <c r="S14" s="23"/>
      <c r="T14" s="23"/>
      <c r="U14" s="23"/>
      <c r="V14" s="23"/>
      <c r="W14" s="23"/>
      <c r="X14" s="23"/>
      <c r="Y14" s="23"/>
      <c r="Z14" s="23"/>
      <c r="AA14" s="23"/>
      <c r="AB14" s="23"/>
      <c r="AC14" s="23"/>
      <c r="AD14" s="23"/>
      <c r="AE14" s="23"/>
      <c r="AF14" s="23"/>
    </row>
    <row r="15" spans="1:33" s="30" customFormat="1" ht="15" hidden="1">
      <c r="A15" s="334" t="s">
        <v>204</v>
      </c>
      <c r="B15" s="335">
        <f t="shared" si="0"/>
        <v>0</v>
      </c>
      <c r="C15" s="331"/>
      <c r="D15" s="331"/>
      <c r="E15" s="331"/>
      <c r="F15" s="331"/>
      <c r="G15" s="331"/>
      <c r="H15" s="331"/>
      <c r="I15" s="331"/>
      <c r="J15" s="331"/>
      <c r="K15" s="333" t="s">
        <v>205</v>
      </c>
      <c r="L15" s="23"/>
      <c r="M15" s="23"/>
      <c r="N15" s="23"/>
      <c r="O15" s="23"/>
      <c r="P15" s="23"/>
      <c r="Q15" s="23"/>
      <c r="R15" s="23"/>
      <c r="S15" s="23"/>
      <c r="T15" s="23"/>
      <c r="U15" s="23"/>
      <c r="V15" s="23"/>
      <c r="W15" s="23"/>
      <c r="X15" s="23"/>
      <c r="Y15" s="23"/>
      <c r="Z15" s="23"/>
      <c r="AA15" s="23"/>
      <c r="AB15" s="23"/>
      <c r="AC15" s="23"/>
      <c r="AD15" s="23"/>
      <c r="AE15" s="23"/>
      <c r="AF15" s="23"/>
    </row>
    <row r="16" spans="1:33" s="2" customFormat="1" ht="14.25">
      <c r="A16" s="80" t="s">
        <v>206</v>
      </c>
      <c r="B16" s="336">
        <f t="shared" ref="B16:J16" si="1">B6/B6*100</f>
        <v>100</v>
      </c>
      <c r="C16" s="336">
        <f>C6/C6*100</f>
        <v>100</v>
      </c>
      <c r="D16" s="336">
        <f t="shared" si="1"/>
        <v>100</v>
      </c>
      <c r="E16" s="336"/>
      <c r="F16" s="336">
        <f t="shared" si="1"/>
        <v>100</v>
      </c>
      <c r="G16" s="336">
        <f t="shared" si="1"/>
        <v>100</v>
      </c>
      <c r="H16" s="336">
        <f>H6/H6*100</f>
        <v>100</v>
      </c>
      <c r="I16" s="336"/>
      <c r="J16" s="336" t="e">
        <f t="shared" si="1"/>
        <v>#DIV/0!</v>
      </c>
      <c r="K16" s="106" t="s">
        <v>207</v>
      </c>
    </row>
    <row r="17" spans="1:33" s="2" customFormat="1" ht="15">
      <c r="A17" s="325" t="s">
        <v>125</v>
      </c>
      <c r="B17" s="336">
        <f>B7/B6*100</f>
        <v>69.9075205544802</v>
      </c>
      <c r="C17" s="337">
        <f>C7/C6*100</f>
        <v>86.629082911326478</v>
      </c>
      <c r="D17" s="337">
        <f t="shared" ref="D17:J17" si="2">D7/D6*100</f>
        <v>4.6412548817093242</v>
      </c>
      <c r="E17" s="337"/>
      <c r="F17" s="337">
        <f t="shared" si="2"/>
        <v>2.4264074795318802</v>
      </c>
      <c r="G17" s="337">
        <f t="shared" si="2"/>
        <v>0</v>
      </c>
      <c r="H17" s="337">
        <f t="shared" si="2"/>
        <v>0</v>
      </c>
      <c r="I17" s="337"/>
      <c r="J17" s="337" t="e">
        <f t="shared" si="2"/>
        <v>#DIV/0!</v>
      </c>
      <c r="K17" s="236" t="s">
        <v>122</v>
      </c>
    </row>
    <row r="18" spans="1:33" s="30" customFormat="1" ht="15">
      <c r="A18" s="160" t="s">
        <v>92</v>
      </c>
      <c r="B18" s="336">
        <f>B8/B6*100</f>
        <v>28.741232414309181</v>
      </c>
      <c r="C18" s="337">
        <f>C8/C6*100</f>
        <v>13.138754195269051</v>
      </c>
      <c r="D18" s="337">
        <f t="shared" ref="D18:J18" si="3">D8/D6*100</f>
        <v>2.6917987283348936</v>
      </c>
      <c r="E18" s="337"/>
      <c r="F18" s="337">
        <f t="shared" si="3"/>
        <v>97.339747885497573</v>
      </c>
      <c r="G18" s="337">
        <f t="shared" si="3"/>
        <v>0</v>
      </c>
      <c r="H18" s="337">
        <f t="shared" si="3"/>
        <v>0</v>
      </c>
      <c r="I18" s="337"/>
      <c r="J18" s="337" t="e">
        <f t="shared" si="3"/>
        <v>#DIV/0!</v>
      </c>
      <c r="K18" s="236" t="s">
        <v>84</v>
      </c>
      <c r="L18" s="23"/>
      <c r="M18" s="23"/>
      <c r="N18" s="23"/>
      <c r="O18" s="23"/>
      <c r="P18" s="23"/>
      <c r="Q18" s="23"/>
      <c r="R18" s="23"/>
      <c r="S18" s="23"/>
      <c r="T18" s="23"/>
      <c r="U18" s="23"/>
      <c r="V18" s="23"/>
      <c r="W18" s="23"/>
      <c r="X18" s="23"/>
      <c r="Y18" s="23"/>
      <c r="Z18" s="23"/>
      <c r="AA18" s="23"/>
      <c r="AB18" s="23"/>
      <c r="AC18" s="23"/>
      <c r="AD18" s="23"/>
      <c r="AE18" s="23"/>
      <c r="AF18" s="23"/>
      <c r="AG18" s="23"/>
    </row>
    <row r="19" spans="1:33" s="30" customFormat="1" ht="15">
      <c r="A19" s="160" t="s">
        <v>16</v>
      </c>
      <c r="B19" s="336">
        <f>B9/B6*100</f>
        <v>0.14314535583943216</v>
      </c>
      <c r="C19" s="337">
        <f>C9/C6*100</f>
        <v>0.13614359752125765</v>
      </c>
      <c r="D19" s="337">
        <f t="shared" ref="D19:J19" si="4">D9/D6*100</f>
        <v>0</v>
      </c>
      <c r="E19" s="337"/>
      <c r="F19" s="337">
        <f t="shared" si="4"/>
        <v>0.18174830727077568</v>
      </c>
      <c r="G19" s="337">
        <f t="shared" si="4"/>
        <v>0</v>
      </c>
      <c r="H19" s="337">
        <f t="shared" si="4"/>
        <v>0</v>
      </c>
      <c r="I19" s="337"/>
      <c r="J19" s="337" t="e">
        <f t="shared" si="4"/>
        <v>#DIV/0!</v>
      </c>
      <c r="K19" s="236" t="s">
        <v>17</v>
      </c>
      <c r="L19" s="23"/>
      <c r="M19" s="23"/>
      <c r="N19" s="23"/>
      <c r="O19" s="23"/>
      <c r="P19" s="23"/>
      <c r="Q19" s="23"/>
      <c r="R19" s="23"/>
      <c r="S19" s="23"/>
      <c r="T19" s="23"/>
      <c r="U19" s="23"/>
      <c r="V19" s="23"/>
      <c r="W19" s="23"/>
      <c r="X19" s="23"/>
      <c r="Y19" s="23"/>
      <c r="Z19" s="23"/>
      <c r="AA19" s="23"/>
      <c r="AB19" s="23"/>
      <c r="AC19" s="23"/>
      <c r="AD19" s="23"/>
      <c r="AE19" s="23"/>
      <c r="AF19" s="23"/>
      <c r="AG19" s="23"/>
    </row>
    <row r="20" spans="1:33" s="30" customFormat="1" ht="15">
      <c r="A20" s="237" t="s">
        <v>142</v>
      </c>
      <c r="B20" s="336">
        <f t="shared" ref="B20:J20" si="5">B10/B6*100</f>
        <v>0</v>
      </c>
      <c r="C20" s="337">
        <f t="shared" si="5"/>
        <v>0</v>
      </c>
      <c r="D20" s="337">
        <f>D10/D6*100</f>
        <v>0</v>
      </c>
      <c r="E20" s="337"/>
      <c r="F20" s="337">
        <f t="shared" si="5"/>
        <v>0</v>
      </c>
      <c r="G20" s="337">
        <f t="shared" si="5"/>
        <v>0</v>
      </c>
      <c r="H20" s="337">
        <f t="shared" si="5"/>
        <v>0</v>
      </c>
      <c r="I20" s="337"/>
      <c r="J20" s="337" t="e">
        <f t="shared" si="5"/>
        <v>#DIV/0!</v>
      </c>
      <c r="K20" s="236" t="s">
        <v>123</v>
      </c>
      <c r="L20" s="23"/>
      <c r="M20" s="23"/>
      <c r="N20" s="23"/>
      <c r="O20" s="23"/>
      <c r="P20" s="23"/>
      <c r="Q20" s="23"/>
      <c r="R20" s="23"/>
      <c r="S20" s="23"/>
      <c r="T20" s="23"/>
      <c r="U20" s="23"/>
      <c r="V20" s="23"/>
      <c r="W20" s="23"/>
      <c r="X20" s="23"/>
      <c r="Y20" s="23"/>
      <c r="Z20" s="23"/>
      <c r="AA20" s="23"/>
      <c r="AB20" s="23"/>
      <c r="AC20" s="23"/>
      <c r="AD20" s="23"/>
      <c r="AE20" s="23"/>
      <c r="AF20" s="23"/>
      <c r="AG20" s="23"/>
    </row>
    <row r="21" spans="1:33" s="30" customFormat="1" ht="15">
      <c r="A21" s="325" t="s">
        <v>95</v>
      </c>
      <c r="B21" s="336">
        <f t="shared" ref="B21:J21" si="6">B11/B6*100</f>
        <v>2.1611810231151082E-3</v>
      </c>
      <c r="C21" s="337">
        <f t="shared" si="6"/>
        <v>2.5619796296811746E-5</v>
      </c>
      <c r="D21" s="337">
        <f t="shared" si="6"/>
        <v>7.7461833908917782E-2</v>
      </c>
      <c r="E21" s="337"/>
      <c r="F21" s="337">
        <f t="shared" si="6"/>
        <v>6.5228697070734336E-4</v>
      </c>
      <c r="G21" s="337">
        <f t="shared" si="6"/>
        <v>0</v>
      </c>
      <c r="H21" s="337">
        <f t="shared" si="6"/>
        <v>3.8967747258340646</v>
      </c>
      <c r="I21" s="337"/>
      <c r="J21" s="337" t="e">
        <f t="shared" si="6"/>
        <v>#DIV/0!</v>
      </c>
      <c r="K21" s="236" t="s">
        <v>86</v>
      </c>
      <c r="L21" s="23"/>
      <c r="M21" s="23"/>
      <c r="N21" s="23"/>
      <c r="O21" s="23"/>
      <c r="P21" s="23"/>
      <c r="Q21" s="23"/>
      <c r="R21" s="23"/>
      <c r="S21" s="23"/>
      <c r="T21" s="23"/>
      <c r="U21" s="23"/>
      <c r="V21" s="23"/>
      <c r="W21" s="23"/>
      <c r="X21" s="23"/>
      <c r="Y21" s="23"/>
      <c r="Z21" s="23"/>
      <c r="AA21" s="23"/>
      <c r="AB21" s="23"/>
      <c r="AC21" s="23"/>
      <c r="AD21" s="23"/>
      <c r="AE21" s="23"/>
      <c r="AF21" s="23"/>
      <c r="AG21" s="23"/>
    </row>
    <row r="22" spans="1:33" s="30" customFormat="1" ht="15">
      <c r="A22" s="325" t="s">
        <v>126</v>
      </c>
      <c r="B22" s="336">
        <f>B12/B6*100</f>
        <v>4.7450996073855048E-3</v>
      </c>
      <c r="C22" s="337">
        <f t="shared" ref="C22:J22" si="7">C12/C6*100</f>
        <v>2.8564649548928609E-3</v>
      </c>
      <c r="D22" s="337">
        <f t="shared" si="7"/>
        <v>11.722557531549558</v>
      </c>
      <c r="E22" s="337"/>
      <c r="F22" s="337">
        <f t="shared" si="7"/>
        <v>2.0461751774714081E-3</v>
      </c>
      <c r="G22" s="337">
        <f t="shared" si="7"/>
        <v>0</v>
      </c>
      <c r="H22" s="337">
        <f t="shared" si="7"/>
        <v>0</v>
      </c>
      <c r="I22" s="337"/>
      <c r="J22" s="337" t="e">
        <f t="shared" si="7"/>
        <v>#DIV/0!</v>
      </c>
      <c r="K22" s="236" t="s">
        <v>87</v>
      </c>
      <c r="L22" s="23"/>
      <c r="M22" s="23"/>
      <c r="N22" s="23"/>
      <c r="O22" s="23"/>
      <c r="P22" s="23"/>
      <c r="Q22" s="23"/>
      <c r="R22" s="23"/>
      <c r="S22" s="23"/>
      <c r="T22" s="23"/>
      <c r="U22" s="23"/>
      <c r="V22" s="23"/>
      <c r="W22" s="23"/>
      <c r="X22" s="23"/>
      <c r="Y22" s="23"/>
      <c r="Z22" s="23"/>
      <c r="AA22" s="23"/>
      <c r="AB22" s="23"/>
      <c r="AC22" s="23"/>
      <c r="AD22" s="23"/>
      <c r="AE22" s="23"/>
      <c r="AF22" s="23"/>
      <c r="AG22" s="23"/>
    </row>
    <row r="23" spans="1:33" s="30" customFormat="1" ht="15">
      <c r="A23" s="325" t="s">
        <v>97</v>
      </c>
      <c r="B23" s="336">
        <f t="shared" ref="B23:J23" si="8">B13/B6*100</f>
        <v>5.9335711561174356E-2</v>
      </c>
      <c r="C23" s="337">
        <f t="shared" si="8"/>
        <v>7.233464820001495E-2</v>
      </c>
      <c r="D23" s="337">
        <f t="shared" si="8"/>
        <v>3.4728722202498146</v>
      </c>
      <c r="E23" s="337"/>
      <c r="F23" s="337">
        <f t="shared" si="8"/>
        <v>3.8983480572576915E-3</v>
      </c>
      <c r="G23" s="337">
        <f t="shared" si="8"/>
        <v>0</v>
      </c>
      <c r="H23" s="337">
        <f t="shared" si="8"/>
        <v>0</v>
      </c>
      <c r="I23" s="337"/>
      <c r="J23" s="337" t="e">
        <f t="shared" si="8"/>
        <v>#DIV/0!</v>
      </c>
      <c r="K23" s="236" t="s">
        <v>88</v>
      </c>
      <c r="L23" s="23"/>
      <c r="M23" s="23"/>
      <c r="N23" s="23"/>
      <c r="O23" s="23"/>
      <c r="P23" s="23"/>
      <c r="Q23" s="23"/>
      <c r="R23" s="23"/>
      <c r="S23" s="23"/>
      <c r="T23" s="23"/>
      <c r="U23" s="23"/>
      <c r="V23" s="23"/>
      <c r="W23" s="23"/>
      <c r="X23" s="23"/>
      <c r="Y23" s="23"/>
      <c r="Z23" s="23"/>
      <c r="AA23" s="23"/>
      <c r="AB23" s="23"/>
      <c r="AC23" s="23"/>
      <c r="AD23" s="23"/>
      <c r="AE23" s="23"/>
      <c r="AF23" s="23"/>
      <c r="AG23" s="23"/>
    </row>
    <row r="24" spans="1:33" s="108" customFormat="1" ht="15">
      <c r="A24" s="329" t="s">
        <v>98</v>
      </c>
      <c r="B24" s="330">
        <f>B14/B6*100</f>
        <v>1.1418596831795143</v>
      </c>
      <c r="C24" s="338">
        <f t="shared" ref="C24:J24" si="9">C14/C6*100</f>
        <v>2.0802562932002895E-2</v>
      </c>
      <c r="D24" s="338">
        <f t="shared" si="9"/>
        <v>77.394054804247489</v>
      </c>
      <c r="E24" s="338"/>
      <c r="F24" s="338">
        <f t="shared" si="9"/>
        <v>4.5499517494323072E-2</v>
      </c>
      <c r="G24" s="338">
        <f t="shared" si="9"/>
        <v>100</v>
      </c>
      <c r="H24" s="338">
        <f t="shared" si="9"/>
        <v>96.103225274165936</v>
      </c>
      <c r="I24" s="338"/>
      <c r="J24" s="338" t="e">
        <f t="shared" si="9"/>
        <v>#DIV/0!</v>
      </c>
      <c r="K24" s="333" t="s">
        <v>89</v>
      </c>
      <c r="L24" s="25"/>
      <c r="M24" s="25"/>
      <c r="N24" s="25"/>
      <c r="O24" s="25"/>
      <c r="P24" s="25"/>
      <c r="Q24" s="25"/>
      <c r="R24" s="25"/>
      <c r="S24" s="25"/>
      <c r="T24" s="25"/>
      <c r="U24" s="25"/>
      <c r="V24" s="25"/>
      <c r="W24" s="25"/>
      <c r="X24" s="25"/>
      <c r="Y24" s="25"/>
      <c r="Z24" s="25"/>
      <c r="AA24" s="25"/>
      <c r="AB24" s="25"/>
      <c r="AC24" s="25"/>
      <c r="AD24" s="25"/>
      <c r="AE24" s="25"/>
      <c r="AF24" s="25"/>
      <c r="AG24" s="25"/>
    </row>
    <row r="25" spans="1:33" s="30" customFormat="1" ht="15" hidden="1">
      <c r="A25" s="334" t="s">
        <v>204</v>
      </c>
      <c r="B25" s="335">
        <f t="shared" ref="B25:J25" si="10">B15/B6*100</f>
        <v>0</v>
      </c>
      <c r="C25" s="339">
        <f t="shared" si="10"/>
        <v>0</v>
      </c>
      <c r="D25" s="339">
        <f t="shared" si="10"/>
        <v>0</v>
      </c>
      <c r="E25" s="339"/>
      <c r="F25" s="339">
        <f t="shared" si="10"/>
        <v>0</v>
      </c>
      <c r="G25" s="339">
        <f t="shared" si="10"/>
        <v>0</v>
      </c>
      <c r="H25" s="339">
        <f t="shared" si="10"/>
        <v>0</v>
      </c>
      <c r="I25" s="339"/>
      <c r="J25" s="339" t="e">
        <f t="shared" si="10"/>
        <v>#DIV/0!</v>
      </c>
      <c r="K25" s="340" t="s">
        <v>205</v>
      </c>
      <c r="L25" s="23"/>
      <c r="M25" s="23"/>
      <c r="N25" s="23"/>
      <c r="O25" s="23"/>
      <c r="P25" s="23"/>
      <c r="Q25" s="23"/>
      <c r="R25" s="23"/>
      <c r="S25" s="23"/>
      <c r="T25" s="23"/>
      <c r="U25" s="23"/>
      <c r="V25" s="23"/>
      <c r="W25" s="23"/>
      <c r="X25" s="23"/>
      <c r="Y25" s="23"/>
      <c r="Z25" s="23"/>
      <c r="AA25" s="23"/>
      <c r="AB25" s="23"/>
      <c r="AC25" s="23"/>
      <c r="AD25" s="23"/>
      <c r="AE25" s="23"/>
      <c r="AF25" s="23"/>
      <c r="AG25" s="23"/>
    </row>
    <row r="26" spans="1:33" ht="14.25">
      <c r="A26" s="80" t="s">
        <v>206</v>
      </c>
      <c r="B26" s="341">
        <f>SUM(C26:J26)</f>
        <v>100</v>
      </c>
      <c r="C26" s="336">
        <f>(C6/$B$6)*100</f>
        <v>80.172670134023591</v>
      </c>
      <c r="D26" s="336">
        <f t="shared" ref="D26:J26" si="11">(D6/$B$6)*100</f>
        <v>1.7677587131234532E-2</v>
      </c>
      <c r="E26" s="336"/>
      <c r="F26" s="336">
        <f t="shared" si="11"/>
        <v>18.70465755671324</v>
      </c>
      <c r="G26" s="336">
        <f t="shared" si="11"/>
        <v>1.053543466617761</v>
      </c>
      <c r="H26" s="336">
        <f>(H6/$B$6)*100</f>
        <v>5.1451255514170166E-2</v>
      </c>
      <c r="I26" s="336"/>
      <c r="J26" s="336">
        <f t="shared" si="11"/>
        <v>0</v>
      </c>
      <c r="K26" s="106" t="s">
        <v>207</v>
      </c>
    </row>
    <row r="27" spans="1:33" ht="15">
      <c r="A27" s="325" t="s">
        <v>125</v>
      </c>
      <c r="B27" s="341">
        <f t="shared" ref="B27:B34" si="12">SUM(C27:J27)</f>
        <v>100</v>
      </c>
      <c r="C27" s="337">
        <f>(C7/$B$7)*100</f>
        <v>99.349609786978093</v>
      </c>
      <c r="D27" s="337">
        <f t="shared" ref="D27:J27" si="13">(D7/$B$7)*100</f>
        <v>1.1736389292443025E-3</v>
      </c>
      <c r="E27" s="337"/>
      <c r="F27" s="337">
        <f t="shared" si="13"/>
        <v>0.64921657409265521</v>
      </c>
      <c r="G27" s="337">
        <f t="shared" si="13"/>
        <v>0</v>
      </c>
      <c r="H27" s="337">
        <f t="shared" si="13"/>
        <v>0</v>
      </c>
      <c r="I27" s="337"/>
      <c r="J27" s="337">
        <f t="shared" si="13"/>
        <v>0</v>
      </c>
      <c r="K27" s="236" t="s">
        <v>122</v>
      </c>
    </row>
    <row r="28" spans="1:33" ht="15">
      <c r="A28" s="160" t="s">
        <v>92</v>
      </c>
      <c r="B28" s="341">
        <f t="shared" si="12"/>
        <v>100</v>
      </c>
      <c r="C28" s="337">
        <f>(C8/$B$8)*100</f>
        <v>36.650098746109833</v>
      </c>
      <c r="D28" s="337">
        <f t="shared" ref="D28:J28" si="14">(D8/$B$8)*100</f>
        <v>1.6556181681407598E-3</v>
      </c>
      <c r="E28" s="337"/>
      <c r="F28" s="337">
        <f>(F8/$B$8)*100</f>
        <v>63.348245635722023</v>
      </c>
      <c r="G28" s="337">
        <f t="shared" si="14"/>
        <v>0</v>
      </c>
      <c r="H28" s="337">
        <f t="shared" si="14"/>
        <v>0</v>
      </c>
      <c r="I28" s="337"/>
      <c r="J28" s="337">
        <f t="shared" si="14"/>
        <v>0</v>
      </c>
      <c r="K28" s="236" t="s">
        <v>84</v>
      </c>
    </row>
    <row r="29" spans="1:33" ht="15">
      <c r="A29" s="160" t="s">
        <v>16</v>
      </c>
      <c r="B29" s="341">
        <f t="shared" si="12"/>
        <v>100</v>
      </c>
      <c r="C29" s="337">
        <f>(C9/$B$9)*100</f>
        <v>76.251134177028703</v>
      </c>
      <c r="D29" s="337">
        <f t="shared" ref="D29:J29" si="15">(D9/$B$9)*100</f>
        <v>0</v>
      </c>
      <c r="E29" s="337"/>
      <c r="F29" s="337">
        <f t="shared" si="15"/>
        <v>23.74886582297129</v>
      </c>
      <c r="G29" s="337">
        <f t="shared" si="15"/>
        <v>0</v>
      </c>
      <c r="H29" s="337">
        <f t="shared" si="15"/>
        <v>0</v>
      </c>
      <c r="I29" s="337"/>
      <c r="J29" s="337">
        <f t="shared" si="15"/>
        <v>0</v>
      </c>
      <c r="K29" s="236" t="s">
        <v>17</v>
      </c>
    </row>
    <row r="30" spans="1:33" ht="15">
      <c r="A30" s="237" t="s">
        <v>142</v>
      </c>
      <c r="B30" s="341" t="e">
        <f t="shared" si="12"/>
        <v>#DIV/0!</v>
      </c>
      <c r="C30" s="337">
        <v>0</v>
      </c>
      <c r="D30" s="337">
        <v>0</v>
      </c>
      <c r="E30" s="337"/>
      <c r="F30" s="337">
        <v>0</v>
      </c>
      <c r="G30" s="337">
        <v>0</v>
      </c>
      <c r="H30" s="337">
        <v>0</v>
      </c>
      <c r="I30" s="337"/>
      <c r="J30" s="337" t="e">
        <f>(J10/$B$10)*100</f>
        <v>#DIV/0!</v>
      </c>
      <c r="K30" s="236" t="s">
        <v>123</v>
      </c>
    </row>
    <row r="31" spans="1:33" ht="15">
      <c r="A31" s="325" t="s">
        <v>95</v>
      </c>
      <c r="B31" s="341">
        <f t="shared" si="12"/>
        <v>99.999999999999986</v>
      </c>
      <c r="C31" s="337">
        <f>(C11/$B$11)*100</f>
        <v>0.95040973219565772</v>
      </c>
      <c r="D31" s="337">
        <f t="shared" ref="D31:J31" si="16">(D11/$B$11)*100</f>
        <v>0.63360648813043852</v>
      </c>
      <c r="E31" s="337"/>
      <c r="F31" s="337">
        <f t="shared" si="16"/>
        <v>5.6454338092422081</v>
      </c>
      <c r="G31" s="337">
        <f t="shared" si="16"/>
        <v>0</v>
      </c>
      <c r="H31" s="337">
        <f t="shared" si="16"/>
        <v>92.770549970431688</v>
      </c>
      <c r="I31" s="337"/>
      <c r="J31" s="337">
        <f t="shared" si="16"/>
        <v>0</v>
      </c>
      <c r="K31" s="236" t="s">
        <v>86</v>
      </c>
    </row>
    <row r="32" spans="1:33" ht="15">
      <c r="A32" s="325" t="s">
        <v>126</v>
      </c>
      <c r="B32" s="341">
        <f t="shared" si="12"/>
        <v>100</v>
      </c>
      <c r="C32" s="337">
        <f>(C12/$B$12)*100</f>
        <v>48.262511122333649</v>
      </c>
      <c r="D32" s="337">
        <f t="shared" ref="D32:J32" si="17">(D12/$B$12)*100</f>
        <v>43.6716927590602</v>
      </c>
      <c r="E32" s="337"/>
      <c r="F32" s="337">
        <f t="shared" si="17"/>
        <v>8.065796118606162</v>
      </c>
      <c r="G32" s="337">
        <f t="shared" si="17"/>
        <v>0</v>
      </c>
      <c r="H32" s="337">
        <f t="shared" si="17"/>
        <v>0</v>
      </c>
      <c r="I32" s="337"/>
      <c r="J32" s="337">
        <f t="shared" si="17"/>
        <v>0</v>
      </c>
      <c r="K32" s="236" t="s">
        <v>87</v>
      </c>
    </row>
    <row r="33" spans="1:11" ht="15">
      <c r="A33" s="325" t="s">
        <v>97</v>
      </c>
      <c r="B33" s="341">
        <f t="shared" si="12"/>
        <v>99.999999999999986</v>
      </c>
      <c r="C33" s="337">
        <f>(C13/$B$13)*100</f>
        <v>97.736451401976993</v>
      </c>
      <c r="D33" s="337">
        <f t="shared" ref="D33:J33" si="18">(D13/$B$13)*100</f>
        <v>1.0346551790453489</v>
      </c>
      <c r="E33" s="337"/>
      <c r="F33" s="337">
        <f t="shared" si="18"/>
        <v>1.2288934189776537</v>
      </c>
      <c r="G33" s="337">
        <f t="shared" si="18"/>
        <v>0</v>
      </c>
      <c r="H33" s="337">
        <f t="shared" si="18"/>
        <v>0</v>
      </c>
      <c r="I33" s="337"/>
      <c r="J33" s="337">
        <f t="shared" si="18"/>
        <v>0</v>
      </c>
      <c r="K33" s="236" t="s">
        <v>88</v>
      </c>
    </row>
    <row r="34" spans="1:11" ht="15">
      <c r="A34" s="329" t="s">
        <v>98</v>
      </c>
      <c r="B34" s="342">
        <f t="shared" si="12"/>
        <v>100.00000000000001</v>
      </c>
      <c r="C34" s="338">
        <f>(C14/$B$14)*100</f>
        <v>1.4605971648335505</v>
      </c>
      <c r="D34" s="338">
        <f t="shared" ref="D34:J34" si="19">(D14/$B$14)*100</f>
        <v>1.1981683628867885</v>
      </c>
      <c r="E34" s="338"/>
      <c r="F34" s="338">
        <f t="shared" si="19"/>
        <v>0.74532178188237197</v>
      </c>
      <c r="G34" s="338">
        <f t="shared" si="19"/>
        <v>92.265580625822935</v>
      </c>
      <c r="H34" s="338">
        <f t="shared" si="19"/>
        <v>4.3303320645743586</v>
      </c>
      <c r="I34" s="338"/>
      <c r="J34" s="338">
        <f t="shared" si="19"/>
        <v>0</v>
      </c>
      <c r="K34" s="333" t="s">
        <v>89</v>
      </c>
    </row>
    <row r="35" spans="1:11" ht="15" hidden="1">
      <c r="A35" s="343" t="s">
        <v>204</v>
      </c>
      <c r="B35" s="344">
        <f>SUM(C35:J35)</f>
        <v>0</v>
      </c>
      <c r="C35" s="345">
        <v>0</v>
      </c>
      <c r="D35" s="345">
        <v>0</v>
      </c>
      <c r="E35" s="345">
        <v>0</v>
      </c>
      <c r="F35" s="345">
        <v>0</v>
      </c>
      <c r="G35" s="345">
        <v>0</v>
      </c>
      <c r="H35" s="345">
        <v>0</v>
      </c>
      <c r="I35" s="345">
        <v>0</v>
      </c>
      <c r="J35" s="345">
        <v>0</v>
      </c>
      <c r="K35" s="311" t="s">
        <v>205</v>
      </c>
    </row>
    <row r="36" spans="1:11" s="75" customFormat="1" ht="17.25">
      <c r="A36" s="24" t="s">
        <v>392</v>
      </c>
      <c r="B36" s="346"/>
      <c r="C36" s="347"/>
      <c r="D36" s="347"/>
      <c r="E36" s="347"/>
      <c r="F36" s="347"/>
      <c r="G36" s="347"/>
      <c r="H36" s="347"/>
      <c r="K36" s="20" t="s">
        <v>389</v>
      </c>
    </row>
    <row r="47" spans="1:11">
      <c r="B47" s="14"/>
    </row>
    <row r="61" spans="1:33" s="315" customFormat="1" ht="21.75">
      <c r="A61" s="817" t="s">
        <v>413</v>
      </c>
      <c r="B61" s="817"/>
      <c r="C61" s="817"/>
      <c r="D61" s="817"/>
      <c r="E61" s="817"/>
      <c r="F61" s="817"/>
      <c r="G61" s="817"/>
      <c r="H61" s="817"/>
      <c r="I61" s="817"/>
      <c r="J61" s="817"/>
      <c r="K61" s="817"/>
    </row>
    <row r="62" spans="1:33" s="317" customFormat="1" ht="15">
      <c r="A62" s="818" t="s">
        <v>414</v>
      </c>
      <c r="B62" s="818"/>
      <c r="C62" s="818"/>
      <c r="D62" s="818"/>
      <c r="E62" s="818"/>
      <c r="F62" s="818"/>
      <c r="G62" s="818"/>
      <c r="H62" s="818"/>
      <c r="I62" s="818"/>
      <c r="J62" s="818"/>
      <c r="K62" s="818"/>
      <c r="L62" s="316"/>
      <c r="M62" s="316"/>
      <c r="N62" s="316"/>
      <c r="O62" s="316"/>
      <c r="P62" s="316"/>
      <c r="Q62" s="316"/>
      <c r="R62" s="316"/>
      <c r="S62" s="316"/>
      <c r="T62" s="316"/>
      <c r="U62" s="316"/>
      <c r="V62" s="316"/>
      <c r="W62" s="316"/>
      <c r="X62" s="316"/>
      <c r="Y62" s="316"/>
      <c r="Z62" s="316"/>
      <c r="AA62" s="316"/>
      <c r="AB62" s="316"/>
      <c r="AC62" s="316"/>
      <c r="AD62" s="316"/>
      <c r="AE62" s="316"/>
      <c r="AF62" s="316"/>
      <c r="AG62" s="316"/>
    </row>
    <row r="63" spans="1:33" s="318" customFormat="1">
      <c r="A63" s="819"/>
      <c r="B63" s="820"/>
      <c r="C63" s="820"/>
      <c r="D63" s="820"/>
      <c r="E63" s="820"/>
      <c r="F63" s="820"/>
      <c r="G63" s="820"/>
      <c r="H63" s="702"/>
      <c r="I63" s="28"/>
      <c r="J63" s="28"/>
      <c r="K63" s="28"/>
      <c r="L63" s="28"/>
      <c r="M63" s="28"/>
      <c r="N63" s="28"/>
      <c r="O63" s="28"/>
      <c r="P63" s="28"/>
      <c r="Q63" s="28"/>
      <c r="R63" s="28"/>
      <c r="S63" s="28"/>
      <c r="T63" s="28"/>
      <c r="U63" s="28"/>
      <c r="V63" s="28"/>
      <c r="W63" s="28"/>
      <c r="X63" s="28"/>
      <c r="Y63" s="28"/>
      <c r="Z63" s="28"/>
      <c r="AA63" s="28"/>
      <c r="AB63" s="28"/>
      <c r="AC63" s="321"/>
      <c r="AD63" s="321"/>
      <c r="AE63" s="321"/>
      <c r="AF63" s="321"/>
      <c r="AG63" s="28"/>
    </row>
    <row r="64" spans="1:33" s="30" customFormat="1" ht="24">
      <c r="A64" s="763" t="s">
        <v>79</v>
      </c>
      <c r="B64" s="821" t="s">
        <v>196</v>
      </c>
      <c r="C64" s="821"/>
      <c r="D64" s="821"/>
      <c r="E64" s="821"/>
      <c r="F64" s="821"/>
      <c r="G64" s="821"/>
      <c r="H64" s="821"/>
      <c r="I64" s="821"/>
      <c r="J64" s="708"/>
      <c r="K64" s="822" t="s">
        <v>120</v>
      </c>
      <c r="L64" s="23"/>
      <c r="M64" s="23"/>
      <c r="N64" s="23"/>
      <c r="O64" s="23"/>
      <c r="P64" s="23"/>
      <c r="Q64" s="23"/>
      <c r="R64" s="23"/>
      <c r="S64" s="23"/>
      <c r="T64" s="23"/>
      <c r="U64" s="23"/>
      <c r="V64" s="23"/>
      <c r="W64" s="23"/>
      <c r="X64" s="23"/>
      <c r="Y64" s="23"/>
      <c r="Z64" s="23"/>
      <c r="AA64" s="23"/>
      <c r="AB64" s="23"/>
      <c r="AC64" s="100" t="s">
        <v>197</v>
      </c>
      <c r="AD64" s="100" t="s">
        <v>200</v>
      </c>
      <c r="AE64" s="100" t="s">
        <v>203</v>
      </c>
      <c r="AF64" s="23"/>
      <c r="AG64" s="23"/>
    </row>
    <row r="65" spans="1:33" s="322" customFormat="1" ht="24">
      <c r="A65" s="765"/>
      <c r="B65" s="100" t="s">
        <v>90</v>
      </c>
      <c r="C65" s="100" t="s">
        <v>197</v>
      </c>
      <c r="D65" s="100" t="s">
        <v>198</v>
      </c>
      <c r="E65" s="100" t="s">
        <v>199</v>
      </c>
      <c r="F65" s="100" t="s">
        <v>200</v>
      </c>
      <c r="G65" s="100" t="s">
        <v>479</v>
      </c>
      <c r="H65" s="319" t="s">
        <v>201</v>
      </c>
      <c r="I65" s="320" t="s">
        <v>154</v>
      </c>
      <c r="J65" s="320" t="s">
        <v>202</v>
      </c>
      <c r="K65" s="823"/>
      <c r="L65" s="321"/>
      <c r="M65" s="321"/>
      <c r="R65" s="321"/>
      <c r="S65" s="321"/>
      <c r="T65" s="321"/>
      <c r="U65" s="321"/>
      <c r="V65" s="321"/>
      <c r="W65" s="321"/>
      <c r="X65" s="321"/>
      <c r="Y65" s="321"/>
      <c r="Z65" s="321"/>
      <c r="AA65" s="321"/>
      <c r="AB65" s="321"/>
      <c r="AC65" s="328">
        <f>C66/$B$6*100</f>
        <v>70.404640418570381</v>
      </c>
      <c r="AD65" s="328">
        <f>F66/$B$6*100</f>
        <v>18.694782316449416</v>
      </c>
      <c r="AE65" s="328">
        <f>AF65/B66*100</f>
        <v>1.9859177339283107</v>
      </c>
      <c r="AF65" s="23">
        <f>D66+E66+G66+H66+I66+J66</f>
        <v>2682.3577459247813</v>
      </c>
    </row>
    <row r="66" spans="1:33" s="30" customFormat="1" ht="15">
      <c r="A66" s="323" t="s">
        <v>90</v>
      </c>
      <c r="B66" s="324">
        <f>SUM(B67:B75)</f>
        <v>135068.92557018736</v>
      </c>
      <c r="C66" s="324">
        <f>SUM(C67:C74)</f>
        <v>104609.3051762555</v>
      </c>
      <c r="D66" s="324">
        <f>SUM(D67:D74)</f>
        <v>157.02841546759623</v>
      </c>
      <c r="E66" s="324">
        <f>SUM(E67:E75)</f>
        <v>699.67705000000001</v>
      </c>
      <c r="F66" s="324">
        <f>SUM(F67:F74)</f>
        <v>27777.262648007039</v>
      </c>
      <c r="G66" s="324">
        <f>SUM(G67:G74)</f>
        <v>1643.7922334578623</v>
      </c>
      <c r="H66" s="324">
        <f>SUM(H67:H74)</f>
        <v>179.10402429105528</v>
      </c>
      <c r="I66" s="324">
        <f>SUM(I67:I74)</f>
        <v>2.7560227082678077</v>
      </c>
      <c r="J66" s="324">
        <f>SUM(J67:J74)</f>
        <v>0</v>
      </c>
      <c r="K66" s="196" t="s">
        <v>121</v>
      </c>
      <c r="L66" s="23"/>
      <c r="M66" s="23"/>
      <c r="R66" s="23"/>
      <c r="S66" s="23"/>
      <c r="T66" s="23"/>
      <c r="U66" s="23"/>
      <c r="V66" s="23"/>
      <c r="W66" s="23"/>
      <c r="X66" s="23"/>
      <c r="Y66" s="23"/>
      <c r="Z66" s="23"/>
      <c r="AA66" s="23"/>
      <c r="AB66" s="23"/>
      <c r="AC66" s="328"/>
      <c r="AD66" s="328"/>
      <c r="AE66" s="328"/>
      <c r="AF66" s="23"/>
    </row>
    <row r="67" spans="1:33" s="30" customFormat="1" ht="15">
      <c r="A67" s="325" t="s">
        <v>125</v>
      </c>
      <c r="B67" s="324">
        <f>SUM(C67:J67)</f>
        <v>88019.66623919885</v>
      </c>
      <c r="C67" s="326">
        <v>87139.82166331468</v>
      </c>
      <c r="D67" s="326">
        <v>69.763007645392918</v>
      </c>
      <c r="E67" s="326">
        <v>1.458</v>
      </c>
      <c r="F67" s="326">
        <v>808.6235682387769</v>
      </c>
      <c r="G67" s="326">
        <v>0</v>
      </c>
      <c r="H67" s="326">
        <v>0</v>
      </c>
      <c r="I67" s="326">
        <v>0</v>
      </c>
      <c r="J67" s="326">
        <v>0</v>
      </c>
      <c r="K67" s="327" t="s">
        <v>122</v>
      </c>
      <c r="L67" s="23"/>
      <c r="M67" s="23"/>
      <c r="R67" s="23"/>
      <c r="S67" s="23"/>
      <c r="T67" s="23"/>
      <c r="U67" s="23"/>
      <c r="V67" s="23"/>
      <c r="W67" s="23"/>
      <c r="X67" s="23"/>
      <c r="Y67" s="23"/>
      <c r="Z67" s="23"/>
      <c r="AA67" s="23"/>
      <c r="AB67" s="23"/>
      <c r="AC67" s="23"/>
      <c r="AD67" s="23"/>
      <c r="AE67" s="23"/>
      <c r="AF67" s="23"/>
    </row>
    <row r="68" spans="1:33" s="30" customFormat="1" ht="15">
      <c r="A68" s="160" t="s">
        <v>92</v>
      </c>
      <c r="B68" s="324">
        <f t="shared" ref="B68:B75" si="20">SUM(C68:J68)</f>
        <v>44423.897166028575</v>
      </c>
      <c r="C68" s="326">
        <v>17029.380545293134</v>
      </c>
      <c r="D68" s="326">
        <v>49.593061369146938</v>
      </c>
      <c r="E68" s="326">
        <v>479.21350000000007</v>
      </c>
      <c r="F68" s="326">
        <v>26865.710059366298</v>
      </c>
      <c r="G68" s="326">
        <v>0</v>
      </c>
      <c r="H68" s="326">
        <v>0</v>
      </c>
      <c r="I68" s="326">
        <v>0</v>
      </c>
      <c r="J68" s="326">
        <v>0</v>
      </c>
      <c r="K68" s="327" t="s">
        <v>84</v>
      </c>
      <c r="L68" s="23"/>
      <c r="M68" s="23"/>
      <c r="R68" s="23"/>
      <c r="S68" s="23"/>
      <c r="T68" s="23"/>
      <c r="U68" s="23"/>
      <c r="V68" s="23"/>
      <c r="W68" s="23"/>
      <c r="X68" s="23"/>
      <c r="Y68" s="23"/>
      <c r="Z68" s="23"/>
      <c r="AA68" s="23"/>
      <c r="AB68" s="23"/>
      <c r="AC68" s="23"/>
      <c r="AD68" s="23"/>
      <c r="AE68" s="23"/>
      <c r="AF68" s="23"/>
    </row>
    <row r="69" spans="1:33" s="30" customFormat="1" ht="15">
      <c r="A69" s="160" t="s">
        <v>16</v>
      </c>
      <c r="B69" s="324">
        <f t="shared" si="20"/>
        <v>395.98115232852695</v>
      </c>
      <c r="C69" s="326">
        <v>223.3392681024107</v>
      </c>
      <c r="D69" s="326">
        <v>2.4322196111054417</v>
      </c>
      <c r="E69" s="326">
        <v>83.596549999999993</v>
      </c>
      <c r="F69" s="326">
        <v>86.613114615010844</v>
      </c>
      <c r="G69" s="326">
        <v>0</v>
      </c>
      <c r="H69" s="326">
        <v>0</v>
      </c>
      <c r="I69" s="326">
        <v>0</v>
      </c>
      <c r="J69" s="326">
        <v>0</v>
      </c>
      <c r="K69" s="327" t="s">
        <v>17</v>
      </c>
      <c r="L69" s="23"/>
      <c r="M69" s="23"/>
      <c r="N69" s="23"/>
      <c r="O69" s="23"/>
      <c r="P69" s="23"/>
      <c r="Q69" s="23"/>
      <c r="R69" s="23"/>
      <c r="S69" s="23"/>
      <c r="T69" s="23"/>
      <c r="U69" s="23"/>
      <c r="V69" s="23"/>
      <c r="W69" s="23"/>
      <c r="X69" s="23"/>
      <c r="Y69" s="23"/>
      <c r="Z69" s="23"/>
      <c r="AA69" s="23"/>
      <c r="AB69" s="23"/>
      <c r="AC69" s="23"/>
      <c r="AD69" s="23"/>
      <c r="AE69" s="23"/>
      <c r="AF69" s="23"/>
    </row>
    <row r="70" spans="1:33" s="30" customFormat="1" ht="15">
      <c r="A70" s="237" t="s">
        <v>142</v>
      </c>
      <c r="B70" s="324">
        <f t="shared" si="20"/>
        <v>4.1649999999999991</v>
      </c>
      <c r="C70" s="326">
        <v>0</v>
      </c>
      <c r="D70" s="326">
        <v>0</v>
      </c>
      <c r="E70" s="326">
        <v>4.1649999999999991</v>
      </c>
      <c r="F70" s="326">
        <v>0</v>
      </c>
      <c r="G70" s="326">
        <v>0</v>
      </c>
      <c r="H70" s="326">
        <v>0</v>
      </c>
      <c r="I70" s="326">
        <v>0</v>
      </c>
      <c r="J70" s="326">
        <v>0</v>
      </c>
      <c r="K70" s="327" t="s">
        <v>123</v>
      </c>
      <c r="L70" s="23"/>
      <c r="M70" s="23"/>
      <c r="N70" s="23"/>
      <c r="O70" s="23"/>
      <c r="P70" s="23"/>
      <c r="Q70" s="23"/>
      <c r="R70" s="23"/>
      <c r="S70" s="23"/>
      <c r="T70" s="23"/>
      <c r="U70" s="23"/>
      <c r="V70" s="23"/>
      <c r="W70" s="23"/>
      <c r="X70" s="23"/>
      <c r="Y70" s="23"/>
      <c r="Z70" s="23"/>
      <c r="AA70" s="23"/>
      <c r="AB70" s="23"/>
      <c r="AC70" s="23"/>
      <c r="AD70" s="23"/>
      <c r="AE70" s="23"/>
      <c r="AF70" s="23"/>
    </row>
    <row r="71" spans="1:33" s="30" customFormat="1" ht="15">
      <c r="A71" s="325" t="s">
        <v>95</v>
      </c>
      <c r="B71" s="324">
        <f t="shared" si="20"/>
        <v>3.3175771206069236</v>
      </c>
      <c r="C71" s="326">
        <v>0.73631937162948935</v>
      </c>
      <c r="D71" s="326">
        <v>0.13011266004697805</v>
      </c>
      <c r="E71" s="326">
        <v>0</v>
      </c>
      <c r="F71" s="326">
        <v>0.11532713049618508</v>
      </c>
      <c r="G71" s="326">
        <v>0</v>
      </c>
      <c r="H71" s="326">
        <v>2.3358179584342711</v>
      </c>
      <c r="I71" s="326">
        <v>0</v>
      </c>
      <c r="J71" s="326">
        <v>0</v>
      </c>
      <c r="K71" s="327" t="s">
        <v>86</v>
      </c>
      <c r="L71" s="23"/>
      <c r="M71" s="23"/>
      <c r="N71" s="23"/>
      <c r="O71" s="23"/>
      <c r="P71" s="23"/>
      <c r="Q71" s="23"/>
      <c r="R71" s="23"/>
      <c r="S71" s="23"/>
      <c r="T71" s="23"/>
      <c r="U71" s="23"/>
      <c r="V71" s="23"/>
      <c r="W71" s="23"/>
      <c r="X71" s="23"/>
      <c r="Y71" s="23"/>
      <c r="Z71" s="23"/>
      <c r="AA71" s="23"/>
      <c r="AB71" s="23"/>
      <c r="AC71" s="23"/>
      <c r="AD71" s="23"/>
      <c r="AE71" s="23"/>
      <c r="AF71" s="23"/>
    </row>
    <row r="72" spans="1:33" s="30" customFormat="1" ht="15">
      <c r="A72" s="325" t="s">
        <v>126</v>
      </c>
      <c r="B72" s="324">
        <f t="shared" si="20"/>
        <v>45.756334734952425</v>
      </c>
      <c r="C72" s="326">
        <v>35.573096967434793</v>
      </c>
      <c r="D72" s="326">
        <v>5.4824743574340289</v>
      </c>
      <c r="E72" s="326">
        <v>0</v>
      </c>
      <c r="F72" s="326">
        <v>4.7007634100836047</v>
      </c>
      <c r="G72" s="326">
        <v>0</v>
      </c>
      <c r="H72" s="326">
        <v>0</v>
      </c>
      <c r="I72" s="326">
        <v>0</v>
      </c>
      <c r="J72" s="326">
        <v>0</v>
      </c>
      <c r="K72" s="327" t="s">
        <v>87</v>
      </c>
      <c r="L72" s="23"/>
      <c r="M72" s="23"/>
      <c r="N72" s="23"/>
      <c r="O72" s="23"/>
      <c r="P72" s="23"/>
      <c r="Q72" s="23"/>
      <c r="R72" s="23"/>
      <c r="S72" s="23"/>
      <c r="T72" s="23"/>
      <c r="U72" s="23"/>
      <c r="V72" s="23"/>
      <c r="W72" s="23"/>
      <c r="X72" s="23"/>
      <c r="Y72" s="23"/>
      <c r="Z72" s="23"/>
      <c r="AA72" s="23"/>
      <c r="AB72" s="23"/>
      <c r="AC72" s="23"/>
      <c r="AD72" s="23"/>
      <c r="AE72" s="23"/>
      <c r="AF72" s="23"/>
    </row>
    <row r="73" spans="1:33" s="30" customFormat="1" ht="15">
      <c r="A73" s="325" t="s">
        <v>97</v>
      </c>
      <c r="B73" s="324">
        <f t="shared" si="20"/>
        <v>132.90904725091937</v>
      </c>
      <c r="C73" s="326">
        <v>129.31527643830361</v>
      </c>
      <c r="D73" s="326">
        <v>2.3479420926659222</v>
      </c>
      <c r="E73" s="326">
        <v>0</v>
      </c>
      <c r="F73" s="326">
        <v>1.2458287199498146</v>
      </c>
      <c r="G73" s="326">
        <v>0</v>
      </c>
      <c r="H73" s="326">
        <v>0</v>
      </c>
      <c r="I73" s="326">
        <v>0</v>
      </c>
      <c r="J73" s="326">
        <v>0</v>
      </c>
      <c r="K73" s="327" t="s">
        <v>88</v>
      </c>
      <c r="L73" s="23"/>
      <c r="M73" s="23"/>
      <c r="N73" s="23"/>
      <c r="O73" s="23"/>
      <c r="P73" s="23"/>
      <c r="Q73" s="23"/>
      <c r="R73" s="23"/>
      <c r="S73" s="23"/>
      <c r="T73" s="23"/>
      <c r="U73" s="23"/>
      <c r="V73" s="23"/>
      <c r="W73" s="23"/>
      <c r="X73" s="23"/>
      <c r="Y73" s="23"/>
      <c r="Z73" s="23"/>
      <c r="AA73" s="23"/>
      <c r="AB73" s="23"/>
      <c r="AC73" s="23"/>
      <c r="AD73" s="23"/>
      <c r="AE73" s="23"/>
      <c r="AF73" s="23"/>
    </row>
    <row r="74" spans="1:33" s="30" customFormat="1" ht="15">
      <c r="A74" s="329" t="s">
        <v>98</v>
      </c>
      <c r="B74" s="330">
        <f t="shared" si="20"/>
        <v>2043.2330535248921</v>
      </c>
      <c r="C74" s="331">
        <v>51.139006767918623</v>
      </c>
      <c r="D74" s="331">
        <v>27.279597731804017</v>
      </c>
      <c r="E74" s="331">
        <v>131.24399999999997</v>
      </c>
      <c r="F74" s="331">
        <v>10.25398652641818</v>
      </c>
      <c r="G74" s="331">
        <v>1643.7922334578623</v>
      </c>
      <c r="H74" s="331">
        <v>176.76820633262102</v>
      </c>
      <c r="I74" s="332">
        <v>2.7560227082678077</v>
      </c>
      <c r="J74" s="331">
        <v>0</v>
      </c>
      <c r="K74" s="333" t="s">
        <v>89</v>
      </c>
      <c r="L74" s="23"/>
      <c r="M74" s="23"/>
      <c r="N74" s="23"/>
      <c r="O74" s="23"/>
      <c r="P74" s="23"/>
      <c r="Q74" s="23"/>
      <c r="R74" s="23"/>
      <c r="S74" s="23"/>
      <c r="T74" s="23"/>
      <c r="U74" s="23"/>
      <c r="V74" s="23"/>
      <c r="W74" s="23"/>
      <c r="X74" s="23"/>
      <c r="Y74" s="23"/>
      <c r="Z74" s="23"/>
      <c r="AA74" s="23"/>
      <c r="AB74" s="23"/>
      <c r="AC74" s="23"/>
      <c r="AD74" s="23"/>
      <c r="AE74" s="23"/>
      <c r="AF74" s="23"/>
    </row>
    <row r="75" spans="1:33" s="30" customFormat="1" ht="15" hidden="1">
      <c r="A75" s="334" t="s">
        <v>204</v>
      </c>
      <c r="B75" s="335">
        <f t="shared" si="20"/>
        <v>0</v>
      </c>
      <c r="C75" s="331"/>
      <c r="D75" s="331"/>
      <c r="E75" s="331"/>
      <c r="F75" s="331"/>
      <c r="G75" s="331"/>
      <c r="H75" s="331"/>
      <c r="I75" s="331"/>
      <c r="J75" s="331"/>
      <c r="K75" s="333" t="s">
        <v>205</v>
      </c>
      <c r="L75" s="23"/>
      <c r="M75" s="23"/>
      <c r="N75" s="23"/>
      <c r="O75" s="23"/>
      <c r="P75" s="23"/>
      <c r="Q75" s="23"/>
      <c r="R75" s="23"/>
      <c r="S75" s="23"/>
      <c r="T75" s="23"/>
      <c r="U75" s="23"/>
      <c r="V75" s="23"/>
      <c r="W75" s="23"/>
      <c r="X75" s="23"/>
      <c r="Y75" s="23"/>
      <c r="Z75" s="23"/>
      <c r="AA75" s="23"/>
      <c r="AB75" s="23"/>
      <c r="AC75" s="23"/>
      <c r="AD75" s="23"/>
      <c r="AE75" s="23"/>
      <c r="AF75" s="23"/>
    </row>
    <row r="76" spans="1:33" s="2" customFormat="1" ht="14.25">
      <c r="A76" s="80" t="s">
        <v>206</v>
      </c>
      <c r="B76" s="336">
        <f t="shared" ref="B76:J76" si="21">B66/B66*100</f>
        <v>100</v>
      </c>
      <c r="C76" s="336">
        <f t="shared" si="21"/>
        <v>100</v>
      </c>
      <c r="D76" s="336">
        <f t="shared" si="21"/>
        <v>100</v>
      </c>
      <c r="E76" s="336">
        <f t="shared" si="21"/>
        <v>100</v>
      </c>
      <c r="F76" s="336">
        <f t="shared" si="21"/>
        <v>100</v>
      </c>
      <c r="G76" s="336">
        <f t="shared" si="21"/>
        <v>100</v>
      </c>
      <c r="H76" s="336">
        <f t="shared" si="21"/>
        <v>100</v>
      </c>
      <c r="I76" s="336">
        <f t="shared" si="21"/>
        <v>100</v>
      </c>
      <c r="J76" s="336" t="e">
        <f t="shared" si="21"/>
        <v>#DIV/0!</v>
      </c>
      <c r="K76" s="106" t="s">
        <v>207</v>
      </c>
    </row>
    <row r="77" spans="1:33" s="2" customFormat="1" ht="15">
      <c r="A77" s="325" t="s">
        <v>125</v>
      </c>
      <c r="B77" s="336">
        <f>B67/B66*100</f>
        <v>65.16648138543178</v>
      </c>
      <c r="C77" s="337">
        <f>C67/C66*100</f>
        <v>83.300258534834342</v>
      </c>
      <c r="D77" s="337">
        <f t="shared" ref="D77:J77" si="22">D67/D66*100</f>
        <v>44.426995864190538</v>
      </c>
      <c r="E77" s="337">
        <f t="shared" si="22"/>
        <v>0.20838185274191859</v>
      </c>
      <c r="F77" s="337">
        <f t="shared" si="22"/>
        <v>2.9110988310318402</v>
      </c>
      <c r="G77" s="337">
        <f t="shared" si="22"/>
        <v>0</v>
      </c>
      <c r="H77" s="337">
        <f t="shared" si="22"/>
        <v>0</v>
      </c>
      <c r="I77" s="337">
        <f t="shared" si="22"/>
        <v>0</v>
      </c>
      <c r="J77" s="337" t="e">
        <f t="shared" si="22"/>
        <v>#DIV/0!</v>
      </c>
      <c r="K77" s="236" t="s">
        <v>122</v>
      </c>
    </row>
    <row r="78" spans="1:33" s="30" customFormat="1" ht="15">
      <c r="A78" s="160" t="s">
        <v>92</v>
      </c>
      <c r="B78" s="336">
        <f>B68/B66*100</f>
        <v>32.889798285205202</v>
      </c>
      <c r="C78" s="337">
        <f>C68/C66*100</f>
        <v>16.279030356430003</v>
      </c>
      <c r="D78" s="337">
        <f t="shared" ref="D78:J78" si="23">D68/D66*100</f>
        <v>31.582221104040091</v>
      </c>
      <c r="E78" s="337">
        <f t="shared" si="23"/>
        <v>68.490670088435806</v>
      </c>
      <c r="F78" s="337">
        <f t="shared" si="23"/>
        <v>96.718349823768023</v>
      </c>
      <c r="G78" s="337">
        <f t="shared" si="23"/>
        <v>0</v>
      </c>
      <c r="H78" s="337">
        <f t="shared" si="23"/>
        <v>0</v>
      </c>
      <c r="I78" s="337">
        <f t="shared" si="23"/>
        <v>0</v>
      </c>
      <c r="J78" s="337" t="e">
        <f t="shared" si="23"/>
        <v>#DIV/0!</v>
      </c>
      <c r="K78" s="236" t="s">
        <v>84</v>
      </c>
      <c r="L78" s="23"/>
      <c r="M78" s="23"/>
      <c r="N78" s="23"/>
      <c r="O78" s="23"/>
      <c r="P78" s="23"/>
      <c r="Q78" s="23"/>
      <c r="R78" s="23"/>
      <c r="S78" s="23"/>
      <c r="T78" s="23"/>
      <c r="U78" s="23"/>
      <c r="V78" s="23"/>
      <c r="W78" s="23"/>
      <c r="X78" s="23"/>
      <c r="Y78" s="23"/>
      <c r="Z78" s="23"/>
      <c r="AA78" s="23"/>
      <c r="AB78" s="23"/>
      <c r="AC78" s="23"/>
      <c r="AD78" s="23"/>
      <c r="AE78" s="23"/>
      <c r="AF78" s="23"/>
      <c r="AG78" s="23"/>
    </row>
    <row r="79" spans="1:33" s="30" customFormat="1" ht="15">
      <c r="A79" s="160" t="s">
        <v>16</v>
      </c>
      <c r="B79" s="336">
        <f>B69/B66*100</f>
        <v>0.29316969144228433</v>
      </c>
      <c r="C79" s="337">
        <f>C69/C66*100</f>
        <v>0.2134984719821128</v>
      </c>
      <c r="D79" s="337">
        <f t="shared" ref="D79:J79" si="24">D69/D66*100</f>
        <v>1.5489041291430117</v>
      </c>
      <c r="E79" s="337">
        <f t="shared" si="24"/>
        <v>11.947876523890557</v>
      </c>
      <c r="F79" s="337">
        <f t="shared" si="24"/>
        <v>0.31181299508367921</v>
      </c>
      <c r="G79" s="337">
        <f t="shared" si="24"/>
        <v>0</v>
      </c>
      <c r="H79" s="337">
        <f t="shared" si="24"/>
        <v>0</v>
      </c>
      <c r="I79" s="337">
        <f t="shared" si="24"/>
        <v>0</v>
      </c>
      <c r="J79" s="337" t="e">
        <f t="shared" si="24"/>
        <v>#DIV/0!</v>
      </c>
      <c r="K79" s="236" t="s">
        <v>17</v>
      </c>
      <c r="L79" s="23"/>
      <c r="M79" s="23"/>
      <c r="N79" s="23"/>
      <c r="O79" s="23"/>
      <c r="P79" s="23"/>
      <c r="Q79" s="23"/>
      <c r="R79" s="23"/>
      <c r="S79" s="23"/>
      <c r="T79" s="23"/>
      <c r="U79" s="23"/>
      <c r="V79" s="23"/>
      <c r="W79" s="23"/>
      <c r="X79" s="23"/>
      <c r="Y79" s="23"/>
      <c r="Z79" s="23"/>
      <c r="AA79" s="23"/>
      <c r="AB79" s="23"/>
      <c r="AC79" s="23"/>
      <c r="AD79" s="23"/>
      <c r="AE79" s="23"/>
      <c r="AF79" s="23"/>
      <c r="AG79" s="23"/>
    </row>
    <row r="80" spans="1:33" s="30" customFormat="1" ht="15">
      <c r="A80" s="237" t="s">
        <v>142</v>
      </c>
      <c r="B80" s="336">
        <f>B70/B66*100</f>
        <v>3.083610817527155E-3</v>
      </c>
      <c r="C80" s="337">
        <f>C70/C66*100</f>
        <v>0</v>
      </c>
      <c r="D80" s="337">
        <f>D70/D66*100</f>
        <v>0</v>
      </c>
      <c r="E80" s="337">
        <f t="shared" ref="E80:J80" si="25">E70/E66*100</f>
        <v>0.59527463420445181</v>
      </c>
      <c r="F80" s="337">
        <f t="shared" si="25"/>
        <v>0</v>
      </c>
      <c r="G80" s="337">
        <f t="shared" si="25"/>
        <v>0</v>
      </c>
      <c r="H80" s="337">
        <f t="shared" si="25"/>
        <v>0</v>
      </c>
      <c r="I80" s="337">
        <f t="shared" si="25"/>
        <v>0</v>
      </c>
      <c r="J80" s="337" t="e">
        <f t="shared" si="25"/>
        <v>#DIV/0!</v>
      </c>
      <c r="K80" s="236" t="s">
        <v>123</v>
      </c>
      <c r="L80" s="23"/>
      <c r="M80" s="23"/>
      <c r="N80" s="23"/>
      <c r="O80" s="23"/>
      <c r="P80" s="23"/>
      <c r="Q80" s="23"/>
      <c r="R80" s="23"/>
      <c r="S80" s="23"/>
      <c r="T80" s="23"/>
      <c r="U80" s="23"/>
      <c r="V80" s="23"/>
      <c r="W80" s="23"/>
      <c r="X80" s="23"/>
      <c r="Y80" s="23"/>
      <c r="Z80" s="23"/>
      <c r="AA80" s="23"/>
      <c r="AB80" s="23"/>
      <c r="AC80" s="23"/>
      <c r="AD80" s="23"/>
      <c r="AE80" s="23"/>
      <c r="AF80" s="23"/>
      <c r="AG80" s="23"/>
    </row>
    <row r="81" spans="1:33" s="30" customFormat="1" ht="15">
      <c r="A81" s="325" t="s">
        <v>95</v>
      </c>
      <c r="B81" s="336">
        <f t="shared" ref="B81:J81" si="26">B71/B66*100</f>
        <v>2.4562104914967833E-3</v>
      </c>
      <c r="C81" s="337">
        <f t="shared" si="26"/>
        <v>7.0387559728923724E-4</v>
      </c>
      <c r="D81" s="337">
        <f t="shared" si="26"/>
        <v>8.2859309036221906E-2</v>
      </c>
      <c r="E81" s="337">
        <f t="shared" si="26"/>
        <v>0</v>
      </c>
      <c r="F81" s="337">
        <f t="shared" si="26"/>
        <v>4.1518536926265327E-4</v>
      </c>
      <c r="G81" s="337">
        <f t="shared" si="26"/>
        <v>0</v>
      </c>
      <c r="H81" s="337">
        <f t="shared" si="26"/>
        <v>1.3041683276967693</v>
      </c>
      <c r="I81" s="337">
        <f t="shared" si="26"/>
        <v>0</v>
      </c>
      <c r="J81" s="337" t="e">
        <f t="shared" si="26"/>
        <v>#DIV/0!</v>
      </c>
      <c r="K81" s="236" t="s">
        <v>86</v>
      </c>
      <c r="L81" s="23"/>
      <c r="M81" s="23"/>
      <c r="N81" s="23"/>
      <c r="O81" s="23"/>
      <c r="P81" s="23"/>
      <c r="Q81" s="23"/>
      <c r="R81" s="23"/>
      <c r="S81" s="23"/>
      <c r="T81" s="23"/>
      <c r="U81" s="23"/>
      <c r="V81" s="23"/>
      <c r="W81" s="23"/>
      <c r="X81" s="23"/>
      <c r="Y81" s="23"/>
      <c r="Z81" s="23"/>
      <c r="AA81" s="23"/>
      <c r="AB81" s="23"/>
      <c r="AC81" s="23"/>
      <c r="AD81" s="23"/>
      <c r="AE81" s="23"/>
      <c r="AF81" s="23"/>
      <c r="AG81" s="23"/>
    </row>
    <row r="82" spans="1:33" s="30" customFormat="1" ht="15">
      <c r="A82" s="325" t="s">
        <v>126</v>
      </c>
      <c r="B82" s="336">
        <f>B72/B66*100</f>
        <v>3.3876285416348823E-2</v>
      </c>
      <c r="C82" s="337">
        <f t="shared" ref="C82:J82" si="27">C72/C66*100</f>
        <v>3.4005671777953141E-2</v>
      </c>
      <c r="D82" s="337">
        <f t="shared" si="27"/>
        <v>3.4913899762080773</v>
      </c>
      <c r="E82" s="337">
        <f t="shared" si="27"/>
        <v>0</v>
      </c>
      <c r="F82" s="337">
        <f t="shared" si="27"/>
        <v>1.6923062108932733E-2</v>
      </c>
      <c r="G82" s="337">
        <f t="shared" si="27"/>
        <v>0</v>
      </c>
      <c r="H82" s="337">
        <f t="shared" si="27"/>
        <v>0</v>
      </c>
      <c r="I82" s="337">
        <f t="shared" si="27"/>
        <v>0</v>
      </c>
      <c r="J82" s="337" t="e">
        <f t="shared" si="27"/>
        <v>#DIV/0!</v>
      </c>
      <c r="K82" s="236" t="s">
        <v>87</v>
      </c>
      <c r="L82" s="23"/>
      <c r="M82" s="23"/>
      <c r="N82" s="23"/>
      <c r="O82" s="23"/>
      <c r="P82" s="23"/>
      <c r="Q82" s="23"/>
      <c r="R82" s="23"/>
      <c r="S82" s="23"/>
      <c r="T82" s="23"/>
      <c r="U82" s="23"/>
      <c r="V82" s="23"/>
      <c r="W82" s="23"/>
      <c r="X82" s="23"/>
      <c r="Y82" s="23"/>
      <c r="Z82" s="23"/>
      <c r="AA82" s="23"/>
      <c r="AB82" s="23"/>
      <c r="AC82" s="23"/>
      <c r="AD82" s="23"/>
      <c r="AE82" s="23"/>
      <c r="AF82" s="23"/>
      <c r="AG82" s="23"/>
    </row>
    <row r="83" spans="1:33" s="30" customFormat="1" ht="15">
      <c r="A83" s="325" t="s">
        <v>97</v>
      </c>
      <c r="B83" s="336">
        <f t="shared" ref="B83:J83" si="28">B73/B66*100</f>
        <v>9.8400906566665752E-2</v>
      </c>
      <c r="C83" s="337">
        <f t="shared" si="28"/>
        <v>0.12361737440127452</v>
      </c>
      <c r="D83" s="337">
        <f t="shared" si="28"/>
        <v>1.4952338948809136</v>
      </c>
      <c r="E83" s="337">
        <f t="shared" si="28"/>
        <v>0</v>
      </c>
      <c r="F83" s="337">
        <f t="shared" si="28"/>
        <v>4.4850665659065588E-3</v>
      </c>
      <c r="G83" s="337">
        <f t="shared" si="28"/>
        <v>0</v>
      </c>
      <c r="H83" s="337">
        <f t="shared" si="28"/>
        <v>0</v>
      </c>
      <c r="I83" s="337">
        <f t="shared" si="28"/>
        <v>0</v>
      </c>
      <c r="J83" s="337" t="e">
        <f t="shared" si="28"/>
        <v>#DIV/0!</v>
      </c>
      <c r="K83" s="236" t="s">
        <v>88</v>
      </c>
      <c r="L83" s="23"/>
      <c r="M83" s="23"/>
      <c r="N83" s="23"/>
      <c r="O83" s="23"/>
      <c r="P83" s="23"/>
      <c r="Q83" s="23"/>
      <c r="R83" s="23"/>
      <c r="S83" s="23"/>
      <c r="T83" s="23"/>
      <c r="U83" s="23"/>
      <c r="V83" s="23"/>
      <c r="W83" s="23"/>
      <c r="X83" s="23"/>
      <c r="Y83" s="23"/>
      <c r="Z83" s="23"/>
      <c r="AA83" s="23"/>
      <c r="AB83" s="23"/>
      <c r="AC83" s="23"/>
      <c r="AD83" s="23"/>
      <c r="AE83" s="23"/>
      <c r="AF83" s="23"/>
      <c r="AG83" s="23"/>
    </row>
    <row r="84" spans="1:33" s="108" customFormat="1" ht="15">
      <c r="A84" s="329" t="s">
        <v>98</v>
      </c>
      <c r="B84" s="330">
        <f>B74/B66*100</f>
        <v>1.5127336246286673</v>
      </c>
      <c r="C84" s="338">
        <f t="shared" ref="C84:J84" si="29">C74/C66*100</f>
        <v>4.8885714977032743E-2</v>
      </c>
      <c r="D84" s="338">
        <f t="shared" si="29"/>
        <v>17.372395722501146</v>
      </c>
      <c r="E84" s="338">
        <f t="shared" si="29"/>
        <v>18.757796900727268</v>
      </c>
      <c r="F84" s="338">
        <f t="shared" si="29"/>
        <v>3.6915036072331923E-2</v>
      </c>
      <c r="G84" s="338">
        <f t="shared" si="29"/>
        <v>100</v>
      </c>
      <c r="H84" s="338">
        <f t="shared" si="29"/>
        <v>98.695831672303242</v>
      </c>
      <c r="I84" s="338">
        <f t="shared" si="29"/>
        <v>100</v>
      </c>
      <c r="J84" s="338" t="e">
        <f t="shared" si="29"/>
        <v>#DIV/0!</v>
      </c>
      <c r="K84" s="333" t="s">
        <v>89</v>
      </c>
      <c r="L84" s="25"/>
      <c r="M84" s="25"/>
      <c r="N84" s="25"/>
      <c r="O84" s="25"/>
      <c r="P84" s="25"/>
      <c r="Q84" s="25"/>
      <c r="R84" s="25"/>
      <c r="S84" s="25"/>
      <c r="T84" s="25"/>
      <c r="U84" s="25"/>
      <c r="V84" s="25"/>
      <c r="W84" s="25"/>
      <c r="X84" s="25"/>
      <c r="Y84" s="25"/>
      <c r="Z84" s="25"/>
      <c r="AA84" s="25"/>
      <c r="AB84" s="25"/>
      <c r="AC84" s="25"/>
      <c r="AD84" s="25"/>
      <c r="AE84" s="25"/>
      <c r="AF84" s="25"/>
      <c r="AG84" s="25"/>
    </row>
    <row r="85" spans="1:33" s="30" customFormat="1" ht="15" hidden="1">
      <c r="A85" s="334" t="s">
        <v>204</v>
      </c>
      <c r="B85" s="335">
        <f t="shared" ref="B85:J85" si="30">B75/B66*100</f>
        <v>0</v>
      </c>
      <c r="C85" s="339">
        <f t="shared" si="30"/>
        <v>0</v>
      </c>
      <c r="D85" s="339">
        <f t="shared" si="30"/>
        <v>0</v>
      </c>
      <c r="E85" s="339">
        <f t="shared" si="30"/>
        <v>0</v>
      </c>
      <c r="F85" s="339">
        <f t="shared" si="30"/>
        <v>0</v>
      </c>
      <c r="G85" s="339">
        <f t="shared" si="30"/>
        <v>0</v>
      </c>
      <c r="H85" s="339">
        <f t="shared" si="30"/>
        <v>0</v>
      </c>
      <c r="I85" s="339">
        <f t="shared" si="30"/>
        <v>0</v>
      </c>
      <c r="J85" s="339" t="e">
        <f t="shared" si="30"/>
        <v>#DIV/0!</v>
      </c>
      <c r="K85" s="340" t="s">
        <v>205</v>
      </c>
      <c r="L85" s="23"/>
      <c r="M85" s="23"/>
      <c r="N85" s="23"/>
      <c r="O85" s="23"/>
      <c r="P85" s="23"/>
      <c r="Q85" s="23"/>
      <c r="R85" s="23"/>
      <c r="S85" s="23"/>
      <c r="T85" s="23"/>
      <c r="U85" s="23"/>
      <c r="V85" s="23"/>
      <c r="W85" s="23"/>
      <c r="X85" s="23"/>
      <c r="Y85" s="23"/>
      <c r="Z85" s="23"/>
      <c r="AA85" s="23"/>
      <c r="AB85" s="23"/>
      <c r="AC85" s="23"/>
      <c r="AD85" s="23"/>
      <c r="AE85" s="23"/>
      <c r="AF85" s="23"/>
      <c r="AG85" s="23"/>
    </row>
    <row r="86" spans="1:33" ht="14.25">
      <c r="A86" s="80" t="s">
        <v>206</v>
      </c>
      <c r="B86" s="341">
        <f>SUM(C86:J86)</f>
        <v>90.904715603160042</v>
      </c>
      <c r="C86" s="336">
        <f t="shared" ref="C86:J86" si="31">(C66/$B$6)*100</f>
        <v>70.404640418570381</v>
      </c>
      <c r="D86" s="336">
        <f t="shared" si="31"/>
        <v>0.10568399348286084</v>
      </c>
      <c r="E86" s="336">
        <f t="shared" si="31"/>
        <v>0.4708998977803876</v>
      </c>
      <c r="F86" s="336">
        <f t="shared" si="31"/>
        <v>18.694782316449416</v>
      </c>
      <c r="G86" s="336">
        <f t="shared" si="31"/>
        <v>1.1063126834123005</v>
      </c>
      <c r="H86" s="336">
        <f t="shared" si="31"/>
        <v>0.12054142226147618</v>
      </c>
      <c r="I86" s="336">
        <f t="shared" si="31"/>
        <v>1.8548712032268851E-3</v>
      </c>
      <c r="J86" s="336">
        <f t="shared" si="31"/>
        <v>0</v>
      </c>
      <c r="K86" s="106" t="s">
        <v>207</v>
      </c>
    </row>
    <row r="87" spans="1:33" ht="15">
      <c r="A87" s="325" t="s">
        <v>125</v>
      </c>
      <c r="B87" s="341">
        <f t="shared" ref="B87:B94" si="32">SUM(C87:J87)</f>
        <v>100</v>
      </c>
      <c r="C87" s="337">
        <f>(C67/$B$67)*100</f>
        <v>99.000400008910347</v>
      </c>
      <c r="D87" s="337">
        <f t="shared" ref="D87:I87" si="33">(D67/$B$67)*100</f>
        <v>7.9258432377836627E-2</v>
      </c>
      <c r="E87" s="337">
        <f t="shared" si="33"/>
        <v>1.6564479988344825E-3</v>
      </c>
      <c r="F87" s="337">
        <f t="shared" si="33"/>
        <v>0.91868511071297709</v>
      </c>
      <c r="G87" s="337">
        <f t="shared" si="33"/>
        <v>0</v>
      </c>
      <c r="H87" s="337">
        <f t="shared" si="33"/>
        <v>0</v>
      </c>
      <c r="I87" s="337">
        <f t="shared" si="33"/>
        <v>0</v>
      </c>
      <c r="J87" s="337">
        <f>(J67/$B$7)*100</f>
        <v>0</v>
      </c>
      <c r="K87" s="236" t="s">
        <v>122</v>
      </c>
    </row>
    <row r="88" spans="1:33" ht="15">
      <c r="A88" s="160" t="s">
        <v>92</v>
      </c>
      <c r="B88" s="341">
        <f t="shared" si="32"/>
        <v>100.00000000000001</v>
      </c>
      <c r="C88" s="337">
        <f>(C68/$B$68)*100</f>
        <v>38.333828483457957</v>
      </c>
      <c r="D88" s="337">
        <f t="shared" ref="D88:I88" si="34">(D68/$B$68)*100</f>
        <v>0.11163599893948808</v>
      </c>
      <c r="E88" s="337">
        <f t="shared" si="34"/>
        <v>1.0787290863046111</v>
      </c>
      <c r="F88" s="337">
        <f t="shared" si="34"/>
        <v>60.475806431297954</v>
      </c>
      <c r="G88" s="337">
        <f t="shared" si="34"/>
        <v>0</v>
      </c>
      <c r="H88" s="337">
        <f t="shared" si="34"/>
        <v>0</v>
      </c>
      <c r="I88" s="337">
        <f t="shared" si="34"/>
        <v>0</v>
      </c>
      <c r="J88" s="337">
        <f>(J68/$B$8)*100</f>
        <v>0</v>
      </c>
      <c r="K88" s="236" t="s">
        <v>84</v>
      </c>
    </row>
    <row r="89" spans="1:33" ht="15">
      <c r="A89" s="160" t="s">
        <v>16</v>
      </c>
      <c r="B89" s="341">
        <f t="shared" si="32"/>
        <v>100.00000000000001</v>
      </c>
      <c r="C89" s="337">
        <f>(C69/$B$69)*100</f>
        <v>56.401489512590899</v>
      </c>
      <c r="D89" s="337">
        <f t="shared" ref="D89:I89" si="35">(D69/$B$69)*100</f>
        <v>0.61422610566261082</v>
      </c>
      <c r="E89" s="337">
        <f t="shared" si="35"/>
        <v>21.111244691425078</v>
      </c>
      <c r="F89" s="337">
        <f t="shared" si="35"/>
        <v>21.873039690321423</v>
      </c>
      <c r="G89" s="337">
        <f t="shared" si="35"/>
        <v>0</v>
      </c>
      <c r="H89" s="337">
        <f t="shared" si="35"/>
        <v>0</v>
      </c>
      <c r="I89" s="337">
        <f t="shared" si="35"/>
        <v>0</v>
      </c>
      <c r="J89" s="337">
        <f>(J69/$B$9)*100</f>
        <v>0</v>
      </c>
      <c r="K89" s="236" t="s">
        <v>17</v>
      </c>
    </row>
    <row r="90" spans="1:33" ht="15">
      <c r="A90" s="237" t="s">
        <v>142</v>
      </c>
      <c r="B90" s="341" t="e">
        <f t="shared" si="32"/>
        <v>#DIV/0!</v>
      </c>
      <c r="C90" s="337">
        <f>(C70/$B$70)*100</f>
        <v>0</v>
      </c>
      <c r="D90" s="337">
        <f t="shared" ref="D90:I90" si="36">(D70/$B$70)*100</f>
        <v>0</v>
      </c>
      <c r="E90" s="337">
        <f t="shared" si="36"/>
        <v>100</v>
      </c>
      <c r="F90" s="337">
        <f t="shared" si="36"/>
        <v>0</v>
      </c>
      <c r="G90" s="337">
        <f t="shared" si="36"/>
        <v>0</v>
      </c>
      <c r="H90" s="337">
        <f t="shared" si="36"/>
        <v>0</v>
      </c>
      <c r="I90" s="337">
        <f t="shared" si="36"/>
        <v>0</v>
      </c>
      <c r="J90" s="337" t="e">
        <f>(J70/$B$10)*100</f>
        <v>#DIV/0!</v>
      </c>
      <c r="K90" s="236" t="s">
        <v>123</v>
      </c>
    </row>
    <row r="91" spans="1:33" ht="15">
      <c r="A91" s="325" t="s">
        <v>95</v>
      </c>
      <c r="B91" s="341">
        <f t="shared" si="32"/>
        <v>100</v>
      </c>
      <c r="C91" s="337">
        <f>(C71/$B$71)*100</f>
        <v>22.194491487654876</v>
      </c>
      <c r="D91" s="337">
        <f t="shared" ref="D91:I91" si="37">(D71/$B$71)*100</f>
        <v>3.9219181745253602</v>
      </c>
      <c r="E91" s="337">
        <f t="shared" si="37"/>
        <v>0</v>
      </c>
      <c r="F91" s="337">
        <f t="shared" si="37"/>
        <v>3.4762456546929323</v>
      </c>
      <c r="G91" s="337">
        <f t="shared" si="37"/>
        <v>0</v>
      </c>
      <c r="H91" s="337">
        <f>(H71/$B$71)*100</f>
        <v>70.407344683126837</v>
      </c>
      <c r="I91" s="337">
        <f t="shared" si="37"/>
        <v>0</v>
      </c>
      <c r="J91" s="337">
        <f>(J71/$B$11)*100</f>
        <v>0</v>
      </c>
      <c r="K91" s="236" t="s">
        <v>86</v>
      </c>
    </row>
    <row r="92" spans="1:33" ht="15">
      <c r="A92" s="325" t="s">
        <v>126</v>
      </c>
      <c r="B92" s="341">
        <f t="shared" si="32"/>
        <v>100.00000000000001</v>
      </c>
      <c r="C92" s="337">
        <f>(C72/$B$72)*100</f>
        <v>77.744638362087073</v>
      </c>
      <c r="D92" s="337">
        <f t="shared" ref="D92:I92" si="38">(D72/$B$72)*100</f>
        <v>11.981891445614561</v>
      </c>
      <c r="E92" s="337">
        <f t="shared" si="38"/>
        <v>0</v>
      </c>
      <c r="F92" s="337">
        <f t="shared" si="38"/>
        <v>10.273470192298374</v>
      </c>
      <c r="G92" s="337">
        <f t="shared" si="38"/>
        <v>0</v>
      </c>
      <c r="H92" s="337">
        <f t="shared" si="38"/>
        <v>0</v>
      </c>
      <c r="I92" s="337">
        <f t="shared" si="38"/>
        <v>0</v>
      </c>
      <c r="J92" s="337">
        <f>(J72/$B$12)*100</f>
        <v>0</v>
      </c>
      <c r="K92" s="236" t="s">
        <v>87</v>
      </c>
    </row>
    <row r="93" spans="1:33" ht="15">
      <c r="A93" s="325" t="s">
        <v>97</v>
      </c>
      <c r="B93" s="341">
        <f t="shared" si="32"/>
        <v>100</v>
      </c>
      <c r="C93" s="337">
        <f>(C73/$B$73)*100</f>
        <v>97.296067583848483</v>
      </c>
      <c r="D93" s="337">
        <f t="shared" ref="D93:I93" si="39">(D73/$B$73)*100</f>
        <v>1.766578078189994</v>
      </c>
      <c r="E93" s="337">
        <f t="shared" si="39"/>
        <v>0</v>
      </c>
      <c r="F93" s="337">
        <f t="shared" si="39"/>
        <v>0.93735433796151657</v>
      </c>
      <c r="G93" s="337">
        <f t="shared" si="39"/>
        <v>0</v>
      </c>
      <c r="H93" s="337">
        <f t="shared" si="39"/>
        <v>0</v>
      </c>
      <c r="I93" s="337">
        <f t="shared" si="39"/>
        <v>0</v>
      </c>
      <c r="J93" s="337">
        <f>(J73/$B$13)*100</f>
        <v>0</v>
      </c>
      <c r="K93" s="236" t="s">
        <v>88</v>
      </c>
    </row>
    <row r="94" spans="1:33" ht="15">
      <c r="A94" s="329" t="s">
        <v>98</v>
      </c>
      <c r="B94" s="342">
        <f t="shared" si="32"/>
        <v>99.999999999999972</v>
      </c>
      <c r="C94" s="338">
        <f>(C74/$B$74)*100</f>
        <v>2.502847469097857</v>
      </c>
      <c r="D94" s="338">
        <f t="shared" ref="D94:I94" si="40">(D74/$B$74)*100</f>
        <v>1.3351192456847987</v>
      </c>
      <c r="E94" s="338">
        <f t="shared" si="40"/>
        <v>6.4233494937635154</v>
      </c>
      <c r="F94" s="338">
        <f t="shared" si="40"/>
        <v>0.50185104967485095</v>
      </c>
      <c r="G94" s="338">
        <f t="shared" si="40"/>
        <v>80.450550201410806</v>
      </c>
      <c r="H94" s="338">
        <f t="shared" si="40"/>
        <v>8.6513971584234408</v>
      </c>
      <c r="I94" s="338">
        <f t="shared" si="40"/>
        <v>0.13488538194471961</v>
      </c>
      <c r="J94" s="338">
        <f>(J74/$B$14)*100</f>
        <v>0</v>
      </c>
      <c r="K94" s="333" t="s">
        <v>89</v>
      </c>
    </row>
    <row r="95" spans="1:33" ht="15" hidden="1">
      <c r="A95" s="343" t="s">
        <v>204</v>
      </c>
      <c r="B95" s="344">
        <f>SUM(C95:J95)</f>
        <v>0</v>
      </c>
      <c r="C95" s="345">
        <v>0</v>
      </c>
      <c r="D95" s="345">
        <v>0</v>
      </c>
      <c r="E95" s="345">
        <v>0</v>
      </c>
      <c r="F95" s="345">
        <v>0</v>
      </c>
      <c r="G95" s="345">
        <v>0</v>
      </c>
      <c r="H95" s="345">
        <v>0</v>
      </c>
      <c r="I95" s="345">
        <v>0</v>
      </c>
      <c r="J95" s="345">
        <v>0</v>
      </c>
      <c r="K95" s="311" t="s">
        <v>205</v>
      </c>
    </row>
    <row r="96" spans="1:33" s="75" customFormat="1" ht="17.25">
      <c r="A96" s="24" t="s">
        <v>392</v>
      </c>
      <c r="B96" s="346"/>
      <c r="C96" s="347"/>
      <c r="D96" s="347"/>
      <c r="E96" s="347"/>
      <c r="F96" s="347"/>
      <c r="G96" s="347"/>
      <c r="H96" s="347"/>
      <c r="K96" s="20" t="s">
        <v>389</v>
      </c>
    </row>
    <row r="102" spans="1:11" ht="21.75">
      <c r="A102" s="817" t="s">
        <v>403</v>
      </c>
      <c r="B102" s="817"/>
      <c r="C102" s="817"/>
      <c r="D102" s="817"/>
      <c r="E102" s="817"/>
      <c r="F102" s="817"/>
      <c r="G102" s="817"/>
      <c r="H102" s="817"/>
      <c r="I102" s="817"/>
      <c r="J102" s="817"/>
      <c r="K102" s="817"/>
    </row>
    <row r="103" spans="1:11" ht="15">
      <c r="A103" s="818" t="s">
        <v>404</v>
      </c>
      <c r="B103" s="818"/>
      <c r="C103" s="818"/>
      <c r="D103" s="818"/>
      <c r="E103" s="818"/>
      <c r="F103" s="818"/>
      <c r="G103" s="818"/>
      <c r="H103" s="818"/>
      <c r="I103" s="818"/>
      <c r="J103" s="818"/>
      <c r="K103" s="818"/>
    </row>
    <row r="104" spans="1:11">
      <c r="A104" s="819"/>
      <c r="B104" s="820"/>
      <c r="C104" s="820"/>
      <c r="D104" s="820"/>
      <c r="E104" s="820"/>
      <c r="F104" s="820"/>
      <c r="G104" s="820"/>
      <c r="H104" s="702"/>
      <c r="I104" s="28"/>
      <c r="J104" s="28"/>
      <c r="K104" s="28"/>
    </row>
    <row r="105" spans="1:11" ht="18.75">
      <c r="A105" s="763" t="s">
        <v>79</v>
      </c>
      <c r="B105" s="821" t="s">
        <v>196</v>
      </c>
      <c r="C105" s="821"/>
      <c r="D105" s="821"/>
      <c r="E105" s="821"/>
      <c r="F105" s="821"/>
      <c r="G105" s="821"/>
      <c r="H105" s="821"/>
      <c r="I105" s="821"/>
      <c r="J105" s="708"/>
      <c r="K105" s="822" t="s">
        <v>120</v>
      </c>
    </row>
    <row r="106" spans="1:11" ht="24">
      <c r="A106" s="765"/>
      <c r="B106" s="100" t="s">
        <v>90</v>
      </c>
      <c r="C106" s="100" t="s">
        <v>197</v>
      </c>
      <c r="D106" s="100" t="s">
        <v>198</v>
      </c>
      <c r="E106" s="100" t="s">
        <v>199</v>
      </c>
      <c r="F106" s="100" t="s">
        <v>200</v>
      </c>
      <c r="G106" s="100" t="s">
        <v>405</v>
      </c>
      <c r="H106" s="319" t="s">
        <v>201</v>
      </c>
      <c r="I106" s="320" t="s">
        <v>154</v>
      </c>
      <c r="J106" s="320" t="s">
        <v>202</v>
      </c>
      <c r="K106" s="823"/>
    </row>
    <row r="107" spans="1:11" ht="15">
      <c r="A107" s="323" t="s">
        <v>90</v>
      </c>
      <c r="B107" s="324">
        <f>SUM(B108:B116)</f>
        <v>151024.32375223364</v>
      </c>
      <c r="C107" s="324">
        <f>SUM(C108:C115)</f>
        <v>118247.88441996987</v>
      </c>
      <c r="D107" s="324">
        <f>SUM(D108:D115)</f>
        <v>57.055519402097836</v>
      </c>
      <c r="E107" s="324">
        <f>SUM(E108:E116)</f>
        <v>1345.5049800000002</v>
      </c>
      <c r="F107" s="324">
        <f>SUM(F108:F115)</f>
        <v>29243.553999961048</v>
      </c>
      <c r="G107" s="324">
        <f>SUM(G108:G115)</f>
        <v>1775.5269636195399</v>
      </c>
      <c r="H107" s="324">
        <f>SUM(H108:H115)</f>
        <v>288.82463422347553</v>
      </c>
      <c r="I107" s="324">
        <f>SUM(I108:I115)</f>
        <v>65.973235057628798</v>
      </c>
      <c r="J107" s="324">
        <f>SUM(J108:J115)</f>
        <v>0</v>
      </c>
      <c r="K107" s="196" t="s">
        <v>121</v>
      </c>
    </row>
    <row r="108" spans="1:11" ht="15">
      <c r="A108" s="325" t="s">
        <v>125</v>
      </c>
      <c r="B108" s="324">
        <f>SUM(C108:J108)</f>
        <v>100099.48690598567</v>
      </c>
      <c r="C108" s="326">
        <v>99886.543418972768</v>
      </c>
      <c r="D108" s="326">
        <v>0</v>
      </c>
      <c r="E108" s="326">
        <v>3.657</v>
      </c>
      <c r="F108" s="326">
        <v>209.28648701289765</v>
      </c>
      <c r="G108" s="326">
        <v>0</v>
      </c>
      <c r="H108" s="326">
        <v>0</v>
      </c>
      <c r="I108" s="326">
        <v>0</v>
      </c>
      <c r="J108" s="326">
        <v>0</v>
      </c>
      <c r="K108" s="327" t="s">
        <v>122</v>
      </c>
    </row>
    <row r="109" spans="1:11" ht="15">
      <c r="A109" s="160" t="s">
        <v>92</v>
      </c>
      <c r="B109" s="324">
        <f t="shared" ref="B109:B116" si="41">SUM(C109:J109)</f>
        <v>47216.695506999968</v>
      </c>
      <c r="C109" s="326">
        <v>17619.341007000025</v>
      </c>
      <c r="D109" s="326">
        <v>2.9902199999999994</v>
      </c>
      <c r="E109" s="326">
        <v>633.85134000000016</v>
      </c>
      <c r="F109" s="326">
        <v>28960.512939999946</v>
      </c>
      <c r="G109" s="326">
        <v>0</v>
      </c>
      <c r="H109" s="326">
        <v>0</v>
      </c>
      <c r="I109" s="326">
        <v>0</v>
      </c>
      <c r="J109" s="326">
        <v>0</v>
      </c>
      <c r="K109" s="327" t="s">
        <v>84</v>
      </c>
    </row>
    <row r="110" spans="1:11" ht="15">
      <c r="A110" s="160" t="s">
        <v>16</v>
      </c>
      <c r="B110" s="324">
        <f t="shared" si="41"/>
        <v>432.30529269740259</v>
      </c>
      <c r="C110" s="326">
        <v>221.72872113263628</v>
      </c>
      <c r="D110" s="326">
        <v>0.2665969954702852</v>
      </c>
      <c r="E110" s="326">
        <v>163.94113999999999</v>
      </c>
      <c r="F110" s="326">
        <v>46.368834569296027</v>
      </c>
      <c r="G110" s="326">
        <v>0</v>
      </c>
      <c r="H110" s="326">
        <v>0</v>
      </c>
      <c r="I110" s="326">
        <v>0</v>
      </c>
      <c r="J110" s="326">
        <v>0</v>
      </c>
      <c r="K110" s="327" t="s">
        <v>17</v>
      </c>
    </row>
    <row r="111" spans="1:11" ht="15">
      <c r="A111" s="237" t="s">
        <v>142</v>
      </c>
      <c r="B111" s="324">
        <f t="shared" si="41"/>
        <v>10.569000000000001</v>
      </c>
      <c r="C111" s="326">
        <v>0</v>
      </c>
      <c r="D111" s="326">
        <v>0</v>
      </c>
      <c r="E111" s="326">
        <v>10.569000000000001</v>
      </c>
      <c r="F111" s="326">
        <v>0</v>
      </c>
      <c r="G111" s="326">
        <v>0</v>
      </c>
      <c r="H111" s="326">
        <v>0</v>
      </c>
      <c r="I111" s="326">
        <v>0</v>
      </c>
      <c r="J111" s="326">
        <v>0</v>
      </c>
      <c r="K111" s="327" t="s">
        <v>123</v>
      </c>
    </row>
    <row r="112" spans="1:11" ht="15">
      <c r="A112" s="325" t="s">
        <v>95</v>
      </c>
      <c r="B112" s="324">
        <f t="shared" si="41"/>
        <v>2.0185201085607294</v>
      </c>
      <c r="C112" s="326">
        <v>1.6433800506489711</v>
      </c>
      <c r="D112" s="326">
        <v>0.23422450316317914</v>
      </c>
      <c r="E112" s="326">
        <v>0</v>
      </c>
      <c r="F112" s="326">
        <v>0.14091555474857931</v>
      </c>
      <c r="G112" s="326">
        <v>0</v>
      </c>
      <c r="H112" s="326">
        <v>0</v>
      </c>
      <c r="I112" s="326">
        <v>0</v>
      </c>
      <c r="J112" s="326">
        <v>0</v>
      </c>
      <c r="K112" s="327" t="s">
        <v>86</v>
      </c>
    </row>
    <row r="113" spans="1:11" ht="15">
      <c r="A113" s="325" t="s">
        <v>126</v>
      </c>
      <c r="B113" s="324">
        <f t="shared" si="41"/>
        <v>90.91167014604595</v>
      </c>
      <c r="C113" s="326">
        <v>74.161761773498611</v>
      </c>
      <c r="D113" s="326">
        <v>11.340084055179249</v>
      </c>
      <c r="E113" s="326">
        <v>0</v>
      </c>
      <c r="F113" s="326">
        <v>5.4098243173680958</v>
      </c>
      <c r="G113" s="326">
        <v>0</v>
      </c>
      <c r="H113" s="326">
        <v>0</v>
      </c>
      <c r="I113" s="326">
        <v>0</v>
      </c>
      <c r="J113" s="326">
        <v>0</v>
      </c>
      <c r="K113" s="327" t="s">
        <v>87</v>
      </c>
    </row>
    <row r="114" spans="1:11" ht="15">
      <c r="A114" s="325" t="s">
        <v>97</v>
      </c>
      <c r="B114" s="324">
        <f t="shared" si="41"/>
        <v>338.61322270952434</v>
      </c>
      <c r="C114" s="326">
        <v>328.90071331169116</v>
      </c>
      <c r="D114" s="326">
        <v>5.4736171698556273</v>
      </c>
      <c r="E114" s="326">
        <v>0</v>
      </c>
      <c r="F114" s="326">
        <v>4.2388922279775354</v>
      </c>
      <c r="G114" s="326">
        <v>0</v>
      </c>
      <c r="H114" s="326">
        <v>0</v>
      </c>
      <c r="I114" s="326">
        <v>0</v>
      </c>
      <c r="J114" s="326">
        <v>0</v>
      </c>
      <c r="K114" s="327" t="s">
        <v>88</v>
      </c>
    </row>
    <row r="115" spans="1:11" ht="15">
      <c r="A115" s="329" t="s">
        <v>98</v>
      </c>
      <c r="B115" s="330">
        <f t="shared" si="41"/>
        <v>2833.7236335864723</v>
      </c>
      <c r="C115" s="331">
        <v>115.565417728586</v>
      </c>
      <c r="D115" s="331">
        <v>36.750776678429496</v>
      </c>
      <c r="E115" s="331">
        <v>533.48649999999998</v>
      </c>
      <c r="F115" s="331">
        <v>17.59610627881257</v>
      </c>
      <c r="G115" s="331">
        <v>1775.5269636195399</v>
      </c>
      <c r="H115" s="331">
        <v>288.82463422347553</v>
      </c>
      <c r="I115" s="332">
        <v>65.973235057628798</v>
      </c>
      <c r="J115" s="331">
        <v>0</v>
      </c>
      <c r="K115" s="333" t="s">
        <v>89</v>
      </c>
    </row>
    <row r="116" spans="1:11" ht="15">
      <c r="A116" s="334" t="s">
        <v>204</v>
      </c>
      <c r="B116" s="335">
        <f t="shared" si="41"/>
        <v>0</v>
      </c>
      <c r="C116" s="331"/>
      <c r="D116" s="331"/>
      <c r="E116" s="331"/>
      <c r="F116" s="331"/>
      <c r="G116" s="331"/>
      <c r="H116" s="331"/>
      <c r="I116" s="331"/>
      <c r="J116" s="331"/>
      <c r="K116" s="333" t="s">
        <v>205</v>
      </c>
    </row>
    <row r="117" spans="1:11" ht="14.25">
      <c r="A117" s="80" t="s">
        <v>206</v>
      </c>
      <c r="B117" s="336">
        <f t="shared" ref="B117:J117" si="42">B107/B107*100</f>
        <v>100</v>
      </c>
      <c r="C117" s="336">
        <f t="shared" si="42"/>
        <v>100</v>
      </c>
      <c r="D117" s="336">
        <f t="shared" si="42"/>
        <v>100</v>
      </c>
      <c r="E117" s="336">
        <f t="shared" si="42"/>
        <v>100</v>
      </c>
      <c r="F117" s="336">
        <f t="shared" si="42"/>
        <v>100</v>
      </c>
      <c r="G117" s="336">
        <f t="shared" si="42"/>
        <v>100</v>
      </c>
      <c r="H117" s="336">
        <f t="shared" si="42"/>
        <v>100</v>
      </c>
      <c r="I117" s="336">
        <f t="shared" si="42"/>
        <v>100</v>
      </c>
      <c r="J117" s="336" t="e">
        <f t="shared" si="42"/>
        <v>#DIV/0!</v>
      </c>
      <c r="K117" s="106" t="s">
        <v>207</v>
      </c>
    </row>
    <row r="118" spans="1:11" ht="15">
      <c r="A118" s="325" t="s">
        <v>125</v>
      </c>
      <c r="B118" s="336">
        <f>B108/B107*100</f>
        <v>66.280374193369113</v>
      </c>
      <c r="C118" s="337">
        <f>C108/C107*100</f>
        <v>84.472161095259139</v>
      </c>
      <c r="D118" s="337">
        <f t="shared" ref="D118:J118" si="43">D108/D107*100</f>
        <v>0</v>
      </c>
      <c r="E118" s="337">
        <f t="shared" si="43"/>
        <v>0.27179386582426468</v>
      </c>
      <c r="F118" s="337">
        <f t="shared" si="43"/>
        <v>0.7156670732058642</v>
      </c>
      <c r="G118" s="337">
        <f t="shared" si="43"/>
        <v>0</v>
      </c>
      <c r="H118" s="337">
        <f t="shared" si="43"/>
        <v>0</v>
      </c>
      <c r="I118" s="337">
        <f t="shared" si="43"/>
        <v>0</v>
      </c>
      <c r="J118" s="337" t="e">
        <f t="shared" si="43"/>
        <v>#DIV/0!</v>
      </c>
      <c r="K118" s="236" t="s">
        <v>122</v>
      </c>
    </row>
    <row r="119" spans="1:11" ht="15">
      <c r="A119" s="160" t="s">
        <v>92</v>
      </c>
      <c r="B119" s="336">
        <f>B109/B107*100</f>
        <v>31.264298580447463</v>
      </c>
      <c r="C119" s="337">
        <f>C109/C107*100</f>
        <v>14.900343539697566</v>
      </c>
      <c r="D119" s="337">
        <f t="shared" ref="D119:J119" si="44">D109/D107*100</f>
        <v>5.2408952391204657</v>
      </c>
      <c r="E119" s="337">
        <f t="shared" si="44"/>
        <v>47.108806687582835</v>
      </c>
      <c r="F119" s="337">
        <f t="shared" si="44"/>
        <v>99.032124960045962</v>
      </c>
      <c r="G119" s="337">
        <f t="shared" si="44"/>
        <v>0</v>
      </c>
      <c r="H119" s="337">
        <f t="shared" si="44"/>
        <v>0</v>
      </c>
      <c r="I119" s="337">
        <f t="shared" si="44"/>
        <v>0</v>
      </c>
      <c r="J119" s="337" t="e">
        <f t="shared" si="44"/>
        <v>#DIV/0!</v>
      </c>
      <c r="K119" s="236" t="s">
        <v>84</v>
      </c>
    </row>
    <row r="120" spans="1:11" ht="15">
      <c r="A120" s="160" t="s">
        <v>16</v>
      </c>
      <c r="B120" s="336">
        <f>B110/B107*100</f>
        <v>0.28624878559736561</v>
      </c>
      <c r="C120" s="337">
        <f>C110/C107*100</f>
        <v>0.18751178697214005</v>
      </c>
      <c r="D120" s="337">
        <f t="shared" ref="D120:J120" si="45">D110/D107*100</f>
        <v>0.46725890547318877</v>
      </c>
      <c r="E120" s="337">
        <f t="shared" si="45"/>
        <v>12.184357727163519</v>
      </c>
      <c r="F120" s="337">
        <f t="shared" si="45"/>
        <v>0.15856087317347881</v>
      </c>
      <c r="G120" s="337">
        <f>G110/G107*100</f>
        <v>0</v>
      </c>
      <c r="H120" s="337">
        <f t="shared" si="45"/>
        <v>0</v>
      </c>
      <c r="I120" s="337">
        <f t="shared" si="45"/>
        <v>0</v>
      </c>
      <c r="J120" s="337" t="e">
        <f t="shared" si="45"/>
        <v>#DIV/0!</v>
      </c>
      <c r="K120" s="236" t="s">
        <v>17</v>
      </c>
    </row>
    <row r="121" spans="1:11" ht="15">
      <c r="A121" s="237" t="s">
        <v>142</v>
      </c>
      <c r="B121" s="336">
        <f>B111/B107*100</f>
        <v>6.9982104454506359E-3</v>
      </c>
      <c r="C121" s="337">
        <f>C111/C107*100</f>
        <v>0</v>
      </c>
      <c r="D121" s="337">
        <f>D111/D107*100</f>
        <v>0</v>
      </c>
      <c r="E121" s="337">
        <f t="shared" ref="E121:J121" si="46">E111/E107*100</f>
        <v>0.78550433904748529</v>
      </c>
      <c r="F121" s="337">
        <f t="shared" si="46"/>
        <v>0</v>
      </c>
      <c r="G121" s="337">
        <f t="shared" si="46"/>
        <v>0</v>
      </c>
      <c r="H121" s="337">
        <f t="shared" si="46"/>
        <v>0</v>
      </c>
      <c r="I121" s="337">
        <f t="shared" si="46"/>
        <v>0</v>
      </c>
      <c r="J121" s="337" t="e">
        <f t="shared" si="46"/>
        <v>#DIV/0!</v>
      </c>
      <c r="K121" s="236" t="s">
        <v>123</v>
      </c>
    </row>
    <row r="122" spans="1:11" ht="15">
      <c r="A122" s="325" t="s">
        <v>95</v>
      </c>
      <c r="B122" s="336">
        <f t="shared" ref="B122:J122" si="47">B112/B107*100</f>
        <v>1.3365529859099108E-3</v>
      </c>
      <c r="C122" s="337">
        <f t="shared" si="47"/>
        <v>1.3897754354846071E-3</v>
      </c>
      <c r="D122" s="337">
        <f t="shared" si="47"/>
        <v>0.41052032409430156</v>
      </c>
      <c r="E122" s="337">
        <f t="shared" si="47"/>
        <v>0</v>
      </c>
      <c r="F122" s="337">
        <f t="shared" si="47"/>
        <v>4.8186877268326214E-4</v>
      </c>
      <c r="G122" s="337">
        <f t="shared" si="47"/>
        <v>0</v>
      </c>
      <c r="H122" s="337">
        <f t="shared" si="47"/>
        <v>0</v>
      </c>
      <c r="I122" s="337">
        <f t="shared" si="47"/>
        <v>0</v>
      </c>
      <c r="J122" s="337" t="e">
        <f t="shared" si="47"/>
        <v>#DIV/0!</v>
      </c>
      <c r="K122" s="236" t="s">
        <v>86</v>
      </c>
    </row>
    <row r="123" spans="1:11" ht="15">
      <c r="A123" s="325" t="s">
        <v>126</v>
      </c>
      <c r="B123" s="336">
        <f>B113/B107*100</f>
        <v>6.0196707316626123E-2</v>
      </c>
      <c r="C123" s="337">
        <f t="shared" ref="C123:J123" si="48">C113/C107*100</f>
        <v>6.2717199666850076E-2</v>
      </c>
      <c r="D123" s="337">
        <f t="shared" si="48"/>
        <v>19.875525057024181</v>
      </c>
      <c r="E123" s="337">
        <f t="shared" si="48"/>
        <v>0</v>
      </c>
      <c r="F123" s="337">
        <f t="shared" si="48"/>
        <v>1.8499202652917292E-2</v>
      </c>
      <c r="G123" s="337">
        <f t="shared" si="48"/>
        <v>0</v>
      </c>
      <c r="H123" s="337">
        <f t="shared" si="48"/>
        <v>0</v>
      </c>
      <c r="I123" s="337">
        <f t="shared" si="48"/>
        <v>0</v>
      </c>
      <c r="J123" s="337" t="e">
        <f t="shared" si="48"/>
        <v>#DIV/0!</v>
      </c>
      <c r="K123" s="236" t="s">
        <v>87</v>
      </c>
    </row>
    <row r="124" spans="1:11" ht="15">
      <c r="A124" s="325" t="s">
        <v>97</v>
      </c>
      <c r="B124" s="336">
        <f t="shared" ref="B124:J124" si="49">B114/B107*100</f>
        <v>0.22421105044313516</v>
      </c>
      <c r="C124" s="337">
        <f t="shared" si="49"/>
        <v>0.27814511432912026</v>
      </c>
      <c r="D124" s="337">
        <f t="shared" si="49"/>
        <v>9.5934928420866701</v>
      </c>
      <c r="E124" s="337">
        <f t="shared" si="49"/>
        <v>0</v>
      </c>
      <c r="F124" s="337">
        <f t="shared" si="49"/>
        <v>1.4495133621526241E-2</v>
      </c>
      <c r="G124" s="337">
        <f t="shared" si="49"/>
        <v>0</v>
      </c>
      <c r="H124" s="337">
        <f t="shared" si="49"/>
        <v>0</v>
      </c>
      <c r="I124" s="337">
        <f t="shared" si="49"/>
        <v>0</v>
      </c>
      <c r="J124" s="337" t="e">
        <f t="shared" si="49"/>
        <v>#DIV/0!</v>
      </c>
      <c r="K124" s="236" t="s">
        <v>88</v>
      </c>
    </row>
    <row r="125" spans="1:11" ht="15">
      <c r="A125" s="329" t="s">
        <v>98</v>
      </c>
      <c r="B125" s="330">
        <f>B115/B107*100</f>
        <v>1.8763359193949454</v>
      </c>
      <c r="C125" s="338">
        <f t="shared" ref="C125:J125" si="50">C115/C107*100</f>
        <v>9.7731488639697939E-2</v>
      </c>
      <c r="D125" s="338">
        <f t="shared" si="50"/>
        <v>64.412307632201191</v>
      </c>
      <c r="E125" s="338">
        <f t="shared" si="50"/>
        <v>39.649537380381894</v>
      </c>
      <c r="F125" s="338">
        <f t="shared" si="50"/>
        <v>6.017088852755724E-2</v>
      </c>
      <c r="G125" s="338">
        <f t="shared" si="50"/>
        <v>100</v>
      </c>
      <c r="H125" s="338">
        <f t="shared" si="50"/>
        <v>100</v>
      </c>
      <c r="I125" s="338">
        <f t="shared" si="50"/>
        <v>100</v>
      </c>
      <c r="J125" s="338" t="e">
        <f t="shared" si="50"/>
        <v>#DIV/0!</v>
      </c>
      <c r="K125" s="333" t="s">
        <v>89</v>
      </c>
    </row>
    <row r="126" spans="1:11" ht="15">
      <c r="A126" s="334" t="s">
        <v>204</v>
      </c>
      <c r="B126" s="335">
        <f t="shared" ref="B126:J126" si="51">B116/B107*100</f>
        <v>0</v>
      </c>
      <c r="C126" s="339">
        <f t="shared" si="51"/>
        <v>0</v>
      </c>
      <c r="D126" s="339">
        <f t="shared" si="51"/>
        <v>0</v>
      </c>
      <c r="E126" s="339">
        <f t="shared" si="51"/>
        <v>0</v>
      </c>
      <c r="F126" s="339">
        <f t="shared" si="51"/>
        <v>0</v>
      </c>
      <c r="G126" s="339">
        <f t="shared" si="51"/>
        <v>0</v>
      </c>
      <c r="H126" s="339">
        <f t="shared" si="51"/>
        <v>0</v>
      </c>
      <c r="I126" s="339">
        <f t="shared" si="51"/>
        <v>0</v>
      </c>
      <c r="J126" s="339" t="e">
        <f t="shared" si="51"/>
        <v>#DIV/0!</v>
      </c>
      <c r="K126" s="340" t="s">
        <v>205</v>
      </c>
    </row>
    <row r="127" spans="1:11" ht="14.25">
      <c r="A127" s="80" t="s">
        <v>206</v>
      </c>
      <c r="B127" s="341">
        <f>SUM(C127:J127)</f>
        <v>101.64309179110418</v>
      </c>
      <c r="C127" s="336">
        <f t="shared" ref="C127:J127" si="52">(C107/$B$6)*100</f>
        <v>79.583740364373668</v>
      </c>
      <c r="D127" s="336">
        <f t="shared" si="52"/>
        <v>3.8399770657412291E-2</v>
      </c>
      <c r="E127" s="336">
        <f t="shared" si="52"/>
        <v>0.90555801072080677</v>
      </c>
      <c r="F127" s="336">
        <f t="shared" si="52"/>
        <v>19.681632532204539</v>
      </c>
      <c r="G127" s="336">
        <f t="shared" si="52"/>
        <v>1.1949734033362438</v>
      </c>
      <c r="H127" s="336">
        <f t="shared" si="52"/>
        <v>0.19438609674605226</v>
      </c>
      <c r="I127" s="336">
        <f t="shared" si="52"/>
        <v>4.4401613065454815E-2</v>
      </c>
      <c r="J127" s="336">
        <f t="shared" si="52"/>
        <v>0</v>
      </c>
      <c r="K127" s="106" t="s">
        <v>207</v>
      </c>
    </row>
    <row r="128" spans="1:11" ht="15">
      <c r="A128" s="325" t="s">
        <v>125</v>
      </c>
      <c r="B128" s="341">
        <f t="shared" ref="B128:B135" si="53">SUM(C128:J128)</f>
        <v>99.999999999999986</v>
      </c>
      <c r="C128" s="337">
        <f>(C108/$B$108)*100</f>
        <v>99.787268153319403</v>
      </c>
      <c r="D128" s="337">
        <f t="shared" ref="D128:I128" si="54">(D108/$B$108)*100</f>
        <v>0</v>
      </c>
      <c r="E128" s="337">
        <f t="shared" si="54"/>
        <v>3.6533653798192659E-3</v>
      </c>
      <c r="F128" s="337">
        <f t="shared" si="54"/>
        <v>0.20907848130076967</v>
      </c>
      <c r="G128" s="337">
        <f t="shared" si="54"/>
        <v>0</v>
      </c>
      <c r="H128" s="337">
        <f t="shared" si="54"/>
        <v>0</v>
      </c>
      <c r="I128" s="337">
        <f t="shared" si="54"/>
        <v>0</v>
      </c>
      <c r="J128" s="337">
        <f>(J108/$B$7)*100</f>
        <v>0</v>
      </c>
      <c r="K128" s="236" t="s">
        <v>122</v>
      </c>
    </row>
    <row r="129" spans="1:11" ht="15">
      <c r="A129" s="160" t="s">
        <v>92</v>
      </c>
      <c r="B129" s="341">
        <f t="shared" si="53"/>
        <v>100</v>
      </c>
      <c r="C129" s="337">
        <f>(C109/$B$109)*100</f>
        <v>37.315912979102741</v>
      </c>
      <c r="D129" s="337">
        <f t="shared" ref="D129:I129" si="55">(D109/$B$109)*100</f>
        <v>6.3329717759615213E-3</v>
      </c>
      <c r="E129" s="337">
        <f t="shared" si="55"/>
        <v>1.3424305390156548</v>
      </c>
      <c r="F129" s="337">
        <f t="shared" si="55"/>
        <v>61.335323510105646</v>
      </c>
      <c r="G129" s="337">
        <f t="shared" si="55"/>
        <v>0</v>
      </c>
      <c r="H129" s="337">
        <f t="shared" si="55"/>
        <v>0</v>
      </c>
      <c r="I129" s="337">
        <f t="shared" si="55"/>
        <v>0</v>
      </c>
      <c r="J129" s="337">
        <f>(J109/$B$8)*100</f>
        <v>0</v>
      </c>
      <c r="K129" s="236" t="s">
        <v>84</v>
      </c>
    </row>
    <row r="130" spans="1:11" ht="15">
      <c r="A130" s="160" t="s">
        <v>16</v>
      </c>
      <c r="B130" s="341">
        <f t="shared" si="53"/>
        <v>100</v>
      </c>
      <c r="C130" s="337">
        <f>(C110/$B$110)*100</f>
        <v>51.289846522382973</v>
      </c>
      <c r="D130" s="337">
        <f t="shared" ref="D130:I130" si="56">(D110/$B$110)*100</f>
        <v>6.1668686452306061E-2</v>
      </c>
      <c r="E130" s="337">
        <f t="shared" si="56"/>
        <v>37.922538254638624</v>
      </c>
      <c r="F130" s="337">
        <f t="shared" si="56"/>
        <v>10.72594653652609</v>
      </c>
      <c r="G130" s="337">
        <f t="shared" si="56"/>
        <v>0</v>
      </c>
      <c r="H130" s="337">
        <f t="shared" si="56"/>
        <v>0</v>
      </c>
      <c r="I130" s="337">
        <f t="shared" si="56"/>
        <v>0</v>
      </c>
      <c r="J130" s="337">
        <f>(J110/$B$9)*100</f>
        <v>0</v>
      </c>
      <c r="K130" s="236" t="s">
        <v>17</v>
      </c>
    </row>
    <row r="131" spans="1:11" ht="15">
      <c r="A131" s="237" t="s">
        <v>142</v>
      </c>
      <c r="B131" s="341" t="e">
        <f t="shared" si="53"/>
        <v>#DIV/0!</v>
      </c>
      <c r="C131" s="337">
        <f>(C111/$B$111)*100</f>
        <v>0</v>
      </c>
      <c r="D131" s="337">
        <f t="shared" ref="D131:I131" si="57">(D111/$B$111)*100</f>
        <v>0</v>
      </c>
      <c r="E131" s="337">
        <f t="shared" si="57"/>
        <v>100</v>
      </c>
      <c r="F131" s="337">
        <f t="shared" si="57"/>
        <v>0</v>
      </c>
      <c r="G131" s="337">
        <f t="shared" si="57"/>
        <v>0</v>
      </c>
      <c r="H131" s="337">
        <f t="shared" si="57"/>
        <v>0</v>
      </c>
      <c r="I131" s="337">
        <f t="shared" si="57"/>
        <v>0</v>
      </c>
      <c r="J131" s="337" t="e">
        <f>(J111/$B$10)*100</f>
        <v>#DIV/0!</v>
      </c>
      <c r="K131" s="236" t="s">
        <v>123</v>
      </c>
    </row>
    <row r="132" spans="1:11" ht="15">
      <c r="A132" s="325" t="s">
        <v>95</v>
      </c>
      <c r="B132" s="341">
        <f t="shared" si="53"/>
        <v>100.00000000000001</v>
      </c>
      <c r="C132" s="337">
        <f>(C112/$B$112)*100</f>
        <v>81.415094339622641</v>
      </c>
      <c r="D132" s="337">
        <f t="shared" ref="D132:I132" si="58">(D112/$B$112)*100</f>
        <v>11.603773584905669</v>
      </c>
      <c r="E132" s="337">
        <f t="shared" si="58"/>
        <v>0</v>
      </c>
      <c r="F132" s="337">
        <f t="shared" si="58"/>
        <v>6.9811320754717023</v>
      </c>
      <c r="G132" s="337">
        <f t="shared" si="58"/>
        <v>0</v>
      </c>
      <c r="H132" s="337">
        <f t="shared" si="58"/>
        <v>0</v>
      </c>
      <c r="I132" s="337">
        <f t="shared" si="58"/>
        <v>0</v>
      </c>
      <c r="J132" s="337">
        <f>(J112/$B$11)*100</f>
        <v>0</v>
      </c>
      <c r="K132" s="236" t="s">
        <v>86</v>
      </c>
    </row>
    <row r="133" spans="1:11" ht="15">
      <c r="A133" s="325" t="s">
        <v>126</v>
      </c>
      <c r="B133" s="341">
        <f t="shared" si="53"/>
        <v>100.00000000000001</v>
      </c>
      <c r="C133" s="337">
        <f>(C113/$B$113)*100</f>
        <v>81.575623519357549</v>
      </c>
      <c r="D133" s="337">
        <f t="shared" ref="D133:I133" si="59">(D113/$B$113)*100</f>
        <v>12.473738560695077</v>
      </c>
      <c r="E133" s="337">
        <f t="shared" si="59"/>
        <v>0</v>
      </c>
      <c r="F133" s="337">
        <f t="shared" si="59"/>
        <v>5.9506379199473844</v>
      </c>
      <c r="G133" s="337">
        <f t="shared" si="59"/>
        <v>0</v>
      </c>
      <c r="H133" s="337">
        <f t="shared" si="59"/>
        <v>0</v>
      </c>
      <c r="I133" s="337">
        <f t="shared" si="59"/>
        <v>0</v>
      </c>
      <c r="J133" s="337">
        <f>(J113/$B$12)*100</f>
        <v>0</v>
      </c>
      <c r="K133" s="236" t="s">
        <v>87</v>
      </c>
    </row>
    <row r="134" spans="1:11" ht="15">
      <c r="A134" s="325" t="s">
        <v>97</v>
      </c>
      <c r="B134" s="341">
        <f t="shared" si="53"/>
        <v>100</v>
      </c>
      <c r="C134" s="337">
        <f>(C114/$B$114)*100</f>
        <v>97.131680411026082</v>
      </c>
      <c r="D134" s="337">
        <f t="shared" ref="D134:I134" si="60">(D114/$B$114)*100</f>
        <v>1.6164806341750895</v>
      </c>
      <c r="E134" s="337">
        <f t="shared" si="60"/>
        <v>0</v>
      </c>
      <c r="F134" s="337">
        <f t="shared" si="60"/>
        <v>1.2518389547988273</v>
      </c>
      <c r="G134" s="337">
        <f t="shared" si="60"/>
        <v>0</v>
      </c>
      <c r="H134" s="337">
        <f t="shared" si="60"/>
        <v>0</v>
      </c>
      <c r="I134" s="337">
        <f t="shared" si="60"/>
        <v>0</v>
      </c>
      <c r="J134" s="337">
        <f>(J114/$B$13)*100</f>
        <v>0</v>
      </c>
      <c r="K134" s="236" t="s">
        <v>88</v>
      </c>
    </row>
    <row r="135" spans="1:11" ht="15">
      <c r="A135" s="329" t="s">
        <v>98</v>
      </c>
      <c r="B135" s="342">
        <f t="shared" si="53"/>
        <v>100</v>
      </c>
      <c r="C135" s="338">
        <f t="shared" ref="C135:I135" si="61">(C115/$B$115)*100</f>
        <v>4.0782176624020972</v>
      </c>
      <c r="D135" s="338">
        <f t="shared" si="61"/>
        <v>1.2969075827594474</v>
      </c>
      <c r="E135" s="338">
        <f t="shared" si="61"/>
        <v>18.826341908466159</v>
      </c>
      <c r="F135" s="338">
        <f t="shared" si="61"/>
        <v>0.6209535069071731</v>
      </c>
      <c r="G135" s="338">
        <f t="shared" si="61"/>
        <v>62.657026344250902</v>
      </c>
      <c r="H135" s="338">
        <f t="shared" si="61"/>
        <v>10.192406584756739</v>
      </c>
      <c r="I135" s="338">
        <f t="shared" si="61"/>
        <v>2.3281464104574825</v>
      </c>
      <c r="J135" s="338">
        <f>(J115/$B$14)*100</f>
        <v>0</v>
      </c>
      <c r="K135" s="333" t="s">
        <v>89</v>
      </c>
    </row>
    <row r="136" spans="1:11" ht="15">
      <c r="A136" s="343" t="s">
        <v>204</v>
      </c>
      <c r="B136" s="344">
        <f>SUM(C136:J136)</f>
        <v>21</v>
      </c>
      <c r="C136" s="345">
        <v>0</v>
      </c>
      <c r="D136" s="345">
        <v>1</v>
      </c>
      <c r="E136" s="345">
        <v>2</v>
      </c>
      <c r="F136" s="345">
        <v>3</v>
      </c>
      <c r="G136" s="345">
        <v>4</v>
      </c>
      <c r="H136" s="345">
        <v>5</v>
      </c>
      <c r="I136" s="345">
        <v>6</v>
      </c>
      <c r="J136" s="345">
        <v>0</v>
      </c>
      <c r="K136" s="311" t="s">
        <v>205</v>
      </c>
    </row>
    <row r="137" spans="1:11" ht="17.25">
      <c r="A137" s="24" t="s">
        <v>392</v>
      </c>
      <c r="B137" s="346"/>
      <c r="C137" s="347"/>
      <c r="D137" s="347"/>
      <c r="E137" s="347"/>
      <c r="F137" s="347"/>
      <c r="G137" s="347"/>
      <c r="H137" s="347"/>
      <c r="I137" s="75"/>
      <c r="J137" s="75"/>
      <c r="K137" s="20" t="s">
        <v>389</v>
      </c>
    </row>
  </sheetData>
  <mergeCells count="18">
    <mergeCell ref="A61:K61"/>
    <mergeCell ref="A62:K62"/>
    <mergeCell ref="A63:G63"/>
    <mergeCell ref="A64:A65"/>
    <mergeCell ref="B64:I64"/>
    <mergeCell ref="K64:K65"/>
    <mergeCell ref="A102:K102"/>
    <mergeCell ref="A103:K103"/>
    <mergeCell ref="A104:G104"/>
    <mergeCell ref="A105:A106"/>
    <mergeCell ref="B105:I105"/>
    <mergeCell ref="K105:K106"/>
    <mergeCell ref="A1:K1"/>
    <mergeCell ref="A2:K2"/>
    <mergeCell ref="A3:G3"/>
    <mergeCell ref="A4:A5"/>
    <mergeCell ref="B4:I4"/>
    <mergeCell ref="K4: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227"/>
  <sheetViews>
    <sheetView topLeftCell="A26" workbookViewId="0">
      <selection activeCell="J24" sqref="J24:J25"/>
    </sheetView>
  </sheetViews>
  <sheetFormatPr defaultColWidth="10" defaultRowHeight="12.75"/>
  <cols>
    <col min="1" max="1" width="10" style="14"/>
    <col min="2" max="2" width="13" style="14" customWidth="1"/>
    <col min="3" max="3" width="14.28515625" style="14" customWidth="1"/>
    <col min="4" max="4" width="14.28515625" style="78" customWidth="1"/>
    <col min="5" max="6" width="15.5703125" style="78" customWidth="1"/>
    <col min="7" max="8" width="13.140625" style="14" customWidth="1"/>
    <col min="9" max="9" width="15.7109375" style="78" customWidth="1"/>
    <col min="10" max="10" width="13.42578125" style="14" customWidth="1"/>
    <col min="11" max="11" width="12.28515625" style="14" customWidth="1"/>
    <col min="12" max="12" width="11.7109375" style="14" customWidth="1"/>
    <col min="13" max="16384" width="10" style="14"/>
  </cols>
  <sheetData>
    <row r="1" spans="1:13" ht="21">
      <c r="A1" s="824" t="s">
        <v>455</v>
      </c>
      <c r="B1" s="824"/>
      <c r="C1" s="824"/>
      <c r="D1" s="824"/>
      <c r="E1" s="824"/>
      <c r="F1" s="824"/>
      <c r="G1" s="824"/>
      <c r="H1" s="824"/>
      <c r="I1" s="824"/>
      <c r="J1" s="348"/>
      <c r="K1" s="348"/>
      <c r="L1" s="348"/>
    </row>
    <row r="2" spans="1:13" s="29" customFormat="1" ht="15">
      <c r="A2" s="825" t="s">
        <v>456</v>
      </c>
      <c r="B2" s="825"/>
      <c r="C2" s="825"/>
      <c r="D2" s="825"/>
      <c r="E2" s="825"/>
      <c r="F2" s="825"/>
      <c r="G2" s="825"/>
      <c r="H2" s="825"/>
      <c r="I2" s="825"/>
      <c r="J2" s="349"/>
      <c r="K2" s="349"/>
      <c r="L2" s="349"/>
    </row>
    <row r="3" spans="1:13" s="318" customFormat="1">
      <c r="A3" s="702"/>
      <c r="B3" s="705"/>
      <c r="C3" s="705"/>
      <c r="D3" s="705"/>
      <c r="E3" s="705"/>
      <c r="F3" s="705"/>
      <c r="G3" s="705"/>
      <c r="H3" s="705"/>
      <c r="I3" s="705"/>
      <c r="J3" s="702"/>
      <c r="K3" s="702"/>
      <c r="L3" s="702"/>
    </row>
    <row r="4" spans="1:13" s="29" customFormat="1">
      <c r="A4" s="826" t="s">
        <v>81</v>
      </c>
      <c r="B4" s="827" t="s">
        <v>208</v>
      </c>
      <c r="C4" s="827"/>
      <c r="D4" s="828"/>
      <c r="E4" s="829" t="s">
        <v>209</v>
      </c>
      <c r="F4" s="828"/>
      <c r="G4" s="827" t="s">
        <v>210</v>
      </c>
      <c r="H4" s="827"/>
      <c r="I4" s="827"/>
      <c r="J4" s="318"/>
      <c r="K4" s="318"/>
      <c r="L4" s="318"/>
      <c r="M4" s="350"/>
    </row>
    <row r="5" spans="1:13" s="29" customFormat="1">
      <c r="A5" s="767"/>
      <c r="B5" s="351" t="s">
        <v>189</v>
      </c>
      <c r="C5" s="288" t="s">
        <v>146</v>
      </c>
      <c r="D5" s="314"/>
      <c r="E5" s="352" t="s">
        <v>189</v>
      </c>
      <c r="F5" s="353" t="s">
        <v>146</v>
      </c>
      <c r="G5" s="351" t="s">
        <v>189</v>
      </c>
      <c r="H5" s="288" t="s">
        <v>146</v>
      </c>
      <c r="I5" s="351"/>
      <c r="J5" s="318"/>
      <c r="K5" s="318"/>
      <c r="L5" s="318"/>
      <c r="M5" s="354"/>
    </row>
    <row r="6" spans="1:13" s="29" customFormat="1">
      <c r="A6" s="785"/>
      <c r="B6" s="199" t="s">
        <v>212</v>
      </c>
      <c r="C6" s="199"/>
      <c r="D6" s="199"/>
      <c r="E6" s="355" t="s">
        <v>212</v>
      </c>
      <c r="F6" s="356"/>
      <c r="G6" s="351" t="s">
        <v>212</v>
      </c>
      <c r="H6" s="351"/>
      <c r="I6" s="199"/>
      <c r="J6" s="318"/>
      <c r="K6" s="318"/>
      <c r="L6" s="318"/>
      <c r="M6" s="318"/>
    </row>
    <row r="7" spans="1:13" s="82" customFormat="1">
      <c r="A7" s="357" t="s">
        <v>30</v>
      </c>
      <c r="B7" s="177">
        <f t="shared" ref="B7:I7" si="0">B8+B9+B10</f>
        <v>148465.82010228076</v>
      </c>
      <c r="C7" s="177">
        <f t="shared" si="0"/>
        <v>117.14908033448832</v>
      </c>
      <c r="D7" s="358"/>
      <c r="E7" s="359">
        <f>E8+E9+E10</f>
        <v>2.7218512640216113</v>
      </c>
      <c r="F7" s="360">
        <f t="shared" si="0"/>
        <v>1.6675397973172406</v>
      </c>
      <c r="G7" s="358">
        <f t="shared" si="0"/>
        <v>52604</v>
      </c>
      <c r="H7" s="361">
        <f t="shared" si="0"/>
        <v>70</v>
      </c>
      <c r="I7" s="361"/>
      <c r="J7" s="167"/>
      <c r="K7" s="167"/>
      <c r="L7" s="167"/>
      <c r="M7" s="362"/>
    </row>
    <row r="8" spans="1:13" s="82" customFormat="1">
      <c r="A8" s="357" t="s">
        <v>32</v>
      </c>
      <c r="B8" s="363">
        <v>24812.117177778971</v>
      </c>
      <c r="C8" s="364">
        <v>5.423913914233192</v>
      </c>
      <c r="D8" s="363"/>
      <c r="E8" s="365">
        <v>0</v>
      </c>
      <c r="F8" s="360">
        <v>0</v>
      </c>
      <c r="G8" s="363">
        <v>7174</v>
      </c>
      <c r="H8" s="366">
        <v>3</v>
      </c>
      <c r="I8" s="366"/>
      <c r="J8" s="167"/>
      <c r="K8" s="167"/>
      <c r="L8" s="167"/>
      <c r="M8" s="362"/>
    </row>
    <row r="9" spans="1:13" s="82" customFormat="1">
      <c r="A9" s="357" t="s">
        <v>34</v>
      </c>
      <c r="B9" s="177">
        <f>SUM(B11:B30)</f>
        <v>123653.70292450179</v>
      </c>
      <c r="C9" s="177">
        <f>SUM(C11:C30)</f>
        <v>111.72516642025512</v>
      </c>
      <c r="D9" s="177"/>
      <c r="E9" s="365">
        <f>B9/G9</f>
        <v>2.7218512640216113</v>
      </c>
      <c r="F9" s="360">
        <f>C9/H9</f>
        <v>1.6675397973172406</v>
      </c>
      <c r="G9" s="177">
        <f>SUM(G11:G30)</f>
        <v>45430</v>
      </c>
      <c r="H9" s="367">
        <f>SUM(H11:H30)</f>
        <v>67</v>
      </c>
      <c r="I9" s="367"/>
      <c r="J9" s="167"/>
      <c r="K9" s="167"/>
      <c r="L9" s="167"/>
      <c r="M9" s="362"/>
    </row>
    <row r="10" spans="1:13" s="82" customFormat="1" hidden="1">
      <c r="A10" s="357" t="s">
        <v>36</v>
      </c>
      <c r="B10" s="177"/>
      <c r="C10" s="177"/>
      <c r="D10" s="177"/>
      <c r="E10" s="365"/>
      <c r="F10" s="360"/>
      <c r="G10" s="177"/>
      <c r="H10" s="367"/>
      <c r="I10" s="367"/>
      <c r="J10" s="167"/>
      <c r="K10" s="167"/>
      <c r="L10" s="167"/>
      <c r="M10" s="362"/>
    </row>
    <row r="11" spans="1:13" s="82" customFormat="1">
      <c r="A11" s="368" t="s">
        <v>37</v>
      </c>
      <c r="B11" s="364">
        <v>7837.2333079125583</v>
      </c>
      <c r="C11" s="364">
        <v>0</v>
      </c>
      <c r="D11" s="364"/>
      <c r="E11" s="369">
        <f>B11/G11</f>
        <v>3.2027925246884177</v>
      </c>
      <c r="F11" s="370">
        <v>0</v>
      </c>
      <c r="G11" s="364">
        <v>2447</v>
      </c>
      <c r="H11" s="371">
        <v>0</v>
      </c>
      <c r="I11" s="371"/>
      <c r="J11" s="167"/>
      <c r="K11" s="167"/>
      <c r="L11" s="167"/>
      <c r="M11" s="362"/>
    </row>
    <row r="12" spans="1:13" s="82" customFormat="1">
      <c r="A12" s="368" t="s">
        <v>39</v>
      </c>
      <c r="B12" s="364">
        <v>1742.5440616363164</v>
      </c>
      <c r="C12" s="364">
        <v>0</v>
      </c>
      <c r="D12" s="364"/>
      <c r="E12" s="369">
        <f t="shared" ref="E12:F30" si="1">B12/G12</f>
        <v>1.159377286517842</v>
      </c>
      <c r="F12" s="370">
        <v>0</v>
      </c>
      <c r="G12" s="364">
        <v>1503</v>
      </c>
      <c r="H12" s="371">
        <v>0</v>
      </c>
      <c r="I12" s="371"/>
      <c r="J12" s="167"/>
      <c r="K12" s="167"/>
      <c r="L12" s="167"/>
      <c r="M12" s="362"/>
    </row>
    <row r="13" spans="1:13" s="82" customFormat="1">
      <c r="A13" s="368" t="s">
        <v>41</v>
      </c>
      <c r="B13" s="364">
        <v>3916.1276980237212</v>
      </c>
      <c r="C13" s="364">
        <v>0</v>
      </c>
      <c r="D13" s="364"/>
      <c r="E13" s="369">
        <f t="shared" si="1"/>
        <v>1.5497141662143732</v>
      </c>
      <c r="F13" s="370">
        <v>0</v>
      </c>
      <c r="G13" s="364">
        <v>2527</v>
      </c>
      <c r="H13" s="371">
        <v>0</v>
      </c>
      <c r="I13" s="371"/>
      <c r="J13" s="167"/>
      <c r="K13" s="167"/>
      <c r="L13" s="167"/>
      <c r="M13" s="362"/>
    </row>
    <row r="14" spans="1:13" s="82" customFormat="1">
      <c r="A14" s="368" t="s">
        <v>43</v>
      </c>
      <c r="B14" s="364">
        <v>2615.9691268664783</v>
      </c>
      <c r="C14" s="364">
        <v>0.65276863300399468</v>
      </c>
      <c r="D14" s="364"/>
      <c r="E14" s="369">
        <f t="shared" si="1"/>
        <v>1.6920886978437764</v>
      </c>
      <c r="F14" s="370">
        <f t="shared" si="1"/>
        <v>0.65276863300399468</v>
      </c>
      <c r="G14" s="364">
        <v>1546</v>
      </c>
      <c r="H14" s="371">
        <v>1</v>
      </c>
      <c r="I14" s="371"/>
      <c r="J14" s="167"/>
      <c r="K14" s="167"/>
      <c r="L14" s="167"/>
      <c r="M14" s="362"/>
    </row>
    <row r="15" spans="1:13" s="82" customFormat="1">
      <c r="A15" s="368" t="s">
        <v>45</v>
      </c>
      <c r="B15" s="364">
        <v>7759.514216681293</v>
      </c>
      <c r="C15" s="364">
        <v>0</v>
      </c>
      <c r="D15" s="364"/>
      <c r="E15" s="369">
        <f t="shared" si="1"/>
        <v>2.7584479973982554</v>
      </c>
      <c r="F15" s="370">
        <v>0</v>
      </c>
      <c r="G15" s="364">
        <v>2813</v>
      </c>
      <c r="H15" s="371">
        <v>0</v>
      </c>
      <c r="I15" s="371"/>
      <c r="J15" s="167"/>
      <c r="K15" s="167"/>
      <c r="L15" s="167"/>
      <c r="M15" s="362"/>
    </row>
    <row r="16" spans="1:13" s="82" customFormat="1">
      <c r="A16" s="368" t="s">
        <v>47</v>
      </c>
      <c r="B16" s="364">
        <v>2242.4289738665652</v>
      </c>
      <c r="C16" s="364">
        <v>0</v>
      </c>
      <c r="D16" s="364"/>
      <c r="E16" s="369">
        <f t="shared" si="1"/>
        <v>1.7615310085361864</v>
      </c>
      <c r="F16" s="370">
        <v>0</v>
      </c>
      <c r="G16" s="364">
        <v>1273</v>
      </c>
      <c r="H16" s="371">
        <v>0</v>
      </c>
      <c r="I16" s="371"/>
      <c r="J16" s="167"/>
      <c r="K16" s="167"/>
      <c r="L16" s="167"/>
      <c r="M16" s="362"/>
    </row>
    <row r="17" spans="1:13" s="82" customFormat="1">
      <c r="A17" s="368" t="s">
        <v>49</v>
      </c>
      <c r="B17" s="364">
        <v>4714.9029731799847</v>
      </c>
      <c r="C17" s="364">
        <v>0</v>
      </c>
      <c r="D17" s="364"/>
      <c r="E17" s="369">
        <f t="shared" si="1"/>
        <v>3.935645219682792</v>
      </c>
      <c r="F17" s="370">
        <v>0</v>
      </c>
      <c r="G17" s="364">
        <v>1198</v>
      </c>
      <c r="H17" s="371">
        <v>0</v>
      </c>
      <c r="I17" s="371"/>
      <c r="J17" s="167"/>
      <c r="K17" s="167"/>
      <c r="L17" s="167"/>
      <c r="M17" s="362"/>
    </row>
    <row r="18" spans="1:13" s="82" customFormat="1">
      <c r="A18" s="368" t="s">
        <v>51</v>
      </c>
      <c r="B18" s="364">
        <v>6947.6623581231324</v>
      </c>
      <c r="C18" s="364">
        <v>1.3021462601222542</v>
      </c>
      <c r="D18" s="364"/>
      <c r="E18" s="369">
        <f t="shared" si="1"/>
        <v>3.1211421195521707</v>
      </c>
      <c r="F18" s="370">
        <f t="shared" si="1"/>
        <v>1.3021462601222542</v>
      </c>
      <c r="G18" s="364">
        <v>2226</v>
      </c>
      <c r="H18" s="371">
        <v>1</v>
      </c>
      <c r="I18" s="371"/>
      <c r="J18" s="167"/>
      <c r="K18" s="167"/>
      <c r="L18" s="167"/>
      <c r="M18" s="362"/>
    </row>
    <row r="19" spans="1:13" s="82" customFormat="1">
      <c r="A19" s="368" t="s">
        <v>191</v>
      </c>
      <c r="B19" s="364">
        <v>3213.1619370730741</v>
      </c>
      <c r="C19" s="364">
        <v>8.5063382643663399</v>
      </c>
      <c r="D19" s="364"/>
      <c r="E19" s="369">
        <f t="shared" si="1"/>
        <v>1.27810737353742</v>
      </c>
      <c r="F19" s="370">
        <f t="shared" si="1"/>
        <v>2.8354460881221133</v>
      </c>
      <c r="G19" s="364">
        <v>2514</v>
      </c>
      <c r="H19" s="371">
        <v>3</v>
      </c>
      <c r="I19" s="371"/>
      <c r="J19" s="167"/>
      <c r="K19" s="167"/>
      <c r="L19" s="167"/>
      <c r="M19" s="362"/>
    </row>
    <row r="20" spans="1:13" s="82" customFormat="1">
      <c r="A20" s="368" t="s">
        <v>55</v>
      </c>
      <c r="B20" s="364">
        <v>3055.4361311749635</v>
      </c>
      <c r="C20" s="364">
        <v>5.4442599495476021</v>
      </c>
      <c r="D20" s="364"/>
      <c r="E20" s="369">
        <f t="shared" si="1"/>
        <v>1.0280740683630429</v>
      </c>
      <c r="F20" s="370">
        <f t="shared" si="1"/>
        <v>5.4442599495476021</v>
      </c>
      <c r="G20" s="364">
        <v>2972</v>
      </c>
      <c r="H20" s="371">
        <v>1</v>
      </c>
      <c r="I20" s="371"/>
      <c r="J20" s="167"/>
      <c r="K20" s="167"/>
      <c r="L20" s="167"/>
      <c r="M20" s="362"/>
    </row>
    <row r="21" spans="1:13" s="82" customFormat="1">
      <c r="A21" s="368" t="s">
        <v>57</v>
      </c>
      <c r="B21" s="364">
        <v>639.55167891345945</v>
      </c>
      <c r="C21" s="364">
        <v>0</v>
      </c>
      <c r="D21" s="364"/>
      <c r="E21" s="369">
        <f t="shared" si="1"/>
        <v>3.1046198005507741</v>
      </c>
      <c r="F21" s="370">
        <v>0</v>
      </c>
      <c r="G21" s="364">
        <v>206</v>
      </c>
      <c r="H21" s="371">
        <v>0</v>
      </c>
      <c r="I21" s="371"/>
      <c r="J21" s="167"/>
      <c r="K21" s="167"/>
      <c r="L21" s="167"/>
      <c r="M21" s="362"/>
    </row>
    <row r="22" spans="1:13" s="373" customFormat="1">
      <c r="A22" s="368" t="s">
        <v>59</v>
      </c>
      <c r="B22" s="364">
        <v>4060.603860534547</v>
      </c>
      <c r="C22" s="364">
        <v>25.422371125355575</v>
      </c>
      <c r="D22" s="364"/>
      <c r="E22" s="369">
        <f t="shared" si="1"/>
        <v>3.2150466037486516</v>
      </c>
      <c r="F22" s="370">
        <f t="shared" si="1"/>
        <v>12.711185562677787</v>
      </c>
      <c r="G22" s="364">
        <v>1263</v>
      </c>
      <c r="H22" s="371">
        <v>2</v>
      </c>
      <c r="I22" s="371"/>
      <c r="J22" s="372"/>
      <c r="K22" s="167"/>
      <c r="L22" s="372"/>
      <c r="M22" s="362"/>
    </row>
    <row r="23" spans="1:13" s="373" customFormat="1">
      <c r="A23" s="368" t="s">
        <v>61</v>
      </c>
      <c r="B23" s="364">
        <v>3075.0253787508314</v>
      </c>
      <c r="C23" s="364">
        <v>8.7081031145675745</v>
      </c>
      <c r="D23" s="364"/>
      <c r="E23" s="369">
        <f t="shared" si="1"/>
        <v>1.6099609312831578</v>
      </c>
      <c r="F23" s="370">
        <f t="shared" si="1"/>
        <v>1.4513505190945957</v>
      </c>
      <c r="G23" s="364">
        <v>1910</v>
      </c>
      <c r="H23" s="371">
        <v>6</v>
      </c>
      <c r="I23" s="371"/>
      <c r="J23" s="372"/>
      <c r="K23" s="167"/>
      <c r="L23" s="372"/>
      <c r="M23" s="362"/>
    </row>
    <row r="24" spans="1:13" s="373" customFormat="1">
      <c r="A24" s="368" t="s">
        <v>63</v>
      </c>
      <c r="B24" s="364">
        <v>11378.1622271825</v>
      </c>
      <c r="C24" s="364">
        <v>11.578589596842283</v>
      </c>
      <c r="D24" s="364"/>
      <c r="E24" s="369">
        <f t="shared" si="1"/>
        <v>2.3630658831116302</v>
      </c>
      <c r="F24" s="370">
        <f t="shared" si="1"/>
        <v>1.1578589596842284</v>
      </c>
      <c r="G24" s="364">
        <v>4815</v>
      </c>
      <c r="H24" s="371">
        <v>10</v>
      </c>
      <c r="I24" s="371"/>
      <c r="J24" s="372"/>
      <c r="K24" s="167"/>
      <c r="L24" s="372"/>
      <c r="M24" s="362"/>
    </row>
    <row r="25" spans="1:13" s="373" customFormat="1">
      <c r="A25" s="368" t="s">
        <v>65</v>
      </c>
      <c r="B25" s="364">
        <v>7535.0427332834015</v>
      </c>
      <c r="C25" s="364">
        <v>18.608144797971018</v>
      </c>
      <c r="D25" s="364"/>
      <c r="E25" s="369">
        <f t="shared" si="1"/>
        <v>3.593248799849023</v>
      </c>
      <c r="F25" s="370">
        <f t="shared" si="1"/>
        <v>6.2027149326570061</v>
      </c>
      <c r="G25" s="364">
        <v>2097</v>
      </c>
      <c r="H25" s="371">
        <v>3</v>
      </c>
      <c r="I25" s="371"/>
      <c r="J25" s="372"/>
      <c r="K25" s="167"/>
      <c r="L25" s="372"/>
      <c r="M25" s="362"/>
    </row>
    <row r="26" spans="1:13" s="373" customFormat="1">
      <c r="A26" s="368" t="s">
        <v>67</v>
      </c>
      <c r="B26" s="364">
        <v>10580.731265444609</v>
      </c>
      <c r="C26" s="364">
        <v>19.515238872405138</v>
      </c>
      <c r="D26" s="364"/>
      <c r="E26" s="369">
        <f t="shared" si="1"/>
        <v>3.0642140936706079</v>
      </c>
      <c r="F26" s="370">
        <f t="shared" si="1"/>
        <v>1.7741126247641035</v>
      </c>
      <c r="G26" s="364">
        <v>3453</v>
      </c>
      <c r="H26" s="371">
        <v>11</v>
      </c>
      <c r="I26" s="371"/>
      <c r="J26" s="372"/>
      <c r="K26" s="167"/>
      <c r="L26" s="372"/>
      <c r="M26" s="362"/>
    </row>
    <row r="27" spans="1:13" s="373" customFormat="1">
      <c r="A27" s="368" t="s">
        <v>69</v>
      </c>
      <c r="B27" s="364">
        <v>21156.044330819728</v>
      </c>
      <c r="C27" s="364">
        <v>0</v>
      </c>
      <c r="D27" s="364"/>
      <c r="E27" s="369">
        <f t="shared" si="1"/>
        <v>4.2017962921191119</v>
      </c>
      <c r="F27" s="370">
        <v>0</v>
      </c>
      <c r="G27" s="364">
        <v>5035</v>
      </c>
      <c r="H27" s="371">
        <v>0</v>
      </c>
      <c r="I27" s="371"/>
      <c r="J27" s="372"/>
      <c r="K27" s="167"/>
      <c r="L27" s="372"/>
      <c r="M27" s="362"/>
    </row>
    <row r="28" spans="1:13" s="373" customFormat="1">
      <c r="A28" s="368" t="s">
        <v>71</v>
      </c>
      <c r="B28" s="364">
        <v>11610.003248031655</v>
      </c>
      <c r="C28" s="364">
        <v>0</v>
      </c>
      <c r="D28" s="364"/>
      <c r="E28" s="369">
        <f t="shared" si="1"/>
        <v>3.9979350027657214</v>
      </c>
      <c r="F28" s="370">
        <v>0</v>
      </c>
      <c r="G28" s="364">
        <v>2904</v>
      </c>
      <c r="H28" s="371">
        <v>0</v>
      </c>
      <c r="I28" s="371"/>
      <c r="J28" s="372"/>
      <c r="K28" s="167"/>
      <c r="L28" s="372"/>
      <c r="M28" s="362"/>
    </row>
    <row r="29" spans="1:13" s="373" customFormat="1">
      <c r="A29" s="368" t="s">
        <v>73</v>
      </c>
      <c r="B29" s="364">
        <v>2152.5513632118946</v>
      </c>
      <c r="C29" s="364">
        <v>3.0213862441899177</v>
      </c>
      <c r="D29" s="364"/>
      <c r="E29" s="369">
        <f t="shared" si="1"/>
        <v>1.8572488034615138</v>
      </c>
      <c r="F29" s="370">
        <f t="shared" si="1"/>
        <v>0.23241432647614751</v>
      </c>
      <c r="G29" s="364">
        <v>1159</v>
      </c>
      <c r="H29" s="371">
        <v>13</v>
      </c>
      <c r="I29" s="371"/>
      <c r="J29" s="372"/>
      <c r="K29" s="167"/>
      <c r="L29" s="372"/>
      <c r="M29" s="362"/>
    </row>
    <row r="30" spans="1:13" s="373" customFormat="1">
      <c r="A30" s="67" t="s">
        <v>42</v>
      </c>
      <c r="B30" s="374">
        <v>7421.0060537910667</v>
      </c>
      <c r="C30" s="374">
        <v>8.9658195618834391</v>
      </c>
      <c r="D30" s="374"/>
      <c r="E30" s="375">
        <f t="shared" si="1"/>
        <v>4.7297680393824519</v>
      </c>
      <c r="F30" s="376">
        <f t="shared" si="1"/>
        <v>0.56036372261771494</v>
      </c>
      <c r="G30" s="374">
        <v>1569</v>
      </c>
      <c r="H30" s="377">
        <v>16</v>
      </c>
      <c r="I30" s="377"/>
      <c r="J30" s="372"/>
      <c r="K30" s="167"/>
      <c r="L30" s="372"/>
      <c r="M30" s="362"/>
    </row>
    <row r="31" spans="1:13" s="373" customFormat="1" ht="17.25">
      <c r="A31" s="24" t="s">
        <v>76</v>
      </c>
      <c r="B31" s="202"/>
      <c r="C31" s="202"/>
      <c r="D31" s="202"/>
      <c r="E31" s="202"/>
      <c r="F31" s="202"/>
      <c r="G31" s="202"/>
      <c r="H31" s="378"/>
      <c r="I31" s="379" t="s">
        <v>213</v>
      </c>
      <c r="M31" s="372"/>
    </row>
    <row r="32" spans="1:13" s="373" customFormat="1" ht="17.25">
      <c r="A32" s="24"/>
      <c r="B32" s="202"/>
      <c r="C32" s="202"/>
      <c r="D32" s="202"/>
      <c r="E32" s="202"/>
      <c r="F32" s="202"/>
      <c r="G32" s="202"/>
      <c r="H32" s="378"/>
      <c r="I32" s="379"/>
      <c r="M32" s="372"/>
    </row>
    <row r="33" spans="1:13" s="373" customFormat="1" ht="21">
      <c r="A33" s="824" t="s">
        <v>453</v>
      </c>
      <c r="B33" s="824"/>
      <c r="C33" s="824"/>
      <c r="D33" s="824"/>
      <c r="E33" s="824"/>
      <c r="F33" s="824"/>
      <c r="G33" s="824"/>
      <c r="H33" s="824"/>
      <c r="I33" s="824"/>
      <c r="M33" s="372"/>
    </row>
    <row r="34" spans="1:13" s="373" customFormat="1" ht="15">
      <c r="A34" s="825" t="s">
        <v>454</v>
      </c>
      <c r="B34" s="825"/>
      <c r="C34" s="825"/>
      <c r="D34" s="825"/>
      <c r="E34" s="825"/>
      <c r="F34" s="825"/>
      <c r="G34" s="825"/>
      <c r="H34" s="825"/>
      <c r="I34" s="825"/>
      <c r="M34" s="372"/>
    </row>
    <row r="35" spans="1:13" s="373" customFormat="1">
      <c r="A35" s="702"/>
      <c r="B35" s="705"/>
      <c r="C35" s="705"/>
      <c r="D35" s="705"/>
      <c r="E35" s="705"/>
      <c r="F35" s="705"/>
      <c r="G35" s="705"/>
      <c r="H35" s="705"/>
      <c r="I35" s="705"/>
      <c r="M35" s="372"/>
    </row>
    <row r="36" spans="1:13" s="373" customFormat="1">
      <c r="A36" s="826" t="s">
        <v>81</v>
      </c>
      <c r="B36" s="827" t="s">
        <v>208</v>
      </c>
      <c r="C36" s="827"/>
      <c r="D36" s="828"/>
      <c r="E36" s="829" t="s">
        <v>209</v>
      </c>
      <c r="F36" s="828"/>
      <c r="G36" s="827" t="s">
        <v>210</v>
      </c>
      <c r="H36" s="827"/>
      <c r="I36" s="827"/>
      <c r="M36" s="372"/>
    </row>
    <row r="37" spans="1:13" s="373" customFormat="1">
      <c r="A37" s="767"/>
      <c r="B37" s="351" t="s">
        <v>189</v>
      </c>
      <c r="C37" s="288" t="s">
        <v>146</v>
      </c>
      <c r="D37" s="314" t="s">
        <v>211</v>
      </c>
      <c r="E37" s="352" t="s">
        <v>189</v>
      </c>
      <c r="F37" s="353" t="s">
        <v>146</v>
      </c>
      <c r="G37" s="351" t="s">
        <v>189</v>
      </c>
      <c r="H37" s="288" t="s">
        <v>146</v>
      </c>
      <c r="I37" s="351" t="s">
        <v>148</v>
      </c>
      <c r="M37" s="372"/>
    </row>
    <row r="38" spans="1:13" s="373" customFormat="1">
      <c r="A38" s="785"/>
      <c r="B38" s="199" t="s">
        <v>212</v>
      </c>
      <c r="C38" s="199"/>
      <c r="D38" s="199"/>
      <c r="E38" s="355" t="s">
        <v>212</v>
      </c>
      <c r="F38" s="356"/>
      <c r="G38" s="351" t="s">
        <v>212</v>
      </c>
      <c r="H38" s="351"/>
      <c r="I38" s="199"/>
      <c r="M38" s="372"/>
    </row>
    <row r="39" spans="1:13" ht="21">
      <c r="A39" s="357" t="s">
        <v>30</v>
      </c>
      <c r="B39" s="177">
        <f>B40+B41+B42</f>
        <v>134358.10824123875</v>
      </c>
      <c r="C39" s="177">
        <f t="shared" ref="C39:I39" si="2">C40+C41+C42</f>
        <v>11.140278948910922</v>
      </c>
      <c r="D39" s="358">
        <f t="shared" si="2"/>
        <v>699.67705000000001</v>
      </c>
      <c r="E39" s="359">
        <f t="shared" si="2"/>
        <v>2.1877589175603194</v>
      </c>
      <c r="F39" s="360">
        <f t="shared" si="2"/>
        <v>0.79573421063649441</v>
      </c>
      <c r="G39" s="358">
        <f t="shared" si="2"/>
        <v>58759</v>
      </c>
      <c r="H39" s="361">
        <f t="shared" si="2"/>
        <v>14</v>
      </c>
      <c r="I39" s="361">
        <f t="shared" si="2"/>
        <v>2760</v>
      </c>
      <c r="J39" s="348"/>
      <c r="K39" s="348"/>
      <c r="L39" s="348"/>
    </row>
    <row r="40" spans="1:13" s="29" customFormat="1" ht="15">
      <c r="A40" s="357" t="s">
        <v>32</v>
      </c>
      <c r="B40" s="363">
        <v>23902.536011453336</v>
      </c>
      <c r="C40" s="364">
        <v>0</v>
      </c>
      <c r="D40" s="363">
        <v>0</v>
      </c>
      <c r="E40" s="365">
        <v>0</v>
      </c>
      <c r="F40" s="360">
        <v>0</v>
      </c>
      <c r="G40" s="363">
        <v>8271</v>
      </c>
      <c r="H40" s="366">
        <v>0</v>
      </c>
      <c r="I40" s="366">
        <v>0</v>
      </c>
      <c r="J40" s="349"/>
      <c r="K40" s="349"/>
      <c r="L40" s="349"/>
    </row>
    <row r="41" spans="1:13" s="318" customFormat="1">
      <c r="A41" s="357" t="s">
        <v>34</v>
      </c>
      <c r="B41" s="177">
        <f>SUM(B43:B62)</f>
        <v>110455.57222978541</v>
      </c>
      <c r="C41" s="177">
        <f>SUM(C43:C62)</f>
        <v>11.140278948910922</v>
      </c>
      <c r="D41" s="177">
        <v>0</v>
      </c>
      <c r="E41" s="365">
        <f>B41/G41</f>
        <v>2.1877589175603194</v>
      </c>
      <c r="F41" s="360">
        <f>C41/H41</f>
        <v>0.79573421063649441</v>
      </c>
      <c r="G41" s="177">
        <f>SUM(G43:G62)</f>
        <v>50488</v>
      </c>
      <c r="H41" s="367">
        <f>SUM(H43:H62)</f>
        <v>14</v>
      </c>
      <c r="I41" s="367">
        <v>0</v>
      </c>
      <c r="J41" s="702"/>
      <c r="K41" s="702"/>
      <c r="L41" s="702"/>
    </row>
    <row r="42" spans="1:13" s="29" customFormat="1">
      <c r="A42" s="357" t="s">
        <v>36</v>
      </c>
      <c r="B42" s="177">
        <v>0</v>
      </c>
      <c r="C42" s="177">
        <v>0</v>
      </c>
      <c r="D42" s="177">
        <v>699.67705000000001</v>
      </c>
      <c r="E42" s="365">
        <v>0</v>
      </c>
      <c r="F42" s="360">
        <v>0</v>
      </c>
      <c r="G42" s="177">
        <v>0</v>
      </c>
      <c r="H42" s="367">
        <v>0</v>
      </c>
      <c r="I42" s="367">
        <v>2760</v>
      </c>
      <c r="J42" s="318"/>
      <c r="K42" s="318"/>
      <c r="L42" s="318"/>
      <c r="M42" s="350"/>
    </row>
    <row r="43" spans="1:13" s="29" customFormat="1">
      <c r="A43" s="368" t="s">
        <v>37</v>
      </c>
      <c r="B43" s="364">
        <v>4820.649337796398</v>
      </c>
      <c r="C43" s="364">
        <v>0</v>
      </c>
      <c r="D43" s="178">
        <v>0</v>
      </c>
      <c r="E43" s="369">
        <f>B43/G43</f>
        <v>1.4692622181640957</v>
      </c>
      <c r="F43" s="370">
        <v>0</v>
      </c>
      <c r="G43" s="364">
        <v>3281</v>
      </c>
      <c r="H43" s="371">
        <v>0</v>
      </c>
      <c r="I43" s="371">
        <v>0</v>
      </c>
      <c r="J43" s="318"/>
      <c r="K43" s="318"/>
      <c r="L43" s="318"/>
      <c r="M43" s="354"/>
    </row>
    <row r="44" spans="1:13" s="29" customFormat="1">
      <c r="A44" s="368" t="s">
        <v>39</v>
      </c>
      <c r="B44" s="364">
        <v>2061.3592502634656</v>
      </c>
      <c r="C44" s="364">
        <v>0</v>
      </c>
      <c r="D44" s="178">
        <v>0</v>
      </c>
      <c r="E44" s="369">
        <f t="shared" ref="E44:F62" si="3">B44/G44</f>
        <v>0.95081146229864644</v>
      </c>
      <c r="F44" s="370">
        <v>0</v>
      </c>
      <c r="G44" s="364">
        <v>2168</v>
      </c>
      <c r="H44" s="371">
        <v>0</v>
      </c>
      <c r="I44" s="371">
        <v>0</v>
      </c>
      <c r="J44" s="318"/>
      <c r="K44" s="318"/>
      <c r="L44" s="318"/>
      <c r="M44" s="318"/>
    </row>
    <row r="45" spans="1:13" s="82" customFormat="1">
      <c r="A45" s="368" t="s">
        <v>41</v>
      </c>
      <c r="B45" s="364">
        <v>3194.6032976825441</v>
      </c>
      <c r="C45" s="364">
        <v>0</v>
      </c>
      <c r="D45" s="178">
        <v>0</v>
      </c>
      <c r="E45" s="369">
        <f t="shared" si="3"/>
        <v>1.2329615197539729</v>
      </c>
      <c r="F45" s="370">
        <v>0</v>
      </c>
      <c r="G45" s="364">
        <v>2591</v>
      </c>
      <c r="H45" s="371">
        <v>0</v>
      </c>
      <c r="I45" s="371">
        <v>0</v>
      </c>
      <c r="J45" s="167"/>
      <c r="K45" s="167"/>
      <c r="L45" s="167"/>
      <c r="M45" s="362"/>
    </row>
    <row r="46" spans="1:13" s="82" customFormat="1">
      <c r="A46" s="368" t="s">
        <v>43</v>
      </c>
      <c r="B46" s="364">
        <v>3699.9022280220142</v>
      </c>
      <c r="C46" s="364">
        <v>0</v>
      </c>
      <c r="D46" s="178">
        <v>0</v>
      </c>
      <c r="E46" s="369">
        <f t="shared" si="3"/>
        <v>1.8416636276864182</v>
      </c>
      <c r="F46" s="370">
        <v>0</v>
      </c>
      <c r="G46" s="364">
        <v>2009</v>
      </c>
      <c r="H46" s="371">
        <v>0</v>
      </c>
      <c r="I46" s="371">
        <v>0</v>
      </c>
      <c r="J46" s="167"/>
      <c r="K46" s="167"/>
      <c r="L46" s="167"/>
      <c r="M46" s="362"/>
    </row>
    <row r="47" spans="1:13" s="82" customFormat="1">
      <c r="A47" s="368" t="s">
        <v>45</v>
      </c>
      <c r="B47" s="364">
        <v>6474.1999351819668</v>
      </c>
      <c r="C47" s="364">
        <v>0</v>
      </c>
      <c r="D47" s="178">
        <v>0</v>
      </c>
      <c r="E47" s="369">
        <f t="shared" si="3"/>
        <v>2.110234659446534</v>
      </c>
      <c r="F47" s="370">
        <v>0</v>
      </c>
      <c r="G47" s="364">
        <v>3068</v>
      </c>
      <c r="H47" s="371">
        <v>0</v>
      </c>
      <c r="I47" s="371">
        <v>0</v>
      </c>
      <c r="J47" s="167"/>
      <c r="K47" s="167"/>
      <c r="L47" s="167"/>
      <c r="M47" s="362"/>
    </row>
    <row r="48" spans="1:13" s="82" customFormat="1">
      <c r="A48" s="368" t="s">
        <v>47</v>
      </c>
      <c r="B48" s="364">
        <v>1655.162966646096</v>
      </c>
      <c r="C48" s="364">
        <v>0</v>
      </c>
      <c r="D48" s="178">
        <v>0</v>
      </c>
      <c r="E48" s="369">
        <f t="shared" si="3"/>
        <v>1.6069543365496077</v>
      </c>
      <c r="F48" s="370">
        <v>0</v>
      </c>
      <c r="G48" s="364">
        <v>1030</v>
      </c>
      <c r="H48" s="371">
        <v>0</v>
      </c>
      <c r="I48" s="371">
        <v>0</v>
      </c>
      <c r="J48" s="167"/>
      <c r="K48" s="167"/>
      <c r="L48" s="167"/>
      <c r="M48" s="362"/>
    </row>
    <row r="49" spans="1:13" s="82" customFormat="1">
      <c r="A49" s="368" t="s">
        <v>49</v>
      </c>
      <c r="B49" s="364">
        <v>4554.6509441370627</v>
      </c>
      <c r="C49" s="364">
        <v>0</v>
      </c>
      <c r="D49" s="178">
        <v>0</v>
      </c>
      <c r="E49" s="369">
        <f t="shared" si="3"/>
        <v>3.0984020028143284</v>
      </c>
      <c r="F49" s="370">
        <v>0</v>
      </c>
      <c r="G49" s="364">
        <v>1470</v>
      </c>
      <c r="H49" s="371">
        <v>0</v>
      </c>
      <c r="I49" s="371">
        <v>0</v>
      </c>
      <c r="J49" s="167"/>
      <c r="K49" s="167"/>
      <c r="L49" s="167"/>
      <c r="M49" s="362"/>
    </row>
    <row r="50" spans="1:13" s="82" customFormat="1">
      <c r="A50" s="368" t="s">
        <v>51</v>
      </c>
      <c r="B50" s="364">
        <v>4040.3289710183249</v>
      </c>
      <c r="C50" s="364">
        <v>0</v>
      </c>
      <c r="D50" s="178">
        <v>0</v>
      </c>
      <c r="E50" s="369">
        <f t="shared" si="3"/>
        <v>2.6459259797107562</v>
      </c>
      <c r="F50" s="370">
        <v>0</v>
      </c>
      <c r="G50" s="364">
        <v>1527</v>
      </c>
      <c r="H50" s="371">
        <v>0</v>
      </c>
      <c r="I50" s="371">
        <v>0</v>
      </c>
      <c r="J50" s="167"/>
      <c r="K50" s="167"/>
      <c r="L50" s="167"/>
      <c r="M50" s="362"/>
    </row>
    <row r="51" spans="1:13" s="82" customFormat="1">
      <c r="A51" s="368" t="s">
        <v>191</v>
      </c>
      <c r="B51" s="364">
        <v>2836.170164942137</v>
      </c>
      <c r="C51" s="364">
        <v>0</v>
      </c>
      <c r="D51" s="178">
        <v>0</v>
      </c>
      <c r="E51" s="369">
        <f t="shared" si="3"/>
        <v>1.1647516077791118</v>
      </c>
      <c r="F51" s="370">
        <v>0</v>
      </c>
      <c r="G51" s="364">
        <v>2435</v>
      </c>
      <c r="H51" s="371">
        <v>0</v>
      </c>
      <c r="I51" s="371">
        <v>0</v>
      </c>
      <c r="J51" s="167"/>
      <c r="K51" s="167"/>
      <c r="L51" s="167"/>
      <c r="M51" s="362"/>
    </row>
    <row r="52" spans="1:13" s="82" customFormat="1">
      <c r="A52" s="368" t="s">
        <v>55</v>
      </c>
      <c r="B52" s="364">
        <v>3008.0433639696066</v>
      </c>
      <c r="C52" s="364">
        <v>0</v>
      </c>
      <c r="D52" s="178">
        <v>0</v>
      </c>
      <c r="E52" s="369">
        <f t="shared" si="3"/>
        <v>0.96877403026396347</v>
      </c>
      <c r="F52" s="370">
        <v>0</v>
      </c>
      <c r="G52" s="364">
        <v>3105</v>
      </c>
      <c r="H52" s="371">
        <v>0</v>
      </c>
      <c r="I52" s="371">
        <v>0</v>
      </c>
      <c r="J52" s="167"/>
      <c r="K52" s="167"/>
      <c r="L52" s="167"/>
      <c r="M52" s="362"/>
    </row>
    <row r="53" spans="1:13" s="82" customFormat="1">
      <c r="A53" s="368" t="s">
        <v>57</v>
      </c>
      <c r="B53" s="364">
        <v>256.77748611255851</v>
      </c>
      <c r="C53" s="364">
        <v>0</v>
      </c>
      <c r="D53" s="178">
        <v>0</v>
      </c>
      <c r="E53" s="369">
        <f t="shared" si="3"/>
        <v>1.1998947949184977</v>
      </c>
      <c r="F53" s="370">
        <v>0</v>
      </c>
      <c r="G53" s="364">
        <v>214</v>
      </c>
      <c r="H53" s="371">
        <v>0</v>
      </c>
      <c r="I53" s="371">
        <v>0</v>
      </c>
      <c r="J53" s="167"/>
      <c r="K53" s="167"/>
      <c r="L53" s="167"/>
      <c r="M53" s="362"/>
    </row>
    <row r="54" spans="1:13" s="82" customFormat="1">
      <c r="A54" s="368" t="s">
        <v>59</v>
      </c>
      <c r="B54" s="364">
        <v>3660.9335097969492</v>
      </c>
      <c r="C54" s="364">
        <v>0</v>
      </c>
      <c r="D54" s="178">
        <v>0</v>
      </c>
      <c r="E54" s="369">
        <f t="shared" si="3"/>
        <v>2.6037933924587122</v>
      </c>
      <c r="F54" s="370">
        <v>0</v>
      </c>
      <c r="G54" s="364">
        <v>1406</v>
      </c>
      <c r="H54" s="371">
        <v>0</v>
      </c>
      <c r="I54" s="371">
        <v>0</v>
      </c>
      <c r="J54" s="167"/>
      <c r="K54" s="167"/>
      <c r="L54" s="167"/>
      <c r="M54" s="362"/>
    </row>
    <row r="55" spans="1:13" s="82" customFormat="1">
      <c r="A55" s="368" t="s">
        <v>61</v>
      </c>
      <c r="B55" s="364">
        <v>2658.2474096926726</v>
      </c>
      <c r="C55" s="364">
        <v>0</v>
      </c>
      <c r="D55" s="178">
        <v>0</v>
      </c>
      <c r="E55" s="369">
        <f t="shared" si="3"/>
        <v>1.3660058631514247</v>
      </c>
      <c r="F55" s="370">
        <v>0</v>
      </c>
      <c r="G55" s="364">
        <v>1946</v>
      </c>
      <c r="H55" s="371">
        <v>0</v>
      </c>
      <c r="I55" s="371">
        <v>0</v>
      </c>
      <c r="J55" s="167"/>
      <c r="K55" s="167"/>
      <c r="L55" s="167"/>
      <c r="M55" s="362"/>
    </row>
    <row r="56" spans="1:13" s="82" customFormat="1">
      <c r="A56" s="368" t="s">
        <v>63</v>
      </c>
      <c r="B56" s="364">
        <v>9900.4574381934217</v>
      </c>
      <c r="C56" s="364">
        <v>0</v>
      </c>
      <c r="D56" s="178">
        <v>0</v>
      </c>
      <c r="E56" s="369">
        <f t="shared" si="3"/>
        <v>2.0712254054797952</v>
      </c>
      <c r="F56" s="370">
        <v>0</v>
      </c>
      <c r="G56" s="364">
        <v>4780</v>
      </c>
      <c r="H56" s="371">
        <v>0</v>
      </c>
      <c r="I56" s="371">
        <v>0</v>
      </c>
      <c r="J56" s="167"/>
      <c r="K56" s="167"/>
      <c r="L56" s="167"/>
      <c r="M56" s="362"/>
    </row>
    <row r="57" spans="1:13" s="82" customFormat="1">
      <c r="A57" s="368" t="s">
        <v>65</v>
      </c>
      <c r="B57" s="364">
        <v>7198.979222843951</v>
      </c>
      <c r="C57" s="364">
        <v>0</v>
      </c>
      <c r="D57" s="178">
        <v>0</v>
      </c>
      <c r="E57" s="369">
        <f t="shared" si="3"/>
        <v>2.5573638447047782</v>
      </c>
      <c r="F57" s="370">
        <v>0</v>
      </c>
      <c r="G57" s="364">
        <v>2815</v>
      </c>
      <c r="H57" s="371">
        <v>0</v>
      </c>
      <c r="I57" s="371">
        <v>0</v>
      </c>
      <c r="J57" s="167"/>
      <c r="K57" s="167"/>
      <c r="L57" s="167"/>
      <c r="M57" s="362"/>
    </row>
    <row r="58" spans="1:13" s="82" customFormat="1">
      <c r="A58" s="368" t="s">
        <v>67</v>
      </c>
      <c r="B58" s="364">
        <v>9774.0388693018049</v>
      </c>
      <c r="C58" s="364">
        <v>0</v>
      </c>
      <c r="D58" s="178">
        <v>0</v>
      </c>
      <c r="E58" s="369">
        <f t="shared" si="3"/>
        <v>2.4325631830019425</v>
      </c>
      <c r="F58" s="370">
        <v>0</v>
      </c>
      <c r="G58" s="364">
        <v>4018</v>
      </c>
      <c r="H58" s="371">
        <v>0</v>
      </c>
      <c r="I58" s="371">
        <v>0</v>
      </c>
      <c r="J58" s="167"/>
      <c r="K58" s="167"/>
      <c r="L58" s="167"/>
      <c r="M58" s="362"/>
    </row>
    <row r="59" spans="1:13" s="82" customFormat="1">
      <c r="A59" s="368" t="s">
        <v>69</v>
      </c>
      <c r="B59" s="364">
        <v>18765.171841803924</v>
      </c>
      <c r="C59" s="364">
        <v>0</v>
      </c>
      <c r="D59" s="904">
        <v>0</v>
      </c>
      <c r="E59" s="369">
        <f t="shared" si="3"/>
        <v>3.7144045609271426</v>
      </c>
      <c r="F59" s="370">
        <v>0</v>
      </c>
      <c r="G59" s="364">
        <v>5052</v>
      </c>
      <c r="H59" s="371">
        <v>0</v>
      </c>
      <c r="I59" s="371">
        <v>0</v>
      </c>
      <c r="J59" s="167"/>
      <c r="K59" s="167"/>
      <c r="L59" s="167"/>
      <c r="M59" s="362"/>
    </row>
    <row r="60" spans="1:13" s="373" customFormat="1">
      <c r="A60" s="368" t="s">
        <v>71</v>
      </c>
      <c r="B60" s="364">
        <v>12206.472782385414</v>
      </c>
      <c r="C60" s="364">
        <v>7.1514180082576013</v>
      </c>
      <c r="D60" s="904">
        <v>0</v>
      </c>
      <c r="E60" s="369">
        <f t="shared" si="3"/>
        <v>3.4835824150643302</v>
      </c>
      <c r="F60" s="370">
        <f t="shared" si="3"/>
        <v>7.1514180082576013</v>
      </c>
      <c r="G60" s="364">
        <v>3504</v>
      </c>
      <c r="H60" s="371">
        <v>1</v>
      </c>
      <c r="I60" s="371">
        <v>0</v>
      </c>
      <c r="J60" s="372"/>
      <c r="K60" s="372"/>
      <c r="L60" s="372"/>
      <c r="M60" s="362"/>
    </row>
    <row r="61" spans="1:13" s="373" customFormat="1">
      <c r="A61" s="368" t="s">
        <v>73</v>
      </c>
      <c r="B61" s="364">
        <v>2514.6250002798993</v>
      </c>
      <c r="C61" s="364">
        <v>1.6147098023605655</v>
      </c>
      <c r="D61" s="904">
        <v>0</v>
      </c>
      <c r="E61" s="369">
        <f t="shared" si="3"/>
        <v>1.1679633071434739</v>
      </c>
      <c r="F61" s="370">
        <f t="shared" si="3"/>
        <v>0.23067282890865221</v>
      </c>
      <c r="G61" s="364">
        <v>2153</v>
      </c>
      <c r="H61" s="371">
        <v>7</v>
      </c>
      <c r="I61" s="371">
        <v>0</v>
      </c>
      <c r="J61" s="372"/>
      <c r="K61" s="372"/>
      <c r="L61" s="372"/>
      <c r="M61" s="362"/>
    </row>
    <row r="62" spans="1:13" s="373" customFormat="1">
      <c r="A62" s="67" t="s">
        <v>42</v>
      </c>
      <c r="B62" s="374">
        <v>7174.7982097151826</v>
      </c>
      <c r="C62" s="374">
        <v>2.3741511382927554</v>
      </c>
      <c r="D62" s="905">
        <v>0</v>
      </c>
      <c r="E62" s="375">
        <f t="shared" si="3"/>
        <v>3.744675474799156</v>
      </c>
      <c r="F62" s="376">
        <f t="shared" si="3"/>
        <v>0.39569185638212589</v>
      </c>
      <c r="G62" s="374">
        <v>1916</v>
      </c>
      <c r="H62" s="377">
        <v>6</v>
      </c>
      <c r="I62" s="377">
        <v>0</v>
      </c>
      <c r="J62" s="372"/>
      <c r="K62" s="372"/>
      <c r="L62" s="372"/>
      <c r="M62" s="362"/>
    </row>
    <row r="63" spans="1:13" s="373" customFormat="1" ht="17.25">
      <c r="A63" s="24" t="s">
        <v>76</v>
      </c>
      <c r="B63" s="202"/>
      <c r="C63" s="202"/>
      <c r="D63" s="202"/>
      <c r="E63" s="202"/>
      <c r="F63" s="202"/>
      <c r="G63" s="202"/>
      <c r="H63" s="378"/>
      <c r="I63" s="379" t="s">
        <v>213</v>
      </c>
      <c r="J63" s="372"/>
      <c r="K63" s="372"/>
      <c r="L63" s="372"/>
      <c r="M63" s="362"/>
    </row>
    <row r="64" spans="1:13" s="373" customFormat="1" ht="17.25">
      <c r="A64" s="24"/>
      <c r="B64" s="202"/>
      <c r="C64" s="202"/>
      <c r="D64" s="202"/>
      <c r="E64" s="202"/>
      <c r="F64" s="202"/>
      <c r="G64" s="202"/>
      <c r="H64" s="378"/>
      <c r="I64" s="379"/>
      <c r="J64" s="372"/>
      <c r="K64" s="372"/>
      <c r="L64" s="372"/>
      <c r="M64" s="362"/>
    </row>
    <row r="65" spans="4:9">
      <c r="D65" s="14"/>
      <c r="E65" s="14"/>
      <c r="F65" s="14"/>
      <c r="I65" s="14"/>
    </row>
    <row r="66" spans="4:9">
      <c r="D66" s="14"/>
      <c r="E66" s="14"/>
      <c r="F66" s="14"/>
      <c r="I66" s="14"/>
    </row>
    <row r="67" spans="4:9">
      <c r="D67" s="14"/>
      <c r="E67" s="14"/>
      <c r="F67" s="14"/>
      <c r="I67" s="14"/>
    </row>
    <row r="68" spans="4:9">
      <c r="D68" s="14"/>
      <c r="E68" s="14"/>
      <c r="F68" s="14"/>
      <c r="I68" s="14"/>
    </row>
    <row r="69" spans="4:9">
      <c r="D69" s="14"/>
      <c r="E69" s="14"/>
      <c r="F69" s="14"/>
      <c r="I69" s="14"/>
    </row>
    <row r="70" spans="4:9">
      <c r="D70" s="14"/>
      <c r="E70" s="14"/>
      <c r="F70" s="14"/>
      <c r="I70" s="14"/>
    </row>
    <row r="71" spans="4:9">
      <c r="D71" s="14"/>
      <c r="E71" s="14"/>
      <c r="F71" s="14"/>
      <c r="I71" s="14"/>
    </row>
    <row r="72" spans="4:9">
      <c r="D72" s="14"/>
      <c r="E72" s="14"/>
      <c r="F72" s="14"/>
      <c r="I72" s="14"/>
    </row>
    <row r="73" spans="4:9">
      <c r="D73" s="14"/>
      <c r="E73" s="14"/>
      <c r="F73" s="14"/>
      <c r="I73" s="14"/>
    </row>
    <row r="74" spans="4:9">
      <c r="D74" s="14"/>
      <c r="E74" s="14"/>
      <c r="F74" s="14"/>
      <c r="I74" s="14"/>
    </row>
    <row r="75" spans="4:9">
      <c r="D75" s="14"/>
      <c r="E75" s="14"/>
      <c r="F75" s="14"/>
      <c r="I75" s="14"/>
    </row>
    <row r="76" spans="4:9">
      <c r="D76" s="14"/>
      <c r="E76" s="14"/>
      <c r="F76" s="14"/>
      <c r="I76" s="14"/>
    </row>
    <row r="77" spans="4:9">
      <c r="D77" s="14"/>
      <c r="E77" s="14"/>
      <c r="F77" s="14"/>
      <c r="I77" s="14"/>
    </row>
    <row r="78" spans="4:9">
      <c r="D78" s="14"/>
      <c r="E78" s="14"/>
      <c r="F78" s="14"/>
      <c r="I78" s="14"/>
    </row>
    <row r="79" spans="4:9">
      <c r="D79" s="14"/>
      <c r="E79" s="14"/>
      <c r="F79" s="14"/>
      <c r="I79" s="14"/>
    </row>
    <row r="80" spans="4:9">
      <c r="D80" s="14"/>
      <c r="E80" s="14"/>
      <c r="F80" s="14"/>
      <c r="I80" s="14"/>
    </row>
    <row r="81" spans="4:9">
      <c r="D81" s="14"/>
      <c r="E81" s="14"/>
      <c r="F81" s="14"/>
      <c r="I81" s="14"/>
    </row>
    <row r="82" spans="4:9">
      <c r="D82" s="14"/>
      <c r="E82" s="14"/>
      <c r="F82" s="14"/>
      <c r="I82" s="14"/>
    </row>
    <row r="83" spans="4:9">
      <c r="D83" s="14"/>
      <c r="E83" s="14"/>
      <c r="F83" s="14"/>
      <c r="I83" s="14"/>
    </row>
    <row r="84" spans="4:9">
      <c r="D84" s="14"/>
      <c r="E84" s="14"/>
      <c r="F84" s="14"/>
      <c r="I84" s="14"/>
    </row>
    <row r="85" spans="4:9">
      <c r="D85" s="14"/>
      <c r="E85" s="14"/>
      <c r="F85" s="14"/>
      <c r="I85" s="14"/>
    </row>
    <row r="86" spans="4:9">
      <c r="D86" s="14"/>
      <c r="E86" s="14"/>
      <c r="F86" s="14"/>
      <c r="I86" s="14"/>
    </row>
    <row r="87" spans="4:9">
      <c r="D87" s="14"/>
      <c r="E87" s="14"/>
      <c r="F87" s="14"/>
      <c r="I87" s="14"/>
    </row>
    <row r="88" spans="4:9">
      <c r="D88" s="14"/>
      <c r="E88" s="14"/>
      <c r="F88" s="14"/>
      <c r="I88" s="14"/>
    </row>
    <row r="89" spans="4:9">
      <c r="D89" s="14"/>
      <c r="E89" s="14"/>
      <c r="F89" s="14"/>
      <c r="I89" s="14"/>
    </row>
    <row r="90" spans="4:9">
      <c r="D90" s="14"/>
      <c r="E90" s="14"/>
      <c r="F90" s="14"/>
      <c r="I90" s="14"/>
    </row>
    <row r="91" spans="4:9">
      <c r="D91" s="14"/>
      <c r="E91" s="14"/>
      <c r="F91" s="14"/>
      <c r="I91" s="14"/>
    </row>
    <row r="92" spans="4:9">
      <c r="D92" s="14"/>
      <c r="E92" s="14"/>
      <c r="F92" s="14"/>
      <c r="I92" s="14"/>
    </row>
    <row r="93" spans="4:9">
      <c r="D93" s="14"/>
      <c r="E93" s="14"/>
      <c r="F93" s="14"/>
      <c r="I93" s="14"/>
    </row>
    <row r="94" spans="4:9">
      <c r="D94" s="14"/>
      <c r="E94" s="14"/>
      <c r="F94" s="14"/>
      <c r="I94" s="14"/>
    </row>
    <row r="95" spans="4:9">
      <c r="D95" s="14"/>
      <c r="E95" s="14"/>
      <c r="F95" s="14"/>
      <c r="I95" s="14"/>
    </row>
    <row r="96" spans="4:9">
      <c r="D96" s="14"/>
      <c r="E96" s="14"/>
      <c r="F96" s="14"/>
      <c r="I96" s="14"/>
    </row>
    <row r="97" spans="4:9">
      <c r="D97" s="14"/>
      <c r="E97" s="14"/>
      <c r="F97" s="14"/>
      <c r="I97" s="14"/>
    </row>
    <row r="98" spans="4:9">
      <c r="D98" s="14"/>
      <c r="E98" s="14"/>
      <c r="F98" s="14"/>
      <c r="I98" s="14"/>
    </row>
    <row r="99" spans="4:9">
      <c r="D99" s="14"/>
      <c r="E99" s="14"/>
      <c r="F99" s="14"/>
      <c r="I99" s="14"/>
    </row>
    <row r="100" spans="4:9">
      <c r="D100" s="14"/>
      <c r="E100" s="14"/>
      <c r="F100" s="14"/>
      <c r="I100" s="14"/>
    </row>
    <row r="101" spans="4:9">
      <c r="D101" s="14"/>
      <c r="E101" s="14"/>
      <c r="F101" s="14"/>
      <c r="I101" s="14"/>
    </row>
    <row r="102" spans="4:9">
      <c r="D102" s="14"/>
      <c r="E102" s="14"/>
      <c r="F102" s="14"/>
      <c r="I102" s="14"/>
    </row>
    <row r="103" spans="4:9">
      <c r="D103" s="14"/>
      <c r="E103" s="14"/>
      <c r="F103" s="14"/>
      <c r="I103" s="14"/>
    </row>
    <row r="104" spans="4:9">
      <c r="D104" s="14"/>
      <c r="E104" s="14"/>
      <c r="F104" s="14"/>
      <c r="I104" s="14"/>
    </row>
    <row r="105" spans="4:9">
      <c r="D105" s="14"/>
      <c r="E105" s="14"/>
      <c r="F105" s="14"/>
      <c r="I105" s="14"/>
    </row>
    <row r="106" spans="4:9">
      <c r="D106" s="14"/>
      <c r="E106" s="14"/>
      <c r="F106" s="14"/>
      <c r="I106" s="14"/>
    </row>
    <row r="107" spans="4:9">
      <c r="D107" s="14"/>
      <c r="E107" s="14"/>
      <c r="F107" s="14"/>
      <c r="I107" s="14"/>
    </row>
    <row r="108" spans="4:9">
      <c r="D108" s="14"/>
      <c r="E108" s="14"/>
      <c r="F108" s="14"/>
      <c r="I108" s="14"/>
    </row>
    <row r="109" spans="4:9">
      <c r="D109" s="14"/>
      <c r="E109" s="14"/>
      <c r="F109" s="14"/>
      <c r="I109" s="14"/>
    </row>
    <row r="110" spans="4:9">
      <c r="D110" s="14"/>
      <c r="E110" s="14"/>
      <c r="F110" s="14"/>
      <c r="I110" s="14"/>
    </row>
    <row r="111" spans="4:9">
      <c r="D111" s="14"/>
      <c r="E111" s="14"/>
      <c r="F111" s="14"/>
      <c r="I111" s="14"/>
    </row>
    <row r="112" spans="4:9">
      <c r="D112" s="14"/>
      <c r="E112" s="14"/>
      <c r="F112" s="14"/>
      <c r="I112" s="14"/>
    </row>
    <row r="113" spans="4:9">
      <c r="D113" s="14"/>
      <c r="E113" s="14"/>
      <c r="F113" s="14"/>
      <c r="I113" s="14"/>
    </row>
    <row r="114" spans="4:9">
      <c r="D114" s="14"/>
      <c r="E114" s="14"/>
      <c r="F114" s="14"/>
      <c r="I114" s="14"/>
    </row>
    <row r="115" spans="4:9">
      <c r="D115" s="14"/>
      <c r="E115" s="14"/>
      <c r="F115" s="14"/>
      <c r="I115" s="14"/>
    </row>
    <row r="116" spans="4:9">
      <c r="D116" s="14"/>
      <c r="E116" s="14"/>
      <c r="F116" s="14"/>
      <c r="I116" s="14"/>
    </row>
    <row r="117" spans="4:9">
      <c r="D117" s="14"/>
      <c r="E117" s="14"/>
      <c r="F117" s="14"/>
      <c r="I117" s="14"/>
    </row>
    <row r="118" spans="4:9">
      <c r="D118" s="14"/>
      <c r="E118" s="14"/>
      <c r="F118" s="14"/>
      <c r="I118" s="14"/>
    </row>
    <row r="119" spans="4:9">
      <c r="D119" s="14"/>
      <c r="E119" s="14"/>
      <c r="F119" s="14"/>
      <c r="I119" s="14"/>
    </row>
    <row r="120" spans="4:9">
      <c r="D120" s="14"/>
      <c r="E120" s="14"/>
      <c r="F120" s="14"/>
      <c r="I120" s="14"/>
    </row>
    <row r="121" spans="4:9">
      <c r="D121" s="14"/>
      <c r="E121" s="14"/>
      <c r="F121" s="14"/>
      <c r="I121" s="14"/>
    </row>
    <row r="122" spans="4:9">
      <c r="D122" s="14"/>
      <c r="E122" s="14"/>
      <c r="F122" s="14"/>
      <c r="I122" s="14"/>
    </row>
    <row r="123" spans="4:9">
      <c r="D123" s="14"/>
      <c r="E123" s="14"/>
      <c r="F123" s="14"/>
      <c r="I123" s="14"/>
    </row>
    <row r="124" spans="4:9">
      <c r="D124" s="14"/>
      <c r="E124" s="14"/>
      <c r="F124" s="14"/>
      <c r="I124" s="14"/>
    </row>
    <row r="125" spans="4:9">
      <c r="D125" s="14"/>
      <c r="E125" s="14"/>
      <c r="F125" s="14"/>
      <c r="I125" s="14"/>
    </row>
    <row r="126" spans="4:9">
      <c r="D126" s="14"/>
      <c r="E126" s="14"/>
      <c r="F126" s="14"/>
      <c r="I126" s="14"/>
    </row>
    <row r="127" spans="4:9">
      <c r="D127" s="14"/>
      <c r="E127" s="14"/>
      <c r="F127" s="14"/>
      <c r="I127" s="14"/>
    </row>
    <row r="128" spans="4:9">
      <c r="D128" s="14"/>
      <c r="E128" s="14"/>
      <c r="F128" s="14"/>
      <c r="I128" s="14"/>
    </row>
    <row r="129" spans="4:9">
      <c r="D129" s="14"/>
      <c r="E129" s="14"/>
      <c r="F129" s="14"/>
      <c r="I129" s="14"/>
    </row>
    <row r="130" spans="4:9">
      <c r="D130" s="14"/>
      <c r="E130" s="14"/>
      <c r="F130" s="14"/>
      <c r="I130" s="14"/>
    </row>
    <row r="131" spans="4:9">
      <c r="D131" s="14"/>
      <c r="E131" s="14"/>
      <c r="F131" s="14"/>
      <c r="I131" s="14"/>
    </row>
    <row r="132" spans="4:9">
      <c r="D132" s="14"/>
      <c r="E132" s="14"/>
      <c r="F132" s="14"/>
      <c r="I132" s="14"/>
    </row>
    <row r="133" spans="4:9">
      <c r="D133" s="14"/>
      <c r="E133" s="14"/>
      <c r="F133" s="14"/>
      <c r="I133" s="14"/>
    </row>
    <row r="134" spans="4:9">
      <c r="D134" s="14"/>
      <c r="E134" s="14"/>
      <c r="F134" s="14"/>
      <c r="I134" s="14"/>
    </row>
    <row r="135" spans="4:9">
      <c r="D135" s="14"/>
      <c r="E135" s="14"/>
      <c r="F135" s="14"/>
      <c r="I135" s="14"/>
    </row>
    <row r="136" spans="4:9">
      <c r="D136" s="14"/>
      <c r="E136" s="14"/>
      <c r="F136" s="14"/>
      <c r="I136" s="14"/>
    </row>
    <row r="137" spans="4:9">
      <c r="D137" s="14"/>
      <c r="E137" s="14"/>
      <c r="F137" s="14"/>
      <c r="I137" s="14"/>
    </row>
    <row r="138" spans="4:9">
      <c r="D138" s="14"/>
      <c r="E138" s="14"/>
      <c r="F138" s="14"/>
      <c r="I138" s="14"/>
    </row>
    <row r="139" spans="4:9">
      <c r="D139" s="14"/>
      <c r="E139" s="14"/>
      <c r="F139" s="14"/>
      <c r="I139" s="14"/>
    </row>
    <row r="140" spans="4:9">
      <c r="D140" s="14"/>
      <c r="E140" s="14"/>
      <c r="F140" s="14"/>
      <c r="I140" s="14"/>
    </row>
    <row r="141" spans="4:9">
      <c r="D141" s="14"/>
      <c r="E141" s="14"/>
      <c r="F141" s="14"/>
      <c r="I141" s="14"/>
    </row>
    <row r="142" spans="4:9">
      <c r="D142" s="14"/>
      <c r="E142" s="14"/>
      <c r="F142" s="14"/>
      <c r="I142" s="14"/>
    </row>
    <row r="143" spans="4:9">
      <c r="D143" s="14"/>
      <c r="E143" s="14"/>
      <c r="F143" s="14"/>
      <c r="I143" s="14"/>
    </row>
    <row r="144" spans="4:9">
      <c r="D144" s="14"/>
      <c r="E144" s="14"/>
      <c r="F144" s="14"/>
      <c r="I144" s="14"/>
    </row>
    <row r="145" spans="4:9">
      <c r="D145" s="14"/>
      <c r="E145" s="14"/>
      <c r="F145" s="14"/>
      <c r="I145" s="14"/>
    </row>
    <row r="146" spans="4:9">
      <c r="D146" s="14"/>
      <c r="E146" s="14"/>
      <c r="F146" s="14"/>
      <c r="I146" s="14"/>
    </row>
    <row r="147" spans="4:9">
      <c r="D147" s="14"/>
      <c r="E147" s="14"/>
      <c r="F147" s="14"/>
      <c r="I147" s="14"/>
    </row>
    <row r="148" spans="4:9">
      <c r="D148" s="14"/>
      <c r="E148" s="14"/>
      <c r="F148" s="14"/>
      <c r="I148" s="14"/>
    </row>
    <row r="149" spans="4:9">
      <c r="D149" s="14"/>
      <c r="E149" s="14"/>
      <c r="F149" s="14"/>
      <c r="I149" s="14"/>
    </row>
    <row r="150" spans="4:9">
      <c r="D150" s="14"/>
      <c r="E150" s="14"/>
      <c r="F150" s="14"/>
      <c r="I150" s="14"/>
    </row>
    <row r="151" spans="4:9">
      <c r="D151" s="14"/>
      <c r="E151" s="14"/>
      <c r="F151" s="14"/>
      <c r="I151" s="14"/>
    </row>
    <row r="152" spans="4:9">
      <c r="D152" s="14"/>
      <c r="E152" s="14"/>
      <c r="F152" s="14"/>
      <c r="I152" s="14"/>
    </row>
    <row r="153" spans="4:9">
      <c r="D153" s="14"/>
      <c r="E153" s="14"/>
      <c r="F153" s="14"/>
      <c r="I153" s="14"/>
    </row>
    <row r="154" spans="4:9">
      <c r="D154" s="14"/>
      <c r="E154" s="14"/>
      <c r="F154" s="14"/>
      <c r="I154" s="14"/>
    </row>
    <row r="155" spans="4:9">
      <c r="D155" s="14"/>
      <c r="E155" s="14"/>
      <c r="F155" s="14"/>
      <c r="I155" s="14"/>
    </row>
    <row r="156" spans="4:9">
      <c r="D156" s="14"/>
      <c r="E156" s="14"/>
      <c r="F156" s="14"/>
      <c r="I156" s="14"/>
    </row>
    <row r="157" spans="4:9">
      <c r="D157" s="14"/>
      <c r="E157" s="14"/>
      <c r="F157" s="14"/>
      <c r="I157" s="14"/>
    </row>
    <row r="158" spans="4:9">
      <c r="D158" s="14"/>
      <c r="E158" s="14"/>
      <c r="F158" s="14"/>
      <c r="I158" s="14"/>
    </row>
    <row r="159" spans="4:9">
      <c r="D159" s="14"/>
      <c r="E159" s="14"/>
      <c r="F159" s="14"/>
      <c r="I159" s="14"/>
    </row>
    <row r="160" spans="4:9">
      <c r="D160" s="14"/>
      <c r="E160" s="14"/>
      <c r="F160" s="14"/>
      <c r="I160" s="14"/>
    </row>
    <row r="161" spans="4:9">
      <c r="D161" s="14"/>
      <c r="E161" s="14"/>
      <c r="F161" s="14"/>
      <c r="I161" s="14"/>
    </row>
    <row r="162" spans="4:9">
      <c r="D162" s="14"/>
      <c r="E162" s="14"/>
      <c r="F162" s="14"/>
      <c r="I162" s="14"/>
    </row>
    <row r="163" spans="4:9">
      <c r="D163" s="14"/>
      <c r="E163" s="14"/>
      <c r="F163" s="14"/>
      <c r="I163" s="14"/>
    </row>
    <row r="164" spans="4:9">
      <c r="D164" s="14"/>
      <c r="E164" s="14"/>
      <c r="F164" s="14"/>
      <c r="I164" s="14"/>
    </row>
    <row r="165" spans="4:9">
      <c r="D165" s="14"/>
      <c r="E165" s="14"/>
      <c r="F165" s="14"/>
      <c r="I165" s="14"/>
    </row>
    <row r="166" spans="4:9">
      <c r="D166" s="14"/>
      <c r="E166" s="14"/>
      <c r="F166" s="14"/>
      <c r="I166" s="14"/>
    </row>
    <row r="167" spans="4:9">
      <c r="D167" s="14"/>
      <c r="E167" s="14"/>
      <c r="F167" s="14"/>
      <c r="I167" s="14"/>
    </row>
    <row r="168" spans="4:9">
      <c r="D168" s="14"/>
      <c r="E168" s="14"/>
      <c r="F168" s="14"/>
      <c r="I168" s="14"/>
    </row>
    <row r="169" spans="4:9">
      <c r="D169" s="14"/>
      <c r="E169" s="14"/>
      <c r="F169" s="14"/>
      <c r="I169" s="14"/>
    </row>
    <row r="170" spans="4:9">
      <c r="D170" s="14"/>
      <c r="E170" s="14"/>
      <c r="F170" s="14"/>
      <c r="I170" s="14"/>
    </row>
    <row r="171" spans="4:9">
      <c r="D171" s="14"/>
      <c r="E171" s="14"/>
      <c r="F171" s="14"/>
      <c r="I171" s="14"/>
    </row>
    <row r="172" spans="4:9">
      <c r="D172" s="14"/>
      <c r="E172" s="14"/>
      <c r="F172" s="14"/>
      <c r="I172" s="14"/>
    </row>
    <row r="173" spans="4:9">
      <c r="D173" s="14"/>
      <c r="E173" s="14"/>
      <c r="F173" s="14"/>
      <c r="I173" s="14"/>
    </row>
    <row r="174" spans="4:9">
      <c r="D174" s="14"/>
      <c r="E174" s="14"/>
      <c r="F174" s="14"/>
      <c r="I174" s="14"/>
    </row>
    <row r="175" spans="4:9">
      <c r="D175" s="14"/>
      <c r="E175" s="14"/>
      <c r="F175" s="14"/>
      <c r="I175" s="14"/>
    </row>
    <row r="176" spans="4:9">
      <c r="D176" s="14"/>
      <c r="E176" s="14"/>
      <c r="F176" s="14"/>
      <c r="I176" s="14"/>
    </row>
    <row r="177" spans="4:9">
      <c r="D177" s="14"/>
      <c r="E177" s="14"/>
      <c r="F177" s="14"/>
      <c r="I177" s="14"/>
    </row>
    <row r="178" spans="4:9">
      <c r="D178" s="14"/>
      <c r="E178" s="14"/>
      <c r="F178" s="14"/>
      <c r="I178" s="14"/>
    </row>
    <row r="179" spans="4:9">
      <c r="D179" s="14"/>
      <c r="E179" s="14"/>
      <c r="F179" s="14"/>
      <c r="I179" s="14"/>
    </row>
    <row r="180" spans="4:9">
      <c r="D180" s="14"/>
      <c r="E180" s="14"/>
      <c r="F180" s="14"/>
      <c r="I180" s="14"/>
    </row>
    <row r="181" spans="4:9">
      <c r="D181" s="14"/>
      <c r="E181" s="14"/>
      <c r="F181" s="14"/>
      <c r="I181" s="14"/>
    </row>
    <row r="182" spans="4:9">
      <c r="D182" s="14"/>
      <c r="E182" s="14"/>
      <c r="F182" s="14"/>
      <c r="I182" s="14"/>
    </row>
    <row r="183" spans="4:9">
      <c r="D183" s="14"/>
      <c r="E183" s="14"/>
      <c r="F183" s="14"/>
      <c r="I183" s="14"/>
    </row>
    <row r="184" spans="4:9">
      <c r="D184" s="14"/>
      <c r="E184" s="14"/>
      <c r="F184" s="14"/>
      <c r="I184" s="14"/>
    </row>
    <row r="185" spans="4:9">
      <c r="D185" s="14"/>
      <c r="E185" s="14"/>
      <c r="F185" s="14"/>
      <c r="I185" s="14"/>
    </row>
    <row r="186" spans="4:9">
      <c r="D186" s="14"/>
      <c r="E186" s="14"/>
      <c r="F186" s="14"/>
      <c r="I186" s="14"/>
    </row>
    <row r="187" spans="4:9">
      <c r="D187" s="14"/>
      <c r="E187" s="14"/>
      <c r="F187" s="14"/>
      <c r="I187" s="14"/>
    </row>
    <row r="188" spans="4:9">
      <c r="D188" s="14"/>
      <c r="E188" s="14"/>
      <c r="F188" s="14"/>
      <c r="I188" s="14"/>
    </row>
    <row r="189" spans="4:9">
      <c r="D189" s="14"/>
      <c r="E189" s="14"/>
      <c r="F189" s="14"/>
      <c r="I189" s="14"/>
    </row>
    <row r="190" spans="4:9">
      <c r="D190" s="14"/>
      <c r="E190" s="14"/>
      <c r="F190" s="14"/>
      <c r="I190" s="14"/>
    </row>
    <row r="191" spans="4:9">
      <c r="D191" s="14"/>
      <c r="E191" s="14"/>
      <c r="F191" s="14"/>
      <c r="I191" s="14"/>
    </row>
    <row r="192" spans="4:9">
      <c r="D192" s="14"/>
      <c r="E192" s="14"/>
      <c r="F192" s="14"/>
      <c r="I192" s="14"/>
    </row>
    <row r="193" spans="4:9">
      <c r="D193" s="14"/>
      <c r="E193" s="14"/>
      <c r="F193" s="14"/>
      <c r="I193" s="14"/>
    </row>
    <row r="194" spans="4:9">
      <c r="D194" s="14"/>
      <c r="E194" s="14"/>
      <c r="F194" s="14"/>
      <c r="I194" s="14"/>
    </row>
    <row r="195" spans="4:9">
      <c r="D195" s="14"/>
      <c r="E195" s="14"/>
      <c r="F195" s="14"/>
      <c r="I195" s="14"/>
    </row>
    <row r="196" spans="4:9">
      <c r="D196" s="14"/>
      <c r="E196" s="14"/>
      <c r="F196" s="14"/>
      <c r="I196" s="14"/>
    </row>
    <row r="197" spans="4:9">
      <c r="D197" s="14"/>
      <c r="E197" s="14"/>
      <c r="F197" s="14"/>
      <c r="I197" s="14"/>
    </row>
    <row r="198" spans="4:9">
      <c r="D198" s="14"/>
      <c r="E198" s="14"/>
      <c r="F198" s="14"/>
      <c r="I198" s="14"/>
    </row>
    <row r="199" spans="4:9">
      <c r="D199" s="14"/>
      <c r="E199" s="14"/>
      <c r="F199" s="14"/>
      <c r="I199" s="14"/>
    </row>
    <row r="200" spans="4:9">
      <c r="D200" s="14"/>
      <c r="E200" s="14"/>
      <c r="F200" s="14"/>
      <c r="I200" s="14"/>
    </row>
    <row r="201" spans="4:9">
      <c r="D201" s="14"/>
      <c r="E201" s="14"/>
      <c r="F201" s="14"/>
      <c r="I201" s="14"/>
    </row>
    <row r="202" spans="4:9">
      <c r="D202" s="14"/>
      <c r="E202" s="14"/>
      <c r="F202" s="14"/>
      <c r="I202" s="14"/>
    </row>
    <row r="203" spans="4:9">
      <c r="D203" s="14"/>
      <c r="E203" s="14"/>
      <c r="F203" s="14"/>
      <c r="I203" s="14"/>
    </row>
    <row r="204" spans="4:9">
      <c r="D204" s="14"/>
      <c r="E204" s="14"/>
      <c r="F204" s="14"/>
      <c r="I204" s="14"/>
    </row>
    <row r="205" spans="4:9">
      <c r="D205" s="14"/>
      <c r="E205" s="14"/>
      <c r="F205" s="14"/>
      <c r="I205" s="14"/>
    </row>
    <row r="206" spans="4:9">
      <c r="D206" s="14"/>
      <c r="E206" s="14"/>
      <c r="F206" s="14"/>
      <c r="I206" s="14"/>
    </row>
    <row r="207" spans="4:9">
      <c r="D207" s="14"/>
      <c r="E207" s="14"/>
      <c r="F207" s="14"/>
      <c r="I207" s="14"/>
    </row>
    <row r="208" spans="4:9">
      <c r="D208" s="14"/>
      <c r="E208" s="14"/>
      <c r="F208" s="14"/>
      <c r="I208" s="14"/>
    </row>
    <row r="209" spans="4:9">
      <c r="D209" s="14"/>
      <c r="E209" s="14"/>
      <c r="F209" s="14"/>
      <c r="I209" s="14"/>
    </row>
    <row r="210" spans="4:9">
      <c r="D210" s="14"/>
      <c r="E210" s="14"/>
      <c r="F210" s="14"/>
      <c r="I210" s="14"/>
    </row>
    <row r="211" spans="4:9">
      <c r="D211" s="14"/>
      <c r="E211" s="14"/>
      <c r="F211" s="14"/>
      <c r="I211" s="14"/>
    </row>
    <row r="212" spans="4:9">
      <c r="D212" s="14"/>
      <c r="E212" s="14"/>
      <c r="F212" s="14"/>
      <c r="I212" s="14"/>
    </row>
    <row r="213" spans="4:9">
      <c r="D213" s="14"/>
      <c r="E213" s="14"/>
      <c r="F213" s="14"/>
      <c r="I213" s="14"/>
    </row>
    <row r="214" spans="4:9">
      <c r="D214" s="14"/>
      <c r="E214" s="14"/>
      <c r="F214" s="14"/>
      <c r="I214" s="14"/>
    </row>
    <row r="215" spans="4:9">
      <c r="D215" s="14"/>
      <c r="E215" s="14"/>
      <c r="F215" s="14"/>
      <c r="I215" s="14"/>
    </row>
    <row r="216" spans="4:9">
      <c r="D216" s="14"/>
      <c r="E216" s="14"/>
      <c r="F216" s="14"/>
      <c r="I216" s="14"/>
    </row>
    <row r="217" spans="4:9">
      <c r="D217" s="14"/>
      <c r="E217" s="14"/>
      <c r="F217" s="14"/>
      <c r="I217" s="14"/>
    </row>
    <row r="218" spans="4:9">
      <c r="D218" s="14"/>
      <c r="E218" s="14"/>
      <c r="F218" s="14"/>
      <c r="I218" s="14"/>
    </row>
    <row r="219" spans="4:9">
      <c r="D219" s="14"/>
      <c r="E219" s="14"/>
      <c r="F219" s="14"/>
      <c r="I219" s="14"/>
    </row>
    <row r="220" spans="4:9">
      <c r="D220" s="14"/>
      <c r="E220" s="14"/>
      <c r="F220" s="14"/>
      <c r="I220" s="14"/>
    </row>
    <row r="221" spans="4:9">
      <c r="D221" s="14"/>
      <c r="E221" s="14"/>
      <c r="F221" s="14"/>
      <c r="I221" s="14"/>
    </row>
    <row r="222" spans="4:9">
      <c r="D222" s="14"/>
      <c r="E222" s="14"/>
      <c r="F222" s="14"/>
      <c r="I222" s="14"/>
    </row>
    <row r="223" spans="4:9">
      <c r="D223" s="14"/>
      <c r="E223" s="14"/>
      <c r="F223" s="14"/>
      <c r="I223" s="14"/>
    </row>
    <row r="224" spans="4:9">
      <c r="D224" s="14"/>
      <c r="E224" s="14"/>
      <c r="F224" s="14"/>
      <c r="I224" s="14"/>
    </row>
    <row r="225" spans="4:9">
      <c r="D225" s="14"/>
      <c r="E225" s="14"/>
      <c r="F225" s="14"/>
      <c r="I225" s="14"/>
    </row>
    <row r="226" spans="4:9">
      <c r="D226" s="14"/>
      <c r="E226" s="14"/>
      <c r="F226" s="14"/>
      <c r="I226" s="14"/>
    </row>
    <row r="227" spans="4:9">
      <c r="D227" s="14"/>
      <c r="E227" s="14"/>
      <c r="F227" s="14"/>
      <c r="I227" s="14"/>
    </row>
  </sheetData>
  <mergeCells count="12">
    <mergeCell ref="A1:I1"/>
    <mergeCell ref="A2:I2"/>
    <mergeCell ref="A4:A6"/>
    <mergeCell ref="B4:D4"/>
    <mergeCell ref="E4:F4"/>
    <mergeCell ref="G4:I4"/>
    <mergeCell ref="A33:I33"/>
    <mergeCell ref="A34:I34"/>
    <mergeCell ref="A36:A38"/>
    <mergeCell ref="B36:D36"/>
    <mergeCell ref="E36:F36"/>
    <mergeCell ref="G36:I36"/>
  </mergeCells>
  <pageMargins left="0.7" right="0.7" top="0.75" bottom="0.75" header="0.3" footer="0.3"/>
  <pageSetup paperSize="9"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6"/>
  <sheetViews>
    <sheetView workbookViewId="0">
      <selection activeCell="P17" sqref="P17"/>
    </sheetView>
  </sheetViews>
  <sheetFormatPr defaultColWidth="10" defaultRowHeight="15"/>
  <cols>
    <col min="1" max="1" width="13.42578125" style="381" customWidth="1"/>
    <col min="2" max="3" width="16.28515625" style="381" hidden="1" customWidth="1"/>
    <col min="4" max="10" width="16.28515625" style="381" customWidth="1"/>
    <col min="11" max="11" width="14.42578125" style="381" customWidth="1"/>
    <col min="12" max="12" width="1.85546875" style="381" customWidth="1"/>
    <col min="13" max="16384" width="10" style="381"/>
  </cols>
  <sheetData>
    <row r="1" spans="1:34" ht="21">
      <c r="A1" s="830" t="s">
        <v>458</v>
      </c>
      <c r="B1" s="830"/>
      <c r="C1" s="830"/>
      <c r="D1" s="830"/>
      <c r="E1" s="830"/>
      <c r="F1" s="830"/>
      <c r="G1" s="830"/>
      <c r="H1" s="830"/>
      <c r="I1" s="830"/>
      <c r="J1" s="830"/>
      <c r="K1" s="830"/>
    </row>
    <row r="2" spans="1:34" s="382" customFormat="1">
      <c r="A2" s="831" t="s">
        <v>457</v>
      </c>
      <c r="B2" s="831"/>
      <c r="C2" s="831"/>
      <c r="D2" s="831"/>
      <c r="E2" s="831"/>
      <c r="F2" s="831"/>
      <c r="G2" s="831"/>
      <c r="H2" s="831"/>
      <c r="I2" s="831"/>
      <c r="J2" s="831"/>
      <c r="K2" s="831"/>
    </row>
    <row r="3" spans="1:34" s="382" customFormat="1" ht="15" customHeight="1">
      <c r="A3" s="832" t="s">
        <v>34</v>
      </c>
      <c r="B3" s="834" t="s">
        <v>214</v>
      </c>
      <c r="C3" s="834"/>
      <c r="D3" s="834"/>
      <c r="E3" s="834"/>
      <c r="F3" s="834"/>
      <c r="G3" s="834"/>
      <c r="H3" s="694"/>
      <c r="I3" s="694"/>
      <c r="J3" s="694"/>
      <c r="K3" s="835" t="s">
        <v>215</v>
      </c>
    </row>
    <row r="4" spans="1:34">
      <c r="A4" s="833"/>
      <c r="B4" s="383">
        <v>2012</v>
      </c>
      <c r="C4" s="383">
        <v>2013</v>
      </c>
      <c r="D4" s="383">
        <v>2014</v>
      </c>
      <c r="E4" s="383">
        <v>2015</v>
      </c>
      <c r="F4" s="383">
        <v>2016</v>
      </c>
      <c r="G4" s="383">
        <v>2017</v>
      </c>
      <c r="H4" s="383">
        <v>2018</v>
      </c>
      <c r="I4" s="383">
        <v>2019</v>
      </c>
      <c r="J4" s="383">
        <v>2020</v>
      </c>
      <c r="K4" s="836"/>
    </row>
    <row r="5" spans="1:34" ht="21">
      <c r="A5" s="384" t="s">
        <v>216</v>
      </c>
      <c r="B5" s="385">
        <f t="shared" ref="B5:J5" si="0">SUM(B6:B25)</f>
        <v>9973.2153715049062</v>
      </c>
      <c r="C5" s="385">
        <f t="shared" si="0"/>
        <v>9284.1709889907397</v>
      </c>
      <c r="D5" s="385">
        <f t="shared" si="0"/>
        <v>8595.9331314201481</v>
      </c>
      <c r="E5" s="385">
        <f t="shared" si="0"/>
        <v>7908.6475563130498</v>
      </c>
      <c r="F5" s="385">
        <f t="shared" si="0"/>
        <v>7044.5760401584021</v>
      </c>
      <c r="G5" s="385">
        <f t="shared" si="0"/>
        <v>17589</v>
      </c>
      <c r="H5" s="385">
        <f t="shared" si="0"/>
        <v>0</v>
      </c>
      <c r="I5" s="385">
        <f t="shared" si="0"/>
        <v>0</v>
      </c>
      <c r="J5" s="385">
        <f t="shared" si="0"/>
        <v>0</v>
      </c>
      <c r="K5" s="386" t="s">
        <v>217</v>
      </c>
      <c r="AG5" s="381">
        <v>2013</v>
      </c>
      <c r="AH5" s="381">
        <v>2014</v>
      </c>
    </row>
    <row r="6" spans="1:34">
      <c r="A6" s="387" t="s">
        <v>218</v>
      </c>
      <c r="B6" s="388">
        <v>659.99566999861804</v>
      </c>
      <c r="C6" s="388">
        <v>614.39690450965031</v>
      </c>
      <c r="D6" s="388">
        <v>568.85151227601443</v>
      </c>
      <c r="E6" s="388">
        <v>523.36913906674647</v>
      </c>
      <c r="F6" s="388">
        <v>466.18763460825454</v>
      </c>
      <c r="G6" s="388">
        <v>902</v>
      </c>
      <c r="H6" s="695"/>
      <c r="I6" s="695"/>
      <c r="J6" s="695"/>
      <c r="K6" s="389" t="s">
        <v>38</v>
      </c>
      <c r="AF6" s="387" t="s">
        <v>218</v>
      </c>
      <c r="AG6" s="390">
        <v>614.39690450965031</v>
      </c>
      <c r="AH6" s="390">
        <v>568.85151227601443</v>
      </c>
    </row>
    <row r="7" spans="1:34">
      <c r="A7" s="387" t="s">
        <v>219</v>
      </c>
      <c r="B7" s="388">
        <v>451.02855958358282</v>
      </c>
      <c r="C7" s="388">
        <v>419.86722557464651</v>
      </c>
      <c r="D7" s="388">
        <v>388.74236583905287</v>
      </c>
      <c r="E7" s="388">
        <v>357.66057211294856</v>
      </c>
      <c r="F7" s="388">
        <v>318.58381333544037</v>
      </c>
      <c r="G7" s="388">
        <v>915</v>
      </c>
      <c r="H7" s="695"/>
      <c r="I7" s="695"/>
      <c r="J7" s="695"/>
      <c r="K7" s="389" t="s">
        <v>40</v>
      </c>
      <c r="AF7" s="387" t="s">
        <v>219</v>
      </c>
      <c r="AG7" s="390">
        <v>419.86722557464651</v>
      </c>
      <c r="AH7" s="390">
        <v>388.74236583905287</v>
      </c>
    </row>
    <row r="8" spans="1:34">
      <c r="A8" s="387" t="s">
        <v>220</v>
      </c>
      <c r="B8" s="388">
        <v>838.17979230324352</v>
      </c>
      <c r="C8" s="388">
        <v>780.27037634160934</v>
      </c>
      <c r="D8" s="388">
        <v>722.4287432247761</v>
      </c>
      <c r="E8" s="388">
        <v>664.66714286445438</v>
      </c>
      <c r="F8" s="388">
        <v>592.04790654324313</v>
      </c>
      <c r="G8" s="388">
        <v>1274</v>
      </c>
      <c r="H8" s="695"/>
      <c r="I8" s="695"/>
      <c r="J8" s="695"/>
      <c r="K8" s="389" t="s">
        <v>42</v>
      </c>
      <c r="M8" s="391"/>
      <c r="AF8" s="387" t="s">
        <v>220</v>
      </c>
      <c r="AG8" s="390">
        <v>780.27037634160934</v>
      </c>
      <c r="AH8" s="390">
        <v>722.4287432247761</v>
      </c>
    </row>
    <row r="9" spans="1:34">
      <c r="A9" s="387" t="s">
        <v>74</v>
      </c>
      <c r="B9" s="388">
        <v>300.16039942471377</v>
      </c>
      <c r="C9" s="388">
        <v>279.42246994334147</v>
      </c>
      <c r="D9" s="388">
        <v>258.70881416309669</v>
      </c>
      <c r="E9" s="388">
        <v>238.02381889743629</v>
      </c>
      <c r="F9" s="388">
        <v>212.01815856029657</v>
      </c>
      <c r="G9" s="388">
        <v>1002</v>
      </c>
      <c r="H9" s="695"/>
      <c r="I9" s="695"/>
      <c r="J9" s="695"/>
      <c r="K9" s="389" t="s">
        <v>44</v>
      </c>
      <c r="AF9" s="387" t="s">
        <v>74</v>
      </c>
      <c r="AG9" s="390">
        <v>279.42246994334147</v>
      </c>
      <c r="AH9" s="390">
        <v>258.70881416309669</v>
      </c>
    </row>
    <row r="10" spans="1:34">
      <c r="A10" s="387" t="s">
        <v>221</v>
      </c>
      <c r="B10" s="388">
        <v>760.6970150628772</v>
      </c>
      <c r="C10" s="388">
        <v>708.14084481090788</v>
      </c>
      <c r="D10" s="388">
        <v>655.64619144133758</v>
      </c>
      <c r="E10" s="388">
        <v>603.22417246303371</v>
      </c>
      <c r="F10" s="388">
        <v>537.31798286868298</v>
      </c>
      <c r="G10" s="388">
        <v>1364</v>
      </c>
      <c r="H10" s="695"/>
      <c r="I10" s="695"/>
      <c r="J10" s="695"/>
      <c r="K10" s="389" t="s">
        <v>46</v>
      </c>
      <c r="AF10" s="387" t="s">
        <v>221</v>
      </c>
      <c r="AG10" s="390">
        <v>708.14084481090788</v>
      </c>
      <c r="AH10" s="390">
        <v>655.64619144133758</v>
      </c>
    </row>
    <row r="11" spans="1:34">
      <c r="A11" s="387" t="s">
        <v>47</v>
      </c>
      <c r="B11" s="388">
        <v>704.85688475337929</v>
      </c>
      <c r="C11" s="388">
        <v>656.15868073149386</v>
      </c>
      <c r="D11" s="388">
        <v>607.51747785096802</v>
      </c>
      <c r="E11" s="388">
        <v>558.94357752289102</v>
      </c>
      <c r="F11" s="388">
        <v>497.87533278999985</v>
      </c>
      <c r="G11" s="388">
        <v>789</v>
      </c>
      <c r="H11" s="695"/>
      <c r="I11" s="695"/>
      <c r="J11" s="695"/>
      <c r="K11" s="389" t="s">
        <v>48</v>
      </c>
      <c r="AF11" s="387" t="s">
        <v>47</v>
      </c>
      <c r="AG11" s="390">
        <v>656.15868073149386</v>
      </c>
      <c r="AH11" s="390">
        <v>607.51747785096802</v>
      </c>
    </row>
    <row r="12" spans="1:34">
      <c r="A12" s="387" t="s">
        <v>49</v>
      </c>
      <c r="B12" s="388">
        <v>352.42844237668965</v>
      </c>
      <c r="C12" s="388">
        <v>328.07934036574693</v>
      </c>
      <c r="D12" s="388">
        <v>303.75873892548401</v>
      </c>
      <c r="E12" s="388">
        <v>279.47178876144551</v>
      </c>
      <c r="F12" s="388">
        <v>248.93766639499992</v>
      </c>
      <c r="G12" s="388">
        <v>621</v>
      </c>
      <c r="H12" s="695"/>
      <c r="I12" s="695"/>
      <c r="J12" s="695"/>
      <c r="K12" s="389" t="s">
        <v>50</v>
      </c>
      <c r="AF12" s="387" t="s">
        <v>49</v>
      </c>
      <c r="AG12" s="390">
        <v>328.07934036574693</v>
      </c>
      <c r="AH12" s="390">
        <v>303.75873892548401</v>
      </c>
    </row>
    <row r="13" spans="1:34">
      <c r="A13" s="387" t="s">
        <v>51</v>
      </c>
      <c r="B13" s="388">
        <v>562.60375880971026</v>
      </c>
      <c r="C13" s="388">
        <v>523.73375097885662</v>
      </c>
      <c r="D13" s="388">
        <v>484.90924040720427</v>
      </c>
      <c r="E13" s="388">
        <v>446.13844949099439</v>
      </c>
      <c r="F13" s="388">
        <v>397.39490342680705</v>
      </c>
      <c r="G13" s="388">
        <v>828</v>
      </c>
      <c r="H13" s="695"/>
      <c r="I13" s="695"/>
      <c r="J13" s="695"/>
      <c r="K13" s="389" t="s">
        <v>222</v>
      </c>
      <c r="AF13" s="387" t="s">
        <v>51</v>
      </c>
      <c r="AG13" s="390">
        <v>523.73375097885662</v>
      </c>
      <c r="AH13" s="390">
        <v>484.90924040720427</v>
      </c>
    </row>
    <row r="14" spans="1:34">
      <c r="A14" s="387" t="s">
        <v>53</v>
      </c>
      <c r="B14" s="388">
        <v>430.80424145643639</v>
      </c>
      <c r="C14" s="388">
        <v>401.0401953107006</v>
      </c>
      <c r="D14" s="388">
        <v>371.31098791591808</v>
      </c>
      <c r="E14" s="388">
        <v>341.62291543189968</v>
      </c>
      <c r="F14" s="388">
        <v>304.29837563055514</v>
      </c>
      <c r="G14" s="388">
        <v>610</v>
      </c>
      <c r="H14" s="695"/>
      <c r="I14" s="695"/>
      <c r="J14" s="695"/>
      <c r="K14" s="389" t="s">
        <v>54</v>
      </c>
      <c r="AF14" s="387" t="s">
        <v>53</v>
      </c>
      <c r="AG14" s="390">
        <v>401.0401953107006</v>
      </c>
      <c r="AH14" s="390">
        <v>371.31098791591808</v>
      </c>
    </row>
    <row r="15" spans="1:34">
      <c r="A15" s="387" t="s">
        <v>55</v>
      </c>
      <c r="B15" s="388">
        <v>284.76890536950879</v>
      </c>
      <c r="C15" s="388">
        <v>265.09436639181905</v>
      </c>
      <c r="D15" s="388">
        <v>245.44285641899671</v>
      </c>
      <c r="E15" s="388">
        <v>225.81853731939134</v>
      </c>
      <c r="F15" s="388">
        <v>201.14638389138392</v>
      </c>
      <c r="G15" s="388">
        <v>926</v>
      </c>
      <c r="H15" s="695"/>
      <c r="I15" s="695"/>
      <c r="J15" s="695"/>
      <c r="K15" s="389" t="s">
        <v>56</v>
      </c>
      <c r="AF15" s="387" t="s">
        <v>55</v>
      </c>
      <c r="AG15" s="390">
        <v>265.09436639181905</v>
      </c>
      <c r="AH15" s="390">
        <v>245.44285641899671</v>
      </c>
    </row>
    <row r="16" spans="1:34">
      <c r="A16" s="387" t="s">
        <v>57</v>
      </c>
      <c r="B16" s="388">
        <v>90.773043438205349</v>
      </c>
      <c r="C16" s="388">
        <v>84.501579989865959</v>
      </c>
      <c r="D16" s="388">
        <v>78.237457275784237</v>
      </c>
      <c r="E16" s="388">
        <v>71.982001934681477</v>
      </c>
      <c r="F16" s="388">
        <v>64.117497023484873</v>
      </c>
      <c r="G16" s="388">
        <v>107</v>
      </c>
      <c r="H16" s="695"/>
      <c r="I16" s="695"/>
      <c r="J16" s="695"/>
      <c r="K16" s="389" t="s">
        <v>58</v>
      </c>
      <c r="AF16" s="387" t="s">
        <v>57</v>
      </c>
      <c r="AG16" s="390">
        <v>84.501579989865959</v>
      </c>
      <c r="AH16" s="390">
        <v>78.237457275784237</v>
      </c>
    </row>
    <row r="17" spans="1:34">
      <c r="A17" s="387" t="s">
        <v>59</v>
      </c>
      <c r="B17" s="388">
        <v>377.06533900430441</v>
      </c>
      <c r="C17" s="388">
        <v>351.01408632364451</v>
      </c>
      <c r="D17" s="388">
        <v>324.99332657730275</v>
      </c>
      <c r="E17" s="388">
        <v>299.00857053654141</v>
      </c>
      <c r="F17" s="388">
        <v>266.33992687186014</v>
      </c>
      <c r="G17" s="388">
        <v>554</v>
      </c>
      <c r="H17" s="695"/>
      <c r="I17" s="695"/>
      <c r="J17" s="695"/>
      <c r="K17" s="389" t="s">
        <v>60</v>
      </c>
      <c r="AF17" s="387" t="s">
        <v>59</v>
      </c>
      <c r="AG17" s="390">
        <v>351.01408632364451</v>
      </c>
      <c r="AH17" s="390">
        <v>324.99332657730275</v>
      </c>
    </row>
    <row r="18" spans="1:34">
      <c r="A18" s="387" t="s">
        <v>61</v>
      </c>
      <c r="B18" s="388">
        <v>330.10289639217729</v>
      </c>
      <c r="C18" s="388">
        <v>307.29625500944303</v>
      </c>
      <c r="D18" s="388">
        <v>284.51630875059493</v>
      </c>
      <c r="E18" s="388">
        <v>261.76788203561244</v>
      </c>
      <c r="F18" s="388">
        <v>233.16802737012662</v>
      </c>
      <c r="G18" s="388">
        <v>901</v>
      </c>
      <c r="H18" s="695"/>
      <c r="I18" s="695"/>
      <c r="J18" s="695"/>
      <c r="K18" s="389" t="s">
        <v>62</v>
      </c>
      <c r="AF18" s="387" t="s">
        <v>61</v>
      </c>
      <c r="AG18" s="390">
        <v>307.29625500944303</v>
      </c>
      <c r="AH18" s="390">
        <v>284.51630875059493</v>
      </c>
    </row>
    <row r="19" spans="1:34">
      <c r="A19" s="387" t="s">
        <v>63</v>
      </c>
      <c r="B19" s="388">
        <v>399.6010077745533</v>
      </c>
      <c r="C19" s="388">
        <v>371.99277718918427</v>
      </c>
      <c r="D19" s="388">
        <v>344.41686197736726</v>
      </c>
      <c r="E19" s="388">
        <v>316.87910226685295</v>
      </c>
      <c r="F19" s="388">
        <v>282.25798602873226</v>
      </c>
      <c r="G19" s="388">
        <v>628</v>
      </c>
      <c r="H19" s="695"/>
      <c r="I19" s="695"/>
      <c r="J19" s="695"/>
      <c r="K19" s="389" t="s">
        <v>64</v>
      </c>
      <c r="AF19" s="387" t="s">
        <v>63</v>
      </c>
      <c r="AG19" s="390">
        <v>371.99277718918427</v>
      </c>
      <c r="AH19" s="390">
        <v>344.41686197736726</v>
      </c>
    </row>
    <row r="20" spans="1:34">
      <c r="A20" s="387" t="s">
        <v>65</v>
      </c>
      <c r="B20" s="388">
        <v>689.78057487677927</v>
      </c>
      <c r="C20" s="388">
        <v>642.12398544382518</v>
      </c>
      <c r="D20" s="388">
        <v>594.52317794463124</v>
      </c>
      <c r="E20" s="388">
        <v>546.98823345156393</v>
      </c>
      <c r="F20" s="388">
        <v>487.22618831908551</v>
      </c>
      <c r="G20" s="388">
        <v>1036</v>
      </c>
      <c r="H20" s="695"/>
      <c r="I20" s="695"/>
      <c r="J20" s="695"/>
      <c r="K20" s="389" t="s">
        <v>66</v>
      </c>
      <c r="AF20" s="387" t="s">
        <v>65</v>
      </c>
      <c r="AG20" s="390">
        <v>642.12398544382518</v>
      </c>
      <c r="AH20" s="390">
        <v>594.52317794463124</v>
      </c>
    </row>
    <row r="21" spans="1:34">
      <c r="A21" s="387" t="s">
        <v>50</v>
      </c>
      <c r="B21" s="388">
        <v>823.83891217672146</v>
      </c>
      <c r="C21" s="388">
        <v>766.92030033626611</v>
      </c>
      <c r="D21" s="388">
        <v>710.06831160655338</v>
      </c>
      <c r="E21" s="388">
        <v>653.29498630880175</v>
      </c>
      <c r="F21" s="388">
        <v>581.91823253432483</v>
      </c>
      <c r="G21" s="388">
        <v>1046</v>
      </c>
      <c r="H21" s="695"/>
      <c r="I21" s="695"/>
      <c r="J21" s="695"/>
      <c r="K21" s="389" t="s">
        <v>68</v>
      </c>
      <c r="AF21" s="387" t="s">
        <v>50</v>
      </c>
      <c r="AG21" s="390">
        <v>766.92030033626611</v>
      </c>
      <c r="AH21" s="390">
        <v>710.06831160655338</v>
      </c>
    </row>
    <row r="22" spans="1:34">
      <c r="A22" s="387" t="s">
        <v>69</v>
      </c>
      <c r="B22" s="388">
        <v>762.01028247373074</v>
      </c>
      <c r="C22" s="388">
        <v>709.36337924363147</v>
      </c>
      <c r="D22" s="388">
        <v>656.77809909868381</v>
      </c>
      <c r="E22" s="388">
        <v>604.26557874102366</v>
      </c>
      <c r="F22" s="388">
        <v>538.24560869367531</v>
      </c>
      <c r="G22" s="388">
        <v>1087</v>
      </c>
      <c r="H22" s="695"/>
      <c r="I22" s="695"/>
      <c r="J22" s="695"/>
      <c r="K22" s="389" t="s">
        <v>70</v>
      </c>
      <c r="AF22" s="387" t="s">
        <v>69</v>
      </c>
      <c r="AG22" s="390">
        <v>709.36337924363147</v>
      </c>
      <c r="AH22" s="390">
        <v>656.77809909868381</v>
      </c>
    </row>
    <row r="23" spans="1:34">
      <c r="A23" s="387" t="s">
        <v>71</v>
      </c>
      <c r="B23" s="388">
        <v>796.62801142383341</v>
      </c>
      <c r="C23" s="388">
        <v>741.58938689022978</v>
      </c>
      <c r="D23" s="388">
        <v>686.61518494633549</v>
      </c>
      <c r="E23" s="388">
        <v>631.7170482288451</v>
      </c>
      <c r="F23" s="388">
        <v>562.69782544047905</v>
      </c>
      <c r="G23" s="388">
        <v>2042</v>
      </c>
      <c r="H23" s="695"/>
      <c r="I23" s="695"/>
      <c r="J23" s="695"/>
      <c r="K23" s="392" t="s">
        <v>72</v>
      </c>
      <c r="AF23" s="387" t="s">
        <v>71</v>
      </c>
      <c r="AG23" s="390">
        <v>741.58938689022978</v>
      </c>
      <c r="AH23" s="390">
        <v>686.61518494633549</v>
      </c>
    </row>
    <row r="24" spans="1:34">
      <c r="A24" s="387" t="s">
        <v>73</v>
      </c>
      <c r="B24" s="388">
        <v>67.449414221444258</v>
      </c>
      <c r="C24" s="388">
        <v>62.78936846469206</v>
      </c>
      <c r="D24" s="388">
        <v>58.134777281311884</v>
      </c>
      <c r="E24" s="388">
        <v>53.486626437575801</v>
      </c>
      <c r="F24" s="388">
        <v>47.642862371617213</v>
      </c>
      <c r="G24" s="388">
        <v>322</v>
      </c>
      <c r="H24" s="695"/>
      <c r="I24" s="695"/>
      <c r="J24" s="695"/>
      <c r="K24" s="392" t="s">
        <v>74</v>
      </c>
      <c r="AF24" s="387" t="s">
        <v>73</v>
      </c>
      <c r="AG24" s="390">
        <v>62.78936846469206</v>
      </c>
      <c r="AH24" s="390">
        <v>58.134777281311884</v>
      </c>
    </row>
    <row r="25" spans="1:34">
      <c r="A25" s="393" t="s">
        <v>42</v>
      </c>
      <c r="B25" s="394">
        <v>290.44222058439664</v>
      </c>
      <c r="C25" s="394">
        <v>270.37571514118571</v>
      </c>
      <c r="D25" s="394">
        <v>250.33269749873324</v>
      </c>
      <c r="E25" s="394">
        <v>230.31741244030889</v>
      </c>
      <c r="F25" s="394">
        <v>205.15372745535169</v>
      </c>
      <c r="G25" s="394">
        <v>635</v>
      </c>
      <c r="H25" s="696"/>
      <c r="I25" s="696"/>
      <c r="J25" s="696"/>
      <c r="K25" s="395" t="s">
        <v>75</v>
      </c>
      <c r="AF25" s="393" t="s">
        <v>42</v>
      </c>
      <c r="AG25" s="396">
        <v>270.37571514118571</v>
      </c>
      <c r="AH25" s="396">
        <v>250.33269749873324</v>
      </c>
    </row>
    <row r="26" spans="1:34" ht="18">
      <c r="A26" s="397" t="s">
        <v>223</v>
      </c>
      <c r="K26" s="380" t="s">
        <v>213</v>
      </c>
    </row>
  </sheetData>
  <mergeCells count="5">
    <mergeCell ref="A1:K1"/>
    <mergeCell ref="A2:K2"/>
    <mergeCell ref="A3:A4"/>
    <mergeCell ref="B3:G3"/>
    <mergeCell ref="K3:K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Z116"/>
  <sheetViews>
    <sheetView workbookViewId="0">
      <selection activeCell="N10" sqref="N10"/>
    </sheetView>
  </sheetViews>
  <sheetFormatPr defaultColWidth="8.85546875" defaultRowHeight="15"/>
  <cols>
    <col min="1" max="1" width="38.5703125" style="398" customWidth="1"/>
    <col min="2" max="2" width="18.85546875" style="398" customWidth="1"/>
    <col min="3" max="3" width="14" style="398" customWidth="1"/>
    <col min="4" max="7" width="12.7109375" style="398" customWidth="1"/>
    <col min="8" max="8" width="17.140625" style="398" customWidth="1"/>
    <col min="9" max="9" width="22.5703125" style="398" customWidth="1"/>
    <col min="10" max="11" width="8.85546875" style="398"/>
    <col min="12" max="26" width="11.140625" style="398" customWidth="1"/>
    <col min="27" max="27" width="13.28515625" style="398" bestFit="1" customWidth="1"/>
    <col min="28" max="29" width="8.85546875" style="398"/>
    <col min="30" max="30" width="9" style="398" bestFit="1" customWidth="1"/>
    <col min="31" max="16384" width="8.85546875" style="398"/>
  </cols>
  <sheetData>
    <row r="1" spans="1:26" ht="18">
      <c r="A1" s="843" t="s">
        <v>459</v>
      </c>
      <c r="B1" s="843"/>
      <c r="C1" s="843"/>
      <c r="D1" s="843"/>
      <c r="E1" s="843"/>
      <c r="F1" s="843"/>
      <c r="G1" s="843"/>
      <c r="H1" s="843"/>
      <c r="I1" s="843"/>
    </row>
    <row r="2" spans="1:26" s="399" customFormat="1" ht="15.75">
      <c r="A2" s="844" t="s">
        <v>460</v>
      </c>
      <c r="B2" s="844"/>
      <c r="C2" s="844"/>
      <c r="D2" s="844"/>
      <c r="E2" s="844"/>
      <c r="F2" s="844"/>
      <c r="G2" s="844"/>
      <c r="H2" s="844"/>
      <c r="I2" s="844"/>
    </row>
    <row r="3" spans="1:26" ht="21">
      <c r="A3" s="845" t="s">
        <v>226</v>
      </c>
      <c r="B3" s="845"/>
      <c r="C3" s="845"/>
      <c r="D3" s="845"/>
      <c r="E3" s="845"/>
      <c r="F3" s="845"/>
      <c r="G3" s="845"/>
      <c r="H3" s="845"/>
      <c r="I3" s="845"/>
    </row>
    <row r="4" spans="1:26">
      <c r="A4" s="846" t="s">
        <v>227</v>
      </c>
      <c r="B4" s="846"/>
      <c r="C4" s="846"/>
      <c r="D4" s="846"/>
      <c r="E4" s="846"/>
      <c r="F4" s="846"/>
      <c r="G4" s="846"/>
      <c r="H4" s="846"/>
      <c r="I4" s="846"/>
    </row>
    <row r="5" spans="1:26" ht="18.75">
      <c r="A5" s="847" t="s">
        <v>228</v>
      </c>
      <c r="B5" s="400" t="s">
        <v>158</v>
      </c>
      <c r="C5" s="400" t="s">
        <v>229</v>
      </c>
      <c r="D5" s="400" t="s">
        <v>230</v>
      </c>
      <c r="E5" s="400" t="s">
        <v>231</v>
      </c>
      <c r="F5" s="400" t="s">
        <v>232</v>
      </c>
      <c r="G5" s="400" t="s">
        <v>233</v>
      </c>
      <c r="H5" s="400" t="s">
        <v>234</v>
      </c>
      <c r="I5" s="849" t="s">
        <v>235</v>
      </c>
    </row>
    <row r="6" spans="1:26">
      <c r="A6" s="848"/>
      <c r="B6" s="401" t="s">
        <v>236</v>
      </c>
      <c r="C6" s="401" t="s">
        <v>237</v>
      </c>
      <c r="D6" s="401" t="s">
        <v>238</v>
      </c>
      <c r="E6" s="401" t="s">
        <v>239</v>
      </c>
      <c r="F6" s="401" t="s">
        <v>240</v>
      </c>
      <c r="G6" s="401" t="s">
        <v>241</v>
      </c>
      <c r="H6" s="401" t="s">
        <v>242</v>
      </c>
      <c r="I6" s="850"/>
      <c r="J6" s="402"/>
      <c r="K6" s="402"/>
    </row>
    <row r="7" spans="1:26" ht="21">
      <c r="A7" s="403" t="s">
        <v>90</v>
      </c>
      <c r="B7" s="404">
        <f t="shared" ref="B7:H7" si="0">SUM(B8:B29)</f>
        <v>0</v>
      </c>
      <c r="C7" s="404">
        <f t="shared" si="0"/>
        <v>0</v>
      </c>
      <c r="D7" s="404">
        <f t="shared" si="0"/>
        <v>0</v>
      </c>
      <c r="E7" s="404">
        <f t="shared" si="0"/>
        <v>0</v>
      </c>
      <c r="F7" s="404">
        <f t="shared" si="0"/>
        <v>0</v>
      </c>
      <c r="G7" s="404">
        <f t="shared" si="0"/>
        <v>0</v>
      </c>
      <c r="H7" s="404">
        <f t="shared" si="0"/>
        <v>0</v>
      </c>
      <c r="I7" s="654" t="s">
        <v>158</v>
      </c>
      <c r="J7" s="402"/>
      <c r="K7" s="402"/>
    </row>
    <row r="8" spans="1:26" ht="21">
      <c r="A8" s="406" t="s">
        <v>243</v>
      </c>
      <c r="B8" s="111">
        <f>SUM(C8:H8)</f>
        <v>0</v>
      </c>
      <c r="C8" s="623"/>
      <c r="D8" s="623"/>
      <c r="E8" s="623"/>
      <c r="F8" s="623"/>
      <c r="G8" s="623"/>
      <c r="H8" s="623"/>
      <c r="I8" s="407" t="s">
        <v>244</v>
      </c>
    </row>
    <row r="9" spans="1:26" ht="21">
      <c r="A9" s="408" t="s">
        <v>245</v>
      </c>
      <c r="B9" s="111">
        <f t="shared" ref="B9:B29" si="1">SUM(C9:H9)</f>
        <v>0</v>
      </c>
      <c r="C9" s="623"/>
      <c r="D9" s="623"/>
      <c r="E9" s="623"/>
      <c r="F9" s="623"/>
      <c r="G9" s="623"/>
      <c r="H9" s="623"/>
      <c r="I9" s="409" t="s">
        <v>246</v>
      </c>
      <c r="J9" s="399"/>
      <c r="K9" s="399"/>
    </row>
    <row r="10" spans="1:26" ht="21">
      <c r="A10" s="410" t="s">
        <v>247</v>
      </c>
      <c r="B10" s="111">
        <f t="shared" si="1"/>
        <v>0</v>
      </c>
      <c r="C10" s="623"/>
      <c r="D10" s="623"/>
      <c r="E10" s="623"/>
      <c r="F10" s="623"/>
      <c r="G10" s="623"/>
      <c r="H10" s="623"/>
      <c r="I10" s="409" t="s">
        <v>248</v>
      </c>
    </row>
    <row r="11" spans="1:26" ht="21">
      <c r="A11" s="410" t="s">
        <v>249</v>
      </c>
      <c r="B11" s="111">
        <f t="shared" si="1"/>
        <v>0</v>
      </c>
      <c r="C11" s="623"/>
      <c r="D11" s="623"/>
      <c r="E11" s="623"/>
      <c r="F11" s="623"/>
      <c r="G11" s="623"/>
      <c r="H11" s="623"/>
      <c r="I11" s="409" t="s">
        <v>250</v>
      </c>
    </row>
    <row r="12" spans="1:26" ht="21">
      <c r="A12" s="410" t="s">
        <v>251</v>
      </c>
      <c r="B12" s="111">
        <f t="shared" si="1"/>
        <v>0</v>
      </c>
      <c r="C12" s="623"/>
      <c r="D12" s="623"/>
      <c r="E12" s="623"/>
      <c r="F12" s="623"/>
      <c r="G12" s="623"/>
      <c r="H12" s="623"/>
      <c r="I12" s="409" t="s">
        <v>252</v>
      </c>
      <c r="J12" s="402"/>
      <c r="K12" s="402"/>
      <c r="L12" s="402"/>
      <c r="M12" s="402"/>
      <c r="N12" s="402"/>
      <c r="O12" s="402"/>
      <c r="P12" s="402"/>
      <c r="Q12" s="402"/>
      <c r="R12" s="402"/>
      <c r="S12" s="402"/>
      <c r="T12" s="402"/>
      <c r="U12" s="402"/>
      <c r="Y12" s="398" t="s">
        <v>237</v>
      </c>
      <c r="Z12" s="398">
        <v>124404067.35999998</v>
      </c>
    </row>
    <row r="13" spans="1:26" ht="21">
      <c r="A13" s="410" t="s">
        <v>253</v>
      </c>
      <c r="B13" s="111">
        <f t="shared" si="1"/>
        <v>0</v>
      </c>
      <c r="C13" s="623"/>
      <c r="D13" s="623"/>
      <c r="E13" s="623"/>
      <c r="F13" s="623"/>
      <c r="G13" s="623"/>
      <c r="H13" s="623"/>
      <c r="I13" s="409" t="s">
        <v>254</v>
      </c>
      <c r="Y13" s="398" t="s">
        <v>239</v>
      </c>
      <c r="Z13" s="398">
        <v>89466498.949999988</v>
      </c>
    </row>
    <row r="14" spans="1:26" ht="21">
      <c r="A14" s="410" t="s">
        <v>255</v>
      </c>
      <c r="B14" s="111">
        <f t="shared" si="1"/>
        <v>0</v>
      </c>
      <c r="C14" s="623"/>
      <c r="D14" s="623"/>
      <c r="E14" s="623"/>
      <c r="F14" s="623"/>
      <c r="G14" s="623"/>
      <c r="H14" s="623"/>
      <c r="I14" s="409" t="s">
        <v>256</v>
      </c>
      <c r="Y14" s="398" t="s">
        <v>238</v>
      </c>
      <c r="Z14" s="398">
        <v>84504694.510000005</v>
      </c>
    </row>
    <row r="15" spans="1:26" ht="21">
      <c r="A15" s="410" t="s">
        <v>257</v>
      </c>
      <c r="B15" s="111">
        <f t="shared" si="1"/>
        <v>0</v>
      </c>
      <c r="C15" s="623"/>
      <c r="D15" s="623"/>
      <c r="E15" s="623"/>
      <c r="F15" s="623"/>
      <c r="G15" s="623"/>
      <c r="H15" s="623"/>
      <c r="I15" s="409" t="s">
        <v>258</v>
      </c>
      <c r="Y15" s="398" t="s">
        <v>241</v>
      </c>
      <c r="Z15" s="398">
        <v>76314727.409999982</v>
      </c>
    </row>
    <row r="16" spans="1:26" ht="21">
      <c r="A16" s="410" t="s">
        <v>259</v>
      </c>
      <c r="B16" s="111">
        <f t="shared" si="1"/>
        <v>0</v>
      </c>
      <c r="C16" s="623"/>
      <c r="D16" s="623"/>
      <c r="E16" s="623"/>
      <c r="F16" s="623"/>
      <c r="G16" s="623"/>
      <c r="H16" s="623"/>
      <c r="I16" s="409" t="s">
        <v>260</v>
      </c>
      <c r="Y16" s="398" t="s">
        <v>242</v>
      </c>
      <c r="Z16" s="398">
        <v>42838737.359999999</v>
      </c>
    </row>
    <row r="17" spans="1:26" ht="21">
      <c r="A17" s="410" t="s">
        <v>261</v>
      </c>
      <c r="B17" s="111">
        <f t="shared" si="1"/>
        <v>0</v>
      </c>
      <c r="C17" s="623"/>
      <c r="D17" s="623"/>
      <c r="E17" s="623"/>
      <c r="F17" s="623"/>
      <c r="G17" s="623"/>
      <c r="H17" s="623"/>
      <c r="I17" s="409" t="s">
        <v>262</v>
      </c>
      <c r="Y17" s="398" t="s">
        <v>240</v>
      </c>
      <c r="Z17" s="398">
        <v>19911562.610000003</v>
      </c>
    </row>
    <row r="18" spans="1:26" ht="21">
      <c r="A18" s="410" t="s">
        <v>263</v>
      </c>
      <c r="B18" s="111">
        <f t="shared" si="1"/>
        <v>0</v>
      </c>
      <c r="C18" s="623"/>
      <c r="D18" s="623"/>
      <c r="E18" s="623"/>
      <c r="F18" s="623"/>
      <c r="G18" s="623"/>
      <c r="H18" s="623"/>
      <c r="I18" s="409" t="s">
        <v>264</v>
      </c>
    </row>
    <row r="19" spans="1:26" ht="21">
      <c r="A19" s="410" t="s">
        <v>265</v>
      </c>
      <c r="B19" s="111">
        <f t="shared" si="1"/>
        <v>0</v>
      </c>
      <c r="C19" s="623"/>
      <c r="D19" s="623"/>
      <c r="E19" s="623"/>
      <c r="F19" s="623"/>
      <c r="G19" s="623"/>
      <c r="H19" s="623"/>
      <c r="I19" s="409" t="s">
        <v>266</v>
      </c>
    </row>
    <row r="20" spans="1:26" ht="21">
      <c r="A20" s="410" t="s">
        <v>267</v>
      </c>
      <c r="B20" s="111">
        <f t="shared" si="1"/>
        <v>0</v>
      </c>
      <c r="C20" s="623"/>
      <c r="D20" s="623"/>
      <c r="E20" s="623"/>
      <c r="F20" s="623"/>
      <c r="G20" s="623"/>
      <c r="H20" s="623"/>
      <c r="I20" s="409" t="s">
        <v>268</v>
      </c>
    </row>
    <row r="21" spans="1:26" ht="21">
      <c r="A21" s="410" t="s">
        <v>269</v>
      </c>
      <c r="B21" s="111">
        <f t="shared" si="1"/>
        <v>0</v>
      </c>
      <c r="C21" s="623"/>
      <c r="D21" s="623"/>
      <c r="E21" s="623"/>
      <c r="F21" s="623"/>
      <c r="G21" s="623"/>
      <c r="H21" s="623"/>
      <c r="I21" s="409" t="s">
        <v>270</v>
      </c>
    </row>
    <row r="22" spans="1:26" ht="21">
      <c r="A22" s="410" t="s">
        <v>271</v>
      </c>
      <c r="B22" s="111">
        <f t="shared" si="1"/>
        <v>0</v>
      </c>
      <c r="C22" s="623"/>
      <c r="D22" s="623"/>
      <c r="E22" s="623"/>
      <c r="F22" s="623"/>
      <c r="G22" s="623"/>
      <c r="H22" s="623"/>
      <c r="I22" s="409" t="s">
        <v>272</v>
      </c>
    </row>
    <row r="23" spans="1:26" ht="21">
      <c r="A23" s="410" t="s">
        <v>273</v>
      </c>
      <c r="B23" s="111">
        <f t="shared" si="1"/>
        <v>0</v>
      </c>
      <c r="C23" s="623"/>
      <c r="D23" s="623"/>
      <c r="E23" s="623"/>
      <c r="F23" s="623"/>
      <c r="G23" s="623"/>
      <c r="H23" s="623"/>
      <c r="I23" s="409" t="s">
        <v>274</v>
      </c>
    </row>
    <row r="24" spans="1:26" ht="21">
      <c r="A24" s="410" t="s">
        <v>275</v>
      </c>
      <c r="B24" s="111">
        <f t="shared" si="1"/>
        <v>0</v>
      </c>
      <c r="C24" s="623"/>
      <c r="D24" s="623"/>
      <c r="E24" s="623"/>
      <c r="F24" s="623"/>
      <c r="G24" s="623"/>
      <c r="H24" s="623"/>
      <c r="I24" s="409" t="s">
        <v>276</v>
      </c>
    </row>
    <row r="25" spans="1:26" ht="21">
      <c r="A25" s="410" t="s">
        <v>277</v>
      </c>
      <c r="B25" s="111">
        <f t="shared" si="1"/>
        <v>0</v>
      </c>
      <c r="C25" s="623"/>
      <c r="D25" s="623"/>
      <c r="E25" s="623"/>
      <c r="F25" s="623"/>
      <c r="G25" s="623"/>
      <c r="H25" s="623"/>
      <c r="I25" s="409" t="s">
        <v>278</v>
      </c>
    </row>
    <row r="26" spans="1:26" ht="21">
      <c r="A26" s="410" t="s">
        <v>279</v>
      </c>
      <c r="B26" s="111">
        <f t="shared" si="1"/>
        <v>0</v>
      </c>
      <c r="C26" s="623"/>
      <c r="D26" s="623"/>
      <c r="E26" s="623"/>
      <c r="F26" s="623"/>
      <c r="G26" s="623"/>
      <c r="H26" s="623"/>
      <c r="I26" s="409" t="s">
        <v>280</v>
      </c>
    </row>
    <row r="27" spans="1:26" ht="21">
      <c r="A27" s="410" t="s">
        <v>281</v>
      </c>
      <c r="B27" s="111">
        <f t="shared" si="1"/>
        <v>0</v>
      </c>
      <c r="C27" s="623"/>
      <c r="D27" s="623"/>
      <c r="E27" s="623"/>
      <c r="F27" s="623"/>
      <c r="G27" s="623"/>
      <c r="H27" s="623"/>
      <c r="I27" s="409" t="s">
        <v>282</v>
      </c>
    </row>
    <row r="28" spans="1:26" ht="21">
      <c r="A28" s="410" t="s">
        <v>283</v>
      </c>
      <c r="B28" s="111">
        <f t="shared" si="1"/>
        <v>0</v>
      </c>
      <c r="C28" s="623"/>
      <c r="D28" s="623"/>
      <c r="E28" s="623"/>
      <c r="F28" s="623"/>
      <c r="G28" s="623"/>
      <c r="H28" s="623"/>
      <c r="I28" s="409" t="s">
        <v>284</v>
      </c>
    </row>
    <row r="29" spans="1:26" ht="21">
      <c r="A29" s="411" t="s">
        <v>285</v>
      </c>
      <c r="B29" s="412">
        <f t="shared" si="1"/>
        <v>0</v>
      </c>
      <c r="C29" s="624"/>
      <c r="D29" s="624"/>
      <c r="E29" s="624"/>
      <c r="F29" s="624"/>
      <c r="G29" s="624"/>
      <c r="H29" s="624"/>
      <c r="I29" s="413" t="s">
        <v>286</v>
      </c>
    </row>
    <row r="30" spans="1:26" s="402" customFormat="1">
      <c r="A30" s="414" t="s">
        <v>287</v>
      </c>
      <c r="B30" s="414"/>
      <c r="C30" s="415"/>
      <c r="D30" s="415"/>
      <c r="E30" s="415"/>
      <c r="F30" s="415"/>
      <c r="G30" s="415"/>
      <c r="H30" s="415"/>
      <c r="I30" s="416" t="s">
        <v>288</v>
      </c>
      <c r="J30" s="398"/>
      <c r="K30" s="398"/>
      <c r="L30" s="398"/>
      <c r="M30" s="398"/>
      <c r="N30" s="398"/>
      <c r="O30" s="398"/>
      <c r="P30" s="398"/>
      <c r="Q30" s="398"/>
      <c r="R30" s="398"/>
      <c r="S30" s="398"/>
      <c r="T30" s="398"/>
      <c r="U30" s="398"/>
    </row>
    <row r="31" spans="1:26" s="402" customFormat="1">
      <c r="A31" s="414"/>
      <c r="B31" s="417"/>
      <c r="C31" s="418"/>
      <c r="D31" s="419"/>
      <c r="E31" s="420"/>
      <c r="F31" s="420"/>
      <c r="G31" s="420"/>
      <c r="H31" s="421"/>
      <c r="J31" s="398"/>
      <c r="K31" s="398"/>
      <c r="L31" s="398"/>
      <c r="M31" s="398"/>
      <c r="N31" s="398"/>
      <c r="O31" s="398"/>
      <c r="P31" s="398"/>
      <c r="Q31" s="398"/>
      <c r="R31" s="398"/>
      <c r="S31" s="398"/>
      <c r="T31" s="398"/>
      <c r="U31" s="398"/>
    </row>
    <row r="32" spans="1:26" ht="18">
      <c r="A32" s="843" t="s">
        <v>415</v>
      </c>
      <c r="B32" s="843"/>
      <c r="C32" s="843"/>
      <c r="D32" s="843"/>
      <c r="E32" s="843"/>
      <c r="F32" s="843"/>
      <c r="G32" s="843"/>
      <c r="H32" s="843"/>
      <c r="I32" s="843"/>
    </row>
    <row r="33" spans="1:26" s="399" customFormat="1" ht="15.75">
      <c r="A33" s="844" t="s">
        <v>416</v>
      </c>
      <c r="B33" s="844"/>
      <c r="C33" s="844"/>
      <c r="D33" s="844"/>
      <c r="E33" s="844"/>
      <c r="F33" s="844"/>
      <c r="G33" s="844"/>
      <c r="H33" s="844"/>
      <c r="I33" s="844"/>
    </row>
    <row r="34" spans="1:26" ht="21">
      <c r="A34" s="845" t="s">
        <v>226</v>
      </c>
      <c r="B34" s="845"/>
      <c r="C34" s="845"/>
      <c r="D34" s="845"/>
      <c r="E34" s="845"/>
      <c r="F34" s="845"/>
      <c r="G34" s="845"/>
      <c r="H34" s="845"/>
      <c r="I34" s="845"/>
    </row>
    <row r="35" spans="1:26">
      <c r="A35" s="846" t="s">
        <v>227</v>
      </c>
      <c r="B35" s="846"/>
      <c r="C35" s="846"/>
      <c r="D35" s="846"/>
      <c r="E35" s="846"/>
      <c r="F35" s="846"/>
      <c r="G35" s="846"/>
      <c r="H35" s="846"/>
      <c r="I35" s="846"/>
    </row>
    <row r="36" spans="1:26" ht="18.75">
      <c r="A36" s="847" t="s">
        <v>228</v>
      </c>
      <c r="B36" s="400" t="s">
        <v>158</v>
      </c>
      <c r="C36" s="400" t="s">
        <v>229</v>
      </c>
      <c r="D36" s="400" t="s">
        <v>230</v>
      </c>
      <c r="E36" s="400" t="s">
        <v>231</v>
      </c>
      <c r="F36" s="400" t="s">
        <v>232</v>
      </c>
      <c r="G36" s="400" t="s">
        <v>233</v>
      </c>
      <c r="H36" s="400" t="s">
        <v>234</v>
      </c>
      <c r="I36" s="849" t="s">
        <v>235</v>
      </c>
    </row>
    <row r="37" spans="1:26">
      <c r="A37" s="848"/>
      <c r="B37" s="401" t="s">
        <v>236</v>
      </c>
      <c r="C37" s="401" t="s">
        <v>237</v>
      </c>
      <c r="D37" s="401" t="s">
        <v>238</v>
      </c>
      <c r="E37" s="401" t="s">
        <v>239</v>
      </c>
      <c r="F37" s="401" t="s">
        <v>240</v>
      </c>
      <c r="G37" s="401" t="s">
        <v>241</v>
      </c>
      <c r="H37" s="401" t="s">
        <v>242</v>
      </c>
      <c r="I37" s="850"/>
      <c r="J37" s="402"/>
      <c r="K37" s="402"/>
    </row>
    <row r="38" spans="1:26" ht="21">
      <c r="A38" s="403" t="s">
        <v>90</v>
      </c>
      <c r="B38" s="404">
        <f t="shared" ref="B38:H38" si="2">SUM(B39:B60)</f>
        <v>514951812.51000005</v>
      </c>
      <c r="C38" s="404">
        <f t="shared" si="2"/>
        <v>142352817.84999999</v>
      </c>
      <c r="D38" s="404">
        <f t="shared" si="2"/>
        <v>111794659.92000002</v>
      </c>
      <c r="E38" s="404">
        <f t="shared" si="2"/>
        <v>104460113.28000002</v>
      </c>
      <c r="F38" s="404">
        <f t="shared" si="2"/>
        <v>22204652.180000007</v>
      </c>
      <c r="G38" s="404">
        <f t="shared" si="2"/>
        <v>82854493.720000014</v>
      </c>
      <c r="H38" s="404">
        <f t="shared" si="2"/>
        <v>51285075.559999995</v>
      </c>
      <c r="I38" s="629" t="s">
        <v>158</v>
      </c>
      <c r="J38" s="402"/>
      <c r="K38" s="402"/>
    </row>
    <row r="39" spans="1:26" ht="21">
      <c r="A39" s="406" t="s">
        <v>243</v>
      </c>
      <c r="B39" s="111">
        <f>SUM(C39:H39)</f>
        <v>30323538.43</v>
      </c>
      <c r="C39" s="118">
        <v>20090711.510000002</v>
      </c>
      <c r="D39" s="118">
        <v>5756501.4699999988</v>
      </c>
      <c r="E39" s="118">
        <v>2912839.9000000004</v>
      </c>
      <c r="F39" s="118">
        <v>24647.14</v>
      </c>
      <c r="G39" s="118">
        <v>907407.53999999992</v>
      </c>
      <c r="H39" s="118">
        <v>631430.86999999732</v>
      </c>
      <c r="I39" s="407" t="s">
        <v>244</v>
      </c>
    </row>
    <row r="40" spans="1:26" ht="21">
      <c r="A40" s="408" t="s">
        <v>245</v>
      </c>
      <c r="B40" s="111">
        <f t="shared" ref="B40:B60" si="3">SUM(C40:H40)</f>
        <v>28612779.479999997</v>
      </c>
      <c r="C40" s="118">
        <v>15184890.199999997</v>
      </c>
      <c r="D40" s="118">
        <v>6918159.620000002</v>
      </c>
      <c r="E40" s="118">
        <v>3418809.7700000005</v>
      </c>
      <c r="F40" s="118">
        <v>471306.82</v>
      </c>
      <c r="G40" s="118">
        <v>1581020.4600000002</v>
      </c>
      <c r="H40" s="118">
        <v>1038592.6099999957</v>
      </c>
      <c r="I40" s="409" t="s">
        <v>246</v>
      </c>
      <c r="J40" s="399"/>
      <c r="K40" s="399"/>
    </row>
    <row r="41" spans="1:26" ht="21">
      <c r="A41" s="410" t="s">
        <v>247</v>
      </c>
      <c r="B41" s="111">
        <f t="shared" si="3"/>
        <v>0</v>
      </c>
      <c r="C41" s="118">
        <v>0</v>
      </c>
      <c r="D41" s="118">
        <v>0</v>
      </c>
      <c r="E41" s="118">
        <v>0</v>
      </c>
      <c r="F41" s="118">
        <v>0</v>
      </c>
      <c r="G41" s="118">
        <v>0</v>
      </c>
      <c r="H41" s="118">
        <v>0</v>
      </c>
      <c r="I41" s="409" t="s">
        <v>248</v>
      </c>
    </row>
    <row r="42" spans="1:26" ht="21">
      <c r="A42" s="410" t="s">
        <v>249</v>
      </c>
      <c r="B42" s="111">
        <f t="shared" si="3"/>
        <v>0</v>
      </c>
      <c r="C42" s="118">
        <v>0</v>
      </c>
      <c r="D42" s="118">
        <v>0</v>
      </c>
      <c r="E42" s="118">
        <v>0</v>
      </c>
      <c r="F42" s="118">
        <v>0</v>
      </c>
      <c r="G42" s="118">
        <v>0</v>
      </c>
      <c r="H42" s="118">
        <v>0</v>
      </c>
      <c r="I42" s="409" t="s">
        <v>250</v>
      </c>
    </row>
    <row r="43" spans="1:26" ht="21">
      <c r="A43" s="410" t="s">
        <v>251</v>
      </c>
      <c r="B43" s="111">
        <f t="shared" si="3"/>
        <v>468374.0500000001</v>
      </c>
      <c r="C43" s="118">
        <v>984.62</v>
      </c>
      <c r="D43" s="118">
        <v>427462.52000000008</v>
      </c>
      <c r="E43" s="118">
        <v>36181.269999999997</v>
      </c>
      <c r="F43" s="118">
        <v>0</v>
      </c>
      <c r="G43" s="118">
        <v>1691.51</v>
      </c>
      <c r="H43" s="118">
        <v>2054.1300000000047</v>
      </c>
      <c r="I43" s="409" t="s">
        <v>252</v>
      </c>
      <c r="J43" s="402"/>
      <c r="K43" s="402"/>
      <c r="L43" s="402"/>
      <c r="M43" s="402"/>
      <c r="N43" s="402"/>
      <c r="O43" s="402"/>
      <c r="P43" s="402"/>
      <c r="Q43" s="402"/>
      <c r="R43" s="402"/>
      <c r="S43" s="402"/>
      <c r="T43" s="402"/>
      <c r="U43" s="402"/>
      <c r="Y43" s="398" t="s">
        <v>237</v>
      </c>
      <c r="Z43" s="398">
        <v>124404067.35999998</v>
      </c>
    </row>
    <row r="44" spans="1:26" ht="21">
      <c r="A44" s="410" t="s">
        <v>253</v>
      </c>
      <c r="B44" s="111">
        <f t="shared" si="3"/>
        <v>47598203.259999998</v>
      </c>
      <c r="C44" s="118">
        <v>28297257.32</v>
      </c>
      <c r="D44" s="118">
        <v>8806051.7200000025</v>
      </c>
      <c r="E44" s="118">
        <v>5084018.8200000012</v>
      </c>
      <c r="F44" s="118">
        <v>754946.74999999988</v>
      </c>
      <c r="G44" s="118">
        <v>898092.3</v>
      </c>
      <c r="H44" s="118">
        <v>3757836.349999994</v>
      </c>
      <c r="I44" s="409" t="s">
        <v>254</v>
      </c>
      <c r="Y44" s="398" t="s">
        <v>239</v>
      </c>
      <c r="Z44" s="398">
        <v>89466498.949999988</v>
      </c>
    </row>
    <row r="45" spans="1:26" ht="21">
      <c r="A45" s="410" t="s">
        <v>255</v>
      </c>
      <c r="B45" s="111">
        <f t="shared" si="3"/>
        <v>8197307.5200000023</v>
      </c>
      <c r="C45" s="118">
        <v>174011.37999999998</v>
      </c>
      <c r="D45" s="118">
        <v>1611050.2300000002</v>
      </c>
      <c r="E45" s="118">
        <v>1866115.4800000004</v>
      </c>
      <c r="F45" s="118">
        <v>257686.2</v>
      </c>
      <c r="G45" s="118">
        <v>3966433.5200000005</v>
      </c>
      <c r="H45" s="118">
        <v>322010.71000000089</v>
      </c>
      <c r="I45" s="409" t="s">
        <v>256</v>
      </c>
      <c r="Y45" s="398" t="s">
        <v>238</v>
      </c>
      <c r="Z45" s="398">
        <v>84504694.510000005</v>
      </c>
    </row>
    <row r="46" spans="1:26" ht="21">
      <c r="A46" s="410" t="s">
        <v>257</v>
      </c>
      <c r="B46" s="111">
        <f t="shared" si="3"/>
        <v>2601250.5300000007</v>
      </c>
      <c r="C46" s="118">
        <v>134706.97999999998</v>
      </c>
      <c r="D46" s="118">
        <v>2299951.0500000003</v>
      </c>
      <c r="E46" s="118">
        <v>115120.64</v>
      </c>
      <c r="F46" s="118">
        <v>6027.87</v>
      </c>
      <c r="G46" s="118">
        <v>26158.560000000005</v>
      </c>
      <c r="H46" s="118">
        <v>19285.430000000168</v>
      </c>
      <c r="I46" s="409" t="s">
        <v>258</v>
      </c>
      <c r="Y46" s="398" t="s">
        <v>241</v>
      </c>
      <c r="Z46" s="398">
        <v>76314727.409999982</v>
      </c>
    </row>
    <row r="47" spans="1:26" ht="21">
      <c r="A47" s="410" t="s">
        <v>259</v>
      </c>
      <c r="B47" s="111">
        <f t="shared" si="3"/>
        <v>34479154.909999989</v>
      </c>
      <c r="C47" s="118">
        <v>13525294.309999999</v>
      </c>
      <c r="D47" s="118">
        <v>4028556.1799999997</v>
      </c>
      <c r="E47" s="118">
        <v>2341237.0799999996</v>
      </c>
      <c r="F47" s="118">
        <v>31871.97</v>
      </c>
      <c r="G47" s="118">
        <v>2867861.5100000002</v>
      </c>
      <c r="H47" s="118">
        <v>11684333.859999992</v>
      </c>
      <c r="I47" s="409" t="s">
        <v>260</v>
      </c>
      <c r="Y47" s="398" t="s">
        <v>242</v>
      </c>
      <c r="Z47" s="398">
        <v>42838737.359999999</v>
      </c>
    </row>
    <row r="48" spans="1:26" ht="21">
      <c r="A48" s="410" t="s">
        <v>261</v>
      </c>
      <c r="B48" s="111">
        <f t="shared" si="3"/>
        <v>32189217.490000002</v>
      </c>
      <c r="C48" s="118">
        <v>6115397.9000000004</v>
      </c>
      <c r="D48" s="118">
        <v>16728568.159999998</v>
      </c>
      <c r="E48" s="118">
        <v>5865219.0800000019</v>
      </c>
      <c r="F48" s="118">
        <v>1175321.24</v>
      </c>
      <c r="G48" s="118">
        <v>447111.61</v>
      </c>
      <c r="H48" s="118">
        <v>1857599.5000000037</v>
      </c>
      <c r="I48" s="409" t="s">
        <v>262</v>
      </c>
      <c r="Y48" s="398" t="s">
        <v>240</v>
      </c>
      <c r="Z48" s="398">
        <v>19911562.610000003</v>
      </c>
    </row>
    <row r="49" spans="1:21" ht="21">
      <c r="A49" s="410" t="s">
        <v>263</v>
      </c>
      <c r="B49" s="111">
        <f t="shared" si="3"/>
        <v>4955193.3100000015</v>
      </c>
      <c r="C49" s="118">
        <v>3140632.17</v>
      </c>
      <c r="D49" s="118">
        <v>1466707.5000000002</v>
      </c>
      <c r="E49" s="118">
        <v>123810.69</v>
      </c>
      <c r="F49" s="118">
        <v>0</v>
      </c>
      <c r="G49" s="118">
        <v>26804.329999999998</v>
      </c>
      <c r="H49" s="118">
        <v>197238.62000000104</v>
      </c>
      <c r="I49" s="409" t="s">
        <v>264</v>
      </c>
    </row>
    <row r="50" spans="1:21" ht="21">
      <c r="A50" s="410" t="s">
        <v>265</v>
      </c>
      <c r="B50" s="111">
        <f t="shared" si="3"/>
        <v>23281844.709999997</v>
      </c>
      <c r="C50" s="118">
        <v>2273168.09</v>
      </c>
      <c r="D50" s="118">
        <v>4994669.53</v>
      </c>
      <c r="E50" s="118">
        <v>3922276.3100000005</v>
      </c>
      <c r="F50" s="118">
        <v>14469.060000000001</v>
      </c>
      <c r="G50" s="118">
        <v>8726583.1899999995</v>
      </c>
      <c r="H50" s="118">
        <v>3350678.5299999975</v>
      </c>
      <c r="I50" s="409" t="s">
        <v>266</v>
      </c>
    </row>
    <row r="51" spans="1:21" ht="21">
      <c r="A51" s="410" t="s">
        <v>267</v>
      </c>
      <c r="B51" s="111">
        <f t="shared" si="3"/>
        <v>61824671.660000011</v>
      </c>
      <c r="C51" s="118">
        <v>1130415.33</v>
      </c>
      <c r="D51" s="118">
        <v>6580065.8899999978</v>
      </c>
      <c r="E51" s="118">
        <v>29741635.540000003</v>
      </c>
      <c r="F51" s="118">
        <v>9614508.1200000066</v>
      </c>
      <c r="G51" s="118">
        <v>4484892.0300000012</v>
      </c>
      <c r="H51" s="118">
        <v>10273154.750000007</v>
      </c>
      <c r="I51" s="409" t="s">
        <v>268</v>
      </c>
    </row>
    <row r="52" spans="1:21" ht="21">
      <c r="A52" s="410" t="s">
        <v>269</v>
      </c>
      <c r="B52" s="111">
        <f t="shared" si="3"/>
        <v>71068303.840000004</v>
      </c>
      <c r="C52" s="118">
        <v>8213404.7699999996</v>
      </c>
      <c r="D52" s="118">
        <v>11153516.869999999</v>
      </c>
      <c r="E52" s="118">
        <v>13405701.099999996</v>
      </c>
      <c r="F52" s="118">
        <v>1439583.17</v>
      </c>
      <c r="G52" s="118">
        <v>30578636.060000002</v>
      </c>
      <c r="H52" s="118">
        <v>6277461.8700000048</v>
      </c>
      <c r="I52" s="409" t="s">
        <v>270</v>
      </c>
    </row>
    <row r="53" spans="1:21" ht="21">
      <c r="A53" s="410" t="s">
        <v>271</v>
      </c>
      <c r="B53" s="111">
        <f t="shared" si="3"/>
        <v>54303526.390000001</v>
      </c>
      <c r="C53" s="118">
        <v>12999250.9</v>
      </c>
      <c r="D53" s="118">
        <v>1661793.3499999999</v>
      </c>
      <c r="E53" s="118">
        <v>23047552.400000002</v>
      </c>
      <c r="F53" s="118">
        <v>3777947.4299999997</v>
      </c>
      <c r="G53" s="118">
        <v>8968154.5399999991</v>
      </c>
      <c r="H53" s="118">
        <v>3848827.7699999958</v>
      </c>
      <c r="I53" s="409" t="s">
        <v>272</v>
      </c>
    </row>
    <row r="54" spans="1:21" ht="21">
      <c r="A54" s="410" t="s">
        <v>273</v>
      </c>
      <c r="B54" s="111">
        <f t="shared" si="3"/>
        <v>8566934.2000000011</v>
      </c>
      <c r="C54" s="118">
        <v>190296.85</v>
      </c>
      <c r="D54" s="118">
        <v>4479080.28</v>
      </c>
      <c r="E54" s="118">
        <v>323299.17999999993</v>
      </c>
      <c r="F54" s="118">
        <v>1577.02</v>
      </c>
      <c r="G54" s="118">
        <v>3545889.1500000004</v>
      </c>
      <c r="H54" s="118">
        <v>26791.720000000671</v>
      </c>
      <c r="I54" s="409" t="s">
        <v>274</v>
      </c>
    </row>
    <row r="55" spans="1:21" ht="21">
      <c r="A55" s="410" t="s">
        <v>275</v>
      </c>
      <c r="B55" s="111">
        <f t="shared" si="3"/>
        <v>24225273.659999996</v>
      </c>
      <c r="C55" s="118">
        <v>974296.97</v>
      </c>
      <c r="D55" s="118">
        <v>14200928.699999997</v>
      </c>
      <c r="E55" s="118">
        <v>3659156.1799999997</v>
      </c>
      <c r="F55" s="118">
        <v>81716.290000000008</v>
      </c>
      <c r="G55" s="118">
        <v>4317358.9799999995</v>
      </c>
      <c r="H55" s="118">
        <v>991816.53999999911</v>
      </c>
      <c r="I55" s="409" t="s">
        <v>276</v>
      </c>
    </row>
    <row r="56" spans="1:21" ht="21">
      <c r="A56" s="410" t="s">
        <v>277</v>
      </c>
      <c r="B56" s="111">
        <f t="shared" si="3"/>
        <v>12255962.07</v>
      </c>
      <c r="C56" s="118">
        <v>4098057.0300000003</v>
      </c>
      <c r="D56" s="118">
        <v>3247111.3699999992</v>
      </c>
      <c r="E56" s="118">
        <v>3751164.9400000004</v>
      </c>
      <c r="F56" s="118">
        <v>634037.18999999994</v>
      </c>
      <c r="G56" s="118">
        <v>88719.040000000008</v>
      </c>
      <c r="H56" s="118">
        <v>436872.50000000186</v>
      </c>
      <c r="I56" s="409" t="s">
        <v>278</v>
      </c>
    </row>
    <row r="57" spans="1:21" ht="21">
      <c r="A57" s="410" t="s">
        <v>279</v>
      </c>
      <c r="B57" s="111">
        <f t="shared" si="3"/>
        <v>300171.75</v>
      </c>
      <c r="C57" s="118">
        <v>73069.350000000006</v>
      </c>
      <c r="D57" s="118">
        <v>3629.59</v>
      </c>
      <c r="E57" s="118">
        <v>52407.170000000006</v>
      </c>
      <c r="F57" s="118">
        <v>0</v>
      </c>
      <c r="G57" s="118">
        <v>170707.51</v>
      </c>
      <c r="H57" s="118">
        <v>358.13000000000466</v>
      </c>
      <c r="I57" s="409" t="s">
        <v>280</v>
      </c>
    </row>
    <row r="58" spans="1:21" ht="21">
      <c r="A58" s="410" t="s">
        <v>281</v>
      </c>
      <c r="B58" s="111">
        <f t="shared" si="3"/>
        <v>0</v>
      </c>
      <c r="C58" s="118">
        <v>0</v>
      </c>
      <c r="D58" s="118">
        <v>0</v>
      </c>
      <c r="E58" s="118">
        <v>0</v>
      </c>
      <c r="F58" s="118">
        <v>0</v>
      </c>
      <c r="G58" s="118">
        <v>0</v>
      </c>
      <c r="H58" s="118">
        <v>0</v>
      </c>
      <c r="I58" s="409" t="s">
        <v>282</v>
      </c>
    </row>
    <row r="59" spans="1:21" ht="21">
      <c r="A59" s="410" t="s">
        <v>283</v>
      </c>
      <c r="B59" s="111">
        <f t="shared" si="3"/>
        <v>11188072.369999999</v>
      </c>
      <c r="C59" s="118">
        <v>917261.39</v>
      </c>
      <c r="D59" s="118">
        <v>6166556.3999999994</v>
      </c>
      <c r="E59" s="118">
        <v>1180586.99</v>
      </c>
      <c r="F59" s="118">
        <v>274331.73</v>
      </c>
      <c r="G59" s="118">
        <v>341456.55</v>
      </c>
      <c r="H59" s="118">
        <v>2307879.3099999987</v>
      </c>
      <c r="I59" s="409" t="s">
        <v>284</v>
      </c>
    </row>
    <row r="60" spans="1:21" ht="21">
      <c r="A60" s="411" t="s">
        <v>285</v>
      </c>
      <c r="B60" s="412">
        <f t="shared" si="3"/>
        <v>58512032.88000001</v>
      </c>
      <c r="C60" s="125">
        <v>24819710.780000001</v>
      </c>
      <c r="D60" s="125">
        <v>11264299.490000002</v>
      </c>
      <c r="E60" s="125">
        <v>3612980.7399999998</v>
      </c>
      <c r="F60" s="125">
        <v>3644674.1800000006</v>
      </c>
      <c r="G60" s="125">
        <v>10909515.33</v>
      </c>
      <c r="H60" s="125">
        <v>4260852.3600000069</v>
      </c>
      <c r="I60" s="413" t="s">
        <v>286</v>
      </c>
    </row>
    <row r="61" spans="1:21" s="402" customFormat="1">
      <c r="A61" s="414" t="s">
        <v>287</v>
      </c>
      <c r="B61" s="414"/>
      <c r="C61" s="415"/>
      <c r="D61" s="415"/>
      <c r="E61" s="415"/>
      <c r="F61" s="415"/>
      <c r="G61" s="415"/>
      <c r="H61" s="415"/>
      <c r="I61" s="416" t="s">
        <v>288</v>
      </c>
      <c r="J61" s="398"/>
      <c r="K61" s="398"/>
      <c r="L61" s="398"/>
      <c r="M61" s="398"/>
      <c r="N61" s="398"/>
      <c r="O61" s="398"/>
      <c r="P61" s="398"/>
      <c r="Q61" s="398"/>
      <c r="R61" s="398"/>
      <c r="S61" s="398"/>
      <c r="T61" s="398"/>
      <c r="U61" s="398"/>
    </row>
    <row r="62" spans="1:21" s="402" customFormat="1">
      <c r="A62" s="414"/>
      <c r="B62" s="417"/>
      <c r="C62" s="418"/>
      <c r="D62" s="419"/>
      <c r="E62" s="420"/>
      <c r="F62" s="420"/>
      <c r="G62" s="420"/>
      <c r="H62" s="421"/>
      <c r="J62" s="398"/>
      <c r="K62" s="398"/>
      <c r="L62" s="398"/>
      <c r="M62" s="398"/>
      <c r="N62" s="398"/>
      <c r="O62" s="398"/>
      <c r="P62" s="398"/>
      <c r="Q62" s="398"/>
      <c r="R62" s="398"/>
      <c r="S62" s="398"/>
      <c r="T62" s="398"/>
      <c r="U62" s="398"/>
    </row>
    <row r="63" spans="1:21" s="402" customFormat="1">
      <c r="A63" s="422"/>
      <c r="B63" s="417"/>
      <c r="C63" s="418"/>
      <c r="D63" s="423"/>
      <c r="E63" s="424"/>
      <c r="F63" s="424"/>
      <c r="G63" s="424"/>
      <c r="H63" s="425"/>
      <c r="I63" s="426"/>
      <c r="J63" s="398"/>
      <c r="K63" s="398"/>
      <c r="L63" s="398"/>
      <c r="M63" s="398"/>
      <c r="N63" s="398"/>
      <c r="O63" s="398"/>
      <c r="P63" s="398"/>
      <c r="Q63" s="398"/>
      <c r="R63" s="398"/>
      <c r="S63" s="398"/>
      <c r="T63" s="398"/>
      <c r="U63" s="398"/>
    </row>
    <row r="64" spans="1:21" s="402" customFormat="1">
      <c r="A64" s="417"/>
      <c r="B64" s="417"/>
      <c r="C64" s="418"/>
      <c r="D64" s="427"/>
      <c r="E64" s="74"/>
      <c r="F64" s="74"/>
      <c r="G64" s="74"/>
      <c r="H64" s="428"/>
      <c r="I64" s="427"/>
      <c r="J64" s="398"/>
      <c r="K64" s="398"/>
      <c r="L64" s="398"/>
      <c r="M64" s="398"/>
      <c r="N64" s="398"/>
      <c r="O64" s="398"/>
      <c r="P64" s="398"/>
      <c r="Q64" s="398"/>
      <c r="R64" s="398"/>
      <c r="S64" s="398"/>
      <c r="T64" s="398"/>
      <c r="U64" s="398"/>
    </row>
    <row r="65" spans="1:21" ht="18">
      <c r="A65" s="837"/>
      <c r="B65" s="837"/>
      <c r="C65" s="837"/>
      <c r="D65" s="837"/>
      <c r="E65" s="837"/>
      <c r="F65" s="837"/>
      <c r="G65" s="837"/>
      <c r="H65" s="837"/>
      <c r="I65" s="837"/>
    </row>
    <row r="66" spans="1:21" s="399" customFormat="1" ht="15.75">
      <c r="A66" s="838"/>
      <c r="B66" s="838"/>
      <c r="C66" s="838"/>
      <c r="D66" s="838"/>
      <c r="E66" s="838"/>
      <c r="F66" s="838"/>
      <c r="G66" s="838"/>
      <c r="H66" s="838"/>
      <c r="I66" s="838"/>
    </row>
    <row r="67" spans="1:21" ht="21">
      <c r="A67" s="839"/>
      <c r="B67" s="839"/>
      <c r="C67" s="839"/>
      <c r="D67" s="839"/>
      <c r="E67" s="839"/>
      <c r="F67" s="839"/>
      <c r="G67" s="839"/>
      <c r="H67" s="839"/>
      <c r="I67" s="839"/>
    </row>
    <row r="68" spans="1:21">
      <c r="A68" s="840"/>
      <c r="B68" s="840"/>
      <c r="C68" s="840"/>
      <c r="D68" s="840"/>
      <c r="E68" s="840"/>
      <c r="F68" s="840"/>
      <c r="G68" s="840"/>
      <c r="H68" s="840"/>
      <c r="I68" s="840"/>
    </row>
    <row r="69" spans="1:21" ht="18.75">
      <c r="A69" s="841"/>
      <c r="B69" s="429"/>
      <c r="C69" s="429"/>
      <c r="D69" s="429"/>
      <c r="E69" s="429"/>
      <c r="F69" s="429"/>
      <c r="G69" s="429"/>
      <c r="H69" s="429"/>
      <c r="I69" s="842"/>
    </row>
    <row r="70" spans="1:21">
      <c r="A70" s="841"/>
      <c r="B70" s="430"/>
      <c r="C70" s="430"/>
      <c r="D70" s="430"/>
      <c r="E70" s="430"/>
      <c r="F70" s="430"/>
      <c r="G70" s="430"/>
      <c r="H70" s="430"/>
      <c r="I70" s="842"/>
      <c r="J70" s="402"/>
      <c r="K70" s="402"/>
    </row>
    <row r="71" spans="1:21" ht="21">
      <c r="A71" s="627"/>
      <c r="B71" s="431"/>
      <c r="C71" s="431"/>
      <c r="D71" s="431"/>
      <c r="E71" s="431"/>
      <c r="F71" s="431"/>
      <c r="G71" s="431"/>
      <c r="H71" s="431"/>
      <c r="I71" s="628"/>
      <c r="J71" s="402"/>
      <c r="K71" s="402"/>
    </row>
    <row r="72" spans="1:21" ht="21">
      <c r="A72" s="418"/>
      <c r="B72" s="111"/>
      <c r="C72" s="118"/>
      <c r="D72" s="118"/>
      <c r="E72" s="118"/>
      <c r="F72" s="118"/>
      <c r="G72" s="118"/>
      <c r="H72" s="118"/>
      <c r="I72" s="432"/>
    </row>
    <row r="73" spans="1:21" ht="21">
      <c r="A73" s="433"/>
      <c r="B73" s="111"/>
      <c r="C73" s="118"/>
      <c r="D73" s="118"/>
      <c r="E73" s="118"/>
      <c r="F73" s="118"/>
      <c r="G73" s="118"/>
      <c r="H73" s="118"/>
      <c r="I73" s="432"/>
      <c r="J73" s="399"/>
      <c r="K73" s="399"/>
    </row>
    <row r="74" spans="1:21" ht="21">
      <c r="A74" s="433"/>
      <c r="B74" s="111"/>
      <c r="C74" s="118"/>
      <c r="D74" s="118"/>
      <c r="E74" s="118"/>
      <c r="F74" s="118"/>
      <c r="G74" s="118"/>
      <c r="H74" s="118"/>
      <c r="I74" s="432"/>
    </row>
    <row r="75" spans="1:21" ht="21">
      <c r="A75" s="433"/>
      <c r="B75" s="111"/>
      <c r="C75" s="118"/>
      <c r="D75" s="118"/>
      <c r="E75" s="118"/>
      <c r="F75" s="118"/>
      <c r="G75" s="118"/>
      <c r="H75" s="118"/>
      <c r="I75" s="432"/>
    </row>
    <row r="76" spans="1:21" ht="21">
      <c r="A76" s="433"/>
      <c r="B76" s="111"/>
      <c r="C76" s="118"/>
      <c r="D76" s="118"/>
      <c r="E76" s="118"/>
      <c r="F76" s="118"/>
      <c r="G76" s="118"/>
      <c r="H76" s="118"/>
      <c r="I76" s="432"/>
      <c r="J76" s="402"/>
      <c r="K76" s="402"/>
      <c r="L76" s="402"/>
      <c r="M76" s="402"/>
      <c r="N76" s="402"/>
      <c r="O76" s="402"/>
      <c r="P76" s="402"/>
      <c r="Q76" s="402"/>
      <c r="R76" s="402"/>
      <c r="S76" s="402"/>
      <c r="T76" s="402"/>
      <c r="U76" s="402"/>
    </row>
    <row r="77" spans="1:21" ht="21">
      <c r="A77" s="433"/>
      <c r="B77" s="111"/>
      <c r="C77" s="118"/>
      <c r="D77" s="118"/>
      <c r="E77" s="118"/>
      <c r="F77" s="118"/>
      <c r="G77" s="118"/>
      <c r="H77" s="118"/>
      <c r="I77" s="432"/>
    </row>
    <row r="78" spans="1:21" ht="21">
      <c r="A78" s="433"/>
      <c r="B78" s="111"/>
      <c r="C78" s="118"/>
      <c r="D78" s="118"/>
      <c r="E78" s="118"/>
      <c r="F78" s="118"/>
      <c r="G78" s="118"/>
      <c r="H78" s="118"/>
      <c r="I78" s="432"/>
    </row>
    <row r="79" spans="1:21">
      <c r="A79" s="414"/>
      <c r="B79" s="414"/>
      <c r="C79" s="415"/>
      <c r="D79" s="415"/>
      <c r="E79" s="415"/>
      <c r="F79" s="415"/>
      <c r="G79" s="415"/>
      <c r="H79" s="415"/>
      <c r="I79" s="416"/>
    </row>
    <row r="80" spans="1:21">
      <c r="A80" s="414"/>
      <c r="B80" s="417"/>
      <c r="C80" s="418"/>
      <c r="D80" s="419"/>
      <c r="E80" s="420"/>
      <c r="F80" s="420"/>
      <c r="G80" s="420"/>
      <c r="H80" s="421"/>
      <c r="I80" s="402"/>
    </row>
    <row r="86" spans="1:9" ht="18">
      <c r="A86" s="851" t="s">
        <v>224</v>
      </c>
      <c r="B86" s="851"/>
      <c r="C86" s="851"/>
      <c r="D86" s="851"/>
      <c r="E86" s="851"/>
      <c r="F86" s="851"/>
      <c r="G86" s="851"/>
      <c r="H86" s="851"/>
      <c r="I86" s="851"/>
    </row>
    <row r="87" spans="1:9" ht="15.75">
      <c r="A87" s="844" t="s">
        <v>225</v>
      </c>
      <c r="B87" s="844"/>
      <c r="C87" s="844"/>
      <c r="D87" s="844"/>
      <c r="E87" s="844"/>
      <c r="F87" s="844"/>
      <c r="G87" s="844"/>
      <c r="H87" s="844"/>
      <c r="I87" s="844"/>
    </row>
    <row r="88" spans="1:9" ht="21">
      <c r="A88" s="845" t="s">
        <v>226</v>
      </c>
      <c r="B88" s="845"/>
      <c r="C88" s="845"/>
      <c r="D88" s="845"/>
      <c r="E88" s="845"/>
      <c r="F88" s="845"/>
      <c r="G88" s="845"/>
      <c r="H88" s="845"/>
      <c r="I88" s="845"/>
    </row>
    <row r="89" spans="1:9">
      <c r="A89" s="846" t="s">
        <v>227</v>
      </c>
      <c r="B89" s="846"/>
      <c r="C89" s="846"/>
      <c r="D89" s="846"/>
      <c r="E89" s="846"/>
      <c r="F89" s="846"/>
      <c r="G89" s="846"/>
      <c r="H89" s="846"/>
      <c r="I89" s="846"/>
    </row>
    <row r="90" spans="1:9" ht="18.75">
      <c r="A90" s="847" t="s">
        <v>228</v>
      </c>
      <c r="B90" s="400" t="s">
        <v>158</v>
      </c>
      <c r="C90" s="400" t="s">
        <v>229</v>
      </c>
      <c r="D90" s="400" t="s">
        <v>230</v>
      </c>
      <c r="E90" s="400" t="s">
        <v>231</v>
      </c>
      <c r="F90" s="400" t="s">
        <v>232</v>
      </c>
      <c r="G90" s="400" t="s">
        <v>233</v>
      </c>
      <c r="H90" s="400" t="s">
        <v>234</v>
      </c>
      <c r="I90" s="849" t="s">
        <v>235</v>
      </c>
    </row>
    <row r="91" spans="1:9">
      <c r="A91" s="848"/>
      <c r="B91" s="401" t="s">
        <v>236</v>
      </c>
      <c r="C91" s="401" t="s">
        <v>237</v>
      </c>
      <c r="D91" s="401" t="s">
        <v>238</v>
      </c>
      <c r="E91" s="401" t="s">
        <v>239</v>
      </c>
      <c r="F91" s="401" t="s">
        <v>240</v>
      </c>
      <c r="G91" s="401" t="s">
        <v>241</v>
      </c>
      <c r="H91" s="401" t="s">
        <v>242</v>
      </c>
      <c r="I91" s="850"/>
    </row>
    <row r="92" spans="1:9" ht="21">
      <c r="A92" s="403" t="s">
        <v>90</v>
      </c>
      <c r="B92" s="404">
        <f t="shared" ref="B92:H92" si="4">SUM(B93:B114)</f>
        <v>437440288.20000005</v>
      </c>
      <c r="C92" s="404">
        <f t="shared" si="4"/>
        <v>124404067.35999998</v>
      </c>
      <c r="D92" s="404">
        <f t="shared" si="4"/>
        <v>84504694.510000005</v>
      </c>
      <c r="E92" s="404">
        <f t="shared" si="4"/>
        <v>89466498.949999988</v>
      </c>
      <c r="F92" s="404">
        <f t="shared" si="4"/>
        <v>19911562.610000003</v>
      </c>
      <c r="G92" s="404">
        <f t="shared" si="4"/>
        <v>76314727.409999982</v>
      </c>
      <c r="H92" s="404">
        <f t="shared" si="4"/>
        <v>42838737.359999999</v>
      </c>
      <c r="I92" s="629" t="s">
        <v>158</v>
      </c>
    </row>
    <row r="93" spans="1:9" ht="21">
      <c r="A93" s="406" t="s">
        <v>243</v>
      </c>
      <c r="B93" s="111">
        <f>SUM(C93:H93)</f>
        <v>25231479.590000004</v>
      </c>
      <c r="C93" s="118">
        <v>17718213.640000004</v>
      </c>
      <c r="D93" s="118">
        <v>4001605.88</v>
      </c>
      <c r="E93" s="118">
        <v>1820967.2899999998</v>
      </c>
      <c r="F93" s="118">
        <v>69169.640000000014</v>
      </c>
      <c r="G93" s="118">
        <v>794447.40000000014</v>
      </c>
      <c r="H93" s="118">
        <v>827075.74000000022</v>
      </c>
      <c r="I93" s="407" t="s">
        <v>244</v>
      </c>
    </row>
    <row r="94" spans="1:9" ht="21">
      <c r="A94" s="408" t="s">
        <v>245</v>
      </c>
      <c r="B94" s="111">
        <f t="shared" ref="B94:B114" si="5">SUM(C94:H94)</f>
        <v>26427082.919999998</v>
      </c>
      <c r="C94" s="118">
        <v>14973159.1</v>
      </c>
      <c r="D94" s="118">
        <v>5479159.0299999993</v>
      </c>
      <c r="E94" s="118">
        <v>2703228.2399999988</v>
      </c>
      <c r="F94" s="118">
        <v>402765.97000000009</v>
      </c>
      <c r="G94" s="118">
        <v>1693962.4600000002</v>
      </c>
      <c r="H94" s="118">
        <v>1174808.1199999999</v>
      </c>
      <c r="I94" s="409" t="s">
        <v>246</v>
      </c>
    </row>
    <row r="95" spans="1:9" ht="21">
      <c r="A95" s="410" t="s">
        <v>247</v>
      </c>
      <c r="B95" s="111">
        <f t="shared" si="5"/>
        <v>217.14</v>
      </c>
      <c r="C95" s="118">
        <v>0</v>
      </c>
      <c r="D95" s="118">
        <v>217.14</v>
      </c>
      <c r="E95" s="118">
        <v>0</v>
      </c>
      <c r="F95" s="118">
        <v>0</v>
      </c>
      <c r="G95" s="118">
        <v>0</v>
      </c>
      <c r="H95" s="118">
        <v>0</v>
      </c>
      <c r="I95" s="409" t="s">
        <v>248</v>
      </c>
    </row>
    <row r="96" spans="1:9" ht="21">
      <c r="A96" s="410" t="s">
        <v>249</v>
      </c>
      <c r="B96" s="111">
        <f t="shared" si="5"/>
        <v>1627.63</v>
      </c>
      <c r="C96" s="118">
        <v>1627.63</v>
      </c>
      <c r="D96" s="118">
        <v>0</v>
      </c>
      <c r="E96" s="118">
        <v>0</v>
      </c>
      <c r="F96" s="118">
        <v>0</v>
      </c>
      <c r="G96" s="118">
        <v>0</v>
      </c>
      <c r="H96" s="118">
        <v>0</v>
      </c>
      <c r="I96" s="409" t="s">
        <v>250</v>
      </c>
    </row>
    <row r="97" spans="1:9" ht="21">
      <c r="A97" s="410" t="s">
        <v>251</v>
      </c>
      <c r="B97" s="111">
        <f t="shared" si="5"/>
        <v>335231.02999999997</v>
      </c>
      <c r="C97" s="118">
        <v>795.66</v>
      </c>
      <c r="D97" s="118">
        <v>223099.94999999995</v>
      </c>
      <c r="E97" s="118">
        <v>76578.989999999991</v>
      </c>
      <c r="F97" s="118">
        <v>637.12</v>
      </c>
      <c r="G97" s="118">
        <v>17455.25</v>
      </c>
      <c r="H97" s="118">
        <v>16664.060000000001</v>
      </c>
      <c r="I97" s="409" t="s">
        <v>252</v>
      </c>
    </row>
    <row r="98" spans="1:9" ht="21">
      <c r="A98" s="410" t="s">
        <v>253</v>
      </c>
      <c r="B98" s="111">
        <f t="shared" si="5"/>
        <v>39418254.080000006</v>
      </c>
      <c r="C98" s="118">
        <v>22786087.970000003</v>
      </c>
      <c r="D98" s="118">
        <v>8106286.9399999985</v>
      </c>
      <c r="E98" s="118">
        <v>3788788.6800000006</v>
      </c>
      <c r="F98" s="118">
        <v>605713.05000000005</v>
      </c>
      <c r="G98" s="118">
        <v>851035.59999999986</v>
      </c>
      <c r="H98" s="118">
        <v>3280341.8400000003</v>
      </c>
      <c r="I98" s="409" t="s">
        <v>254</v>
      </c>
    </row>
    <row r="99" spans="1:9" ht="21">
      <c r="A99" s="410" t="s">
        <v>255</v>
      </c>
      <c r="B99" s="111">
        <f t="shared" si="5"/>
        <v>6139646.2699999996</v>
      </c>
      <c r="C99" s="118">
        <v>115556.06</v>
      </c>
      <c r="D99" s="118">
        <v>1125568.6000000003</v>
      </c>
      <c r="E99" s="118">
        <v>1421129.72</v>
      </c>
      <c r="F99" s="118">
        <v>323646.12</v>
      </c>
      <c r="G99" s="118">
        <v>2856630.399999999</v>
      </c>
      <c r="H99" s="118">
        <v>297115.37</v>
      </c>
      <c r="I99" s="409" t="s">
        <v>256</v>
      </c>
    </row>
    <row r="100" spans="1:9" ht="21">
      <c r="A100" s="410" t="s">
        <v>257</v>
      </c>
      <c r="B100" s="111">
        <f t="shared" si="5"/>
        <v>2487894.6800000002</v>
      </c>
      <c r="C100" s="118">
        <v>109874.80000000003</v>
      </c>
      <c r="D100" s="118">
        <v>2281990.6500000004</v>
      </c>
      <c r="E100" s="118">
        <v>71457.829999999987</v>
      </c>
      <c r="F100" s="118">
        <v>1141.04</v>
      </c>
      <c r="G100" s="118">
        <v>7491.36</v>
      </c>
      <c r="H100" s="118">
        <v>15939</v>
      </c>
      <c r="I100" s="409" t="s">
        <v>258</v>
      </c>
    </row>
    <row r="101" spans="1:9" ht="21">
      <c r="A101" s="410" t="s">
        <v>259</v>
      </c>
      <c r="B101" s="111">
        <f t="shared" si="5"/>
        <v>21086680.849999998</v>
      </c>
      <c r="C101" s="118">
        <v>9830754.8499999978</v>
      </c>
      <c r="D101" s="118">
        <v>3452845.25</v>
      </c>
      <c r="E101" s="118">
        <v>1768938.92</v>
      </c>
      <c r="F101" s="118">
        <v>28770.26</v>
      </c>
      <c r="G101" s="118">
        <v>2538896.9599999995</v>
      </c>
      <c r="H101" s="118">
        <v>3466474.6099999989</v>
      </c>
      <c r="I101" s="409" t="s">
        <v>260</v>
      </c>
    </row>
    <row r="102" spans="1:9" ht="21">
      <c r="A102" s="410" t="s">
        <v>261</v>
      </c>
      <c r="B102" s="111">
        <f t="shared" si="5"/>
        <v>26595567.779999997</v>
      </c>
      <c r="C102" s="118">
        <v>5200891.21</v>
      </c>
      <c r="D102" s="118">
        <v>11416550.450000001</v>
      </c>
      <c r="E102" s="118">
        <v>6062099.5999999978</v>
      </c>
      <c r="F102" s="118">
        <v>1359489.9700000002</v>
      </c>
      <c r="G102" s="118">
        <v>513199.34</v>
      </c>
      <c r="H102" s="118">
        <v>2043337.21</v>
      </c>
      <c r="I102" s="409" t="s">
        <v>262</v>
      </c>
    </row>
    <row r="103" spans="1:9" ht="21">
      <c r="A103" s="410" t="s">
        <v>263</v>
      </c>
      <c r="B103" s="111">
        <f t="shared" si="5"/>
        <v>4800395.379999999</v>
      </c>
      <c r="C103" s="118">
        <v>3574207.75</v>
      </c>
      <c r="D103" s="118">
        <v>971307.72000000009</v>
      </c>
      <c r="E103" s="118">
        <v>179428.05</v>
      </c>
      <c r="F103" s="118">
        <v>0</v>
      </c>
      <c r="G103" s="118">
        <v>16870.93</v>
      </c>
      <c r="H103" s="118">
        <v>58580.93</v>
      </c>
      <c r="I103" s="409" t="s">
        <v>264</v>
      </c>
    </row>
    <row r="104" spans="1:9" ht="21">
      <c r="A104" s="410" t="s">
        <v>265</v>
      </c>
      <c r="B104" s="111">
        <f t="shared" si="5"/>
        <v>21304266.050000001</v>
      </c>
      <c r="C104" s="118">
        <v>2523155.4200000004</v>
      </c>
      <c r="D104" s="118">
        <v>3673665.21</v>
      </c>
      <c r="E104" s="118">
        <v>3570830.4499999993</v>
      </c>
      <c r="F104" s="118">
        <v>9330.68</v>
      </c>
      <c r="G104" s="118">
        <v>9043897.8099999987</v>
      </c>
      <c r="H104" s="118">
        <v>2483386.4800000004</v>
      </c>
      <c r="I104" s="409" t="s">
        <v>266</v>
      </c>
    </row>
    <row r="105" spans="1:9" ht="21">
      <c r="A105" s="410" t="s">
        <v>267</v>
      </c>
      <c r="B105" s="111">
        <f t="shared" si="5"/>
        <v>55181761.25999999</v>
      </c>
      <c r="C105" s="118">
        <v>1177517.68</v>
      </c>
      <c r="D105" s="118">
        <v>5250827.4600000018</v>
      </c>
      <c r="E105" s="118">
        <v>26506152.099999987</v>
      </c>
      <c r="F105" s="118">
        <v>8395182.0600000005</v>
      </c>
      <c r="G105" s="118">
        <v>4697865.3999999994</v>
      </c>
      <c r="H105" s="118">
        <v>9154216.5599999987</v>
      </c>
      <c r="I105" s="409" t="s">
        <v>268</v>
      </c>
    </row>
    <row r="106" spans="1:9" ht="21">
      <c r="A106" s="410" t="s">
        <v>269</v>
      </c>
      <c r="B106" s="111">
        <f t="shared" si="5"/>
        <v>65511127.089999996</v>
      </c>
      <c r="C106" s="118">
        <v>6499864.209999999</v>
      </c>
      <c r="D106" s="118">
        <v>5671909.1199999992</v>
      </c>
      <c r="E106" s="118">
        <v>14060417.959999999</v>
      </c>
      <c r="F106" s="118">
        <v>1292959.08</v>
      </c>
      <c r="G106" s="118">
        <v>30070811.619999997</v>
      </c>
      <c r="H106" s="118">
        <v>7915165.0999999996</v>
      </c>
      <c r="I106" s="409" t="s">
        <v>270</v>
      </c>
    </row>
    <row r="107" spans="1:9" ht="21">
      <c r="A107" s="410" t="s">
        <v>271</v>
      </c>
      <c r="B107" s="111">
        <f t="shared" si="5"/>
        <v>43240005.379999995</v>
      </c>
      <c r="C107" s="118">
        <v>9576331.049999997</v>
      </c>
      <c r="D107" s="118">
        <v>1533755.9000000004</v>
      </c>
      <c r="E107" s="118">
        <v>17562728.709999997</v>
      </c>
      <c r="F107" s="118">
        <v>3543793.83</v>
      </c>
      <c r="G107" s="118">
        <v>7551873.6200000001</v>
      </c>
      <c r="H107" s="118">
        <v>3471522.27</v>
      </c>
      <c r="I107" s="409" t="s">
        <v>272</v>
      </c>
    </row>
    <row r="108" spans="1:9" ht="21">
      <c r="A108" s="410" t="s">
        <v>273</v>
      </c>
      <c r="B108" s="111">
        <f t="shared" si="5"/>
        <v>5217303.67</v>
      </c>
      <c r="C108" s="118">
        <v>101705.61</v>
      </c>
      <c r="D108" s="118">
        <v>2338389.1100000003</v>
      </c>
      <c r="E108" s="118">
        <v>169843.56</v>
      </c>
      <c r="F108" s="118">
        <v>4525.34</v>
      </c>
      <c r="G108" s="118">
        <v>2550618.3599999994</v>
      </c>
      <c r="H108" s="118">
        <v>52221.689999999995</v>
      </c>
      <c r="I108" s="409" t="s">
        <v>274</v>
      </c>
    </row>
    <row r="109" spans="1:9" ht="21">
      <c r="A109" s="410" t="s">
        <v>275</v>
      </c>
      <c r="B109" s="111">
        <f t="shared" si="5"/>
        <v>21497423.030000005</v>
      </c>
      <c r="C109" s="118">
        <v>478346.88999999996</v>
      </c>
      <c r="D109" s="118">
        <v>12896681.150000002</v>
      </c>
      <c r="E109" s="118">
        <v>3403583.1200000006</v>
      </c>
      <c r="F109" s="118">
        <v>158726.37</v>
      </c>
      <c r="G109" s="118">
        <v>3562925.12</v>
      </c>
      <c r="H109" s="118">
        <v>997160.37999999989</v>
      </c>
      <c r="I109" s="409" t="s">
        <v>276</v>
      </c>
    </row>
    <row r="110" spans="1:9" ht="21">
      <c r="A110" s="410" t="s">
        <v>277</v>
      </c>
      <c r="B110" s="111">
        <f t="shared" si="5"/>
        <v>7570313.5099999998</v>
      </c>
      <c r="C110" s="118">
        <v>3004625.8</v>
      </c>
      <c r="D110" s="118">
        <v>1956140.33</v>
      </c>
      <c r="E110" s="118">
        <v>1599913.3800000001</v>
      </c>
      <c r="F110" s="118">
        <v>490143.57</v>
      </c>
      <c r="G110" s="118">
        <v>51551.159999999989</v>
      </c>
      <c r="H110" s="118">
        <v>467939.26999999996</v>
      </c>
      <c r="I110" s="409" t="s">
        <v>278</v>
      </c>
    </row>
    <row r="111" spans="1:9" ht="21">
      <c r="A111" s="410" t="s">
        <v>279</v>
      </c>
      <c r="B111" s="111">
        <f t="shared" si="5"/>
        <v>319823.19</v>
      </c>
      <c r="C111" s="118">
        <v>33435.300000000003</v>
      </c>
      <c r="D111" s="118">
        <v>6919.45</v>
      </c>
      <c r="E111" s="118">
        <v>22447.15</v>
      </c>
      <c r="F111" s="118">
        <v>0</v>
      </c>
      <c r="G111" s="118">
        <v>257021.28999999998</v>
      </c>
      <c r="H111" s="118">
        <v>0</v>
      </c>
      <c r="I111" s="409" t="s">
        <v>280</v>
      </c>
    </row>
    <row r="112" spans="1:9" ht="21">
      <c r="A112" s="410" t="s">
        <v>281</v>
      </c>
      <c r="B112" s="111">
        <f t="shared" si="5"/>
        <v>7781095.2800000003</v>
      </c>
      <c r="C112" s="118">
        <v>3286958.2800000007</v>
      </c>
      <c r="D112" s="118">
        <v>4040528.91</v>
      </c>
      <c r="E112" s="118">
        <v>248615.14</v>
      </c>
      <c r="F112" s="118">
        <v>1149.05</v>
      </c>
      <c r="G112" s="118">
        <v>77383.89</v>
      </c>
      <c r="H112" s="118">
        <v>126460.01000000002</v>
      </c>
      <c r="I112" s="409" t="s">
        <v>282</v>
      </c>
    </row>
    <row r="113" spans="1:9" ht="21">
      <c r="A113" s="410" t="s">
        <v>283</v>
      </c>
      <c r="B113" s="111">
        <f t="shared" si="5"/>
        <v>9034538.9799999986</v>
      </c>
      <c r="C113" s="118">
        <v>994343.66999999993</v>
      </c>
      <c r="D113" s="118">
        <v>4875443.5299999984</v>
      </c>
      <c r="E113" s="118">
        <v>827935.86999999976</v>
      </c>
      <c r="F113" s="118">
        <v>209680.38</v>
      </c>
      <c r="G113" s="118">
        <v>213080.6</v>
      </c>
      <c r="H113" s="118">
        <v>1914054.9300000002</v>
      </c>
      <c r="I113" s="409" t="s">
        <v>284</v>
      </c>
    </row>
    <row r="114" spans="1:9" ht="21">
      <c r="A114" s="411" t="s">
        <v>285</v>
      </c>
      <c r="B114" s="412">
        <f t="shared" si="5"/>
        <v>48258553.410000004</v>
      </c>
      <c r="C114" s="125">
        <v>22416614.779999997</v>
      </c>
      <c r="D114" s="125">
        <v>5201802.7299999995</v>
      </c>
      <c r="E114" s="125">
        <v>3601414.1900000004</v>
      </c>
      <c r="F114" s="125">
        <v>3014739.0800000005</v>
      </c>
      <c r="G114" s="125">
        <v>8947708.8400000017</v>
      </c>
      <c r="H114" s="125">
        <v>5076273.79</v>
      </c>
      <c r="I114" s="413" t="s">
        <v>286</v>
      </c>
    </row>
    <row r="115" spans="1:9">
      <c r="A115" s="414" t="s">
        <v>287</v>
      </c>
      <c r="B115" s="414"/>
      <c r="C115" s="415"/>
      <c r="D115" s="415"/>
      <c r="E115" s="415"/>
      <c r="F115" s="415"/>
      <c r="G115" s="415"/>
      <c r="H115" s="415"/>
      <c r="I115" s="416" t="s">
        <v>288</v>
      </c>
    </row>
    <row r="116" spans="1:9">
      <c r="A116" s="414"/>
      <c r="B116" s="417"/>
      <c r="C116" s="418"/>
      <c r="D116" s="419"/>
      <c r="E116" s="420"/>
      <c r="F116" s="420"/>
      <c r="G116" s="420"/>
      <c r="H116" s="421"/>
      <c r="I116" s="402"/>
    </row>
  </sheetData>
  <mergeCells count="24">
    <mergeCell ref="A1:I1"/>
    <mergeCell ref="A2:I2"/>
    <mergeCell ref="A3:I3"/>
    <mergeCell ref="A4:I4"/>
    <mergeCell ref="A5:A6"/>
    <mergeCell ref="I5:I6"/>
    <mergeCell ref="A86:I86"/>
    <mergeCell ref="A87:I87"/>
    <mergeCell ref="A88:I88"/>
    <mergeCell ref="A89:I89"/>
    <mergeCell ref="A90:A91"/>
    <mergeCell ref="I90:I91"/>
    <mergeCell ref="A32:I32"/>
    <mergeCell ref="A33:I33"/>
    <mergeCell ref="A34:I34"/>
    <mergeCell ref="A35:I35"/>
    <mergeCell ref="A36:A37"/>
    <mergeCell ref="I36:I37"/>
    <mergeCell ref="A65:I65"/>
    <mergeCell ref="A66:I66"/>
    <mergeCell ref="A67:I67"/>
    <mergeCell ref="A68:I68"/>
    <mergeCell ref="A69:A70"/>
    <mergeCell ref="I69:I7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T72"/>
  <sheetViews>
    <sheetView topLeftCell="A6" workbookViewId="0">
      <selection activeCell="C8" sqref="C8:H29"/>
    </sheetView>
  </sheetViews>
  <sheetFormatPr defaultColWidth="8.85546875" defaultRowHeight="15"/>
  <cols>
    <col min="1" max="1" width="40.85546875" style="398" customWidth="1"/>
    <col min="2" max="8" width="15.7109375" style="398" customWidth="1"/>
    <col min="9" max="9" width="24.5703125" style="398" customWidth="1"/>
    <col min="10" max="16384" width="8.85546875" style="398"/>
  </cols>
  <sheetData>
    <row r="1" spans="1:46" ht="18">
      <c r="A1" s="843" t="s">
        <v>461</v>
      </c>
      <c r="B1" s="843"/>
      <c r="C1" s="843"/>
      <c r="D1" s="843"/>
      <c r="E1" s="843"/>
      <c r="F1" s="843"/>
      <c r="G1" s="843"/>
      <c r="H1" s="843"/>
      <c r="I1" s="843"/>
    </row>
    <row r="2" spans="1:46" s="399" customFormat="1" ht="15.75">
      <c r="A2" s="844" t="s">
        <v>462</v>
      </c>
      <c r="B2" s="844"/>
      <c r="C2" s="844"/>
      <c r="D2" s="844"/>
      <c r="E2" s="844"/>
      <c r="F2" s="844"/>
      <c r="G2" s="844"/>
      <c r="H2" s="844"/>
      <c r="I2" s="844"/>
    </row>
    <row r="3" spans="1:46" ht="18.75">
      <c r="A3" s="852" t="s">
        <v>291</v>
      </c>
      <c r="B3" s="852"/>
      <c r="C3" s="853"/>
      <c r="D3" s="853"/>
      <c r="E3" s="853"/>
      <c r="F3" s="853"/>
      <c r="G3" s="853"/>
      <c r="H3" s="853"/>
      <c r="I3" s="853"/>
    </row>
    <row r="4" spans="1:46">
      <c r="A4" s="846" t="s">
        <v>292</v>
      </c>
      <c r="B4" s="846"/>
      <c r="C4" s="846"/>
      <c r="D4" s="846"/>
      <c r="E4" s="846"/>
      <c r="F4" s="846"/>
      <c r="G4" s="846"/>
      <c r="H4" s="846"/>
      <c r="I4" s="846"/>
    </row>
    <row r="5" spans="1:46" ht="18.75">
      <c r="A5" s="854" t="s">
        <v>293</v>
      </c>
      <c r="B5" s="400" t="s">
        <v>158</v>
      </c>
      <c r="C5" s="400" t="s">
        <v>229</v>
      </c>
      <c r="D5" s="400" t="s">
        <v>230</v>
      </c>
      <c r="E5" s="400" t="s">
        <v>231</v>
      </c>
      <c r="F5" s="400" t="s">
        <v>232</v>
      </c>
      <c r="G5" s="400" t="s">
        <v>233</v>
      </c>
      <c r="H5" s="400" t="s">
        <v>234</v>
      </c>
      <c r="I5" s="849" t="s">
        <v>235</v>
      </c>
    </row>
    <row r="6" spans="1:46">
      <c r="A6" s="855"/>
      <c r="B6" s="401" t="s">
        <v>236</v>
      </c>
      <c r="C6" s="401" t="s">
        <v>237</v>
      </c>
      <c r="D6" s="401" t="s">
        <v>238</v>
      </c>
      <c r="E6" s="401" t="s">
        <v>239</v>
      </c>
      <c r="F6" s="401" t="s">
        <v>240</v>
      </c>
      <c r="G6" s="401" t="s">
        <v>241</v>
      </c>
      <c r="H6" s="401" t="s">
        <v>242</v>
      </c>
      <c r="I6" s="850"/>
    </row>
    <row r="7" spans="1:46" ht="21">
      <c r="A7" s="403" t="s">
        <v>90</v>
      </c>
      <c r="B7" s="404">
        <f>SUM(B8:B29)</f>
        <v>0</v>
      </c>
      <c r="C7" s="404">
        <f t="shared" ref="C7:H7" si="0">SUM(C8:C29)</f>
        <v>0</v>
      </c>
      <c r="D7" s="404">
        <f t="shared" si="0"/>
        <v>0</v>
      </c>
      <c r="E7" s="404">
        <f t="shared" si="0"/>
        <v>0</v>
      </c>
      <c r="F7" s="404">
        <f t="shared" si="0"/>
        <v>0</v>
      </c>
      <c r="G7" s="404">
        <f t="shared" si="0"/>
        <v>0</v>
      </c>
      <c r="H7" s="404">
        <f t="shared" si="0"/>
        <v>0</v>
      </c>
      <c r="I7" s="405" t="s">
        <v>158</v>
      </c>
      <c r="AO7" s="434"/>
      <c r="AP7" s="434"/>
      <c r="AQ7" s="434"/>
      <c r="AR7" s="434"/>
      <c r="AS7" s="434"/>
      <c r="AT7" s="434"/>
    </row>
    <row r="8" spans="1:46" ht="21">
      <c r="A8" s="435" t="s">
        <v>243</v>
      </c>
      <c r="B8" s="111">
        <f t="shared" ref="B8:B29" si="1">SUM(C8:H8)</f>
        <v>0</v>
      </c>
      <c r="C8" s="118"/>
      <c r="D8" s="118"/>
      <c r="E8" s="118"/>
      <c r="F8" s="118"/>
      <c r="G8" s="118"/>
      <c r="H8" s="118"/>
      <c r="I8" s="436" t="s">
        <v>244</v>
      </c>
    </row>
    <row r="9" spans="1:46" ht="21">
      <c r="A9" s="408" t="s">
        <v>245</v>
      </c>
      <c r="B9" s="111">
        <f t="shared" si="1"/>
        <v>0</v>
      </c>
      <c r="C9" s="118"/>
      <c r="D9" s="118"/>
      <c r="E9" s="118"/>
      <c r="F9" s="118"/>
      <c r="G9" s="118"/>
      <c r="H9" s="118"/>
      <c r="I9" s="437" t="s">
        <v>246</v>
      </c>
    </row>
    <row r="10" spans="1:46" ht="21">
      <c r="A10" s="410" t="s">
        <v>294</v>
      </c>
      <c r="B10" s="111">
        <f t="shared" si="1"/>
        <v>0</v>
      </c>
      <c r="C10" s="118"/>
      <c r="D10" s="118"/>
      <c r="E10" s="118"/>
      <c r="F10" s="118"/>
      <c r="G10" s="118"/>
      <c r="H10" s="118"/>
      <c r="I10" s="437" t="s">
        <v>248</v>
      </c>
    </row>
    <row r="11" spans="1:46" ht="21">
      <c r="A11" s="410" t="s">
        <v>295</v>
      </c>
      <c r="B11" s="111">
        <f t="shared" si="1"/>
        <v>0</v>
      </c>
      <c r="C11" s="118"/>
      <c r="D11" s="118"/>
      <c r="E11" s="118"/>
      <c r="F11" s="118"/>
      <c r="G11" s="118"/>
      <c r="H11" s="118"/>
      <c r="I11" s="437" t="s">
        <v>250</v>
      </c>
    </row>
    <row r="12" spans="1:46" ht="21">
      <c r="A12" s="410" t="s">
        <v>296</v>
      </c>
      <c r="B12" s="111">
        <f t="shared" si="1"/>
        <v>0</v>
      </c>
      <c r="C12" s="118"/>
      <c r="D12" s="118"/>
      <c r="E12" s="118"/>
      <c r="F12" s="118"/>
      <c r="G12" s="118"/>
      <c r="H12" s="118"/>
      <c r="I12" s="437" t="s">
        <v>252</v>
      </c>
    </row>
    <row r="13" spans="1:46" ht="21">
      <c r="A13" s="410" t="s">
        <v>297</v>
      </c>
      <c r="B13" s="111">
        <f t="shared" si="1"/>
        <v>0</v>
      </c>
      <c r="C13" s="118"/>
      <c r="D13" s="118"/>
      <c r="E13" s="118"/>
      <c r="F13" s="118"/>
      <c r="G13" s="118"/>
      <c r="H13" s="118"/>
      <c r="I13" s="437" t="s">
        <v>254</v>
      </c>
    </row>
    <row r="14" spans="1:46" ht="21">
      <c r="A14" s="410" t="s">
        <v>255</v>
      </c>
      <c r="B14" s="111">
        <f t="shared" si="1"/>
        <v>0</v>
      </c>
      <c r="C14" s="118"/>
      <c r="D14" s="118"/>
      <c r="E14" s="118"/>
      <c r="F14" s="118"/>
      <c r="G14" s="118"/>
      <c r="H14" s="118"/>
      <c r="I14" s="437" t="s">
        <v>256</v>
      </c>
    </row>
    <row r="15" spans="1:46" ht="21">
      <c r="A15" s="410" t="s">
        <v>298</v>
      </c>
      <c r="B15" s="111">
        <f t="shared" si="1"/>
        <v>0</v>
      </c>
      <c r="C15" s="118"/>
      <c r="D15" s="118"/>
      <c r="E15" s="118"/>
      <c r="F15" s="118"/>
      <c r="G15" s="118"/>
      <c r="H15" s="118"/>
      <c r="I15" s="437" t="s">
        <v>258</v>
      </c>
    </row>
    <row r="16" spans="1:46" ht="21">
      <c r="A16" s="410" t="s">
        <v>299</v>
      </c>
      <c r="B16" s="111">
        <f t="shared" si="1"/>
        <v>0</v>
      </c>
      <c r="C16" s="118"/>
      <c r="D16" s="118"/>
      <c r="E16" s="118"/>
      <c r="F16" s="118"/>
      <c r="G16" s="118"/>
      <c r="H16" s="118"/>
      <c r="I16" s="437" t="s">
        <v>260</v>
      </c>
    </row>
    <row r="17" spans="1:17" ht="21">
      <c r="A17" s="410" t="s">
        <v>300</v>
      </c>
      <c r="B17" s="111">
        <f t="shared" si="1"/>
        <v>0</v>
      </c>
      <c r="C17" s="118"/>
      <c r="D17" s="118"/>
      <c r="E17" s="118"/>
      <c r="F17" s="118"/>
      <c r="G17" s="118"/>
      <c r="H17" s="118"/>
      <c r="I17" s="437" t="s">
        <v>262</v>
      </c>
    </row>
    <row r="18" spans="1:17" ht="21">
      <c r="A18" s="410" t="s">
        <v>301</v>
      </c>
      <c r="B18" s="111">
        <f t="shared" si="1"/>
        <v>0</v>
      </c>
      <c r="C18" s="118"/>
      <c r="D18" s="118"/>
      <c r="E18" s="118"/>
      <c r="F18" s="118"/>
      <c r="G18" s="118"/>
      <c r="H18" s="118"/>
      <c r="I18" s="437" t="s">
        <v>264</v>
      </c>
    </row>
    <row r="19" spans="1:17" ht="21">
      <c r="A19" s="410" t="s">
        <v>302</v>
      </c>
      <c r="B19" s="111">
        <f t="shared" si="1"/>
        <v>0</v>
      </c>
      <c r="C19" s="118"/>
      <c r="D19" s="118"/>
      <c r="E19" s="118"/>
      <c r="F19" s="118"/>
      <c r="G19" s="118"/>
      <c r="H19" s="118"/>
      <c r="I19" s="437" t="s">
        <v>266</v>
      </c>
    </row>
    <row r="20" spans="1:17" ht="21">
      <c r="A20" s="410" t="s">
        <v>267</v>
      </c>
      <c r="B20" s="111">
        <f t="shared" si="1"/>
        <v>0</v>
      </c>
      <c r="C20" s="118"/>
      <c r="D20" s="118"/>
      <c r="E20" s="118"/>
      <c r="F20" s="118"/>
      <c r="G20" s="118"/>
      <c r="H20" s="118"/>
      <c r="I20" s="437" t="s">
        <v>268</v>
      </c>
    </row>
    <row r="21" spans="1:17" ht="21">
      <c r="A21" s="410" t="s">
        <v>303</v>
      </c>
      <c r="B21" s="111">
        <f t="shared" si="1"/>
        <v>0</v>
      </c>
      <c r="C21" s="118"/>
      <c r="D21" s="118"/>
      <c r="E21" s="118"/>
      <c r="F21" s="118"/>
      <c r="G21" s="118"/>
      <c r="H21" s="118"/>
      <c r="I21" s="437" t="s">
        <v>270</v>
      </c>
    </row>
    <row r="22" spans="1:17" ht="21">
      <c r="A22" s="410" t="s">
        <v>271</v>
      </c>
      <c r="B22" s="111">
        <f t="shared" si="1"/>
        <v>0</v>
      </c>
      <c r="C22" s="118"/>
      <c r="D22" s="118"/>
      <c r="E22" s="118"/>
      <c r="F22" s="118"/>
      <c r="G22" s="118"/>
      <c r="H22" s="118"/>
      <c r="I22" s="437" t="s">
        <v>272</v>
      </c>
    </row>
    <row r="23" spans="1:17" ht="21">
      <c r="A23" s="410" t="s">
        <v>273</v>
      </c>
      <c r="B23" s="111">
        <f t="shared" si="1"/>
        <v>0</v>
      </c>
      <c r="C23" s="118"/>
      <c r="D23" s="118"/>
      <c r="E23" s="118"/>
      <c r="F23" s="118"/>
      <c r="G23" s="118"/>
      <c r="H23" s="118"/>
      <c r="I23" s="437" t="s">
        <v>274</v>
      </c>
    </row>
    <row r="24" spans="1:17" ht="21">
      <c r="A24" s="410" t="s">
        <v>304</v>
      </c>
      <c r="B24" s="111">
        <f t="shared" si="1"/>
        <v>0</v>
      </c>
      <c r="C24" s="118"/>
      <c r="D24" s="118"/>
      <c r="E24" s="118"/>
      <c r="F24" s="118"/>
      <c r="G24" s="118"/>
      <c r="H24" s="118"/>
      <c r="I24" s="437" t="s">
        <v>276</v>
      </c>
    </row>
    <row r="25" spans="1:17" ht="21">
      <c r="A25" s="410" t="s">
        <v>277</v>
      </c>
      <c r="B25" s="111">
        <f t="shared" si="1"/>
        <v>0</v>
      </c>
      <c r="C25" s="118"/>
      <c r="D25" s="118"/>
      <c r="E25" s="118"/>
      <c r="F25" s="118"/>
      <c r="G25" s="118"/>
      <c r="H25" s="118"/>
      <c r="I25" s="437" t="s">
        <v>278</v>
      </c>
    </row>
    <row r="26" spans="1:17" ht="21">
      <c r="A26" s="410" t="s">
        <v>279</v>
      </c>
      <c r="B26" s="111">
        <f t="shared" si="1"/>
        <v>0</v>
      </c>
      <c r="C26" s="118"/>
      <c r="D26" s="118"/>
      <c r="E26" s="118"/>
      <c r="F26" s="118"/>
      <c r="G26" s="118"/>
      <c r="H26" s="118"/>
      <c r="I26" s="437" t="s">
        <v>280</v>
      </c>
    </row>
    <row r="27" spans="1:17" ht="21">
      <c r="A27" s="410" t="s">
        <v>305</v>
      </c>
      <c r="B27" s="111">
        <f t="shared" si="1"/>
        <v>0</v>
      </c>
      <c r="C27" s="118"/>
      <c r="D27" s="118"/>
      <c r="E27" s="118"/>
      <c r="F27" s="118"/>
      <c r="G27" s="118"/>
      <c r="H27" s="118"/>
      <c r="I27" s="437" t="s">
        <v>282</v>
      </c>
    </row>
    <row r="28" spans="1:17" ht="21">
      <c r="A28" s="410" t="s">
        <v>306</v>
      </c>
      <c r="B28" s="111">
        <f t="shared" si="1"/>
        <v>0</v>
      </c>
      <c r="C28" s="118"/>
      <c r="D28" s="118"/>
      <c r="E28" s="118"/>
      <c r="F28" s="118"/>
      <c r="G28" s="118"/>
      <c r="H28" s="118"/>
      <c r="I28" s="437" t="s">
        <v>284</v>
      </c>
    </row>
    <row r="29" spans="1:17" ht="21">
      <c r="A29" s="411" t="s">
        <v>285</v>
      </c>
      <c r="B29" s="412">
        <f t="shared" si="1"/>
        <v>0</v>
      </c>
      <c r="C29" s="125"/>
      <c r="D29" s="125"/>
      <c r="E29" s="125"/>
      <c r="F29" s="125"/>
      <c r="G29" s="125"/>
      <c r="H29" s="125"/>
      <c r="I29" s="438" t="s">
        <v>286</v>
      </c>
    </row>
    <row r="30" spans="1:17" s="402" customFormat="1">
      <c r="A30" s="439" t="s">
        <v>287</v>
      </c>
      <c r="B30" s="439"/>
      <c r="C30" s="420"/>
      <c r="D30" s="420"/>
      <c r="E30" s="420"/>
      <c r="F30" s="420"/>
      <c r="G30" s="420"/>
      <c r="H30" s="440"/>
      <c r="I30" s="416" t="s">
        <v>288</v>
      </c>
      <c r="J30" s="398"/>
      <c r="K30" s="398"/>
      <c r="L30" s="398"/>
      <c r="M30" s="398"/>
      <c r="N30" s="398"/>
      <c r="O30" s="398"/>
      <c r="P30" s="398"/>
      <c r="Q30" s="398"/>
    </row>
    <row r="31" spans="1:17" s="402" customFormat="1" ht="21">
      <c r="A31" s="439"/>
      <c r="B31" s="439"/>
      <c r="C31" s="420"/>
      <c r="D31" s="420"/>
      <c r="E31" s="420"/>
      <c r="F31" s="420"/>
      <c r="G31" s="420"/>
      <c r="H31" s="440"/>
      <c r="J31" s="441"/>
      <c r="K31" s="442"/>
    </row>
    <row r="32" spans="1:17" ht="21">
      <c r="J32" s="441"/>
      <c r="K32" s="442"/>
    </row>
    <row r="42" spans="1:9" ht="18">
      <c r="A42" s="851" t="s">
        <v>289</v>
      </c>
      <c r="B42" s="851"/>
      <c r="C42" s="851"/>
      <c r="D42" s="851"/>
      <c r="E42" s="851"/>
      <c r="F42" s="851"/>
      <c r="G42" s="851"/>
      <c r="H42" s="851"/>
      <c r="I42" s="851"/>
    </row>
    <row r="43" spans="1:9" ht="15.75">
      <c r="A43" s="844" t="s">
        <v>290</v>
      </c>
      <c r="B43" s="844"/>
      <c r="C43" s="844"/>
      <c r="D43" s="844"/>
      <c r="E43" s="844"/>
      <c r="F43" s="844"/>
      <c r="G43" s="844"/>
      <c r="H43" s="844"/>
      <c r="I43" s="844"/>
    </row>
    <row r="44" spans="1:9" ht="18.75">
      <c r="A44" s="852" t="s">
        <v>291</v>
      </c>
      <c r="B44" s="852"/>
      <c r="C44" s="853"/>
      <c r="D44" s="853"/>
      <c r="E44" s="853"/>
      <c r="F44" s="853"/>
      <c r="G44" s="853"/>
      <c r="H44" s="853"/>
      <c r="I44" s="853"/>
    </row>
    <row r="45" spans="1:9">
      <c r="A45" s="846" t="s">
        <v>292</v>
      </c>
      <c r="B45" s="846"/>
      <c r="C45" s="846"/>
      <c r="D45" s="846"/>
      <c r="E45" s="846"/>
      <c r="F45" s="846"/>
      <c r="G45" s="846"/>
      <c r="H45" s="846"/>
      <c r="I45" s="846"/>
    </row>
    <row r="46" spans="1:9" ht="18.75">
      <c r="A46" s="854" t="s">
        <v>293</v>
      </c>
      <c r="B46" s="400" t="s">
        <v>158</v>
      </c>
      <c r="C46" s="400" t="s">
        <v>229</v>
      </c>
      <c r="D46" s="400" t="s">
        <v>230</v>
      </c>
      <c r="E46" s="400" t="s">
        <v>231</v>
      </c>
      <c r="F46" s="400" t="s">
        <v>232</v>
      </c>
      <c r="G46" s="400" t="s">
        <v>233</v>
      </c>
      <c r="H46" s="400" t="s">
        <v>234</v>
      </c>
      <c r="I46" s="849" t="s">
        <v>235</v>
      </c>
    </row>
    <row r="47" spans="1:9">
      <c r="A47" s="855"/>
      <c r="B47" s="401" t="s">
        <v>236</v>
      </c>
      <c r="C47" s="401" t="s">
        <v>237</v>
      </c>
      <c r="D47" s="401" t="s">
        <v>238</v>
      </c>
      <c r="E47" s="401" t="s">
        <v>239</v>
      </c>
      <c r="F47" s="401" t="s">
        <v>240</v>
      </c>
      <c r="G47" s="401" t="s">
        <v>241</v>
      </c>
      <c r="H47" s="401" t="s">
        <v>242</v>
      </c>
      <c r="I47" s="850"/>
    </row>
    <row r="48" spans="1:9" ht="21">
      <c r="A48" s="403" t="s">
        <v>90</v>
      </c>
      <c r="B48" s="404">
        <f>SUM(B49:B70)</f>
        <v>16845095.644122727</v>
      </c>
      <c r="C48" s="404">
        <f t="shared" ref="C48:H48" si="2">SUM(C49:C70)</f>
        <v>11050463.835999999</v>
      </c>
      <c r="D48" s="404">
        <f t="shared" si="2"/>
        <v>2397466.2220999999</v>
      </c>
      <c r="E48" s="404">
        <f t="shared" si="2"/>
        <v>1247150.0636527266</v>
      </c>
      <c r="F48" s="404">
        <f t="shared" si="2"/>
        <v>293283.80803000001</v>
      </c>
      <c r="G48" s="404">
        <f t="shared" si="2"/>
        <v>897840.02899999986</v>
      </c>
      <c r="H48" s="404">
        <f t="shared" si="2"/>
        <v>958891.68533999997</v>
      </c>
      <c r="I48" s="621" t="s">
        <v>158</v>
      </c>
    </row>
    <row r="49" spans="1:9" ht="21">
      <c r="A49" s="435" t="s">
        <v>243</v>
      </c>
      <c r="B49" s="111">
        <f t="shared" ref="B49:B70" si="3">SUM(C49:H49)</f>
        <v>2016303</v>
      </c>
      <c r="C49" s="118">
        <v>1751641.5889999999</v>
      </c>
      <c r="D49" s="118">
        <v>158696.41</v>
      </c>
      <c r="E49" s="118">
        <v>62876</v>
      </c>
      <c r="F49" s="118">
        <v>644.57400000000007</v>
      </c>
      <c r="G49" s="118">
        <v>13676.235000000001</v>
      </c>
      <c r="H49" s="118">
        <v>28768.192000000003</v>
      </c>
      <c r="I49" s="436" t="s">
        <v>244</v>
      </c>
    </row>
    <row r="50" spans="1:9" ht="21">
      <c r="A50" s="408" t="s">
        <v>245</v>
      </c>
      <c r="B50" s="111">
        <f t="shared" si="3"/>
        <v>685239.71178999986</v>
      </c>
      <c r="C50" s="118">
        <v>468877.95499999996</v>
      </c>
      <c r="D50" s="118">
        <v>114354.65599999997</v>
      </c>
      <c r="E50" s="118">
        <v>54626.129000000001</v>
      </c>
      <c r="F50" s="118">
        <v>1977.6822499999998</v>
      </c>
      <c r="G50" s="118">
        <v>17537.236000000004</v>
      </c>
      <c r="H50" s="118">
        <v>27866.053540000001</v>
      </c>
      <c r="I50" s="437" t="s">
        <v>246</v>
      </c>
    </row>
    <row r="51" spans="1:9" ht="21">
      <c r="A51" s="410" t="s">
        <v>294</v>
      </c>
      <c r="B51" s="111">
        <f t="shared" si="3"/>
        <v>5</v>
      </c>
      <c r="C51" s="118">
        <v>0</v>
      </c>
      <c r="D51" s="118">
        <v>5</v>
      </c>
      <c r="E51" s="118">
        <v>0</v>
      </c>
      <c r="F51" s="118">
        <v>0</v>
      </c>
      <c r="G51" s="118">
        <v>0</v>
      </c>
      <c r="H51" s="118">
        <v>0</v>
      </c>
      <c r="I51" s="437" t="s">
        <v>248</v>
      </c>
    </row>
    <row r="52" spans="1:9" ht="21">
      <c r="A52" s="410" t="s">
        <v>295</v>
      </c>
      <c r="B52" s="111">
        <f t="shared" si="3"/>
        <v>500</v>
      </c>
      <c r="C52" s="118">
        <v>500</v>
      </c>
      <c r="D52" s="118">
        <v>0</v>
      </c>
      <c r="E52" s="118">
        <v>0</v>
      </c>
      <c r="F52" s="118">
        <v>0</v>
      </c>
      <c r="G52" s="118">
        <v>0</v>
      </c>
      <c r="H52" s="118">
        <v>0</v>
      </c>
      <c r="I52" s="437" t="s">
        <v>250</v>
      </c>
    </row>
    <row r="53" spans="1:9" ht="21">
      <c r="A53" s="410" t="s">
        <v>296</v>
      </c>
      <c r="B53" s="111">
        <f t="shared" si="3"/>
        <v>8078.2999999999993</v>
      </c>
      <c r="C53" s="118">
        <v>20</v>
      </c>
      <c r="D53" s="118">
        <v>6121.7999999999993</v>
      </c>
      <c r="E53" s="118">
        <v>1259.3</v>
      </c>
      <c r="F53" s="118">
        <v>3.5</v>
      </c>
      <c r="G53" s="118">
        <v>191.7</v>
      </c>
      <c r="H53" s="118">
        <v>482</v>
      </c>
      <c r="I53" s="437" t="s">
        <v>252</v>
      </c>
    </row>
    <row r="54" spans="1:9" ht="21">
      <c r="A54" s="410" t="s">
        <v>297</v>
      </c>
      <c r="B54" s="111">
        <f t="shared" si="3"/>
        <v>3743252.9070000006</v>
      </c>
      <c r="C54" s="118">
        <v>3263382.9100000006</v>
      </c>
      <c r="D54" s="118">
        <v>205337.06000000006</v>
      </c>
      <c r="E54" s="118">
        <v>112851.82999999999</v>
      </c>
      <c r="F54" s="118">
        <v>15868.994000000001</v>
      </c>
      <c r="G54" s="118">
        <v>10735.399999999998</v>
      </c>
      <c r="H54" s="118">
        <v>135076.71299999999</v>
      </c>
      <c r="I54" s="437" t="s">
        <v>254</v>
      </c>
    </row>
    <row r="55" spans="1:9" ht="21">
      <c r="A55" s="410" t="s">
        <v>255</v>
      </c>
      <c r="B55" s="111">
        <f t="shared" si="3"/>
        <v>60830.519599999992</v>
      </c>
      <c r="C55" s="118">
        <v>2792.8</v>
      </c>
      <c r="D55" s="118">
        <v>16272.729999999998</v>
      </c>
      <c r="E55" s="118">
        <v>12621.57</v>
      </c>
      <c r="F55" s="118">
        <v>1810.7800000000002</v>
      </c>
      <c r="G55" s="118">
        <v>23126.549999999996</v>
      </c>
      <c r="H55" s="118">
        <v>4206.0896000000002</v>
      </c>
      <c r="I55" s="437" t="s">
        <v>256</v>
      </c>
    </row>
    <row r="56" spans="1:9" ht="21">
      <c r="A56" s="410" t="s">
        <v>298</v>
      </c>
      <c r="B56" s="111">
        <f t="shared" si="3"/>
        <v>98082.947999999989</v>
      </c>
      <c r="C56" s="118">
        <v>4157.12</v>
      </c>
      <c r="D56" s="118">
        <v>92065.68</v>
      </c>
      <c r="E56" s="118">
        <v>1387.9480000000001</v>
      </c>
      <c r="F56" s="118">
        <v>17</v>
      </c>
      <c r="G56" s="118">
        <v>96</v>
      </c>
      <c r="H56" s="118">
        <v>359.2</v>
      </c>
      <c r="I56" s="437" t="s">
        <v>258</v>
      </c>
    </row>
    <row r="57" spans="1:9" ht="21">
      <c r="A57" s="410" t="s">
        <v>299</v>
      </c>
      <c r="B57" s="111">
        <f t="shared" si="3"/>
        <v>457958.06555272691</v>
      </c>
      <c r="C57" s="118">
        <v>275212.25</v>
      </c>
      <c r="D57" s="118">
        <v>72663.319999999992</v>
      </c>
      <c r="E57" s="118">
        <v>19678.219452726884</v>
      </c>
      <c r="F57" s="118">
        <v>130.16000000000003</v>
      </c>
      <c r="G57" s="118">
        <v>21867.618000000006</v>
      </c>
      <c r="H57" s="118">
        <v>68406.498100000012</v>
      </c>
      <c r="I57" s="437" t="s">
        <v>260</v>
      </c>
    </row>
    <row r="58" spans="1:9" ht="21">
      <c r="A58" s="410" t="s">
        <v>300</v>
      </c>
      <c r="B58" s="111">
        <f t="shared" si="3"/>
        <v>798508.23375999997</v>
      </c>
      <c r="C58" s="118">
        <v>174543.87</v>
      </c>
      <c r="D58" s="118">
        <v>401747.47</v>
      </c>
      <c r="E58" s="118">
        <v>141293.26</v>
      </c>
      <c r="F58" s="118">
        <v>14954.859999999999</v>
      </c>
      <c r="G58" s="118">
        <v>9074.2999999999993</v>
      </c>
      <c r="H58" s="118">
        <v>56894.473760000001</v>
      </c>
      <c r="I58" s="437" t="s">
        <v>262</v>
      </c>
    </row>
    <row r="59" spans="1:9" ht="21">
      <c r="A59" s="410" t="s">
        <v>301</v>
      </c>
      <c r="B59" s="111">
        <f t="shared" si="3"/>
        <v>118516.57999999999</v>
      </c>
      <c r="C59" s="118">
        <v>98652.56</v>
      </c>
      <c r="D59" s="118">
        <v>14999.869999999999</v>
      </c>
      <c r="E59" s="118">
        <v>2841.3999999999996</v>
      </c>
      <c r="F59" s="118">
        <v>0</v>
      </c>
      <c r="G59" s="118">
        <v>190.75</v>
      </c>
      <c r="H59" s="118">
        <v>1832</v>
      </c>
      <c r="I59" s="437" t="s">
        <v>264</v>
      </c>
    </row>
    <row r="60" spans="1:9" ht="21">
      <c r="A60" s="410" t="s">
        <v>302</v>
      </c>
      <c r="B60" s="111">
        <f t="shared" si="3"/>
        <v>382565.25199999998</v>
      </c>
      <c r="C60" s="118">
        <v>76749.5</v>
      </c>
      <c r="D60" s="118">
        <v>105561.75949999999</v>
      </c>
      <c r="E60" s="118">
        <v>27739.53</v>
      </c>
      <c r="F60" s="118">
        <v>102.5</v>
      </c>
      <c r="G60" s="118">
        <v>109829.65999999999</v>
      </c>
      <c r="H60" s="118">
        <v>62582.302499999998</v>
      </c>
      <c r="I60" s="437" t="s">
        <v>266</v>
      </c>
    </row>
    <row r="61" spans="1:9" ht="21">
      <c r="A61" s="410" t="s">
        <v>267</v>
      </c>
      <c r="B61" s="111">
        <f t="shared" si="3"/>
        <v>591446.84602000006</v>
      </c>
      <c r="C61" s="118">
        <v>25294.892</v>
      </c>
      <c r="D61" s="118">
        <v>53177.109999999993</v>
      </c>
      <c r="E61" s="118">
        <v>261972.30219999998</v>
      </c>
      <c r="F61" s="118">
        <v>79259.798780000012</v>
      </c>
      <c r="G61" s="118">
        <v>37273.46</v>
      </c>
      <c r="H61" s="118">
        <v>134469.28304000001</v>
      </c>
      <c r="I61" s="437" t="s">
        <v>268</v>
      </c>
    </row>
    <row r="62" spans="1:9" ht="21">
      <c r="A62" s="410" t="s">
        <v>303</v>
      </c>
      <c r="B62" s="111">
        <f t="shared" si="3"/>
        <v>924584.07</v>
      </c>
      <c r="C62" s="118">
        <v>180077.2</v>
      </c>
      <c r="D62" s="118">
        <v>81872.89999999998</v>
      </c>
      <c r="E62" s="118">
        <v>109000.10999999999</v>
      </c>
      <c r="F62" s="118">
        <v>33028.57</v>
      </c>
      <c r="G62" s="118">
        <v>326497.73</v>
      </c>
      <c r="H62" s="118">
        <v>194107.55999999997</v>
      </c>
      <c r="I62" s="437" t="s">
        <v>270</v>
      </c>
    </row>
    <row r="63" spans="1:9" ht="21">
      <c r="A63" s="410" t="s">
        <v>271</v>
      </c>
      <c r="B63" s="111">
        <f t="shared" si="3"/>
        <v>904048.77599999995</v>
      </c>
      <c r="C63" s="118">
        <v>378217.79</v>
      </c>
      <c r="D63" s="118">
        <v>40921.631999999998</v>
      </c>
      <c r="E63" s="118">
        <v>276820.05</v>
      </c>
      <c r="F63" s="118">
        <v>68325.004000000001</v>
      </c>
      <c r="G63" s="118">
        <v>86782.66</v>
      </c>
      <c r="H63" s="118">
        <v>52981.640000000007</v>
      </c>
      <c r="I63" s="437" t="s">
        <v>272</v>
      </c>
    </row>
    <row r="64" spans="1:9" ht="21">
      <c r="A64" s="410" t="s">
        <v>273</v>
      </c>
      <c r="B64" s="111">
        <f t="shared" si="3"/>
        <v>155318.62</v>
      </c>
      <c r="C64" s="118">
        <v>3433.4699999999993</v>
      </c>
      <c r="D64" s="118">
        <v>115402.76000000001</v>
      </c>
      <c r="E64" s="118">
        <v>2539</v>
      </c>
      <c r="F64" s="118">
        <v>48</v>
      </c>
      <c r="G64" s="118">
        <v>33182.389999999992</v>
      </c>
      <c r="H64" s="118">
        <v>713</v>
      </c>
      <c r="I64" s="437" t="s">
        <v>274</v>
      </c>
    </row>
    <row r="65" spans="1:9" ht="21">
      <c r="A65" s="410" t="s">
        <v>304</v>
      </c>
      <c r="B65" s="111">
        <f t="shared" si="3"/>
        <v>399847.42980000004</v>
      </c>
      <c r="C65" s="118">
        <v>7523.1</v>
      </c>
      <c r="D65" s="118">
        <v>330523.57</v>
      </c>
      <c r="E65" s="118">
        <v>29300.5</v>
      </c>
      <c r="F65" s="118">
        <v>611.90000000000009</v>
      </c>
      <c r="G65" s="118">
        <v>24837.070000000003</v>
      </c>
      <c r="H65" s="118">
        <v>7051.2897999999996</v>
      </c>
      <c r="I65" s="437" t="s">
        <v>276</v>
      </c>
    </row>
    <row r="66" spans="1:9" ht="21">
      <c r="A66" s="410" t="s">
        <v>277</v>
      </c>
      <c r="B66" s="111">
        <f t="shared" si="3"/>
        <v>741455.69059999986</v>
      </c>
      <c r="C66" s="118">
        <v>617466.69999999995</v>
      </c>
      <c r="D66" s="118">
        <v>81464.915600000008</v>
      </c>
      <c r="E66" s="118">
        <v>23051.805</v>
      </c>
      <c r="F66" s="118">
        <v>9518.48</v>
      </c>
      <c r="G66" s="118">
        <v>1110.8499999999999</v>
      </c>
      <c r="H66" s="118">
        <v>8842.94</v>
      </c>
      <c r="I66" s="437" t="s">
        <v>278</v>
      </c>
    </row>
    <row r="67" spans="1:9" ht="21">
      <c r="A67" s="410" t="s">
        <v>279</v>
      </c>
      <c r="B67" s="111">
        <f t="shared" si="3"/>
        <v>3787.34</v>
      </c>
      <c r="C67" s="118">
        <v>1107.04</v>
      </c>
      <c r="D67" s="118">
        <v>81.2</v>
      </c>
      <c r="E67" s="118">
        <v>167.5</v>
      </c>
      <c r="F67" s="118">
        <v>0</v>
      </c>
      <c r="G67" s="118">
        <v>2431.6000000000004</v>
      </c>
      <c r="H67" s="118">
        <v>0</v>
      </c>
      <c r="I67" s="437" t="s">
        <v>280</v>
      </c>
    </row>
    <row r="68" spans="1:9" ht="21">
      <c r="A68" s="410" t="s">
        <v>305</v>
      </c>
      <c r="B68" s="111">
        <f t="shared" si="3"/>
        <v>241027.12599999996</v>
      </c>
      <c r="C68" s="118">
        <v>120875.79</v>
      </c>
      <c r="D68" s="118">
        <v>109629.68599999999</v>
      </c>
      <c r="E68" s="118">
        <v>5089.6499999999996</v>
      </c>
      <c r="F68" s="118">
        <v>30</v>
      </c>
      <c r="G68" s="118">
        <v>1238.3399999999999</v>
      </c>
      <c r="H68" s="118">
        <v>4163.66</v>
      </c>
      <c r="I68" s="437" t="s">
        <v>282</v>
      </c>
    </row>
    <row r="69" spans="1:9" ht="21">
      <c r="A69" s="410" t="s">
        <v>306</v>
      </c>
      <c r="B69" s="111">
        <f t="shared" si="3"/>
        <v>409625.04499999998</v>
      </c>
      <c r="C69" s="118">
        <v>105314</v>
      </c>
      <c r="D69" s="118">
        <v>198463.39999999997</v>
      </c>
      <c r="E69" s="118">
        <v>25716.260000000002</v>
      </c>
      <c r="F69" s="118">
        <v>6705.2350000000006</v>
      </c>
      <c r="G69" s="118">
        <v>3369.21</v>
      </c>
      <c r="H69" s="118">
        <v>70056.94</v>
      </c>
      <c r="I69" s="437" t="s">
        <v>284</v>
      </c>
    </row>
    <row r="70" spans="1:9" ht="21">
      <c r="A70" s="411" t="s">
        <v>285</v>
      </c>
      <c r="B70" s="412">
        <f t="shared" si="3"/>
        <v>4104114.1830000002</v>
      </c>
      <c r="C70" s="125">
        <v>3494623.3</v>
      </c>
      <c r="D70" s="125">
        <v>198103.29300000001</v>
      </c>
      <c r="E70" s="125">
        <v>76317.7</v>
      </c>
      <c r="F70" s="125">
        <v>60246.77</v>
      </c>
      <c r="G70" s="125">
        <v>174791.27</v>
      </c>
      <c r="H70" s="125">
        <v>100031.85</v>
      </c>
      <c r="I70" s="438" t="s">
        <v>286</v>
      </c>
    </row>
    <row r="71" spans="1:9">
      <c r="A71" s="439" t="s">
        <v>287</v>
      </c>
      <c r="B71" s="439"/>
      <c r="C71" s="420"/>
      <c r="D71" s="420"/>
      <c r="E71" s="420"/>
      <c r="F71" s="420"/>
      <c r="G71" s="420"/>
      <c r="H71" s="440"/>
      <c r="I71" s="416" t="s">
        <v>288</v>
      </c>
    </row>
    <row r="72" spans="1:9">
      <c r="A72" s="439"/>
      <c r="B72" s="439"/>
      <c r="C72" s="420"/>
      <c r="D72" s="420"/>
      <c r="E72" s="420"/>
      <c r="F72" s="420"/>
      <c r="G72" s="420"/>
      <c r="H72" s="440"/>
      <c r="I72" s="402"/>
    </row>
  </sheetData>
  <mergeCells count="12">
    <mergeCell ref="A42:I42"/>
    <mergeCell ref="A43:I43"/>
    <mergeCell ref="A44:I44"/>
    <mergeCell ref="A45:I45"/>
    <mergeCell ref="A46:A47"/>
    <mergeCell ref="I46:I47"/>
    <mergeCell ref="A1:I1"/>
    <mergeCell ref="A2:I2"/>
    <mergeCell ref="A3:I3"/>
    <mergeCell ref="A4:I4"/>
    <mergeCell ref="A5:A6"/>
    <mergeCell ref="I5:I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T30"/>
  <sheetViews>
    <sheetView zoomScale="89" zoomScaleNormal="89" workbookViewId="0">
      <selection activeCell="H5" sqref="H5"/>
    </sheetView>
  </sheetViews>
  <sheetFormatPr defaultColWidth="8.85546875" defaultRowHeight="15"/>
  <cols>
    <col min="1" max="1" width="39.85546875" style="381" customWidth="1"/>
    <col min="2" max="8" width="14" style="381" customWidth="1"/>
    <col min="9" max="9" width="20.7109375" style="381" customWidth="1"/>
    <col min="10" max="12" width="8.85546875" style="448"/>
    <col min="13" max="13" width="11.5703125" style="448" bestFit="1" customWidth="1"/>
    <col min="14" max="24" width="8.85546875" style="448"/>
    <col min="25" max="30" width="13.28515625" style="448" customWidth="1"/>
    <col min="31" max="31" width="12.85546875" style="448" customWidth="1"/>
    <col min="32" max="436" width="8.85546875" style="448"/>
    <col min="437" max="16384" width="8.85546875" style="381"/>
  </cols>
  <sheetData>
    <row r="1" spans="1:436" s="398" customFormat="1" ht="18">
      <c r="A1" s="856" t="s">
        <v>463</v>
      </c>
      <c r="B1" s="857"/>
      <c r="C1" s="857"/>
      <c r="D1" s="857"/>
      <c r="E1" s="857"/>
      <c r="F1" s="857"/>
      <c r="G1" s="857"/>
      <c r="H1" s="857"/>
      <c r="I1" s="858"/>
      <c r="J1" s="434"/>
      <c r="K1" s="434"/>
      <c r="L1" s="434"/>
      <c r="M1" s="434"/>
      <c r="N1" s="434"/>
      <c r="O1" s="434"/>
      <c r="P1" s="434"/>
      <c r="Q1" s="434"/>
      <c r="R1" s="434"/>
      <c r="S1" s="434"/>
      <c r="T1" s="434"/>
      <c r="U1" s="434"/>
      <c r="V1" s="434"/>
      <c r="W1" s="434"/>
      <c r="X1" s="434"/>
      <c r="Y1" s="434"/>
      <c r="Z1" s="434"/>
      <c r="AA1" s="434"/>
      <c r="AB1" s="434"/>
      <c r="AC1" s="434"/>
      <c r="AD1" s="434"/>
      <c r="AE1" s="434"/>
      <c r="AF1" s="434"/>
      <c r="AG1" s="434"/>
      <c r="AH1" s="434"/>
      <c r="AI1" s="434"/>
      <c r="AJ1" s="434"/>
      <c r="AK1" s="434"/>
      <c r="AL1" s="434"/>
      <c r="AM1" s="434"/>
      <c r="AN1" s="434"/>
      <c r="AO1" s="434"/>
      <c r="AP1" s="434"/>
      <c r="AQ1" s="434"/>
      <c r="AR1" s="434"/>
      <c r="AS1" s="434"/>
      <c r="AT1" s="434"/>
      <c r="AU1" s="434"/>
      <c r="AV1" s="434"/>
      <c r="AW1" s="434"/>
      <c r="AX1" s="434"/>
      <c r="AY1" s="434"/>
      <c r="AZ1" s="434"/>
      <c r="BA1" s="434"/>
      <c r="BB1" s="434"/>
      <c r="BC1" s="434"/>
      <c r="BD1" s="434"/>
      <c r="BE1" s="434"/>
      <c r="BF1" s="434"/>
      <c r="BG1" s="434"/>
      <c r="BH1" s="434"/>
      <c r="BI1" s="434"/>
      <c r="BJ1" s="434"/>
      <c r="BK1" s="434"/>
      <c r="BL1" s="434"/>
      <c r="BM1" s="434"/>
      <c r="BN1" s="434"/>
      <c r="BO1" s="434"/>
      <c r="BP1" s="434"/>
      <c r="BQ1" s="434"/>
      <c r="BR1" s="434"/>
      <c r="BS1" s="434"/>
      <c r="BT1" s="434"/>
      <c r="BU1" s="434"/>
      <c r="BV1" s="434"/>
      <c r="BW1" s="434"/>
      <c r="BX1" s="434"/>
      <c r="BY1" s="434"/>
      <c r="BZ1" s="434"/>
      <c r="CA1" s="434"/>
      <c r="CB1" s="434"/>
      <c r="CC1" s="434"/>
      <c r="CD1" s="434"/>
      <c r="CE1" s="434"/>
      <c r="CF1" s="434"/>
      <c r="CG1" s="434"/>
      <c r="CH1" s="434"/>
      <c r="CI1" s="434"/>
      <c r="CJ1" s="434"/>
      <c r="CK1" s="434"/>
      <c r="CL1" s="434"/>
      <c r="CM1" s="434"/>
      <c r="CN1" s="434"/>
      <c r="CO1" s="434"/>
      <c r="CP1" s="434"/>
      <c r="CQ1" s="434"/>
      <c r="CR1" s="434"/>
      <c r="CS1" s="434"/>
      <c r="CT1" s="434"/>
      <c r="CU1" s="434"/>
      <c r="CV1" s="434"/>
      <c r="CW1" s="434"/>
      <c r="CX1" s="434"/>
      <c r="CY1" s="434"/>
      <c r="CZ1" s="434"/>
      <c r="DA1" s="434"/>
      <c r="DB1" s="434"/>
      <c r="DC1" s="434"/>
      <c r="DD1" s="434"/>
      <c r="DE1" s="434"/>
      <c r="DF1" s="434"/>
      <c r="DG1" s="434"/>
      <c r="DH1" s="434"/>
      <c r="DI1" s="434"/>
      <c r="DJ1" s="434"/>
      <c r="DK1" s="434"/>
      <c r="DL1" s="434"/>
      <c r="DM1" s="434"/>
      <c r="DN1" s="434"/>
      <c r="DO1" s="434"/>
      <c r="DP1" s="434"/>
      <c r="DQ1" s="434"/>
      <c r="DR1" s="434"/>
      <c r="DS1" s="434"/>
      <c r="DT1" s="434"/>
      <c r="DU1" s="434"/>
      <c r="DV1" s="434"/>
      <c r="DW1" s="434"/>
      <c r="DX1" s="434"/>
      <c r="DY1" s="434"/>
      <c r="DZ1" s="434"/>
      <c r="EA1" s="434"/>
      <c r="EB1" s="434"/>
      <c r="EC1" s="434"/>
      <c r="ED1" s="434"/>
      <c r="EE1" s="434"/>
      <c r="EF1" s="434"/>
      <c r="EG1" s="434"/>
      <c r="EH1" s="434"/>
      <c r="EI1" s="434"/>
      <c r="EJ1" s="434"/>
      <c r="EK1" s="434"/>
      <c r="EL1" s="434"/>
      <c r="EM1" s="434"/>
      <c r="EN1" s="434"/>
      <c r="EO1" s="434"/>
      <c r="EP1" s="434"/>
      <c r="EQ1" s="434"/>
      <c r="ER1" s="434"/>
      <c r="ES1" s="434"/>
      <c r="ET1" s="434"/>
      <c r="EU1" s="434"/>
      <c r="EV1" s="434"/>
      <c r="EW1" s="434"/>
      <c r="EX1" s="434"/>
      <c r="EY1" s="434"/>
      <c r="EZ1" s="434"/>
      <c r="FA1" s="434"/>
      <c r="FB1" s="434"/>
      <c r="FC1" s="434"/>
      <c r="FD1" s="434"/>
      <c r="FE1" s="434"/>
      <c r="FF1" s="434"/>
      <c r="FG1" s="434"/>
      <c r="FH1" s="434"/>
      <c r="FI1" s="434"/>
      <c r="FJ1" s="434"/>
      <c r="FK1" s="434"/>
      <c r="FL1" s="434"/>
      <c r="FM1" s="434"/>
      <c r="FN1" s="434"/>
      <c r="FO1" s="434"/>
      <c r="FP1" s="434"/>
      <c r="FQ1" s="434"/>
      <c r="FR1" s="434"/>
      <c r="FS1" s="434"/>
      <c r="FT1" s="434"/>
      <c r="FU1" s="434"/>
      <c r="FV1" s="434"/>
      <c r="FW1" s="434"/>
      <c r="FX1" s="434"/>
      <c r="FY1" s="434"/>
      <c r="FZ1" s="434"/>
      <c r="GA1" s="434"/>
      <c r="GB1" s="434"/>
      <c r="GC1" s="434"/>
      <c r="GD1" s="434"/>
      <c r="GE1" s="434"/>
      <c r="GF1" s="434"/>
      <c r="GG1" s="434"/>
      <c r="GH1" s="434"/>
      <c r="GI1" s="434"/>
      <c r="GJ1" s="434"/>
      <c r="GK1" s="434"/>
      <c r="GL1" s="434"/>
      <c r="GM1" s="434"/>
      <c r="GN1" s="434"/>
      <c r="GO1" s="434"/>
      <c r="GP1" s="434"/>
      <c r="GQ1" s="434"/>
      <c r="GR1" s="434"/>
      <c r="GS1" s="434"/>
      <c r="GT1" s="434"/>
      <c r="GU1" s="434"/>
      <c r="GV1" s="434"/>
      <c r="GW1" s="434"/>
      <c r="GX1" s="434"/>
      <c r="GY1" s="434"/>
      <c r="GZ1" s="434"/>
      <c r="HA1" s="434"/>
      <c r="HB1" s="434"/>
      <c r="HC1" s="434"/>
      <c r="HD1" s="434"/>
      <c r="HE1" s="434"/>
      <c r="HF1" s="434"/>
      <c r="HG1" s="434"/>
      <c r="HH1" s="434"/>
      <c r="HI1" s="434"/>
      <c r="HJ1" s="434"/>
      <c r="HK1" s="434"/>
      <c r="HL1" s="434"/>
      <c r="HM1" s="434"/>
      <c r="HN1" s="434"/>
      <c r="HO1" s="434"/>
      <c r="HP1" s="434"/>
      <c r="HQ1" s="434"/>
      <c r="HR1" s="434"/>
      <c r="HS1" s="434"/>
      <c r="HT1" s="434"/>
      <c r="HU1" s="434"/>
      <c r="HV1" s="434"/>
      <c r="HW1" s="434"/>
      <c r="HX1" s="434"/>
      <c r="HY1" s="434"/>
      <c r="HZ1" s="434"/>
      <c r="IA1" s="434"/>
      <c r="IB1" s="434"/>
      <c r="IC1" s="434"/>
      <c r="ID1" s="434"/>
      <c r="IE1" s="434"/>
      <c r="IF1" s="434"/>
      <c r="IG1" s="434"/>
      <c r="IH1" s="434"/>
      <c r="II1" s="434"/>
      <c r="IJ1" s="434"/>
      <c r="IK1" s="434"/>
      <c r="IL1" s="434"/>
      <c r="IM1" s="434"/>
      <c r="IN1" s="434"/>
      <c r="IO1" s="434"/>
      <c r="IP1" s="434"/>
      <c r="IQ1" s="434"/>
      <c r="IR1" s="434"/>
      <c r="IS1" s="434"/>
      <c r="IT1" s="434"/>
      <c r="IU1" s="434"/>
      <c r="IV1" s="434"/>
      <c r="IW1" s="434"/>
      <c r="IX1" s="434"/>
      <c r="IY1" s="434"/>
      <c r="IZ1" s="434"/>
      <c r="JA1" s="434"/>
      <c r="JB1" s="434"/>
      <c r="JC1" s="434"/>
      <c r="JD1" s="434"/>
      <c r="JE1" s="434"/>
      <c r="JF1" s="434"/>
      <c r="JG1" s="434"/>
      <c r="JH1" s="434"/>
      <c r="JI1" s="434"/>
      <c r="JJ1" s="434"/>
      <c r="JK1" s="434"/>
      <c r="JL1" s="434"/>
      <c r="JM1" s="434"/>
      <c r="JN1" s="434"/>
      <c r="JO1" s="434"/>
      <c r="JP1" s="434"/>
      <c r="JQ1" s="434"/>
      <c r="JR1" s="434"/>
      <c r="JS1" s="434"/>
      <c r="JT1" s="434"/>
      <c r="JU1" s="434"/>
      <c r="JV1" s="434"/>
      <c r="JW1" s="434"/>
      <c r="JX1" s="434"/>
      <c r="JY1" s="434"/>
      <c r="JZ1" s="434"/>
      <c r="KA1" s="434"/>
      <c r="KB1" s="434"/>
      <c r="KC1" s="434"/>
      <c r="KD1" s="434"/>
      <c r="KE1" s="434"/>
      <c r="KF1" s="434"/>
      <c r="KG1" s="434"/>
      <c r="KH1" s="434"/>
      <c r="KI1" s="434"/>
      <c r="KJ1" s="434"/>
      <c r="KK1" s="434"/>
      <c r="KL1" s="434"/>
      <c r="KM1" s="434"/>
      <c r="KN1" s="434"/>
      <c r="KO1" s="434"/>
      <c r="KP1" s="434"/>
      <c r="KQ1" s="434"/>
      <c r="KR1" s="434"/>
      <c r="KS1" s="434"/>
      <c r="KT1" s="434"/>
      <c r="KU1" s="434"/>
      <c r="KV1" s="434"/>
      <c r="KW1" s="434"/>
      <c r="KX1" s="434"/>
      <c r="KY1" s="434"/>
      <c r="KZ1" s="434"/>
      <c r="LA1" s="434"/>
      <c r="LB1" s="434"/>
      <c r="LC1" s="434"/>
      <c r="LD1" s="434"/>
      <c r="LE1" s="434"/>
      <c r="LF1" s="434"/>
      <c r="LG1" s="434"/>
      <c r="LH1" s="434"/>
      <c r="LI1" s="434"/>
      <c r="LJ1" s="434"/>
      <c r="LK1" s="434"/>
      <c r="LL1" s="434"/>
      <c r="LM1" s="434"/>
      <c r="LN1" s="434"/>
      <c r="LO1" s="434"/>
      <c r="LP1" s="434"/>
      <c r="LQ1" s="434"/>
      <c r="LR1" s="434"/>
      <c r="LS1" s="434"/>
      <c r="LT1" s="434"/>
      <c r="LU1" s="434"/>
      <c r="LV1" s="434"/>
      <c r="LW1" s="434"/>
      <c r="LX1" s="434"/>
      <c r="LY1" s="434"/>
      <c r="LZ1" s="434"/>
      <c r="MA1" s="434"/>
      <c r="MB1" s="434"/>
      <c r="MC1" s="434"/>
      <c r="MD1" s="434"/>
      <c r="ME1" s="434"/>
      <c r="MF1" s="434"/>
      <c r="MG1" s="434"/>
      <c r="MH1" s="434"/>
      <c r="MI1" s="434"/>
      <c r="MJ1" s="434"/>
      <c r="MK1" s="434"/>
      <c r="ML1" s="434"/>
      <c r="MM1" s="434"/>
      <c r="MN1" s="434"/>
      <c r="MO1" s="434"/>
      <c r="MP1" s="434"/>
      <c r="MQ1" s="434"/>
      <c r="MR1" s="434"/>
      <c r="MS1" s="434"/>
      <c r="MT1" s="434"/>
      <c r="MU1" s="434"/>
      <c r="MV1" s="434"/>
      <c r="MW1" s="434"/>
      <c r="MX1" s="434"/>
      <c r="MY1" s="434"/>
      <c r="MZ1" s="434"/>
      <c r="NA1" s="434"/>
      <c r="NB1" s="434"/>
      <c r="NC1" s="434"/>
      <c r="ND1" s="434"/>
      <c r="NE1" s="434"/>
      <c r="NF1" s="434"/>
      <c r="NG1" s="434"/>
      <c r="NH1" s="434"/>
      <c r="NI1" s="434"/>
      <c r="NJ1" s="434"/>
      <c r="NK1" s="434"/>
      <c r="NL1" s="434"/>
      <c r="NM1" s="434"/>
      <c r="NN1" s="434"/>
      <c r="NO1" s="434"/>
      <c r="NP1" s="434"/>
      <c r="NQ1" s="434"/>
      <c r="NR1" s="434"/>
      <c r="NS1" s="434"/>
      <c r="NT1" s="434"/>
      <c r="NU1" s="434"/>
      <c r="NV1" s="434"/>
      <c r="NW1" s="434"/>
      <c r="NX1" s="434"/>
      <c r="NY1" s="434"/>
      <c r="NZ1" s="434"/>
      <c r="OA1" s="434"/>
      <c r="OB1" s="434"/>
      <c r="OC1" s="434"/>
      <c r="OD1" s="434"/>
      <c r="OE1" s="434"/>
      <c r="OF1" s="434"/>
      <c r="OG1" s="434"/>
      <c r="OH1" s="434"/>
      <c r="OI1" s="434"/>
      <c r="OJ1" s="434"/>
      <c r="OK1" s="434"/>
      <c r="OL1" s="434"/>
      <c r="OM1" s="434"/>
      <c r="ON1" s="434"/>
      <c r="OO1" s="434"/>
      <c r="OP1" s="434"/>
      <c r="OQ1" s="434"/>
      <c r="OR1" s="434"/>
      <c r="OS1" s="434"/>
      <c r="OT1" s="434"/>
      <c r="OU1" s="434"/>
      <c r="OV1" s="434"/>
      <c r="OW1" s="434"/>
      <c r="OX1" s="434"/>
      <c r="OY1" s="434"/>
      <c r="OZ1" s="434"/>
      <c r="PA1" s="434"/>
      <c r="PB1" s="434"/>
      <c r="PC1" s="434"/>
      <c r="PD1" s="434"/>
      <c r="PE1" s="434"/>
      <c r="PF1" s="434"/>
      <c r="PG1" s="434"/>
      <c r="PH1" s="434"/>
      <c r="PI1" s="434"/>
      <c r="PJ1" s="434"/>
      <c r="PK1" s="434"/>
      <c r="PL1" s="434"/>
      <c r="PM1" s="434"/>
      <c r="PN1" s="434"/>
      <c r="PO1" s="434"/>
      <c r="PP1" s="434"/>
      <c r="PQ1" s="434"/>
      <c r="PR1" s="434"/>
      <c r="PS1" s="434"/>
      <c r="PT1" s="434"/>
    </row>
    <row r="2" spans="1:436" s="399" customFormat="1">
      <c r="A2" s="859" t="s">
        <v>464</v>
      </c>
      <c r="B2" s="860"/>
      <c r="C2" s="860"/>
      <c r="D2" s="860"/>
      <c r="E2" s="860"/>
      <c r="F2" s="860"/>
      <c r="G2" s="860"/>
      <c r="H2" s="860"/>
      <c r="I2" s="861"/>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T2" s="443"/>
      <c r="AU2" s="443"/>
      <c r="AV2" s="443"/>
      <c r="AW2" s="443"/>
      <c r="AX2" s="443"/>
      <c r="AY2" s="443"/>
      <c r="AZ2" s="443"/>
      <c r="BA2" s="443"/>
      <c r="BB2" s="443"/>
      <c r="BC2" s="443"/>
      <c r="BD2" s="443"/>
      <c r="BE2" s="443"/>
      <c r="BF2" s="443"/>
      <c r="BG2" s="443"/>
      <c r="BH2" s="443"/>
      <c r="BI2" s="443"/>
      <c r="BJ2" s="443"/>
      <c r="BK2" s="443"/>
      <c r="BL2" s="443"/>
      <c r="BM2" s="443"/>
      <c r="BN2" s="443"/>
      <c r="BO2" s="443"/>
      <c r="BP2" s="443"/>
      <c r="BQ2" s="443"/>
      <c r="BR2" s="443"/>
      <c r="BS2" s="443"/>
      <c r="BT2" s="443"/>
      <c r="BU2" s="443"/>
      <c r="BV2" s="443"/>
      <c r="BW2" s="443"/>
      <c r="BX2" s="443"/>
      <c r="BY2" s="443"/>
      <c r="BZ2" s="443"/>
      <c r="CA2" s="443"/>
      <c r="CB2" s="443"/>
      <c r="CC2" s="443"/>
      <c r="CD2" s="443"/>
      <c r="CE2" s="443"/>
      <c r="CF2" s="443"/>
      <c r="CG2" s="443"/>
      <c r="CH2" s="443"/>
      <c r="CI2" s="443"/>
      <c r="CJ2" s="443"/>
      <c r="CK2" s="443"/>
      <c r="CL2" s="443"/>
      <c r="CM2" s="443"/>
      <c r="CN2" s="443"/>
      <c r="CO2" s="443"/>
      <c r="CP2" s="443"/>
      <c r="CQ2" s="443"/>
      <c r="CR2" s="443"/>
      <c r="CS2" s="443"/>
      <c r="CT2" s="443"/>
      <c r="CU2" s="443"/>
      <c r="CV2" s="443"/>
      <c r="CW2" s="443"/>
      <c r="CX2" s="443"/>
      <c r="CY2" s="443"/>
      <c r="CZ2" s="443"/>
      <c r="DA2" s="443"/>
      <c r="DB2" s="443"/>
      <c r="DC2" s="443"/>
      <c r="DD2" s="443"/>
      <c r="DE2" s="443"/>
      <c r="DF2" s="443"/>
      <c r="DG2" s="443"/>
      <c r="DH2" s="443"/>
      <c r="DI2" s="443"/>
      <c r="DJ2" s="443"/>
      <c r="DK2" s="443"/>
      <c r="DL2" s="443"/>
      <c r="DM2" s="443"/>
      <c r="DN2" s="443"/>
      <c r="DO2" s="443"/>
      <c r="DP2" s="443"/>
      <c r="DQ2" s="443"/>
      <c r="DR2" s="443"/>
      <c r="DS2" s="443"/>
      <c r="DT2" s="443"/>
      <c r="DU2" s="443"/>
      <c r="DV2" s="443"/>
      <c r="DW2" s="443"/>
      <c r="DX2" s="443"/>
      <c r="DY2" s="443"/>
      <c r="DZ2" s="443"/>
      <c r="EA2" s="443"/>
      <c r="EB2" s="443"/>
      <c r="EC2" s="443"/>
      <c r="ED2" s="443"/>
      <c r="EE2" s="443"/>
      <c r="EF2" s="443"/>
      <c r="EG2" s="443"/>
      <c r="EH2" s="443"/>
      <c r="EI2" s="443"/>
      <c r="EJ2" s="443"/>
      <c r="EK2" s="443"/>
      <c r="EL2" s="443"/>
      <c r="EM2" s="443"/>
      <c r="EN2" s="443"/>
      <c r="EO2" s="443"/>
      <c r="EP2" s="443"/>
      <c r="EQ2" s="443"/>
      <c r="ER2" s="443"/>
      <c r="ES2" s="443"/>
      <c r="ET2" s="443"/>
      <c r="EU2" s="443"/>
      <c r="EV2" s="443"/>
      <c r="EW2" s="443"/>
      <c r="EX2" s="443"/>
      <c r="EY2" s="443"/>
      <c r="EZ2" s="443"/>
      <c r="FA2" s="443"/>
      <c r="FB2" s="443"/>
      <c r="FC2" s="443"/>
      <c r="FD2" s="443"/>
      <c r="FE2" s="443"/>
      <c r="FF2" s="443"/>
      <c r="FG2" s="443"/>
      <c r="FH2" s="443"/>
      <c r="FI2" s="443"/>
      <c r="FJ2" s="443"/>
      <c r="FK2" s="443"/>
      <c r="FL2" s="443"/>
      <c r="FM2" s="443"/>
      <c r="FN2" s="443"/>
      <c r="FO2" s="443"/>
      <c r="FP2" s="443"/>
      <c r="FQ2" s="443"/>
      <c r="FR2" s="443"/>
      <c r="FS2" s="443"/>
      <c r="FT2" s="443"/>
      <c r="FU2" s="443"/>
      <c r="FV2" s="443"/>
      <c r="FW2" s="443"/>
      <c r="FX2" s="443"/>
      <c r="FY2" s="443"/>
      <c r="FZ2" s="443"/>
      <c r="GA2" s="443"/>
      <c r="GB2" s="443"/>
      <c r="GC2" s="443"/>
      <c r="GD2" s="443"/>
      <c r="GE2" s="443"/>
      <c r="GF2" s="443"/>
      <c r="GG2" s="443"/>
      <c r="GH2" s="443"/>
      <c r="GI2" s="443"/>
      <c r="GJ2" s="443"/>
      <c r="GK2" s="443"/>
      <c r="GL2" s="443"/>
      <c r="GM2" s="443"/>
      <c r="GN2" s="443"/>
      <c r="GO2" s="443"/>
      <c r="GP2" s="443"/>
      <c r="GQ2" s="443"/>
      <c r="GR2" s="443"/>
      <c r="GS2" s="443"/>
      <c r="GT2" s="443"/>
      <c r="GU2" s="443"/>
      <c r="GV2" s="443"/>
      <c r="GW2" s="443"/>
      <c r="GX2" s="443"/>
      <c r="GY2" s="443"/>
      <c r="GZ2" s="443"/>
      <c r="HA2" s="443"/>
      <c r="HB2" s="443"/>
      <c r="HC2" s="443"/>
      <c r="HD2" s="443"/>
      <c r="HE2" s="443"/>
      <c r="HF2" s="443"/>
      <c r="HG2" s="443"/>
      <c r="HH2" s="443"/>
      <c r="HI2" s="443"/>
      <c r="HJ2" s="443"/>
      <c r="HK2" s="443"/>
      <c r="HL2" s="443"/>
      <c r="HM2" s="443"/>
      <c r="HN2" s="443"/>
      <c r="HO2" s="443"/>
      <c r="HP2" s="443"/>
      <c r="HQ2" s="443"/>
      <c r="HR2" s="443"/>
      <c r="HS2" s="443"/>
      <c r="HT2" s="443"/>
      <c r="HU2" s="443"/>
      <c r="HV2" s="443"/>
      <c r="HW2" s="443"/>
      <c r="HX2" s="443"/>
      <c r="HY2" s="443"/>
      <c r="HZ2" s="443"/>
      <c r="IA2" s="443"/>
      <c r="IB2" s="443"/>
      <c r="IC2" s="443"/>
      <c r="ID2" s="443"/>
      <c r="IE2" s="443"/>
      <c r="IF2" s="443"/>
      <c r="IG2" s="443"/>
      <c r="IH2" s="443"/>
      <c r="II2" s="443"/>
      <c r="IJ2" s="443"/>
      <c r="IK2" s="443"/>
      <c r="IL2" s="443"/>
      <c r="IM2" s="443"/>
      <c r="IN2" s="443"/>
      <c r="IO2" s="443"/>
      <c r="IP2" s="443"/>
      <c r="IQ2" s="443"/>
      <c r="IR2" s="443"/>
      <c r="IS2" s="443"/>
      <c r="IT2" s="443"/>
      <c r="IU2" s="443"/>
      <c r="IV2" s="443"/>
      <c r="IW2" s="443"/>
      <c r="IX2" s="443"/>
      <c r="IY2" s="443"/>
      <c r="IZ2" s="443"/>
      <c r="JA2" s="443"/>
      <c r="JB2" s="443"/>
      <c r="JC2" s="443"/>
      <c r="JD2" s="443"/>
      <c r="JE2" s="443"/>
      <c r="JF2" s="443"/>
      <c r="JG2" s="443"/>
      <c r="JH2" s="443"/>
      <c r="JI2" s="443"/>
      <c r="JJ2" s="443"/>
      <c r="JK2" s="443"/>
      <c r="JL2" s="443"/>
      <c r="JM2" s="443"/>
      <c r="JN2" s="443"/>
      <c r="JO2" s="443"/>
      <c r="JP2" s="443"/>
      <c r="JQ2" s="443"/>
      <c r="JR2" s="443"/>
      <c r="JS2" s="443"/>
      <c r="JT2" s="443"/>
      <c r="JU2" s="443"/>
      <c r="JV2" s="443"/>
      <c r="JW2" s="443"/>
      <c r="JX2" s="443"/>
      <c r="JY2" s="443"/>
      <c r="JZ2" s="443"/>
      <c r="KA2" s="443"/>
      <c r="KB2" s="443"/>
      <c r="KC2" s="443"/>
      <c r="KD2" s="443"/>
      <c r="KE2" s="443"/>
      <c r="KF2" s="443"/>
      <c r="KG2" s="443"/>
      <c r="KH2" s="443"/>
      <c r="KI2" s="443"/>
      <c r="KJ2" s="443"/>
      <c r="KK2" s="443"/>
      <c r="KL2" s="443"/>
      <c r="KM2" s="443"/>
      <c r="KN2" s="443"/>
      <c r="KO2" s="443"/>
      <c r="KP2" s="443"/>
      <c r="KQ2" s="443"/>
      <c r="KR2" s="443"/>
      <c r="KS2" s="443"/>
      <c r="KT2" s="443"/>
      <c r="KU2" s="443"/>
      <c r="KV2" s="443"/>
      <c r="KW2" s="443"/>
      <c r="KX2" s="443"/>
      <c r="KY2" s="443"/>
      <c r="KZ2" s="443"/>
      <c r="LA2" s="443"/>
      <c r="LB2" s="443"/>
      <c r="LC2" s="443"/>
      <c r="LD2" s="443"/>
      <c r="LE2" s="443"/>
      <c r="LF2" s="443"/>
      <c r="LG2" s="443"/>
      <c r="LH2" s="443"/>
      <c r="LI2" s="443"/>
      <c r="LJ2" s="443"/>
      <c r="LK2" s="443"/>
      <c r="LL2" s="443"/>
      <c r="LM2" s="443"/>
      <c r="LN2" s="443"/>
      <c r="LO2" s="443"/>
      <c r="LP2" s="443"/>
      <c r="LQ2" s="443"/>
      <c r="LR2" s="443"/>
      <c r="LS2" s="443"/>
      <c r="LT2" s="443"/>
      <c r="LU2" s="443"/>
      <c r="LV2" s="443"/>
      <c r="LW2" s="443"/>
      <c r="LX2" s="443"/>
      <c r="LY2" s="443"/>
      <c r="LZ2" s="443"/>
      <c r="MA2" s="443"/>
      <c r="MB2" s="443"/>
      <c r="MC2" s="443"/>
      <c r="MD2" s="443"/>
      <c r="ME2" s="443"/>
      <c r="MF2" s="443"/>
      <c r="MG2" s="443"/>
      <c r="MH2" s="443"/>
      <c r="MI2" s="443"/>
      <c r="MJ2" s="443"/>
      <c r="MK2" s="443"/>
      <c r="ML2" s="443"/>
      <c r="MM2" s="443"/>
      <c r="MN2" s="443"/>
      <c r="MO2" s="443"/>
      <c r="MP2" s="443"/>
      <c r="MQ2" s="443"/>
      <c r="MR2" s="443"/>
      <c r="MS2" s="443"/>
      <c r="MT2" s="443"/>
      <c r="MU2" s="443"/>
      <c r="MV2" s="443"/>
      <c r="MW2" s="443"/>
      <c r="MX2" s="443"/>
      <c r="MY2" s="443"/>
      <c r="MZ2" s="443"/>
      <c r="NA2" s="443"/>
      <c r="NB2" s="443"/>
      <c r="NC2" s="443"/>
      <c r="ND2" s="443"/>
      <c r="NE2" s="443"/>
      <c r="NF2" s="443"/>
      <c r="NG2" s="443"/>
      <c r="NH2" s="443"/>
      <c r="NI2" s="443"/>
      <c r="NJ2" s="443"/>
      <c r="NK2" s="443"/>
      <c r="NL2" s="443"/>
      <c r="NM2" s="443"/>
      <c r="NN2" s="443"/>
      <c r="NO2" s="443"/>
      <c r="NP2" s="443"/>
      <c r="NQ2" s="443"/>
      <c r="NR2" s="443"/>
      <c r="NS2" s="443"/>
      <c r="NT2" s="443"/>
      <c r="NU2" s="443"/>
      <c r="NV2" s="443"/>
      <c r="NW2" s="443"/>
      <c r="NX2" s="443"/>
      <c r="NY2" s="443"/>
      <c r="NZ2" s="443"/>
      <c r="OA2" s="443"/>
      <c r="OB2" s="443"/>
      <c r="OC2" s="443"/>
      <c r="OD2" s="443"/>
      <c r="OE2" s="443"/>
      <c r="OF2" s="443"/>
      <c r="OG2" s="443"/>
      <c r="OH2" s="443"/>
      <c r="OI2" s="443"/>
      <c r="OJ2" s="443"/>
      <c r="OK2" s="443"/>
      <c r="OL2" s="443"/>
      <c r="OM2" s="443"/>
      <c r="ON2" s="443"/>
      <c r="OO2" s="443"/>
      <c r="OP2" s="443"/>
      <c r="OQ2" s="443"/>
      <c r="OR2" s="443"/>
      <c r="OS2" s="443"/>
      <c r="OT2" s="443"/>
      <c r="OU2" s="443"/>
      <c r="OV2" s="443"/>
      <c r="OW2" s="443"/>
      <c r="OX2" s="443"/>
      <c r="OY2" s="443"/>
      <c r="OZ2" s="443"/>
      <c r="PA2" s="443"/>
      <c r="PB2" s="443"/>
      <c r="PC2" s="443"/>
      <c r="PD2" s="443"/>
      <c r="PE2" s="443"/>
      <c r="PF2" s="443"/>
      <c r="PG2" s="443"/>
      <c r="PH2" s="443"/>
      <c r="PI2" s="443"/>
      <c r="PJ2" s="443"/>
      <c r="PK2" s="443"/>
      <c r="PL2" s="443"/>
      <c r="PM2" s="443"/>
      <c r="PN2" s="443"/>
      <c r="PO2" s="443"/>
      <c r="PP2" s="443"/>
      <c r="PQ2" s="443"/>
      <c r="PR2" s="443"/>
      <c r="PS2" s="443"/>
      <c r="PT2" s="443"/>
    </row>
    <row r="3" spans="1:436" s="398" customFormat="1" ht="21">
      <c r="A3" s="862" t="s">
        <v>226</v>
      </c>
      <c r="B3" s="863"/>
      <c r="C3" s="863"/>
      <c r="D3" s="863"/>
      <c r="E3" s="863"/>
      <c r="F3" s="863"/>
      <c r="G3" s="863"/>
      <c r="H3" s="863"/>
      <c r="I3" s="86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c r="BL3" s="434"/>
      <c r="BM3" s="434"/>
      <c r="BN3" s="434"/>
      <c r="BO3" s="434"/>
      <c r="BP3" s="434"/>
      <c r="BQ3" s="434"/>
      <c r="BR3" s="434"/>
      <c r="BS3" s="434"/>
      <c r="BT3" s="434"/>
      <c r="BU3" s="434"/>
      <c r="BV3" s="434"/>
      <c r="BW3" s="434"/>
      <c r="BX3" s="434"/>
      <c r="BY3" s="434"/>
      <c r="BZ3" s="434"/>
      <c r="CA3" s="434"/>
      <c r="CB3" s="434"/>
      <c r="CC3" s="434"/>
      <c r="CD3" s="434"/>
      <c r="CE3" s="434"/>
      <c r="CF3" s="434"/>
      <c r="CG3" s="434"/>
      <c r="CH3" s="434"/>
      <c r="CI3" s="434"/>
      <c r="CJ3" s="434"/>
      <c r="CK3" s="434"/>
      <c r="CL3" s="434"/>
      <c r="CM3" s="434"/>
      <c r="CN3" s="434"/>
      <c r="CO3" s="434"/>
      <c r="CP3" s="434"/>
      <c r="CQ3" s="434"/>
      <c r="CR3" s="434"/>
      <c r="CS3" s="434"/>
      <c r="CT3" s="434"/>
      <c r="CU3" s="434"/>
      <c r="CV3" s="434"/>
      <c r="CW3" s="434"/>
      <c r="CX3" s="434"/>
      <c r="CY3" s="434"/>
      <c r="CZ3" s="434"/>
      <c r="DA3" s="434"/>
      <c r="DB3" s="434"/>
      <c r="DC3" s="434"/>
      <c r="DD3" s="434"/>
      <c r="DE3" s="434"/>
      <c r="DF3" s="434"/>
      <c r="DG3" s="434"/>
      <c r="DH3" s="434"/>
      <c r="DI3" s="434"/>
      <c r="DJ3" s="434"/>
      <c r="DK3" s="434"/>
      <c r="DL3" s="434"/>
      <c r="DM3" s="434"/>
      <c r="DN3" s="434"/>
      <c r="DO3" s="434"/>
      <c r="DP3" s="434"/>
      <c r="DQ3" s="434"/>
      <c r="DR3" s="434"/>
      <c r="DS3" s="434"/>
      <c r="DT3" s="434"/>
      <c r="DU3" s="434"/>
      <c r="DV3" s="434"/>
      <c r="DW3" s="434"/>
      <c r="DX3" s="434"/>
      <c r="DY3" s="434"/>
      <c r="DZ3" s="434"/>
      <c r="EA3" s="434"/>
      <c r="EB3" s="434"/>
      <c r="EC3" s="434"/>
      <c r="ED3" s="434"/>
      <c r="EE3" s="434"/>
      <c r="EF3" s="434"/>
      <c r="EG3" s="434"/>
      <c r="EH3" s="434"/>
      <c r="EI3" s="434"/>
      <c r="EJ3" s="434"/>
      <c r="EK3" s="434"/>
      <c r="EL3" s="434"/>
      <c r="EM3" s="434"/>
      <c r="EN3" s="434"/>
      <c r="EO3" s="434"/>
      <c r="EP3" s="434"/>
      <c r="EQ3" s="434"/>
      <c r="ER3" s="434"/>
      <c r="ES3" s="434"/>
      <c r="ET3" s="434"/>
      <c r="EU3" s="434"/>
      <c r="EV3" s="434"/>
      <c r="EW3" s="434"/>
      <c r="EX3" s="434"/>
      <c r="EY3" s="434"/>
      <c r="EZ3" s="434"/>
      <c r="FA3" s="434"/>
      <c r="FB3" s="434"/>
      <c r="FC3" s="434"/>
      <c r="FD3" s="434"/>
      <c r="FE3" s="434"/>
      <c r="FF3" s="434"/>
      <c r="FG3" s="434"/>
      <c r="FH3" s="434"/>
      <c r="FI3" s="434"/>
      <c r="FJ3" s="434"/>
      <c r="FK3" s="434"/>
      <c r="FL3" s="434"/>
      <c r="FM3" s="434"/>
      <c r="FN3" s="434"/>
      <c r="FO3" s="434"/>
      <c r="FP3" s="434"/>
      <c r="FQ3" s="434"/>
      <c r="FR3" s="434"/>
      <c r="FS3" s="434"/>
      <c r="FT3" s="434"/>
      <c r="FU3" s="434"/>
      <c r="FV3" s="434"/>
      <c r="FW3" s="434"/>
      <c r="FX3" s="434"/>
      <c r="FY3" s="434"/>
      <c r="FZ3" s="434"/>
      <c r="GA3" s="434"/>
      <c r="GB3" s="434"/>
      <c r="GC3" s="434"/>
      <c r="GD3" s="434"/>
      <c r="GE3" s="434"/>
      <c r="GF3" s="434"/>
      <c r="GG3" s="434"/>
      <c r="GH3" s="434"/>
      <c r="GI3" s="434"/>
      <c r="GJ3" s="434"/>
      <c r="GK3" s="434"/>
      <c r="GL3" s="434"/>
      <c r="GM3" s="434"/>
      <c r="GN3" s="434"/>
      <c r="GO3" s="434"/>
      <c r="GP3" s="434"/>
      <c r="GQ3" s="434"/>
      <c r="GR3" s="434"/>
      <c r="GS3" s="434"/>
      <c r="GT3" s="434"/>
      <c r="GU3" s="434"/>
      <c r="GV3" s="434"/>
      <c r="GW3" s="434"/>
      <c r="GX3" s="434"/>
      <c r="GY3" s="434"/>
      <c r="GZ3" s="434"/>
      <c r="HA3" s="434"/>
      <c r="HB3" s="434"/>
      <c r="HC3" s="434"/>
      <c r="HD3" s="434"/>
      <c r="HE3" s="434"/>
      <c r="HF3" s="434"/>
      <c r="HG3" s="434"/>
      <c r="HH3" s="434"/>
      <c r="HI3" s="434"/>
      <c r="HJ3" s="434"/>
      <c r="HK3" s="434"/>
      <c r="HL3" s="434"/>
      <c r="HM3" s="434"/>
      <c r="HN3" s="434"/>
      <c r="HO3" s="434"/>
      <c r="HP3" s="434"/>
      <c r="HQ3" s="434"/>
      <c r="HR3" s="434"/>
      <c r="HS3" s="434"/>
      <c r="HT3" s="434"/>
      <c r="HU3" s="434"/>
      <c r="HV3" s="434"/>
      <c r="HW3" s="434"/>
      <c r="HX3" s="434"/>
      <c r="HY3" s="434"/>
      <c r="HZ3" s="434"/>
      <c r="IA3" s="434"/>
      <c r="IB3" s="434"/>
      <c r="IC3" s="434"/>
      <c r="ID3" s="434"/>
      <c r="IE3" s="434"/>
      <c r="IF3" s="434"/>
      <c r="IG3" s="434"/>
      <c r="IH3" s="434"/>
      <c r="II3" s="434"/>
      <c r="IJ3" s="434"/>
      <c r="IK3" s="434"/>
      <c r="IL3" s="434"/>
      <c r="IM3" s="434"/>
      <c r="IN3" s="434"/>
      <c r="IO3" s="434"/>
      <c r="IP3" s="434"/>
      <c r="IQ3" s="434"/>
      <c r="IR3" s="434"/>
      <c r="IS3" s="434"/>
      <c r="IT3" s="434"/>
      <c r="IU3" s="434"/>
      <c r="IV3" s="434"/>
      <c r="IW3" s="434"/>
      <c r="IX3" s="434"/>
      <c r="IY3" s="434"/>
      <c r="IZ3" s="434"/>
      <c r="JA3" s="434"/>
      <c r="JB3" s="434"/>
      <c r="JC3" s="434"/>
      <c r="JD3" s="434"/>
      <c r="JE3" s="434"/>
      <c r="JF3" s="434"/>
      <c r="JG3" s="434"/>
      <c r="JH3" s="434"/>
      <c r="JI3" s="434"/>
      <c r="JJ3" s="434"/>
      <c r="JK3" s="434"/>
      <c r="JL3" s="434"/>
      <c r="JM3" s="434"/>
      <c r="JN3" s="434"/>
      <c r="JO3" s="434"/>
      <c r="JP3" s="434"/>
      <c r="JQ3" s="434"/>
      <c r="JR3" s="434"/>
      <c r="JS3" s="434"/>
      <c r="JT3" s="434"/>
      <c r="JU3" s="434"/>
      <c r="JV3" s="434"/>
      <c r="JW3" s="434"/>
      <c r="JX3" s="434"/>
      <c r="JY3" s="434"/>
      <c r="JZ3" s="434"/>
      <c r="KA3" s="434"/>
      <c r="KB3" s="434"/>
      <c r="KC3" s="434"/>
      <c r="KD3" s="434"/>
      <c r="KE3" s="434"/>
      <c r="KF3" s="434"/>
      <c r="KG3" s="434"/>
      <c r="KH3" s="434"/>
      <c r="KI3" s="434"/>
      <c r="KJ3" s="434"/>
      <c r="KK3" s="434"/>
      <c r="KL3" s="434"/>
      <c r="KM3" s="434"/>
      <c r="KN3" s="434"/>
      <c r="KO3" s="434"/>
      <c r="KP3" s="434"/>
      <c r="KQ3" s="434"/>
      <c r="KR3" s="434"/>
      <c r="KS3" s="434"/>
      <c r="KT3" s="434"/>
      <c r="KU3" s="434"/>
      <c r="KV3" s="434"/>
      <c r="KW3" s="434"/>
      <c r="KX3" s="434"/>
      <c r="KY3" s="434"/>
      <c r="KZ3" s="434"/>
      <c r="LA3" s="434"/>
      <c r="LB3" s="434"/>
      <c r="LC3" s="434"/>
      <c r="LD3" s="434"/>
      <c r="LE3" s="434"/>
      <c r="LF3" s="434"/>
      <c r="LG3" s="434"/>
      <c r="LH3" s="434"/>
      <c r="LI3" s="434"/>
      <c r="LJ3" s="434"/>
      <c r="LK3" s="434"/>
      <c r="LL3" s="434"/>
      <c r="LM3" s="434"/>
      <c r="LN3" s="434"/>
      <c r="LO3" s="434"/>
      <c r="LP3" s="434"/>
      <c r="LQ3" s="434"/>
      <c r="LR3" s="434"/>
      <c r="LS3" s="434"/>
      <c r="LT3" s="434"/>
      <c r="LU3" s="434"/>
      <c r="LV3" s="434"/>
      <c r="LW3" s="434"/>
      <c r="LX3" s="434"/>
      <c r="LY3" s="434"/>
      <c r="LZ3" s="434"/>
      <c r="MA3" s="434"/>
      <c r="MB3" s="434"/>
      <c r="MC3" s="434"/>
      <c r="MD3" s="434"/>
      <c r="ME3" s="434"/>
      <c r="MF3" s="434"/>
      <c r="MG3" s="434"/>
      <c r="MH3" s="434"/>
      <c r="MI3" s="434"/>
      <c r="MJ3" s="434"/>
      <c r="MK3" s="434"/>
      <c r="ML3" s="434"/>
      <c r="MM3" s="434"/>
      <c r="MN3" s="434"/>
      <c r="MO3" s="434"/>
      <c r="MP3" s="434"/>
      <c r="MQ3" s="434"/>
      <c r="MR3" s="434"/>
      <c r="MS3" s="434"/>
      <c r="MT3" s="434"/>
      <c r="MU3" s="434"/>
      <c r="MV3" s="434"/>
      <c r="MW3" s="434"/>
      <c r="MX3" s="434"/>
      <c r="MY3" s="434"/>
      <c r="MZ3" s="434"/>
      <c r="NA3" s="434"/>
      <c r="NB3" s="434"/>
      <c r="NC3" s="434"/>
      <c r="ND3" s="434"/>
      <c r="NE3" s="434"/>
      <c r="NF3" s="434"/>
      <c r="NG3" s="434"/>
      <c r="NH3" s="434"/>
      <c r="NI3" s="434"/>
      <c r="NJ3" s="434"/>
      <c r="NK3" s="434"/>
      <c r="NL3" s="434"/>
      <c r="NM3" s="434"/>
      <c r="NN3" s="434"/>
      <c r="NO3" s="434"/>
      <c r="NP3" s="434"/>
      <c r="NQ3" s="434"/>
      <c r="NR3" s="434"/>
      <c r="NS3" s="434"/>
      <c r="NT3" s="434"/>
      <c r="NU3" s="434"/>
      <c r="NV3" s="434"/>
      <c r="NW3" s="434"/>
      <c r="NX3" s="434"/>
      <c r="NY3" s="434"/>
      <c r="NZ3" s="434"/>
      <c r="OA3" s="434"/>
      <c r="OB3" s="434"/>
      <c r="OC3" s="434"/>
      <c r="OD3" s="434"/>
      <c r="OE3" s="434"/>
      <c r="OF3" s="434"/>
      <c r="OG3" s="434"/>
      <c r="OH3" s="434"/>
      <c r="OI3" s="434"/>
      <c r="OJ3" s="434"/>
      <c r="OK3" s="434"/>
      <c r="OL3" s="434"/>
      <c r="OM3" s="434"/>
      <c r="ON3" s="434"/>
      <c r="OO3" s="434"/>
      <c r="OP3" s="434"/>
      <c r="OQ3" s="434"/>
      <c r="OR3" s="434"/>
      <c r="OS3" s="434"/>
      <c r="OT3" s="434"/>
      <c r="OU3" s="434"/>
      <c r="OV3" s="434"/>
      <c r="OW3" s="434"/>
      <c r="OX3" s="434"/>
      <c r="OY3" s="434"/>
      <c r="OZ3" s="434"/>
      <c r="PA3" s="434"/>
      <c r="PB3" s="434"/>
      <c r="PC3" s="434"/>
      <c r="PD3" s="434"/>
      <c r="PE3" s="434"/>
      <c r="PF3" s="434"/>
      <c r="PG3" s="434"/>
      <c r="PH3" s="434"/>
      <c r="PI3" s="434"/>
      <c r="PJ3" s="434"/>
      <c r="PK3" s="434"/>
      <c r="PL3" s="434"/>
      <c r="PM3" s="434"/>
      <c r="PN3" s="434"/>
      <c r="PO3" s="434"/>
      <c r="PP3" s="434"/>
      <c r="PQ3" s="434"/>
      <c r="PR3" s="434"/>
      <c r="PS3" s="434"/>
      <c r="PT3" s="434"/>
    </row>
    <row r="4" spans="1:436" s="444" customFormat="1">
      <c r="A4" s="865" t="s">
        <v>227</v>
      </c>
      <c r="B4" s="866"/>
      <c r="C4" s="866"/>
      <c r="D4" s="866"/>
      <c r="E4" s="866"/>
      <c r="F4" s="866"/>
      <c r="G4" s="866"/>
      <c r="H4" s="866"/>
      <c r="I4" s="867"/>
      <c r="J4" s="443"/>
      <c r="K4" s="443"/>
      <c r="L4" s="443"/>
      <c r="M4" s="443"/>
      <c r="N4" s="443"/>
      <c r="O4" s="443"/>
      <c r="P4" s="443"/>
      <c r="Q4" s="443"/>
      <c r="R4" s="443"/>
      <c r="S4" s="443"/>
      <c r="T4" s="443"/>
      <c r="U4" s="443"/>
      <c r="V4" s="443"/>
      <c r="W4" s="443"/>
      <c r="X4" s="443"/>
      <c r="Y4" s="443"/>
      <c r="Z4" s="443"/>
      <c r="AA4" s="443"/>
      <c r="AB4" s="443"/>
      <c r="AC4" s="443"/>
      <c r="AD4" s="443"/>
      <c r="AE4" s="443"/>
      <c r="AF4" s="443"/>
      <c r="AG4" s="443"/>
      <c r="AH4" s="443"/>
      <c r="AI4" s="443"/>
      <c r="AJ4" s="443"/>
      <c r="AK4" s="443"/>
      <c r="AL4" s="443"/>
      <c r="AM4" s="443"/>
      <c r="AN4" s="443"/>
      <c r="AO4" s="443"/>
      <c r="AP4" s="443"/>
      <c r="AQ4" s="443"/>
      <c r="AR4" s="443"/>
      <c r="AS4" s="443"/>
      <c r="AT4" s="443"/>
      <c r="AU4" s="443"/>
      <c r="AV4" s="443"/>
      <c r="AW4" s="443"/>
      <c r="AX4" s="443"/>
      <c r="AY4" s="443"/>
      <c r="AZ4" s="443"/>
      <c r="BA4" s="443"/>
      <c r="BB4" s="443"/>
      <c r="BC4" s="443"/>
      <c r="BD4" s="443"/>
      <c r="BE4" s="443"/>
      <c r="BF4" s="443"/>
      <c r="BG4" s="443"/>
      <c r="BH4" s="443"/>
      <c r="BI4" s="443"/>
      <c r="BJ4" s="443"/>
      <c r="BK4" s="443"/>
      <c r="BL4" s="443"/>
      <c r="BM4" s="443"/>
      <c r="BN4" s="443"/>
      <c r="BO4" s="443"/>
      <c r="BP4" s="443"/>
      <c r="BQ4" s="443"/>
      <c r="BR4" s="443"/>
      <c r="BS4" s="443"/>
      <c r="BT4" s="443"/>
      <c r="BU4" s="443"/>
      <c r="BV4" s="443"/>
      <c r="BW4" s="443"/>
      <c r="BX4" s="443"/>
      <c r="BY4" s="443"/>
      <c r="BZ4" s="443"/>
      <c r="CA4" s="443"/>
      <c r="CB4" s="443"/>
      <c r="CC4" s="443"/>
      <c r="CD4" s="443"/>
      <c r="CE4" s="443"/>
      <c r="CF4" s="443"/>
      <c r="CG4" s="443"/>
      <c r="CH4" s="443"/>
      <c r="CI4" s="443"/>
      <c r="CJ4" s="443"/>
      <c r="CK4" s="443"/>
      <c r="CL4" s="443"/>
      <c r="CM4" s="443"/>
      <c r="CN4" s="443"/>
      <c r="CO4" s="443"/>
      <c r="CP4" s="443"/>
      <c r="CQ4" s="443"/>
      <c r="CR4" s="443"/>
      <c r="CS4" s="443"/>
      <c r="CT4" s="443"/>
      <c r="CU4" s="443"/>
      <c r="CV4" s="443"/>
      <c r="CW4" s="443"/>
      <c r="CX4" s="443"/>
      <c r="CY4" s="443"/>
      <c r="CZ4" s="443"/>
      <c r="DA4" s="443"/>
      <c r="DB4" s="443"/>
      <c r="DC4" s="443"/>
      <c r="DD4" s="443"/>
      <c r="DE4" s="443"/>
      <c r="DF4" s="443"/>
      <c r="DG4" s="443"/>
      <c r="DH4" s="443"/>
      <c r="DI4" s="443"/>
      <c r="DJ4" s="443"/>
      <c r="DK4" s="443"/>
      <c r="DL4" s="443"/>
      <c r="DM4" s="443"/>
      <c r="DN4" s="443"/>
      <c r="DO4" s="443"/>
      <c r="DP4" s="443"/>
      <c r="DQ4" s="443"/>
      <c r="DR4" s="443"/>
      <c r="DS4" s="443"/>
      <c r="DT4" s="443"/>
      <c r="DU4" s="443"/>
      <c r="DV4" s="443"/>
      <c r="DW4" s="443"/>
      <c r="DX4" s="443"/>
      <c r="DY4" s="443"/>
      <c r="DZ4" s="443"/>
      <c r="EA4" s="443"/>
      <c r="EB4" s="443"/>
      <c r="EC4" s="443"/>
      <c r="ED4" s="443"/>
      <c r="EE4" s="443"/>
      <c r="EF4" s="443"/>
      <c r="EG4" s="443"/>
      <c r="EH4" s="443"/>
      <c r="EI4" s="443"/>
      <c r="EJ4" s="443"/>
      <c r="EK4" s="443"/>
      <c r="EL4" s="443"/>
      <c r="EM4" s="443"/>
      <c r="EN4" s="443"/>
      <c r="EO4" s="443"/>
      <c r="EP4" s="443"/>
      <c r="EQ4" s="443"/>
      <c r="ER4" s="443"/>
      <c r="ES4" s="443"/>
      <c r="ET4" s="443"/>
      <c r="EU4" s="443"/>
      <c r="EV4" s="443"/>
      <c r="EW4" s="443"/>
      <c r="EX4" s="443"/>
      <c r="EY4" s="443"/>
      <c r="EZ4" s="443"/>
      <c r="FA4" s="443"/>
      <c r="FB4" s="443"/>
      <c r="FC4" s="443"/>
      <c r="FD4" s="443"/>
      <c r="FE4" s="443"/>
      <c r="FF4" s="443"/>
      <c r="FG4" s="443"/>
      <c r="FH4" s="443"/>
      <c r="FI4" s="443"/>
      <c r="FJ4" s="443"/>
      <c r="FK4" s="443"/>
      <c r="FL4" s="443"/>
      <c r="FM4" s="443"/>
      <c r="FN4" s="443"/>
      <c r="FO4" s="443"/>
      <c r="FP4" s="443"/>
      <c r="FQ4" s="443"/>
      <c r="FR4" s="443"/>
      <c r="FS4" s="443"/>
      <c r="FT4" s="443"/>
      <c r="FU4" s="443"/>
      <c r="FV4" s="443"/>
      <c r="FW4" s="443"/>
      <c r="FX4" s="443"/>
      <c r="FY4" s="443"/>
      <c r="FZ4" s="443"/>
      <c r="GA4" s="443"/>
      <c r="GB4" s="443"/>
      <c r="GC4" s="443"/>
      <c r="GD4" s="443"/>
      <c r="GE4" s="443"/>
      <c r="GF4" s="443"/>
      <c r="GG4" s="443"/>
      <c r="GH4" s="443"/>
      <c r="GI4" s="443"/>
      <c r="GJ4" s="443"/>
      <c r="GK4" s="443"/>
      <c r="GL4" s="443"/>
      <c r="GM4" s="443"/>
      <c r="GN4" s="443"/>
      <c r="GO4" s="443"/>
      <c r="GP4" s="443"/>
      <c r="GQ4" s="443"/>
      <c r="GR4" s="443"/>
      <c r="GS4" s="443"/>
      <c r="GT4" s="443"/>
      <c r="GU4" s="443"/>
      <c r="GV4" s="443"/>
      <c r="GW4" s="443"/>
      <c r="GX4" s="443"/>
      <c r="GY4" s="443"/>
      <c r="GZ4" s="443"/>
      <c r="HA4" s="443"/>
      <c r="HB4" s="443"/>
      <c r="HC4" s="443"/>
      <c r="HD4" s="443"/>
      <c r="HE4" s="443"/>
      <c r="HF4" s="443"/>
      <c r="HG4" s="443"/>
      <c r="HH4" s="443"/>
      <c r="HI4" s="443"/>
      <c r="HJ4" s="443"/>
      <c r="HK4" s="443"/>
      <c r="HL4" s="443"/>
      <c r="HM4" s="443"/>
      <c r="HN4" s="443"/>
      <c r="HO4" s="443"/>
      <c r="HP4" s="443"/>
      <c r="HQ4" s="443"/>
      <c r="HR4" s="443"/>
      <c r="HS4" s="443"/>
      <c r="HT4" s="443"/>
      <c r="HU4" s="443"/>
      <c r="HV4" s="443"/>
      <c r="HW4" s="443"/>
      <c r="HX4" s="443"/>
      <c r="HY4" s="443"/>
      <c r="HZ4" s="443"/>
      <c r="IA4" s="443"/>
      <c r="IB4" s="443"/>
      <c r="IC4" s="443"/>
      <c r="ID4" s="443"/>
      <c r="IE4" s="443"/>
      <c r="IF4" s="443"/>
      <c r="IG4" s="443"/>
      <c r="IH4" s="443"/>
      <c r="II4" s="443"/>
      <c r="IJ4" s="443"/>
      <c r="IK4" s="443"/>
      <c r="IL4" s="443"/>
      <c r="IM4" s="443"/>
      <c r="IN4" s="443"/>
      <c r="IO4" s="443"/>
      <c r="IP4" s="443"/>
      <c r="IQ4" s="443"/>
      <c r="IR4" s="443"/>
      <c r="IS4" s="443"/>
      <c r="IT4" s="443"/>
      <c r="IU4" s="443"/>
      <c r="IV4" s="443"/>
      <c r="IW4" s="443"/>
      <c r="IX4" s="443"/>
      <c r="IY4" s="443"/>
      <c r="IZ4" s="443"/>
      <c r="JA4" s="443"/>
      <c r="JB4" s="443"/>
      <c r="JC4" s="443"/>
      <c r="JD4" s="443"/>
      <c r="JE4" s="443"/>
      <c r="JF4" s="443"/>
      <c r="JG4" s="443"/>
      <c r="JH4" s="443"/>
      <c r="JI4" s="443"/>
      <c r="JJ4" s="443"/>
      <c r="JK4" s="443"/>
      <c r="JL4" s="443"/>
      <c r="JM4" s="443"/>
      <c r="JN4" s="443"/>
      <c r="JO4" s="443"/>
      <c r="JP4" s="443"/>
      <c r="JQ4" s="443"/>
      <c r="JR4" s="443"/>
      <c r="JS4" s="443"/>
      <c r="JT4" s="443"/>
      <c r="JU4" s="443"/>
      <c r="JV4" s="443"/>
      <c r="JW4" s="443"/>
      <c r="JX4" s="443"/>
      <c r="JY4" s="443"/>
      <c r="JZ4" s="443"/>
      <c r="KA4" s="443"/>
      <c r="KB4" s="443"/>
      <c r="KC4" s="443"/>
      <c r="KD4" s="443"/>
      <c r="KE4" s="443"/>
      <c r="KF4" s="443"/>
      <c r="KG4" s="443"/>
      <c r="KH4" s="443"/>
      <c r="KI4" s="443"/>
      <c r="KJ4" s="443"/>
      <c r="KK4" s="443"/>
      <c r="KL4" s="443"/>
      <c r="KM4" s="443"/>
      <c r="KN4" s="443"/>
      <c r="KO4" s="443"/>
      <c r="KP4" s="443"/>
      <c r="KQ4" s="443"/>
      <c r="KR4" s="443"/>
      <c r="KS4" s="443"/>
      <c r="KT4" s="443"/>
      <c r="KU4" s="443"/>
      <c r="KV4" s="443"/>
      <c r="KW4" s="443"/>
      <c r="KX4" s="443"/>
      <c r="KY4" s="443"/>
      <c r="KZ4" s="443"/>
      <c r="LA4" s="443"/>
      <c r="LB4" s="443"/>
      <c r="LC4" s="443"/>
      <c r="LD4" s="443"/>
      <c r="LE4" s="443"/>
      <c r="LF4" s="443"/>
      <c r="LG4" s="443"/>
      <c r="LH4" s="443"/>
      <c r="LI4" s="443"/>
      <c r="LJ4" s="443"/>
      <c r="LK4" s="443"/>
      <c r="LL4" s="443"/>
      <c r="LM4" s="443"/>
      <c r="LN4" s="443"/>
      <c r="LO4" s="443"/>
      <c r="LP4" s="443"/>
      <c r="LQ4" s="443"/>
      <c r="LR4" s="443"/>
      <c r="LS4" s="443"/>
      <c r="LT4" s="443"/>
      <c r="LU4" s="443"/>
      <c r="LV4" s="443"/>
      <c r="LW4" s="443"/>
      <c r="LX4" s="443"/>
      <c r="LY4" s="443"/>
      <c r="LZ4" s="443"/>
      <c r="MA4" s="443"/>
      <c r="MB4" s="443"/>
      <c r="MC4" s="443"/>
      <c r="MD4" s="443"/>
      <c r="ME4" s="443"/>
      <c r="MF4" s="443"/>
      <c r="MG4" s="443"/>
      <c r="MH4" s="443"/>
      <c r="MI4" s="443"/>
      <c r="MJ4" s="443"/>
      <c r="MK4" s="443"/>
      <c r="ML4" s="443"/>
      <c r="MM4" s="443"/>
      <c r="MN4" s="443"/>
      <c r="MO4" s="443"/>
      <c r="MP4" s="443"/>
      <c r="MQ4" s="443"/>
      <c r="MR4" s="443"/>
      <c r="MS4" s="443"/>
      <c r="MT4" s="443"/>
      <c r="MU4" s="443"/>
      <c r="MV4" s="443"/>
      <c r="MW4" s="443"/>
      <c r="MX4" s="443"/>
      <c r="MY4" s="443"/>
      <c r="MZ4" s="443"/>
      <c r="NA4" s="443"/>
      <c r="NB4" s="443"/>
      <c r="NC4" s="443"/>
      <c r="ND4" s="443"/>
      <c r="NE4" s="443"/>
      <c r="NF4" s="443"/>
      <c r="NG4" s="443"/>
      <c r="NH4" s="443"/>
      <c r="NI4" s="443"/>
      <c r="NJ4" s="443"/>
      <c r="NK4" s="443"/>
      <c r="NL4" s="443"/>
      <c r="NM4" s="443"/>
      <c r="NN4" s="443"/>
      <c r="NO4" s="443"/>
      <c r="NP4" s="443"/>
      <c r="NQ4" s="443"/>
      <c r="NR4" s="443"/>
      <c r="NS4" s="443"/>
      <c r="NT4" s="443"/>
      <c r="NU4" s="443"/>
      <c r="NV4" s="443"/>
      <c r="NW4" s="443"/>
      <c r="NX4" s="443"/>
      <c r="NY4" s="443"/>
      <c r="NZ4" s="443"/>
      <c r="OA4" s="443"/>
      <c r="OB4" s="443"/>
      <c r="OC4" s="443"/>
      <c r="OD4" s="443"/>
      <c r="OE4" s="443"/>
      <c r="OF4" s="443"/>
      <c r="OG4" s="443"/>
      <c r="OH4" s="443"/>
      <c r="OI4" s="443"/>
      <c r="OJ4" s="443"/>
      <c r="OK4" s="443"/>
      <c r="OL4" s="443"/>
      <c r="OM4" s="443"/>
      <c r="ON4" s="443"/>
      <c r="OO4" s="443"/>
      <c r="OP4" s="443"/>
      <c r="OQ4" s="443"/>
      <c r="OR4" s="443"/>
      <c r="OS4" s="443"/>
      <c r="OT4" s="443"/>
      <c r="OU4" s="443"/>
      <c r="OV4" s="443"/>
      <c r="OW4" s="443"/>
      <c r="OX4" s="443"/>
      <c r="OY4" s="443"/>
      <c r="OZ4" s="443"/>
      <c r="PA4" s="443"/>
      <c r="PB4" s="443"/>
      <c r="PC4" s="443"/>
      <c r="PD4" s="443"/>
      <c r="PE4" s="443"/>
      <c r="PF4" s="443"/>
      <c r="PG4" s="443"/>
      <c r="PH4" s="443"/>
      <c r="PI4" s="443"/>
      <c r="PJ4" s="443"/>
      <c r="PK4" s="443"/>
      <c r="PL4" s="443"/>
      <c r="PM4" s="443"/>
      <c r="PN4" s="443"/>
      <c r="PO4" s="443"/>
      <c r="PP4" s="443"/>
      <c r="PQ4" s="443"/>
      <c r="PR4" s="443"/>
      <c r="PS4" s="443"/>
      <c r="PT4" s="443"/>
    </row>
    <row r="5" spans="1:436" ht="18.75">
      <c r="A5" s="445" t="s">
        <v>228</v>
      </c>
      <c r="B5" s="446">
        <v>2014</v>
      </c>
      <c r="C5" s="446">
        <v>2015</v>
      </c>
      <c r="D5" s="446">
        <v>2016</v>
      </c>
      <c r="E5" s="446">
        <v>2017</v>
      </c>
      <c r="F5" s="446">
        <v>2018</v>
      </c>
      <c r="G5" s="446">
        <v>2019</v>
      </c>
      <c r="H5" s="446">
        <v>2020</v>
      </c>
      <c r="I5" s="447" t="s">
        <v>307</v>
      </c>
    </row>
    <row r="6" spans="1:436" ht="18.75">
      <c r="A6" s="449" t="s">
        <v>90</v>
      </c>
      <c r="B6" s="450">
        <f t="shared" ref="B6:H6" si="0">SUM(B7:B28)</f>
        <v>302002607.58999997</v>
      </c>
      <c r="C6" s="450">
        <f t="shared" si="0"/>
        <v>330503715.94</v>
      </c>
      <c r="D6" s="450">
        <f t="shared" si="0"/>
        <v>356030840.86999995</v>
      </c>
      <c r="E6" s="450">
        <f t="shared" si="0"/>
        <v>400897835.12256002</v>
      </c>
      <c r="F6" s="450">
        <f t="shared" si="0"/>
        <v>437440288.20000005</v>
      </c>
      <c r="G6" s="450">
        <f t="shared" si="0"/>
        <v>514951812.51000005</v>
      </c>
      <c r="H6" s="450">
        <f t="shared" si="0"/>
        <v>0</v>
      </c>
      <c r="I6" s="429" t="s">
        <v>158</v>
      </c>
    </row>
    <row r="7" spans="1:436" ht="21">
      <c r="A7" s="406" t="s">
        <v>243</v>
      </c>
      <c r="B7" s="451">
        <v>12221744.27</v>
      </c>
      <c r="C7" s="451">
        <v>13238111.77</v>
      </c>
      <c r="D7" s="451">
        <v>17081042.779999997</v>
      </c>
      <c r="E7" s="451">
        <v>20373234.020000003</v>
      </c>
      <c r="F7" s="451">
        <v>25231479.590000004</v>
      </c>
      <c r="G7" s="451">
        <v>30323538.43</v>
      </c>
      <c r="H7" s="697"/>
      <c r="I7" s="452" t="s">
        <v>244</v>
      </c>
    </row>
    <row r="8" spans="1:436" ht="21">
      <c r="A8" s="453" t="s">
        <v>308</v>
      </c>
      <c r="B8" s="451">
        <v>18913407.449999996</v>
      </c>
      <c r="C8" s="451">
        <v>20715561.630000003</v>
      </c>
      <c r="D8" s="451">
        <v>24120305.060000002</v>
      </c>
      <c r="E8" s="451">
        <v>26271497.627639994</v>
      </c>
      <c r="F8" s="451">
        <v>26427082.919999998</v>
      </c>
      <c r="G8" s="451">
        <v>28612779.479999997</v>
      </c>
      <c r="H8" s="697"/>
      <c r="I8" s="452" t="s">
        <v>246</v>
      </c>
      <c r="M8" s="454"/>
    </row>
    <row r="9" spans="1:436" ht="21">
      <c r="A9" s="455" t="s">
        <v>309</v>
      </c>
      <c r="B9" s="451">
        <v>2751398.1399999997</v>
      </c>
      <c r="C9" s="451">
        <v>3467316.6799999997</v>
      </c>
      <c r="D9" s="451">
        <v>4845857.2200000007</v>
      </c>
      <c r="E9" s="451">
        <v>5613835.0284000011</v>
      </c>
      <c r="F9" s="451">
        <v>217.14</v>
      </c>
      <c r="G9" s="451">
        <v>0</v>
      </c>
      <c r="H9" s="697"/>
      <c r="I9" s="456" t="s">
        <v>248</v>
      </c>
    </row>
    <row r="10" spans="1:436" ht="21">
      <c r="A10" s="410" t="s">
        <v>295</v>
      </c>
      <c r="B10" s="451">
        <v>422854.74999999994</v>
      </c>
      <c r="C10" s="451">
        <v>452155.70000000007</v>
      </c>
      <c r="D10" s="451">
        <v>538392.48</v>
      </c>
      <c r="E10" s="451">
        <v>747371.84000000008</v>
      </c>
      <c r="F10" s="451">
        <v>1627.63</v>
      </c>
      <c r="G10" s="451">
        <v>0</v>
      </c>
      <c r="H10" s="697"/>
      <c r="I10" s="456" t="s">
        <v>250</v>
      </c>
    </row>
    <row r="11" spans="1:436" ht="21">
      <c r="A11" s="455" t="s">
        <v>310</v>
      </c>
      <c r="B11" s="451">
        <v>274316.98999999993</v>
      </c>
      <c r="C11" s="451">
        <v>224452.07</v>
      </c>
      <c r="D11" s="451">
        <v>244232.02</v>
      </c>
      <c r="E11" s="451">
        <v>447520.85000000003</v>
      </c>
      <c r="F11" s="451">
        <v>335231.02999999997</v>
      </c>
      <c r="G11" s="451">
        <v>468374.0500000001</v>
      </c>
      <c r="H11" s="697"/>
      <c r="I11" s="456" t="s">
        <v>252</v>
      </c>
    </row>
    <row r="12" spans="1:436" ht="21">
      <c r="A12" s="455" t="s">
        <v>311</v>
      </c>
      <c r="B12" s="451">
        <v>39517745.910000004</v>
      </c>
      <c r="C12" s="451">
        <v>40422165.909999996</v>
      </c>
      <c r="D12" s="451">
        <v>39006764.509999998</v>
      </c>
      <c r="E12" s="451">
        <v>42377076.189999998</v>
      </c>
      <c r="F12" s="451">
        <v>39418254.080000006</v>
      </c>
      <c r="G12" s="451">
        <v>47598203.259999998</v>
      </c>
      <c r="H12" s="697"/>
      <c r="I12" s="456" t="s">
        <v>312</v>
      </c>
    </row>
    <row r="13" spans="1:436" ht="21">
      <c r="A13" s="455" t="s">
        <v>255</v>
      </c>
      <c r="B13" s="451">
        <v>38324.959999999999</v>
      </c>
      <c r="C13" s="451">
        <v>4069700.3699999996</v>
      </c>
      <c r="D13" s="451">
        <v>3689920.4900000012</v>
      </c>
      <c r="E13" s="451">
        <v>6112297.4199999999</v>
      </c>
      <c r="F13" s="451">
        <v>6139646.2699999996</v>
      </c>
      <c r="G13" s="451">
        <v>8197307.5200000023</v>
      </c>
      <c r="H13" s="697"/>
      <c r="I13" s="456" t="s">
        <v>256</v>
      </c>
    </row>
    <row r="14" spans="1:436" ht="21">
      <c r="A14" s="455" t="s">
        <v>313</v>
      </c>
      <c r="B14" s="451">
        <v>1082982.1000000001</v>
      </c>
      <c r="C14" s="451">
        <v>1908585.6300000001</v>
      </c>
      <c r="D14" s="451">
        <v>2815394.2500000005</v>
      </c>
      <c r="E14" s="451">
        <v>2531041.2399999998</v>
      </c>
      <c r="F14" s="451">
        <v>2487894.6800000002</v>
      </c>
      <c r="G14" s="451">
        <v>2601250.5300000007</v>
      </c>
      <c r="H14" s="697"/>
      <c r="I14" s="456" t="s">
        <v>258</v>
      </c>
    </row>
    <row r="15" spans="1:436" ht="21">
      <c r="A15" s="455" t="s">
        <v>314</v>
      </c>
      <c r="B15" s="451">
        <v>15756571.040000003</v>
      </c>
      <c r="C15" s="451">
        <v>16994521.91</v>
      </c>
      <c r="D15" s="451">
        <v>19841767.939999998</v>
      </c>
      <c r="E15" s="451">
        <v>20029304.316520005</v>
      </c>
      <c r="F15" s="451">
        <v>21086680.849999998</v>
      </c>
      <c r="G15" s="451">
        <v>34479154.909999989</v>
      </c>
      <c r="H15" s="697"/>
      <c r="I15" s="456" t="s">
        <v>260</v>
      </c>
    </row>
    <row r="16" spans="1:436" ht="21">
      <c r="A16" s="455" t="s">
        <v>315</v>
      </c>
      <c r="B16" s="451">
        <v>14509431</v>
      </c>
      <c r="C16" s="451">
        <v>17227099.289999999</v>
      </c>
      <c r="D16" s="451">
        <v>20076685.020000003</v>
      </c>
      <c r="E16" s="451">
        <v>22288484.890000001</v>
      </c>
      <c r="F16" s="451">
        <v>26595567.779999997</v>
      </c>
      <c r="G16" s="451">
        <v>32189217.490000002</v>
      </c>
      <c r="H16" s="697"/>
      <c r="I16" s="456" t="s">
        <v>262</v>
      </c>
    </row>
    <row r="17" spans="1:9" ht="21">
      <c r="A17" s="455" t="s">
        <v>316</v>
      </c>
      <c r="B17" s="451">
        <v>2903471.7900000005</v>
      </c>
      <c r="C17" s="451">
        <v>2964794.07</v>
      </c>
      <c r="D17" s="451">
        <v>4215047.790000001</v>
      </c>
      <c r="E17" s="451">
        <v>4600723.6099999994</v>
      </c>
      <c r="F17" s="451">
        <v>4800395.379999999</v>
      </c>
      <c r="G17" s="451">
        <v>4955193.3100000015</v>
      </c>
      <c r="H17" s="697"/>
      <c r="I17" s="456" t="s">
        <v>264</v>
      </c>
    </row>
    <row r="18" spans="1:9" ht="21">
      <c r="A18" s="455" t="s">
        <v>317</v>
      </c>
      <c r="B18" s="451">
        <v>13917414.25</v>
      </c>
      <c r="C18" s="451">
        <v>15382242.4</v>
      </c>
      <c r="D18" s="451">
        <v>16604722.810000001</v>
      </c>
      <c r="E18" s="451">
        <v>18735509.840000004</v>
      </c>
      <c r="F18" s="451">
        <v>21304266.050000001</v>
      </c>
      <c r="G18" s="451">
        <v>23281844.709999997</v>
      </c>
      <c r="H18" s="697"/>
      <c r="I18" s="456" t="s">
        <v>266</v>
      </c>
    </row>
    <row r="19" spans="1:9" ht="21">
      <c r="A19" s="455" t="s">
        <v>267</v>
      </c>
      <c r="B19" s="451">
        <v>43389494.639999978</v>
      </c>
      <c r="C19" s="451">
        <v>43191210.880000003</v>
      </c>
      <c r="D19" s="451">
        <v>44715142.609999992</v>
      </c>
      <c r="E19" s="451">
        <v>51297218.259999998</v>
      </c>
      <c r="F19" s="451">
        <v>55181761.25999999</v>
      </c>
      <c r="G19" s="451">
        <v>61824671.660000011</v>
      </c>
      <c r="H19" s="697"/>
      <c r="I19" s="456" t="s">
        <v>268</v>
      </c>
    </row>
    <row r="20" spans="1:9" ht="21">
      <c r="A20" s="455" t="s">
        <v>318</v>
      </c>
      <c r="B20" s="451">
        <v>47096171.509999998</v>
      </c>
      <c r="C20" s="451">
        <v>50645238.269999996</v>
      </c>
      <c r="D20" s="451">
        <v>52746917.140000001</v>
      </c>
      <c r="E20" s="451">
        <v>62192983.080000013</v>
      </c>
      <c r="F20" s="451">
        <v>65511127.089999996</v>
      </c>
      <c r="G20" s="451">
        <v>71068303.840000004</v>
      </c>
      <c r="H20" s="697"/>
      <c r="I20" s="456" t="s">
        <v>270</v>
      </c>
    </row>
    <row r="21" spans="1:9" ht="21">
      <c r="A21" s="455" t="s">
        <v>271</v>
      </c>
      <c r="B21" s="451">
        <v>45159790.809999995</v>
      </c>
      <c r="C21" s="451">
        <v>46656649.280000001</v>
      </c>
      <c r="D21" s="451">
        <v>40429276.899999999</v>
      </c>
      <c r="E21" s="451">
        <v>41113440.770000003</v>
      </c>
      <c r="F21" s="451">
        <v>43240005.379999995</v>
      </c>
      <c r="G21" s="451">
        <v>54303526.390000001</v>
      </c>
      <c r="H21" s="697"/>
      <c r="I21" s="456" t="s">
        <v>272</v>
      </c>
    </row>
    <row r="22" spans="1:9" ht="21">
      <c r="A22" s="455" t="s">
        <v>273</v>
      </c>
      <c r="B22" s="451">
        <v>3760516.94</v>
      </c>
      <c r="C22" s="451">
        <v>4107271.3699999996</v>
      </c>
      <c r="D22" s="451">
        <v>4594617.17</v>
      </c>
      <c r="E22" s="451">
        <v>4532187.55</v>
      </c>
      <c r="F22" s="451">
        <v>5217303.67</v>
      </c>
      <c r="G22" s="451">
        <v>8566934.2000000011</v>
      </c>
      <c r="H22" s="697"/>
      <c r="I22" s="456" t="s">
        <v>274</v>
      </c>
    </row>
    <row r="23" spans="1:9" ht="21">
      <c r="A23" s="410" t="s">
        <v>275</v>
      </c>
      <c r="B23" s="451">
        <v>12534411.449999999</v>
      </c>
      <c r="C23" s="451">
        <v>13374230.66</v>
      </c>
      <c r="D23" s="451">
        <v>15574229.49</v>
      </c>
      <c r="E23" s="451">
        <v>17722187.68</v>
      </c>
      <c r="F23" s="451">
        <v>21497423.030000005</v>
      </c>
      <c r="G23" s="451">
        <v>24225273.659999996</v>
      </c>
      <c r="H23" s="697"/>
      <c r="I23" s="456" t="s">
        <v>276</v>
      </c>
    </row>
    <row r="24" spans="1:9" ht="21">
      <c r="A24" s="455" t="s">
        <v>319</v>
      </c>
      <c r="B24" s="451">
        <v>3163815.42</v>
      </c>
      <c r="C24" s="451">
        <v>4002983.0300000003</v>
      </c>
      <c r="D24" s="451">
        <v>5801563.6899999995</v>
      </c>
      <c r="E24" s="451">
        <v>5578977.6399999997</v>
      </c>
      <c r="F24" s="451">
        <v>7570313.5099999998</v>
      </c>
      <c r="G24" s="451">
        <v>12255962.07</v>
      </c>
      <c r="H24" s="697"/>
      <c r="I24" s="456" t="s">
        <v>278</v>
      </c>
    </row>
    <row r="25" spans="1:9" ht="21">
      <c r="A25" s="455" t="s">
        <v>320</v>
      </c>
      <c r="B25" s="451">
        <v>480351.89</v>
      </c>
      <c r="C25" s="451">
        <v>528890.76</v>
      </c>
      <c r="D25" s="451">
        <v>630283.23</v>
      </c>
      <c r="E25" s="451">
        <v>535362.29</v>
      </c>
      <c r="F25" s="451">
        <v>319823.19</v>
      </c>
      <c r="G25" s="451">
        <v>300171.75</v>
      </c>
      <c r="H25" s="697"/>
      <c r="I25" s="456" t="s">
        <v>280</v>
      </c>
    </row>
    <row r="26" spans="1:9" ht="21">
      <c r="A26" s="455" t="s">
        <v>321</v>
      </c>
      <c r="B26" s="451">
        <v>1068217.42</v>
      </c>
      <c r="C26" s="451">
        <v>1131382.9400000002</v>
      </c>
      <c r="D26" s="451">
        <v>1116699.8099999996</v>
      </c>
      <c r="E26" s="451">
        <v>1188997.5499999998</v>
      </c>
      <c r="F26" s="451">
        <v>7781095.2800000003</v>
      </c>
      <c r="G26" s="451">
        <v>0</v>
      </c>
      <c r="H26" s="697"/>
      <c r="I26" s="456" t="s">
        <v>282</v>
      </c>
    </row>
    <row r="27" spans="1:9" ht="21">
      <c r="A27" s="455" t="s">
        <v>322</v>
      </c>
      <c r="B27" s="451">
        <v>4039323.37</v>
      </c>
      <c r="C27" s="451">
        <v>6000472.21</v>
      </c>
      <c r="D27" s="451">
        <v>7318284.9400000013</v>
      </c>
      <c r="E27" s="451">
        <v>8684433.9499999993</v>
      </c>
      <c r="F27" s="451">
        <v>9034538.9799999986</v>
      </c>
      <c r="G27" s="451">
        <v>11188072.369999999</v>
      </c>
      <c r="H27" s="697"/>
      <c r="I27" s="456" t="s">
        <v>284</v>
      </c>
    </row>
    <row r="28" spans="1:9" ht="21">
      <c r="A28" s="457" t="s">
        <v>323</v>
      </c>
      <c r="B28" s="458">
        <v>19000851.489999998</v>
      </c>
      <c r="C28" s="458">
        <v>23798679.109999999</v>
      </c>
      <c r="D28" s="458">
        <v>30023693.520000003</v>
      </c>
      <c r="E28" s="458">
        <v>37924149.479999997</v>
      </c>
      <c r="F28" s="458">
        <v>48258553.410000004</v>
      </c>
      <c r="G28" s="458">
        <v>58512032.88000001</v>
      </c>
      <c r="H28" s="698"/>
      <c r="I28" s="459" t="s">
        <v>286</v>
      </c>
    </row>
    <row r="29" spans="1:9">
      <c r="A29" s="439" t="s">
        <v>287</v>
      </c>
      <c r="B29" s="398"/>
      <c r="C29" s="460"/>
      <c r="D29" s="460"/>
      <c r="E29" s="461"/>
      <c r="F29" s="461"/>
      <c r="G29" s="461"/>
      <c r="H29" s="461"/>
      <c r="I29" s="462" t="s">
        <v>288</v>
      </c>
    </row>
    <row r="30" spans="1:9">
      <c r="A30" s="420"/>
      <c r="B30" s="402"/>
      <c r="C30" s="402"/>
      <c r="D30" s="402"/>
      <c r="E30" s="463"/>
      <c r="F30" s="463"/>
      <c r="G30" s="463"/>
      <c r="H30" s="463"/>
      <c r="I30" s="463"/>
    </row>
  </sheetData>
  <mergeCells count="4">
    <mergeCell ref="A1:I1"/>
    <mergeCell ref="A2:I2"/>
    <mergeCell ref="A3:I3"/>
    <mergeCell ref="A4:I4"/>
  </mergeCells>
  <pageMargins left="0.7" right="0.7" top="0.75" bottom="0.75" header="0.3" footer="0.3"/>
  <pageSetup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26"/>
  <sheetViews>
    <sheetView workbookViewId="0">
      <selection activeCell="I6" sqref="I6"/>
    </sheetView>
  </sheetViews>
  <sheetFormatPr defaultRowHeight="15"/>
  <cols>
    <col min="1" max="1" width="16.140625" style="258" customWidth="1"/>
    <col min="2" max="9" width="14" style="258" customWidth="1"/>
    <col min="10" max="10" width="19.5703125" style="258" customWidth="1"/>
    <col min="11" max="262" width="9.140625" style="258"/>
    <col min="263" max="263" width="15.5703125" style="258" customWidth="1"/>
    <col min="264" max="264" width="19" style="258" customWidth="1"/>
    <col min="265" max="265" width="16.140625" style="258" customWidth="1"/>
    <col min="266" max="266" width="19" style="258" customWidth="1"/>
    <col min="267" max="518" width="9.140625" style="258"/>
    <col min="519" max="519" width="15.5703125" style="258" customWidth="1"/>
    <col min="520" max="520" width="19" style="258" customWidth="1"/>
    <col min="521" max="521" width="16.140625" style="258" customWidth="1"/>
    <col min="522" max="522" width="19" style="258" customWidth="1"/>
    <col min="523" max="774" width="9.140625" style="258"/>
    <col min="775" max="775" width="15.5703125" style="258" customWidth="1"/>
    <col min="776" max="776" width="19" style="258" customWidth="1"/>
    <col min="777" max="777" width="16.140625" style="258" customWidth="1"/>
    <col min="778" max="778" width="19" style="258" customWidth="1"/>
    <col min="779" max="1030" width="9.140625" style="258"/>
    <col min="1031" max="1031" width="15.5703125" style="258" customWidth="1"/>
    <col min="1032" max="1032" width="19" style="258" customWidth="1"/>
    <col min="1033" max="1033" width="16.140625" style="258" customWidth="1"/>
    <col min="1034" max="1034" width="19" style="258" customWidth="1"/>
    <col min="1035" max="1286" width="9.140625" style="258"/>
    <col min="1287" max="1287" width="15.5703125" style="258" customWidth="1"/>
    <col min="1288" max="1288" width="19" style="258" customWidth="1"/>
    <col min="1289" max="1289" width="16.140625" style="258" customWidth="1"/>
    <col min="1290" max="1290" width="19" style="258" customWidth="1"/>
    <col min="1291" max="1542" width="9.140625" style="258"/>
    <col min="1543" max="1543" width="15.5703125" style="258" customWidth="1"/>
    <col min="1544" max="1544" width="19" style="258" customWidth="1"/>
    <col min="1545" max="1545" width="16.140625" style="258" customWidth="1"/>
    <col min="1546" max="1546" width="19" style="258" customWidth="1"/>
    <col min="1547" max="1798" width="9.140625" style="258"/>
    <col min="1799" max="1799" width="15.5703125" style="258" customWidth="1"/>
    <col min="1800" max="1800" width="19" style="258" customWidth="1"/>
    <col min="1801" max="1801" width="16.140625" style="258" customWidth="1"/>
    <col min="1802" max="1802" width="19" style="258" customWidth="1"/>
    <col min="1803" max="2054" width="9.140625" style="258"/>
    <col min="2055" max="2055" width="15.5703125" style="258" customWidth="1"/>
    <col min="2056" max="2056" width="19" style="258" customWidth="1"/>
    <col min="2057" max="2057" width="16.140625" style="258" customWidth="1"/>
    <col min="2058" max="2058" width="19" style="258" customWidth="1"/>
    <col min="2059" max="2310" width="9.140625" style="258"/>
    <col min="2311" max="2311" width="15.5703125" style="258" customWidth="1"/>
    <col min="2312" max="2312" width="19" style="258" customWidth="1"/>
    <col min="2313" max="2313" width="16.140625" style="258" customWidth="1"/>
    <col min="2314" max="2314" width="19" style="258" customWidth="1"/>
    <col min="2315" max="2566" width="9.140625" style="258"/>
    <col min="2567" max="2567" width="15.5703125" style="258" customWidth="1"/>
    <col min="2568" max="2568" width="19" style="258" customWidth="1"/>
    <col min="2569" max="2569" width="16.140625" style="258" customWidth="1"/>
    <col min="2570" max="2570" width="19" style="258" customWidth="1"/>
    <col min="2571" max="2822" width="9.140625" style="258"/>
    <col min="2823" max="2823" width="15.5703125" style="258" customWidth="1"/>
    <col min="2824" max="2824" width="19" style="258" customWidth="1"/>
    <col min="2825" max="2825" width="16.140625" style="258" customWidth="1"/>
    <col min="2826" max="2826" width="19" style="258" customWidth="1"/>
    <col min="2827" max="3078" width="9.140625" style="258"/>
    <col min="3079" max="3079" width="15.5703125" style="258" customWidth="1"/>
    <col min="3080" max="3080" width="19" style="258" customWidth="1"/>
    <col min="3081" max="3081" width="16.140625" style="258" customWidth="1"/>
    <col min="3082" max="3082" width="19" style="258" customWidth="1"/>
    <col min="3083" max="3334" width="9.140625" style="258"/>
    <col min="3335" max="3335" width="15.5703125" style="258" customWidth="1"/>
    <col min="3336" max="3336" width="19" style="258" customWidth="1"/>
    <col min="3337" max="3337" width="16.140625" style="258" customWidth="1"/>
    <col min="3338" max="3338" width="19" style="258" customWidth="1"/>
    <col min="3339" max="3590" width="9.140625" style="258"/>
    <col min="3591" max="3591" width="15.5703125" style="258" customWidth="1"/>
    <col min="3592" max="3592" width="19" style="258" customWidth="1"/>
    <col min="3593" max="3593" width="16.140625" style="258" customWidth="1"/>
    <col min="3594" max="3594" width="19" style="258" customWidth="1"/>
    <col min="3595" max="3846" width="9.140625" style="258"/>
    <col min="3847" max="3847" width="15.5703125" style="258" customWidth="1"/>
    <col min="3848" max="3848" width="19" style="258" customWidth="1"/>
    <col min="3849" max="3849" width="16.140625" style="258" customWidth="1"/>
    <col min="3850" max="3850" width="19" style="258" customWidth="1"/>
    <col min="3851" max="4102" width="9.140625" style="258"/>
    <col min="4103" max="4103" width="15.5703125" style="258" customWidth="1"/>
    <col min="4104" max="4104" width="19" style="258" customWidth="1"/>
    <col min="4105" max="4105" width="16.140625" style="258" customWidth="1"/>
    <col min="4106" max="4106" width="19" style="258" customWidth="1"/>
    <col min="4107" max="4358" width="9.140625" style="258"/>
    <col min="4359" max="4359" width="15.5703125" style="258" customWidth="1"/>
    <col min="4360" max="4360" width="19" style="258" customWidth="1"/>
    <col min="4361" max="4361" width="16.140625" style="258" customWidth="1"/>
    <col min="4362" max="4362" width="19" style="258" customWidth="1"/>
    <col min="4363" max="4614" width="9.140625" style="258"/>
    <col min="4615" max="4615" width="15.5703125" style="258" customWidth="1"/>
    <col min="4616" max="4616" width="19" style="258" customWidth="1"/>
    <col min="4617" max="4617" width="16.140625" style="258" customWidth="1"/>
    <col min="4618" max="4618" width="19" style="258" customWidth="1"/>
    <col min="4619" max="4870" width="9.140625" style="258"/>
    <col min="4871" max="4871" width="15.5703125" style="258" customWidth="1"/>
    <col min="4872" max="4872" width="19" style="258" customWidth="1"/>
    <col min="4873" max="4873" width="16.140625" style="258" customWidth="1"/>
    <col min="4874" max="4874" width="19" style="258" customWidth="1"/>
    <col min="4875" max="5126" width="9.140625" style="258"/>
    <col min="5127" max="5127" width="15.5703125" style="258" customWidth="1"/>
    <col min="5128" max="5128" width="19" style="258" customWidth="1"/>
    <col min="5129" max="5129" width="16.140625" style="258" customWidth="1"/>
    <col min="5130" max="5130" width="19" style="258" customWidth="1"/>
    <col min="5131" max="5382" width="9.140625" style="258"/>
    <col min="5383" max="5383" width="15.5703125" style="258" customWidth="1"/>
    <col min="5384" max="5384" width="19" style="258" customWidth="1"/>
    <col min="5385" max="5385" width="16.140625" style="258" customWidth="1"/>
    <col min="5386" max="5386" width="19" style="258" customWidth="1"/>
    <col min="5387" max="5638" width="9.140625" style="258"/>
    <col min="5639" max="5639" width="15.5703125" style="258" customWidth="1"/>
    <col min="5640" max="5640" width="19" style="258" customWidth="1"/>
    <col min="5641" max="5641" width="16.140625" style="258" customWidth="1"/>
    <col min="5642" max="5642" width="19" style="258" customWidth="1"/>
    <col min="5643" max="5894" width="9.140625" style="258"/>
    <col min="5895" max="5895" width="15.5703125" style="258" customWidth="1"/>
    <col min="5896" max="5896" width="19" style="258" customWidth="1"/>
    <col min="5897" max="5897" width="16.140625" style="258" customWidth="1"/>
    <col min="5898" max="5898" width="19" style="258" customWidth="1"/>
    <col min="5899" max="6150" width="9.140625" style="258"/>
    <col min="6151" max="6151" width="15.5703125" style="258" customWidth="1"/>
    <col min="6152" max="6152" width="19" style="258" customWidth="1"/>
    <col min="6153" max="6153" width="16.140625" style="258" customWidth="1"/>
    <col min="6154" max="6154" width="19" style="258" customWidth="1"/>
    <col min="6155" max="6406" width="9.140625" style="258"/>
    <col min="6407" max="6407" width="15.5703125" style="258" customWidth="1"/>
    <col min="6408" max="6408" width="19" style="258" customWidth="1"/>
    <col min="6409" max="6409" width="16.140625" style="258" customWidth="1"/>
    <col min="6410" max="6410" width="19" style="258" customWidth="1"/>
    <col min="6411" max="6662" width="9.140625" style="258"/>
    <col min="6663" max="6663" width="15.5703125" style="258" customWidth="1"/>
    <col min="6664" max="6664" width="19" style="258" customWidth="1"/>
    <col min="6665" max="6665" width="16.140625" style="258" customWidth="1"/>
    <col min="6666" max="6666" width="19" style="258" customWidth="1"/>
    <col min="6667" max="6918" width="9.140625" style="258"/>
    <col min="6919" max="6919" width="15.5703125" style="258" customWidth="1"/>
    <col min="6920" max="6920" width="19" style="258" customWidth="1"/>
    <col min="6921" max="6921" width="16.140625" style="258" customWidth="1"/>
    <col min="6922" max="6922" width="19" style="258" customWidth="1"/>
    <col min="6923" max="7174" width="9.140625" style="258"/>
    <col min="7175" max="7175" width="15.5703125" style="258" customWidth="1"/>
    <col min="7176" max="7176" width="19" style="258" customWidth="1"/>
    <col min="7177" max="7177" width="16.140625" style="258" customWidth="1"/>
    <col min="7178" max="7178" width="19" style="258" customWidth="1"/>
    <col min="7179" max="7430" width="9.140625" style="258"/>
    <col min="7431" max="7431" width="15.5703125" style="258" customWidth="1"/>
    <col min="7432" max="7432" width="19" style="258" customWidth="1"/>
    <col min="7433" max="7433" width="16.140625" style="258" customWidth="1"/>
    <col min="7434" max="7434" width="19" style="258" customWidth="1"/>
    <col min="7435" max="7686" width="9.140625" style="258"/>
    <col min="7687" max="7687" width="15.5703125" style="258" customWidth="1"/>
    <col min="7688" max="7688" width="19" style="258" customWidth="1"/>
    <col min="7689" max="7689" width="16.140625" style="258" customWidth="1"/>
    <col min="7690" max="7690" width="19" style="258" customWidth="1"/>
    <col min="7691" max="7942" width="9.140625" style="258"/>
    <col min="7943" max="7943" width="15.5703125" style="258" customWidth="1"/>
    <col min="7944" max="7944" width="19" style="258" customWidth="1"/>
    <col min="7945" max="7945" width="16.140625" style="258" customWidth="1"/>
    <col min="7946" max="7946" width="19" style="258" customWidth="1"/>
    <col min="7947" max="8198" width="9.140625" style="258"/>
    <col min="8199" max="8199" width="15.5703125" style="258" customWidth="1"/>
    <col min="8200" max="8200" width="19" style="258" customWidth="1"/>
    <col min="8201" max="8201" width="16.140625" style="258" customWidth="1"/>
    <col min="8202" max="8202" width="19" style="258" customWidth="1"/>
    <col min="8203" max="8454" width="9.140625" style="258"/>
    <col min="8455" max="8455" width="15.5703125" style="258" customWidth="1"/>
    <col min="8456" max="8456" width="19" style="258" customWidth="1"/>
    <col min="8457" max="8457" width="16.140625" style="258" customWidth="1"/>
    <col min="8458" max="8458" width="19" style="258" customWidth="1"/>
    <col min="8459" max="8710" width="9.140625" style="258"/>
    <col min="8711" max="8711" width="15.5703125" style="258" customWidth="1"/>
    <col min="8712" max="8712" width="19" style="258" customWidth="1"/>
    <col min="8713" max="8713" width="16.140625" style="258" customWidth="1"/>
    <col min="8714" max="8714" width="19" style="258" customWidth="1"/>
    <col min="8715" max="8966" width="9.140625" style="258"/>
    <col min="8967" max="8967" width="15.5703125" style="258" customWidth="1"/>
    <col min="8968" max="8968" width="19" style="258" customWidth="1"/>
    <col min="8969" max="8969" width="16.140625" style="258" customWidth="1"/>
    <col min="8970" max="8970" width="19" style="258" customWidth="1"/>
    <col min="8971" max="9222" width="9.140625" style="258"/>
    <col min="9223" max="9223" width="15.5703125" style="258" customWidth="1"/>
    <col min="9224" max="9224" width="19" style="258" customWidth="1"/>
    <col min="9225" max="9225" width="16.140625" style="258" customWidth="1"/>
    <col min="9226" max="9226" width="19" style="258" customWidth="1"/>
    <col min="9227" max="9478" width="9.140625" style="258"/>
    <col min="9479" max="9479" width="15.5703125" style="258" customWidth="1"/>
    <col min="9480" max="9480" width="19" style="258" customWidth="1"/>
    <col min="9481" max="9481" width="16.140625" style="258" customWidth="1"/>
    <col min="9482" max="9482" width="19" style="258" customWidth="1"/>
    <col min="9483" max="9734" width="9.140625" style="258"/>
    <col min="9735" max="9735" width="15.5703125" style="258" customWidth="1"/>
    <col min="9736" max="9736" width="19" style="258" customWidth="1"/>
    <col min="9737" max="9737" width="16.140625" style="258" customWidth="1"/>
    <col min="9738" max="9738" width="19" style="258" customWidth="1"/>
    <col min="9739" max="9990" width="9.140625" style="258"/>
    <col min="9991" max="9991" width="15.5703125" style="258" customWidth="1"/>
    <col min="9992" max="9992" width="19" style="258" customWidth="1"/>
    <col min="9993" max="9993" width="16.140625" style="258" customWidth="1"/>
    <col min="9994" max="9994" width="19" style="258" customWidth="1"/>
    <col min="9995" max="10246" width="9.140625" style="258"/>
    <col min="10247" max="10247" width="15.5703125" style="258" customWidth="1"/>
    <col min="10248" max="10248" width="19" style="258" customWidth="1"/>
    <col min="10249" max="10249" width="16.140625" style="258" customWidth="1"/>
    <col min="10250" max="10250" width="19" style="258" customWidth="1"/>
    <col min="10251" max="10502" width="9.140625" style="258"/>
    <col min="10503" max="10503" width="15.5703125" style="258" customWidth="1"/>
    <col min="10504" max="10504" width="19" style="258" customWidth="1"/>
    <col min="10505" max="10505" width="16.140625" style="258" customWidth="1"/>
    <col min="10506" max="10506" width="19" style="258" customWidth="1"/>
    <col min="10507" max="10758" width="9.140625" style="258"/>
    <col min="10759" max="10759" width="15.5703125" style="258" customWidth="1"/>
    <col min="10760" max="10760" width="19" style="258" customWidth="1"/>
    <col min="10761" max="10761" width="16.140625" style="258" customWidth="1"/>
    <col min="10762" max="10762" width="19" style="258" customWidth="1"/>
    <col min="10763" max="11014" width="9.140625" style="258"/>
    <col min="11015" max="11015" width="15.5703125" style="258" customWidth="1"/>
    <col min="11016" max="11016" width="19" style="258" customWidth="1"/>
    <col min="11017" max="11017" width="16.140625" style="258" customWidth="1"/>
    <col min="11018" max="11018" width="19" style="258" customWidth="1"/>
    <col min="11019" max="11270" width="9.140625" style="258"/>
    <col min="11271" max="11271" width="15.5703125" style="258" customWidth="1"/>
    <col min="11272" max="11272" width="19" style="258" customWidth="1"/>
    <col min="11273" max="11273" width="16.140625" style="258" customWidth="1"/>
    <col min="11274" max="11274" width="19" style="258" customWidth="1"/>
    <col min="11275" max="11526" width="9.140625" style="258"/>
    <col min="11527" max="11527" width="15.5703125" style="258" customWidth="1"/>
    <col min="11528" max="11528" width="19" style="258" customWidth="1"/>
    <col min="11529" max="11529" width="16.140625" style="258" customWidth="1"/>
    <col min="11530" max="11530" width="19" style="258" customWidth="1"/>
    <col min="11531" max="11782" width="9.140625" style="258"/>
    <col min="11783" max="11783" width="15.5703125" style="258" customWidth="1"/>
    <col min="11784" max="11784" width="19" style="258" customWidth="1"/>
    <col min="11785" max="11785" width="16.140625" style="258" customWidth="1"/>
    <col min="11786" max="11786" width="19" style="258" customWidth="1"/>
    <col min="11787" max="12038" width="9.140625" style="258"/>
    <col min="12039" max="12039" width="15.5703125" style="258" customWidth="1"/>
    <col min="12040" max="12040" width="19" style="258" customWidth="1"/>
    <col min="12041" max="12041" width="16.140625" style="258" customWidth="1"/>
    <col min="12042" max="12042" width="19" style="258" customWidth="1"/>
    <col min="12043" max="12294" width="9.140625" style="258"/>
    <col min="12295" max="12295" width="15.5703125" style="258" customWidth="1"/>
    <col min="12296" max="12296" width="19" style="258" customWidth="1"/>
    <col min="12297" max="12297" width="16.140625" style="258" customWidth="1"/>
    <col min="12298" max="12298" width="19" style="258" customWidth="1"/>
    <col min="12299" max="12550" width="9.140625" style="258"/>
    <col min="12551" max="12551" width="15.5703125" style="258" customWidth="1"/>
    <col min="12552" max="12552" width="19" style="258" customWidth="1"/>
    <col min="12553" max="12553" width="16.140625" style="258" customWidth="1"/>
    <col min="12554" max="12554" width="19" style="258" customWidth="1"/>
    <col min="12555" max="12806" width="9.140625" style="258"/>
    <col min="12807" max="12807" width="15.5703125" style="258" customWidth="1"/>
    <col min="12808" max="12808" width="19" style="258" customWidth="1"/>
    <col min="12809" max="12809" width="16.140625" style="258" customWidth="1"/>
    <col min="12810" max="12810" width="19" style="258" customWidth="1"/>
    <col min="12811" max="13062" width="9.140625" style="258"/>
    <col min="13063" max="13063" width="15.5703125" style="258" customWidth="1"/>
    <col min="13064" max="13064" width="19" style="258" customWidth="1"/>
    <col min="13065" max="13065" width="16.140625" style="258" customWidth="1"/>
    <col min="13066" max="13066" width="19" style="258" customWidth="1"/>
    <col min="13067" max="13318" width="9.140625" style="258"/>
    <col min="13319" max="13319" width="15.5703125" style="258" customWidth="1"/>
    <col min="13320" max="13320" width="19" style="258" customWidth="1"/>
    <col min="13321" max="13321" width="16.140625" style="258" customWidth="1"/>
    <col min="13322" max="13322" width="19" style="258" customWidth="1"/>
    <col min="13323" max="13574" width="9.140625" style="258"/>
    <col min="13575" max="13575" width="15.5703125" style="258" customWidth="1"/>
    <col min="13576" max="13576" width="19" style="258" customWidth="1"/>
    <col min="13577" max="13577" width="16.140625" style="258" customWidth="1"/>
    <col min="13578" max="13578" width="19" style="258" customWidth="1"/>
    <col min="13579" max="13830" width="9.140625" style="258"/>
    <col min="13831" max="13831" width="15.5703125" style="258" customWidth="1"/>
    <col min="13832" max="13832" width="19" style="258" customWidth="1"/>
    <col min="13833" max="13833" width="16.140625" style="258" customWidth="1"/>
    <col min="13834" max="13834" width="19" style="258" customWidth="1"/>
    <col min="13835" max="14086" width="9.140625" style="258"/>
    <col min="14087" max="14087" width="15.5703125" style="258" customWidth="1"/>
    <col min="14088" max="14088" width="19" style="258" customWidth="1"/>
    <col min="14089" max="14089" width="16.140625" style="258" customWidth="1"/>
    <col min="14090" max="14090" width="19" style="258" customWidth="1"/>
    <col min="14091" max="14342" width="9.140625" style="258"/>
    <col min="14343" max="14343" width="15.5703125" style="258" customWidth="1"/>
    <col min="14344" max="14344" width="19" style="258" customWidth="1"/>
    <col min="14345" max="14345" width="16.140625" style="258" customWidth="1"/>
    <col min="14346" max="14346" width="19" style="258" customWidth="1"/>
    <col min="14347" max="14598" width="9.140625" style="258"/>
    <col min="14599" max="14599" width="15.5703125" style="258" customWidth="1"/>
    <col min="14600" max="14600" width="19" style="258" customWidth="1"/>
    <col min="14601" max="14601" width="16.140625" style="258" customWidth="1"/>
    <col min="14602" max="14602" width="19" style="258" customWidth="1"/>
    <col min="14603" max="14854" width="9.140625" style="258"/>
    <col min="14855" max="14855" width="15.5703125" style="258" customWidth="1"/>
    <col min="14856" max="14856" width="19" style="258" customWidth="1"/>
    <col min="14857" max="14857" width="16.140625" style="258" customWidth="1"/>
    <col min="14858" max="14858" width="19" style="258" customWidth="1"/>
    <col min="14859" max="15110" width="9.140625" style="258"/>
    <col min="15111" max="15111" width="15.5703125" style="258" customWidth="1"/>
    <col min="15112" max="15112" width="19" style="258" customWidth="1"/>
    <col min="15113" max="15113" width="16.140625" style="258" customWidth="1"/>
    <col min="15114" max="15114" width="19" style="258" customWidth="1"/>
    <col min="15115" max="15366" width="9.140625" style="258"/>
    <col min="15367" max="15367" width="15.5703125" style="258" customWidth="1"/>
    <col min="15368" max="15368" width="19" style="258" customWidth="1"/>
    <col min="15369" max="15369" width="16.140625" style="258" customWidth="1"/>
    <col min="15370" max="15370" width="19" style="258" customWidth="1"/>
    <col min="15371" max="15622" width="9.140625" style="258"/>
    <col min="15623" max="15623" width="15.5703125" style="258" customWidth="1"/>
    <col min="15624" max="15624" width="19" style="258" customWidth="1"/>
    <col min="15625" max="15625" width="16.140625" style="258" customWidth="1"/>
    <col min="15626" max="15626" width="19" style="258" customWidth="1"/>
    <col min="15627" max="15878" width="9.140625" style="258"/>
    <col min="15879" max="15879" width="15.5703125" style="258" customWidth="1"/>
    <col min="15880" max="15880" width="19" style="258" customWidth="1"/>
    <col min="15881" max="15881" width="16.140625" style="258" customWidth="1"/>
    <col min="15882" max="15882" width="19" style="258" customWidth="1"/>
    <col min="15883" max="16134" width="9.140625" style="258"/>
    <col min="16135" max="16135" width="15.5703125" style="258" customWidth="1"/>
    <col min="16136" max="16136" width="19" style="258" customWidth="1"/>
    <col min="16137" max="16137" width="16.140625" style="258" customWidth="1"/>
    <col min="16138" max="16138" width="19" style="258" customWidth="1"/>
    <col min="16139" max="16384" width="9.140625" style="258"/>
  </cols>
  <sheetData>
    <row r="1" spans="1:15" ht="18.75">
      <c r="A1" s="872" t="s">
        <v>466</v>
      </c>
      <c r="B1" s="872"/>
      <c r="C1" s="872"/>
      <c r="D1" s="872"/>
      <c r="E1" s="872"/>
      <c r="F1" s="872"/>
      <c r="G1" s="872"/>
      <c r="H1" s="872"/>
      <c r="I1" s="872"/>
      <c r="J1" s="872"/>
    </row>
    <row r="2" spans="1:15" s="464" customFormat="1">
      <c r="A2" s="831" t="s">
        <v>465</v>
      </c>
      <c r="B2" s="831"/>
      <c r="C2" s="831"/>
      <c r="D2" s="831"/>
      <c r="E2" s="831"/>
      <c r="F2" s="831"/>
      <c r="G2" s="831"/>
      <c r="H2" s="831"/>
      <c r="I2" s="831"/>
      <c r="J2" s="831"/>
    </row>
    <row r="3" spans="1:15" s="464" customFormat="1" ht="15" customHeight="1">
      <c r="A3" s="832" t="s">
        <v>34</v>
      </c>
      <c r="B3" s="834" t="s">
        <v>324</v>
      </c>
      <c r="C3" s="834"/>
      <c r="D3" s="834"/>
      <c r="E3" s="834"/>
      <c r="F3" s="834"/>
      <c r="G3" s="834"/>
      <c r="H3" s="834"/>
      <c r="I3" s="694"/>
      <c r="J3" s="835" t="s">
        <v>215</v>
      </c>
    </row>
    <row r="4" spans="1:15">
      <c r="A4" s="833"/>
      <c r="B4" s="383">
        <v>2013</v>
      </c>
      <c r="C4" s="383">
        <v>2014</v>
      </c>
      <c r="D4" s="383">
        <v>2015</v>
      </c>
      <c r="E4" s="383">
        <v>2016</v>
      </c>
      <c r="F4" s="383">
        <v>2017</v>
      </c>
      <c r="G4" s="383">
        <v>2018</v>
      </c>
      <c r="H4" s="383">
        <v>2019</v>
      </c>
      <c r="I4" s="383">
        <v>2020</v>
      </c>
      <c r="J4" s="836"/>
    </row>
    <row r="5" spans="1:15" ht="21">
      <c r="A5" s="622" t="s">
        <v>216</v>
      </c>
      <c r="B5" s="465">
        <f t="shared" ref="B5:G5" si="0">SUM(B6:B25)</f>
        <v>9973.2153715049062</v>
      </c>
      <c r="C5" s="465">
        <f t="shared" si="0"/>
        <v>6549</v>
      </c>
      <c r="D5" s="465">
        <f t="shared" si="0"/>
        <v>7410</v>
      </c>
      <c r="E5" s="465">
        <f t="shared" si="0"/>
        <v>7567</v>
      </c>
      <c r="F5" s="465">
        <f t="shared" si="0"/>
        <v>7567</v>
      </c>
      <c r="G5" s="465">
        <f t="shared" si="0"/>
        <v>7568</v>
      </c>
      <c r="H5" s="465">
        <f>SUM(H6:H25)</f>
        <v>7611</v>
      </c>
      <c r="I5" s="465">
        <f>SUM(I6:I25)</f>
        <v>7601</v>
      </c>
      <c r="J5" s="386" t="s">
        <v>217</v>
      </c>
    </row>
    <row r="6" spans="1:15" ht="15.75">
      <c r="A6" s="387" t="s">
        <v>218</v>
      </c>
      <c r="B6" s="466">
        <v>659.99566999861804</v>
      </c>
      <c r="C6" s="466">
        <v>149</v>
      </c>
      <c r="D6" s="466">
        <v>139</v>
      </c>
      <c r="E6" s="466">
        <v>139</v>
      </c>
      <c r="F6" s="466">
        <v>139</v>
      </c>
      <c r="G6" s="466">
        <v>139</v>
      </c>
      <c r="H6" s="466">
        <v>139</v>
      </c>
      <c r="I6" s="466">
        <v>140</v>
      </c>
      <c r="J6" s="467" t="s">
        <v>38</v>
      </c>
    </row>
    <row r="7" spans="1:15" ht="15.75">
      <c r="A7" s="387" t="s">
        <v>219</v>
      </c>
      <c r="B7" s="466">
        <v>451.02855958358282</v>
      </c>
      <c r="C7" s="466">
        <v>480</v>
      </c>
      <c r="D7" s="466">
        <v>479</v>
      </c>
      <c r="E7" s="466">
        <v>480</v>
      </c>
      <c r="F7" s="466">
        <v>480</v>
      </c>
      <c r="G7" s="466">
        <v>480</v>
      </c>
      <c r="H7" s="466">
        <v>482</v>
      </c>
      <c r="I7" s="466">
        <v>479</v>
      </c>
      <c r="J7" s="467" t="s">
        <v>40</v>
      </c>
    </row>
    <row r="8" spans="1:15" ht="15.75">
      <c r="A8" s="387" t="s">
        <v>220</v>
      </c>
      <c r="B8" s="466">
        <v>838.17979230324352</v>
      </c>
      <c r="C8" s="466">
        <v>909</v>
      </c>
      <c r="D8" s="466">
        <v>909</v>
      </c>
      <c r="E8" s="466">
        <v>992</v>
      </c>
      <c r="F8" s="466">
        <v>992</v>
      </c>
      <c r="G8" s="466">
        <v>992</v>
      </c>
      <c r="H8" s="466">
        <v>909</v>
      </c>
      <c r="I8" s="466">
        <v>910</v>
      </c>
      <c r="J8" s="467" t="s">
        <v>42</v>
      </c>
    </row>
    <row r="9" spans="1:15" ht="15.75">
      <c r="A9" s="387" t="s">
        <v>74</v>
      </c>
      <c r="B9" s="466">
        <v>300.16039942471377</v>
      </c>
      <c r="C9" s="466">
        <v>219</v>
      </c>
      <c r="D9" s="466">
        <v>219</v>
      </c>
      <c r="E9" s="466">
        <v>219</v>
      </c>
      <c r="F9" s="466">
        <v>219</v>
      </c>
      <c r="G9" s="466">
        <v>219</v>
      </c>
      <c r="H9" s="466">
        <v>223</v>
      </c>
      <c r="I9" s="466">
        <v>219</v>
      </c>
      <c r="J9" s="467" t="s">
        <v>44</v>
      </c>
      <c r="N9" s="868"/>
      <c r="O9" s="869"/>
    </row>
    <row r="10" spans="1:15" ht="15.75">
      <c r="A10" s="387" t="s">
        <v>221</v>
      </c>
      <c r="B10" s="466">
        <v>760.6970150628772</v>
      </c>
      <c r="C10" s="466">
        <v>138</v>
      </c>
      <c r="D10" s="466">
        <v>130</v>
      </c>
      <c r="E10" s="466">
        <v>130</v>
      </c>
      <c r="F10" s="466">
        <v>130</v>
      </c>
      <c r="G10" s="466">
        <v>130</v>
      </c>
      <c r="H10" s="466">
        <v>130</v>
      </c>
      <c r="I10" s="466">
        <v>130</v>
      </c>
      <c r="J10" s="467" t="s">
        <v>46</v>
      </c>
      <c r="N10" s="870"/>
      <c r="O10" s="871"/>
    </row>
    <row r="11" spans="1:15" ht="15.75">
      <c r="A11" s="387" t="s">
        <v>47</v>
      </c>
      <c r="B11" s="466">
        <v>704.85688475337929</v>
      </c>
      <c r="C11" s="466">
        <v>163</v>
      </c>
      <c r="D11" s="466">
        <v>170</v>
      </c>
      <c r="E11" s="466">
        <v>172</v>
      </c>
      <c r="F11" s="466">
        <v>172</v>
      </c>
      <c r="G11" s="466">
        <v>172</v>
      </c>
      <c r="H11" s="466">
        <v>187</v>
      </c>
      <c r="I11" s="466">
        <v>172</v>
      </c>
      <c r="J11" s="467" t="s">
        <v>48</v>
      </c>
      <c r="N11" s="870"/>
      <c r="O11" s="871"/>
    </row>
    <row r="12" spans="1:15" ht="15.75">
      <c r="A12" s="387" t="s">
        <v>49</v>
      </c>
      <c r="B12" s="466">
        <v>352.42844237668965</v>
      </c>
      <c r="C12" s="466">
        <v>47</v>
      </c>
      <c r="D12" s="466">
        <v>46</v>
      </c>
      <c r="E12" s="466">
        <v>46</v>
      </c>
      <c r="F12" s="466">
        <v>46</v>
      </c>
      <c r="G12" s="466">
        <v>46</v>
      </c>
      <c r="H12" s="466">
        <v>46</v>
      </c>
      <c r="I12" s="466">
        <v>46</v>
      </c>
      <c r="J12" s="467" t="s">
        <v>50</v>
      </c>
      <c r="N12" s="870"/>
      <c r="O12" s="871"/>
    </row>
    <row r="13" spans="1:15" ht="15.75">
      <c r="A13" s="387" t="s">
        <v>51</v>
      </c>
      <c r="B13" s="466">
        <v>562.60375880971026</v>
      </c>
      <c r="C13" s="466">
        <v>6</v>
      </c>
      <c r="D13" s="466">
        <v>742</v>
      </c>
      <c r="E13" s="466">
        <v>773</v>
      </c>
      <c r="F13" s="466">
        <v>773</v>
      </c>
      <c r="G13" s="466">
        <v>773</v>
      </c>
      <c r="H13" s="466">
        <v>775</v>
      </c>
      <c r="I13" s="466">
        <v>770</v>
      </c>
      <c r="J13" s="467" t="s">
        <v>222</v>
      </c>
      <c r="N13" s="870"/>
      <c r="O13" s="871"/>
    </row>
    <row r="14" spans="1:15" ht="15.75">
      <c r="A14" s="387" t="s">
        <v>53</v>
      </c>
      <c r="B14" s="466">
        <v>430.80424145643639</v>
      </c>
      <c r="C14" s="466">
        <v>916</v>
      </c>
      <c r="D14" s="466">
        <v>920</v>
      </c>
      <c r="E14" s="466">
        <v>921</v>
      </c>
      <c r="F14" s="466">
        <v>921</v>
      </c>
      <c r="G14" s="466">
        <v>921</v>
      </c>
      <c r="H14" s="466">
        <v>921</v>
      </c>
      <c r="I14" s="466">
        <v>925</v>
      </c>
      <c r="J14" s="467" t="s">
        <v>54</v>
      </c>
    </row>
    <row r="15" spans="1:15" ht="15.75">
      <c r="A15" s="387" t="s">
        <v>55</v>
      </c>
      <c r="B15" s="466">
        <v>284.76890536950879</v>
      </c>
      <c r="C15" s="466">
        <v>4</v>
      </c>
      <c r="D15" s="466">
        <v>4</v>
      </c>
      <c r="E15" s="466">
        <v>4</v>
      </c>
      <c r="F15" s="466">
        <v>4</v>
      </c>
      <c r="G15" s="466">
        <v>4</v>
      </c>
      <c r="H15" s="466">
        <v>4</v>
      </c>
      <c r="I15" s="466">
        <v>5</v>
      </c>
      <c r="J15" s="467" t="s">
        <v>56</v>
      </c>
    </row>
    <row r="16" spans="1:15" ht="15.75">
      <c r="A16" s="387" t="s">
        <v>57</v>
      </c>
      <c r="B16" s="466">
        <v>90.773043438205349</v>
      </c>
      <c r="C16" s="466">
        <v>2</v>
      </c>
      <c r="D16" s="466">
        <v>2</v>
      </c>
      <c r="E16" s="466">
        <v>5</v>
      </c>
      <c r="F16" s="466">
        <v>5</v>
      </c>
      <c r="G16" s="466">
        <v>5</v>
      </c>
      <c r="H16" s="466">
        <v>3</v>
      </c>
      <c r="I16" s="466">
        <v>5</v>
      </c>
      <c r="J16" s="467" t="s">
        <v>58</v>
      </c>
    </row>
    <row r="17" spans="1:10" ht="15.75">
      <c r="A17" s="387" t="s">
        <v>59</v>
      </c>
      <c r="B17" s="466">
        <v>377.06533900430441</v>
      </c>
      <c r="C17" s="466">
        <v>0</v>
      </c>
      <c r="D17" s="466">
        <v>0</v>
      </c>
      <c r="E17" s="466">
        <v>0</v>
      </c>
      <c r="F17" s="466">
        <v>0</v>
      </c>
      <c r="G17" s="466">
        <v>0</v>
      </c>
      <c r="H17" s="466">
        <v>0</v>
      </c>
      <c r="I17" s="466">
        <v>0</v>
      </c>
      <c r="J17" s="467" t="s">
        <v>60</v>
      </c>
    </row>
    <row r="18" spans="1:10" ht="15.75">
      <c r="A18" s="387" t="s">
        <v>61</v>
      </c>
      <c r="B18" s="466">
        <v>330.10289639217729</v>
      </c>
      <c r="C18" s="466">
        <v>96</v>
      </c>
      <c r="D18" s="466">
        <v>185</v>
      </c>
      <c r="E18" s="466">
        <v>188</v>
      </c>
      <c r="F18" s="466">
        <v>188</v>
      </c>
      <c r="G18" s="466">
        <v>188</v>
      </c>
      <c r="H18" s="466">
        <v>187</v>
      </c>
      <c r="I18" s="466">
        <v>187</v>
      </c>
      <c r="J18" s="467" t="s">
        <v>62</v>
      </c>
    </row>
    <row r="19" spans="1:10" ht="15.75">
      <c r="A19" s="387" t="s">
        <v>63</v>
      </c>
      <c r="B19" s="466">
        <v>399.6010077745533</v>
      </c>
      <c r="C19" s="466">
        <v>1</v>
      </c>
      <c r="D19" s="466">
        <v>2</v>
      </c>
      <c r="E19" s="466">
        <v>2</v>
      </c>
      <c r="F19" s="466">
        <v>2</v>
      </c>
      <c r="G19" s="466">
        <v>2</v>
      </c>
      <c r="H19" s="466">
        <v>2</v>
      </c>
      <c r="I19" s="466">
        <v>2</v>
      </c>
      <c r="J19" s="467" t="s">
        <v>64</v>
      </c>
    </row>
    <row r="20" spans="1:10" ht="15.75">
      <c r="A20" s="387" t="s">
        <v>65</v>
      </c>
      <c r="B20" s="466">
        <v>689.78057487677927</v>
      </c>
      <c r="C20" s="466">
        <v>461</v>
      </c>
      <c r="D20" s="466">
        <v>356</v>
      </c>
      <c r="E20" s="466">
        <v>356</v>
      </c>
      <c r="F20" s="466">
        <v>356</v>
      </c>
      <c r="G20" s="466">
        <v>356</v>
      </c>
      <c r="H20" s="466">
        <v>357</v>
      </c>
      <c r="I20" s="466">
        <v>384</v>
      </c>
      <c r="J20" s="467" t="s">
        <v>66</v>
      </c>
    </row>
    <row r="21" spans="1:10" ht="15.75">
      <c r="A21" s="387" t="s">
        <v>50</v>
      </c>
      <c r="B21" s="466">
        <v>823.83891217672146</v>
      </c>
      <c r="C21" s="466">
        <v>1717</v>
      </c>
      <c r="D21" s="466">
        <v>1711</v>
      </c>
      <c r="E21" s="466">
        <v>1711</v>
      </c>
      <c r="F21" s="466">
        <v>1711</v>
      </c>
      <c r="G21" s="466">
        <v>1711</v>
      </c>
      <c r="H21" s="466">
        <v>1712</v>
      </c>
      <c r="I21" s="466">
        <v>1712</v>
      </c>
      <c r="J21" s="467" t="s">
        <v>68</v>
      </c>
    </row>
    <row r="22" spans="1:10" ht="15.75">
      <c r="A22" s="387" t="s">
        <v>69</v>
      </c>
      <c r="B22" s="466">
        <v>762.01028247373074</v>
      </c>
      <c r="C22" s="466">
        <v>562</v>
      </c>
      <c r="D22" s="466">
        <v>625</v>
      </c>
      <c r="E22" s="466">
        <v>650</v>
      </c>
      <c r="F22" s="466">
        <v>650</v>
      </c>
      <c r="G22" s="466">
        <v>651</v>
      </c>
      <c r="H22" s="466">
        <v>652</v>
      </c>
      <c r="I22" s="466">
        <v>643</v>
      </c>
      <c r="J22" s="467" t="s">
        <v>70</v>
      </c>
    </row>
    <row r="23" spans="1:10" ht="15.75">
      <c r="A23" s="387" t="s">
        <v>71</v>
      </c>
      <c r="B23" s="466">
        <v>796.62801142383341</v>
      </c>
      <c r="C23" s="466">
        <v>359</v>
      </c>
      <c r="D23" s="466">
        <v>358</v>
      </c>
      <c r="E23" s="466">
        <v>433</v>
      </c>
      <c r="F23" s="466">
        <v>433</v>
      </c>
      <c r="G23" s="466">
        <v>433</v>
      </c>
      <c r="H23" s="466">
        <v>434</v>
      </c>
      <c r="I23" s="466">
        <v>433</v>
      </c>
      <c r="J23" s="468" t="s">
        <v>72</v>
      </c>
    </row>
    <row r="24" spans="1:10" ht="15.75">
      <c r="A24" s="387" t="s">
        <v>73</v>
      </c>
      <c r="B24" s="466">
        <v>67.449414221444258</v>
      </c>
      <c r="C24" s="466">
        <v>165</v>
      </c>
      <c r="D24" s="466">
        <v>274</v>
      </c>
      <c r="E24" s="466">
        <v>284</v>
      </c>
      <c r="F24" s="466">
        <v>284</v>
      </c>
      <c r="G24" s="466">
        <v>284</v>
      </c>
      <c r="H24" s="466">
        <v>284</v>
      </c>
      <c r="I24" s="466">
        <v>274</v>
      </c>
      <c r="J24" s="468" t="s">
        <v>74</v>
      </c>
    </row>
    <row r="25" spans="1:10" ht="15.75">
      <c r="A25" s="393" t="s">
        <v>42</v>
      </c>
      <c r="B25" s="469">
        <v>290.44222058439664</v>
      </c>
      <c r="C25" s="469">
        <v>155</v>
      </c>
      <c r="D25" s="469">
        <v>139</v>
      </c>
      <c r="E25" s="469">
        <v>62</v>
      </c>
      <c r="F25" s="469">
        <v>62</v>
      </c>
      <c r="G25" s="469">
        <v>62</v>
      </c>
      <c r="H25" s="469">
        <v>164</v>
      </c>
      <c r="I25" s="469">
        <v>165</v>
      </c>
      <c r="J25" s="470" t="s">
        <v>75</v>
      </c>
    </row>
    <row r="26" spans="1:10" ht="18">
      <c r="A26" s="397" t="s">
        <v>325</v>
      </c>
      <c r="B26" s="397"/>
      <c r="J26" s="471" t="s">
        <v>213</v>
      </c>
    </row>
  </sheetData>
  <mergeCells count="6">
    <mergeCell ref="N9:O13"/>
    <mergeCell ref="A1:J1"/>
    <mergeCell ref="A2:J2"/>
    <mergeCell ref="A3:A4"/>
    <mergeCell ref="J3:J4"/>
    <mergeCell ref="B3:H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19"/>
  <sheetViews>
    <sheetView topLeftCell="A16" zoomScale="98" zoomScaleNormal="98" workbookViewId="0">
      <selection activeCell="L20" sqref="L20"/>
    </sheetView>
  </sheetViews>
  <sheetFormatPr defaultColWidth="31.85546875" defaultRowHeight="15"/>
  <cols>
    <col min="1" max="1" width="37.28515625" style="476" customWidth="1"/>
    <col min="2" max="11" width="10.5703125" style="476" customWidth="1"/>
    <col min="12" max="12" width="53.28515625" style="381" customWidth="1"/>
    <col min="13" max="16384" width="31.85546875" style="381"/>
  </cols>
  <sheetData>
    <row r="1" spans="1:12" ht="18.75">
      <c r="A1" s="873" t="s">
        <v>467</v>
      </c>
      <c r="B1" s="873"/>
      <c r="C1" s="873"/>
      <c r="D1" s="873"/>
      <c r="E1" s="873"/>
      <c r="F1" s="873"/>
      <c r="G1" s="873"/>
      <c r="H1" s="873"/>
      <c r="I1" s="873"/>
      <c r="J1" s="873"/>
      <c r="K1" s="873"/>
      <c r="L1" s="873"/>
    </row>
    <row r="2" spans="1:12">
      <c r="A2" s="831" t="s">
        <v>468</v>
      </c>
      <c r="B2" s="831"/>
      <c r="C2" s="831"/>
      <c r="D2" s="831"/>
      <c r="E2" s="831"/>
      <c r="F2" s="831"/>
      <c r="G2" s="831"/>
      <c r="H2" s="831"/>
      <c r="I2" s="831"/>
      <c r="J2" s="831"/>
      <c r="K2" s="831"/>
      <c r="L2" s="831"/>
    </row>
    <row r="3" spans="1:12" ht="18.75">
      <c r="A3" s="832" t="s">
        <v>326</v>
      </c>
      <c r="B3" s="874" t="s">
        <v>327</v>
      </c>
      <c r="C3" s="874"/>
      <c r="D3" s="874"/>
      <c r="E3" s="874"/>
      <c r="F3" s="874"/>
      <c r="G3" s="874"/>
      <c r="H3" s="874"/>
      <c r="I3" s="874"/>
      <c r="J3" s="874"/>
      <c r="K3" s="699"/>
      <c r="L3" s="835" t="s">
        <v>328</v>
      </c>
    </row>
    <row r="4" spans="1:12">
      <c r="A4" s="833"/>
      <c r="B4" s="625">
        <v>2011</v>
      </c>
      <c r="C4" s="625">
        <v>2012</v>
      </c>
      <c r="D4" s="625">
        <v>2013</v>
      </c>
      <c r="E4" s="625">
        <v>2014</v>
      </c>
      <c r="F4" s="625">
        <v>2015</v>
      </c>
      <c r="G4" s="625">
        <v>2016</v>
      </c>
      <c r="H4" s="625">
        <v>2017</v>
      </c>
      <c r="I4" s="473">
        <v>2018</v>
      </c>
      <c r="J4" s="473">
        <v>2019</v>
      </c>
      <c r="K4" s="473">
        <v>2020</v>
      </c>
      <c r="L4" s="836"/>
    </row>
    <row r="5" spans="1:12" ht="21">
      <c r="A5" s="622" t="s">
        <v>417</v>
      </c>
      <c r="B5" s="472"/>
      <c r="C5" s="472"/>
      <c r="D5" s="472"/>
      <c r="E5" s="472"/>
      <c r="F5" s="472"/>
      <c r="G5" s="472"/>
      <c r="H5" s="472"/>
      <c r="I5" s="472"/>
      <c r="J5" s="472"/>
      <c r="K5" s="472"/>
      <c r="L5" s="386" t="s">
        <v>418</v>
      </c>
    </row>
    <row r="6" spans="1:12" ht="25.5">
      <c r="A6" s="633" t="s">
        <v>329</v>
      </c>
      <c r="B6" s="474">
        <v>54</v>
      </c>
      <c r="C6" s="474">
        <v>64</v>
      </c>
      <c r="D6" s="474">
        <v>77</v>
      </c>
      <c r="E6" s="474">
        <v>76</v>
      </c>
      <c r="F6" s="474">
        <v>80</v>
      </c>
      <c r="G6" s="474">
        <v>82</v>
      </c>
      <c r="H6" s="474">
        <v>72</v>
      </c>
      <c r="I6" s="474">
        <v>79</v>
      </c>
      <c r="J6" s="474">
        <v>71</v>
      </c>
      <c r="K6" s="474">
        <v>69</v>
      </c>
      <c r="L6" s="626" t="s">
        <v>330</v>
      </c>
    </row>
    <row r="7" spans="1:12" ht="18.75">
      <c r="A7" s="633" t="s">
        <v>331</v>
      </c>
      <c r="B7" s="474">
        <v>6</v>
      </c>
      <c r="C7" s="474">
        <v>6</v>
      </c>
      <c r="D7" s="474">
        <v>6</v>
      </c>
      <c r="E7" s="474">
        <v>2</v>
      </c>
      <c r="F7" s="474">
        <v>1</v>
      </c>
      <c r="G7" s="474">
        <v>1</v>
      </c>
      <c r="H7" s="474">
        <v>1</v>
      </c>
      <c r="I7" s="474">
        <v>1</v>
      </c>
      <c r="J7" s="474">
        <v>1</v>
      </c>
      <c r="K7" s="474">
        <v>1</v>
      </c>
      <c r="L7" s="626" t="s">
        <v>332</v>
      </c>
    </row>
    <row r="8" spans="1:12" ht="18.75">
      <c r="A8" s="633" t="s">
        <v>333</v>
      </c>
      <c r="B8" s="474">
        <v>3</v>
      </c>
      <c r="C8" s="474">
        <v>3</v>
      </c>
      <c r="D8" s="474">
        <v>3</v>
      </c>
      <c r="E8" s="474">
        <v>3</v>
      </c>
      <c r="F8" s="474">
        <v>3</v>
      </c>
      <c r="G8" s="474">
        <v>3</v>
      </c>
      <c r="H8" s="474">
        <v>1</v>
      </c>
      <c r="I8" s="474">
        <v>1</v>
      </c>
      <c r="J8" s="474">
        <v>1</v>
      </c>
      <c r="K8" s="474">
        <v>1</v>
      </c>
      <c r="L8" s="626" t="s">
        <v>334</v>
      </c>
    </row>
    <row r="9" spans="1:12" ht="25.5">
      <c r="A9" s="633" t="s">
        <v>335</v>
      </c>
      <c r="B9" s="474">
        <v>62</v>
      </c>
      <c r="C9" s="474">
        <v>303</v>
      </c>
      <c r="D9" s="474">
        <v>317</v>
      </c>
      <c r="E9" s="474">
        <v>51</v>
      </c>
      <c r="F9" s="474">
        <v>48</v>
      </c>
      <c r="G9" s="474">
        <v>448</v>
      </c>
      <c r="H9" s="474">
        <v>443</v>
      </c>
      <c r="I9" s="474">
        <v>447</v>
      </c>
      <c r="J9" s="474">
        <v>444</v>
      </c>
      <c r="K9" s="474">
        <v>503</v>
      </c>
      <c r="L9" s="626" t="s">
        <v>336</v>
      </c>
    </row>
    <row r="10" spans="1:12" ht="25.5">
      <c r="A10" s="633" t="s">
        <v>337</v>
      </c>
      <c r="B10" s="474">
        <v>222</v>
      </c>
      <c r="C10" s="474">
        <v>229</v>
      </c>
      <c r="D10" s="474">
        <v>255</v>
      </c>
      <c r="E10" s="474">
        <v>346</v>
      </c>
      <c r="F10" s="474">
        <v>364</v>
      </c>
      <c r="G10" s="474">
        <v>310</v>
      </c>
      <c r="H10" s="474">
        <v>304</v>
      </c>
      <c r="I10" s="474">
        <v>293</v>
      </c>
      <c r="J10" s="474">
        <v>329</v>
      </c>
      <c r="K10" s="474">
        <v>332</v>
      </c>
      <c r="L10" s="626" t="s">
        <v>338</v>
      </c>
    </row>
    <row r="11" spans="1:12" s="448" customFormat="1" ht="18.75">
      <c r="A11" s="634" t="s">
        <v>339</v>
      </c>
      <c r="B11" s="632">
        <v>183</v>
      </c>
      <c r="C11" s="632">
        <v>183</v>
      </c>
      <c r="D11" s="632">
        <v>183</v>
      </c>
      <c r="E11" s="632">
        <v>138</v>
      </c>
      <c r="F11" s="632">
        <v>130</v>
      </c>
      <c r="G11" s="632">
        <v>133</v>
      </c>
      <c r="H11" s="632">
        <v>149</v>
      </c>
      <c r="I11" s="632">
        <v>163</v>
      </c>
      <c r="J11" s="632">
        <v>145</v>
      </c>
      <c r="K11" s="632">
        <v>89</v>
      </c>
      <c r="L11" s="635" t="s">
        <v>340</v>
      </c>
    </row>
    <row r="12" spans="1:12" s="479" customFormat="1" ht="18.75">
      <c r="A12" s="24" t="s">
        <v>76</v>
      </c>
      <c r="B12" s="477"/>
      <c r="C12" s="477"/>
      <c r="D12" s="477"/>
      <c r="E12" s="477"/>
      <c r="F12" s="477"/>
      <c r="G12" s="477"/>
      <c r="H12" s="477"/>
      <c r="I12" s="477"/>
      <c r="J12" s="477"/>
      <c r="K12" s="477"/>
      <c r="L12" s="478" t="s">
        <v>341</v>
      </c>
    </row>
    <row r="19" spans="12:12" ht="18.75">
      <c r="L19" s="475"/>
    </row>
  </sheetData>
  <mergeCells count="5">
    <mergeCell ref="A1:L1"/>
    <mergeCell ref="A2:L2"/>
    <mergeCell ref="A3:A4"/>
    <mergeCell ref="L3:L4"/>
    <mergeCell ref="B3:J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10"/>
  <sheetViews>
    <sheetView topLeftCell="A19" workbookViewId="0">
      <selection activeCell="D28" sqref="D28"/>
    </sheetView>
  </sheetViews>
  <sheetFormatPr defaultColWidth="9.140625" defaultRowHeight="12.75"/>
  <cols>
    <col min="1" max="1" width="15.5703125" style="476" customWidth="1"/>
    <col min="2" max="2" width="16.28515625" style="476" customWidth="1"/>
    <col min="3" max="3" width="22.5703125" style="476" customWidth="1"/>
    <col min="4" max="4" width="21.42578125" style="476" customWidth="1"/>
    <col min="5" max="5" width="21.5703125" style="476" customWidth="1"/>
    <col min="6" max="16384" width="9.140625" style="476"/>
  </cols>
  <sheetData>
    <row r="1" spans="1:8" ht="18.75">
      <c r="A1" s="873" t="s">
        <v>470</v>
      </c>
      <c r="B1" s="873"/>
      <c r="C1" s="873"/>
      <c r="D1" s="873"/>
      <c r="E1" s="873"/>
    </row>
    <row r="2" spans="1:8" ht="13.5" customHeight="1">
      <c r="A2" s="875" t="s">
        <v>469</v>
      </c>
      <c r="B2" s="875"/>
      <c r="C2" s="875"/>
      <c r="D2" s="875"/>
      <c r="E2" s="875"/>
    </row>
    <row r="3" spans="1:8">
      <c r="A3" s="477"/>
      <c r="B3" s="477"/>
      <c r="C3" s="477"/>
      <c r="D3" s="477"/>
    </row>
    <row r="4" spans="1:8" s="482" customFormat="1" ht="25.5">
      <c r="A4" s="876" t="s">
        <v>342</v>
      </c>
      <c r="B4" s="480" t="s">
        <v>343</v>
      </c>
      <c r="C4" s="480" t="s">
        <v>344</v>
      </c>
      <c r="D4" s="481" t="s">
        <v>345</v>
      </c>
      <c r="E4" s="878" t="s">
        <v>215</v>
      </c>
    </row>
    <row r="5" spans="1:8" s="482" customFormat="1" ht="17.25">
      <c r="A5" s="877"/>
      <c r="B5" s="483" t="s">
        <v>346</v>
      </c>
      <c r="C5" s="483" t="s">
        <v>347</v>
      </c>
      <c r="D5" s="483" t="s">
        <v>348</v>
      </c>
      <c r="E5" s="879"/>
    </row>
    <row r="6" spans="1:8" s="482" customFormat="1" ht="18.75">
      <c r="A6" s="484" t="s">
        <v>90</v>
      </c>
      <c r="B6" s="485">
        <f>SUM(B7:B7)</f>
        <v>1</v>
      </c>
      <c r="C6" s="486">
        <f>SUM(C7:C7)</f>
        <v>16.600000000000001</v>
      </c>
      <c r="D6" s="486">
        <f>SUM(D7:D7)</f>
        <v>180000</v>
      </c>
      <c r="E6" s="487" t="s">
        <v>158</v>
      </c>
    </row>
    <row r="7" spans="1:8" ht="17.25">
      <c r="A7" s="488" t="s">
        <v>221</v>
      </c>
      <c r="B7" s="489">
        <v>1</v>
      </c>
      <c r="C7" s="490">
        <v>16.600000000000001</v>
      </c>
      <c r="D7" s="490">
        <v>180000</v>
      </c>
      <c r="E7" s="491" t="s">
        <v>480</v>
      </c>
    </row>
    <row r="8" spans="1:8" s="493" customFormat="1" ht="16.5">
      <c r="A8" s="492" t="s">
        <v>397</v>
      </c>
      <c r="E8" s="494" t="s">
        <v>341</v>
      </c>
      <c r="H8" s="476"/>
    </row>
    <row r="9" spans="1:8" s="493" customFormat="1" ht="17.25">
      <c r="A9" s="492"/>
      <c r="E9" s="732" t="s">
        <v>419</v>
      </c>
    </row>
    <row r="10" spans="1:8" s="493" customFormat="1" ht="17.25">
      <c r="A10" s="492"/>
      <c r="E10" s="636"/>
    </row>
  </sheetData>
  <mergeCells count="4">
    <mergeCell ref="A1:E1"/>
    <mergeCell ref="A2:E2"/>
    <mergeCell ref="A4:A5"/>
    <mergeCell ref="E4:E5"/>
  </mergeCells>
  <pageMargins left="0.7" right="0.7" top="0.75" bottom="0.75" header="0.3" footer="0.3"/>
  <pageSetup paperSize="9" orientation="portrait"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Y33"/>
  <sheetViews>
    <sheetView topLeftCell="A23" workbookViewId="0">
      <selection activeCell="Q44" sqref="Q44"/>
    </sheetView>
  </sheetViews>
  <sheetFormatPr defaultColWidth="13.28515625" defaultRowHeight="12.75"/>
  <cols>
    <col min="1" max="1" width="10.5703125" style="499" customWidth="1"/>
    <col min="2" max="6" width="13.28515625" style="499" hidden="1" customWidth="1"/>
    <col min="7" max="8" width="13.28515625" style="499" customWidth="1"/>
    <col min="9" max="9" width="14.5703125" style="499" customWidth="1"/>
    <col min="10" max="13" width="13.28515625" style="499" customWidth="1"/>
    <col min="14" max="14" width="19.28515625" style="499" customWidth="1"/>
    <col min="15" max="15" width="13.28515625" style="499"/>
    <col min="16" max="16" width="6.5703125" style="499" customWidth="1"/>
    <col min="17" max="16384" width="13.28515625" style="499"/>
  </cols>
  <sheetData>
    <row r="1" spans="1:25" s="497" customFormat="1" ht="21">
      <c r="A1" s="884" t="s">
        <v>420</v>
      </c>
      <c r="B1" s="884"/>
      <c r="C1" s="884"/>
      <c r="D1" s="884"/>
      <c r="E1" s="884"/>
      <c r="F1" s="884"/>
      <c r="G1" s="884"/>
      <c r="H1" s="884"/>
      <c r="I1" s="884"/>
      <c r="J1" s="884"/>
      <c r="K1" s="884"/>
      <c r="L1" s="884"/>
      <c r="M1" s="884"/>
      <c r="N1" s="884"/>
      <c r="O1" s="884"/>
      <c r="P1" s="495"/>
      <c r="Q1" s="496"/>
      <c r="R1" s="496"/>
      <c r="S1" s="496"/>
    </row>
    <row r="2" spans="1:25" ht="15.75">
      <c r="A2" s="885" t="s">
        <v>421</v>
      </c>
      <c r="B2" s="885"/>
      <c r="C2" s="885"/>
      <c r="D2" s="885"/>
      <c r="E2" s="885"/>
      <c r="F2" s="885"/>
      <c r="G2" s="885"/>
      <c r="H2" s="885"/>
      <c r="I2" s="885"/>
      <c r="J2" s="885"/>
      <c r="K2" s="885"/>
      <c r="L2" s="885"/>
      <c r="M2" s="885"/>
      <c r="N2" s="885"/>
      <c r="O2" s="885"/>
      <c r="P2" s="498"/>
      <c r="Q2" s="496"/>
      <c r="R2" s="496"/>
      <c r="S2" s="496"/>
    </row>
    <row r="3" spans="1:25" ht="21">
      <c r="A3" s="886" t="s">
        <v>350</v>
      </c>
      <c r="B3" s="886"/>
      <c r="C3" s="886"/>
      <c r="D3" s="886"/>
      <c r="E3" s="886"/>
      <c r="F3" s="886"/>
      <c r="G3" s="886"/>
      <c r="H3" s="886"/>
      <c r="I3" s="886"/>
      <c r="J3" s="886"/>
      <c r="K3" s="886"/>
      <c r="L3" s="886"/>
      <c r="M3" s="886"/>
      <c r="N3" s="886"/>
      <c r="O3" s="886"/>
      <c r="P3" s="500"/>
      <c r="Q3" s="496"/>
      <c r="R3" s="496"/>
      <c r="S3" s="496"/>
    </row>
    <row r="4" spans="1:25" s="497" customFormat="1" ht="15" hidden="1">
      <c r="A4" s="501"/>
      <c r="B4" s="501"/>
      <c r="C4" s="502"/>
      <c r="D4" s="502"/>
      <c r="E4" s="502"/>
      <c r="F4" s="502"/>
      <c r="G4" s="502"/>
      <c r="H4" s="502"/>
      <c r="I4" s="502"/>
      <c r="J4" s="502"/>
      <c r="K4" s="502"/>
      <c r="L4" s="502"/>
      <c r="M4" s="502"/>
      <c r="N4" s="503"/>
      <c r="O4" s="501"/>
      <c r="P4" s="501"/>
      <c r="Q4" s="496"/>
      <c r="R4" s="496"/>
      <c r="S4" s="496"/>
    </row>
    <row r="5" spans="1:25" ht="37.5">
      <c r="A5" s="880" t="s">
        <v>101</v>
      </c>
      <c r="B5" s="882" t="s">
        <v>351</v>
      </c>
      <c r="C5" s="882"/>
      <c r="D5" s="882"/>
      <c r="E5" s="882"/>
      <c r="F5" s="883" t="s">
        <v>352</v>
      </c>
      <c r="G5" s="883"/>
      <c r="H5" s="883"/>
      <c r="I5" s="883"/>
      <c r="J5" s="883"/>
      <c r="K5" s="883"/>
      <c r="L5" s="883"/>
      <c r="M5" s="630"/>
      <c r="N5" s="504" t="s">
        <v>353</v>
      </c>
      <c r="O5" s="887" t="s">
        <v>156</v>
      </c>
      <c r="P5" s="505"/>
      <c r="Q5" s="506"/>
      <c r="R5" s="507"/>
      <c r="S5" s="507"/>
      <c r="T5" s="508"/>
      <c r="U5" s="508"/>
      <c r="V5" s="508"/>
      <c r="W5" s="508"/>
      <c r="X5" s="508"/>
      <c r="Y5" s="508"/>
    </row>
    <row r="6" spans="1:25" ht="25.5">
      <c r="A6" s="881"/>
      <c r="B6" s="509">
        <v>2008</v>
      </c>
      <c r="C6" s="509">
        <v>2009</v>
      </c>
      <c r="D6" s="509">
        <v>2010</v>
      </c>
      <c r="E6" s="510">
        <v>2011</v>
      </c>
      <c r="F6" s="510">
        <v>2012</v>
      </c>
      <c r="G6" s="510">
        <v>2013</v>
      </c>
      <c r="H6" s="510">
        <v>2014</v>
      </c>
      <c r="I6" s="510">
        <v>2015</v>
      </c>
      <c r="J6" s="510">
        <v>2016</v>
      </c>
      <c r="K6" s="510">
        <v>2017</v>
      </c>
      <c r="L6" s="510">
        <v>2018</v>
      </c>
      <c r="M6" s="510">
        <v>2019</v>
      </c>
      <c r="N6" s="511" t="s">
        <v>354</v>
      </c>
      <c r="O6" s="888"/>
      <c r="P6" s="503"/>
      <c r="Q6" s="496"/>
      <c r="R6" s="512"/>
      <c r="S6" s="512"/>
      <c r="T6" s="508"/>
      <c r="U6" s="508"/>
      <c r="V6" s="508"/>
      <c r="W6" s="508"/>
      <c r="X6" s="508"/>
      <c r="Y6" s="508"/>
    </row>
    <row r="7" spans="1:25" ht="21">
      <c r="A7" s="513" t="s">
        <v>90</v>
      </c>
      <c r="B7" s="514">
        <f t="shared" ref="B7:J7" si="0">SUM(B8:B19)</f>
        <v>143654.00287666667</v>
      </c>
      <c r="C7" s="515">
        <f t="shared" si="0"/>
        <v>146369.77578333335</v>
      </c>
      <c r="D7" s="515">
        <f t="shared" si="0"/>
        <v>235977</v>
      </c>
      <c r="E7" s="515">
        <f t="shared" si="0"/>
        <v>169120562</v>
      </c>
      <c r="F7" s="515">
        <f t="shared" si="0"/>
        <v>88859.01</v>
      </c>
      <c r="G7" s="515">
        <f t="shared" si="0"/>
        <v>34592.806499999999</v>
      </c>
      <c r="H7" s="515">
        <f>SUM(H8:H19)</f>
        <v>33026.041000000005</v>
      </c>
      <c r="I7" s="515">
        <f t="shared" si="0"/>
        <v>71262.36599999998</v>
      </c>
      <c r="J7" s="515">
        <f t="shared" si="0"/>
        <v>65027.706999999995</v>
      </c>
      <c r="K7" s="515">
        <f>SUM(K8:K19)</f>
        <v>64080.017499999987</v>
      </c>
      <c r="L7" s="515">
        <f>SUM(L8:L19)</f>
        <v>43459.481000000007</v>
      </c>
      <c r="M7" s="515">
        <f>SUM(M8:M19)</f>
        <v>30124.093000000001</v>
      </c>
      <c r="N7" s="516">
        <f>(M7-L7)/L7*100</f>
        <v>-30.684646234040404</v>
      </c>
      <c r="O7" s="517" t="s">
        <v>158</v>
      </c>
      <c r="P7" s="517"/>
      <c r="R7" s="512"/>
      <c r="S7" s="518"/>
      <c r="T7" s="518"/>
      <c r="U7" s="508"/>
      <c r="V7" s="518"/>
      <c r="W7" s="518"/>
      <c r="X7" s="508"/>
      <c r="Y7" s="508"/>
    </row>
    <row r="8" spans="1:25" ht="25.5" customHeight="1">
      <c r="A8" s="619" t="s">
        <v>107</v>
      </c>
      <c r="B8" s="519">
        <v>13000.027106666665</v>
      </c>
      <c r="C8" s="520">
        <v>14648.431366666669</v>
      </c>
      <c r="D8" s="520">
        <v>34189</v>
      </c>
      <c r="E8" s="520">
        <v>5372934</v>
      </c>
      <c r="F8" s="520">
        <v>13736.8205</v>
      </c>
      <c r="G8" s="520">
        <v>5494.0505000000003</v>
      </c>
      <c r="H8" s="520">
        <v>3075.7</v>
      </c>
      <c r="I8" s="520">
        <v>4503.7169999999996</v>
      </c>
      <c r="J8" s="520">
        <v>6955.9110000000001</v>
      </c>
      <c r="K8" s="520">
        <v>8451.4959999999992</v>
      </c>
      <c r="L8" s="520">
        <v>3998.6889999999999</v>
      </c>
      <c r="M8" s="520">
        <v>2618.08</v>
      </c>
      <c r="N8" s="521">
        <f t="shared" ref="N8:N19" si="1">(M8-L8)/L8*100</f>
        <v>-34.526541073836945</v>
      </c>
      <c r="O8" s="618" t="s">
        <v>159</v>
      </c>
      <c r="P8" s="523"/>
      <c r="R8" s="524"/>
      <c r="S8" s="525"/>
      <c r="T8" s="526"/>
      <c r="U8" s="526"/>
      <c r="V8" s="520"/>
      <c r="W8" s="520"/>
      <c r="X8" s="520"/>
      <c r="Y8" s="508"/>
    </row>
    <row r="9" spans="1:25" ht="25.5" customHeight="1">
      <c r="A9" s="619" t="s">
        <v>108</v>
      </c>
      <c r="B9" s="519">
        <v>11173.714066666671</v>
      </c>
      <c r="C9" s="520">
        <v>14087.22733333334</v>
      </c>
      <c r="D9" s="520">
        <v>23758</v>
      </c>
      <c r="E9" s="520">
        <v>250037</v>
      </c>
      <c r="F9" s="520">
        <v>13129.5085</v>
      </c>
      <c r="G9" s="520">
        <v>6652.4795000000004</v>
      </c>
      <c r="H9" s="520">
        <v>2827.83</v>
      </c>
      <c r="I9" s="520">
        <v>5279.8779999999997</v>
      </c>
      <c r="J9" s="520">
        <v>8760.8490000000002</v>
      </c>
      <c r="K9" s="520">
        <v>8453.8235000000004</v>
      </c>
      <c r="L9" s="520">
        <v>5869.7790000000005</v>
      </c>
      <c r="M9" s="520">
        <v>2885.299</v>
      </c>
      <c r="N9" s="521">
        <f t="shared" si="1"/>
        <v>-50.844844414074196</v>
      </c>
      <c r="O9" s="618" t="s">
        <v>161</v>
      </c>
      <c r="P9" s="522"/>
      <c r="R9" s="527"/>
      <c r="S9" s="525"/>
      <c r="T9" s="526"/>
      <c r="U9" s="526"/>
      <c r="V9" s="520"/>
      <c r="W9" s="520"/>
      <c r="X9" s="520"/>
      <c r="Y9" s="508"/>
    </row>
    <row r="10" spans="1:25" ht="25.5" customHeight="1">
      <c r="A10" s="619" t="s">
        <v>109</v>
      </c>
      <c r="B10" s="519">
        <v>13533.602203333332</v>
      </c>
      <c r="C10" s="520">
        <v>14675.16883333333</v>
      </c>
      <c r="D10" s="520">
        <v>23913</v>
      </c>
      <c r="E10" s="528">
        <v>0</v>
      </c>
      <c r="F10" s="520">
        <v>10113.8855</v>
      </c>
      <c r="G10" s="520">
        <v>2169.9749999999999</v>
      </c>
      <c r="H10" s="520">
        <v>4973.7240000000002</v>
      </c>
      <c r="I10" s="520">
        <v>9522.0540000000001</v>
      </c>
      <c r="J10" s="520">
        <v>4695.1750000000002</v>
      </c>
      <c r="K10" s="520">
        <v>7567.4920000000002</v>
      </c>
      <c r="L10" s="520">
        <v>5047.7060000000001</v>
      </c>
      <c r="M10" s="520">
        <v>2069.3150000000001</v>
      </c>
      <c r="N10" s="521">
        <f t="shared" si="1"/>
        <v>-59.004842992044303</v>
      </c>
      <c r="O10" s="618" t="s">
        <v>163</v>
      </c>
      <c r="P10" s="529"/>
      <c r="R10" s="524"/>
      <c r="S10" s="525"/>
      <c r="T10" s="526"/>
      <c r="U10" s="526"/>
      <c r="V10" s="520"/>
      <c r="W10" s="520"/>
      <c r="X10" s="520"/>
      <c r="Y10" s="508"/>
    </row>
    <row r="11" spans="1:25" ht="25.5" customHeight="1">
      <c r="A11" s="619" t="s">
        <v>110</v>
      </c>
      <c r="B11" s="519">
        <v>10122.422666666665</v>
      </c>
      <c r="C11" s="520">
        <v>12347.459500000001</v>
      </c>
      <c r="D11" s="520">
        <v>22781</v>
      </c>
      <c r="E11" s="520">
        <v>14202104</v>
      </c>
      <c r="F11" s="520">
        <v>8310.6272499999995</v>
      </c>
      <c r="G11" s="520">
        <v>4903.4449999999997</v>
      </c>
      <c r="H11" s="520">
        <v>3393.68</v>
      </c>
      <c r="I11" s="520">
        <v>7013.7860000000001</v>
      </c>
      <c r="J11" s="520">
        <v>7632.6350000000002</v>
      </c>
      <c r="K11" s="520">
        <v>7684.7669999999998</v>
      </c>
      <c r="L11" s="520">
        <v>6195.2209999999995</v>
      </c>
      <c r="M11" s="520">
        <v>235.05</v>
      </c>
      <c r="N11" s="521">
        <f t="shared" si="1"/>
        <v>-96.205946486816202</v>
      </c>
      <c r="O11" s="618" t="s">
        <v>355</v>
      </c>
      <c r="P11" s="529"/>
      <c r="R11" s="524"/>
      <c r="S11" s="525"/>
      <c r="T11" s="526"/>
      <c r="U11" s="526"/>
      <c r="V11" s="520"/>
      <c r="W11" s="520"/>
      <c r="X11" s="520"/>
      <c r="Y11" s="508"/>
    </row>
    <row r="12" spans="1:25" ht="25.5" customHeight="1">
      <c r="A12" s="619" t="s">
        <v>111</v>
      </c>
      <c r="B12" s="519">
        <v>11974.432499999997</v>
      </c>
      <c r="C12" s="520">
        <v>8401.7029999999995</v>
      </c>
      <c r="D12" s="520">
        <v>25986</v>
      </c>
      <c r="E12" s="520">
        <v>14510890</v>
      </c>
      <c r="F12" s="520">
        <v>9784.75</v>
      </c>
      <c r="G12" s="520">
        <v>1682.45</v>
      </c>
      <c r="H12" s="520">
        <v>1162.385</v>
      </c>
      <c r="I12" s="520">
        <v>6975.7489999999998</v>
      </c>
      <c r="J12" s="520">
        <v>4402.1400000000003</v>
      </c>
      <c r="K12" s="520">
        <v>4452.6779999999999</v>
      </c>
      <c r="L12" s="520">
        <v>5648.06</v>
      </c>
      <c r="M12" s="520">
        <v>5236</v>
      </c>
      <c r="N12" s="521">
        <f t="shared" si="1"/>
        <v>-7.295602383827374</v>
      </c>
      <c r="O12" s="618" t="s">
        <v>167</v>
      </c>
      <c r="P12" s="529"/>
      <c r="R12" s="524"/>
      <c r="S12" s="525"/>
      <c r="T12" s="526"/>
      <c r="U12" s="526"/>
      <c r="V12" s="520"/>
      <c r="W12" s="520"/>
      <c r="X12" s="520"/>
      <c r="Y12" s="508"/>
    </row>
    <row r="13" spans="1:25" ht="25.5" customHeight="1">
      <c r="A13" s="619" t="s">
        <v>112</v>
      </c>
      <c r="B13" s="519">
        <v>10004.824499999997</v>
      </c>
      <c r="C13" s="520">
        <v>11568.870999999999</v>
      </c>
      <c r="D13" s="520">
        <v>30687</v>
      </c>
      <c r="E13" s="520">
        <v>22459504</v>
      </c>
      <c r="F13" s="528" t="s">
        <v>127</v>
      </c>
      <c r="G13" s="520">
        <v>629.17499999999995</v>
      </c>
      <c r="H13" s="520">
        <v>135.19999999999999</v>
      </c>
      <c r="I13" s="520">
        <v>13550.741</v>
      </c>
      <c r="J13" s="520">
        <v>17783.645</v>
      </c>
      <c r="K13" s="520">
        <v>8162.3275000000003</v>
      </c>
      <c r="L13" s="520">
        <v>4394.7749999999996</v>
      </c>
      <c r="M13" s="520">
        <v>3785.75</v>
      </c>
      <c r="N13" s="521">
        <f t="shared" si="1"/>
        <v>-13.857933568840263</v>
      </c>
      <c r="O13" s="618" t="s">
        <v>168</v>
      </c>
      <c r="P13" s="529"/>
      <c r="R13" s="524"/>
      <c r="S13" s="525"/>
      <c r="T13" s="526"/>
      <c r="U13" s="526"/>
      <c r="V13" s="520"/>
      <c r="W13" s="520"/>
      <c r="X13" s="520"/>
      <c r="Y13" s="508"/>
    </row>
    <row r="14" spans="1:25" ht="25.5" customHeight="1">
      <c r="A14" s="619" t="s">
        <v>113</v>
      </c>
      <c r="B14" s="519">
        <v>10589.222333333331</v>
      </c>
      <c r="C14" s="520">
        <v>10521.87725</v>
      </c>
      <c r="D14" s="520">
        <v>36341</v>
      </c>
      <c r="E14" s="520">
        <v>22884935</v>
      </c>
      <c r="F14" s="520">
        <v>7576.585</v>
      </c>
      <c r="G14" s="530" t="s">
        <v>127</v>
      </c>
      <c r="H14" s="530">
        <v>10021.85</v>
      </c>
      <c r="I14" s="530">
        <v>8491.7849999999999</v>
      </c>
      <c r="J14" s="531">
        <v>3498.8449999999998</v>
      </c>
      <c r="K14" s="531">
        <v>3507.6289999999999</v>
      </c>
      <c r="L14" s="531">
        <v>1475.635</v>
      </c>
      <c r="M14" s="531">
        <v>3096.165</v>
      </c>
      <c r="N14" s="521">
        <f t="shared" si="1"/>
        <v>109.81916259779688</v>
      </c>
      <c r="O14" s="618" t="s">
        <v>170</v>
      </c>
      <c r="P14" s="529"/>
      <c r="R14" s="524"/>
      <c r="S14" s="525"/>
      <c r="T14" s="526"/>
      <c r="U14" s="526"/>
      <c r="V14" s="520"/>
      <c r="W14" s="520"/>
      <c r="X14" s="520"/>
      <c r="Y14" s="508"/>
    </row>
    <row r="15" spans="1:25" ht="25.5" customHeight="1">
      <c r="A15" s="619" t="s">
        <v>114</v>
      </c>
      <c r="B15" s="519">
        <v>11753.980333333329</v>
      </c>
      <c r="C15" s="520">
        <v>14592.931</v>
      </c>
      <c r="D15" s="520">
        <v>11056</v>
      </c>
      <c r="E15" s="520">
        <v>32929790</v>
      </c>
      <c r="F15" s="520">
        <v>4974.5874999999996</v>
      </c>
      <c r="G15" s="530" t="s">
        <v>127</v>
      </c>
      <c r="H15" s="530">
        <v>921.5</v>
      </c>
      <c r="I15" s="530">
        <v>3681.6990000000001</v>
      </c>
      <c r="J15" s="531">
        <v>1213.77</v>
      </c>
      <c r="K15" s="531">
        <v>4520.3270000000002</v>
      </c>
      <c r="L15" s="531">
        <v>2343.393</v>
      </c>
      <c r="M15" s="531">
        <v>1528.56</v>
      </c>
      <c r="N15" s="521">
        <f t="shared" si="1"/>
        <v>-34.771504395549535</v>
      </c>
      <c r="O15" s="618" t="s">
        <v>172</v>
      </c>
      <c r="P15" s="529"/>
      <c r="R15" s="524"/>
      <c r="S15" s="525"/>
      <c r="T15" s="526"/>
      <c r="U15" s="526"/>
      <c r="V15" s="520"/>
      <c r="W15" s="520"/>
      <c r="X15" s="520"/>
      <c r="Y15" s="508"/>
    </row>
    <row r="16" spans="1:25" ht="25.5" customHeight="1">
      <c r="A16" s="619" t="s">
        <v>115</v>
      </c>
      <c r="B16" s="519">
        <v>19023.001499999998</v>
      </c>
      <c r="C16" s="520">
        <v>14904.091</v>
      </c>
      <c r="D16" s="520">
        <v>4692</v>
      </c>
      <c r="E16" s="520">
        <v>23395592</v>
      </c>
      <c r="F16" s="528" t="s">
        <v>127</v>
      </c>
      <c r="G16" s="520">
        <v>7582.9790000000003</v>
      </c>
      <c r="H16" s="520">
        <v>1818.71</v>
      </c>
      <c r="I16" s="520">
        <v>2366.8200000000002</v>
      </c>
      <c r="J16" s="520">
        <v>4420.8180000000002</v>
      </c>
      <c r="K16" s="520">
        <v>247.465</v>
      </c>
      <c r="L16" s="520">
        <v>736.4</v>
      </c>
      <c r="M16" s="520">
        <v>2215.1</v>
      </c>
      <c r="N16" s="521">
        <f t="shared" si="1"/>
        <v>200.8011950027159</v>
      </c>
      <c r="O16" s="618" t="s">
        <v>174</v>
      </c>
      <c r="P16" s="529"/>
      <c r="R16" s="524"/>
      <c r="S16" s="525"/>
      <c r="T16" s="526"/>
      <c r="U16" s="526"/>
      <c r="V16" s="520"/>
      <c r="W16" s="520"/>
      <c r="X16" s="520"/>
      <c r="Y16" s="508"/>
    </row>
    <row r="17" spans="1:25" ht="25.5" customHeight="1">
      <c r="A17" s="619" t="s">
        <v>116</v>
      </c>
      <c r="B17" s="519">
        <v>8935.3272500000021</v>
      </c>
      <c r="C17" s="520">
        <v>11448.352500000001</v>
      </c>
      <c r="D17" s="520">
        <v>5618</v>
      </c>
      <c r="E17" s="520">
        <v>13496820</v>
      </c>
      <c r="F17" s="520">
        <v>3558.34175</v>
      </c>
      <c r="G17" s="520">
        <v>3918.48</v>
      </c>
      <c r="H17" s="520">
        <v>1463.45</v>
      </c>
      <c r="I17" s="520">
        <v>4383.7449999999999</v>
      </c>
      <c r="J17" s="520">
        <v>3415.4189999999999</v>
      </c>
      <c r="K17" s="520">
        <v>3873.07</v>
      </c>
      <c r="L17" s="520">
        <v>3165.0529999999999</v>
      </c>
      <c r="M17" s="520">
        <v>1908.519</v>
      </c>
      <c r="N17" s="521">
        <f t="shared" si="1"/>
        <v>-39.700251464983367</v>
      </c>
      <c r="O17" s="618" t="s">
        <v>176</v>
      </c>
      <c r="P17" s="529"/>
      <c r="R17" s="524"/>
      <c r="S17" s="525"/>
      <c r="T17" s="526"/>
      <c r="U17" s="526"/>
      <c r="V17" s="520"/>
      <c r="W17" s="520"/>
      <c r="X17" s="520"/>
      <c r="Y17" s="508"/>
    </row>
    <row r="18" spans="1:25" ht="25.5" customHeight="1">
      <c r="A18" s="619" t="s">
        <v>117</v>
      </c>
      <c r="B18" s="519">
        <v>11802.18075</v>
      </c>
      <c r="C18" s="520">
        <v>11841.538</v>
      </c>
      <c r="D18" s="520">
        <v>7230</v>
      </c>
      <c r="E18" s="520">
        <v>8414125</v>
      </c>
      <c r="F18" s="520">
        <v>9511.2639999999992</v>
      </c>
      <c r="G18" s="520">
        <v>386.66500000000002</v>
      </c>
      <c r="H18" s="520">
        <v>2034.43</v>
      </c>
      <c r="I18" s="530" t="s">
        <v>127</v>
      </c>
      <c r="J18" s="520">
        <v>1232.5</v>
      </c>
      <c r="K18" s="520">
        <v>2455.6325000000002</v>
      </c>
      <c r="L18" s="520">
        <v>2708.9949999999999</v>
      </c>
      <c r="M18" s="520">
        <v>2635.1750000000002</v>
      </c>
      <c r="N18" s="521">
        <f t="shared" si="1"/>
        <v>-2.7249958010258308</v>
      </c>
      <c r="O18" s="618" t="s">
        <v>178</v>
      </c>
      <c r="P18" s="529"/>
      <c r="R18" s="524"/>
      <c r="S18" s="525"/>
      <c r="T18" s="526"/>
      <c r="U18" s="526"/>
      <c r="V18" s="520"/>
      <c r="W18" s="520"/>
      <c r="X18" s="520"/>
      <c r="Y18" s="508"/>
    </row>
    <row r="19" spans="1:25" ht="25.5" customHeight="1">
      <c r="A19" s="620" t="s">
        <v>118</v>
      </c>
      <c r="B19" s="532">
        <v>11741.267666666674</v>
      </c>
      <c r="C19" s="533">
        <v>7332.125</v>
      </c>
      <c r="D19" s="533">
        <v>9726</v>
      </c>
      <c r="E19" s="533">
        <v>11203831</v>
      </c>
      <c r="F19" s="533">
        <v>8162.64</v>
      </c>
      <c r="G19" s="533">
        <v>1173.1075000000001</v>
      </c>
      <c r="H19" s="533">
        <v>1197.5820000000001</v>
      </c>
      <c r="I19" s="533">
        <v>5492.3919999999998</v>
      </c>
      <c r="J19" s="533">
        <v>1016</v>
      </c>
      <c r="K19" s="533">
        <v>4703.3100000000004</v>
      </c>
      <c r="L19" s="533">
        <v>1875.7750000000001</v>
      </c>
      <c r="M19" s="533">
        <v>1911.08</v>
      </c>
      <c r="N19" s="534">
        <f t="shared" si="1"/>
        <v>1.8821553757780032</v>
      </c>
      <c r="O19" s="533" t="s">
        <v>180</v>
      </c>
      <c r="P19" s="522"/>
      <c r="R19" s="524"/>
      <c r="S19" s="525"/>
      <c r="T19" s="526"/>
      <c r="U19" s="526"/>
      <c r="V19" s="520"/>
      <c r="W19" s="520"/>
      <c r="X19" s="520"/>
      <c r="Y19" s="508"/>
    </row>
    <row r="20" spans="1:25" s="714" customFormat="1" ht="13.5" customHeight="1">
      <c r="A20" s="535" t="s">
        <v>356</v>
      </c>
      <c r="B20" s="711"/>
      <c r="C20" s="712"/>
      <c r="D20" s="712"/>
      <c r="E20" s="712"/>
      <c r="F20" s="712"/>
      <c r="G20" s="713"/>
      <c r="H20" s="713"/>
      <c r="I20" s="713"/>
      <c r="J20" s="713"/>
      <c r="K20" s="713"/>
      <c r="L20" s="713"/>
      <c r="M20" s="713"/>
      <c r="N20" s="713"/>
      <c r="O20" s="730" t="s">
        <v>357</v>
      </c>
      <c r="P20" s="713"/>
      <c r="R20" s="715"/>
      <c r="S20" s="715"/>
      <c r="T20" s="716"/>
      <c r="U20" s="715"/>
      <c r="V20" s="715"/>
      <c r="W20" s="715"/>
      <c r="X20" s="715"/>
      <c r="Y20" s="715"/>
    </row>
    <row r="21" spans="1:25" s="717" customFormat="1" ht="13.5" customHeight="1">
      <c r="A21" s="729" t="s">
        <v>481</v>
      </c>
      <c r="P21" s="718"/>
      <c r="Q21" s="719"/>
      <c r="R21" s="720"/>
      <c r="S21" s="720"/>
      <c r="T21" s="716"/>
      <c r="U21" s="721"/>
      <c r="V21" s="721"/>
      <c r="W21" s="721"/>
      <c r="X21" s="721"/>
      <c r="Y21" s="721"/>
    </row>
    <row r="22" spans="1:25" s="717" customFormat="1" ht="13.5" customHeight="1">
      <c r="A22" s="536" t="s">
        <v>392</v>
      </c>
      <c r="B22" s="536"/>
      <c r="C22" s="722"/>
      <c r="D22" s="722"/>
      <c r="G22" s="723"/>
      <c r="H22" s="723"/>
      <c r="I22" s="723"/>
      <c r="J22" s="723"/>
      <c r="K22" s="722"/>
      <c r="L22" s="722"/>
      <c r="M22" s="722"/>
      <c r="N22" s="724"/>
      <c r="O22" s="718" t="s">
        <v>422</v>
      </c>
      <c r="P22" s="725"/>
      <c r="Q22" s="726"/>
      <c r="R22" s="720"/>
      <c r="S22" s="720"/>
      <c r="T22" s="716"/>
      <c r="U22" s="727"/>
      <c r="V22" s="728"/>
      <c r="W22" s="728"/>
      <c r="X22" s="728"/>
      <c r="Y22" s="721"/>
    </row>
    <row r="23" spans="1:25" ht="15">
      <c r="P23" s="505"/>
      <c r="Q23" s="506"/>
      <c r="R23" s="507"/>
      <c r="S23" s="507"/>
      <c r="T23" s="526"/>
      <c r="U23" s="524"/>
      <c r="V23" s="520"/>
      <c r="W23" s="520"/>
      <c r="X23" s="520"/>
      <c r="Y23" s="508"/>
    </row>
    <row r="24" spans="1:25" ht="15">
      <c r="A24" s="537"/>
      <c r="B24" s="537"/>
      <c r="C24" s="537"/>
      <c r="D24" s="538"/>
      <c r="E24" s="540"/>
      <c r="F24" s="539"/>
      <c r="G24" s="539"/>
      <c r="H24" s="539"/>
      <c r="I24" s="539"/>
      <c r="J24" s="539"/>
      <c r="K24" s="539"/>
      <c r="L24" s="539"/>
      <c r="M24" s="539"/>
      <c r="N24" s="501"/>
      <c r="O24" s="505"/>
      <c r="P24" s="505"/>
      <c r="Q24" s="506"/>
      <c r="R24" s="507"/>
      <c r="S24" s="507"/>
      <c r="T24" s="526"/>
      <c r="U24" s="524"/>
      <c r="V24" s="520"/>
      <c r="W24" s="528"/>
      <c r="X24" s="520"/>
      <c r="Y24" s="508"/>
    </row>
    <row r="25" spans="1:25">
      <c r="A25" s="537"/>
      <c r="B25" s="537"/>
      <c r="C25" s="537"/>
      <c r="D25" s="505"/>
      <c r="E25" s="505"/>
      <c r="F25" s="505"/>
      <c r="G25" s="505"/>
      <c r="H25" s="505"/>
      <c r="I25" s="505"/>
      <c r="J25" s="505"/>
      <c r="K25" s="505"/>
      <c r="L25" s="505"/>
      <c r="M25" s="505"/>
      <c r="N25" s="505"/>
      <c r="O25" s="505"/>
      <c r="P25" s="505"/>
      <c r="Q25" s="506"/>
      <c r="R25" s="507"/>
      <c r="S25" s="507"/>
      <c r="T25" s="508"/>
      <c r="U25" s="508"/>
      <c r="V25" s="508"/>
      <c r="W25" s="508"/>
      <c r="X25" s="508"/>
      <c r="Y25" s="508"/>
    </row>
    <row r="26" spans="1:25">
      <c r="A26" s="537"/>
      <c r="B26" s="537"/>
      <c r="C26" s="537"/>
      <c r="D26" s="505"/>
      <c r="E26" s="505"/>
      <c r="F26" s="505"/>
      <c r="G26" s="505"/>
      <c r="H26" s="505"/>
      <c r="I26" s="505"/>
      <c r="J26" s="505"/>
      <c r="K26" s="505"/>
      <c r="L26" s="505"/>
      <c r="M26" s="505"/>
      <c r="N26" s="505"/>
      <c r="O26" s="505"/>
      <c r="P26" s="505"/>
      <c r="Q26" s="506"/>
      <c r="R26" s="507"/>
      <c r="S26" s="507"/>
      <c r="T26" s="508"/>
      <c r="U26" s="508"/>
      <c r="V26" s="508"/>
      <c r="W26" s="508"/>
      <c r="X26" s="508"/>
      <c r="Y26" s="508"/>
    </row>
    <row r="27" spans="1:25">
      <c r="A27" s="537"/>
      <c r="B27" s="537"/>
      <c r="C27" s="537"/>
      <c r="D27" s="506"/>
      <c r="E27" s="506"/>
      <c r="F27" s="506"/>
      <c r="G27" s="506"/>
      <c r="H27" s="506"/>
      <c r="I27" s="506"/>
      <c r="J27" s="506"/>
      <c r="K27" s="506"/>
      <c r="L27" s="506"/>
      <c r="M27" s="506"/>
      <c r="N27" s="506"/>
      <c r="O27" s="506"/>
      <c r="P27" s="506"/>
      <c r="Q27" s="506"/>
      <c r="R27" s="507"/>
      <c r="S27" s="507"/>
      <c r="T27" s="508"/>
      <c r="U27" s="508"/>
      <c r="V27" s="508"/>
      <c r="W27" s="508"/>
      <c r="X27" s="508"/>
      <c r="Y27" s="508"/>
    </row>
    <row r="28" spans="1:25">
      <c r="A28" s="537"/>
      <c r="B28" s="537"/>
      <c r="C28" s="537"/>
      <c r="R28" s="508"/>
      <c r="S28" s="508"/>
      <c r="T28" s="508"/>
      <c r="U28" s="508"/>
      <c r="V28" s="508"/>
      <c r="W28" s="508"/>
      <c r="X28" s="508"/>
      <c r="Y28" s="508"/>
    </row>
    <row r="29" spans="1:25">
      <c r="A29" s="537"/>
      <c r="B29" s="537"/>
      <c r="C29" s="537"/>
      <c r="R29" s="508"/>
      <c r="S29" s="508"/>
      <c r="T29" s="508"/>
      <c r="U29" s="508"/>
      <c r="V29" s="508"/>
      <c r="W29" s="508"/>
      <c r="X29" s="508"/>
      <c r="Y29" s="508"/>
    </row>
    <row r="30" spans="1:25">
      <c r="R30" s="508"/>
      <c r="S30" s="508"/>
      <c r="T30" s="508"/>
      <c r="U30" s="508"/>
      <c r="V30" s="508"/>
      <c r="W30" s="508"/>
      <c r="X30" s="508"/>
      <c r="Y30" s="508"/>
    </row>
    <row r="31" spans="1:25">
      <c r="R31" s="508"/>
      <c r="S31" s="508"/>
      <c r="T31" s="508"/>
      <c r="U31" s="508"/>
      <c r="V31" s="508"/>
      <c r="W31" s="508"/>
      <c r="X31" s="508"/>
      <c r="Y31" s="508"/>
    </row>
    <row r="32" spans="1:25">
      <c r="R32" s="508"/>
      <c r="S32" s="508"/>
      <c r="T32" s="508"/>
      <c r="U32" s="508"/>
      <c r="V32" s="508"/>
      <c r="W32" s="508"/>
      <c r="X32" s="508"/>
      <c r="Y32" s="508"/>
    </row>
    <row r="33" spans="18:25">
      <c r="R33" s="508"/>
      <c r="S33" s="508"/>
      <c r="T33" s="508"/>
      <c r="U33" s="508"/>
      <c r="V33" s="508"/>
      <c r="W33" s="508"/>
      <c r="X33" s="508"/>
      <c r="Y33" s="508"/>
    </row>
  </sheetData>
  <mergeCells count="7">
    <mergeCell ref="A5:A6"/>
    <mergeCell ref="B5:E5"/>
    <mergeCell ref="F5:L5"/>
    <mergeCell ref="A1:O1"/>
    <mergeCell ref="A2:O2"/>
    <mergeCell ref="A3:O3"/>
    <mergeCell ref="O5:O6"/>
  </mergeCells>
  <pageMargins left="0.7" right="0.7" top="0.75" bottom="0.75" header="0.3" footer="0.3"/>
  <pageSetup paperSize="9" orientation="portrait" horizontalDpi="4294967295" verticalDpi="4294967295"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3:W29"/>
  <sheetViews>
    <sheetView topLeftCell="A16" workbookViewId="0">
      <selection activeCell="Z23" sqref="Z23"/>
    </sheetView>
  </sheetViews>
  <sheetFormatPr defaultColWidth="10" defaultRowHeight="12"/>
  <cols>
    <col min="1" max="1" width="16.28515625" style="656" customWidth="1"/>
    <col min="2" max="2" width="13.7109375" style="656" customWidth="1"/>
    <col min="3" max="3" width="9.7109375" style="656" customWidth="1"/>
    <col min="4" max="4" width="9.7109375" style="656" hidden="1" customWidth="1"/>
    <col min="5" max="5" width="9.7109375" style="656" customWidth="1"/>
    <col min="6" max="7" width="9.7109375" style="656" hidden="1" customWidth="1"/>
    <col min="8" max="8" width="9.7109375" style="656" customWidth="1"/>
    <col min="9" max="9" width="9.7109375" style="656" hidden="1" customWidth="1"/>
    <col min="10" max="12" width="9.7109375" style="656" customWidth="1"/>
    <col min="13" max="13" width="9.7109375" style="656" hidden="1" customWidth="1"/>
    <col min="14" max="14" width="9.7109375" style="656" customWidth="1"/>
    <col min="15" max="16" width="9.7109375" style="656" hidden="1" customWidth="1"/>
    <col min="17" max="18" width="9.7109375" style="656" customWidth="1"/>
    <col min="19" max="20" width="9.7109375" style="656" hidden="1" customWidth="1"/>
    <col min="21" max="22" width="9.7109375" style="656" customWidth="1"/>
    <col min="23" max="23" width="11.7109375" style="656" customWidth="1"/>
    <col min="24" max="16384" width="10" style="656"/>
  </cols>
  <sheetData>
    <row r="3" spans="1:23" ht="21">
      <c r="A3" s="891" t="s">
        <v>429</v>
      </c>
      <c r="B3" s="891"/>
      <c r="C3" s="891"/>
      <c r="D3" s="891"/>
      <c r="E3" s="891"/>
      <c r="F3" s="891"/>
      <c r="G3" s="891"/>
      <c r="H3" s="891"/>
      <c r="I3" s="891"/>
      <c r="J3" s="891"/>
      <c r="K3" s="891"/>
      <c r="L3" s="891"/>
      <c r="M3" s="891"/>
      <c r="N3" s="891"/>
      <c r="O3" s="891"/>
      <c r="P3" s="891"/>
      <c r="Q3" s="891"/>
      <c r="R3" s="891"/>
      <c r="S3" s="891"/>
      <c r="T3" s="891"/>
      <c r="U3" s="891"/>
      <c r="V3" s="891"/>
      <c r="W3" s="891"/>
    </row>
    <row r="4" spans="1:23" ht="15">
      <c r="A4" s="892" t="s">
        <v>430</v>
      </c>
      <c r="B4" s="892"/>
      <c r="C4" s="892"/>
      <c r="D4" s="892"/>
      <c r="E4" s="892"/>
      <c r="F4" s="892"/>
      <c r="G4" s="892"/>
      <c r="H4" s="892"/>
      <c r="I4" s="892"/>
      <c r="J4" s="892"/>
      <c r="K4" s="892"/>
      <c r="L4" s="892"/>
      <c r="M4" s="892"/>
      <c r="N4" s="892"/>
      <c r="O4" s="892"/>
      <c r="P4" s="892"/>
      <c r="Q4" s="892"/>
      <c r="R4" s="892"/>
      <c r="S4" s="892"/>
      <c r="T4" s="892"/>
      <c r="U4" s="892"/>
      <c r="V4" s="892"/>
      <c r="W4" s="892"/>
    </row>
    <row r="5" spans="1:23" ht="21">
      <c r="A5" s="892" t="s">
        <v>431</v>
      </c>
      <c r="B5" s="892"/>
      <c r="C5" s="892"/>
      <c r="D5" s="892"/>
      <c r="E5" s="892"/>
      <c r="F5" s="892"/>
      <c r="G5" s="892"/>
      <c r="H5" s="892"/>
      <c r="I5" s="892"/>
      <c r="J5" s="892"/>
      <c r="K5" s="892"/>
      <c r="L5" s="892"/>
      <c r="M5" s="892"/>
      <c r="N5" s="892"/>
      <c r="O5" s="892"/>
      <c r="P5" s="892"/>
      <c r="Q5" s="892"/>
      <c r="R5" s="892"/>
      <c r="S5" s="892"/>
      <c r="T5" s="892"/>
      <c r="U5" s="892"/>
      <c r="V5" s="892"/>
      <c r="W5" s="892"/>
    </row>
    <row r="6" spans="1:23">
      <c r="A6" s="657"/>
      <c r="B6" s="657"/>
      <c r="C6" s="657"/>
      <c r="D6" s="657"/>
      <c r="E6" s="657"/>
      <c r="F6" s="657"/>
      <c r="G6" s="658"/>
      <c r="H6" s="659"/>
      <c r="I6" s="657"/>
      <c r="J6" s="657"/>
      <c r="K6" s="657"/>
      <c r="L6" s="657"/>
      <c r="M6" s="657"/>
      <c r="N6" s="657"/>
      <c r="O6" s="657"/>
      <c r="P6" s="657"/>
      <c r="Q6" s="657"/>
      <c r="R6" s="657"/>
      <c r="S6" s="657"/>
      <c r="T6" s="657"/>
      <c r="U6" s="657"/>
      <c r="V6" s="657"/>
      <c r="W6" s="657"/>
    </row>
    <row r="7" spans="1:23" ht="21" customHeight="1">
      <c r="A7" s="660"/>
      <c r="B7" s="893" t="s">
        <v>90</v>
      </c>
      <c r="C7" s="895" t="s">
        <v>432</v>
      </c>
      <c r="D7" s="895"/>
      <c r="E7" s="895"/>
      <c r="F7" s="895"/>
      <c r="G7" s="895"/>
      <c r="H7" s="541"/>
      <c r="I7" s="542"/>
      <c r="J7" s="542"/>
      <c r="K7" s="542"/>
      <c r="L7" s="542"/>
      <c r="M7" s="542"/>
      <c r="N7" s="542"/>
      <c r="O7" s="542"/>
      <c r="P7" s="896" t="s">
        <v>358</v>
      </c>
      <c r="Q7" s="896"/>
      <c r="R7" s="896"/>
      <c r="S7" s="896"/>
      <c r="T7" s="896"/>
      <c r="U7" s="896"/>
      <c r="V7" s="896"/>
      <c r="W7" s="897" t="s">
        <v>433</v>
      </c>
    </row>
    <row r="8" spans="1:23" s="662" customFormat="1" ht="27" customHeight="1">
      <c r="A8" s="661" t="s">
        <v>228</v>
      </c>
      <c r="B8" s="894"/>
      <c r="C8" s="684" t="s">
        <v>38</v>
      </c>
      <c r="D8" s="684" t="s">
        <v>40</v>
      </c>
      <c r="E8" s="684" t="s">
        <v>42</v>
      </c>
      <c r="F8" s="684" t="s">
        <v>44</v>
      </c>
      <c r="G8" s="684" t="s">
        <v>46</v>
      </c>
      <c r="H8" s="684" t="s">
        <v>48</v>
      </c>
      <c r="I8" s="684" t="s">
        <v>50</v>
      </c>
      <c r="J8" s="684" t="s">
        <v>52</v>
      </c>
      <c r="K8" s="684" t="s">
        <v>54</v>
      </c>
      <c r="L8" s="684" t="s">
        <v>56</v>
      </c>
      <c r="M8" s="684" t="s">
        <v>58</v>
      </c>
      <c r="N8" s="684" t="s">
        <v>60</v>
      </c>
      <c r="O8" s="684" t="s">
        <v>62</v>
      </c>
      <c r="P8" s="684" t="s">
        <v>64</v>
      </c>
      <c r="Q8" s="684" t="s">
        <v>66</v>
      </c>
      <c r="R8" s="684" t="s">
        <v>68</v>
      </c>
      <c r="S8" s="684" t="s">
        <v>70</v>
      </c>
      <c r="T8" s="684" t="s">
        <v>72</v>
      </c>
      <c r="U8" s="684" t="s">
        <v>74</v>
      </c>
      <c r="V8" s="684" t="s">
        <v>75</v>
      </c>
      <c r="W8" s="898"/>
    </row>
    <row r="9" spans="1:23" s="664" customFormat="1" ht="12" customHeight="1">
      <c r="A9" s="663"/>
      <c r="B9" s="894"/>
      <c r="C9" s="543" t="s">
        <v>37</v>
      </c>
      <c r="D9" s="543" t="s">
        <v>39</v>
      </c>
      <c r="E9" s="543" t="s">
        <v>41</v>
      </c>
      <c r="F9" s="543" t="s">
        <v>43</v>
      </c>
      <c r="G9" s="543" t="s">
        <v>45</v>
      </c>
      <c r="H9" s="543" t="s">
        <v>47</v>
      </c>
      <c r="I9" s="543" t="s">
        <v>49</v>
      </c>
      <c r="J9" s="543" t="s">
        <v>51</v>
      </c>
      <c r="K9" s="543" t="s">
        <v>191</v>
      </c>
      <c r="L9" s="543" t="s">
        <v>55</v>
      </c>
      <c r="M9" s="543" t="s">
        <v>57</v>
      </c>
      <c r="N9" s="543" t="s">
        <v>59</v>
      </c>
      <c r="O9" s="543" t="s">
        <v>61</v>
      </c>
      <c r="P9" s="543" t="s">
        <v>63</v>
      </c>
      <c r="Q9" s="543" t="s">
        <v>65</v>
      </c>
      <c r="R9" s="543" t="s">
        <v>67</v>
      </c>
      <c r="S9" s="543" t="s">
        <v>69</v>
      </c>
      <c r="T9" s="543" t="s">
        <v>71</v>
      </c>
      <c r="U9" s="543" t="s">
        <v>73</v>
      </c>
      <c r="V9" s="543" t="s">
        <v>42</v>
      </c>
      <c r="W9" s="898"/>
    </row>
    <row r="10" spans="1:23" s="544" customFormat="1" ht="21">
      <c r="A10" s="665" t="s">
        <v>90</v>
      </c>
      <c r="B10" s="666">
        <f>SUM(C10:V10)</f>
        <v>1749535.0450000002</v>
      </c>
      <c r="C10" s="666">
        <f>SUM(C11:C26)</f>
        <v>3550</v>
      </c>
      <c r="D10" s="666">
        <f>SUM(D11:D26)</f>
        <v>0</v>
      </c>
      <c r="E10" s="666">
        <f>SUM(E11:E26)</f>
        <v>87016.2</v>
      </c>
      <c r="F10" s="666">
        <f t="shared" ref="F10:V10" si="0">SUM(F11:F26)</f>
        <v>0</v>
      </c>
      <c r="G10" s="666">
        <f t="shared" si="0"/>
        <v>0</v>
      </c>
      <c r="H10" s="666">
        <f t="shared" si="0"/>
        <v>49415</v>
      </c>
      <c r="I10" s="666">
        <f t="shared" si="0"/>
        <v>0</v>
      </c>
      <c r="J10" s="666">
        <f t="shared" si="0"/>
        <v>394864.52</v>
      </c>
      <c r="K10" s="666">
        <f t="shared" si="0"/>
        <v>687512.81500000006</v>
      </c>
      <c r="L10" s="666">
        <f t="shared" si="0"/>
        <v>7571.5</v>
      </c>
      <c r="M10" s="666">
        <f t="shared" si="0"/>
        <v>0</v>
      </c>
      <c r="N10" s="666">
        <f t="shared" si="0"/>
        <v>133875</v>
      </c>
      <c r="O10" s="666">
        <f t="shared" si="0"/>
        <v>0</v>
      </c>
      <c r="P10" s="666">
        <f t="shared" si="0"/>
        <v>0</v>
      </c>
      <c r="Q10" s="666">
        <f t="shared" si="0"/>
        <v>60816.14</v>
      </c>
      <c r="R10" s="666">
        <f t="shared" si="0"/>
        <v>266929.90000000002</v>
      </c>
      <c r="S10" s="666">
        <f t="shared" si="0"/>
        <v>0</v>
      </c>
      <c r="T10" s="666">
        <f t="shared" si="0"/>
        <v>0</v>
      </c>
      <c r="U10" s="666">
        <f t="shared" si="0"/>
        <v>54934.22</v>
      </c>
      <c r="V10" s="666">
        <f t="shared" si="0"/>
        <v>3049.75</v>
      </c>
      <c r="W10" s="667" t="s">
        <v>158</v>
      </c>
    </row>
    <row r="11" spans="1:23" s="544" customFormat="1" ht="21">
      <c r="A11" s="668" t="s">
        <v>359</v>
      </c>
      <c r="B11" s="669">
        <f>SUM(C11:V11)</f>
        <v>50900</v>
      </c>
      <c r="C11" s="544">
        <v>0</v>
      </c>
      <c r="D11" s="680"/>
      <c r="E11" s="680">
        <v>0</v>
      </c>
      <c r="F11" s="680">
        <v>0</v>
      </c>
      <c r="G11" s="681"/>
      <c r="H11" s="681">
        <v>9500</v>
      </c>
      <c r="I11" s="681"/>
      <c r="J11" s="681">
        <v>23700</v>
      </c>
      <c r="K11" s="731">
        <v>5200</v>
      </c>
      <c r="L11" s="681">
        <v>0</v>
      </c>
      <c r="M11" s="681"/>
      <c r="N11" s="681">
        <v>0</v>
      </c>
      <c r="O11" s="681"/>
      <c r="P11" s="681"/>
      <c r="Q11" s="681">
        <v>0</v>
      </c>
      <c r="R11" s="681">
        <v>12500</v>
      </c>
      <c r="S11" s="681"/>
      <c r="T11" s="681"/>
      <c r="U11" s="681">
        <v>0</v>
      </c>
      <c r="V11" s="681">
        <v>0</v>
      </c>
      <c r="W11" s="670" t="s">
        <v>286</v>
      </c>
    </row>
    <row r="12" spans="1:23" s="544" customFormat="1" ht="21">
      <c r="A12" s="545" t="s">
        <v>360</v>
      </c>
      <c r="B12" s="669">
        <f>SUM(C12:V12)</f>
        <v>579348</v>
      </c>
      <c r="C12" s="680">
        <v>3000</v>
      </c>
      <c r="D12" s="680"/>
      <c r="E12" s="680">
        <v>36900</v>
      </c>
      <c r="F12" s="680">
        <v>0</v>
      </c>
      <c r="G12" s="681"/>
      <c r="H12" s="681">
        <v>0</v>
      </c>
      <c r="I12" s="681"/>
      <c r="J12" s="681">
        <v>163980</v>
      </c>
      <c r="K12" s="681">
        <v>15780</v>
      </c>
      <c r="L12" s="681">
        <v>0</v>
      </c>
      <c r="M12" s="681"/>
      <c r="N12" s="681">
        <v>126000</v>
      </c>
      <c r="O12" s="681"/>
      <c r="P12" s="681"/>
      <c r="Q12" s="681">
        <v>38610</v>
      </c>
      <c r="R12" s="681">
        <v>144330</v>
      </c>
      <c r="S12" s="681"/>
      <c r="T12" s="681"/>
      <c r="U12" s="681">
        <v>50700</v>
      </c>
      <c r="V12" s="681">
        <v>48</v>
      </c>
      <c r="W12" s="670" t="s">
        <v>361</v>
      </c>
    </row>
    <row r="13" spans="1:23" s="544" customFormat="1" ht="21">
      <c r="A13" s="668" t="s">
        <v>434</v>
      </c>
      <c r="B13" s="669">
        <f t="shared" ref="B13:B25" si="1">SUM(C13:V13)</f>
        <v>383950</v>
      </c>
      <c r="C13" s="680">
        <v>0</v>
      </c>
      <c r="D13" s="680"/>
      <c r="E13" s="680"/>
      <c r="F13" s="680">
        <v>0</v>
      </c>
      <c r="G13" s="681"/>
      <c r="H13" s="681">
        <v>0</v>
      </c>
      <c r="I13" s="681"/>
      <c r="J13" s="681">
        <v>1300</v>
      </c>
      <c r="K13" s="681">
        <v>381450</v>
      </c>
      <c r="L13" s="681">
        <v>1200</v>
      </c>
      <c r="M13" s="681"/>
      <c r="N13" s="681">
        <v>0</v>
      </c>
      <c r="O13" s="681"/>
      <c r="P13" s="681"/>
      <c r="Q13" s="681">
        <v>0</v>
      </c>
      <c r="R13" s="681">
        <v>0</v>
      </c>
      <c r="S13" s="681"/>
      <c r="T13" s="681"/>
      <c r="U13" s="681">
        <v>0</v>
      </c>
      <c r="V13" s="681">
        <v>0</v>
      </c>
      <c r="W13" s="670" t="s">
        <v>274</v>
      </c>
    </row>
    <row r="14" spans="1:23" s="544" customFormat="1" ht="21">
      <c r="A14" s="668" t="s">
        <v>362</v>
      </c>
      <c r="B14" s="669">
        <f t="shared" si="1"/>
        <v>39540</v>
      </c>
      <c r="C14" s="680">
        <v>0</v>
      </c>
      <c r="D14" s="680"/>
      <c r="E14" s="680">
        <v>2440</v>
      </c>
      <c r="F14" s="680">
        <v>0</v>
      </c>
      <c r="G14" s="681"/>
      <c r="H14" s="681">
        <v>4400</v>
      </c>
      <c r="I14" s="681"/>
      <c r="J14" s="681">
        <v>7640</v>
      </c>
      <c r="K14" s="681">
        <v>16100</v>
      </c>
      <c r="L14" s="681">
        <v>0</v>
      </c>
      <c r="M14" s="681"/>
      <c r="N14" s="681">
        <v>0</v>
      </c>
      <c r="O14" s="681"/>
      <c r="P14" s="681"/>
      <c r="Q14" s="681">
        <v>0</v>
      </c>
      <c r="R14" s="681">
        <v>8960</v>
      </c>
      <c r="S14" s="681"/>
      <c r="T14" s="681"/>
      <c r="U14" s="681">
        <v>0</v>
      </c>
      <c r="V14" s="681">
        <v>0</v>
      </c>
      <c r="W14" s="671" t="s">
        <v>278</v>
      </c>
    </row>
    <row r="15" spans="1:23" s="544" customFormat="1" ht="21">
      <c r="A15" s="545" t="s">
        <v>363</v>
      </c>
      <c r="B15" s="669">
        <f t="shared" si="1"/>
        <v>87665</v>
      </c>
      <c r="C15" s="680">
        <v>0</v>
      </c>
      <c r="D15" s="680"/>
      <c r="E15" s="680">
        <v>2650</v>
      </c>
      <c r="F15" s="680">
        <v>0</v>
      </c>
      <c r="G15" s="681"/>
      <c r="H15" s="681">
        <v>12500</v>
      </c>
      <c r="I15" s="681"/>
      <c r="J15" s="681">
        <v>3500</v>
      </c>
      <c r="K15" s="681">
        <v>65950</v>
      </c>
      <c r="L15" s="681">
        <v>2200</v>
      </c>
      <c r="M15" s="681"/>
      <c r="N15" s="681">
        <v>0</v>
      </c>
      <c r="O15" s="681"/>
      <c r="P15" s="681"/>
      <c r="Q15" s="681">
        <v>0</v>
      </c>
      <c r="R15" s="681">
        <v>865</v>
      </c>
      <c r="S15" s="681"/>
      <c r="T15" s="681"/>
      <c r="U15" s="681">
        <v>0</v>
      </c>
      <c r="V15" s="681">
        <v>0</v>
      </c>
      <c r="W15" s="670" t="s">
        <v>262</v>
      </c>
    </row>
    <row r="16" spans="1:23" s="544" customFormat="1" ht="21">
      <c r="A16" s="668" t="s">
        <v>364</v>
      </c>
      <c r="B16" s="669">
        <f t="shared" si="1"/>
        <v>219570</v>
      </c>
      <c r="C16" s="680">
        <v>450</v>
      </c>
      <c r="D16" s="680"/>
      <c r="E16" s="680">
        <v>19350</v>
      </c>
      <c r="F16" s="680">
        <v>0</v>
      </c>
      <c r="G16" s="681"/>
      <c r="H16" s="681">
        <v>0</v>
      </c>
      <c r="I16" s="681"/>
      <c r="J16" s="681">
        <v>119520</v>
      </c>
      <c r="K16" s="681">
        <v>3615</v>
      </c>
      <c r="L16" s="681">
        <v>0</v>
      </c>
      <c r="M16" s="681"/>
      <c r="N16" s="681">
        <v>0</v>
      </c>
      <c r="O16" s="681"/>
      <c r="P16" s="681"/>
      <c r="Q16" s="681">
        <v>540</v>
      </c>
      <c r="R16" s="681">
        <v>71445</v>
      </c>
      <c r="S16" s="681"/>
      <c r="T16" s="681"/>
      <c r="U16" s="681">
        <v>1650</v>
      </c>
      <c r="V16" s="681">
        <v>3000</v>
      </c>
      <c r="W16" s="670" t="s">
        <v>244</v>
      </c>
    </row>
    <row r="17" spans="1:23" s="544" customFormat="1" ht="21">
      <c r="A17" s="668" t="s">
        <v>365</v>
      </c>
      <c r="B17" s="669">
        <f t="shared" si="1"/>
        <v>21685</v>
      </c>
      <c r="C17" s="680">
        <v>0</v>
      </c>
      <c r="D17" s="680"/>
      <c r="E17" s="680">
        <v>290</v>
      </c>
      <c r="F17" s="680">
        <v>0</v>
      </c>
      <c r="G17" s="681"/>
      <c r="H17" s="681">
        <v>3040</v>
      </c>
      <c r="I17" s="681"/>
      <c r="J17" s="681">
        <v>4900</v>
      </c>
      <c r="K17" s="681">
        <v>9520</v>
      </c>
      <c r="L17" s="681">
        <v>3200</v>
      </c>
      <c r="M17" s="681"/>
      <c r="N17" s="681">
        <v>0</v>
      </c>
      <c r="O17" s="681"/>
      <c r="P17" s="681"/>
      <c r="Q17" s="681">
        <v>70</v>
      </c>
      <c r="R17" s="681">
        <v>665</v>
      </c>
      <c r="S17" s="681"/>
      <c r="T17" s="681"/>
      <c r="U17" s="681">
        <v>0</v>
      </c>
      <c r="V17" s="681">
        <v>0</v>
      </c>
      <c r="W17" s="671" t="s">
        <v>366</v>
      </c>
    </row>
    <row r="18" spans="1:23" s="544" customFormat="1" ht="21">
      <c r="A18" s="545" t="s">
        <v>367</v>
      </c>
      <c r="B18" s="669">
        <f t="shared" si="1"/>
        <v>52461.75</v>
      </c>
      <c r="C18" s="680">
        <v>100</v>
      </c>
      <c r="D18" s="680"/>
      <c r="E18" s="680">
        <v>2325</v>
      </c>
      <c r="F18" s="680">
        <v>0</v>
      </c>
      <c r="G18" s="681"/>
      <c r="H18" s="681">
        <v>0</v>
      </c>
      <c r="I18" s="681"/>
      <c r="J18" s="681">
        <v>4525</v>
      </c>
      <c r="K18" s="681">
        <v>1472.5</v>
      </c>
      <c r="L18" s="681">
        <v>0</v>
      </c>
      <c r="M18" s="681"/>
      <c r="N18" s="681">
        <v>7875</v>
      </c>
      <c r="O18" s="681"/>
      <c r="P18" s="681"/>
      <c r="Q18" s="681">
        <v>18087.5</v>
      </c>
      <c r="R18" s="681">
        <v>17950</v>
      </c>
      <c r="S18" s="681"/>
      <c r="T18" s="681"/>
      <c r="U18" s="681">
        <v>125</v>
      </c>
      <c r="V18" s="681">
        <v>1.75</v>
      </c>
      <c r="W18" s="670" t="s">
        <v>368</v>
      </c>
    </row>
    <row r="19" spans="1:23" s="544" customFormat="1" ht="21">
      <c r="A19" s="545" t="s">
        <v>435</v>
      </c>
      <c r="B19" s="669">
        <f t="shared" si="1"/>
        <v>2736</v>
      </c>
      <c r="C19" s="680">
        <v>0</v>
      </c>
      <c r="D19" s="680"/>
      <c r="E19" s="680">
        <v>0</v>
      </c>
      <c r="F19" s="680">
        <v>0</v>
      </c>
      <c r="G19" s="681"/>
      <c r="H19" s="681">
        <v>0</v>
      </c>
      <c r="I19" s="681"/>
      <c r="J19" s="681">
        <v>406</v>
      </c>
      <c r="K19" s="681">
        <v>275</v>
      </c>
      <c r="L19" s="681">
        <v>0</v>
      </c>
      <c r="M19" s="681"/>
      <c r="N19" s="681">
        <v>0</v>
      </c>
      <c r="O19" s="681"/>
      <c r="P19" s="681"/>
      <c r="Q19" s="681">
        <v>1239</v>
      </c>
      <c r="R19" s="681">
        <v>816</v>
      </c>
      <c r="S19" s="681"/>
      <c r="T19" s="681"/>
      <c r="U19" s="681">
        <v>0</v>
      </c>
      <c r="V19" s="681">
        <v>0</v>
      </c>
      <c r="W19" s="670" t="s">
        <v>436</v>
      </c>
    </row>
    <row r="20" spans="1:23" s="544" customFormat="1" ht="21">
      <c r="A20" s="545" t="s">
        <v>369</v>
      </c>
      <c r="B20" s="669">
        <f t="shared" si="1"/>
        <v>24310</v>
      </c>
      <c r="C20" s="680">
        <v>0</v>
      </c>
      <c r="D20" s="680"/>
      <c r="E20" s="680">
        <v>750</v>
      </c>
      <c r="F20" s="680">
        <v>0</v>
      </c>
      <c r="G20" s="681"/>
      <c r="H20" s="681">
        <v>2200</v>
      </c>
      <c r="I20" s="681"/>
      <c r="J20" s="681">
        <v>5690</v>
      </c>
      <c r="K20" s="681">
        <v>15670</v>
      </c>
      <c r="L20" s="681">
        <v>0</v>
      </c>
      <c r="M20" s="681"/>
      <c r="N20" s="681">
        <v>0</v>
      </c>
      <c r="O20" s="681"/>
      <c r="P20" s="681"/>
      <c r="Q20" s="681">
        <v>0</v>
      </c>
      <c r="R20" s="681">
        <v>0</v>
      </c>
      <c r="S20" s="681"/>
      <c r="T20" s="681"/>
      <c r="U20" s="681">
        <v>0</v>
      </c>
      <c r="V20" s="681">
        <v>0</v>
      </c>
      <c r="W20" s="670" t="s">
        <v>437</v>
      </c>
    </row>
    <row r="21" spans="1:23" s="544" customFormat="1" ht="21">
      <c r="A21" s="545" t="s">
        <v>370</v>
      </c>
      <c r="B21" s="669">
        <f t="shared" si="1"/>
        <v>12263</v>
      </c>
      <c r="C21" s="680">
        <v>0</v>
      </c>
      <c r="D21" s="680"/>
      <c r="E21" s="680">
        <v>420</v>
      </c>
      <c r="F21" s="680">
        <v>0</v>
      </c>
      <c r="G21" s="681"/>
      <c r="H21" s="681">
        <v>10425</v>
      </c>
      <c r="I21" s="681"/>
      <c r="J21" s="681">
        <v>140</v>
      </c>
      <c r="K21" s="681">
        <v>0</v>
      </c>
      <c r="L21" s="681">
        <v>0</v>
      </c>
      <c r="M21" s="681"/>
      <c r="N21" s="681">
        <v>0</v>
      </c>
      <c r="O21" s="681"/>
      <c r="P21" s="681"/>
      <c r="Q21" s="681">
        <v>1050</v>
      </c>
      <c r="R21" s="681">
        <v>228</v>
      </c>
      <c r="S21" s="681"/>
      <c r="T21" s="681"/>
      <c r="U21" s="681">
        <v>0</v>
      </c>
      <c r="V21" s="681">
        <v>0</v>
      </c>
      <c r="W21" s="670" t="s">
        <v>371</v>
      </c>
    </row>
    <row r="22" spans="1:23" s="544" customFormat="1" ht="21">
      <c r="A22" s="545" t="s">
        <v>372</v>
      </c>
      <c r="B22" s="669">
        <f t="shared" si="1"/>
        <v>42070</v>
      </c>
      <c r="C22" s="680">
        <v>0</v>
      </c>
      <c r="D22" s="680"/>
      <c r="E22" s="680">
        <v>0</v>
      </c>
      <c r="F22" s="680">
        <v>0</v>
      </c>
      <c r="G22" s="681"/>
      <c r="H22" s="681">
        <v>0</v>
      </c>
      <c r="I22" s="681"/>
      <c r="J22" s="681">
        <v>9770</v>
      </c>
      <c r="K22" s="681">
        <v>32300</v>
      </c>
      <c r="L22" s="681">
        <v>0</v>
      </c>
      <c r="M22" s="681"/>
      <c r="N22" s="681">
        <v>0</v>
      </c>
      <c r="O22" s="681"/>
      <c r="P22" s="681"/>
      <c r="Q22" s="681">
        <v>0</v>
      </c>
      <c r="R22" s="681">
        <v>0</v>
      </c>
      <c r="S22" s="681"/>
      <c r="T22" s="681"/>
      <c r="U22" s="681">
        <v>0</v>
      </c>
      <c r="V22" s="681">
        <v>0</v>
      </c>
      <c r="W22" s="670" t="s">
        <v>373</v>
      </c>
    </row>
    <row r="23" spans="1:23" s="544" customFormat="1" ht="21">
      <c r="A23" s="668" t="s">
        <v>374</v>
      </c>
      <c r="B23" s="669">
        <f t="shared" si="1"/>
        <v>5158.24</v>
      </c>
      <c r="C23" s="680">
        <v>0</v>
      </c>
      <c r="D23" s="680"/>
      <c r="E23" s="680">
        <v>648</v>
      </c>
      <c r="F23" s="680">
        <v>0</v>
      </c>
      <c r="G23" s="681"/>
      <c r="H23" s="681">
        <v>0</v>
      </c>
      <c r="I23" s="681"/>
      <c r="J23" s="681">
        <v>700</v>
      </c>
      <c r="K23" s="681">
        <v>0</v>
      </c>
      <c r="L23" s="681">
        <v>0</v>
      </c>
      <c r="M23" s="681"/>
      <c r="N23" s="681">
        <v>0</v>
      </c>
      <c r="O23" s="681"/>
      <c r="P23" s="681"/>
      <c r="Q23" s="681">
        <v>138.24</v>
      </c>
      <c r="R23" s="681">
        <v>2592</v>
      </c>
      <c r="S23" s="681"/>
      <c r="T23" s="681"/>
      <c r="U23" s="681">
        <v>1080</v>
      </c>
      <c r="V23" s="681">
        <v>0</v>
      </c>
      <c r="W23" s="670" t="s">
        <v>270</v>
      </c>
    </row>
    <row r="24" spans="1:23" s="544" customFormat="1" ht="21">
      <c r="A24" s="668" t="s">
        <v>375</v>
      </c>
      <c r="B24" s="669">
        <f t="shared" si="1"/>
        <v>22815</v>
      </c>
      <c r="C24" s="680">
        <v>0</v>
      </c>
      <c r="D24" s="680"/>
      <c r="E24" s="680">
        <v>700</v>
      </c>
      <c r="F24" s="680">
        <v>0</v>
      </c>
      <c r="G24" s="681"/>
      <c r="H24" s="681">
        <v>0</v>
      </c>
      <c r="I24" s="681"/>
      <c r="J24" s="681">
        <v>10070</v>
      </c>
      <c r="K24" s="681">
        <v>11395</v>
      </c>
      <c r="L24" s="681">
        <v>250</v>
      </c>
      <c r="M24" s="681"/>
      <c r="N24" s="681">
        <v>0</v>
      </c>
      <c r="O24" s="681"/>
      <c r="P24" s="681"/>
      <c r="Q24" s="681">
        <v>0</v>
      </c>
      <c r="R24" s="681">
        <v>400</v>
      </c>
      <c r="S24" s="681"/>
      <c r="T24" s="681"/>
      <c r="U24" s="681">
        <v>0</v>
      </c>
      <c r="V24" s="681">
        <v>0</v>
      </c>
      <c r="W24" s="671" t="s">
        <v>376</v>
      </c>
    </row>
    <row r="25" spans="1:23" s="544" customFormat="1" ht="21">
      <c r="A25" s="668" t="s">
        <v>438</v>
      </c>
      <c r="B25" s="669">
        <f t="shared" si="1"/>
        <v>25355.915000000001</v>
      </c>
      <c r="C25" s="680">
        <v>0</v>
      </c>
      <c r="D25" s="680"/>
      <c r="E25" s="680">
        <v>0</v>
      </c>
      <c r="F25" s="680">
        <v>0</v>
      </c>
      <c r="G25" s="681"/>
      <c r="H25" s="681">
        <v>0</v>
      </c>
      <c r="I25" s="681"/>
      <c r="J25" s="681">
        <v>0</v>
      </c>
      <c r="K25" s="681">
        <v>25355.915000000001</v>
      </c>
      <c r="L25" s="681">
        <v>0</v>
      </c>
      <c r="M25" s="681"/>
      <c r="N25" s="681">
        <v>0</v>
      </c>
      <c r="O25" s="681"/>
      <c r="P25" s="681"/>
      <c r="Q25" s="681">
        <v>0</v>
      </c>
      <c r="R25" s="681">
        <v>0</v>
      </c>
      <c r="S25" s="681"/>
      <c r="T25" s="681"/>
      <c r="U25" s="681">
        <v>0</v>
      </c>
      <c r="V25" s="681">
        <v>0</v>
      </c>
      <c r="W25" s="671" t="s">
        <v>439</v>
      </c>
    </row>
    <row r="26" spans="1:23" s="544" customFormat="1" ht="21">
      <c r="A26" s="672" t="s">
        <v>377</v>
      </c>
      <c r="B26" s="673">
        <f>SUM(C26:V26)</f>
        <v>179707.13999999998</v>
      </c>
      <c r="C26" s="682">
        <v>0</v>
      </c>
      <c r="D26" s="682"/>
      <c r="E26" s="682">
        <v>20543.2</v>
      </c>
      <c r="F26" s="682">
        <v>0</v>
      </c>
      <c r="G26" s="683"/>
      <c r="H26" s="683">
        <v>7350</v>
      </c>
      <c r="I26" s="683"/>
      <c r="J26" s="683">
        <v>39023.519999999997</v>
      </c>
      <c r="K26" s="683">
        <v>103429.40000000001</v>
      </c>
      <c r="L26" s="683">
        <v>721.5</v>
      </c>
      <c r="M26" s="683"/>
      <c r="N26" s="683">
        <v>0</v>
      </c>
      <c r="O26" s="683"/>
      <c r="P26" s="683"/>
      <c r="Q26" s="683">
        <v>1081.4000000000001</v>
      </c>
      <c r="R26" s="683">
        <v>6178.9000000000005</v>
      </c>
      <c r="S26" s="683"/>
      <c r="T26" s="683"/>
      <c r="U26" s="683">
        <v>1379.22</v>
      </c>
      <c r="V26" s="683">
        <v>0</v>
      </c>
      <c r="W26" s="674" t="s">
        <v>378</v>
      </c>
    </row>
    <row r="27" spans="1:23" s="544" customFormat="1" ht="45" customHeight="1">
      <c r="A27" s="889" t="s">
        <v>440</v>
      </c>
      <c r="B27" s="889"/>
      <c r="C27" s="889"/>
      <c r="D27" s="889"/>
      <c r="E27" s="889"/>
      <c r="F27" s="675"/>
      <c r="G27" s="676"/>
      <c r="H27" s="676"/>
      <c r="I27" s="677"/>
      <c r="J27" s="890" t="s">
        <v>423</v>
      </c>
      <c r="K27" s="890"/>
      <c r="L27" s="890"/>
      <c r="M27" s="890"/>
      <c r="N27" s="890"/>
      <c r="O27" s="890"/>
      <c r="P27" s="890"/>
      <c r="Q27" s="890"/>
      <c r="R27" s="890"/>
      <c r="S27" s="890"/>
      <c r="T27" s="890"/>
      <c r="U27" s="890"/>
      <c r="V27" s="890"/>
      <c r="W27" s="890"/>
    </row>
    <row r="28" spans="1:23" s="544" customFormat="1" ht="13.5" customHeight="1">
      <c r="A28" s="545"/>
      <c r="B28" s="678"/>
      <c r="C28" s="678"/>
      <c r="D28" s="678"/>
      <c r="E28" s="678"/>
      <c r="F28" s="678"/>
      <c r="G28" s="677"/>
      <c r="H28" s="677"/>
      <c r="I28" s="677"/>
      <c r="J28" s="677"/>
      <c r="K28" s="657"/>
      <c r="L28" s="657"/>
      <c r="M28" s="657"/>
      <c r="N28" s="657"/>
      <c r="O28" s="657"/>
      <c r="P28" s="679"/>
      <c r="Q28" s="679"/>
      <c r="R28" s="679"/>
      <c r="S28" s="679"/>
      <c r="T28" s="679"/>
      <c r="U28" s="679"/>
      <c r="V28" s="547"/>
      <c r="W28" s="547" t="s">
        <v>424</v>
      </c>
    </row>
    <row r="29" spans="1:23" ht="12.75">
      <c r="A29" s="729" t="s">
        <v>481</v>
      </c>
    </row>
  </sheetData>
  <mergeCells count="9">
    <mergeCell ref="A27:E27"/>
    <mergeCell ref="J27:W27"/>
    <mergeCell ref="A3:W3"/>
    <mergeCell ref="A4:W4"/>
    <mergeCell ref="A5:W5"/>
    <mergeCell ref="B7:B9"/>
    <mergeCell ref="C7:G7"/>
    <mergeCell ref="P7:V7"/>
    <mergeCell ref="W7:W9"/>
  </mergeCells>
  <pageMargins left="0.7" right="0.7" top="0.75" bottom="0.75" header="0.3" footer="0.3"/>
  <pageSetup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Z28"/>
  <sheetViews>
    <sheetView tabSelected="1" workbookViewId="0">
      <selection activeCell="A32" sqref="A1:XFD32"/>
    </sheetView>
  </sheetViews>
  <sheetFormatPr defaultColWidth="11.28515625" defaultRowHeight="12"/>
  <cols>
    <col min="1" max="1" width="18.28515625" style="548" customWidth="1"/>
    <col min="2" max="2" width="14.28515625" style="584" customWidth="1"/>
    <col min="3" max="3" width="10.7109375" style="584" customWidth="1"/>
    <col min="4" max="4" width="10.7109375" style="584" hidden="1" customWidth="1"/>
    <col min="5" max="5" width="10.7109375" style="584" customWidth="1"/>
    <col min="6" max="8" width="10.7109375" style="584" hidden="1" customWidth="1"/>
    <col min="9" max="9" width="10.7109375" style="584" customWidth="1"/>
    <col min="10" max="11" width="10.7109375" style="584" hidden="1" customWidth="1"/>
    <col min="12" max="14" width="10.7109375" style="584" customWidth="1"/>
    <col min="15" max="16" width="10.7109375" style="584" hidden="1" customWidth="1"/>
    <col min="17" max="17" width="10.7109375" style="584" customWidth="1"/>
    <col min="18" max="19" width="10.7109375" style="585" hidden="1" customWidth="1"/>
    <col min="20" max="21" width="10.7109375" style="585" customWidth="1"/>
    <col min="22" max="23" width="10.7109375" style="585" hidden="1" customWidth="1"/>
    <col min="24" max="25" width="10.7109375" style="585" customWidth="1"/>
    <col min="26" max="26" width="24" style="548" customWidth="1"/>
    <col min="27" max="16384" width="11.28515625" style="548"/>
  </cols>
  <sheetData>
    <row r="2" spans="1:26" ht="21.75">
      <c r="A2" s="899" t="s">
        <v>425</v>
      </c>
      <c r="B2" s="899"/>
      <c r="C2" s="899"/>
      <c r="D2" s="899"/>
      <c r="E2" s="899"/>
      <c r="F2" s="899"/>
      <c r="G2" s="899"/>
      <c r="H2" s="899"/>
      <c r="I2" s="899"/>
      <c r="J2" s="899"/>
      <c r="K2" s="899"/>
      <c r="L2" s="899"/>
      <c r="M2" s="899"/>
      <c r="N2" s="899"/>
      <c r="O2" s="899"/>
      <c r="P2" s="899"/>
      <c r="Q2" s="899"/>
      <c r="R2" s="899"/>
      <c r="S2" s="899"/>
      <c r="T2" s="899"/>
      <c r="U2" s="899"/>
      <c r="V2" s="899"/>
      <c r="W2" s="899"/>
      <c r="X2" s="899"/>
      <c r="Y2" s="899"/>
      <c r="Z2" s="899"/>
    </row>
    <row r="3" spans="1:26" s="549" customFormat="1" ht="17.25" customHeight="1">
      <c r="A3" s="900" t="s">
        <v>426</v>
      </c>
      <c r="B3" s="900"/>
      <c r="C3" s="900"/>
      <c r="D3" s="900"/>
      <c r="E3" s="900"/>
      <c r="F3" s="900"/>
      <c r="G3" s="900"/>
      <c r="H3" s="900"/>
      <c r="I3" s="900"/>
      <c r="J3" s="900"/>
      <c r="K3" s="900"/>
      <c r="L3" s="900"/>
      <c r="M3" s="900"/>
      <c r="N3" s="900"/>
      <c r="O3" s="900"/>
      <c r="P3" s="900"/>
      <c r="Q3" s="900"/>
      <c r="R3" s="900"/>
      <c r="S3" s="900"/>
      <c r="T3" s="900"/>
      <c r="U3" s="900"/>
      <c r="V3" s="900"/>
      <c r="W3" s="900"/>
      <c r="X3" s="900"/>
      <c r="Y3" s="900"/>
      <c r="Z3" s="900"/>
    </row>
    <row r="4" spans="1:26" s="549" customFormat="1" ht="21">
      <c r="A4" s="901" t="s">
        <v>379</v>
      </c>
      <c r="B4" s="901"/>
      <c r="C4" s="901"/>
      <c r="D4" s="901"/>
      <c r="E4" s="901"/>
      <c r="F4" s="901"/>
      <c r="G4" s="901"/>
      <c r="H4" s="901"/>
      <c r="I4" s="901"/>
      <c r="J4" s="901"/>
      <c r="K4" s="901"/>
      <c r="L4" s="901"/>
      <c r="M4" s="901"/>
      <c r="N4" s="901"/>
      <c r="O4" s="901"/>
      <c r="P4" s="901"/>
      <c r="Q4" s="901"/>
      <c r="R4" s="901"/>
      <c r="S4" s="901"/>
      <c r="T4" s="901"/>
      <c r="U4" s="901"/>
      <c r="V4" s="901"/>
      <c r="W4" s="901"/>
      <c r="X4" s="901"/>
      <c r="Y4" s="901"/>
      <c r="Z4" s="901"/>
    </row>
    <row r="5" spans="1:26" s="551" customFormat="1" ht="21">
      <c r="A5" s="550"/>
      <c r="B5" s="893" t="s">
        <v>90</v>
      </c>
      <c r="C5" s="895" t="s">
        <v>380</v>
      </c>
      <c r="D5" s="895"/>
      <c r="E5" s="895"/>
      <c r="F5" s="895"/>
      <c r="G5" s="895"/>
      <c r="H5" s="655"/>
      <c r="I5" s="541"/>
      <c r="J5" s="542"/>
      <c r="K5" s="542"/>
      <c r="L5" s="542"/>
      <c r="M5" s="542"/>
      <c r="N5" s="542"/>
      <c r="O5" s="542"/>
      <c r="P5" s="542"/>
      <c r="Q5" s="542"/>
      <c r="R5" s="542"/>
      <c r="S5" s="896" t="s">
        <v>358</v>
      </c>
      <c r="T5" s="896"/>
      <c r="U5" s="896"/>
      <c r="V5" s="896"/>
      <c r="W5" s="896"/>
      <c r="X5" s="896"/>
      <c r="Y5" s="896"/>
      <c r="Z5" s="902" t="s">
        <v>235</v>
      </c>
    </row>
    <row r="6" spans="1:26" s="551" customFormat="1" ht="12.75" customHeight="1">
      <c r="A6" s="552" t="s">
        <v>293</v>
      </c>
      <c r="B6" s="894"/>
      <c r="C6" s="631" t="s">
        <v>38</v>
      </c>
      <c r="D6" s="631" t="s">
        <v>40</v>
      </c>
      <c r="E6" s="631" t="s">
        <v>42</v>
      </c>
      <c r="F6" s="631" t="s">
        <v>44</v>
      </c>
      <c r="G6" s="631" t="s">
        <v>46</v>
      </c>
      <c r="H6" s="631"/>
      <c r="I6" s="631" t="s">
        <v>48</v>
      </c>
      <c r="J6" s="631" t="s">
        <v>50</v>
      </c>
      <c r="K6" s="631" t="s">
        <v>349</v>
      </c>
      <c r="L6" s="631" t="s">
        <v>52</v>
      </c>
      <c r="M6" s="631" t="s">
        <v>54</v>
      </c>
      <c r="N6" s="631" t="s">
        <v>56</v>
      </c>
      <c r="O6" s="631" t="s">
        <v>58</v>
      </c>
      <c r="P6" s="631"/>
      <c r="Q6" s="631" t="s">
        <v>60</v>
      </c>
      <c r="R6" s="631" t="s">
        <v>62</v>
      </c>
      <c r="S6" s="631" t="s">
        <v>64</v>
      </c>
      <c r="T6" s="631" t="s">
        <v>66</v>
      </c>
      <c r="U6" s="631" t="s">
        <v>68</v>
      </c>
      <c r="V6" s="631" t="s">
        <v>70</v>
      </c>
      <c r="W6" s="631" t="s">
        <v>72</v>
      </c>
      <c r="X6" s="631" t="s">
        <v>74</v>
      </c>
      <c r="Y6" s="631" t="s">
        <v>75</v>
      </c>
      <c r="Z6" s="903"/>
    </row>
    <row r="7" spans="1:26" s="549" customFormat="1" ht="12.75">
      <c r="A7" s="553"/>
      <c r="B7" s="894"/>
      <c r="C7" s="543" t="s">
        <v>37</v>
      </c>
      <c r="D7" s="543" t="s">
        <v>39</v>
      </c>
      <c r="E7" s="543" t="s">
        <v>41</v>
      </c>
      <c r="F7" s="543" t="s">
        <v>43</v>
      </c>
      <c r="G7" s="543" t="s">
        <v>45</v>
      </c>
      <c r="H7" s="543" t="s">
        <v>221</v>
      </c>
      <c r="I7" s="543" t="s">
        <v>47</v>
      </c>
      <c r="J7" s="543" t="s">
        <v>49</v>
      </c>
      <c r="K7" s="543" t="s">
        <v>49</v>
      </c>
      <c r="L7" s="543" t="s">
        <v>51</v>
      </c>
      <c r="M7" s="543" t="s">
        <v>191</v>
      </c>
      <c r="N7" s="543" t="s">
        <v>55</v>
      </c>
      <c r="O7" s="543" t="s">
        <v>57</v>
      </c>
      <c r="P7" s="543" t="s">
        <v>57</v>
      </c>
      <c r="Q7" s="543" t="s">
        <v>59</v>
      </c>
      <c r="R7" s="543" t="s">
        <v>61</v>
      </c>
      <c r="S7" s="543" t="s">
        <v>63</v>
      </c>
      <c r="T7" s="543" t="s">
        <v>65</v>
      </c>
      <c r="U7" s="543" t="s">
        <v>67</v>
      </c>
      <c r="V7" s="543" t="s">
        <v>69</v>
      </c>
      <c r="W7" s="543" t="s">
        <v>71</v>
      </c>
      <c r="X7" s="543" t="s">
        <v>73</v>
      </c>
      <c r="Y7" s="543" t="s">
        <v>42</v>
      </c>
      <c r="Z7" s="903"/>
    </row>
    <row r="8" spans="1:26" s="549" customFormat="1" ht="21">
      <c r="A8" s="554" t="s">
        <v>90</v>
      </c>
      <c r="B8" s="555">
        <f t="shared" ref="B8:B16" si="0">SUM(C8:Y8)</f>
        <v>30124093</v>
      </c>
      <c r="C8" s="556">
        <f>SUM(C9:C24)</f>
        <v>24650</v>
      </c>
      <c r="D8" s="556">
        <f t="shared" ref="D8:X8" si="1">SUM(D9:D24)</f>
        <v>0</v>
      </c>
      <c r="E8" s="556">
        <f t="shared" si="1"/>
        <v>829990</v>
      </c>
      <c r="F8" s="556">
        <f t="shared" si="1"/>
        <v>0</v>
      </c>
      <c r="G8" s="556">
        <f t="shared" si="1"/>
        <v>0</v>
      </c>
      <c r="H8" s="556">
        <f t="shared" si="1"/>
        <v>0</v>
      </c>
      <c r="I8" s="556">
        <f t="shared" si="1"/>
        <v>893780</v>
      </c>
      <c r="J8" s="556">
        <f t="shared" si="1"/>
        <v>0</v>
      </c>
      <c r="K8" s="556">
        <f t="shared" si="1"/>
        <v>0</v>
      </c>
      <c r="L8" s="556">
        <f t="shared" si="1"/>
        <v>2725680</v>
      </c>
      <c r="M8" s="556">
        <f t="shared" si="1"/>
        <v>19050810</v>
      </c>
      <c r="N8" s="556">
        <f t="shared" si="1"/>
        <v>161650</v>
      </c>
      <c r="O8" s="556">
        <f t="shared" si="1"/>
        <v>0</v>
      </c>
      <c r="P8" s="556">
        <f t="shared" si="1"/>
        <v>0</v>
      </c>
      <c r="Q8" s="556">
        <f t="shared" si="1"/>
        <v>500550</v>
      </c>
      <c r="R8" s="556">
        <f t="shared" si="1"/>
        <v>0</v>
      </c>
      <c r="S8" s="556">
        <f t="shared" si="1"/>
        <v>0</v>
      </c>
      <c r="T8" s="556">
        <f t="shared" si="1"/>
        <v>1624035</v>
      </c>
      <c r="U8" s="556">
        <f t="shared" si="1"/>
        <v>4025595</v>
      </c>
      <c r="V8" s="556">
        <f t="shared" si="1"/>
        <v>0</v>
      </c>
      <c r="W8" s="556">
        <f t="shared" si="1"/>
        <v>0</v>
      </c>
      <c r="X8" s="556">
        <f t="shared" si="1"/>
        <v>227085</v>
      </c>
      <c r="Y8" s="556">
        <f>SUM(Y9:Y24)</f>
        <v>60268</v>
      </c>
      <c r="Z8" s="557" t="s">
        <v>158</v>
      </c>
    </row>
    <row r="9" spans="1:26" s="549" customFormat="1" ht="21">
      <c r="A9" s="558" t="s">
        <v>381</v>
      </c>
      <c r="B9" s="559">
        <f t="shared" si="0"/>
        <v>5172535</v>
      </c>
      <c r="C9" s="560">
        <v>0</v>
      </c>
      <c r="D9" s="560"/>
      <c r="E9" s="560">
        <v>0</v>
      </c>
      <c r="F9" s="560">
        <v>0</v>
      </c>
      <c r="G9" s="560"/>
      <c r="H9" s="560"/>
      <c r="I9" s="560">
        <v>0</v>
      </c>
      <c r="J9" s="560"/>
      <c r="K9" s="560"/>
      <c r="L9" s="560"/>
      <c r="M9" s="560">
        <v>5172535</v>
      </c>
      <c r="N9" s="560">
        <v>0</v>
      </c>
      <c r="O9" s="560"/>
      <c r="P9" s="560"/>
      <c r="Q9" s="560">
        <v>0</v>
      </c>
      <c r="R9" s="560"/>
      <c r="S9" s="560"/>
      <c r="T9" s="560">
        <v>0</v>
      </c>
      <c r="U9" s="560">
        <v>0</v>
      </c>
      <c r="V9" s="560"/>
      <c r="W9" s="560"/>
      <c r="X9" s="560">
        <v>0</v>
      </c>
      <c r="Y9" s="560">
        <v>0</v>
      </c>
      <c r="Z9" s="561" t="s">
        <v>382</v>
      </c>
    </row>
    <row r="10" spans="1:26" s="549" customFormat="1" ht="21">
      <c r="A10" s="558" t="s">
        <v>359</v>
      </c>
      <c r="B10" s="559">
        <f t="shared" si="0"/>
        <v>3511250</v>
      </c>
      <c r="C10" s="562">
        <v>0</v>
      </c>
      <c r="D10" s="562"/>
      <c r="E10" s="562">
        <v>23000</v>
      </c>
      <c r="F10" s="562">
        <v>0</v>
      </c>
      <c r="G10" s="563"/>
      <c r="H10" s="563"/>
      <c r="I10" s="564">
        <v>102200</v>
      </c>
      <c r="J10" s="563"/>
      <c r="K10" s="563"/>
      <c r="L10" s="565">
        <v>277200</v>
      </c>
      <c r="M10" s="564">
        <v>2792850</v>
      </c>
      <c r="N10" s="565">
        <v>0</v>
      </c>
      <c r="O10" s="563"/>
      <c r="P10" s="563"/>
      <c r="Q10" s="565">
        <v>0</v>
      </c>
      <c r="R10" s="565"/>
      <c r="S10" s="566"/>
      <c r="T10" s="566">
        <v>0</v>
      </c>
      <c r="U10" s="566">
        <v>316000</v>
      </c>
      <c r="V10" s="566"/>
      <c r="W10" s="566"/>
      <c r="X10" s="566">
        <v>0</v>
      </c>
      <c r="Y10" s="560">
        <v>0</v>
      </c>
      <c r="Z10" s="561" t="s">
        <v>286</v>
      </c>
    </row>
    <row r="11" spans="1:26" s="549" customFormat="1" ht="21">
      <c r="A11" s="567" t="s">
        <v>363</v>
      </c>
      <c r="B11" s="559">
        <f t="shared" si="0"/>
        <v>1978050</v>
      </c>
      <c r="C11" s="562">
        <v>0</v>
      </c>
      <c r="D11" s="562"/>
      <c r="E11" s="562">
        <v>91700</v>
      </c>
      <c r="F11" s="562"/>
      <c r="G11" s="563"/>
      <c r="H11" s="563"/>
      <c r="I11" s="564">
        <v>230300</v>
      </c>
      <c r="J11" s="563"/>
      <c r="K11" s="563"/>
      <c r="L11" s="565">
        <v>80500</v>
      </c>
      <c r="M11" s="564">
        <v>1508800</v>
      </c>
      <c r="N11" s="565">
        <v>52200</v>
      </c>
      <c r="O11" s="563"/>
      <c r="P11" s="563"/>
      <c r="Q11" s="565">
        <v>0</v>
      </c>
      <c r="R11" s="566"/>
      <c r="S11" s="566"/>
      <c r="T11" s="566">
        <v>0</v>
      </c>
      <c r="U11" s="566">
        <v>14550</v>
      </c>
      <c r="V11" s="566"/>
      <c r="W11" s="566"/>
      <c r="X11" s="566">
        <v>0</v>
      </c>
      <c r="Y11" s="560">
        <v>0</v>
      </c>
      <c r="Z11" s="561" t="s">
        <v>262</v>
      </c>
    </row>
    <row r="12" spans="1:26" s="549" customFormat="1" ht="21">
      <c r="A12" s="567" t="s">
        <v>383</v>
      </c>
      <c r="B12" s="559">
        <f t="shared" si="0"/>
        <v>1133190</v>
      </c>
      <c r="C12" s="562">
        <v>0</v>
      </c>
      <c r="D12" s="562"/>
      <c r="E12" s="562">
        <v>0</v>
      </c>
      <c r="F12" s="562"/>
      <c r="G12" s="563"/>
      <c r="H12" s="563"/>
      <c r="I12" s="564">
        <v>0</v>
      </c>
      <c r="J12" s="563"/>
      <c r="K12" s="563"/>
      <c r="L12" s="565">
        <v>64320</v>
      </c>
      <c r="M12" s="564">
        <v>298310</v>
      </c>
      <c r="N12" s="565">
        <v>0</v>
      </c>
      <c r="O12" s="563"/>
      <c r="P12" s="563"/>
      <c r="Q12" s="565">
        <v>0</v>
      </c>
      <c r="R12" s="566"/>
      <c r="S12" s="566"/>
      <c r="T12" s="568">
        <v>598560</v>
      </c>
      <c r="U12" s="566">
        <v>172000</v>
      </c>
      <c r="V12" s="566"/>
      <c r="W12" s="566"/>
      <c r="X12" s="566">
        <v>0</v>
      </c>
      <c r="Y12" s="560">
        <v>0</v>
      </c>
      <c r="Z12" s="561" t="s">
        <v>260</v>
      </c>
    </row>
    <row r="13" spans="1:26" s="549" customFormat="1" ht="21">
      <c r="A13" s="558" t="s">
        <v>384</v>
      </c>
      <c r="B13" s="559">
        <f t="shared" si="0"/>
        <v>5834250</v>
      </c>
      <c r="C13" s="562">
        <v>0</v>
      </c>
      <c r="D13" s="562"/>
      <c r="E13" s="562">
        <v>0</v>
      </c>
      <c r="F13" s="562"/>
      <c r="G13" s="563"/>
      <c r="H13" s="563"/>
      <c r="I13" s="564">
        <v>0</v>
      </c>
      <c r="J13" s="563"/>
      <c r="K13" s="563"/>
      <c r="L13" s="565">
        <v>15000</v>
      </c>
      <c r="M13" s="564">
        <v>5803250</v>
      </c>
      <c r="N13" s="565">
        <v>16000</v>
      </c>
      <c r="O13" s="563"/>
      <c r="P13" s="563"/>
      <c r="Q13" s="565">
        <v>0</v>
      </c>
      <c r="R13" s="566"/>
      <c r="S13" s="569"/>
      <c r="T13" s="566">
        <v>0</v>
      </c>
      <c r="U13" s="566">
        <v>0</v>
      </c>
      <c r="V13" s="566"/>
      <c r="W13" s="566"/>
      <c r="X13" s="566">
        <v>0</v>
      </c>
      <c r="Y13" s="560">
        <v>0</v>
      </c>
      <c r="Z13" s="561" t="s">
        <v>274</v>
      </c>
    </row>
    <row r="14" spans="1:26" s="549" customFormat="1" ht="21">
      <c r="A14" s="558" t="s">
        <v>362</v>
      </c>
      <c r="B14" s="559">
        <f t="shared" si="0"/>
        <v>426110</v>
      </c>
      <c r="C14" s="562">
        <v>11250</v>
      </c>
      <c r="D14" s="562"/>
      <c r="E14" s="562">
        <v>29200</v>
      </c>
      <c r="F14" s="562"/>
      <c r="G14" s="563"/>
      <c r="H14" s="563"/>
      <c r="I14" s="564">
        <v>48800</v>
      </c>
      <c r="J14" s="563"/>
      <c r="K14" s="563"/>
      <c r="L14" s="565">
        <v>80600</v>
      </c>
      <c r="M14" s="564">
        <v>168200</v>
      </c>
      <c r="N14" s="565">
        <v>0</v>
      </c>
      <c r="O14" s="563"/>
      <c r="P14" s="563"/>
      <c r="Q14" s="565">
        <v>0</v>
      </c>
      <c r="R14" s="566"/>
      <c r="S14" s="566"/>
      <c r="T14" s="566">
        <v>0</v>
      </c>
      <c r="U14" s="566">
        <v>88060</v>
      </c>
      <c r="V14" s="566"/>
      <c r="W14" s="566"/>
      <c r="X14" s="566">
        <v>0</v>
      </c>
      <c r="Y14" s="560">
        <v>0</v>
      </c>
      <c r="Z14" s="561" t="s">
        <v>278</v>
      </c>
    </row>
    <row r="15" spans="1:26" s="549" customFormat="1" ht="21">
      <c r="A15" s="558" t="s">
        <v>364</v>
      </c>
      <c r="B15" s="559">
        <f t="shared" si="0"/>
        <v>2588415</v>
      </c>
      <c r="C15" s="562">
        <v>12000</v>
      </c>
      <c r="D15" s="562"/>
      <c r="E15" s="562">
        <v>143175</v>
      </c>
      <c r="F15" s="562"/>
      <c r="G15" s="563"/>
      <c r="H15" s="563"/>
      <c r="I15" s="564">
        <v>0</v>
      </c>
      <c r="J15" s="563"/>
      <c r="K15" s="563"/>
      <c r="L15" s="565">
        <v>605925</v>
      </c>
      <c r="M15" s="564">
        <v>55315</v>
      </c>
      <c r="N15" s="565">
        <v>0</v>
      </c>
      <c r="O15" s="563"/>
      <c r="P15" s="563"/>
      <c r="Q15" s="565">
        <v>0</v>
      </c>
      <c r="R15" s="566"/>
      <c r="S15" s="566"/>
      <c r="T15" s="566">
        <v>11430</v>
      </c>
      <c r="U15" s="566">
        <v>1668170</v>
      </c>
      <c r="V15" s="566"/>
      <c r="W15" s="566"/>
      <c r="X15" s="566">
        <v>32400</v>
      </c>
      <c r="Y15" s="566">
        <v>60000</v>
      </c>
      <c r="Z15" s="561" t="s">
        <v>244</v>
      </c>
    </row>
    <row r="16" spans="1:26" s="549" customFormat="1" ht="21">
      <c r="A16" s="570" t="s">
        <v>360</v>
      </c>
      <c r="B16" s="559">
        <f t="shared" si="0"/>
        <v>2493160</v>
      </c>
      <c r="C16" s="562">
        <v>0</v>
      </c>
      <c r="D16" s="562"/>
      <c r="E16" s="562">
        <v>46800</v>
      </c>
      <c r="F16" s="562"/>
      <c r="G16" s="563"/>
      <c r="H16" s="563"/>
      <c r="I16" s="564">
        <v>0</v>
      </c>
      <c r="J16" s="563"/>
      <c r="K16" s="563"/>
      <c r="L16" s="565">
        <v>443080</v>
      </c>
      <c r="M16" s="564">
        <v>45200</v>
      </c>
      <c r="N16" s="565">
        <v>0</v>
      </c>
      <c r="O16" s="563"/>
      <c r="P16" s="563"/>
      <c r="Q16" s="565">
        <v>384000</v>
      </c>
      <c r="R16" s="566"/>
      <c r="S16" s="566"/>
      <c r="T16" s="566">
        <v>621500</v>
      </c>
      <c r="U16" s="566">
        <v>858340</v>
      </c>
      <c r="V16" s="566"/>
      <c r="W16" s="566"/>
      <c r="X16" s="566">
        <v>94000</v>
      </c>
      <c r="Y16" s="566">
        <v>240</v>
      </c>
      <c r="Z16" s="561" t="s">
        <v>361</v>
      </c>
    </row>
    <row r="17" spans="1:26" s="549" customFormat="1" ht="21">
      <c r="A17" s="558" t="s">
        <v>365</v>
      </c>
      <c r="B17" s="559">
        <f t="shared" ref="B17:B24" si="2">SUM(C17:Y17)</f>
        <v>532925</v>
      </c>
      <c r="C17" s="562">
        <v>0</v>
      </c>
      <c r="D17" s="562"/>
      <c r="E17" s="562">
        <v>5220</v>
      </c>
      <c r="F17" s="562"/>
      <c r="G17" s="563"/>
      <c r="H17" s="563"/>
      <c r="I17" s="564">
        <v>63680</v>
      </c>
      <c r="J17" s="563"/>
      <c r="K17" s="563"/>
      <c r="L17" s="565">
        <v>139600</v>
      </c>
      <c r="M17" s="564">
        <v>231300</v>
      </c>
      <c r="N17" s="565">
        <v>75600</v>
      </c>
      <c r="O17" s="563"/>
      <c r="P17" s="563"/>
      <c r="Q17" s="565">
        <v>0</v>
      </c>
      <c r="R17" s="566"/>
      <c r="S17" s="566"/>
      <c r="T17" s="566">
        <v>1750</v>
      </c>
      <c r="U17" s="566">
        <v>15775</v>
      </c>
      <c r="V17" s="566"/>
      <c r="W17" s="566"/>
      <c r="X17" s="566">
        <v>0</v>
      </c>
      <c r="Y17" s="566">
        <v>0</v>
      </c>
      <c r="Z17" s="561" t="s">
        <v>366</v>
      </c>
    </row>
    <row r="18" spans="1:26" s="549" customFormat="1" ht="21">
      <c r="A18" s="567" t="s">
        <v>372</v>
      </c>
      <c r="B18" s="559">
        <f t="shared" si="2"/>
        <v>1063400</v>
      </c>
      <c r="C18" s="562">
        <v>1400</v>
      </c>
      <c r="D18" s="562"/>
      <c r="E18" s="562">
        <v>0</v>
      </c>
      <c r="F18" s="562"/>
      <c r="G18" s="563"/>
      <c r="H18" s="563"/>
      <c r="I18" s="564">
        <v>0</v>
      </c>
      <c r="J18" s="563"/>
      <c r="K18" s="563"/>
      <c r="L18" s="565">
        <v>307000</v>
      </c>
      <c r="M18" s="564">
        <v>755000</v>
      </c>
      <c r="N18" s="565">
        <v>0</v>
      </c>
      <c r="O18" s="563"/>
      <c r="P18" s="563"/>
      <c r="Q18" s="565">
        <v>0</v>
      </c>
      <c r="R18" s="566"/>
      <c r="S18" s="566"/>
      <c r="T18" s="566">
        <v>0</v>
      </c>
      <c r="U18" s="566">
        <v>0</v>
      </c>
      <c r="V18" s="566"/>
      <c r="W18" s="566"/>
      <c r="X18" s="566">
        <v>0</v>
      </c>
      <c r="Y18" s="566">
        <v>0</v>
      </c>
      <c r="Z18" s="561" t="s">
        <v>373</v>
      </c>
    </row>
    <row r="19" spans="1:26" s="549" customFormat="1" ht="21">
      <c r="A19" s="570" t="s">
        <v>367</v>
      </c>
      <c r="B19" s="559">
        <f t="shared" si="2"/>
        <v>1153173</v>
      </c>
      <c r="C19" s="562">
        <v>0</v>
      </c>
      <c r="D19" s="562"/>
      <c r="E19" s="562">
        <v>23500</v>
      </c>
      <c r="F19" s="562"/>
      <c r="G19" s="563"/>
      <c r="H19" s="563"/>
      <c r="I19" s="564">
        <v>0</v>
      </c>
      <c r="J19" s="563"/>
      <c r="K19" s="563"/>
      <c r="L19" s="565">
        <v>46400</v>
      </c>
      <c r="M19" s="564">
        <v>25100</v>
      </c>
      <c r="N19" s="565">
        <v>0</v>
      </c>
      <c r="O19" s="563"/>
      <c r="P19" s="563"/>
      <c r="Q19" s="565">
        <v>116550</v>
      </c>
      <c r="R19" s="566"/>
      <c r="S19" s="566"/>
      <c r="T19" s="566">
        <v>262545</v>
      </c>
      <c r="U19" s="566">
        <v>677300</v>
      </c>
      <c r="V19" s="566"/>
      <c r="W19" s="566"/>
      <c r="X19" s="566">
        <v>1750</v>
      </c>
      <c r="Y19" s="566">
        <v>28</v>
      </c>
      <c r="Z19" s="561" t="s">
        <v>368</v>
      </c>
    </row>
    <row r="20" spans="1:26" s="549" customFormat="1" ht="21">
      <c r="A20" s="558" t="s">
        <v>370</v>
      </c>
      <c r="B20" s="559">
        <f t="shared" si="2"/>
        <v>358890</v>
      </c>
      <c r="C20" s="562">
        <v>0</v>
      </c>
      <c r="D20" s="562"/>
      <c r="E20" s="562">
        <v>16800</v>
      </c>
      <c r="F20" s="562"/>
      <c r="G20" s="563"/>
      <c r="H20" s="563"/>
      <c r="I20" s="564">
        <v>262500</v>
      </c>
      <c r="J20" s="563"/>
      <c r="K20" s="563"/>
      <c r="L20" s="565">
        <v>2800</v>
      </c>
      <c r="M20" s="564">
        <v>0</v>
      </c>
      <c r="N20" s="565">
        <v>0</v>
      </c>
      <c r="O20" s="563"/>
      <c r="P20" s="563"/>
      <c r="Q20" s="565">
        <v>0</v>
      </c>
      <c r="R20" s="565"/>
      <c r="S20" s="566"/>
      <c r="T20" s="566">
        <v>69950</v>
      </c>
      <c r="U20" s="566">
        <v>6840</v>
      </c>
      <c r="V20" s="566"/>
      <c r="W20" s="566"/>
      <c r="X20" s="563">
        <v>0</v>
      </c>
      <c r="Y20" s="563">
        <v>0</v>
      </c>
      <c r="Z20" s="561" t="s">
        <v>371</v>
      </c>
    </row>
    <row r="21" spans="1:26" s="549" customFormat="1" ht="21">
      <c r="A21" s="567" t="s">
        <v>374</v>
      </c>
      <c r="B21" s="559">
        <f t="shared" si="2"/>
        <v>213300</v>
      </c>
      <c r="C21" s="562">
        <v>0</v>
      </c>
      <c r="D21" s="562"/>
      <c r="E21" s="562">
        <v>39000</v>
      </c>
      <c r="F21" s="562"/>
      <c r="G21" s="563"/>
      <c r="H21" s="563"/>
      <c r="I21" s="564">
        <v>0</v>
      </c>
      <c r="J21" s="563"/>
      <c r="K21" s="563"/>
      <c r="L21" s="565">
        <v>400</v>
      </c>
      <c r="M21" s="564">
        <v>0</v>
      </c>
      <c r="N21" s="565">
        <v>0</v>
      </c>
      <c r="O21" s="563"/>
      <c r="P21" s="563"/>
      <c r="Q21" s="565">
        <v>0</v>
      </c>
      <c r="R21" s="565"/>
      <c r="S21" s="566"/>
      <c r="T21" s="566">
        <v>6400</v>
      </c>
      <c r="U21" s="566">
        <v>106500</v>
      </c>
      <c r="V21" s="566"/>
      <c r="W21" s="566"/>
      <c r="X21" s="566">
        <v>61000</v>
      </c>
      <c r="Y21" s="563">
        <v>0</v>
      </c>
      <c r="Z21" s="561" t="s">
        <v>270</v>
      </c>
    </row>
    <row r="22" spans="1:26" s="549" customFormat="1" ht="21">
      <c r="A22" s="558" t="s">
        <v>369</v>
      </c>
      <c r="B22" s="559">
        <f t="shared" si="2"/>
        <v>326700</v>
      </c>
      <c r="C22" s="562">
        <v>0</v>
      </c>
      <c r="D22" s="562"/>
      <c r="E22" s="562">
        <v>6500</v>
      </c>
      <c r="F22" s="562"/>
      <c r="G22" s="563"/>
      <c r="H22" s="563"/>
      <c r="I22" s="564">
        <v>30800</v>
      </c>
      <c r="J22" s="563"/>
      <c r="K22" s="563"/>
      <c r="L22" s="565">
        <v>48000</v>
      </c>
      <c r="M22" s="564">
        <v>241400</v>
      </c>
      <c r="N22" s="565">
        <v>0</v>
      </c>
      <c r="O22" s="563"/>
      <c r="P22" s="563"/>
      <c r="Q22" s="565">
        <v>0</v>
      </c>
      <c r="R22" s="565"/>
      <c r="S22" s="566"/>
      <c r="T22" s="566">
        <v>0</v>
      </c>
      <c r="U22" s="566">
        <v>0</v>
      </c>
      <c r="V22" s="566"/>
      <c r="W22" s="566"/>
      <c r="X22" s="563">
        <v>0</v>
      </c>
      <c r="Y22" s="563">
        <v>0</v>
      </c>
      <c r="Z22" s="561" t="s">
        <v>385</v>
      </c>
    </row>
    <row r="23" spans="1:26" s="549" customFormat="1" ht="20.25" customHeight="1">
      <c r="A23" s="558" t="s">
        <v>375</v>
      </c>
      <c r="B23" s="559">
        <f t="shared" si="2"/>
        <v>203700</v>
      </c>
      <c r="C23" s="562">
        <v>0</v>
      </c>
      <c r="D23" s="562"/>
      <c r="E23" s="562">
        <v>4800</v>
      </c>
      <c r="F23" s="562"/>
      <c r="G23" s="563"/>
      <c r="H23" s="563"/>
      <c r="I23" s="564">
        <v>0</v>
      </c>
      <c r="J23" s="563"/>
      <c r="K23" s="563"/>
      <c r="L23" s="565">
        <v>66000</v>
      </c>
      <c r="M23" s="564">
        <v>124700</v>
      </c>
      <c r="N23" s="565">
        <v>3000</v>
      </c>
      <c r="O23" s="563"/>
      <c r="P23" s="563"/>
      <c r="Q23" s="565">
        <v>0</v>
      </c>
      <c r="R23" s="565"/>
      <c r="S23" s="566"/>
      <c r="T23" s="566">
        <v>0</v>
      </c>
      <c r="U23" s="566">
        <v>5200</v>
      </c>
      <c r="V23" s="566"/>
      <c r="W23" s="566"/>
      <c r="X23" s="563">
        <v>0</v>
      </c>
      <c r="Y23" s="563">
        <v>0</v>
      </c>
      <c r="Z23" s="561" t="s">
        <v>376</v>
      </c>
    </row>
    <row r="24" spans="1:26" s="544" customFormat="1" ht="21.75" customHeight="1">
      <c r="A24" s="571" t="s">
        <v>377</v>
      </c>
      <c r="B24" s="583">
        <f t="shared" si="2"/>
        <v>3135045</v>
      </c>
      <c r="C24" s="572">
        <v>0</v>
      </c>
      <c r="D24" s="572"/>
      <c r="E24" s="572">
        <v>400295</v>
      </c>
      <c r="F24" s="572"/>
      <c r="G24" s="573"/>
      <c r="H24" s="573"/>
      <c r="I24" s="574">
        <v>155500</v>
      </c>
      <c r="J24" s="573"/>
      <c r="K24" s="573"/>
      <c r="L24" s="575">
        <v>548855</v>
      </c>
      <c r="M24" s="574">
        <v>1828850</v>
      </c>
      <c r="N24" s="575">
        <v>14850</v>
      </c>
      <c r="O24" s="573"/>
      <c r="P24" s="573"/>
      <c r="Q24" s="575">
        <v>0</v>
      </c>
      <c r="R24" s="576"/>
      <c r="S24" s="576"/>
      <c r="T24" s="576">
        <v>51900</v>
      </c>
      <c r="U24" s="576">
        <v>96860</v>
      </c>
      <c r="V24" s="576"/>
      <c r="W24" s="573"/>
      <c r="X24" s="576">
        <v>37935</v>
      </c>
      <c r="Y24" s="576">
        <v>0</v>
      </c>
      <c r="Z24" s="577" t="s">
        <v>378</v>
      </c>
    </row>
    <row r="25" spans="1:26" s="544" customFormat="1" ht="42.75" customHeight="1">
      <c r="A25" s="546" t="s">
        <v>427</v>
      </c>
      <c r="B25" s="578"/>
      <c r="C25" s="578"/>
      <c r="D25" s="578"/>
      <c r="E25" s="579"/>
      <c r="F25" s="579"/>
      <c r="G25" s="579"/>
      <c r="H25" s="579"/>
      <c r="I25" s="579"/>
      <c r="J25" s="580"/>
      <c r="K25" s="580"/>
      <c r="L25" s="580"/>
      <c r="M25" s="580"/>
      <c r="N25" s="890" t="s">
        <v>423</v>
      </c>
      <c r="O25" s="890"/>
      <c r="P25" s="890"/>
      <c r="Q25" s="890"/>
      <c r="R25" s="890"/>
      <c r="S25" s="890"/>
      <c r="T25" s="890"/>
      <c r="U25" s="890"/>
      <c r="V25" s="890"/>
      <c r="W25" s="890"/>
      <c r="X25" s="890"/>
      <c r="Y25" s="890"/>
      <c r="Z25" s="890"/>
    </row>
    <row r="26" spans="1:26" s="544" customFormat="1" ht="12.75" customHeight="1">
      <c r="A26" s="545"/>
      <c r="B26" s="582"/>
      <c r="C26" s="578"/>
      <c r="D26" s="578"/>
      <c r="E26" s="579"/>
      <c r="F26" s="579"/>
      <c r="G26" s="579"/>
      <c r="H26" s="579"/>
      <c r="I26" s="579"/>
      <c r="J26" s="580"/>
      <c r="K26" s="580"/>
      <c r="L26" s="580"/>
      <c r="M26" s="580"/>
      <c r="N26" s="580"/>
      <c r="O26" s="580"/>
      <c r="P26" s="580"/>
      <c r="Q26" s="581"/>
      <c r="R26" s="549"/>
      <c r="S26" s="549"/>
      <c r="T26" s="549"/>
      <c r="U26" s="549"/>
      <c r="V26" s="549"/>
      <c r="W26" s="549"/>
      <c r="X26" s="549"/>
      <c r="Y26" s="549"/>
      <c r="Z26" s="547" t="s">
        <v>424</v>
      </c>
    </row>
    <row r="27" spans="1:26" s="544" customFormat="1" ht="12.75" customHeight="1">
      <c r="A27" s="729" t="s">
        <v>481</v>
      </c>
      <c r="B27" s="582"/>
      <c r="C27" s="578"/>
      <c r="D27" s="578"/>
      <c r="E27" s="579"/>
      <c r="F27" s="579"/>
      <c r="G27" s="579"/>
      <c r="H27" s="579"/>
      <c r="I27" s="579"/>
      <c r="J27" s="580"/>
      <c r="K27" s="580"/>
      <c r="L27" s="580"/>
      <c r="M27" s="580"/>
      <c r="N27" s="580"/>
      <c r="O27" s="580"/>
      <c r="P27" s="580"/>
      <c r="Q27" s="581"/>
      <c r="R27" s="549"/>
      <c r="S27" s="549"/>
      <c r="T27" s="549"/>
      <c r="U27" s="549"/>
      <c r="V27" s="549"/>
      <c r="W27" s="549"/>
      <c r="X27" s="549"/>
      <c r="Y27" s="549"/>
    </row>
    <row r="28" spans="1:26" s="544" customFormat="1" ht="12.75" customHeight="1">
      <c r="A28" s="545"/>
      <c r="B28" s="582"/>
      <c r="C28" s="578"/>
      <c r="D28" s="578"/>
      <c r="E28" s="579"/>
      <c r="F28" s="579"/>
      <c r="G28" s="579"/>
      <c r="H28" s="579"/>
      <c r="I28" s="579"/>
      <c r="J28" s="580"/>
      <c r="K28" s="580"/>
      <c r="L28" s="580"/>
      <c r="M28" s="580"/>
      <c r="N28" s="580"/>
      <c r="O28" s="580"/>
      <c r="P28" s="580"/>
      <c r="Q28" s="581"/>
      <c r="R28" s="549"/>
      <c r="S28" s="549"/>
      <c r="T28" s="549"/>
      <c r="U28" s="549"/>
      <c r="V28" s="549"/>
      <c r="W28" s="549"/>
      <c r="X28" s="549"/>
      <c r="Y28" s="549"/>
      <c r="Z28" s="547"/>
    </row>
  </sheetData>
  <mergeCells count="8">
    <mergeCell ref="N25:Z25"/>
    <mergeCell ref="A2:Z2"/>
    <mergeCell ref="A3:Z3"/>
    <mergeCell ref="A4:Z4"/>
    <mergeCell ref="B5:B7"/>
    <mergeCell ref="C5:G5"/>
    <mergeCell ref="S5:Y5"/>
    <mergeCell ref="Z5:Z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9.1</vt:lpstr>
      <vt:lpstr>9.2</vt:lpstr>
      <vt:lpstr>9.3</vt:lpstr>
      <vt:lpstr>9.4</vt:lpstr>
      <vt:lpstr>9.5</vt:lpstr>
      <vt:lpstr>9.6</vt:lpstr>
      <vt:lpstr>9.7</vt:lpstr>
      <vt:lpstr>9.8</vt:lpstr>
      <vt:lpstr>9.9</vt:lpstr>
      <vt:lpstr>9.10</vt:lpstr>
      <vt:lpstr>9.11</vt:lpstr>
      <vt:lpstr>9.12</vt:lpstr>
      <vt:lpstr>9.13</vt:lpstr>
      <vt:lpstr>9.14</vt:lpstr>
      <vt:lpstr>9.15</vt:lpstr>
      <vt:lpstr>9.16</vt:lpstr>
      <vt:lpstr>9.17</vt:lpstr>
      <vt:lpstr>9.18</vt:lpstr>
      <vt:lpstr>9.19</vt:lpstr>
      <vt:lpstr>9.20</vt:lpstr>
      <vt:lpstr>'9.1'!Print_Area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dcterms:created xsi:type="dcterms:W3CDTF">2019-09-09T05:11:24Z</dcterms:created>
  <dcterms:modified xsi:type="dcterms:W3CDTF">2021-07-14T07:58:12Z</dcterms:modified>
</cp:coreProperties>
</file>