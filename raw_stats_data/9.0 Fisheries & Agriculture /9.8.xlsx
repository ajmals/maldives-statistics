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8" sheetId="8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1" i="8" l="1"/>
  <c r="D108" i="8" s="1"/>
  <c r="C111" i="8"/>
  <c r="C108" i="8" s="1"/>
  <c r="B111" i="8"/>
  <c r="B108" i="8"/>
  <c r="D80" i="8"/>
  <c r="D77" i="8" s="1"/>
  <c r="C80" i="8"/>
  <c r="C77" i="8" s="1"/>
  <c r="B80" i="8"/>
  <c r="B77" i="8" s="1"/>
  <c r="C43" i="8"/>
  <c r="C40" i="8" s="1"/>
  <c r="B43" i="8"/>
  <c r="B40" i="8" s="1"/>
  <c r="C12" i="8"/>
  <c r="B12" i="8"/>
  <c r="B9" i="8" s="1"/>
  <c r="C9" i="8"/>
</calcChain>
</file>

<file path=xl/sharedStrings.xml><?xml version="1.0" encoding="utf-8"?>
<sst xmlns="http://schemas.openxmlformats.org/spreadsheetml/2006/main" count="242" uniqueCount="68">
  <si>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</si>
  <si>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</si>
  <si>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</si>
  <si>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</si>
  <si>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</si>
  <si>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</si>
  <si>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</si>
  <si>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</si>
  <si>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</si>
  <si>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</si>
  <si>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</si>
  <si>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</si>
  <si>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</si>
  <si>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</si>
  <si>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</si>
  <si>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</si>
  <si>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</si>
  <si>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</si>
  <si>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</si>
  <si>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</si>
  <si>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</si>
  <si>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</si>
  <si>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</si>
  <si>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</si>
  <si>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</si>
  <si>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</si>
  <si>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</si>
  <si>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</si>
  <si>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</si>
  <si>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</si>
  <si>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</si>
  <si>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</si>
  <si>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</si>
  <si>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</si>
  <si>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</si>
  <si>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</si>
  <si>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</si>
  <si>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</si>
  <si>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</si>
  <si>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</si>
  <si>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</si>
  <si>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</si>
  <si>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</si>
  <si>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</si>
  <si>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</si>
  <si>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</si>
  <si>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Other vessels</t>
  </si>
  <si>
    <t>inOdcswm cnehinehea</t>
  </si>
  <si>
    <t>Longline vessels</t>
  </si>
  <si>
    <t>udnwLua egumwkirevcswm unEl</t>
  </si>
  <si>
    <r>
      <t xml:space="preserve">                               </t>
    </r>
    <r>
      <rPr>
        <b/>
        <sz val="10"/>
        <rFont val="Calibri"/>
        <family val="2"/>
      </rPr>
      <t xml:space="preserve">  Fishing Trips</t>
    </r>
    <r>
      <rPr>
        <b/>
        <sz val="10"/>
        <rFont val="A_Randhoo"/>
      </rPr>
      <t xml:space="preserve">                           </t>
    </r>
    <r>
      <rPr>
        <b/>
        <sz val="10"/>
        <rFont val="A_Waheed"/>
      </rPr>
      <t xml:space="preserve"> urwhwfirufcSwhwm</t>
    </r>
  </si>
  <si>
    <t>ތަން</t>
  </si>
  <si>
    <t>inOdcswm iLeaunIjcnia</t>
  </si>
  <si>
    <t>Mechanised</t>
  </si>
  <si>
    <t>Masdhoni</t>
  </si>
  <si>
    <t xml:space="preserve"> AA</t>
  </si>
  <si>
    <t>Table 9.7  ( continued )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</si>
  <si>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</si>
  <si>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 xml:space="preserve">  udwdwA egInOdirufcSwhwm ukwhwm emcnok cSokcjercvea</t>
  </si>
  <si>
    <t>inOdcswmiLeaunIjcnia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</si>
  <si>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</si>
  <si>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</si>
  <si>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</si>
  <si>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udnwLua egumwkirevcswmunEl</t>
  </si>
  <si>
    <t>2019 ,udwdwA irufcSwhwm urwhwfinOd iaWdwdwA egurwhwfudnwLua Wrukcnwkirevcswm irufcSwhwm ukwhwm emcnok cSokcjercvea ,cnutog eguLotwa WviawfcSokIrcTcsijwr udnwLua : 9.8 ulwvWt</t>
  </si>
  <si>
    <t>Table 9.8 :  NUMBER OF VESSELS ENGAGED PER MONTH IN FISHING AND NUMBER OF FISHING TRIPS BY VESSEL LOCALITY, 2019</t>
  </si>
  <si>
    <t>2020 ,udwdwA irufcSwhwm urwhwfinOd iaWdwdwA egurwhwfudnwLua Wrukcnwkirevcswm irufcSwhwm ukwhwm emcnok cSokcjercvea ,cnutog eguLotwa WviawfcSokIrcTcsijwr udnwLua : 9.8 ulwvWt</t>
  </si>
  <si>
    <t>Table 9.8 :  NUMBER OF VESSELS ENGAGED PER MONTH IN FISHING AND NUMBER OF FISHING TRIPS BY VESSEL LOCALITY,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</si>
</sst>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70" formatCode="[$-409]mmmm\ d\,\ yyyy;@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b/>
      <sz val="11"/>
      <name val="A_Waheed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sz val="9"/>
      <name val="Faruma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name val="A_Randhoo"/>
    </font>
    <font>
      <b/>
      <sz val="10"/>
      <name val="Courier"/>
      <family val="3"/>
    </font>
    <font>
      <i/>
      <sz val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7">
    <xf numFmtId="0" fontId="0" fillId="0" borderId="0"/>
    <xf numFmtId="164" fontId="1" fillId="0" borderId="0"/>
    <xf numFmtId="40" fontId="12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6" fillId="0" borderId="0"/>
  </cellStyleXfs>
  <cellXfs count="53">
    <xf numFmtId="0" fontId="0" fillId="0" borderId="0" xfId="0"/>
    <xf numFmtId="164" fontId="6" fillId="2" borderId="0" xfId="1" applyFont="1" applyFill="1" applyAlignment="1">
      <alignment vertical="center"/>
    </xf>
    <xf numFmtId="164" fontId="7" fillId="2" borderId="0" xfId="1" applyFont="1" applyFill="1" applyAlignment="1" applyProtection="1">
      <alignment horizontal="left" vertical="center"/>
    </xf>
    <xf numFmtId="164" fontId="9" fillId="2" borderId="0" xfId="1" applyFont="1" applyFill="1" applyBorder="1" applyAlignment="1">
      <alignment horizontal="right" vertical="center"/>
    </xf>
    <xf numFmtId="164" fontId="8" fillId="2" borderId="0" xfId="1" applyFont="1" applyFill="1" applyAlignment="1">
      <alignment horizontal="right" vertical="center"/>
    </xf>
    <xf numFmtId="164" fontId="7" fillId="2" borderId="0" xfId="1" applyFont="1" applyFill="1" applyAlignment="1" applyProtection="1">
      <alignment vertical="center"/>
    </xf>
    <xf numFmtId="164" fontId="5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/>
    <xf numFmtId="164" fontId="4" fillId="2" borderId="0" xfId="0" applyNumberFormat="1" applyFont="1" applyFill="1"/>
    <xf numFmtId="164" fontId="13" fillId="2" borderId="3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horizontal="right" vertical="center" wrapText="1"/>
    </xf>
    <xf numFmtId="164" fontId="8" fillId="2" borderId="4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wrapText="1"/>
    </xf>
    <xf numFmtId="164" fontId="15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/>
    <xf numFmtId="164" fontId="7" fillId="2" borderId="0" xfId="0" applyNumberFormat="1" applyFont="1" applyFill="1" applyBorder="1" applyAlignment="1">
      <alignment horizontal="right"/>
    </xf>
    <xf numFmtId="164" fontId="7" fillId="2" borderId="5" xfId="1" applyFont="1" applyFill="1" applyBorder="1" applyAlignment="1" applyProtection="1">
      <alignment horizontal="right"/>
    </xf>
    <xf numFmtId="1" fontId="4" fillId="2" borderId="0" xfId="0" applyNumberFormat="1" applyFont="1" applyFill="1" applyAlignment="1">
      <alignment vertical="center"/>
    </xf>
    <xf numFmtId="164" fontId="7" fillId="2" borderId="1" xfId="0" applyNumberFormat="1" applyFont="1" applyFill="1" applyBorder="1" applyAlignment="1">
      <alignment horizontal="right"/>
    </xf>
    <xf numFmtId="164" fontId="7" fillId="2" borderId="0" xfId="1" applyFont="1" applyFill="1" applyAlignment="1" applyProtection="1">
      <alignment horizontal="left" vertical="center" indent="2"/>
    </xf>
    <xf numFmtId="3" fontId="7" fillId="2" borderId="2" xfId="0" applyNumberFormat="1" applyFont="1" applyFill="1" applyBorder="1" applyAlignment="1">
      <alignment horizontal="right" vertical="center"/>
    </xf>
    <xf numFmtId="1" fontId="15" fillId="2" borderId="0" xfId="0" applyNumberFormat="1" applyFont="1" applyFill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 applyProtection="1">
      <alignment horizontal="left" vertical="center" indent="2"/>
    </xf>
    <xf numFmtId="3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 indent="1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4" fillId="2" borderId="1" xfId="0" applyNumberFormat="1" applyFont="1" applyFill="1" applyBorder="1" applyAlignment="1" applyProtection="1">
      <alignment horizontal="left" vertical="center" indent="2"/>
    </xf>
    <xf numFmtId="3" fontId="4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 indent="1"/>
    </xf>
    <xf numFmtId="164" fontId="1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164" fontId="13" fillId="2" borderId="3" xfId="0" applyNumberFormat="1" applyFont="1" applyFill="1" applyBorder="1" applyAlignment="1">
      <alignment horizontal="right" vertical="center" wrapText="1"/>
    </xf>
    <xf numFmtId="164" fontId="13" fillId="2" borderId="3" xfId="0" applyNumberFormat="1" applyFont="1" applyFill="1" applyBorder="1" applyAlignment="1">
      <alignment vertical="center" wrapText="1"/>
    </xf>
    <xf numFmtId="164" fontId="15" fillId="2" borderId="0" xfId="0" applyNumberFormat="1" applyFont="1" applyFill="1"/>
    <xf numFmtId="164" fontId="4" fillId="2" borderId="0" xfId="0" applyNumberFormat="1" applyFont="1" applyFill="1" applyAlignment="1" applyProtection="1">
      <alignment horizontal="left" vertical="center"/>
    </xf>
    <xf numFmtId="164" fontId="4" fillId="2" borderId="1" xfId="0" applyNumberFormat="1" applyFont="1" applyFill="1" applyBorder="1" applyAlignment="1" applyProtection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4" fontId="16" fillId="2" borderId="0" xfId="1" applyFont="1" applyFill="1" applyAlignment="1" applyProtection="1">
      <alignment horizontal="left" vertical="center"/>
    </xf>
    <xf numFmtId="164" fontId="14" fillId="2" borderId="0" xfId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left" vertical="center"/>
    </xf>
    <xf numFmtId="164" fontId="7" fillId="2" borderId="0" xfId="0" applyNumberFormat="1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top"/>
    </xf>
    <xf numFmtId="164" fontId="7" fillId="2" borderId="1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</cellXfs>
  <cellStyles count="7">
    <cellStyle name="1" xfId="6"/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T132"/>
  <sheetViews>
    <sheetView tabSelected="1" workbookViewId="0">
      <selection activeCell="G49" sqref="G49"/>
    </sheetView>
  </sheetViews>
  <sheetFormatPr defaultRowHeight="12" x14ac:dyDescent="0.15"/>
  <cols>
    <col min="1" max="1" width="15.140625" style="7" customWidth="1"/>
    <col min="2" max="2" width="23.140625" style="7" customWidth="1"/>
    <col min="3" max="4" width="24.7109375" style="7" customWidth="1"/>
    <col min="5" max="5" width="26.28515625" style="7" customWidth="1"/>
    <col min="6" max="6" width="9.140625" style="7"/>
    <col min="7" max="7" width="20.28515625" style="7" customWidth="1"/>
    <col min="8" max="16384" width="9.140625" style="7"/>
  </cols>
  <sheetData>
    <row r="1" spans="1:228" ht="27" customHeight="1" x14ac:dyDescent="0.15">
      <c r="A1" s="49" t="s">
        <v>66</v>
      </c>
      <c r="B1" s="49"/>
      <c r="C1" s="49"/>
      <c r="D1" s="49"/>
      <c r="E1" s="49"/>
    </row>
    <row r="2" spans="1:228" s="8" customFormat="1" ht="23.25" customHeight="1" x14ac:dyDescent="0.2">
      <c r="A2" s="50" t="s">
        <v>67</v>
      </c>
      <c r="B2" s="50"/>
      <c r="C2" s="50"/>
      <c r="D2" s="50"/>
      <c r="E2" s="50"/>
    </row>
    <row r="3" spans="1:228" s="8" customFormat="1" ht="12.75" x14ac:dyDescent="0.2">
      <c r="A3" s="51"/>
      <c r="B3" s="52"/>
      <c r="C3" s="52"/>
    </row>
    <row r="4" spans="1:228" ht="15.75" x14ac:dyDescent="0.15">
      <c r="A4" s="43" t="s">
        <v>0</v>
      </c>
      <c r="B4" s="9" t="s">
        <v>50</v>
      </c>
      <c r="C4" s="9"/>
      <c r="D4" s="9"/>
      <c r="E4" s="46" t="s">
        <v>51</v>
      </c>
    </row>
    <row r="5" spans="1:228" s="12" customFormat="1" ht="39" customHeight="1" x14ac:dyDescent="0.15">
      <c r="A5" s="44"/>
      <c r="B5" s="10" t="s">
        <v>52</v>
      </c>
      <c r="C5" s="4" t="s">
        <v>47</v>
      </c>
      <c r="D5" s="11"/>
      <c r="E5" s="47"/>
    </row>
    <row r="6" spans="1:228" ht="1.1499999999999999" customHeight="1" x14ac:dyDescent="0.15">
      <c r="A6" s="44"/>
      <c r="B6" s="13"/>
      <c r="C6" s="13"/>
      <c r="D6" s="14"/>
      <c r="E6" s="47"/>
    </row>
    <row r="7" spans="1:228" s="17" customFormat="1" ht="12" customHeight="1" x14ac:dyDescent="0.2">
      <c r="A7" s="44"/>
      <c r="B7" s="15" t="s">
        <v>53</v>
      </c>
      <c r="C7" s="16" t="s">
        <v>46</v>
      </c>
      <c r="D7" s="15"/>
      <c r="E7" s="4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17" customFormat="1" ht="12.75" x14ac:dyDescent="0.2">
      <c r="A8" s="45"/>
      <c r="B8" s="18" t="s">
        <v>54</v>
      </c>
      <c r="C8" s="18"/>
      <c r="D8" s="15"/>
      <c r="E8" s="4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21" customFormat="1" ht="15" x14ac:dyDescent="0.25">
      <c r="A9" s="19" t="s">
        <v>1</v>
      </c>
      <c r="B9" s="20">
        <f>B10+B12+B11</f>
        <v>52604</v>
      </c>
      <c r="C9" s="20">
        <f>C10+C12+C11</f>
        <v>70</v>
      </c>
      <c r="D9" s="20"/>
      <c r="E9" s="4" t="s">
        <v>2</v>
      </c>
    </row>
    <row r="10" spans="1:228" s="21" customFormat="1" ht="15" x14ac:dyDescent="0.25">
      <c r="A10" s="19" t="s">
        <v>3</v>
      </c>
      <c r="B10" s="22">
        <v>7174</v>
      </c>
      <c r="C10" s="22">
        <v>3</v>
      </c>
      <c r="D10" s="22"/>
      <c r="E10" s="4" t="s">
        <v>4</v>
      </c>
    </row>
    <row r="11" spans="1:228" s="21" customFormat="1" ht="15" hidden="1" x14ac:dyDescent="0.25">
      <c r="A11" s="19" t="s">
        <v>7</v>
      </c>
      <c r="B11" s="22"/>
      <c r="C11" s="22"/>
      <c r="D11" s="23"/>
      <c r="E11" s="4" t="s">
        <v>61</v>
      </c>
    </row>
    <row r="12" spans="1:228" s="21" customFormat="1" ht="15" x14ac:dyDescent="0.25">
      <c r="A12" s="19" t="s">
        <v>5</v>
      </c>
      <c r="B12" s="22">
        <f>SUM(B13:B32)</f>
        <v>45430</v>
      </c>
      <c r="C12" s="22">
        <f>SUM(C13:C32)</f>
        <v>67</v>
      </c>
      <c r="D12" s="22"/>
      <c r="E12" s="4" t="s">
        <v>6</v>
      </c>
    </row>
    <row r="13" spans="1:228" s="27" customFormat="1" ht="15" x14ac:dyDescent="0.25">
      <c r="A13" s="24" t="s">
        <v>8</v>
      </c>
      <c r="B13" s="25">
        <v>2447</v>
      </c>
      <c r="C13" s="25">
        <v>0</v>
      </c>
      <c r="D13" s="25"/>
      <c r="E13" s="26" t="s">
        <v>9</v>
      </c>
    </row>
    <row r="14" spans="1:228" s="27" customFormat="1" ht="15" x14ac:dyDescent="0.25">
      <c r="A14" s="24" t="s">
        <v>10</v>
      </c>
      <c r="B14" s="25">
        <v>1503</v>
      </c>
      <c r="C14" s="25">
        <v>0</v>
      </c>
      <c r="D14" s="25"/>
      <c r="E14" s="26" t="s">
        <v>11</v>
      </c>
    </row>
    <row r="15" spans="1:228" s="27" customFormat="1" ht="15" x14ac:dyDescent="0.25">
      <c r="A15" s="24" t="s">
        <v>12</v>
      </c>
      <c r="B15" s="25">
        <v>2527</v>
      </c>
      <c r="C15" s="25">
        <v>0</v>
      </c>
      <c r="D15" s="25"/>
      <c r="E15" s="26" t="s">
        <v>13</v>
      </c>
    </row>
    <row r="16" spans="1:228" s="27" customFormat="1" ht="15" x14ac:dyDescent="0.25">
      <c r="A16" s="24" t="s">
        <v>14</v>
      </c>
      <c r="B16" s="25">
        <v>1546</v>
      </c>
      <c r="C16" s="25">
        <v>1</v>
      </c>
      <c r="D16" s="25"/>
      <c r="E16" s="26" t="s">
        <v>15</v>
      </c>
    </row>
    <row r="17" spans="1:228" s="27" customFormat="1" ht="15" x14ac:dyDescent="0.25">
      <c r="A17" s="24" t="s">
        <v>16</v>
      </c>
      <c r="B17" s="25">
        <v>2813</v>
      </c>
      <c r="C17" s="25">
        <v>0</v>
      </c>
      <c r="D17" s="25"/>
      <c r="E17" s="26" t="s">
        <v>17</v>
      </c>
    </row>
    <row r="18" spans="1:228" s="27" customFormat="1" ht="15" x14ac:dyDescent="0.25">
      <c r="A18" s="24" t="s">
        <v>18</v>
      </c>
      <c r="B18" s="25">
        <v>1273</v>
      </c>
      <c r="C18" s="25">
        <v>0</v>
      </c>
      <c r="D18" s="25"/>
      <c r="E18" s="26" t="s">
        <v>19</v>
      </c>
    </row>
    <row r="19" spans="1:228" s="27" customFormat="1" ht="15" x14ac:dyDescent="0.25">
      <c r="A19" s="24" t="s">
        <v>20</v>
      </c>
      <c r="B19" s="25">
        <v>1198</v>
      </c>
      <c r="C19" s="25">
        <v>0</v>
      </c>
      <c r="D19" s="25"/>
      <c r="E19" s="26" t="s">
        <v>21</v>
      </c>
    </row>
    <row r="20" spans="1:228" s="27" customFormat="1" ht="15" x14ac:dyDescent="0.25">
      <c r="A20" s="24" t="s">
        <v>22</v>
      </c>
      <c r="B20" s="25">
        <v>2226</v>
      </c>
      <c r="C20" s="25">
        <v>1</v>
      </c>
      <c r="D20" s="25"/>
      <c r="E20" s="26" t="s">
        <v>23</v>
      </c>
    </row>
    <row r="21" spans="1:228" s="27" customFormat="1" ht="15" x14ac:dyDescent="0.25">
      <c r="A21" s="24" t="s">
        <v>55</v>
      </c>
      <c r="B21" s="25">
        <v>2514</v>
      </c>
      <c r="C21" s="25">
        <v>3</v>
      </c>
      <c r="D21" s="25"/>
      <c r="E21" s="26" t="s">
        <v>24</v>
      </c>
    </row>
    <row r="22" spans="1:228" s="27" customFormat="1" ht="15" x14ac:dyDescent="0.25">
      <c r="A22" s="24" t="s">
        <v>25</v>
      </c>
      <c r="B22" s="25">
        <v>2972</v>
      </c>
      <c r="C22" s="25">
        <v>1</v>
      </c>
      <c r="D22" s="25"/>
      <c r="E22" s="26" t="s">
        <v>26</v>
      </c>
    </row>
    <row r="23" spans="1:228" s="27" customFormat="1" ht="15" x14ac:dyDescent="0.25">
      <c r="A23" s="24" t="s">
        <v>27</v>
      </c>
      <c r="B23" s="25">
        <v>206</v>
      </c>
      <c r="C23" s="25">
        <v>0</v>
      </c>
      <c r="D23" s="25"/>
      <c r="E23" s="26" t="s">
        <v>28</v>
      </c>
    </row>
    <row r="24" spans="1:228" s="27" customFormat="1" ht="15" x14ac:dyDescent="0.25">
      <c r="A24" s="24" t="s">
        <v>29</v>
      </c>
      <c r="B24" s="25">
        <v>1263</v>
      </c>
      <c r="C24" s="25">
        <v>2</v>
      </c>
      <c r="D24" s="25"/>
      <c r="E24" s="26" t="s">
        <v>30</v>
      </c>
    </row>
    <row r="25" spans="1:228" s="27" customFormat="1" ht="15" x14ac:dyDescent="0.25">
      <c r="A25" s="24" t="s">
        <v>31</v>
      </c>
      <c r="B25" s="25">
        <v>1910</v>
      </c>
      <c r="C25" s="25">
        <v>6</v>
      </c>
      <c r="D25" s="25"/>
      <c r="E25" s="26" t="s">
        <v>32</v>
      </c>
    </row>
    <row r="26" spans="1:228" ht="15" x14ac:dyDescent="0.15">
      <c r="A26" s="24" t="s">
        <v>33</v>
      </c>
      <c r="B26" s="25">
        <v>4815</v>
      </c>
      <c r="C26" s="25">
        <v>10</v>
      </c>
      <c r="D26" s="25"/>
      <c r="E26" s="26" t="s">
        <v>34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</row>
    <row r="27" spans="1:228" ht="15" x14ac:dyDescent="0.15">
      <c r="A27" s="24" t="s">
        <v>35</v>
      </c>
      <c r="B27" s="25">
        <v>2097</v>
      </c>
      <c r="C27" s="25">
        <v>3</v>
      </c>
      <c r="D27" s="25"/>
      <c r="E27" s="26" t="s">
        <v>36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</row>
    <row r="28" spans="1:228" ht="15" x14ac:dyDescent="0.15">
      <c r="A28" s="24" t="s">
        <v>37</v>
      </c>
      <c r="B28" s="25">
        <v>3453</v>
      </c>
      <c r="C28" s="25">
        <v>11</v>
      </c>
      <c r="D28" s="25"/>
      <c r="E28" s="26" t="s">
        <v>38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</row>
    <row r="29" spans="1:228" s="28" customFormat="1" ht="15" x14ac:dyDescent="0.25">
      <c r="A29" s="24" t="s">
        <v>39</v>
      </c>
      <c r="B29" s="25">
        <v>5035</v>
      </c>
      <c r="C29" s="25">
        <v>0</v>
      </c>
      <c r="D29" s="25"/>
      <c r="E29" s="26" t="s">
        <v>40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</row>
    <row r="30" spans="1:228" s="28" customFormat="1" ht="15" x14ac:dyDescent="0.25">
      <c r="A30" s="24" t="s">
        <v>41</v>
      </c>
      <c r="B30" s="25">
        <v>2904</v>
      </c>
      <c r="C30" s="25">
        <v>0</v>
      </c>
      <c r="D30" s="25"/>
      <c r="E30" s="26" t="s">
        <v>42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</row>
    <row r="31" spans="1:228" s="28" customFormat="1" ht="15" x14ac:dyDescent="0.25">
      <c r="A31" s="24" t="s">
        <v>43</v>
      </c>
      <c r="B31" s="25">
        <v>1159</v>
      </c>
      <c r="C31" s="25">
        <v>13</v>
      </c>
      <c r="D31" s="25"/>
      <c r="E31" s="26" t="s">
        <v>44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27"/>
      <c r="FU31" s="27"/>
      <c r="FV31" s="27"/>
      <c r="FW31" s="27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27"/>
      <c r="GK31" s="27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V31" s="27"/>
      <c r="GW31" s="27"/>
      <c r="GX31" s="27"/>
      <c r="GY31" s="27"/>
      <c r="GZ31" s="27"/>
      <c r="HA31" s="27"/>
      <c r="HB31" s="27"/>
      <c r="HC31" s="27"/>
      <c r="HD31" s="27"/>
      <c r="HE31" s="27"/>
      <c r="HF31" s="27"/>
      <c r="HG31" s="27"/>
      <c r="HH31" s="27"/>
      <c r="HI31" s="27"/>
      <c r="HJ31" s="27"/>
      <c r="HK31" s="27"/>
      <c r="HL31" s="27"/>
      <c r="HM31" s="27"/>
      <c r="HN31" s="27"/>
      <c r="HO31" s="27"/>
      <c r="HP31" s="27"/>
      <c r="HQ31" s="27"/>
      <c r="HR31" s="27"/>
      <c r="HS31" s="27"/>
      <c r="HT31" s="27"/>
    </row>
    <row r="32" spans="1:228" s="28" customFormat="1" ht="15" x14ac:dyDescent="0.25">
      <c r="A32" s="29" t="s">
        <v>13</v>
      </c>
      <c r="B32" s="30">
        <v>1569</v>
      </c>
      <c r="C32" s="30">
        <v>16</v>
      </c>
      <c r="D32" s="30"/>
      <c r="E32" s="31" t="s">
        <v>45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</row>
    <row r="33" spans="1:228" s="28" customFormat="1" ht="17.25" x14ac:dyDescent="0.15">
      <c r="B33" s="32"/>
      <c r="C33" s="32"/>
      <c r="E33" s="3" t="s">
        <v>60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</row>
    <row r="34" spans="1:228" ht="12.75" x14ac:dyDescent="0.15">
      <c r="A34" s="33" t="s">
        <v>56</v>
      </c>
    </row>
    <row r="36" spans="1:228" ht="39" customHeight="1" x14ac:dyDescent="0.15">
      <c r="A36" s="43" t="s">
        <v>0</v>
      </c>
      <c r="B36" s="34" t="s">
        <v>57</v>
      </c>
      <c r="C36" s="35"/>
      <c r="D36" s="42" t="s">
        <v>58</v>
      </c>
      <c r="E36" s="46" t="s">
        <v>51</v>
      </c>
    </row>
    <row r="37" spans="1:228" ht="40.15" customHeight="1" x14ac:dyDescent="0.15">
      <c r="A37" s="44"/>
      <c r="B37" s="10" t="s">
        <v>59</v>
      </c>
      <c r="C37" s="4" t="s">
        <v>47</v>
      </c>
      <c r="D37" s="10"/>
      <c r="E37" s="47"/>
    </row>
    <row r="38" spans="1:228" ht="12.75" x14ac:dyDescent="0.2">
      <c r="A38" s="44"/>
      <c r="B38" s="15" t="s">
        <v>53</v>
      </c>
      <c r="C38" s="16" t="s">
        <v>46</v>
      </c>
      <c r="D38" s="15"/>
      <c r="E38" s="47"/>
    </row>
    <row r="39" spans="1:228" ht="12.75" x14ac:dyDescent="0.2">
      <c r="A39" s="45"/>
      <c r="B39" s="18" t="s">
        <v>54</v>
      </c>
      <c r="C39" s="18"/>
      <c r="D39" s="18"/>
      <c r="E39" s="48"/>
    </row>
    <row r="40" spans="1:228" ht="15" x14ac:dyDescent="0.15">
      <c r="A40" s="2" t="s">
        <v>1</v>
      </c>
      <c r="B40" s="22">
        <f>B41+B43+B42</f>
        <v>757</v>
      </c>
      <c r="C40" s="22">
        <f>C41+C43+C42</f>
        <v>24</v>
      </c>
      <c r="D40" s="22"/>
      <c r="E40" s="4" t="s">
        <v>2</v>
      </c>
    </row>
    <row r="41" spans="1:228" ht="15" x14ac:dyDescent="0.15">
      <c r="A41" s="2" t="s">
        <v>3</v>
      </c>
      <c r="B41" s="22">
        <v>100</v>
      </c>
      <c r="C41" s="22">
        <v>3</v>
      </c>
      <c r="D41" s="23"/>
      <c r="E41" s="4" t="s">
        <v>4</v>
      </c>
    </row>
    <row r="42" spans="1:228" s="36" customFormat="1" ht="15" hidden="1" x14ac:dyDescent="0.15">
      <c r="A42" s="5" t="s">
        <v>7</v>
      </c>
      <c r="B42" s="22"/>
      <c r="C42" s="22"/>
      <c r="D42" s="22"/>
      <c r="E42" s="4" t="s">
        <v>61</v>
      </c>
    </row>
    <row r="43" spans="1:228" ht="15" x14ac:dyDescent="0.15">
      <c r="A43" s="2" t="s">
        <v>5</v>
      </c>
      <c r="B43" s="22">
        <f>SUM(B44:B63)</f>
        <v>657</v>
      </c>
      <c r="C43" s="22">
        <f>SUM(C44:C63)</f>
        <v>21</v>
      </c>
      <c r="D43" s="22"/>
      <c r="E43" s="4" t="s">
        <v>6</v>
      </c>
    </row>
    <row r="44" spans="1:228" ht="15" x14ac:dyDescent="0.15">
      <c r="A44" s="37" t="s">
        <v>8</v>
      </c>
      <c r="B44" s="25">
        <v>49</v>
      </c>
      <c r="C44" s="25">
        <v>0</v>
      </c>
      <c r="D44" s="25"/>
      <c r="E44" s="6" t="s">
        <v>9</v>
      </c>
    </row>
    <row r="45" spans="1:228" ht="15" x14ac:dyDescent="0.15">
      <c r="A45" s="37" t="s">
        <v>10</v>
      </c>
      <c r="B45" s="25">
        <v>24</v>
      </c>
      <c r="C45" s="25">
        <v>0</v>
      </c>
      <c r="D45" s="25"/>
      <c r="E45" s="6" t="s">
        <v>11</v>
      </c>
    </row>
    <row r="46" spans="1:228" ht="15" x14ac:dyDescent="0.15">
      <c r="A46" s="37" t="s">
        <v>12</v>
      </c>
      <c r="B46" s="25">
        <v>37</v>
      </c>
      <c r="C46" s="25">
        <v>0</v>
      </c>
      <c r="D46" s="25"/>
      <c r="E46" s="6" t="s">
        <v>13</v>
      </c>
    </row>
    <row r="47" spans="1:228" ht="15" x14ac:dyDescent="0.15">
      <c r="A47" s="37" t="s">
        <v>14</v>
      </c>
      <c r="B47" s="25">
        <v>24</v>
      </c>
      <c r="C47" s="25">
        <v>1</v>
      </c>
      <c r="D47" s="25"/>
      <c r="E47" s="6" t="s">
        <v>15</v>
      </c>
    </row>
    <row r="48" spans="1:228" ht="15" x14ac:dyDescent="0.15">
      <c r="A48" s="37" t="s">
        <v>16</v>
      </c>
      <c r="B48" s="25">
        <v>52</v>
      </c>
      <c r="C48" s="25">
        <v>0</v>
      </c>
      <c r="D48" s="25"/>
      <c r="E48" s="6" t="s">
        <v>17</v>
      </c>
    </row>
    <row r="49" spans="1:5" ht="15" x14ac:dyDescent="0.15">
      <c r="A49" s="37" t="s">
        <v>18</v>
      </c>
      <c r="B49" s="25">
        <v>25</v>
      </c>
      <c r="C49" s="25">
        <v>0</v>
      </c>
      <c r="D49" s="25"/>
      <c r="E49" s="6" t="s">
        <v>19</v>
      </c>
    </row>
    <row r="50" spans="1:5" ht="15" x14ac:dyDescent="0.15">
      <c r="A50" s="37" t="s">
        <v>20</v>
      </c>
      <c r="B50" s="25">
        <v>20</v>
      </c>
      <c r="C50" s="25">
        <v>0</v>
      </c>
      <c r="D50" s="25"/>
      <c r="E50" s="6" t="s">
        <v>21</v>
      </c>
    </row>
    <row r="51" spans="1:5" ht="15" x14ac:dyDescent="0.15">
      <c r="A51" s="37" t="s">
        <v>22</v>
      </c>
      <c r="B51" s="25">
        <v>36</v>
      </c>
      <c r="C51" s="25">
        <v>1</v>
      </c>
      <c r="D51" s="25"/>
      <c r="E51" s="6" t="s">
        <v>23</v>
      </c>
    </row>
    <row r="52" spans="1:5" ht="15" x14ac:dyDescent="0.15">
      <c r="A52" s="37" t="s">
        <v>55</v>
      </c>
      <c r="B52" s="25">
        <v>27</v>
      </c>
      <c r="C52" s="25">
        <v>1</v>
      </c>
      <c r="D52" s="25"/>
      <c r="E52" s="6" t="s">
        <v>24</v>
      </c>
    </row>
    <row r="53" spans="1:5" ht="15" x14ac:dyDescent="0.15">
      <c r="A53" s="37" t="s">
        <v>25</v>
      </c>
      <c r="B53" s="25">
        <v>23</v>
      </c>
      <c r="C53" s="25">
        <v>1</v>
      </c>
      <c r="D53" s="25"/>
      <c r="E53" s="6" t="s">
        <v>26</v>
      </c>
    </row>
    <row r="54" spans="1:5" ht="15" x14ac:dyDescent="0.15">
      <c r="A54" s="37" t="s">
        <v>27</v>
      </c>
      <c r="B54" s="25">
        <v>3</v>
      </c>
      <c r="C54" s="25">
        <v>0</v>
      </c>
      <c r="D54" s="25"/>
      <c r="E54" s="6" t="s">
        <v>28</v>
      </c>
    </row>
    <row r="55" spans="1:5" ht="15" x14ac:dyDescent="0.15">
      <c r="A55" s="37" t="s">
        <v>29</v>
      </c>
      <c r="B55" s="25">
        <v>28</v>
      </c>
      <c r="C55" s="25">
        <v>2</v>
      </c>
      <c r="D55" s="25"/>
      <c r="E55" s="6" t="s">
        <v>30</v>
      </c>
    </row>
    <row r="56" spans="1:5" ht="15" x14ac:dyDescent="0.15">
      <c r="A56" s="37" t="s">
        <v>31</v>
      </c>
      <c r="B56" s="25">
        <v>28</v>
      </c>
      <c r="C56" s="25">
        <v>2</v>
      </c>
      <c r="D56" s="25"/>
      <c r="E56" s="6" t="s">
        <v>32</v>
      </c>
    </row>
    <row r="57" spans="1:5" ht="15" x14ac:dyDescent="0.15">
      <c r="A57" s="37" t="s">
        <v>33</v>
      </c>
      <c r="B57" s="25">
        <v>61</v>
      </c>
      <c r="C57" s="25">
        <v>3</v>
      </c>
      <c r="D57" s="25"/>
      <c r="E57" s="6" t="s">
        <v>34</v>
      </c>
    </row>
    <row r="58" spans="1:5" ht="15" x14ac:dyDescent="0.15">
      <c r="A58" s="37" t="s">
        <v>35</v>
      </c>
      <c r="B58" s="25">
        <v>33</v>
      </c>
      <c r="C58" s="25">
        <v>2</v>
      </c>
      <c r="D58" s="25"/>
      <c r="E58" s="6" t="s">
        <v>36</v>
      </c>
    </row>
    <row r="59" spans="1:5" ht="15" x14ac:dyDescent="0.15">
      <c r="A59" s="37" t="s">
        <v>37</v>
      </c>
      <c r="B59" s="25">
        <v>44</v>
      </c>
      <c r="C59" s="25">
        <v>3</v>
      </c>
      <c r="D59" s="25"/>
      <c r="E59" s="6" t="s">
        <v>38</v>
      </c>
    </row>
    <row r="60" spans="1:5" ht="15" x14ac:dyDescent="0.15">
      <c r="A60" s="37" t="s">
        <v>39</v>
      </c>
      <c r="B60" s="25">
        <v>45</v>
      </c>
      <c r="C60" s="25">
        <v>0</v>
      </c>
      <c r="D60" s="25"/>
      <c r="E60" s="6" t="s">
        <v>40</v>
      </c>
    </row>
    <row r="61" spans="1:5" ht="15" x14ac:dyDescent="0.15">
      <c r="A61" s="37" t="s">
        <v>41</v>
      </c>
      <c r="B61" s="25">
        <v>34</v>
      </c>
      <c r="C61" s="25">
        <v>0</v>
      </c>
      <c r="D61" s="25"/>
      <c r="E61" s="6" t="s">
        <v>42</v>
      </c>
    </row>
    <row r="62" spans="1:5" ht="15" x14ac:dyDescent="0.15">
      <c r="A62" s="37" t="s">
        <v>43</v>
      </c>
      <c r="B62" s="25">
        <v>37</v>
      </c>
      <c r="C62" s="25">
        <v>1</v>
      </c>
      <c r="D62" s="25"/>
      <c r="E62" s="6" t="s">
        <v>44</v>
      </c>
    </row>
    <row r="63" spans="1:5" ht="15" x14ac:dyDescent="0.15">
      <c r="A63" s="38" t="s">
        <v>13</v>
      </c>
      <c r="B63" s="30">
        <v>27</v>
      </c>
      <c r="C63" s="30">
        <v>4</v>
      </c>
      <c r="D63" s="30"/>
      <c r="E63" s="39" t="s">
        <v>45</v>
      </c>
    </row>
    <row r="64" spans="1:5" s="1" customFormat="1" ht="17.25" x14ac:dyDescent="0.25">
      <c r="A64" s="40" t="s">
        <v>62</v>
      </c>
      <c r="B64" s="40"/>
      <c r="C64" s="40"/>
      <c r="D64" s="41"/>
      <c r="E64" s="3" t="s">
        <v>60</v>
      </c>
    </row>
    <row r="69" spans="1:228" ht="27" customHeight="1" x14ac:dyDescent="0.15">
      <c r="A69" s="49" t="s">
        <v>64</v>
      </c>
      <c r="B69" s="49"/>
      <c r="C69" s="49"/>
      <c r="D69" s="49"/>
      <c r="E69" s="49"/>
    </row>
    <row r="70" spans="1:228" s="8" customFormat="1" ht="23.25" customHeight="1" x14ac:dyDescent="0.2">
      <c r="A70" s="50" t="s">
        <v>65</v>
      </c>
      <c r="B70" s="50"/>
      <c r="C70" s="50"/>
      <c r="D70" s="50"/>
      <c r="E70" s="50"/>
    </row>
    <row r="71" spans="1:228" s="8" customFormat="1" ht="12.75" x14ac:dyDescent="0.2">
      <c r="A71" s="51"/>
      <c r="B71" s="52"/>
      <c r="C71" s="52"/>
    </row>
    <row r="72" spans="1:228" ht="15.75" x14ac:dyDescent="0.15">
      <c r="A72" s="43" t="s">
        <v>0</v>
      </c>
      <c r="B72" s="9" t="s">
        <v>50</v>
      </c>
      <c r="C72" s="9"/>
      <c r="D72" s="9"/>
      <c r="E72" s="46" t="s">
        <v>51</v>
      </c>
    </row>
    <row r="73" spans="1:228" s="12" customFormat="1" ht="39" customHeight="1" x14ac:dyDescent="0.15">
      <c r="A73" s="44"/>
      <c r="B73" s="10" t="s">
        <v>52</v>
      </c>
      <c r="C73" s="4" t="s">
        <v>47</v>
      </c>
      <c r="D73" s="11" t="s">
        <v>63</v>
      </c>
      <c r="E73" s="47"/>
    </row>
    <row r="74" spans="1:228" ht="1.1499999999999999" customHeight="1" x14ac:dyDescent="0.15">
      <c r="A74" s="44"/>
      <c r="B74" s="13"/>
      <c r="C74" s="13"/>
      <c r="D74" s="14"/>
      <c r="E74" s="47"/>
    </row>
    <row r="75" spans="1:228" s="17" customFormat="1" ht="12" customHeight="1" x14ac:dyDescent="0.2">
      <c r="A75" s="44"/>
      <c r="B75" s="15" t="s">
        <v>53</v>
      </c>
      <c r="C75" s="16" t="s">
        <v>46</v>
      </c>
      <c r="D75" s="15" t="s">
        <v>48</v>
      </c>
      <c r="E75" s="4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</row>
    <row r="76" spans="1:228" s="17" customFormat="1" ht="12.75" x14ac:dyDescent="0.2">
      <c r="A76" s="45"/>
      <c r="B76" s="18" t="s">
        <v>54</v>
      </c>
      <c r="C76" s="18"/>
      <c r="D76" s="15"/>
      <c r="E76" s="4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</row>
    <row r="77" spans="1:228" s="21" customFormat="1" ht="15" x14ac:dyDescent="0.25">
      <c r="A77" s="19" t="s">
        <v>1</v>
      </c>
      <c r="B77" s="20">
        <f>B78+B80+B79</f>
        <v>58759</v>
      </c>
      <c r="C77" s="20">
        <f>C78+C80+C79</f>
        <v>14</v>
      </c>
      <c r="D77" s="20">
        <f>D78+D80+D79</f>
        <v>2760</v>
      </c>
      <c r="E77" s="4" t="s">
        <v>2</v>
      </c>
    </row>
    <row r="78" spans="1:228" s="21" customFormat="1" ht="15" x14ac:dyDescent="0.25">
      <c r="A78" s="19" t="s">
        <v>3</v>
      </c>
      <c r="B78" s="22">
        <v>8271</v>
      </c>
      <c r="C78" s="22">
        <v>0</v>
      </c>
      <c r="D78" s="22">
        <v>0</v>
      </c>
      <c r="E78" s="4" t="s">
        <v>4</v>
      </c>
    </row>
    <row r="79" spans="1:228" s="21" customFormat="1" ht="15" x14ac:dyDescent="0.25">
      <c r="A79" s="19" t="s">
        <v>7</v>
      </c>
      <c r="B79" s="22">
        <v>0</v>
      </c>
      <c r="C79" s="22">
        <v>0</v>
      </c>
      <c r="D79" s="23">
        <v>2760</v>
      </c>
      <c r="E79" s="4" t="s">
        <v>61</v>
      </c>
    </row>
    <row r="80" spans="1:228" s="21" customFormat="1" ht="15" x14ac:dyDescent="0.25">
      <c r="A80" s="19" t="s">
        <v>5</v>
      </c>
      <c r="B80" s="22">
        <f>SUM(B81:B100)</f>
        <v>50488</v>
      </c>
      <c r="C80" s="22">
        <f>SUM(C81:C100)</f>
        <v>14</v>
      </c>
      <c r="D80" s="22">
        <f>SUM(D81:D100)</f>
        <v>0</v>
      </c>
      <c r="E80" s="4" t="s">
        <v>6</v>
      </c>
    </row>
    <row r="81" spans="1:228" s="27" customFormat="1" ht="15" x14ac:dyDescent="0.25">
      <c r="A81" s="24" t="s">
        <v>8</v>
      </c>
      <c r="B81" s="25">
        <v>3281</v>
      </c>
      <c r="C81" s="25">
        <v>0</v>
      </c>
      <c r="D81" s="25">
        <v>0</v>
      </c>
      <c r="E81" s="26" t="s">
        <v>9</v>
      </c>
    </row>
    <row r="82" spans="1:228" s="27" customFormat="1" ht="15" x14ac:dyDescent="0.25">
      <c r="A82" s="24" t="s">
        <v>10</v>
      </c>
      <c r="B82" s="25">
        <v>2168</v>
      </c>
      <c r="C82" s="25">
        <v>0</v>
      </c>
      <c r="D82" s="25">
        <v>0</v>
      </c>
      <c r="E82" s="26" t="s">
        <v>11</v>
      </c>
    </row>
    <row r="83" spans="1:228" s="27" customFormat="1" ht="15" x14ac:dyDescent="0.25">
      <c r="A83" s="24" t="s">
        <v>12</v>
      </c>
      <c r="B83" s="25">
        <v>2591</v>
      </c>
      <c r="C83" s="25">
        <v>0</v>
      </c>
      <c r="D83" s="25">
        <v>0</v>
      </c>
      <c r="E83" s="26" t="s">
        <v>13</v>
      </c>
    </row>
    <row r="84" spans="1:228" s="27" customFormat="1" ht="15" x14ac:dyDescent="0.25">
      <c r="A84" s="24" t="s">
        <v>14</v>
      </c>
      <c r="B84" s="25">
        <v>2009</v>
      </c>
      <c r="C84" s="25">
        <v>0</v>
      </c>
      <c r="D84" s="25">
        <v>0</v>
      </c>
      <c r="E84" s="26" t="s">
        <v>15</v>
      </c>
    </row>
    <row r="85" spans="1:228" s="27" customFormat="1" ht="15" x14ac:dyDescent="0.25">
      <c r="A85" s="24" t="s">
        <v>16</v>
      </c>
      <c r="B85" s="25">
        <v>3068</v>
      </c>
      <c r="C85" s="25">
        <v>0</v>
      </c>
      <c r="D85" s="25">
        <v>0</v>
      </c>
      <c r="E85" s="26" t="s">
        <v>17</v>
      </c>
    </row>
    <row r="86" spans="1:228" s="27" customFormat="1" ht="15" x14ac:dyDescent="0.25">
      <c r="A86" s="24" t="s">
        <v>18</v>
      </c>
      <c r="B86" s="25">
        <v>1030</v>
      </c>
      <c r="C86" s="25">
        <v>0</v>
      </c>
      <c r="D86" s="25">
        <v>0</v>
      </c>
      <c r="E86" s="26" t="s">
        <v>19</v>
      </c>
    </row>
    <row r="87" spans="1:228" s="27" customFormat="1" ht="15" x14ac:dyDescent="0.25">
      <c r="A87" s="24" t="s">
        <v>20</v>
      </c>
      <c r="B87" s="25">
        <v>1470</v>
      </c>
      <c r="C87" s="25">
        <v>0</v>
      </c>
      <c r="D87" s="25">
        <v>0</v>
      </c>
      <c r="E87" s="26" t="s">
        <v>21</v>
      </c>
    </row>
    <row r="88" spans="1:228" s="27" customFormat="1" ht="15" x14ac:dyDescent="0.25">
      <c r="A88" s="24" t="s">
        <v>22</v>
      </c>
      <c r="B88" s="25">
        <v>1527</v>
      </c>
      <c r="C88" s="25">
        <v>0</v>
      </c>
      <c r="D88" s="25">
        <v>0</v>
      </c>
      <c r="E88" s="26" t="s">
        <v>23</v>
      </c>
    </row>
    <row r="89" spans="1:228" s="27" customFormat="1" ht="15" x14ac:dyDescent="0.25">
      <c r="A89" s="24" t="s">
        <v>55</v>
      </c>
      <c r="B89" s="25">
        <v>2435</v>
      </c>
      <c r="C89" s="25">
        <v>0</v>
      </c>
      <c r="D89" s="25">
        <v>0</v>
      </c>
      <c r="E89" s="26" t="s">
        <v>24</v>
      </c>
    </row>
    <row r="90" spans="1:228" s="27" customFormat="1" ht="15" x14ac:dyDescent="0.25">
      <c r="A90" s="24" t="s">
        <v>25</v>
      </c>
      <c r="B90" s="25">
        <v>3105</v>
      </c>
      <c r="C90" s="25">
        <v>0</v>
      </c>
      <c r="D90" s="25">
        <v>0</v>
      </c>
      <c r="E90" s="26" t="s">
        <v>26</v>
      </c>
    </row>
    <row r="91" spans="1:228" s="27" customFormat="1" ht="15" x14ac:dyDescent="0.25">
      <c r="A91" s="24" t="s">
        <v>27</v>
      </c>
      <c r="B91" s="25">
        <v>214</v>
      </c>
      <c r="C91" s="25">
        <v>0</v>
      </c>
      <c r="D91" s="25">
        <v>0</v>
      </c>
      <c r="E91" s="26" t="s">
        <v>28</v>
      </c>
    </row>
    <row r="92" spans="1:228" s="27" customFormat="1" ht="15" x14ac:dyDescent="0.25">
      <c r="A92" s="24" t="s">
        <v>29</v>
      </c>
      <c r="B92" s="25">
        <v>1406</v>
      </c>
      <c r="C92" s="25">
        <v>0</v>
      </c>
      <c r="D92" s="25">
        <v>0</v>
      </c>
      <c r="E92" s="26" t="s">
        <v>30</v>
      </c>
    </row>
    <row r="93" spans="1:228" s="27" customFormat="1" ht="15" x14ac:dyDescent="0.25">
      <c r="A93" s="24" t="s">
        <v>31</v>
      </c>
      <c r="B93" s="25">
        <v>1946</v>
      </c>
      <c r="C93" s="25">
        <v>0</v>
      </c>
      <c r="D93" s="25">
        <v>0</v>
      </c>
      <c r="E93" s="26" t="s">
        <v>32</v>
      </c>
    </row>
    <row r="94" spans="1:228" ht="15" x14ac:dyDescent="0.15">
      <c r="A94" s="24" t="s">
        <v>33</v>
      </c>
      <c r="B94" s="25">
        <v>4780</v>
      </c>
      <c r="C94" s="25">
        <v>0</v>
      </c>
      <c r="D94" s="25">
        <v>0</v>
      </c>
      <c r="E94" s="26" t="s">
        <v>34</v>
      </c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</row>
    <row r="95" spans="1:228" ht="15" x14ac:dyDescent="0.15">
      <c r="A95" s="24" t="s">
        <v>35</v>
      </c>
      <c r="B95" s="25">
        <v>2815</v>
      </c>
      <c r="C95" s="25">
        <v>0</v>
      </c>
      <c r="D95" s="25">
        <v>0</v>
      </c>
      <c r="E95" s="26" t="s">
        <v>36</v>
      </c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</row>
    <row r="96" spans="1:228" ht="15" x14ac:dyDescent="0.15">
      <c r="A96" s="24" t="s">
        <v>37</v>
      </c>
      <c r="B96" s="25">
        <v>4018</v>
      </c>
      <c r="C96" s="25">
        <v>0</v>
      </c>
      <c r="D96" s="25">
        <v>0</v>
      </c>
      <c r="E96" s="26" t="s">
        <v>38</v>
      </c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</row>
    <row r="97" spans="1:228" s="28" customFormat="1" ht="15" x14ac:dyDescent="0.25">
      <c r="A97" s="24" t="s">
        <v>39</v>
      </c>
      <c r="B97" s="25">
        <v>5052</v>
      </c>
      <c r="C97" s="25">
        <v>0</v>
      </c>
      <c r="D97" s="25">
        <v>0</v>
      </c>
      <c r="E97" s="26" t="s">
        <v>40</v>
      </c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</row>
    <row r="98" spans="1:228" s="28" customFormat="1" ht="15" x14ac:dyDescent="0.25">
      <c r="A98" s="24" t="s">
        <v>41</v>
      </c>
      <c r="B98" s="25">
        <v>3504</v>
      </c>
      <c r="C98" s="25">
        <v>1</v>
      </c>
      <c r="D98" s="25">
        <v>0</v>
      </c>
      <c r="E98" s="26" t="s">
        <v>42</v>
      </c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</row>
    <row r="99" spans="1:228" s="28" customFormat="1" ht="15" x14ac:dyDescent="0.25">
      <c r="A99" s="24" t="s">
        <v>43</v>
      </c>
      <c r="B99" s="25">
        <v>2153</v>
      </c>
      <c r="C99" s="25">
        <v>7</v>
      </c>
      <c r="D99" s="25">
        <v>0</v>
      </c>
      <c r="E99" s="26" t="s">
        <v>44</v>
      </c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</row>
    <row r="100" spans="1:228" s="28" customFormat="1" ht="15" x14ac:dyDescent="0.25">
      <c r="A100" s="29" t="s">
        <v>13</v>
      </c>
      <c r="B100" s="30">
        <v>1916</v>
      </c>
      <c r="C100" s="30">
        <v>6</v>
      </c>
      <c r="D100" s="30">
        <v>0</v>
      </c>
      <c r="E100" s="31" t="s">
        <v>45</v>
      </c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</row>
    <row r="101" spans="1:228" s="28" customFormat="1" ht="17.25" x14ac:dyDescent="0.15">
      <c r="B101" s="32"/>
      <c r="C101" s="32"/>
      <c r="E101" s="3" t="s">
        <v>60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</row>
    <row r="102" spans="1:228" ht="12.75" x14ac:dyDescent="0.15">
      <c r="A102" s="33" t="s">
        <v>56</v>
      </c>
    </row>
    <row r="104" spans="1:228" ht="33" customHeight="1" x14ac:dyDescent="0.15">
      <c r="A104" s="43" t="s">
        <v>0</v>
      </c>
      <c r="B104" s="34" t="s">
        <v>57</v>
      </c>
      <c r="C104" s="35"/>
      <c r="D104" s="42" t="s">
        <v>58</v>
      </c>
      <c r="E104" s="46" t="s">
        <v>51</v>
      </c>
    </row>
    <row r="105" spans="1:228" ht="40.15" customHeight="1" x14ac:dyDescent="0.15">
      <c r="A105" s="44"/>
      <c r="B105" s="10" t="s">
        <v>59</v>
      </c>
      <c r="C105" s="4" t="s">
        <v>47</v>
      </c>
      <c r="D105" s="10" t="s">
        <v>49</v>
      </c>
      <c r="E105" s="47"/>
    </row>
    <row r="106" spans="1:228" ht="12.75" x14ac:dyDescent="0.2">
      <c r="A106" s="44"/>
      <c r="B106" s="15" t="s">
        <v>53</v>
      </c>
      <c r="C106" s="16" t="s">
        <v>46</v>
      </c>
      <c r="D106" s="15" t="s">
        <v>48</v>
      </c>
      <c r="E106" s="47"/>
    </row>
    <row r="107" spans="1:228" ht="12.75" x14ac:dyDescent="0.2">
      <c r="A107" s="45"/>
      <c r="B107" s="18" t="s">
        <v>54</v>
      </c>
      <c r="C107" s="18"/>
      <c r="D107" s="18"/>
      <c r="E107" s="48"/>
    </row>
    <row r="108" spans="1:228" ht="15" x14ac:dyDescent="0.15">
      <c r="A108" s="2" t="s">
        <v>1</v>
      </c>
      <c r="B108" s="22">
        <f>B109+B111+B110</f>
        <v>793</v>
      </c>
      <c r="C108" s="22">
        <f>C109+C111+C110</f>
        <v>3</v>
      </c>
      <c r="D108" s="22">
        <f>D109+D111+D110</f>
        <v>21</v>
      </c>
      <c r="E108" s="4" t="s">
        <v>2</v>
      </c>
    </row>
    <row r="109" spans="1:228" ht="15" x14ac:dyDescent="0.15">
      <c r="A109" s="2" t="s">
        <v>3</v>
      </c>
      <c r="B109" s="22">
        <v>108</v>
      </c>
      <c r="C109" s="22">
        <v>0</v>
      </c>
      <c r="D109" s="23">
        <v>0</v>
      </c>
      <c r="E109" s="4" t="s">
        <v>4</v>
      </c>
    </row>
    <row r="110" spans="1:228" s="36" customFormat="1" ht="15" x14ac:dyDescent="0.15">
      <c r="A110" s="5" t="s">
        <v>7</v>
      </c>
      <c r="B110" s="22">
        <v>0</v>
      </c>
      <c r="C110" s="22">
        <v>0</v>
      </c>
      <c r="D110" s="22">
        <v>21</v>
      </c>
      <c r="E110" s="4" t="s">
        <v>61</v>
      </c>
    </row>
    <row r="111" spans="1:228" ht="15" x14ac:dyDescent="0.15">
      <c r="A111" s="2" t="s">
        <v>5</v>
      </c>
      <c r="B111" s="22">
        <f>SUM(B112:B131)</f>
        <v>685</v>
      </c>
      <c r="C111" s="22">
        <f>SUM(C112:C131)</f>
        <v>3</v>
      </c>
      <c r="D111" s="22">
        <f>SUM(D112:D131)</f>
        <v>0</v>
      </c>
      <c r="E111" s="4" t="s">
        <v>6</v>
      </c>
    </row>
    <row r="112" spans="1:228" ht="15" x14ac:dyDescent="0.15">
      <c r="A112" s="37" t="s">
        <v>8</v>
      </c>
      <c r="B112" s="25">
        <v>47</v>
      </c>
      <c r="C112" s="25">
        <v>0</v>
      </c>
      <c r="D112" s="25">
        <v>0</v>
      </c>
      <c r="E112" s="6" t="s">
        <v>9</v>
      </c>
    </row>
    <row r="113" spans="1:5" ht="15" x14ac:dyDescent="0.15">
      <c r="A113" s="37" t="s">
        <v>10</v>
      </c>
      <c r="B113" s="25">
        <v>32</v>
      </c>
      <c r="C113" s="25">
        <v>0</v>
      </c>
      <c r="D113" s="25">
        <v>0</v>
      </c>
      <c r="E113" s="6" t="s">
        <v>11</v>
      </c>
    </row>
    <row r="114" spans="1:5" ht="15" x14ac:dyDescent="0.15">
      <c r="A114" s="37" t="s">
        <v>12</v>
      </c>
      <c r="B114" s="25">
        <v>37</v>
      </c>
      <c r="C114" s="25">
        <v>0</v>
      </c>
      <c r="D114" s="25">
        <v>0</v>
      </c>
      <c r="E114" s="6" t="s">
        <v>13</v>
      </c>
    </row>
    <row r="115" spans="1:5" ht="15" x14ac:dyDescent="0.15">
      <c r="A115" s="37" t="s">
        <v>14</v>
      </c>
      <c r="B115" s="25">
        <v>28</v>
      </c>
      <c r="C115" s="25">
        <v>0</v>
      </c>
      <c r="D115" s="25">
        <v>0</v>
      </c>
      <c r="E115" s="6" t="s">
        <v>15</v>
      </c>
    </row>
    <row r="116" spans="1:5" ht="15" x14ac:dyDescent="0.15">
      <c r="A116" s="37" t="s">
        <v>16</v>
      </c>
      <c r="B116" s="25">
        <v>47</v>
      </c>
      <c r="C116" s="25">
        <v>0</v>
      </c>
      <c r="D116" s="25">
        <v>0</v>
      </c>
      <c r="E116" s="6" t="s">
        <v>17</v>
      </c>
    </row>
    <row r="117" spans="1:5" ht="15" x14ac:dyDescent="0.15">
      <c r="A117" s="37" t="s">
        <v>18</v>
      </c>
      <c r="B117" s="25">
        <v>25</v>
      </c>
      <c r="C117" s="25">
        <v>0</v>
      </c>
      <c r="D117" s="25">
        <v>0</v>
      </c>
      <c r="E117" s="6" t="s">
        <v>19</v>
      </c>
    </row>
    <row r="118" spans="1:5" ht="15" x14ac:dyDescent="0.15">
      <c r="A118" s="37" t="s">
        <v>20</v>
      </c>
      <c r="B118" s="25">
        <v>21</v>
      </c>
      <c r="C118" s="25">
        <v>0</v>
      </c>
      <c r="D118" s="25">
        <v>0</v>
      </c>
      <c r="E118" s="6" t="s">
        <v>21</v>
      </c>
    </row>
    <row r="119" spans="1:5" ht="15" x14ac:dyDescent="0.15">
      <c r="A119" s="37" t="s">
        <v>22</v>
      </c>
      <c r="B119" s="25">
        <v>39</v>
      </c>
      <c r="C119" s="25">
        <v>0</v>
      </c>
      <c r="D119" s="25">
        <v>0</v>
      </c>
      <c r="E119" s="6" t="s">
        <v>23</v>
      </c>
    </row>
    <row r="120" spans="1:5" ht="15" x14ac:dyDescent="0.15">
      <c r="A120" s="37" t="s">
        <v>55</v>
      </c>
      <c r="B120" s="25">
        <v>25</v>
      </c>
      <c r="C120" s="25">
        <v>0</v>
      </c>
      <c r="D120" s="25">
        <v>0</v>
      </c>
      <c r="E120" s="6" t="s">
        <v>24</v>
      </c>
    </row>
    <row r="121" spans="1:5" ht="15" x14ac:dyDescent="0.15">
      <c r="A121" s="37" t="s">
        <v>25</v>
      </c>
      <c r="B121" s="25">
        <v>24</v>
      </c>
      <c r="C121" s="25">
        <v>0</v>
      </c>
      <c r="D121" s="25">
        <v>0</v>
      </c>
      <c r="E121" s="6" t="s">
        <v>26</v>
      </c>
    </row>
    <row r="122" spans="1:5" ht="15" x14ac:dyDescent="0.15">
      <c r="A122" s="37" t="s">
        <v>27</v>
      </c>
      <c r="B122" s="25">
        <v>5</v>
      </c>
      <c r="C122" s="25">
        <v>0</v>
      </c>
      <c r="D122" s="25">
        <v>0</v>
      </c>
      <c r="E122" s="6" t="s">
        <v>28</v>
      </c>
    </row>
    <row r="123" spans="1:5" ht="15" x14ac:dyDescent="0.15">
      <c r="A123" s="37" t="s">
        <v>29</v>
      </c>
      <c r="B123" s="25">
        <v>31</v>
      </c>
      <c r="C123" s="25">
        <v>0</v>
      </c>
      <c r="D123" s="25">
        <v>0</v>
      </c>
      <c r="E123" s="6" t="s">
        <v>30</v>
      </c>
    </row>
    <row r="124" spans="1:5" ht="15" x14ac:dyDescent="0.15">
      <c r="A124" s="37" t="s">
        <v>31</v>
      </c>
      <c r="B124" s="25">
        <v>29</v>
      </c>
      <c r="C124" s="25">
        <v>0</v>
      </c>
      <c r="D124" s="25">
        <v>0</v>
      </c>
      <c r="E124" s="6" t="s">
        <v>32</v>
      </c>
    </row>
    <row r="125" spans="1:5" ht="15" x14ac:dyDescent="0.15">
      <c r="A125" s="37" t="s">
        <v>33</v>
      </c>
      <c r="B125" s="25">
        <v>61</v>
      </c>
      <c r="C125" s="25">
        <v>0</v>
      </c>
      <c r="D125" s="25">
        <v>0</v>
      </c>
      <c r="E125" s="6" t="s">
        <v>34</v>
      </c>
    </row>
    <row r="126" spans="1:5" ht="15" x14ac:dyDescent="0.15">
      <c r="A126" s="37" t="s">
        <v>35</v>
      </c>
      <c r="B126" s="25">
        <v>36</v>
      </c>
      <c r="C126" s="25">
        <v>0</v>
      </c>
      <c r="D126" s="25">
        <v>0</v>
      </c>
      <c r="E126" s="6" t="s">
        <v>36</v>
      </c>
    </row>
    <row r="127" spans="1:5" ht="15" x14ac:dyDescent="0.15">
      <c r="A127" s="37" t="s">
        <v>37</v>
      </c>
      <c r="B127" s="25">
        <v>45</v>
      </c>
      <c r="C127" s="25">
        <v>0</v>
      </c>
      <c r="D127" s="25">
        <v>0</v>
      </c>
      <c r="E127" s="6" t="s">
        <v>38</v>
      </c>
    </row>
    <row r="128" spans="1:5" ht="15" x14ac:dyDescent="0.15">
      <c r="A128" s="37" t="s">
        <v>39</v>
      </c>
      <c r="B128" s="25">
        <v>41</v>
      </c>
      <c r="C128" s="25">
        <v>0</v>
      </c>
      <c r="D128" s="25">
        <v>0</v>
      </c>
      <c r="E128" s="6" t="s">
        <v>40</v>
      </c>
    </row>
    <row r="129" spans="1:5" ht="15" x14ac:dyDescent="0.15">
      <c r="A129" s="37" t="s">
        <v>41</v>
      </c>
      <c r="B129" s="25">
        <v>33</v>
      </c>
      <c r="C129" s="25">
        <v>1</v>
      </c>
      <c r="D129" s="25">
        <v>0</v>
      </c>
      <c r="E129" s="6" t="s">
        <v>42</v>
      </c>
    </row>
    <row r="130" spans="1:5" ht="15" x14ac:dyDescent="0.15">
      <c r="A130" s="37" t="s">
        <v>43</v>
      </c>
      <c r="B130" s="25">
        <v>44</v>
      </c>
      <c r="C130" s="25">
        <v>1</v>
      </c>
      <c r="D130" s="25">
        <v>0</v>
      </c>
      <c r="E130" s="6" t="s">
        <v>44</v>
      </c>
    </row>
    <row r="131" spans="1:5" ht="15" x14ac:dyDescent="0.15">
      <c r="A131" s="38" t="s">
        <v>13</v>
      </c>
      <c r="B131" s="30">
        <v>35</v>
      </c>
      <c r="C131" s="30">
        <v>1</v>
      </c>
      <c r="D131" s="30">
        <v>0</v>
      </c>
      <c r="E131" s="39" t="s">
        <v>45</v>
      </c>
    </row>
    <row r="132" spans="1:5" s="1" customFormat="1" ht="17.25" x14ac:dyDescent="0.25">
      <c r="A132" s="40" t="s">
        <v>62</v>
      </c>
      <c r="B132" s="40"/>
      <c r="C132" s="40"/>
      <c r="D132" s="41"/>
      <c r="E132" s="3" t="s">
        <v>60</v>
      </c>
    </row>
  </sheetData>
  <mergeCells count="14">
    <mergeCell ref="A104:A107"/>
    <mergeCell ref="E104:E107"/>
    <mergeCell ref="A69:E69"/>
    <mergeCell ref="A70:E70"/>
    <mergeCell ref="A71:C71"/>
    <mergeCell ref="A72:A76"/>
    <mergeCell ref="E72:E76"/>
    <mergeCell ref="A36:A39"/>
    <mergeCell ref="E36:E39"/>
    <mergeCell ref="A1:E1"/>
    <mergeCell ref="A2:E2"/>
    <mergeCell ref="A3:C3"/>
    <mergeCell ref="A4:A8"/>
    <mergeCell ref="E4:E8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2019-09-09T05:11:24Z</dcterms:created>
  <dcterms:modified xsi:type="dcterms:W3CDTF">2021-07-14T08:22:50Z</dcterms:modified>
</cp:coreProperties>
</file>