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5. FOREIGN TRADE AND BOP\"/>
    </mc:Choice>
  </mc:AlternateContent>
  <bookViews>
    <workbookView xWindow="-105" yWindow="-105" windowWidth="19425" windowHeight="10425" tabRatio="765"/>
  </bookViews>
  <sheets>
    <sheet name="15.1" sheetId="1" r:id="rId1"/>
  </sheets>
  <definedNames>
    <definedName name="_xlnm.Print_Area" localSheetId="0">'15.1'!$A$1:$S$66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0" i="1" l="1"/>
  <c r="AG19" i="1"/>
  <c r="AG18" i="1"/>
  <c r="AG17" i="1"/>
  <c r="AG16" i="1"/>
  <c r="AG15" i="1"/>
  <c r="AG14" i="1"/>
  <c r="Q9" i="1" l="1"/>
  <c r="Q10" i="1"/>
  <c r="Q11" i="1"/>
  <c r="Q12" i="1"/>
  <c r="Q13" i="1"/>
  <c r="Q14" i="1"/>
  <c r="Q15" i="1"/>
  <c r="Q16" i="1"/>
  <c r="Q17" i="1"/>
  <c r="Q19" i="1"/>
  <c r="Q20" i="1"/>
  <c r="Q21" i="1"/>
  <c r="Q22" i="1"/>
  <c r="Q23" i="1"/>
  <c r="Q24" i="1"/>
  <c r="Q25" i="1"/>
  <c r="Q26" i="1"/>
  <c r="Q27" i="1"/>
  <c r="Q29" i="1"/>
  <c r="Q30" i="1"/>
  <c r="Q31" i="1"/>
  <c r="Q32" i="1"/>
  <c r="Q34" i="1"/>
  <c r="Q35" i="1"/>
  <c r="Q36" i="1"/>
  <c r="Q37" i="1"/>
  <c r="Q38" i="1"/>
  <c r="Q40" i="1"/>
  <c r="Q43" i="1"/>
  <c r="Q45" i="1"/>
  <c r="Q46" i="1"/>
  <c r="Q47" i="1"/>
  <c r="G8" i="1"/>
  <c r="G18" i="1"/>
  <c r="G28" i="1"/>
  <c r="G33" i="1"/>
  <c r="G39" i="1"/>
  <c r="G44" i="1"/>
  <c r="G7" i="1" l="1"/>
  <c r="L20" i="1" l="1"/>
  <c r="L14" i="1"/>
  <c r="L22" i="1"/>
  <c r="L30" i="1"/>
  <c r="L38" i="1"/>
  <c r="L46" i="1"/>
  <c r="L40" i="1"/>
  <c r="L35" i="1"/>
  <c r="L21" i="1"/>
  <c r="L37" i="1"/>
  <c r="L15" i="1"/>
  <c r="L23" i="1"/>
  <c r="L31" i="1"/>
  <c r="L47" i="1"/>
  <c r="L16" i="1"/>
  <c r="L24" i="1"/>
  <c r="L32" i="1"/>
  <c r="L48" i="1"/>
  <c r="L12" i="1"/>
  <c r="L45" i="1"/>
  <c r="L9" i="1"/>
  <c r="L17" i="1"/>
  <c r="L25" i="1"/>
  <c r="L41" i="1"/>
  <c r="L10" i="1"/>
  <c r="L26" i="1"/>
  <c r="L34" i="1"/>
  <c r="L42" i="1"/>
  <c r="L7" i="1"/>
  <c r="L11" i="1"/>
  <c r="L19" i="1"/>
  <c r="L27" i="1"/>
  <c r="L43" i="1"/>
  <c r="L36" i="1"/>
  <c r="L13" i="1"/>
  <c r="L29" i="1"/>
  <c r="L39" i="1"/>
  <c r="L8" i="1"/>
  <c r="L18" i="1"/>
  <c r="L28" i="1"/>
  <c r="L33" i="1"/>
  <c r="L44" i="1"/>
  <c r="P30" i="1"/>
  <c r="P9" i="1"/>
  <c r="P47" i="1" l="1"/>
  <c r="P46" i="1"/>
  <c r="P45" i="1"/>
  <c r="P43" i="1"/>
  <c r="P42" i="1"/>
  <c r="P41" i="1"/>
  <c r="P40" i="1"/>
  <c r="P38" i="1"/>
  <c r="P37" i="1"/>
  <c r="P36" i="1"/>
  <c r="P35" i="1"/>
  <c r="P34" i="1"/>
  <c r="P32" i="1"/>
  <c r="P31" i="1"/>
  <c r="P29" i="1"/>
  <c r="P27" i="1"/>
  <c r="P26" i="1"/>
  <c r="P25" i="1"/>
  <c r="P24" i="1"/>
  <c r="P23" i="1"/>
  <c r="P22" i="1"/>
  <c r="P21" i="1"/>
  <c r="P20" i="1"/>
  <c r="P19" i="1"/>
  <c r="P17" i="1"/>
  <c r="P16" i="1"/>
  <c r="P15" i="1"/>
  <c r="P14" i="1"/>
  <c r="P13" i="1"/>
  <c r="P12" i="1"/>
  <c r="P11" i="1"/>
  <c r="P10" i="1"/>
  <c r="F44" i="1"/>
  <c r="F39" i="1"/>
  <c r="F33" i="1"/>
  <c r="F28" i="1"/>
  <c r="F18" i="1"/>
  <c r="F8" i="1"/>
  <c r="Q8" i="1" s="1"/>
  <c r="Q18" i="1" l="1"/>
  <c r="Q28" i="1"/>
  <c r="Q33" i="1"/>
  <c r="Q39" i="1"/>
  <c r="Q44" i="1"/>
  <c r="F7" i="1"/>
  <c r="Q7" i="1" s="1"/>
  <c r="K48" i="1" l="1"/>
  <c r="K33" i="1"/>
  <c r="K44" i="1"/>
  <c r="K8" i="1"/>
  <c r="K18" i="1"/>
  <c r="K12" i="1"/>
  <c r="K16" i="1"/>
  <c r="K20" i="1"/>
  <c r="K24" i="1"/>
  <c r="K32" i="1"/>
  <c r="K36" i="1"/>
  <c r="K40" i="1"/>
  <c r="K14" i="1"/>
  <c r="K26" i="1"/>
  <c r="K38" i="1"/>
  <c r="K46" i="1"/>
  <c r="K15" i="1"/>
  <c r="K23" i="1"/>
  <c r="K31" i="1"/>
  <c r="K47" i="1"/>
  <c r="K9" i="1"/>
  <c r="K13" i="1"/>
  <c r="K17" i="1"/>
  <c r="K21" i="1"/>
  <c r="K25" i="1"/>
  <c r="K29" i="1"/>
  <c r="K37" i="1"/>
  <c r="K41" i="1"/>
  <c r="K45" i="1"/>
  <c r="K7" i="1"/>
  <c r="K10" i="1"/>
  <c r="K22" i="1"/>
  <c r="K30" i="1"/>
  <c r="K34" i="1"/>
  <c r="K42" i="1"/>
  <c r="K11" i="1"/>
  <c r="K19" i="1"/>
  <c r="K27" i="1"/>
  <c r="K35" i="1"/>
  <c r="K43" i="1"/>
  <c r="K39" i="1"/>
  <c r="K28" i="1"/>
  <c r="O17" i="1" l="1"/>
  <c r="O47" i="1" l="1"/>
  <c r="N47" i="1"/>
  <c r="O46" i="1"/>
  <c r="N46" i="1"/>
  <c r="M46" i="1"/>
  <c r="O45" i="1"/>
  <c r="N45" i="1"/>
  <c r="M45" i="1"/>
  <c r="E44" i="1"/>
  <c r="D44" i="1"/>
  <c r="C44" i="1"/>
  <c r="B44" i="1"/>
  <c r="O43" i="1"/>
  <c r="N43" i="1"/>
  <c r="M43" i="1"/>
  <c r="O42" i="1"/>
  <c r="N42" i="1"/>
  <c r="M42" i="1"/>
  <c r="O41" i="1"/>
  <c r="N41" i="1"/>
  <c r="M41" i="1"/>
  <c r="O40" i="1"/>
  <c r="N40" i="1"/>
  <c r="M40" i="1"/>
  <c r="E39" i="1"/>
  <c r="D39" i="1"/>
  <c r="C39" i="1"/>
  <c r="B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E33" i="1"/>
  <c r="D33" i="1"/>
  <c r="C33" i="1"/>
  <c r="B33" i="1"/>
  <c r="O32" i="1"/>
  <c r="N32" i="1"/>
  <c r="M32" i="1"/>
  <c r="O31" i="1"/>
  <c r="N31" i="1"/>
  <c r="M31" i="1"/>
  <c r="O30" i="1"/>
  <c r="N30" i="1"/>
  <c r="M30" i="1"/>
  <c r="O29" i="1"/>
  <c r="N29" i="1"/>
  <c r="M29" i="1"/>
  <c r="E28" i="1"/>
  <c r="D28" i="1"/>
  <c r="C28" i="1"/>
  <c r="B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E18" i="1"/>
  <c r="D18" i="1"/>
  <c r="C18" i="1"/>
  <c r="B18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E8" i="1"/>
  <c r="P8" i="1" s="1"/>
  <c r="D8" i="1"/>
  <c r="C8" i="1"/>
  <c r="B8" i="1"/>
  <c r="N28" i="1" l="1"/>
  <c r="C7" i="1"/>
  <c r="N18" i="1"/>
  <c r="B7" i="1"/>
  <c r="O28" i="1"/>
  <c r="N33" i="1"/>
  <c r="N39" i="1"/>
  <c r="M39" i="1"/>
  <c r="O8" i="1"/>
  <c r="H18" i="1"/>
  <c r="O18" i="1"/>
  <c r="O33" i="1"/>
  <c r="P33" i="1"/>
  <c r="P18" i="1"/>
  <c r="O39" i="1"/>
  <c r="P39" i="1"/>
  <c r="P44" i="1"/>
  <c r="E7" i="1"/>
  <c r="M8" i="1"/>
  <c r="P28" i="1"/>
  <c r="M33" i="1"/>
  <c r="M44" i="1"/>
  <c r="N8" i="1"/>
  <c r="M18" i="1"/>
  <c r="M28" i="1"/>
  <c r="H33" i="1"/>
  <c r="D7" i="1"/>
  <c r="I48" i="1" s="1"/>
  <c r="H11" i="1"/>
  <c r="H14" i="1"/>
  <c r="N44" i="1"/>
  <c r="H31" i="1"/>
  <c r="H43" i="1"/>
  <c r="O44" i="1"/>
  <c r="H13" i="1"/>
  <c r="H17" i="1"/>
  <c r="H41" i="1"/>
  <c r="H7" i="1"/>
  <c r="H32" i="1"/>
  <c r="J37" i="1" l="1"/>
  <c r="J48" i="1"/>
  <c r="H39" i="1"/>
  <c r="H48" i="1"/>
  <c r="H30" i="1"/>
  <c r="H37" i="1"/>
  <c r="J9" i="1"/>
  <c r="J27" i="1"/>
  <c r="H42" i="1"/>
  <c r="H35" i="1"/>
  <c r="H19" i="1"/>
  <c r="H34" i="1"/>
  <c r="H28" i="1"/>
  <c r="H47" i="1"/>
  <c r="H21" i="1"/>
  <c r="H45" i="1"/>
  <c r="H22" i="1"/>
  <c r="H24" i="1"/>
  <c r="M7" i="1"/>
  <c r="H29" i="1"/>
  <c r="J11" i="1"/>
  <c r="H46" i="1"/>
  <c r="H8" i="1"/>
  <c r="H44" i="1"/>
  <c r="H16" i="1"/>
  <c r="H10" i="1"/>
  <c r="H15" i="1"/>
  <c r="H20" i="1"/>
  <c r="H36" i="1"/>
  <c r="J17" i="1"/>
  <c r="H26" i="1"/>
  <c r="H9" i="1"/>
  <c r="H12" i="1"/>
  <c r="H25" i="1"/>
  <c r="H40" i="1"/>
  <c r="H23" i="1"/>
  <c r="H27" i="1"/>
  <c r="J36" i="1"/>
  <c r="J20" i="1"/>
  <c r="J19" i="1"/>
  <c r="I8" i="1"/>
  <c r="J46" i="1"/>
  <c r="J10" i="1"/>
  <c r="J24" i="1"/>
  <c r="J13" i="1"/>
  <c r="J43" i="1"/>
  <c r="J31" i="1"/>
  <c r="J21" i="1"/>
  <c r="J40" i="1"/>
  <c r="J14" i="1"/>
  <c r="J23" i="1"/>
  <c r="H38" i="1"/>
  <c r="J47" i="1"/>
  <c r="J34" i="1"/>
  <c r="J42" i="1"/>
  <c r="J30" i="1"/>
  <c r="J45" i="1"/>
  <c r="J41" i="1"/>
  <c r="J25" i="1"/>
  <c r="O7" i="1"/>
  <c r="P7" i="1"/>
  <c r="J28" i="1"/>
  <c r="J33" i="1"/>
  <c r="J26" i="1"/>
  <c r="J44" i="1"/>
  <c r="J15" i="1"/>
  <c r="J39" i="1"/>
  <c r="J29" i="1"/>
  <c r="I44" i="1"/>
  <c r="J22" i="1"/>
  <c r="J12" i="1"/>
  <c r="J7" i="1"/>
  <c r="J38" i="1"/>
  <c r="J16" i="1"/>
  <c r="J32" i="1"/>
  <c r="J35" i="1"/>
  <c r="J8" i="1"/>
  <c r="J18" i="1"/>
  <c r="I41" i="1"/>
  <c r="I35" i="1"/>
  <c r="I29" i="1"/>
  <c r="I26" i="1"/>
  <c r="I25" i="1"/>
  <c r="I19" i="1"/>
  <c r="I9" i="1"/>
  <c r="I47" i="1"/>
  <c r="I24" i="1"/>
  <c r="I17" i="1"/>
  <c r="I13" i="1"/>
  <c r="I45" i="1"/>
  <c r="I43" i="1"/>
  <c r="I37" i="1"/>
  <c r="I31" i="1"/>
  <c r="I21" i="1"/>
  <c r="N7" i="1"/>
  <c r="I11" i="1"/>
  <c r="I46" i="1"/>
  <c r="I40" i="1"/>
  <c r="I34" i="1"/>
  <c r="I28" i="1"/>
  <c r="I18" i="1"/>
  <c r="I14" i="1"/>
  <c r="I10" i="1"/>
  <c r="I23" i="1"/>
  <c r="I15" i="1"/>
  <c r="I42" i="1"/>
  <c r="I36" i="1"/>
  <c r="I30" i="1"/>
  <c r="I27" i="1"/>
  <c r="I20" i="1"/>
  <c r="I39" i="1"/>
  <c r="I33" i="1"/>
  <c r="I38" i="1"/>
  <c r="I32" i="1"/>
  <c r="I22" i="1"/>
  <c r="I16" i="1"/>
  <c r="I12" i="1"/>
  <c r="I7" i="1"/>
</calcChain>
</file>

<file path=xl/sharedStrings.xml><?xml version="1.0" encoding="utf-8"?>
<sst xmlns="http://schemas.openxmlformats.org/spreadsheetml/2006/main" count="109" uniqueCount="93">
  <si>
    <t>Country</t>
  </si>
  <si>
    <t>(cnuhWh Wyifur) ugwa .cfea.iawa.Is</t>
  </si>
  <si>
    <t>cniawtcaws ctogWviawfiheb</t>
  </si>
  <si>
    <t>% urwvcnim ivurutia eruvcSwrwhwa Iruk</t>
  </si>
  <si>
    <t xml:space="preserve">umuawq </t>
  </si>
  <si>
    <t>C.I.F. Value (in MVR '000)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</si>
  <si>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</si>
  <si>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</si>
  <si>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</si>
  <si>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</si>
  <si>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</si>
  <si>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</si>
  <si>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</si>
  <si>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</si>
  <si>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</si>
  <si>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</si>
  <si>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</si>
  <si>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</si>
  <si>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</si>
  <si>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</si>
  <si>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</si>
  <si>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</si>
  <si>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</si>
  <si>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</si>
  <si>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 xml:space="preserve">Denmark </t>
  </si>
  <si>
    <t>ckrwmcneD</t>
  </si>
  <si>
    <t>Switzerland</t>
  </si>
  <si>
    <t>cDcnElrwzcTivcs</t>
  </si>
  <si>
    <t>America</t>
  </si>
  <si>
    <t>Sweden</t>
  </si>
  <si>
    <t>cncDivcs</t>
  </si>
  <si>
    <t>Oceania</t>
  </si>
  <si>
    <t>Others</t>
  </si>
  <si>
    <t>cnehinehea</t>
  </si>
  <si>
    <t>Africa</t>
  </si>
  <si>
    <t xml:space="preserve">Wyixea </t>
  </si>
  <si>
    <t>Singapore</t>
  </si>
  <si>
    <t>urUpwgcnis</t>
  </si>
  <si>
    <t>India</t>
  </si>
  <si>
    <t>WaiDcnia</t>
  </si>
  <si>
    <t>Malaysia</t>
  </si>
  <si>
    <t>WaixElem</t>
  </si>
  <si>
    <t>Sri Lanka</t>
  </si>
  <si>
    <t>WkcnwlIrcs</t>
  </si>
  <si>
    <t>Thailand</t>
  </si>
  <si>
    <t>cDcneliawt</t>
  </si>
  <si>
    <t>China</t>
  </si>
  <si>
    <t>WniawC</t>
  </si>
  <si>
    <t>Indonesia</t>
  </si>
  <si>
    <t>WaixEnoDcnia</t>
  </si>
  <si>
    <t>Japan</t>
  </si>
  <si>
    <t>cnWpwj</t>
  </si>
  <si>
    <t>Wkircfea</t>
  </si>
  <si>
    <t>South Africa</t>
  </si>
  <si>
    <t>Wkircfea ctuaws</t>
  </si>
  <si>
    <t>Mauritius</t>
  </si>
  <si>
    <t>cswsirom</t>
  </si>
  <si>
    <t>Egypt</t>
  </si>
  <si>
    <t>cTcpijIa</t>
  </si>
  <si>
    <t xml:space="preserve">Wkiremea </t>
  </si>
  <si>
    <t>Bahamas</t>
  </si>
  <si>
    <t>csWmWhwb</t>
  </si>
  <si>
    <t>U.S.A</t>
  </si>
  <si>
    <t>Ea.csea .Uy</t>
  </si>
  <si>
    <t>Canada</t>
  </si>
  <si>
    <t>WDenek</t>
  </si>
  <si>
    <t>Brazil</t>
  </si>
  <si>
    <t>clizercb</t>
  </si>
  <si>
    <t>itwmuriaudem</t>
  </si>
  <si>
    <t>U.A.E</t>
  </si>
  <si>
    <t>.Ia .Ea .Uy</t>
  </si>
  <si>
    <t>Oman</t>
  </si>
  <si>
    <t>cnWmOa</t>
  </si>
  <si>
    <t>Bahrain</t>
  </si>
  <si>
    <t>cniaeruhwb</t>
  </si>
  <si>
    <t>WainExOa</t>
  </si>
  <si>
    <t>Australia</t>
  </si>
  <si>
    <t>WailErcTcsoa</t>
  </si>
  <si>
    <t>New Zealand</t>
  </si>
  <si>
    <t>cDcnelIzuain</t>
  </si>
  <si>
    <t>Fiji</t>
  </si>
  <si>
    <t>na</t>
  </si>
  <si>
    <t>Ijif</t>
  </si>
  <si>
    <t>Source:  Maldives Customs Services</t>
  </si>
  <si>
    <t xml:space="preserve">cswsivrWs cscmwTcswk cscviDclOm :ctWrwfivcaed utWmUluAwm     </t>
  </si>
  <si>
    <t>Table  15.1 :  IMPORTS BY COUNTRY OF CONSIGNMENT, 2016 - 2020</t>
  </si>
  <si>
    <t>2020 - 2016 ,cawtumuawq unuverukeretea Wdum cSwaejcaWr : 15.1 ulwvWt</t>
  </si>
  <si>
    <t>(*)</t>
  </si>
  <si>
    <t>Total Imports</t>
  </si>
  <si>
    <t>% change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</si>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</sst>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-* #,##0_-;\-* #,##0_-;_-* &quot;-&quot;??_-;_-@_-"/>
    <numFmt numFmtId="165" formatCode="#,##0.0"/>
    <numFmt numFmtId="166" formatCode="_-* #,##0.00_-;\-* #,##0.00_-;_-* &quot;-&quot;??_-;_-@_-"/>
    <numFmt numFmtId="167" formatCode="0.0"/>
    <numFmt numFmtId="168" formatCode="_(* #,##0_);_(* \(#,##0\);_(* &quot;-&quot;??_);_(@_)"/>
    <numFmt numFmtId="172" formatCode="_-* #,##0.00\ _ރ_._-;_-* #,##0.00\ _ރ_.\-;_-* &quot;-&quot;??\ _ރ_._-;_-@_-"/>
    <numFmt numFmtId="173" formatCode="0.0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sz val="8"/>
      <name val="Calibri"/>
      <family val="2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sz val="9"/>
      <name val="Arial"/>
      <family val="2"/>
    </font>
    <font>
      <i/>
      <sz val="10"/>
      <name val="Calibri"/>
      <family val="2"/>
      <scheme val="minor"/>
    </font>
    <font>
      <sz val="10"/>
      <name val="Faruma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sz val="12"/>
      <name val="A_Faseyha"/>
    </font>
    <font>
      <i/>
      <sz val="9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4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20" applyNumberFormat="0" applyAlignment="0" applyProtection="0"/>
    <xf numFmtId="0" fontId="30" fillId="7" borderId="21" applyNumberFormat="0" applyAlignment="0" applyProtection="0"/>
    <xf numFmtId="0" fontId="31" fillId="7" borderId="20" applyNumberFormat="0" applyAlignment="0" applyProtection="0"/>
    <xf numFmtId="0" fontId="32" fillId="0" borderId="22" applyNumberFormat="0" applyFill="0" applyAlignment="0" applyProtection="0"/>
    <xf numFmtId="0" fontId="33" fillId="8" borderId="23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3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37" fillId="0" borderId="0"/>
    <xf numFmtId="0" fontId="9" fillId="0" borderId="0"/>
    <xf numFmtId="172" fontId="9" fillId="0" borderId="0" applyFont="0" applyFill="0" applyBorder="0" applyAlignment="0" applyProtection="0"/>
    <xf numFmtId="173" fontId="38" fillId="0" borderId="0"/>
    <xf numFmtId="0" fontId="3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  <xf numFmtId="0" fontId="9" fillId="0" borderId="0"/>
  </cellStyleXfs>
  <cellXfs count="105">
    <xf numFmtId="0" fontId="0" fillId="0" borderId="0" xfId="0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/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/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1" fontId="8" fillId="2" borderId="0" xfId="0" applyNumberFormat="1" applyFont="1" applyFill="1" applyBorder="1"/>
    <xf numFmtId="164" fontId="8" fillId="2" borderId="0" xfId="1" applyNumberFormat="1" applyFont="1" applyFill="1" applyBorder="1"/>
    <xf numFmtId="0" fontId="12" fillId="2" borderId="0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right" vertical="center"/>
    </xf>
    <xf numFmtId="0" fontId="10" fillId="2" borderId="7" xfId="0" applyNumberFormat="1" applyFont="1" applyFill="1" applyBorder="1" applyAlignment="1">
      <alignment horizontal="right" vertical="center"/>
    </xf>
    <xf numFmtId="0" fontId="10" fillId="2" borderId="6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/>
    <xf numFmtId="164" fontId="5" fillId="2" borderId="0" xfId="1" applyNumberFormat="1" applyFont="1" applyFill="1" applyBorder="1"/>
    <xf numFmtId="3" fontId="10" fillId="2" borderId="0" xfId="0" applyNumberFormat="1" applyFont="1" applyFill="1" applyBorder="1" applyAlignment="1" applyProtection="1">
      <alignment horizontal="right" vertical="center"/>
    </xf>
    <xf numFmtId="3" fontId="10" fillId="2" borderId="9" xfId="0" applyNumberFormat="1" applyFont="1" applyFill="1" applyBorder="1" applyAlignment="1" applyProtection="1">
      <alignment horizontal="right" vertical="center"/>
    </xf>
    <xf numFmtId="165" fontId="10" fillId="2" borderId="0" xfId="0" applyNumberFormat="1" applyFont="1" applyFill="1" applyBorder="1" applyAlignment="1" applyProtection="1">
      <alignment horizontal="right" vertical="center"/>
    </xf>
    <xf numFmtId="4" fontId="10" fillId="2" borderId="0" xfId="0" applyNumberFormat="1" applyFont="1" applyFill="1" applyBorder="1" applyAlignment="1" applyProtection="1">
      <alignment horizontal="left"/>
    </xf>
    <xf numFmtId="4" fontId="12" fillId="2" borderId="0" xfId="0" applyNumberFormat="1" applyFont="1" applyFill="1" applyBorder="1" applyAlignment="1"/>
    <xf numFmtId="0" fontId="13" fillId="2" borderId="0" xfId="2" applyFont="1" applyFill="1" applyAlignment="1">
      <alignment vertical="center"/>
    </xf>
    <xf numFmtId="4" fontId="14" fillId="2" borderId="0" xfId="0" applyNumberFormat="1" applyFont="1" applyFill="1" applyBorder="1" applyAlignment="1" applyProtection="1">
      <alignment horizontal="left"/>
    </xf>
    <xf numFmtId="3" fontId="14" fillId="2" borderId="0" xfId="0" applyNumberFormat="1" applyFont="1" applyFill="1" applyBorder="1" applyAlignment="1">
      <alignment horizontal="right" vertical="center"/>
    </xf>
    <xf numFmtId="3" fontId="13" fillId="2" borderId="0" xfId="1" applyNumberFormat="1" applyFont="1" applyFill="1" applyAlignment="1">
      <alignment vertical="center"/>
    </xf>
    <xf numFmtId="4" fontId="13" fillId="2" borderId="0" xfId="0" applyNumberFormat="1" applyFont="1" applyFill="1" applyBorder="1" applyAlignment="1"/>
    <xf numFmtId="3" fontId="13" fillId="2" borderId="0" xfId="2" applyNumberFormat="1" applyFont="1" applyFill="1" applyAlignment="1">
      <alignment vertical="center"/>
    </xf>
    <xf numFmtId="166" fontId="5" fillId="2" borderId="0" xfId="1" applyNumberFormat="1" applyFont="1" applyFill="1" applyBorder="1"/>
    <xf numFmtId="167" fontId="13" fillId="2" borderId="0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0" fontId="13" fillId="2" borderId="0" xfId="0" applyFont="1" applyFill="1" applyBorder="1" applyAlignment="1"/>
    <xf numFmtId="4" fontId="13" fillId="2" borderId="0" xfId="2" applyNumberFormat="1" applyFont="1" applyFill="1" applyAlignment="1">
      <alignment vertical="center"/>
    </xf>
    <xf numFmtId="43" fontId="16" fillId="2" borderId="0" xfId="1" applyFont="1" applyFill="1" applyBorder="1" applyAlignment="1">
      <alignment horizontal="right"/>
    </xf>
    <xf numFmtId="0" fontId="12" fillId="2" borderId="0" xfId="0" applyFont="1" applyFill="1" applyBorder="1" applyAlignment="1"/>
    <xf numFmtId="1" fontId="14" fillId="2" borderId="0" xfId="0" applyNumberFormat="1" applyFont="1" applyFill="1" applyBorder="1" applyAlignment="1"/>
    <xf numFmtId="4" fontId="10" fillId="2" borderId="0" xfId="0" applyNumberFormat="1" applyFont="1" applyFill="1" applyBorder="1" applyAlignment="1" applyProtection="1">
      <alignment horizontal="left" vertical="top"/>
    </xf>
    <xf numFmtId="1" fontId="17" fillId="2" borderId="0" xfId="0" applyNumberFormat="1" applyFont="1" applyFill="1" applyBorder="1" applyAlignment="1"/>
    <xf numFmtId="4" fontId="17" fillId="2" borderId="0" xfId="0" applyNumberFormat="1" applyFont="1" applyFill="1" applyBorder="1" applyAlignment="1" applyProtection="1">
      <alignment horizontal="left"/>
    </xf>
    <xf numFmtId="4" fontId="18" fillId="2" borderId="0" xfId="0" applyNumberFormat="1" applyFont="1" applyFill="1" applyBorder="1" applyAlignment="1" applyProtection="1">
      <alignment horizontal="left"/>
    </xf>
    <xf numFmtId="4" fontId="17" fillId="2" borderId="7" xfId="0" applyNumberFormat="1" applyFont="1" applyFill="1" applyBorder="1" applyAlignment="1" applyProtection="1">
      <alignment horizontal="left"/>
    </xf>
    <xf numFmtId="3" fontId="14" fillId="2" borderId="7" xfId="0" applyNumberFormat="1" applyFont="1" applyFill="1" applyBorder="1" applyAlignment="1">
      <alignment horizontal="right" vertical="center"/>
    </xf>
    <xf numFmtId="165" fontId="14" fillId="2" borderId="7" xfId="0" applyNumberFormat="1" applyFont="1" applyFill="1" applyBorder="1" applyAlignment="1" applyProtection="1">
      <alignment horizontal="right" vertical="center"/>
    </xf>
    <xf numFmtId="165" fontId="14" fillId="2" borderId="11" xfId="0" applyNumberFormat="1" applyFont="1" applyFill="1" applyBorder="1" applyAlignment="1" applyProtection="1">
      <alignment horizontal="right" vertical="center"/>
    </xf>
    <xf numFmtId="4" fontId="19" fillId="2" borderId="0" xfId="0" applyNumberFormat="1" applyFont="1" applyFill="1" applyBorder="1" applyAlignment="1" applyProtection="1">
      <alignment horizontal="right" vertical="center"/>
    </xf>
    <xf numFmtId="0" fontId="11" fillId="2" borderId="0" xfId="0" applyFont="1" applyFill="1" applyAlignment="1">
      <alignment vertical="center"/>
    </xf>
    <xf numFmtId="0" fontId="15" fillId="2" borderId="0" xfId="0" applyFont="1" applyFill="1" applyBorder="1" applyAlignment="1">
      <alignment horizontal="right"/>
    </xf>
    <xf numFmtId="0" fontId="13" fillId="2" borderId="0" xfId="0" applyFont="1" applyFill="1" applyBorder="1" applyAlignment="1">
      <alignment horizontal="right"/>
    </xf>
    <xf numFmtId="3" fontId="19" fillId="2" borderId="0" xfId="3" applyNumberFormat="1" applyFont="1" applyFill="1" applyBorder="1" applyAlignment="1">
      <alignment horizontal="right" vertical="center"/>
    </xf>
    <xf numFmtId="168" fontId="4" fillId="2" borderId="0" xfId="0" applyNumberFormat="1" applyFont="1" applyFill="1" applyBorder="1" applyAlignment="1"/>
    <xf numFmtId="167" fontId="4" fillId="2" borderId="0" xfId="0" applyNumberFormat="1" applyFont="1" applyFill="1" applyBorder="1" applyAlignment="1">
      <alignment horizontal="right"/>
    </xf>
    <xf numFmtId="4" fontId="9" fillId="2" borderId="0" xfId="0" applyNumberFormat="1" applyFont="1" applyFill="1" applyBorder="1" applyAlignment="1" applyProtection="1">
      <alignment horizontal="left"/>
    </xf>
    <xf numFmtId="0" fontId="20" fillId="2" borderId="0" xfId="0" applyFont="1" applyFill="1" applyBorder="1" applyAlignment="1" applyProtection="1">
      <alignment horizontal="left" vertical="center"/>
    </xf>
    <xf numFmtId="165" fontId="10" fillId="2" borderId="2" xfId="0" applyNumberFormat="1" applyFont="1" applyFill="1" applyBorder="1" applyAlignment="1" applyProtection="1">
      <alignment horizontal="right" vertical="center"/>
    </xf>
    <xf numFmtId="0" fontId="21" fillId="2" borderId="0" xfId="0" applyFont="1" applyFill="1" applyBorder="1" applyAlignment="1">
      <alignment horizontal="right"/>
    </xf>
    <xf numFmtId="165" fontId="10" fillId="2" borderId="12" xfId="0" applyNumberFormat="1" applyFont="1" applyFill="1" applyBorder="1" applyAlignment="1" applyProtection="1">
      <alignment horizontal="right" vertical="center"/>
    </xf>
    <xf numFmtId="165" fontId="14" fillId="2" borderId="15" xfId="0" applyNumberFormat="1" applyFont="1" applyFill="1" applyBorder="1" applyAlignment="1" applyProtection="1">
      <alignment horizontal="right" vertical="center"/>
    </xf>
    <xf numFmtId="165" fontId="10" fillId="2" borderId="15" xfId="0" applyNumberFormat="1" applyFont="1" applyFill="1" applyBorder="1" applyAlignment="1" applyProtection="1">
      <alignment horizontal="right" vertical="center"/>
    </xf>
    <xf numFmtId="165" fontId="14" fillId="2" borderId="26" xfId="0" applyNumberFormat="1" applyFont="1" applyFill="1" applyBorder="1" applyAlignment="1" applyProtection="1">
      <alignment horizontal="right" vertical="center"/>
    </xf>
    <xf numFmtId="0" fontId="43" fillId="2" borderId="0" xfId="0" applyFont="1" applyFill="1" applyBorder="1" applyAlignment="1">
      <alignment horizontal="right" vertical="center"/>
    </xf>
    <xf numFmtId="0" fontId="45" fillId="2" borderId="10" xfId="0" applyFont="1" applyFill="1" applyBorder="1" applyAlignment="1">
      <alignment horizontal="right" readingOrder="2"/>
    </xf>
    <xf numFmtId="0" fontId="46" fillId="2" borderId="0" xfId="0" applyFont="1" applyFill="1" applyBorder="1" applyAlignment="1">
      <alignment horizontal="right"/>
    </xf>
    <xf numFmtId="0" fontId="9" fillId="2" borderId="0" xfId="0" applyFont="1" applyFill="1" applyBorder="1" applyAlignment="1">
      <alignment horizontal="right" vertical="center"/>
    </xf>
    <xf numFmtId="0" fontId="10" fillId="2" borderId="14" xfId="0" applyNumberFormat="1" applyFont="1" applyFill="1" applyBorder="1" applyAlignment="1">
      <alignment horizontal="right" vertical="center"/>
    </xf>
    <xf numFmtId="0" fontId="41" fillId="2" borderId="28" xfId="0" applyFont="1" applyFill="1" applyBorder="1" applyAlignment="1">
      <alignment horizontal="right"/>
    </xf>
    <xf numFmtId="0" fontId="41" fillId="2" borderId="29" xfId="0" applyFont="1" applyFill="1" applyBorder="1" applyAlignment="1">
      <alignment horizontal="right"/>
    </xf>
    <xf numFmtId="0" fontId="44" fillId="2" borderId="29" xfId="0" applyFont="1" applyFill="1" applyBorder="1" applyAlignment="1">
      <alignment horizontal="right"/>
    </xf>
    <xf numFmtId="0" fontId="45" fillId="2" borderId="29" xfId="0" applyFont="1" applyFill="1" applyBorder="1" applyAlignment="1">
      <alignment horizontal="right"/>
    </xf>
    <xf numFmtId="0" fontId="45" fillId="2" borderId="30" xfId="0" applyFont="1" applyFill="1" applyBorder="1" applyAlignment="1">
      <alignment horizontal="right"/>
    </xf>
    <xf numFmtId="0" fontId="41" fillId="2" borderId="9" xfId="0" applyFont="1" applyFill="1" applyBorder="1" applyAlignment="1">
      <alignment horizontal="right" vertical="top"/>
    </xf>
    <xf numFmtId="0" fontId="45" fillId="2" borderId="31" xfId="0" applyFont="1" applyFill="1" applyBorder="1" applyAlignment="1">
      <alignment horizontal="right"/>
    </xf>
    <xf numFmtId="0" fontId="45" fillId="2" borderId="32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 applyProtection="1">
      <alignment horizontal="left" vertical="center"/>
    </xf>
    <xf numFmtId="165" fontId="14" fillId="2" borderId="0" xfId="0" applyNumberFormat="1" applyFont="1" applyFill="1" applyBorder="1" applyAlignment="1" applyProtection="1">
      <alignment horizontal="right" vertical="center"/>
    </xf>
    <xf numFmtId="3" fontId="14" fillId="2" borderId="9" xfId="0" applyNumberFormat="1" applyFont="1" applyFill="1" applyBorder="1" applyAlignment="1">
      <alignment horizontal="right" vertical="center"/>
    </xf>
    <xf numFmtId="3" fontId="14" fillId="2" borderId="8" xfId="0" applyNumberFormat="1" applyFont="1" applyFill="1" applyBorder="1" applyAlignment="1">
      <alignment horizontal="right" vertical="center"/>
    </xf>
    <xf numFmtId="165" fontId="14" fillId="2" borderId="8" xfId="0" applyNumberFormat="1" applyFont="1" applyFill="1" applyBorder="1" applyAlignment="1" applyProtection="1">
      <alignment horizontal="right" vertical="center"/>
    </xf>
    <xf numFmtId="165" fontId="22" fillId="2" borderId="16" xfId="0" applyNumberFormat="1" applyFont="1" applyFill="1" applyBorder="1" applyAlignment="1" applyProtection="1">
      <alignment horizontal="right" vertical="center"/>
    </xf>
    <xf numFmtId="4" fontId="12" fillId="2" borderId="0" xfId="2" applyNumberFormat="1" applyFont="1" applyFill="1" applyAlignment="1">
      <alignment vertical="center"/>
    </xf>
    <xf numFmtId="1" fontId="8" fillId="2" borderId="0" xfId="0" applyNumberFormat="1" applyFont="1" applyFill="1" applyBorder="1" applyAlignment="1">
      <alignment horizontal="left"/>
    </xf>
    <xf numFmtId="3" fontId="10" fillId="2" borderId="9" xfId="0" applyNumberFormat="1" applyFont="1" applyFill="1" applyBorder="1" applyAlignment="1" applyProtection="1">
      <alignment horizontal="left" vertical="center"/>
    </xf>
    <xf numFmtId="0" fontId="47" fillId="2" borderId="0" xfId="71" applyFont="1" applyFill="1" applyAlignment="1">
      <alignment horizontal="left" vertical="center"/>
    </xf>
    <xf numFmtId="1" fontId="14" fillId="2" borderId="0" xfId="0" applyNumberFormat="1" applyFont="1" applyFill="1" applyBorder="1"/>
    <xf numFmtId="164" fontId="14" fillId="2" borderId="0" xfId="1" applyNumberFormat="1" applyFont="1" applyFill="1" applyBorder="1"/>
    <xf numFmtId="0" fontId="42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6" xfId="0" applyFont="1" applyFill="1" applyBorder="1" applyAlignment="1" applyProtection="1">
      <alignment horizontal="left" vertical="center"/>
    </xf>
    <xf numFmtId="0" fontId="41" fillId="2" borderId="3" xfId="0" applyFont="1" applyFill="1" applyBorder="1" applyAlignment="1">
      <alignment horizontal="right" vertical="center"/>
    </xf>
    <xf numFmtId="0" fontId="41" fillId="2" borderId="9" xfId="0" applyFont="1" applyFill="1" applyBorder="1" applyAlignment="1">
      <alignment horizontal="right" vertical="center"/>
    </xf>
    <xf numFmtId="0" fontId="41" fillId="2" borderId="8" xfId="0" applyFont="1" applyFill="1" applyBorder="1" applyAlignment="1">
      <alignment horizontal="right" vertical="center"/>
    </xf>
    <xf numFmtId="0" fontId="41" fillId="2" borderId="2" xfId="0" applyFont="1" applyFill="1" applyBorder="1" applyAlignment="1" applyProtection="1">
      <alignment horizontal="center" vertical="center"/>
    </xf>
    <xf numFmtId="0" fontId="41" fillId="2" borderId="3" xfId="0" applyFont="1" applyFill="1" applyBorder="1" applyAlignment="1" applyProtection="1">
      <alignment horizontal="center" vertical="center"/>
    </xf>
    <xf numFmtId="0" fontId="41" fillId="2" borderId="27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41" fillId="2" borderId="12" xfId="0" applyFont="1" applyFill="1" applyBorder="1" applyAlignment="1" applyProtection="1">
      <alignment horizontal="center" vertical="center" wrapText="1"/>
    </xf>
    <xf numFmtId="0" fontId="41" fillId="2" borderId="2" xfId="0" applyFont="1" applyFill="1" applyBorder="1" applyAlignment="1" applyProtection="1">
      <alignment horizontal="center" vertical="center" wrapText="1"/>
    </xf>
    <xf numFmtId="2" fontId="10" fillId="2" borderId="13" xfId="0" applyNumberFormat="1" applyFont="1" applyFill="1" applyBorder="1" applyAlignment="1" applyProtection="1">
      <alignment horizontal="center" vertical="center" wrapText="1"/>
    </xf>
    <xf numFmtId="2" fontId="10" fillId="2" borderId="5" xfId="0" applyNumberFormat="1" applyFont="1" applyFill="1" applyBorder="1" applyAlignment="1" applyProtection="1">
      <alignment horizontal="center" vertical="center" wrapText="1"/>
    </xf>
    <xf numFmtId="0" fontId="10" fillId="2" borderId="8" xfId="0" applyNumberFormat="1" applyFont="1" applyFill="1" applyBorder="1" applyAlignment="1">
      <alignment horizontal="right" vertical="center"/>
    </xf>
    <xf numFmtId="0" fontId="10" fillId="2" borderId="4" xfId="0" applyFont="1" applyFill="1" applyBorder="1" applyAlignment="1" applyProtection="1">
      <alignment horizontal="center" vertical="center"/>
    </xf>
    <xf numFmtId="0" fontId="10" fillId="2" borderId="33" xfId="0" applyFont="1" applyFill="1" applyBorder="1" applyAlignment="1" applyProtection="1">
      <alignment horizontal="center" vertical="center"/>
    </xf>
  </cellXfs>
  <cellStyles count="72">
    <cellStyle name="1" xfId="47"/>
    <cellStyle name="20% - Accent1" xfId="23" builtinId="30" customBuiltin="1"/>
    <cellStyle name="20% - Accent1 2" xfId="58"/>
    <cellStyle name="20% - Accent2" xfId="27" builtinId="34" customBuiltin="1"/>
    <cellStyle name="20% - Accent2 2" xfId="60"/>
    <cellStyle name="20% - Accent3" xfId="31" builtinId="38" customBuiltin="1"/>
    <cellStyle name="20% - Accent3 2" xfId="62"/>
    <cellStyle name="20% - Accent4" xfId="35" builtinId="42" customBuiltin="1"/>
    <cellStyle name="20% - Accent4 2" xfId="64"/>
    <cellStyle name="20% - Accent5" xfId="39" builtinId="46" customBuiltin="1"/>
    <cellStyle name="20% - Accent5 2" xfId="66"/>
    <cellStyle name="20% - Accent6" xfId="43" builtinId="50" customBuiltin="1"/>
    <cellStyle name="20% - Accent6 2" xfId="68"/>
    <cellStyle name="40% - Accent1" xfId="24" builtinId="31" customBuiltin="1"/>
    <cellStyle name="40% - Accent1 2" xfId="59"/>
    <cellStyle name="40% - Accent2" xfId="28" builtinId="35" customBuiltin="1"/>
    <cellStyle name="40% - Accent2 2" xfId="61"/>
    <cellStyle name="40% - Accent3" xfId="32" builtinId="39" customBuiltin="1"/>
    <cellStyle name="40% - Accent3 2" xfId="63"/>
    <cellStyle name="40% - Accent4" xfId="36" builtinId="43" customBuiltin="1"/>
    <cellStyle name="40% - Accent4 2" xfId="65"/>
    <cellStyle name="40% - Accent5" xfId="40" builtinId="47" customBuiltin="1"/>
    <cellStyle name="40% - Accent5 2" xfId="67"/>
    <cellStyle name="40% - Accent6" xfId="44" builtinId="51" customBuiltin="1"/>
    <cellStyle name="40% - Accent6 2" xfId="69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48"/>
    <cellStyle name="Comma 3" xfId="3"/>
    <cellStyle name="Comma 4" xfId="52"/>
    <cellStyle name="Comma 5" xfId="55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/>
    <cellStyle name="Normal 2" xfId="5"/>
    <cellStyle name="Normal 3" xfId="51"/>
    <cellStyle name="Normal 4" xfId="54"/>
    <cellStyle name="Normal 5" xfId="4"/>
    <cellStyle name="Normal 6" xfId="57"/>
    <cellStyle name="Normal 7" xfId="46"/>
    <cellStyle name="Normal_Indicators" xfId="2"/>
    <cellStyle name="Normal_Quick data" xfId="71"/>
    <cellStyle name="Note 2" xfId="53"/>
    <cellStyle name="Note 3" xfId="56"/>
    <cellStyle name="Output" xfId="15" builtinId="21" customBuiltin="1"/>
    <cellStyle name="Percent 2" xfId="6"/>
    <cellStyle name="Title 2" xfId="50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15.1: Percentage share of Imports by Continents, 2020  </a:t>
            </a:r>
          </a:p>
        </c:rich>
      </c:tx>
      <c:layout>
        <c:manualLayout>
          <c:xMode val="edge"/>
          <c:yMode val="edge"/>
          <c:x val="0.26033603599454119"/>
          <c:y val="3.52739015034159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711440242240692"/>
          <c:y val="0.1404590417360031"/>
          <c:w val="0.50946078374410764"/>
          <c:h val="0.81623105281429342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C1FFFF"/>
              </a:solidFill>
            </c:spPr>
            <c:extLst>
              <c:ext xmlns:c16="http://schemas.microsoft.com/office/drawing/2014/chart" uri="{C3380CC4-5D6E-409C-BE32-E72D297353CC}">
                <c16:uniqueId val="{00000001-5233-4BD0-900B-9B5674E0B543}"/>
              </c:ext>
            </c:extLst>
          </c:dPt>
          <c:dPt>
            <c:idx val="1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3-5233-4BD0-900B-9B5674E0B543}"/>
              </c:ext>
            </c:extLst>
          </c:dPt>
          <c:dPt>
            <c:idx val="3"/>
            <c:bubble3D val="0"/>
            <c:spPr>
              <a:solidFill>
                <a:srgbClr val="00DFDA"/>
              </a:solidFill>
            </c:spPr>
            <c:extLst>
              <c:ext xmlns:c16="http://schemas.microsoft.com/office/drawing/2014/chart" uri="{C3380CC4-5D6E-409C-BE32-E72D297353CC}">
                <c16:uniqueId val="{00000005-5233-4BD0-900B-9B5674E0B543}"/>
              </c:ext>
            </c:extLst>
          </c:dPt>
          <c:dLbls>
            <c:dLbl>
              <c:idx val="1"/>
              <c:layout>
                <c:manualLayout>
                  <c:x val="0.11155733828860891"/>
                  <c:y val="-8.357323730755528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233-4BD0-900B-9B5674E0B5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'15.1'!$AG$14:$AG$19</c:f>
              <c:strCache>
                <c:ptCount val="6"/>
                <c:pt idx="0">
                  <c:v>Europe</c:v>
                </c:pt>
                <c:pt idx="1">
                  <c:v>Asia</c:v>
                </c:pt>
                <c:pt idx="2">
                  <c:v>Africa</c:v>
                </c:pt>
                <c:pt idx="3">
                  <c:v>America</c:v>
                </c:pt>
                <c:pt idx="4">
                  <c:v>Middle East</c:v>
                </c:pt>
                <c:pt idx="5">
                  <c:v>Oceania</c:v>
                </c:pt>
              </c:strCache>
            </c:strRef>
          </c:cat>
          <c:val>
            <c:numRef>
              <c:f>'15.1'!$AH$14:$AH$19</c:f>
              <c:numCache>
                <c:formatCode>0</c:formatCode>
                <c:ptCount val="6"/>
                <c:pt idx="0">
                  <c:v>2525984.4993400015</c:v>
                </c:pt>
                <c:pt idx="1">
                  <c:v>17518757.41934998</c:v>
                </c:pt>
                <c:pt idx="2">
                  <c:v>240954.22769999999</c:v>
                </c:pt>
                <c:pt idx="3">
                  <c:v>938963.61044000054</c:v>
                </c:pt>
                <c:pt idx="4">
                  <c:v>6336565.6690400047</c:v>
                </c:pt>
                <c:pt idx="5" formatCode="#,##0">
                  <c:v>694299.09113000031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CF-4B4D-AAC0-D32873DAC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7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854241690620654E-2"/>
          <c:y val="0.18404062237318375"/>
          <c:w val="0.87680060710618302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'15.1'!$AC$105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numRef>
              <c:f>'15.1'!$AD$104:$AO$104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'15.1'!$AD$105:$AO$105</c:f>
              <c:numCache>
                <c:formatCode>General</c:formatCode>
                <c:ptCount val="12"/>
                <c:pt idx="0">
                  <c:v>12368528.392270003</c:v>
                </c:pt>
                <c:pt idx="1">
                  <c:v>14017488.443949997</c:v>
                </c:pt>
                <c:pt idx="2">
                  <c:v>20486216.653159894</c:v>
                </c:pt>
                <c:pt idx="3">
                  <c:v>23884653.941069901</c:v>
                </c:pt>
                <c:pt idx="4">
                  <c:v>26634885.396759901</c:v>
                </c:pt>
                <c:pt idx="5">
                  <c:v>30649233.308269795</c:v>
                </c:pt>
                <c:pt idx="6">
                  <c:v>29147779.394450299</c:v>
                </c:pt>
                <c:pt idx="7">
                  <c:v>32705613.741919942</c:v>
                </c:pt>
                <c:pt idx="8">
                  <c:v>36319895.400504716</c:v>
                </c:pt>
                <c:pt idx="9">
                  <c:v>45572679.692879952</c:v>
                </c:pt>
                <c:pt idx="10">
                  <c:v>44419161.239239857</c:v>
                </c:pt>
                <c:pt idx="11">
                  <c:v>28255524.516999986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335724320"/>
        <c:axId val="335732904"/>
      </c:barChart>
      <c:lineChart>
        <c:grouping val="standard"/>
        <c:varyColors val="0"/>
        <c:ser>
          <c:idx val="1"/>
          <c:order val="1"/>
          <c:tx>
            <c:strRef>
              <c:f>'15.1'!$AC$106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rgbClr val="C1FFFF"/>
              </a:solidFill>
            </a:ln>
          </c:spPr>
          <c:marker>
            <c:symbol val="square"/>
            <c:size val="6"/>
            <c:spPr>
              <a:solidFill>
                <a:srgbClr val="009999"/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'15.1'!$AD$104:$AO$104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'15.1'!$AD$106:$AO$106</c:f>
              <c:numCache>
                <c:formatCode>General</c:formatCode>
                <c:ptCount val="12"/>
                <c:pt idx="0">
                  <c:v>-30.357833956150195</c:v>
                </c:pt>
                <c:pt idx="1">
                  <c:v>13.33190173788622</c:v>
                </c:pt>
                <c:pt idx="2">
                  <c:v>46.14755514210411</c:v>
                </c:pt>
                <c:pt idx="3">
                  <c:v>16.588896551505599</c:v>
                </c:pt>
                <c:pt idx="4">
                  <c:v>12</c:v>
                </c:pt>
                <c:pt idx="5">
                  <c:v>15.071767164420516</c:v>
                </c:pt>
                <c:pt idx="6">
                  <c:v>-4.8988302536571844</c:v>
                </c:pt>
                <c:pt idx="7">
                  <c:v>12.206193478145542</c:v>
                </c:pt>
                <c:pt idx="8">
                  <c:v>11.050951946980959</c:v>
                </c:pt>
                <c:pt idx="9">
                  <c:v>25.475801046075304</c:v>
                </c:pt>
                <c:pt idx="10">
                  <c:v>-2.5311622257321766</c:v>
                </c:pt>
                <c:pt idx="11">
                  <c:v>-36.388883246090934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11016"/>
        <c:axId val="333809448"/>
      </c:lineChart>
      <c:catAx>
        <c:axId val="33572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32904"/>
        <c:crosses val="autoZero"/>
        <c:auto val="1"/>
        <c:lblAlgn val="ctr"/>
        <c:lblOffset val="100"/>
        <c:noMultiLvlLbl val="0"/>
      </c:catAx>
      <c:valAx>
        <c:axId val="3357329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2432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0766195824657086E-3"/>
                <c:y val="0.39247840070097711"/>
              </c:manualLayout>
            </c:layout>
            <c:tx>
              <c:rich>
                <a:bodyPr/>
                <a:lstStyle/>
                <a:p>
                  <a:pPr>
                    <a:defRPr sz="900"/>
                  </a:pPr>
                  <a:r>
                    <a:rPr lang="en-US" sz="900"/>
                    <a:t>Billions</a:t>
                  </a:r>
                </a:p>
              </c:rich>
            </c:tx>
          </c:dispUnitsLbl>
        </c:dispUnits>
      </c:valAx>
      <c:valAx>
        <c:axId val="33380944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333811016"/>
        <c:crosses val="max"/>
        <c:crossBetween val="between"/>
      </c:valAx>
      <c:catAx>
        <c:axId val="333811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3809448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175266035490253"/>
          <c:y val="0.19299090174123731"/>
          <c:w val="0.21517583192370174"/>
          <c:h val="0.11731143018371055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153108</xdr:colOff>
      <xdr:row>51</xdr:row>
      <xdr:rowOff>130772</xdr:rowOff>
    </xdr:from>
    <xdr:to>
      <xdr:col>8</xdr:col>
      <xdr:colOff>70185</xdr:colOff>
      <xdr:row>64</xdr:row>
      <xdr:rowOff>118391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370974</xdr:colOff>
      <xdr:row>51</xdr:row>
      <xdr:rowOff>120315</xdr:rowOff>
    </xdr:from>
    <xdr:to>
      <xdr:col>17</xdr:col>
      <xdr:colOff>912395</xdr:colOff>
      <xdr:row>64</xdr:row>
      <xdr:rowOff>199421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0.12978</cdr:x>
      <cdr:y>0.04277</cdr:y>
    </cdr:from>
    <cdr:to>
      <cdr:x>0.87172</cdr:x>
      <cdr:y>0.11296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658" y="114569"/>
          <a:ext cx="4508732" cy="187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2009</a:t>
          </a:r>
          <a:r>
            <a:rPr lang="en-US" sz="1100" b="1" baseline="0">
              <a:latin typeface="Candara" pitchFamily="34" charset="0"/>
            </a:rPr>
            <a:t> - 2020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Percent</a:t>
          </a:r>
        </a:p>
      </cdr:txBody>
    </cdr:sp>
  </cdr:relSizeAnchor>
  <cdr:relSizeAnchor xmlns:cdr="http://schemas.openxmlformats.org/drawingml/2006/chartDrawing">
    <cdr:from>
      <cdr:x>0.09031</cdr:x>
      <cdr:y>0.56504</cdr:y>
    </cdr:from>
    <cdr:to>
      <cdr:x>0.94806</cdr:x>
      <cdr:y>0.56504</cdr:y>
    </cdr:to>
    <cdr:cxnSp macro="">
      <cdr:nvCxnSpPr>
        <cdr:cNvPr id="6" name="Straight Connector 5"/>
        <cdr:cNvCxnSpPr/>
      </cdr:nvCxnSpPr>
      <cdr:spPr>
        <a:xfrm xmlns:a="http://schemas.openxmlformats.org/drawingml/2006/main" flipH="1">
          <a:off x="506019" y="1536066"/>
          <a:ext cx="48059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>
              <a:lumMod val="75000"/>
            </a:schemeClr>
          </a:solidFill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6"/>
  <sheetViews>
    <sheetView tabSelected="1" zoomScale="95" zoomScaleNormal="95" workbookViewId="0">
      <selection activeCell="U16" sqref="U16"/>
    </sheetView>
  </sheetViews>
  <sheetFormatPr defaultColWidth="9.140625" defaultRowHeight="18.75" x14ac:dyDescent="0.45"/>
  <cols>
    <col min="1" max="1" width="15" style="3" customWidth="1"/>
    <col min="2" max="2" width="11.28515625" style="29" hidden="1" customWidth="1"/>
    <col min="3" max="7" width="12.42578125" style="29" customWidth="1"/>
    <col min="8" max="12" width="9.7109375" style="29" customWidth="1"/>
    <col min="13" max="17" width="10.28515625" style="29" customWidth="1"/>
    <col min="18" max="18" width="14.140625" style="60" customWidth="1"/>
    <col min="19" max="19" width="2.5703125" style="3" customWidth="1"/>
    <col min="20" max="20" width="32.7109375" style="3" customWidth="1"/>
    <col min="21" max="21" width="8.140625" style="3" customWidth="1"/>
    <col min="22" max="24" width="32.7109375" style="3" hidden="1" customWidth="1"/>
    <col min="25" max="25" width="24.7109375" style="3" customWidth="1"/>
    <col min="26" max="27" width="8" style="3" customWidth="1"/>
    <col min="28" max="29" width="11.5703125" style="3" customWidth="1"/>
    <col min="30" max="30" width="12.85546875" style="3" customWidth="1"/>
    <col min="31" max="31" width="11.5703125" style="3" customWidth="1"/>
    <col min="32" max="32" width="13.85546875" style="3" customWidth="1"/>
    <col min="33" max="33" width="14.42578125" style="3" customWidth="1"/>
    <col min="34" max="34" width="11.7109375" style="3" customWidth="1"/>
    <col min="35" max="35" width="12.140625" style="3" customWidth="1"/>
    <col min="36" max="36" width="10.28515625" style="3" bestFit="1" customWidth="1"/>
    <col min="37" max="37" width="12" style="3" customWidth="1"/>
    <col min="38" max="38" width="15.5703125" style="3" customWidth="1"/>
    <col min="39" max="16384" width="9.140625" style="3"/>
  </cols>
  <sheetData>
    <row r="1" spans="1:38" ht="19.5" x14ac:dyDescent="0.25">
      <c r="A1" s="84" t="s">
        <v>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1"/>
      <c r="T1" s="2"/>
      <c r="U1" s="2"/>
      <c r="V1" s="2"/>
      <c r="W1" s="2"/>
      <c r="X1" s="2"/>
    </row>
    <row r="2" spans="1:38" s="5" customFormat="1" ht="15.75" x14ac:dyDescent="0.25">
      <c r="A2" s="85" t="s">
        <v>85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4"/>
      <c r="T2" s="71"/>
      <c r="U2" s="71"/>
      <c r="V2" s="71"/>
      <c r="W2" s="71"/>
      <c r="X2" s="71"/>
    </row>
    <row r="3" spans="1:38" ht="2.4500000000000002" customHeigh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61"/>
      <c r="L3" s="61"/>
      <c r="M3" s="7"/>
      <c r="N3" s="7"/>
      <c r="O3" s="7"/>
      <c r="P3" s="7"/>
      <c r="Q3" s="7"/>
      <c r="R3" s="58"/>
      <c r="S3" s="8"/>
      <c r="T3" s="8"/>
      <c r="U3" s="8"/>
      <c r="V3" s="8"/>
      <c r="W3" s="8"/>
      <c r="X3" s="8"/>
      <c r="Y3" s="9"/>
      <c r="Z3" s="8"/>
    </row>
    <row r="4" spans="1:38" ht="13.9" customHeight="1" x14ac:dyDescent="0.25">
      <c r="A4" s="86" t="s">
        <v>0</v>
      </c>
      <c r="B4" s="92" t="s">
        <v>1</v>
      </c>
      <c r="C4" s="92"/>
      <c r="D4" s="92"/>
      <c r="E4" s="92"/>
      <c r="F4" s="92"/>
      <c r="G4" s="93"/>
      <c r="H4" s="94" t="s">
        <v>2</v>
      </c>
      <c r="I4" s="95"/>
      <c r="J4" s="95"/>
      <c r="K4" s="95"/>
      <c r="L4" s="95"/>
      <c r="M4" s="98" t="s">
        <v>3</v>
      </c>
      <c r="N4" s="99"/>
      <c r="O4" s="99"/>
      <c r="P4" s="99"/>
      <c r="Q4" s="99"/>
      <c r="R4" s="89" t="s">
        <v>4</v>
      </c>
      <c r="S4" s="8"/>
      <c r="T4" s="8"/>
      <c r="U4" s="8"/>
      <c r="V4" s="8"/>
      <c r="W4" s="8"/>
      <c r="X4" s="8"/>
      <c r="Y4" s="9"/>
      <c r="Z4" s="8"/>
    </row>
    <row r="5" spans="1:38" s="10" customFormat="1" ht="15" customHeight="1" x14ac:dyDescent="0.25">
      <c r="A5" s="87"/>
      <c r="B5" s="103" t="s">
        <v>5</v>
      </c>
      <c r="C5" s="103"/>
      <c r="D5" s="103"/>
      <c r="E5" s="103"/>
      <c r="F5" s="103"/>
      <c r="G5" s="104"/>
      <c r="H5" s="96" t="s">
        <v>6</v>
      </c>
      <c r="I5" s="97"/>
      <c r="J5" s="97"/>
      <c r="K5" s="97"/>
      <c r="L5" s="97"/>
      <c r="M5" s="100" t="s">
        <v>7</v>
      </c>
      <c r="N5" s="101"/>
      <c r="O5" s="101"/>
      <c r="P5" s="101"/>
      <c r="Q5" s="101"/>
      <c r="R5" s="90"/>
      <c r="S5" s="8"/>
      <c r="T5" s="8"/>
      <c r="U5" s="8"/>
      <c r="V5" s="8"/>
      <c r="W5" s="8"/>
      <c r="X5" s="8"/>
      <c r="Y5" s="9"/>
      <c r="Z5" s="8"/>
    </row>
    <row r="6" spans="1:38" s="10" customFormat="1" ht="14.45" customHeight="1" x14ac:dyDescent="0.25">
      <c r="A6" s="88"/>
      <c r="B6" s="12">
        <v>2015</v>
      </c>
      <c r="C6" s="12">
        <v>2016</v>
      </c>
      <c r="D6" s="11">
        <v>2017</v>
      </c>
      <c r="E6" s="12">
        <v>2018</v>
      </c>
      <c r="F6" s="12">
        <v>2019</v>
      </c>
      <c r="G6" s="102">
        <v>2020</v>
      </c>
      <c r="H6" s="13">
        <v>2016</v>
      </c>
      <c r="I6" s="13">
        <v>2017</v>
      </c>
      <c r="J6" s="13">
        <v>2018</v>
      </c>
      <c r="K6" s="13">
        <v>2019</v>
      </c>
      <c r="L6" s="13">
        <v>2020</v>
      </c>
      <c r="M6" s="62">
        <v>2016</v>
      </c>
      <c r="N6" s="12">
        <v>2017</v>
      </c>
      <c r="O6" s="12">
        <v>2018</v>
      </c>
      <c r="P6" s="12">
        <v>2019</v>
      </c>
      <c r="Q6" s="12">
        <v>2020</v>
      </c>
      <c r="R6" s="91"/>
      <c r="S6" s="14"/>
      <c r="T6" s="8"/>
      <c r="U6" s="8"/>
      <c r="V6" s="8"/>
      <c r="W6" s="8"/>
      <c r="X6" s="8"/>
      <c r="Y6" s="15"/>
      <c r="Z6" s="14"/>
    </row>
    <row r="7" spans="1:38" s="10" customFormat="1" ht="16.5" x14ac:dyDescent="0.35">
      <c r="A7" s="72" t="s">
        <v>8</v>
      </c>
      <c r="B7" s="16">
        <f t="shared" ref="B7" si="0">SUM(B8+B18+B28+B33+B39+B44)</f>
        <v>29147779.394450299</v>
      </c>
      <c r="C7" s="16">
        <f>SUM(C8+C18+C28+C33+C39+C44)</f>
        <v>32705613.741919942</v>
      </c>
      <c r="D7" s="16">
        <f>SUM(D8+D18+D28+D33+D39+D44)</f>
        <v>36319895.400504716</v>
      </c>
      <c r="E7" s="16">
        <f>SUM(E8+E18+E28+E33+E39+E44)</f>
        <v>45572679.692879952</v>
      </c>
      <c r="F7" s="16">
        <f>SUM(F8+F18+F28+F33+F39+F44)</f>
        <v>44419161.239239857</v>
      </c>
      <c r="G7" s="17">
        <f>SUM(G8+G18+G28+G33+G39+G44)</f>
        <v>28255524.516999986</v>
      </c>
      <c r="H7" s="18">
        <f>C7/$C$7*100</f>
        <v>100</v>
      </c>
      <c r="I7" s="18">
        <f>D7/$D$7*100</f>
        <v>100</v>
      </c>
      <c r="J7" s="18">
        <f>E7/$E$7*100</f>
        <v>100</v>
      </c>
      <c r="K7" s="18">
        <f>F7/$F$7*100</f>
        <v>100</v>
      </c>
      <c r="L7" s="18">
        <f>G7/$G$7*100</f>
        <v>100</v>
      </c>
      <c r="M7" s="54">
        <f>((C7-B7)/B7)*100</f>
        <v>12.206193478145542</v>
      </c>
      <c r="N7" s="52">
        <f t="shared" ref="M7:Q46" si="1">((D7-C7)/C7)*100</f>
        <v>11.050951946980959</v>
      </c>
      <c r="O7" s="52">
        <f>((E7-D7)/D7)*100</f>
        <v>25.475801046075304</v>
      </c>
      <c r="P7" s="52">
        <f>((F7-E7)/E7)*100</f>
        <v>-2.5311622257321766</v>
      </c>
      <c r="Q7" s="52">
        <f>((G7-F7)/F7)*100</f>
        <v>-36.388883246090934</v>
      </c>
      <c r="R7" s="63" t="s">
        <v>9</v>
      </c>
      <c r="T7" s="8"/>
      <c r="U7" s="8"/>
      <c r="V7" s="8"/>
      <c r="W7" s="8"/>
      <c r="X7" s="8"/>
      <c r="Y7" s="15"/>
      <c r="Z7" s="14"/>
    </row>
    <row r="8" spans="1:38" s="20" customFormat="1" ht="16.5" x14ac:dyDescent="0.35">
      <c r="A8" s="19" t="s">
        <v>10</v>
      </c>
      <c r="B8" s="16">
        <f t="shared" ref="B8" si="2">SUM(B9:B17)</f>
        <v>3223794.6392099997</v>
      </c>
      <c r="C8" s="16">
        <f t="shared" ref="C8:E8" si="3">SUM(C9:C17)</f>
        <v>3015259.4051899994</v>
      </c>
      <c r="D8" s="16">
        <f t="shared" si="3"/>
        <v>3401410.9120900016</v>
      </c>
      <c r="E8" s="16">
        <f t="shared" si="3"/>
        <v>4681844.5684999963</v>
      </c>
      <c r="F8" s="16">
        <f t="shared" ref="F8:G8" si="4">SUM(F9:F17)</f>
        <v>4918709.4611999961</v>
      </c>
      <c r="G8" s="17">
        <f t="shared" si="4"/>
        <v>2525984.4993400015</v>
      </c>
      <c r="H8" s="18">
        <f t="shared" ref="H8:H48" si="5">C8/$C$7*100</f>
        <v>9.2193940434306381</v>
      </c>
      <c r="I8" s="18">
        <f t="shared" ref="I8:I48" si="6">D8/$D$7*100</f>
        <v>9.365145121102783</v>
      </c>
      <c r="J8" s="18">
        <f>E8/$E$7*100</f>
        <v>10.273358073414903</v>
      </c>
      <c r="K8" s="73">
        <f>F8/$F$7*100</f>
        <v>11.073395633717666</v>
      </c>
      <c r="L8" s="18">
        <f>G8/$G$7*100</f>
        <v>8.9397898022393409</v>
      </c>
      <c r="M8" s="56">
        <f t="shared" si="1"/>
        <v>-6.4686264901508261</v>
      </c>
      <c r="N8" s="18">
        <f t="shared" si="1"/>
        <v>12.80657664927074</v>
      </c>
      <c r="O8" s="18">
        <f t="shared" si="1"/>
        <v>37.644192057443313</v>
      </c>
      <c r="P8" s="18">
        <f>((F8-E8)/E8)*100</f>
        <v>5.0592216216158636</v>
      </c>
      <c r="Q8" s="18">
        <f>((G8-F8)/F8)*100</f>
        <v>-48.645381084904578</v>
      </c>
      <c r="R8" s="64" t="s">
        <v>11</v>
      </c>
      <c r="U8" s="21"/>
      <c r="V8" s="21"/>
      <c r="W8" s="21"/>
      <c r="X8" s="21"/>
      <c r="Y8" s="9"/>
      <c r="Z8" s="8"/>
    </row>
    <row r="9" spans="1:38" s="25" customFormat="1" ht="17.25" x14ac:dyDescent="0.4">
      <c r="A9" s="22" t="s">
        <v>12</v>
      </c>
      <c r="B9" s="23">
        <v>278266.20718999999</v>
      </c>
      <c r="C9" s="23">
        <v>350116.56005999958</v>
      </c>
      <c r="D9" s="23">
        <v>321632.76900000044</v>
      </c>
      <c r="E9" s="23">
        <v>361246.33152999979</v>
      </c>
      <c r="F9" s="23">
        <v>258177.02838000015</v>
      </c>
      <c r="G9" s="74">
        <v>231977.08890000038</v>
      </c>
      <c r="H9" s="73">
        <f t="shared" si="5"/>
        <v>1.070509065577457</v>
      </c>
      <c r="I9" s="73">
        <f t="shared" si="6"/>
        <v>0.88555532843173024</v>
      </c>
      <c r="J9" s="73">
        <f t="shared" ref="J9:J48" si="7">E9/$E$7*100</f>
        <v>0.79268178646611176</v>
      </c>
      <c r="K9" s="73">
        <f t="shared" ref="K9:K48" si="8">F9/$F$7*100</f>
        <v>0.58122895880331649</v>
      </c>
      <c r="L9" s="73">
        <f t="shared" ref="L9:L48" si="9">G9/$G$7*100</f>
        <v>0.82099728412555562</v>
      </c>
      <c r="M9" s="55">
        <f t="shared" si="1"/>
        <v>25.82072526720437</v>
      </c>
      <c r="N9" s="73">
        <f t="shared" si="1"/>
        <v>-8.1355166562580958</v>
      </c>
      <c r="O9" s="73">
        <f t="shared" si="1"/>
        <v>12.316395077890618</v>
      </c>
      <c r="P9" s="73">
        <f>((F9-E9)/E9)*100</f>
        <v>-28.531584725986409</v>
      </c>
      <c r="Q9" s="73">
        <f>((G9-F9)/F9)*100</f>
        <v>-10.148052150262243</v>
      </c>
      <c r="R9" s="65" t="s">
        <v>13</v>
      </c>
      <c r="U9" s="24"/>
      <c r="V9" s="24"/>
      <c r="W9" s="24"/>
      <c r="X9" s="24"/>
      <c r="Y9" s="9"/>
      <c r="Z9" s="8"/>
    </row>
    <row r="10" spans="1:38" s="25" customFormat="1" ht="16.5" x14ac:dyDescent="0.35">
      <c r="A10" s="22" t="s">
        <v>14</v>
      </c>
      <c r="B10" s="23">
        <v>548547.2790499999</v>
      </c>
      <c r="C10" s="23">
        <v>794346.21262000047</v>
      </c>
      <c r="D10" s="23">
        <v>860260.4703600026</v>
      </c>
      <c r="E10" s="23">
        <v>853110.38708999881</v>
      </c>
      <c r="F10" s="23">
        <v>975305.8839200004</v>
      </c>
      <c r="G10" s="74">
        <v>519090.81897000072</v>
      </c>
      <c r="H10" s="73">
        <f t="shared" si="5"/>
        <v>2.4287763528554698</v>
      </c>
      <c r="I10" s="73">
        <f t="shared" si="6"/>
        <v>2.3685653850975794</v>
      </c>
      <c r="J10" s="73">
        <f t="shared" si="7"/>
        <v>1.8719776691632299</v>
      </c>
      <c r="K10" s="73">
        <f t="shared" si="8"/>
        <v>2.1956873041051836</v>
      </c>
      <c r="L10" s="73">
        <f t="shared" si="9"/>
        <v>1.837130358906234</v>
      </c>
      <c r="M10" s="55">
        <f t="shared" si="1"/>
        <v>44.809069875560553</v>
      </c>
      <c r="N10" s="73">
        <f t="shared" si="1"/>
        <v>8.2979256013063161</v>
      </c>
      <c r="O10" s="73">
        <f t="shared" si="1"/>
        <v>-0.83115329790890113</v>
      </c>
      <c r="P10" s="73">
        <f t="shared" si="1"/>
        <v>14.323527022899862</v>
      </c>
      <c r="Q10" s="73">
        <f t="shared" si="1"/>
        <v>-46.776613621601079</v>
      </c>
      <c r="R10" s="66" t="s">
        <v>15</v>
      </c>
      <c r="U10" s="24"/>
      <c r="V10" s="24"/>
      <c r="W10" s="24"/>
      <c r="X10" s="24"/>
      <c r="Y10" s="9"/>
      <c r="Z10" s="8"/>
    </row>
    <row r="11" spans="1:38" s="25" customFormat="1" ht="16.5" x14ac:dyDescent="0.35">
      <c r="A11" s="22" t="s">
        <v>16</v>
      </c>
      <c r="B11" s="23">
        <v>360806.4706</v>
      </c>
      <c r="C11" s="23">
        <v>516282.92729000002</v>
      </c>
      <c r="D11" s="23">
        <v>535528.10026999866</v>
      </c>
      <c r="E11" s="23">
        <v>722838.40423999797</v>
      </c>
      <c r="F11" s="23">
        <v>679481.92537999805</v>
      </c>
      <c r="G11" s="74">
        <v>410539.62858000043</v>
      </c>
      <c r="H11" s="73">
        <f t="shared" si="5"/>
        <v>1.5785758719099101</v>
      </c>
      <c r="I11" s="73">
        <f t="shared" si="6"/>
        <v>1.4744758881176645</v>
      </c>
      <c r="J11" s="73">
        <f t="shared" si="7"/>
        <v>1.5861222318092709</v>
      </c>
      <c r="K11" s="73">
        <f t="shared" si="8"/>
        <v>1.5297045383642773</v>
      </c>
      <c r="L11" s="73">
        <f t="shared" si="9"/>
        <v>1.4529534864341256</v>
      </c>
      <c r="M11" s="55">
        <f t="shared" si="1"/>
        <v>43.091371513224743</v>
      </c>
      <c r="N11" s="73">
        <f t="shared" si="1"/>
        <v>3.7276407881658415</v>
      </c>
      <c r="O11" s="73">
        <f t="shared" si="1"/>
        <v>34.97674610829246</v>
      </c>
      <c r="P11" s="73">
        <f t="shared" si="1"/>
        <v>-5.99808734644993</v>
      </c>
      <c r="Q11" s="73">
        <f t="shared" si="1"/>
        <v>-39.580493130791154</v>
      </c>
      <c r="R11" s="66" t="s">
        <v>17</v>
      </c>
      <c r="U11" s="24"/>
      <c r="V11" s="24"/>
      <c r="W11" s="24"/>
      <c r="X11" s="24"/>
      <c r="Y11" s="9"/>
      <c r="Z11" s="8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s="25" customFormat="1" ht="16.5" x14ac:dyDescent="0.35">
      <c r="A12" s="22" t="s">
        <v>18</v>
      </c>
      <c r="B12" s="23">
        <v>273174.27286999999</v>
      </c>
      <c r="C12" s="23">
        <v>296807.87488000002</v>
      </c>
      <c r="D12" s="23">
        <v>286104.1470600001</v>
      </c>
      <c r="E12" s="23">
        <v>518317.78193999926</v>
      </c>
      <c r="F12" s="23">
        <v>452795.27419000032</v>
      </c>
      <c r="G12" s="74">
        <v>242843.22281000041</v>
      </c>
      <c r="H12" s="73">
        <f t="shared" si="5"/>
        <v>0.90751354560141118</v>
      </c>
      <c r="I12" s="73">
        <f t="shared" si="6"/>
        <v>0.78773395106205157</v>
      </c>
      <c r="J12" s="73">
        <f t="shared" si="7"/>
        <v>1.137343218421669</v>
      </c>
      <c r="K12" s="73">
        <f t="shared" si="8"/>
        <v>1.0193692576752245</v>
      </c>
      <c r="L12" s="73">
        <f t="shared" si="9"/>
        <v>0.85945395444311568</v>
      </c>
      <c r="M12" s="55">
        <f t="shared" si="1"/>
        <v>8.6514742994289762</v>
      </c>
      <c r="N12" s="73">
        <f t="shared" si="1"/>
        <v>-3.6062816137636005</v>
      </c>
      <c r="O12" s="73">
        <f t="shared" si="1"/>
        <v>81.164022705095789</v>
      </c>
      <c r="P12" s="73">
        <f t="shared" si="1"/>
        <v>-12.641377555050553</v>
      </c>
      <c r="Q12" s="73">
        <f t="shared" si="1"/>
        <v>-46.367986449412584</v>
      </c>
      <c r="R12" s="66" t="s">
        <v>19</v>
      </c>
      <c r="U12" s="24"/>
      <c r="V12" s="24"/>
      <c r="W12" s="24"/>
      <c r="X12" s="24"/>
      <c r="Y12" s="9"/>
      <c r="Z12" s="8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25" customFormat="1" ht="16.5" x14ac:dyDescent="0.35">
      <c r="A13" s="22" t="s">
        <v>21</v>
      </c>
      <c r="B13" s="23">
        <v>277462.37716999999</v>
      </c>
      <c r="C13" s="23">
        <v>268499.32834999979</v>
      </c>
      <c r="D13" s="23">
        <v>360506.93283000012</v>
      </c>
      <c r="E13" s="23">
        <v>398064.65791000024</v>
      </c>
      <c r="F13" s="23">
        <v>715893.15832000109</v>
      </c>
      <c r="G13" s="74">
        <v>257429.37032999957</v>
      </c>
      <c r="H13" s="73">
        <f t="shared" si="5"/>
        <v>0.82095792627139941</v>
      </c>
      <c r="I13" s="73">
        <f t="shared" si="6"/>
        <v>0.99258802607947594</v>
      </c>
      <c r="J13" s="73">
        <f t="shared" si="7"/>
        <v>0.87347213416592628</v>
      </c>
      <c r="K13" s="73">
        <f t="shared" si="8"/>
        <v>1.6116764440107925</v>
      </c>
      <c r="L13" s="73">
        <f t="shared" si="9"/>
        <v>0.9110762398875899</v>
      </c>
      <c r="M13" s="55">
        <f t="shared" si="1"/>
        <v>-3.230365468435592</v>
      </c>
      <c r="N13" s="73">
        <f t="shared" si="1"/>
        <v>34.267349957786365</v>
      </c>
      <c r="O13" s="73">
        <f t="shared" si="1"/>
        <v>10.418031294202811</v>
      </c>
      <c r="P13" s="73">
        <f t="shared" si="1"/>
        <v>79.843436008292841</v>
      </c>
      <c r="Q13" s="73">
        <f t="shared" si="1"/>
        <v>-64.04081149006737</v>
      </c>
      <c r="R13" s="66" t="s">
        <v>22</v>
      </c>
      <c r="U13" s="26"/>
      <c r="V13" s="26"/>
      <c r="W13" s="26"/>
      <c r="X13" s="26"/>
      <c r="Y13" s="9"/>
      <c r="Z13" s="8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s="25" customFormat="1" ht="16.5" x14ac:dyDescent="0.35">
      <c r="A14" s="22" t="s">
        <v>24</v>
      </c>
      <c r="B14" s="23">
        <v>73305.095239999995</v>
      </c>
      <c r="C14" s="23">
        <v>102611.90746000005</v>
      </c>
      <c r="D14" s="23">
        <v>83187.915789999926</v>
      </c>
      <c r="E14" s="23">
        <v>85946.824929999973</v>
      </c>
      <c r="F14" s="23">
        <v>90092.507369999905</v>
      </c>
      <c r="G14" s="74">
        <v>95384.850459999943</v>
      </c>
      <c r="H14" s="73">
        <f t="shared" si="5"/>
        <v>0.31374402042936972</v>
      </c>
      <c r="I14" s="73">
        <f t="shared" si="6"/>
        <v>0.22904227799302504</v>
      </c>
      <c r="J14" s="73">
        <f t="shared" si="7"/>
        <v>0.18859287079277867</v>
      </c>
      <c r="K14" s="73">
        <f t="shared" si="8"/>
        <v>0.2028235222289885</v>
      </c>
      <c r="L14" s="73">
        <f t="shared" si="9"/>
        <v>0.33757947194578353</v>
      </c>
      <c r="M14" s="55">
        <f t="shared" si="1"/>
        <v>39.97922944380592</v>
      </c>
      <c r="N14" s="73">
        <f t="shared" si="1"/>
        <v>-18.929568849085022</v>
      </c>
      <c r="O14" s="73">
        <f t="shared" si="1"/>
        <v>3.3164782574486589</v>
      </c>
      <c r="P14" s="73">
        <f t="shared" si="1"/>
        <v>4.8235434448874788</v>
      </c>
      <c r="Q14" s="73">
        <f t="shared" si="1"/>
        <v>5.874343210656769</v>
      </c>
      <c r="R14" s="66" t="s">
        <v>25</v>
      </c>
      <c r="S14" s="24"/>
      <c r="T14" s="26"/>
      <c r="U14" s="26"/>
      <c r="V14" s="26"/>
      <c r="W14" s="26"/>
      <c r="X14" s="26"/>
      <c r="Y14" s="9"/>
      <c r="Z14" s="8"/>
      <c r="AG14" s="20" t="str">
        <f>A8</f>
        <v>Europe</v>
      </c>
      <c r="AH14" s="79">
        <v>2525984.4993400015</v>
      </c>
    </row>
    <row r="15" spans="1:38" s="25" customFormat="1" ht="17.25" x14ac:dyDescent="0.4">
      <c r="A15" s="22" t="s">
        <v>26</v>
      </c>
      <c r="B15" s="23">
        <v>123172.79869</v>
      </c>
      <c r="C15" s="23">
        <v>82213.398739999859</v>
      </c>
      <c r="D15" s="23">
        <v>238402.14973000012</v>
      </c>
      <c r="E15" s="23">
        <v>119412.02202000005</v>
      </c>
      <c r="F15" s="23">
        <v>210513.69507999951</v>
      </c>
      <c r="G15" s="74">
        <v>99211.71807000009</v>
      </c>
      <c r="H15" s="73">
        <f t="shared" si="5"/>
        <v>0.2513739671383205</v>
      </c>
      <c r="I15" s="73">
        <f t="shared" si="6"/>
        <v>0.65639547443929913</v>
      </c>
      <c r="J15" s="73">
        <f t="shared" si="7"/>
        <v>0.26202545653389875</v>
      </c>
      <c r="K15" s="73">
        <f t="shared" si="8"/>
        <v>0.47392541688525147</v>
      </c>
      <c r="L15" s="73">
        <f t="shared" si="9"/>
        <v>0.35112325736621591</v>
      </c>
      <c r="M15" s="55">
        <f t="shared" si="1"/>
        <v>-33.253608252489514</v>
      </c>
      <c r="N15" s="73">
        <f t="shared" si="1"/>
        <v>189.97967896199947</v>
      </c>
      <c r="O15" s="73">
        <f t="shared" si="1"/>
        <v>-49.911516253004059</v>
      </c>
      <c r="P15" s="73">
        <f t="shared" si="1"/>
        <v>76.29187708147262</v>
      </c>
      <c r="Q15" s="73">
        <f t="shared" si="1"/>
        <v>-52.871608646507482</v>
      </c>
      <c r="R15" s="65" t="s">
        <v>27</v>
      </c>
      <c r="S15" s="26"/>
      <c r="U15" s="26"/>
      <c r="V15" s="26"/>
      <c r="W15" s="26"/>
      <c r="X15" s="26"/>
      <c r="Y15" s="9"/>
      <c r="Z15" s="8"/>
      <c r="AG15" s="78" t="str">
        <f>A18</f>
        <v>Asia</v>
      </c>
      <c r="AH15" s="79">
        <v>17518757.41934998</v>
      </c>
    </row>
    <row r="16" spans="1:38" s="25" customFormat="1" ht="17.25" x14ac:dyDescent="0.4">
      <c r="A16" s="22" t="s">
        <v>29</v>
      </c>
      <c r="B16" s="23">
        <v>40071.536820000001</v>
      </c>
      <c r="C16" s="23">
        <v>44038.661949999987</v>
      </c>
      <c r="D16" s="23">
        <v>58627.86942000001</v>
      </c>
      <c r="E16" s="23">
        <v>85281.880310000226</v>
      </c>
      <c r="F16" s="23">
        <v>88329.118209999913</v>
      </c>
      <c r="G16" s="74">
        <v>47597.556990000005</v>
      </c>
      <c r="H16" s="73">
        <f t="shared" si="5"/>
        <v>0.13465169098341695</v>
      </c>
      <c r="I16" s="73">
        <f t="shared" si="6"/>
        <v>0.16142081020196244</v>
      </c>
      <c r="J16" s="73">
        <f t="shared" si="7"/>
        <v>0.18713378472524678</v>
      </c>
      <c r="K16" s="73">
        <f t="shared" si="8"/>
        <v>0.19885363826269198</v>
      </c>
      <c r="L16" s="73">
        <f t="shared" si="9"/>
        <v>0.1684539848529899</v>
      </c>
      <c r="M16" s="55">
        <f t="shared" si="1"/>
        <v>9.90010727020573</v>
      </c>
      <c r="N16" s="73">
        <f t="shared" si="1"/>
        <v>33.128180612217776</v>
      </c>
      <c r="O16" s="73">
        <f t="shared" si="1"/>
        <v>45.463038574803818</v>
      </c>
      <c r="P16" s="73">
        <f t="shared" si="1"/>
        <v>3.5731363906646481</v>
      </c>
      <c r="Q16" s="73">
        <f t="shared" si="1"/>
        <v>-46.113401837842197</v>
      </c>
      <c r="R16" s="65" t="s">
        <v>30</v>
      </c>
      <c r="S16" s="26"/>
      <c r="T16" s="26"/>
      <c r="U16" s="26"/>
      <c r="V16" s="26"/>
      <c r="W16" s="26"/>
      <c r="X16" s="26"/>
      <c r="Y16" s="9"/>
      <c r="Z16" s="8"/>
      <c r="AB16" s="10"/>
      <c r="AC16" s="10"/>
      <c r="AD16" s="10"/>
      <c r="AE16" s="10"/>
      <c r="AF16" s="10"/>
      <c r="AG16" s="31" t="str">
        <f>A28</f>
        <v>Africa</v>
      </c>
      <c r="AH16" s="79">
        <v>240954.22769999999</v>
      </c>
      <c r="AI16" s="10"/>
      <c r="AJ16" s="10"/>
      <c r="AK16" s="10"/>
      <c r="AL16" s="10"/>
    </row>
    <row r="17" spans="1:38" s="25" customFormat="1" ht="16.5" x14ac:dyDescent="0.35">
      <c r="A17" s="22" t="s">
        <v>32</v>
      </c>
      <c r="B17" s="23">
        <v>1248988.60158</v>
      </c>
      <c r="C17" s="23">
        <v>560342.53383999993</v>
      </c>
      <c r="D17" s="23">
        <v>657160.55762999994</v>
      </c>
      <c r="E17" s="23">
        <v>1537626.27853</v>
      </c>
      <c r="F17" s="23">
        <v>1448120.8703499974</v>
      </c>
      <c r="G17" s="74">
        <v>621910.24423000007</v>
      </c>
      <c r="H17" s="73">
        <f t="shared" si="5"/>
        <v>1.7132916026638849</v>
      </c>
      <c r="I17" s="73">
        <f t="shared" si="6"/>
        <v>1.8093679796799962</v>
      </c>
      <c r="J17" s="73">
        <f t="shared" si="7"/>
        <v>3.3740089213367699</v>
      </c>
      <c r="K17" s="73">
        <f t="shared" si="8"/>
        <v>3.2601265533819408</v>
      </c>
      <c r="L17" s="73">
        <f t="shared" si="9"/>
        <v>2.2010217642777317</v>
      </c>
      <c r="M17" s="55">
        <f t="shared" si="1"/>
        <v>-55.136297230322725</v>
      </c>
      <c r="N17" s="73">
        <f t="shared" si="1"/>
        <v>17.278364204571592</v>
      </c>
      <c r="O17" s="73">
        <f>((E17-D17)/D17)*100</f>
        <v>133.98030522028489</v>
      </c>
      <c r="P17" s="73">
        <f>((F17-E17)/E17)*100</f>
        <v>-5.8210118693842476</v>
      </c>
      <c r="Q17" s="73">
        <f>((G17-F17)/F17)*100</f>
        <v>-57.05398237374412</v>
      </c>
      <c r="R17" s="66" t="s">
        <v>33</v>
      </c>
      <c r="S17" s="26"/>
      <c r="T17" s="26"/>
      <c r="U17" s="26"/>
      <c r="V17" s="26"/>
      <c r="W17" s="26"/>
      <c r="X17" s="26"/>
      <c r="Y17" s="9"/>
      <c r="Z17" s="8"/>
      <c r="AB17" s="10"/>
      <c r="AC17" s="10"/>
      <c r="AD17" s="10"/>
      <c r="AE17" s="10"/>
      <c r="AF17" s="10"/>
      <c r="AG17" s="24" t="str">
        <f>A33</f>
        <v>America</v>
      </c>
      <c r="AH17" s="79">
        <v>938963.61044000054</v>
      </c>
      <c r="AI17" s="10"/>
      <c r="AJ17" s="10"/>
      <c r="AK17" s="10"/>
      <c r="AL17" s="10"/>
    </row>
    <row r="18" spans="1:38" s="20" customFormat="1" ht="16.5" x14ac:dyDescent="0.35">
      <c r="A18" s="19" t="s">
        <v>20</v>
      </c>
      <c r="B18" s="16">
        <f t="shared" ref="B18" si="10">SUM(B19:B27)</f>
        <v>18172639.102940198</v>
      </c>
      <c r="C18" s="16">
        <f t="shared" ref="C18:E18" si="11">SUM(C19:C27)</f>
        <v>21008469.988669999</v>
      </c>
      <c r="D18" s="16">
        <f t="shared" si="11"/>
        <v>22551008.430829685</v>
      </c>
      <c r="E18" s="16">
        <f t="shared" si="11"/>
        <v>28143742.830659926</v>
      </c>
      <c r="F18" s="16">
        <f t="shared" ref="F18:G18" si="12">SUM(F19:F27)</f>
        <v>27052345.191849913</v>
      </c>
      <c r="G18" s="17">
        <f t="shared" si="12"/>
        <v>17518757.41934998</v>
      </c>
      <c r="H18" s="18">
        <f t="shared" si="5"/>
        <v>64.235058098734584</v>
      </c>
      <c r="I18" s="18">
        <f t="shared" si="6"/>
        <v>62.089959737373881</v>
      </c>
      <c r="J18" s="18">
        <f t="shared" si="7"/>
        <v>61.755733962374315</v>
      </c>
      <c r="K18" s="18">
        <f t="shared" si="8"/>
        <v>60.902422371613561</v>
      </c>
      <c r="L18" s="18">
        <f t="shared" si="9"/>
        <v>62.001175765857006</v>
      </c>
      <c r="M18" s="56">
        <f t="shared" si="1"/>
        <v>15.60494801919543</v>
      </c>
      <c r="N18" s="18">
        <f t="shared" si="1"/>
        <v>7.342459698357791</v>
      </c>
      <c r="O18" s="18">
        <f t="shared" si="1"/>
        <v>24.800373859043763</v>
      </c>
      <c r="P18" s="18">
        <f t="shared" si="1"/>
        <v>-3.8779406327613208</v>
      </c>
      <c r="Q18" s="18">
        <f t="shared" si="1"/>
        <v>-35.241261727549329</v>
      </c>
      <c r="R18" s="64" t="s">
        <v>35</v>
      </c>
      <c r="S18" s="26"/>
      <c r="T18" s="24"/>
      <c r="U18" s="24"/>
      <c r="V18" s="24"/>
      <c r="W18" s="24"/>
      <c r="X18" s="24"/>
      <c r="Y18" s="27"/>
      <c r="Z18" s="14"/>
      <c r="AG18" s="24" t="str">
        <f>A39</f>
        <v>Middle East</v>
      </c>
      <c r="AH18" s="79">
        <v>6336565.6690400047</v>
      </c>
    </row>
    <row r="19" spans="1:38" s="25" customFormat="1" ht="16.5" x14ac:dyDescent="0.35">
      <c r="A19" s="22" t="s">
        <v>36</v>
      </c>
      <c r="B19" s="23">
        <v>4997145.7407799</v>
      </c>
      <c r="C19" s="23">
        <v>4692806.479680025</v>
      </c>
      <c r="D19" s="23">
        <v>4897768.0799900014</v>
      </c>
      <c r="E19" s="23">
        <v>5681714.5460599717</v>
      </c>
      <c r="F19" s="23">
        <v>5453956.1766699832</v>
      </c>
      <c r="G19" s="74">
        <v>3086975.3068500115</v>
      </c>
      <c r="H19" s="73">
        <f t="shared" si="5"/>
        <v>14.348626864828068</v>
      </c>
      <c r="I19" s="73">
        <f t="shared" si="6"/>
        <v>13.485083109358129</v>
      </c>
      <c r="J19" s="73">
        <f t="shared" si="7"/>
        <v>12.467369889920374</v>
      </c>
      <c r="K19" s="73">
        <f t="shared" si="8"/>
        <v>12.278386229076208</v>
      </c>
      <c r="L19" s="73">
        <f t="shared" si="9"/>
        <v>10.92520970542496</v>
      </c>
      <c r="M19" s="55">
        <f t="shared" si="1"/>
        <v>-6.0902618592103943</v>
      </c>
      <c r="N19" s="73">
        <f t="shared" si="1"/>
        <v>4.3675698368868501</v>
      </c>
      <c r="O19" s="73">
        <f t="shared" si="1"/>
        <v>16.006198196129588</v>
      </c>
      <c r="P19" s="73">
        <f t="shared" si="1"/>
        <v>-4.0086204180730842</v>
      </c>
      <c r="Q19" s="73">
        <f t="shared" si="1"/>
        <v>-43.399337896132067</v>
      </c>
      <c r="R19" s="66" t="s">
        <v>37</v>
      </c>
      <c r="S19" s="26"/>
      <c r="T19" s="24"/>
      <c r="U19" s="24"/>
      <c r="V19" s="24"/>
      <c r="W19" s="24"/>
      <c r="X19" s="24"/>
      <c r="Y19" s="9"/>
      <c r="Z19" s="8"/>
      <c r="AA19" s="28"/>
      <c r="AG19" s="24" t="str">
        <f>A44</f>
        <v>Oceania</v>
      </c>
      <c r="AH19" s="80">
        <v>694299.09113000031</v>
      </c>
    </row>
    <row r="20" spans="1:38" s="30" customFormat="1" ht="16.5" x14ac:dyDescent="0.35">
      <c r="A20" s="22" t="s">
        <v>38</v>
      </c>
      <c r="B20" s="23">
        <v>3482072.7142502</v>
      </c>
      <c r="C20" s="23">
        <v>4236536.1583699901</v>
      </c>
      <c r="D20" s="23">
        <v>4424615.0572196795</v>
      </c>
      <c r="E20" s="23">
        <v>4412159.0999900065</v>
      </c>
      <c r="F20" s="23">
        <v>4466600.6893099882</v>
      </c>
      <c r="G20" s="74">
        <v>3720070.9827699633</v>
      </c>
      <c r="H20" s="73">
        <f t="shared" si="5"/>
        <v>12.953544280809112</v>
      </c>
      <c r="I20" s="73">
        <f t="shared" si="6"/>
        <v>12.182345264018005</v>
      </c>
      <c r="J20" s="73">
        <f t="shared" si="7"/>
        <v>9.6815880253785913</v>
      </c>
      <c r="K20" s="73">
        <f t="shared" si="8"/>
        <v>10.055571885414613</v>
      </c>
      <c r="L20" s="73">
        <f t="shared" si="9"/>
        <v>13.165818176660554</v>
      </c>
      <c r="M20" s="55">
        <f t="shared" si="1"/>
        <v>21.667078950769408</v>
      </c>
      <c r="N20" s="73">
        <f t="shared" si="1"/>
        <v>4.4394498670360196</v>
      </c>
      <c r="O20" s="73">
        <f t="shared" si="1"/>
        <v>-0.28151504862210436</v>
      </c>
      <c r="P20" s="73">
        <f t="shared" si="1"/>
        <v>1.2338990522827009</v>
      </c>
      <c r="Q20" s="73">
        <f t="shared" si="1"/>
        <v>-16.713598516355187</v>
      </c>
      <c r="R20" s="66" t="s">
        <v>39</v>
      </c>
      <c r="S20" s="24"/>
      <c r="T20" s="26"/>
      <c r="U20" s="26"/>
      <c r="V20" s="26"/>
      <c r="W20" s="26"/>
      <c r="X20" s="26"/>
      <c r="Y20" s="9"/>
      <c r="Z20" s="8"/>
      <c r="AA20" s="28"/>
      <c r="AB20" s="25"/>
      <c r="AC20" s="25"/>
      <c r="AD20" s="25"/>
      <c r="AE20" s="25"/>
      <c r="AF20" s="25"/>
      <c r="AG20" s="25"/>
      <c r="AH20" s="26">
        <f>SUM(AH14:AH19)</f>
        <v>28255524.516999986</v>
      </c>
      <c r="AI20" s="25"/>
      <c r="AJ20" s="25"/>
      <c r="AK20" s="25"/>
      <c r="AL20" s="25"/>
    </row>
    <row r="21" spans="1:38" s="25" customFormat="1" ht="17.25" x14ac:dyDescent="0.35">
      <c r="A21" s="22" t="s">
        <v>40</v>
      </c>
      <c r="B21" s="23">
        <v>2181170.3399899998</v>
      </c>
      <c r="C21" s="23">
        <v>1857727.5844999996</v>
      </c>
      <c r="D21" s="23">
        <v>2676860.6926400121</v>
      </c>
      <c r="E21" s="23">
        <v>3575094.8297199877</v>
      </c>
      <c r="F21" s="23">
        <v>2945546.690809994</v>
      </c>
      <c r="G21" s="74">
        <v>2134820.5277700014</v>
      </c>
      <c r="H21" s="73">
        <f t="shared" si="5"/>
        <v>5.6801489773570104</v>
      </c>
      <c r="I21" s="73">
        <f t="shared" si="6"/>
        <v>7.3702323839919801</v>
      </c>
      <c r="J21" s="73">
        <f t="shared" si="7"/>
        <v>7.844820304210776</v>
      </c>
      <c r="K21" s="73">
        <f t="shared" si="8"/>
        <v>6.6312523889080097</v>
      </c>
      <c r="L21" s="73">
        <f t="shared" si="9"/>
        <v>7.5554093022962041</v>
      </c>
      <c r="M21" s="55">
        <f t="shared" si="1"/>
        <v>-14.828862723829403</v>
      </c>
      <c r="N21" s="73">
        <f t="shared" si="1"/>
        <v>44.093284450016881</v>
      </c>
      <c r="O21" s="73">
        <f t="shared" si="1"/>
        <v>33.555505504999076</v>
      </c>
      <c r="P21" s="73">
        <f t="shared" si="1"/>
        <v>-17.609271051400384</v>
      </c>
      <c r="Q21" s="73">
        <f t="shared" si="1"/>
        <v>-27.52379263141307</v>
      </c>
      <c r="R21" s="66" t="s">
        <v>41</v>
      </c>
      <c r="S21" s="24"/>
      <c r="T21" s="26"/>
      <c r="U21" s="26"/>
      <c r="V21" s="26"/>
      <c r="W21" s="26"/>
      <c r="X21" s="26"/>
      <c r="Y21" s="9"/>
      <c r="Z21" s="8"/>
      <c r="AA21" s="29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spans="1:38" s="25" customFormat="1" ht="16.5" x14ac:dyDescent="0.35">
      <c r="A22" s="22" t="s">
        <v>42</v>
      </c>
      <c r="B22" s="23">
        <v>2048074.2560099999</v>
      </c>
      <c r="C22" s="23">
        <v>2065583.8323900024</v>
      </c>
      <c r="D22" s="23">
        <v>2376884.430870004</v>
      </c>
      <c r="E22" s="23">
        <v>2544912.7784099951</v>
      </c>
      <c r="F22" s="23">
        <v>2545413.8107299991</v>
      </c>
      <c r="G22" s="74">
        <v>1800562.7032199972</v>
      </c>
      <c r="H22" s="73">
        <f t="shared" si="5"/>
        <v>6.3156858901640813</v>
      </c>
      <c r="I22" s="73">
        <f t="shared" si="6"/>
        <v>6.5443041745020389</v>
      </c>
      <c r="J22" s="73">
        <f t="shared" si="7"/>
        <v>5.5842947914418986</v>
      </c>
      <c r="K22" s="73">
        <f t="shared" si="8"/>
        <v>5.7304409622246135</v>
      </c>
      <c r="L22" s="73">
        <f t="shared" si="9"/>
        <v>6.3724271058450368</v>
      </c>
      <c r="M22" s="55">
        <f t="shared" si="1"/>
        <v>0.85492878632800173</v>
      </c>
      <c r="N22" s="73">
        <f t="shared" si="1"/>
        <v>15.070828576335648</v>
      </c>
      <c r="O22" s="73">
        <f t="shared" si="1"/>
        <v>7.0692687182307896</v>
      </c>
      <c r="P22" s="73">
        <f t="shared" si="1"/>
        <v>1.9687602822953735E-2</v>
      </c>
      <c r="Q22" s="73">
        <f t="shared" si="1"/>
        <v>-29.262476080318983</v>
      </c>
      <c r="R22" s="66" t="s">
        <v>43</v>
      </c>
      <c r="S22" s="26"/>
      <c r="T22" s="31"/>
      <c r="U22" s="31"/>
      <c r="V22" s="31"/>
      <c r="W22" s="31"/>
      <c r="X22" s="31"/>
      <c r="Y22" s="9"/>
      <c r="Z22" s="8"/>
      <c r="AA22" s="32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spans="1:38" s="30" customFormat="1" ht="17.25" x14ac:dyDescent="0.35">
      <c r="A23" s="22" t="s">
        <v>44</v>
      </c>
      <c r="B23" s="23">
        <v>1399326.5378301002</v>
      </c>
      <c r="C23" s="23">
        <v>1526999.9150599907</v>
      </c>
      <c r="D23" s="23">
        <v>1693528.7112799997</v>
      </c>
      <c r="E23" s="23">
        <v>1912015.6626200024</v>
      </c>
      <c r="F23" s="23">
        <v>1835671.9262900061</v>
      </c>
      <c r="G23" s="74">
        <v>925020.05542000034</v>
      </c>
      <c r="H23" s="73">
        <f t="shared" si="5"/>
        <v>4.6689229779008272</v>
      </c>
      <c r="I23" s="73">
        <f t="shared" si="6"/>
        <v>4.6628127438287326</v>
      </c>
      <c r="J23" s="73">
        <f t="shared" si="7"/>
        <v>4.1955304702407616</v>
      </c>
      <c r="K23" s="73">
        <f t="shared" si="8"/>
        <v>4.1326127623237845</v>
      </c>
      <c r="L23" s="73">
        <f t="shared" si="9"/>
        <v>3.2737670640778953</v>
      </c>
      <c r="M23" s="55">
        <f t="shared" si="1"/>
        <v>9.1239159537323147</v>
      </c>
      <c r="N23" s="73">
        <f t="shared" si="1"/>
        <v>10.905619219596788</v>
      </c>
      <c r="O23" s="73">
        <f t="shared" si="1"/>
        <v>12.90128415802684</v>
      </c>
      <c r="P23" s="73">
        <f t="shared" si="1"/>
        <v>-3.9928405306776487</v>
      </c>
      <c r="Q23" s="73">
        <f t="shared" si="1"/>
        <v>-49.60863963913657</v>
      </c>
      <c r="R23" s="66" t="s">
        <v>45</v>
      </c>
      <c r="S23" s="26"/>
      <c r="T23" s="8"/>
      <c r="U23" s="8"/>
      <c r="V23" s="8"/>
      <c r="W23" s="8"/>
      <c r="X23" s="8"/>
      <c r="Y23" s="9"/>
      <c r="Z23" s="8"/>
      <c r="AA23" s="29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s="30" customFormat="1" ht="17.25" x14ac:dyDescent="0.35">
      <c r="A24" s="22" t="s">
        <v>46</v>
      </c>
      <c r="B24" s="23">
        <v>2264027.6578699998</v>
      </c>
      <c r="C24" s="23">
        <v>4389838.6802499853</v>
      </c>
      <c r="D24" s="23">
        <v>4317657.572809997</v>
      </c>
      <c r="E24" s="23">
        <v>7516024.4676699685</v>
      </c>
      <c r="F24" s="23">
        <v>7222029.9398099482</v>
      </c>
      <c r="G24" s="74">
        <v>4116015.7588700042</v>
      </c>
      <c r="H24" s="73">
        <f t="shared" si="5"/>
        <v>13.422278862858866</v>
      </c>
      <c r="I24" s="73">
        <f t="shared" si="6"/>
        <v>11.887857950025916</v>
      </c>
      <c r="J24" s="73">
        <f t="shared" si="7"/>
        <v>16.492390876115707</v>
      </c>
      <c r="K24" s="73">
        <f t="shared" si="8"/>
        <v>16.258816551965893</v>
      </c>
      <c r="L24" s="73">
        <f t="shared" si="9"/>
        <v>14.567118569657399</v>
      </c>
      <c r="M24" s="55">
        <f t="shared" si="1"/>
        <v>93.895099513932237</v>
      </c>
      <c r="N24" s="73">
        <f t="shared" si="1"/>
        <v>-1.6442769927909477</v>
      </c>
      <c r="O24" s="73">
        <f t="shared" si="1"/>
        <v>74.076437070909861</v>
      </c>
      <c r="P24" s="73">
        <f t="shared" si="1"/>
        <v>-3.9115695953975669</v>
      </c>
      <c r="Q24" s="73">
        <f t="shared" si="1"/>
        <v>-43.007495217081313</v>
      </c>
      <c r="R24" s="66" t="s">
        <v>47</v>
      </c>
      <c r="S24" s="31"/>
      <c r="T24" s="8"/>
      <c r="U24" s="8"/>
      <c r="V24" s="8"/>
      <c r="W24" s="8"/>
      <c r="X24" s="8"/>
      <c r="Y24" s="9"/>
      <c r="Z24" s="8"/>
      <c r="AA24" s="29"/>
      <c r="AB24" s="25"/>
      <c r="AC24" s="25"/>
      <c r="AD24" s="25"/>
      <c r="AE24" s="20"/>
      <c r="AF24" s="20"/>
      <c r="AG24" s="20"/>
      <c r="AH24" s="20"/>
      <c r="AI24" s="20"/>
      <c r="AJ24" s="20"/>
      <c r="AK24" s="20"/>
      <c r="AL24" s="25"/>
    </row>
    <row r="25" spans="1:38" s="30" customFormat="1" ht="17.25" x14ac:dyDescent="0.35">
      <c r="A25" s="22" t="s">
        <v>48</v>
      </c>
      <c r="B25" s="23">
        <v>559111.29359000002</v>
      </c>
      <c r="C25" s="23">
        <v>703975.53000000049</v>
      </c>
      <c r="D25" s="23">
        <v>711309.59093999816</v>
      </c>
      <c r="E25" s="23">
        <v>968624.93123999774</v>
      </c>
      <c r="F25" s="23">
        <v>874723.88217999809</v>
      </c>
      <c r="G25" s="74">
        <v>560688.25997999997</v>
      </c>
      <c r="H25" s="73">
        <f t="shared" si="5"/>
        <v>2.1524608452697835</v>
      </c>
      <c r="I25" s="73">
        <f t="shared" si="6"/>
        <v>1.9584571571484028</v>
      </c>
      <c r="J25" s="73">
        <f t="shared" si="7"/>
        <v>2.1254509012146832</v>
      </c>
      <c r="K25" s="73">
        <f t="shared" si="8"/>
        <v>1.9692489857446198</v>
      </c>
      <c r="L25" s="73">
        <f t="shared" si="9"/>
        <v>1.9843491478725193</v>
      </c>
      <c r="M25" s="55">
        <f t="shared" si="1"/>
        <v>25.909731760172665</v>
      </c>
      <c r="N25" s="73">
        <f t="shared" si="1"/>
        <v>1.0418062315316077</v>
      </c>
      <c r="O25" s="73">
        <f t="shared" si="1"/>
        <v>36.174872879185621</v>
      </c>
      <c r="P25" s="73">
        <f t="shared" si="1"/>
        <v>-9.6942630766060294</v>
      </c>
      <c r="Q25" s="73">
        <f t="shared" si="1"/>
        <v>-35.901114465670531</v>
      </c>
      <c r="R25" s="66" t="s">
        <v>49</v>
      </c>
      <c r="S25" s="8"/>
      <c r="T25" s="8"/>
      <c r="U25" s="8"/>
      <c r="V25" s="8"/>
      <c r="W25" s="8"/>
      <c r="X25" s="8"/>
      <c r="Y25" s="9"/>
      <c r="Z25" s="8"/>
      <c r="AA25" s="29"/>
      <c r="AB25" s="25"/>
      <c r="AC25" s="25"/>
      <c r="AD25" s="25"/>
      <c r="AE25" s="20"/>
      <c r="AF25" s="20"/>
      <c r="AG25" s="20"/>
      <c r="AH25" s="20"/>
      <c r="AI25" s="20"/>
      <c r="AJ25" s="20"/>
      <c r="AK25" s="20"/>
      <c r="AL25" s="25"/>
    </row>
    <row r="26" spans="1:38" s="30" customFormat="1" ht="17.25" x14ac:dyDescent="0.35">
      <c r="A26" s="22" t="s">
        <v>50</v>
      </c>
      <c r="B26" s="23">
        <v>259534.94605</v>
      </c>
      <c r="C26" s="23">
        <v>320056.38508000044</v>
      </c>
      <c r="D26" s="23">
        <v>359290.91390999948</v>
      </c>
      <c r="E26" s="23">
        <v>317407.52254000033</v>
      </c>
      <c r="F26" s="23">
        <v>542973.62313000008</v>
      </c>
      <c r="G26" s="74">
        <v>285612.11608000036</v>
      </c>
      <c r="H26" s="73">
        <f t="shared" si="5"/>
        <v>0.97859770376292565</v>
      </c>
      <c r="I26" s="73">
        <f t="shared" si="6"/>
        <v>0.98923994672354321</v>
      </c>
      <c r="J26" s="73">
        <f t="shared" si="7"/>
        <v>0.69648641396347499</v>
      </c>
      <c r="K26" s="73">
        <f t="shared" si="8"/>
        <v>1.2223860333732226</v>
      </c>
      <c r="L26" s="73">
        <f t="shared" si="9"/>
        <v>1.0108186663042171</v>
      </c>
      <c r="M26" s="55">
        <f t="shared" si="1"/>
        <v>23.319186857534344</v>
      </c>
      <c r="N26" s="73">
        <f t="shared" si="1"/>
        <v>12.258630247352222</v>
      </c>
      <c r="O26" s="73">
        <f t="shared" si="1"/>
        <v>-11.657236447813631</v>
      </c>
      <c r="P26" s="73">
        <f t="shared" si="1"/>
        <v>71.065140102838441</v>
      </c>
      <c r="Q26" s="73">
        <f t="shared" si="1"/>
        <v>-47.398528415878793</v>
      </c>
      <c r="R26" s="66" t="s">
        <v>51</v>
      </c>
      <c r="S26" s="8"/>
      <c r="T26" s="8"/>
      <c r="U26" s="8"/>
      <c r="V26" s="8"/>
      <c r="W26" s="8"/>
      <c r="X26" s="8"/>
      <c r="Y26" s="9"/>
      <c r="Z26" s="8"/>
      <c r="AA26" s="29"/>
      <c r="AB26" s="10"/>
      <c r="AC26" s="10"/>
      <c r="AD26" s="10"/>
      <c r="AE26" s="20"/>
      <c r="AF26" s="20"/>
      <c r="AG26" s="20"/>
      <c r="AH26" s="20"/>
      <c r="AI26" s="20"/>
      <c r="AJ26" s="20"/>
      <c r="AK26" s="20"/>
      <c r="AL26" s="10"/>
    </row>
    <row r="27" spans="1:38" s="30" customFormat="1" ht="18" x14ac:dyDescent="0.4">
      <c r="A27" s="22" t="s">
        <v>32</v>
      </c>
      <c r="B27" s="23">
        <v>982175.61657000007</v>
      </c>
      <c r="C27" s="23">
        <v>1214945.4233399995</v>
      </c>
      <c r="D27" s="23">
        <v>1093093.3811699986</v>
      </c>
      <c r="E27" s="23">
        <v>1215788.9924100002</v>
      </c>
      <c r="F27" s="23">
        <v>1165428.4529199982</v>
      </c>
      <c r="G27" s="74">
        <v>888991.70839000028</v>
      </c>
      <c r="H27" s="73">
        <f t="shared" si="5"/>
        <v>3.7147916957838985</v>
      </c>
      <c r="I27" s="73">
        <f t="shared" si="6"/>
        <v>3.0096270077771434</v>
      </c>
      <c r="J27" s="73">
        <f t="shared" si="7"/>
        <v>2.6678022898880553</v>
      </c>
      <c r="K27" s="73">
        <f t="shared" si="8"/>
        <v>2.6237065725825985</v>
      </c>
      <c r="L27" s="73">
        <f t="shared" si="9"/>
        <v>3.1462580277182144</v>
      </c>
      <c r="M27" s="55">
        <f t="shared" si="1"/>
        <v>23.699408012478372</v>
      </c>
      <c r="N27" s="73">
        <f t="shared" si="1"/>
        <v>-10.029425176566221</v>
      </c>
      <c r="O27" s="73">
        <f t="shared" si="1"/>
        <v>11.224623015160306</v>
      </c>
      <c r="P27" s="73">
        <f t="shared" si="1"/>
        <v>-4.1422105155085092</v>
      </c>
      <c r="Q27" s="73">
        <f t="shared" si="1"/>
        <v>-23.719752494233479</v>
      </c>
      <c r="R27" s="65" t="s">
        <v>33</v>
      </c>
      <c r="S27" s="8"/>
      <c r="T27" s="8"/>
      <c r="U27" s="8"/>
      <c r="V27" s="8"/>
      <c r="W27" s="8"/>
      <c r="X27" s="8"/>
      <c r="Y27" s="9"/>
      <c r="Z27" s="8"/>
      <c r="AA27" s="29"/>
      <c r="AB27" s="10"/>
      <c r="AC27" s="10"/>
      <c r="AD27" s="10"/>
      <c r="AE27" s="20"/>
      <c r="AF27" s="20"/>
      <c r="AG27" s="20"/>
      <c r="AH27" s="20"/>
      <c r="AI27" s="20"/>
      <c r="AJ27" s="20"/>
      <c r="AK27" s="20"/>
      <c r="AL27" s="10"/>
    </row>
    <row r="28" spans="1:38" s="33" customFormat="1" ht="16.5" x14ac:dyDescent="0.35">
      <c r="A28" s="19" t="s">
        <v>34</v>
      </c>
      <c r="B28" s="16">
        <f t="shared" ref="B28:E28" si="13">SUM(B29:B32)</f>
        <v>187511.24640999999</v>
      </c>
      <c r="C28" s="16">
        <f t="shared" si="13"/>
        <v>309018.0944</v>
      </c>
      <c r="D28" s="16">
        <f t="shared" si="13"/>
        <v>269290.94461000018</v>
      </c>
      <c r="E28" s="16">
        <f t="shared" si="13"/>
        <v>327869.58846000029</v>
      </c>
      <c r="F28" s="16">
        <f t="shared" ref="F28:G28" si="14">SUM(F29:F32)</f>
        <v>389073.48913999973</v>
      </c>
      <c r="G28" s="17">
        <f t="shared" si="14"/>
        <v>240954.22769999999</v>
      </c>
      <c r="H28" s="18">
        <f t="shared" si="5"/>
        <v>0.94484725722765017</v>
      </c>
      <c r="I28" s="18">
        <f t="shared" si="6"/>
        <v>0.74144196077794322</v>
      </c>
      <c r="J28" s="18">
        <f t="shared" si="7"/>
        <v>0.71944329512671823</v>
      </c>
      <c r="K28" s="18">
        <f t="shared" si="8"/>
        <v>0.87591363340803574</v>
      </c>
      <c r="L28" s="18">
        <f t="shared" si="9"/>
        <v>0.85276855347360281</v>
      </c>
      <c r="M28" s="56">
        <f t="shared" si="1"/>
        <v>64.799765516101886</v>
      </c>
      <c r="N28" s="18">
        <f t="shared" si="1"/>
        <v>-12.855929963303737</v>
      </c>
      <c r="O28" s="18">
        <f t="shared" si="1"/>
        <v>21.75292003778161</v>
      </c>
      <c r="P28" s="18">
        <f t="shared" si="1"/>
        <v>18.667147803330423</v>
      </c>
      <c r="Q28" s="18">
        <f t="shared" si="1"/>
        <v>-38.069738898787378</v>
      </c>
      <c r="R28" s="64" t="s">
        <v>52</v>
      </c>
      <c r="S28" s="8"/>
      <c r="T28" s="14"/>
      <c r="U28" s="14"/>
      <c r="V28" s="14"/>
      <c r="W28" s="14"/>
      <c r="X28" s="14"/>
      <c r="Y28" s="15"/>
      <c r="Z28" s="8"/>
      <c r="AA28" s="25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s="30" customFormat="1" ht="16.5" x14ac:dyDescent="0.35">
      <c r="A29" s="22" t="s">
        <v>53</v>
      </c>
      <c r="B29" s="23">
        <v>95648.86464</v>
      </c>
      <c r="C29" s="23">
        <v>160024.25624000008</v>
      </c>
      <c r="D29" s="23">
        <v>138067.68432000012</v>
      </c>
      <c r="E29" s="23">
        <v>191187.71241000015</v>
      </c>
      <c r="F29" s="23">
        <v>204009.01861999978</v>
      </c>
      <c r="G29" s="74">
        <v>150875.89047000001</v>
      </c>
      <c r="H29" s="73">
        <f t="shared" si="5"/>
        <v>0.48928681633297505</v>
      </c>
      <c r="I29" s="73">
        <f t="shared" si="6"/>
        <v>0.38014339743412773</v>
      </c>
      <c r="J29" s="73">
        <f t="shared" si="7"/>
        <v>0.4195226475564709</v>
      </c>
      <c r="K29" s="73">
        <f t="shared" si="8"/>
        <v>0.45928156437086964</v>
      </c>
      <c r="L29" s="73">
        <f t="shared" si="9"/>
        <v>0.53396952648755569</v>
      </c>
      <c r="M29" s="55">
        <f t="shared" si="1"/>
        <v>67.303874272103513</v>
      </c>
      <c r="N29" s="73">
        <f t="shared" si="1"/>
        <v>-13.720777359571091</v>
      </c>
      <c r="O29" s="73">
        <f t="shared" si="1"/>
        <v>38.473903833197852</v>
      </c>
      <c r="P29" s="73">
        <f t="shared" si="1"/>
        <v>6.7061350587764066</v>
      </c>
      <c r="Q29" s="73">
        <f t="shared" si="1"/>
        <v>-26.044499654678955</v>
      </c>
      <c r="R29" s="66" t="s">
        <v>54</v>
      </c>
      <c r="S29" s="8"/>
      <c r="T29" s="8"/>
      <c r="U29" s="8"/>
      <c r="V29" s="8"/>
      <c r="W29" s="8"/>
      <c r="X29" s="8"/>
      <c r="Y29" s="9"/>
      <c r="Z29" s="8"/>
      <c r="AB29" s="25"/>
      <c r="AC29" s="25"/>
      <c r="AD29" s="25"/>
      <c r="AE29" s="20"/>
      <c r="AF29" s="20"/>
      <c r="AG29" s="20"/>
      <c r="AH29" s="20"/>
      <c r="AI29" s="20"/>
      <c r="AJ29" s="20"/>
      <c r="AK29" s="20"/>
      <c r="AL29" s="25"/>
    </row>
    <row r="30" spans="1:38" s="30" customFormat="1" ht="16.5" x14ac:dyDescent="0.35">
      <c r="A30" s="34" t="s">
        <v>55</v>
      </c>
      <c r="B30" s="23">
        <v>18942.335520000001</v>
      </c>
      <c r="C30" s="23">
        <v>44694.516859999952</v>
      </c>
      <c r="D30" s="23">
        <v>53064.23605</v>
      </c>
      <c r="E30" s="23">
        <v>32939.792019999979</v>
      </c>
      <c r="F30" s="23">
        <v>65966.815880000038</v>
      </c>
      <c r="G30" s="74">
        <v>9183.510279999995</v>
      </c>
      <c r="H30" s="73">
        <f t="shared" si="5"/>
        <v>0.136657019228211</v>
      </c>
      <c r="I30" s="73">
        <f t="shared" si="6"/>
        <v>0.14610239226972718</v>
      </c>
      <c r="J30" s="73">
        <f t="shared" si="7"/>
        <v>7.2279690906888516E-2</v>
      </c>
      <c r="K30" s="73">
        <f t="shared" si="8"/>
        <v>0.14850981882504571</v>
      </c>
      <c r="L30" s="73">
        <f t="shared" si="9"/>
        <v>3.2501645030424825E-2</v>
      </c>
      <c r="M30" s="55">
        <f t="shared" si="1"/>
        <v>135.95040227647678</v>
      </c>
      <c r="N30" s="73">
        <f t="shared" si="1"/>
        <v>18.726501096806032</v>
      </c>
      <c r="O30" s="73">
        <f t="shared" si="1"/>
        <v>-37.924684359985278</v>
      </c>
      <c r="P30" s="73">
        <f>((F30-E30)/E30)*100</f>
        <v>100.26482207279</v>
      </c>
      <c r="Q30" s="73">
        <f>((G30-F30)/F30)*100</f>
        <v>-86.07859094380774</v>
      </c>
      <c r="R30" s="66" t="s">
        <v>56</v>
      </c>
      <c r="S30" s="14"/>
      <c r="T30" s="8"/>
      <c r="U30" s="8"/>
      <c r="V30" s="8"/>
      <c r="W30" s="8"/>
      <c r="X30" s="8"/>
      <c r="Y30" s="9"/>
      <c r="Z30" s="8"/>
      <c r="AA30" s="25"/>
      <c r="AB30" s="25"/>
      <c r="AC30" s="25"/>
      <c r="AD30" s="25"/>
      <c r="AE30" s="20"/>
      <c r="AF30" s="20"/>
      <c r="AG30" s="20"/>
      <c r="AH30" s="20"/>
      <c r="AI30" s="20"/>
      <c r="AJ30" s="20"/>
      <c r="AK30" s="20"/>
      <c r="AL30" s="25"/>
    </row>
    <row r="31" spans="1:38" s="30" customFormat="1" ht="16.5" x14ac:dyDescent="0.35">
      <c r="A31" s="34" t="s">
        <v>57</v>
      </c>
      <c r="B31" s="23">
        <v>59019.160109999997</v>
      </c>
      <c r="C31" s="23">
        <v>72205.682499999995</v>
      </c>
      <c r="D31" s="23">
        <v>62817.488380000046</v>
      </c>
      <c r="E31" s="23">
        <v>80301.477780000161</v>
      </c>
      <c r="F31" s="23">
        <v>83870.717819999962</v>
      </c>
      <c r="G31" s="74">
        <v>62429.433850000016</v>
      </c>
      <c r="H31" s="73">
        <f t="shared" si="5"/>
        <v>0.22077458343932993</v>
      </c>
      <c r="I31" s="73">
        <f t="shared" si="6"/>
        <v>0.17295613791643</v>
      </c>
      <c r="J31" s="73">
        <f t="shared" si="7"/>
        <v>0.17620530177545399</v>
      </c>
      <c r="K31" s="73">
        <f t="shared" si="8"/>
        <v>0.18881652755277292</v>
      </c>
      <c r="L31" s="73">
        <f t="shared" si="9"/>
        <v>0.2209459385984473</v>
      </c>
      <c r="M31" s="55">
        <f t="shared" si="1"/>
        <v>22.342782183655167</v>
      </c>
      <c r="N31" s="73">
        <f t="shared" si="1"/>
        <v>-13.002015623908756</v>
      </c>
      <c r="O31" s="73">
        <f t="shared" si="1"/>
        <v>27.832996592023413</v>
      </c>
      <c r="P31" s="73">
        <f t="shared" si="1"/>
        <v>4.4447999447511455</v>
      </c>
      <c r="Q31" s="73">
        <f t="shared" si="1"/>
        <v>-25.564683989013169</v>
      </c>
      <c r="R31" s="66" t="s">
        <v>58</v>
      </c>
      <c r="S31" s="14"/>
      <c r="T31" s="8"/>
      <c r="U31" s="8"/>
      <c r="V31" s="8"/>
      <c r="W31" s="8"/>
      <c r="X31" s="8"/>
      <c r="Y31" s="9"/>
      <c r="Z31" s="8"/>
      <c r="AA31" s="25"/>
      <c r="AB31" s="10"/>
      <c r="AC31" s="10"/>
      <c r="AD31" s="10"/>
      <c r="AE31" s="20"/>
      <c r="AF31" s="20"/>
      <c r="AG31" s="20"/>
      <c r="AH31" s="20"/>
      <c r="AI31" s="20"/>
      <c r="AJ31" s="20"/>
      <c r="AK31" s="20"/>
      <c r="AL31" s="10"/>
    </row>
    <row r="32" spans="1:38" s="30" customFormat="1" ht="16.5" x14ac:dyDescent="0.35">
      <c r="A32" s="22" t="s">
        <v>32</v>
      </c>
      <c r="B32" s="23">
        <v>13900.886139999999</v>
      </c>
      <c r="C32" s="23">
        <v>32093.638799999997</v>
      </c>
      <c r="D32" s="23">
        <v>15341.535860000004</v>
      </c>
      <c r="E32" s="23">
        <v>23440.606249999997</v>
      </c>
      <c r="F32" s="23">
        <v>35226.93681999993</v>
      </c>
      <c r="G32" s="74">
        <v>18465.393100000001</v>
      </c>
      <c r="H32" s="73">
        <f t="shared" si="5"/>
        <v>9.812883822713421E-2</v>
      </c>
      <c r="I32" s="73">
        <f t="shared" si="6"/>
        <v>4.2240033157658299E-2</v>
      </c>
      <c r="J32" s="73">
        <f t="shared" si="7"/>
        <v>5.1435654887904775E-2</v>
      </c>
      <c r="K32" s="73">
        <f t="shared" si="8"/>
        <v>7.9305722659347461E-2</v>
      </c>
      <c r="L32" s="73">
        <f t="shared" si="9"/>
        <v>6.5351443357175215E-2</v>
      </c>
      <c r="M32" s="55">
        <f t="shared" si="1"/>
        <v>130.87476925409879</v>
      </c>
      <c r="N32" s="73">
        <f t="shared" si="1"/>
        <v>-52.197580475044155</v>
      </c>
      <c r="O32" s="73">
        <f t="shared" si="1"/>
        <v>52.791783455766669</v>
      </c>
      <c r="P32" s="73">
        <f t="shared" si="1"/>
        <v>50.281679766707974</v>
      </c>
      <c r="Q32" s="73">
        <f t="shared" si="1"/>
        <v>-47.581610077671129</v>
      </c>
      <c r="R32" s="67" t="s">
        <v>33</v>
      </c>
      <c r="S32" s="14"/>
      <c r="T32" s="8"/>
      <c r="U32" s="8"/>
      <c r="V32" s="8"/>
      <c r="W32" s="8"/>
      <c r="X32" s="8"/>
      <c r="Y32" s="9"/>
      <c r="Z32" s="8"/>
      <c r="AB32" s="10"/>
      <c r="AC32" s="10"/>
      <c r="AD32" s="10"/>
      <c r="AE32" s="20"/>
      <c r="AF32" s="20"/>
      <c r="AG32" s="20"/>
      <c r="AH32" s="20"/>
      <c r="AI32" s="20"/>
      <c r="AJ32" s="20"/>
      <c r="AK32" s="20"/>
      <c r="AL32" s="10"/>
    </row>
    <row r="33" spans="1:38" s="33" customFormat="1" ht="15.75" customHeight="1" x14ac:dyDescent="0.25">
      <c r="A33" s="35" t="s">
        <v>28</v>
      </c>
      <c r="B33" s="16">
        <f t="shared" ref="B33:E33" si="15">SUM(B34:B38)</f>
        <v>1070491.8970799998</v>
      </c>
      <c r="C33" s="16">
        <f t="shared" si="15"/>
        <v>1168682.3626299989</v>
      </c>
      <c r="D33" s="16">
        <f t="shared" si="15"/>
        <v>1415953.0414900023</v>
      </c>
      <c r="E33" s="16">
        <f t="shared" si="15"/>
        <v>1340198.6867899986</v>
      </c>
      <c r="F33" s="16">
        <f t="shared" ref="F33:G33" si="16">SUM(F34:F38)</f>
        <v>1587408.04216</v>
      </c>
      <c r="G33" s="17">
        <f t="shared" si="16"/>
        <v>938963.61044000054</v>
      </c>
      <c r="H33" s="18">
        <f t="shared" si="5"/>
        <v>3.5733387297118884</v>
      </c>
      <c r="I33" s="18">
        <f t="shared" si="6"/>
        <v>3.8985603506730517</v>
      </c>
      <c r="J33" s="18">
        <f t="shared" si="7"/>
        <v>2.9407941245100506</v>
      </c>
      <c r="K33" s="18">
        <f t="shared" si="8"/>
        <v>3.5737010737557218</v>
      </c>
      <c r="L33" s="18">
        <f t="shared" si="9"/>
        <v>3.3231151305475555</v>
      </c>
      <c r="M33" s="56">
        <f t="shared" si="1"/>
        <v>9.1724622874619666</v>
      </c>
      <c r="N33" s="18">
        <f t="shared" si="1"/>
        <v>21.158073978591261</v>
      </c>
      <c r="O33" s="18">
        <f t="shared" si="1"/>
        <v>-5.3500612294520531</v>
      </c>
      <c r="P33" s="18">
        <f t="shared" si="1"/>
        <v>18.445724339732745</v>
      </c>
      <c r="Q33" s="18">
        <f t="shared" si="1"/>
        <v>-40.849259579008773</v>
      </c>
      <c r="R33" s="68" t="s">
        <v>59</v>
      </c>
      <c r="S33" s="14"/>
      <c r="T33" s="14"/>
      <c r="U33" s="14"/>
      <c r="V33" s="14"/>
      <c r="W33" s="14"/>
      <c r="X33" s="14"/>
      <c r="Y33" s="15"/>
      <c r="Z33" s="8"/>
      <c r="AA33" s="25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s="30" customFormat="1" ht="16.5" x14ac:dyDescent="0.35">
      <c r="A34" s="36" t="s">
        <v>60</v>
      </c>
      <c r="B34" s="23">
        <v>1610.03883</v>
      </c>
      <c r="C34" s="23">
        <v>1229.60123</v>
      </c>
      <c r="D34" s="23">
        <v>1285.32476</v>
      </c>
      <c r="E34" s="23">
        <v>864.25310000000002</v>
      </c>
      <c r="F34" s="23">
        <v>2118.9905100000005</v>
      </c>
      <c r="G34" s="74">
        <v>0</v>
      </c>
      <c r="H34" s="73">
        <f t="shared" si="5"/>
        <v>3.7596029834596149E-3</v>
      </c>
      <c r="I34" s="73">
        <f t="shared" si="6"/>
        <v>3.5388999495360291E-3</v>
      </c>
      <c r="J34" s="73">
        <f t="shared" si="7"/>
        <v>1.8964280920593455E-3</v>
      </c>
      <c r="K34" s="73">
        <f t="shared" si="8"/>
        <v>4.770442419178518E-3</v>
      </c>
      <c r="L34" s="73">
        <f t="shared" si="9"/>
        <v>0</v>
      </c>
      <c r="M34" s="55">
        <f t="shared" si="1"/>
        <v>-23.629094709473559</v>
      </c>
      <c r="N34" s="73">
        <f t="shared" si="1"/>
        <v>4.5318375291475581</v>
      </c>
      <c r="O34" s="73">
        <f t="shared" si="1"/>
        <v>-32.759943097960701</v>
      </c>
      <c r="P34" s="73">
        <f t="shared" si="1"/>
        <v>145.18170776593112</v>
      </c>
      <c r="Q34" s="73">
        <f t="shared" si="1"/>
        <v>-100</v>
      </c>
      <c r="R34" s="69" t="s">
        <v>61</v>
      </c>
      <c r="S34" s="14"/>
      <c r="T34" s="8"/>
      <c r="U34" s="8"/>
      <c r="V34" s="8"/>
      <c r="W34" s="8"/>
      <c r="X34" s="8"/>
      <c r="Y34" s="9"/>
      <c r="Z34" s="8"/>
      <c r="AA34" s="25"/>
      <c r="AB34" s="25"/>
      <c r="AC34" s="25"/>
      <c r="AD34" s="25"/>
      <c r="AE34" s="20"/>
      <c r="AF34" s="20"/>
      <c r="AG34" s="20"/>
      <c r="AH34" s="20"/>
      <c r="AI34" s="20"/>
      <c r="AJ34" s="20"/>
      <c r="AK34" s="20"/>
      <c r="AL34" s="25"/>
    </row>
    <row r="35" spans="1:38" s="30" customFormat="1" ht="16.5" x14ac:dyDescent="0.35">
      <c r="A35" s="37" t="s">
        <v>62</v>
      </c>
      <c r="B35" s="23">
        <v>575452.14727999992</v>
      </c>
      <c r="C35" s="23">
        <v>648846.3886299989</v>
      </c>
      <c r="D35" s="23">
        <v>671386.44107000227</v>
      </c>
      <c r="E35" s="23">
        <v>774070.80221999867</v>
      </c>
      <c r="F35" s="23">
        <v>863337.38879999949</v>
      </c>
      <c r="G35" s="74">
        <v>573788.2061900004</v>
      </c>
      <c r="H35" s="73">
        <f t="shared" si="5"/>
        <v>1.9838991365520517</v>
      </c>
      <c r="I35" s="73">
        <f t="shared" si="6"/>
        <v>1.8485362737599524</v>
      </c>
      <c r="J35" s="73">
        <f t="shared" si="7"/>
        <v>1.6985413353714542</v>
      </c>
      <c r="K35" s="73">
        <f t="shared" si="8"/>
        <v>1.9436147930621612</v>
      </c>
      <c r="L35" s="73">
        <f t="shared" si="9"/>
        <v>2.0307115723326237</v>
      </c>
      <c r="M35" s="55">
        <f t="shared" si="1"/>
        <v>12.754186720288189</v>
      </c>
      <c r="N35" s="73">
        <f t="shared" si="1"/>
        <v>3.4738657461892286</v>
      </c>
      <c r="O35" s="73">
        <f t="shared" si="1"/>
        <v>15.294375171822988</v>
      </c>
      <c r="P35" s="73">
        <f t="shared" si="1"/>
        <v>11.532095813973147</v>
      </c>
      <c r="Q35" s="73">
        <f t="shared" si="1"/>
        <v>-33.538357815414379</v>
      </c>
      <c r="R35" s="66" t="s">
        <v>63</v>
      </c>
      <c r="S35" s="14"/>
      <c r="Z35" s="8"/>
      <c r="AB35" s="25"/>
      <c r="AC35" s="25"/>
      <c r="AD35" s="25"/>
      <c r="AE35" s="20"/>
      <c r="AF35" s="20"/>
      <c r="AG35" s="20"/>
      <c r="AH35" s="20"/>
      <c r="AI35" s="20"/>
      <c r="AJ35" s="20"/>
      <c r="AK35" s="20"/>
      <c r="AL35" s="25"/>
    </row>
    <row r="36" spans="1:38" s="30" customFormat="1" ht="17.25" x14ac:dyDescent="0.4">
      <c r="A36" s="37" t="s">
        <v>64</v>
      </c>
      <c r="B36" s="23">
        <v>236474.75205000001</v>
      </c>
      <c r="C36" s="23">
        <v>231974.68576000011</v>
      </c>
      <c r="D36" s="23">
        <v>420211.27243000013</v>
      </c>
      <c r="E36" s="23">
        <v>280444.37696999998</v>
      </c>
      <c r="F36" s="23">
        <v>445326.62298000004</v>
      </c>
      <c r="G36" s="74">
        <v>174434.53714000012</v>
      </c>
      <c r="H36" s="73">
        <f t="shared" si="5"/>
        <v>0.70928094360348282</v>
      </c>
      <c r="I36" s="73">
        <f t="shared" si="6"/>
        <v>1.1569726944317154</v>
      </c>
      <c r="J36" s="73">
        <f t="shared" si="7"/>
        <v>0.61537828993148991</v>
      </c>
      <c r="K36" s="73">
        <f t="shared" si="8"/>
        <v>1.0025552274197351</v>
      </c>
      <c r="L36" s="73">
        <f t="shared" si="9"/>
        <v>0.61734666095138768</v>
      </c>
      <c r="M36" s="55">
        <f t="shared" si="1"/>
        <v>-1.9029795997199779</v>
      </c>
      <c r="N36" s="73">
        <f t="shared" si="1"/>
        <v>81.145313788569453</v>
      </c>
      <c r="O36" s="73">
        <f t="shared" si="1"/>
        <v>-33.261100934240851</v>
      </c>
      <c r="P36" s="73">
        <f t="shared" si="1"/>
        <v>58.793208047682853</v>
      </c>
      <c r="Q36" s="73">
        <f t="shared" si="1"/>
        <v>-60.829977787374709</v>
      </c>
      <c r="R36" s="65" t="s">
        <v>65</v>
      </c>
      <c r="S36" s="14"/>
      <c r="Z36" s="8"/>
      <c r="AA36" s="25"/>
      <c r="AB36" s="10"/>
      <c r="AC36" s="10"/>
      <c r="AD36" s="10"/>
      <c r="AE36" s="20"/>
      <c r="AF36" s="20"/>
      <c r="AG36" s="20"/>
      <c r="AH36" s="20"/>
      <c r="AI36" s="20"/>
      <c r="AJ36" s="20"/>
      <c r="AK36" s="20"/>
      <c r="AL36" s="10"/>
    </row>
    <row r="37" spans="1:38" s="30" customFormat="1" ht="17.25" x14ac:dyDescent="0.4">
      <c r="A37" s="36" t="s">
        <v>66</v>
      </c>
      <c r="B37" s="23">
        <v>231415.90796000001</v>
      </c>
      <c r="C37" s="23">
        <v>249254.51366999999</v>
      </c>
      <c r="D37" s="23">
        <v>273042.73187000002</v>
      </c>
      <c r="E37" s="23">
        <v>240687.16187000001</v>
      </c>
      <c r="F37" s="23">
        <v>232669.13011999996</v>
      </c>
      <c r="G37" s="74">
        <v>136784.86456000005</v>
      </c>
      <c r="H37" s="73">
        <f t="shared" si="5"/>
        <v>0.76211538372851773</v>
      </c>
      <c r="I37" s="73">
        <f t="shared" si="6"/>
        <v>0.75177180126517018</v>
      </c>
      <c r="J37" s="73">
        <f t="shared" si="7"/>
        <v>0.52813914716453192</v>
      </c>
      <c r="K37" s="73">
        <f t="shared" si="8"/>
        <v>0.5238035199873613</v>
      </c>
      <c r="L37" s="73">
        <f t="shared" si="9"/>
        <v>0.48409954123379728</v>
      </c>
      <c r="M37" s="55">
        <f t="shared" si="1"/>
        <v>7.7084613012357641</v>
      </c>
      <c r="N37" s="73">
        <f t="shared" si="1"/>
        <v>9.5437462093442349</v>
      </c>
      <c r="O37" s="73">
        <f t="shared" si="1"/>
        <v>-11.850002297590915</v>
      </c>
      <c r="P37" s="73">
        <f t="shared" si="1"/>
        <v>-3.3313084452467612</v>
      </c>
      <c r="Q37" s="73">
        <f t="shared" si="1"/>
        <v>-41.21056605599</v>
      </c>
      <c r="R37" s="65" t="s">
        <v>67</v>
      </c>
      <c r="S37" s="14"/>
      <c r="Z37" s="8"/>
      <c r="AA37" s="25"/>
      <c r="AB37" s="25"/>
      <c r="AC37" s="25"/>
      <c r="AD37" s="25"/>
      <c r="AE37" s="25"/>
      <c r="AF37" s="25"/>
    </row>
    <row r="38" spans="1:38" s="30" customFormat="1" ht="16.5" x14ac:dyDescent="0.35">
      <c r="A38" s="37" t="s">
        <v>32</v>
      </c>
      <c r="B38" s="23">
        <v>25539.05096</v>
      </c>
      <c r="C38" s="23">
        <v>37377.173340000008</v>
      </c>
      <c r="D38" s="23">
        <v>50027.271359999992</v>
      </c>
      <c r="E38" s="23">
        <v>44132.092630000014</v>
      </c>
      <c r="F38" s="23">
        <v>43955.909750000479</v>
      </c>
      <c r="G38" s="74">
        <v>53956.002550000005</v>
      </c>
      <c r="H38" s="73">
        <f t="shared" si="5"/>
        <v>0.11428366284437697</v>
      </c>
      <c r="I38" s="73">
        <f t="shared" si="6"/>
        <v>0.13774068126667785</v>
      </c>
      <c r="J38" s="73">
        <f t="shared" si="7"/>
        <v>9.6838923950515451E-2</v>
      </c>
      <c r="K38" s="73">
        <f t="shared" si="8"/>
        <v>9.895709086728513E-2</v>
      </c>
      <c r="L38" s="73">
        <f t="shared" si="9"/>
        <v>0.19095735602974662</v>
      </c>
      <c r="M38" s="55">
        <f t="shared" si="1"/>
        <v>46.353023840005712</v>
      </c>
      <c r="N38" s="73">
        <f t="shared" si="1"/>
        <v>33.844448067083235</v>
      </c>
      <c r="O38" s="73">
        <f t="shared" si="1"/>
        <v>-11.783930183954727</v>
      </c>
      <c r="P38" s="73">
        <f t="shared" si="1"/>
        <v>-0.39921714448629936</v>
      </c>
      <c r="Q38" s="73">
        <f t="shared" si="1"/>
        <v>22.750280580870964</v>
      </c>
      <c r="R38" s="66" t="s">
        <v>33</v>
      </c>
      <c r="S38" s="14"/>
      <c r="T38" s="8"/>
      <c r="U38" s="8"/>
      <c r="V38" s="8"/>
      <c r="W38" s="8"/>
      <c r="X38" s="8"/>
      <c r="Z38" s="8"/>
    </row>
    <row r="39" spans="1:38" s="33" customFormat="1" ht="16.5" x14ac:dyDescent="0.35">
      <c r="A39" s="38" t="s">
        <v>23</v>
      </c>
      <c r="B39" s="16">
        <f t="shared" ref="B39:E39" si="17">SUM(B40:B43)</f>
        <v>5664646.5532001005</v>
      </c>
      <c r="C39" s="16">
        <f t="shared" si="17"/>
        <v>6432764.1997599453</v>
      </c>
      <c r="D39" s="16">
        <f t="shared" si="17"/>
        <v>7679425.4968550289</v>
      </c>
      <c r="E39" s="16">
        <f t="shared" si="17"/>
        <v>10057780.652160024</v>
      </c>
      <c r="F39" s="16">
        <f t="shared" ref="F39:G39" si="18">SUM(F40:F43)</f>
        <v>9263715.8779299539</v>
      </c>
      <c r="G39" s="17">
        <f t="shared" si="18"/>
        <v>6336565.6690400047</v>
      </c>
      <c r="H39" s="18">
        <f t="shared" si="5"/>
        <v>19.668685169833225</v>
      </c>
      <c r="I39" s="18">
        <f t="shared" si="6"/>
        <v>21.143853560625377</v>
      </c>
      <c r="J39" s="18">
        <f t="shared" si="7"/>
        <v>22.069759162596274</v>
      </c>
      <c r="K39" s="18">
        <f t="shared" si="8"/>
        <v>20.855224681159431</v>
      </c>
      <c r="L39" s="18">
        <f t="shared" si="9"/>
        <v>22.425935378504828</v>
      </c>
      <c r="M39" s="56">
        <f t="shared" si="1"/>
        <v>13.559851251900543</v>
      </c>
      <c r="N39" s="18">
        <f t="shared" si="1"/>
        <v>19.379869343595804</v>
      </c>
      <c r="O39" s="18">
        <f t="shared" si="1"/>
        <v>30.970482834673092</v>
      </c>
      <c r="P39" s="18">
        <f t="shared" si="1"/>
        <v>-7.895029745548646</v>
      </c>
      <c r="Q39" s="18">
        <f t="shared" si="1"/>
        <v>-31.598013663865114</v>
      </c>
      <c r="R39" s="64" t="s">
        <v>68</v>
      </c>
      <c r="S39" s="14"/>
      <c r="T39" s="14"/>
      <c r="U39" s="14"/>
      <c r="V39" s="14"/>
      <c r="W39" s="14"/>
      <c r="X39" s="14"/>
      <c r="Y39" s="15"/>
      <c r="Z39" s="8"/>
      <c r="AA39" s="25"/>
      <c r="AB39" s="25"/>
      <c r="AC39" s="25"/>
      <c r="AD39" s="25"/>
      <c r="AE39" s="25"/>
      <c r="AF39" s="25"/>
    </row>
    <row r="40" spans="1:38" s="30" customFormat="1" ht="16.5" x14ac:dyDescent="0.35">
      <c r="A40" s="37" t="s">
        <v>69</v>
      </c>
      <c r="B40" s="23">
        <v>4872351.5862101</v>
      </c>
      <c r="C40" s="23">
        <v>5126473.3967399448</v>
      </c>
      <c r="D40" s="23">
        <v>6682101.2809250262</v>
      </c>
      <c r="E40" s="23">
        <v>8261155.0778400246</v>
      </c>
      <c r="F40" s="23">
        <v>8359593.4175699549</v>
      </c>
      <c r="G40" s="74">
        <v>3501303.1487300042</v>
      </c>
      <c r="H40" s="73">
        <f t="shared" si="5"/>
        <v>15.674597753134847</v>
      </c>
      <c r="I40" s="73">
        <f t="shared" si="6"/>
        <v>18.397908934595026</v>
      </c>
      <c r="J40" s="73">
        <f t="shared" si="7"/>
        <v>18.127428831293205</v>
      </c>
      <c r="K40" s="73">
        <f t="shared" si="8"/>
        <v>18.819791244020827</v>
      </c>
      <c r="L40" s="73">
        <f t="shared" si="9"/>
        <v>12.391570174616433</v>
      </c>
      <c r="M40" s="55">
        <f t="shared" si="1"/>
        <v>5.2155885311944497</v>
      </c>
      <c r="N40" s="73">
        <f t="shared" si="1"/>
        <v>30.344990869831584</v>
      </c>
      <c r="O40" s="73">
        <f t="shared" si="1"/>
        <v>23.631096425051563</v>
      </c>
      <c r="P40" s="73">
        <f t="shared" si="1"/>
        <v>1.191580823775894</v>
      </c>
      <c r="Q40" s="73">
        <f t="shared" si="1"/>
        <v>-58.116346407816131</v>
      </c>
      <c r="R40" s="66" t="s">
        <v>70</v>
      </c>
      <c r="S40" s="14"/>
      <c r="T40" s="8"/>
      <c r="U40" s="8"/>
      <c r="V40" s="8"/>
      <c r="W40" s="8"/>
      <c r="X40" s="8"/>
      <c r="Y40" s="9"/>
      <c r="Z40" s="8"/>
    </row>
    <row r="41" spans="1:38" s="30" customFormat="1" ht="16.5" x14ac:dyDescent="0.35">
      <c r="A41" s="37" t="s">
        <v>71</v>
      </c>
      <c r="B41" s="23">
        <v>68738.916069999992</v>
      </c>
      <c r="C41" s="23">
        <v>119151.79522999983</v>
      </c>
      <c r="D41" s="23">
        <v>109627.61198999995</v>
      </c>
      <c r="E41" s="23">
        <v>160259.57405000005</v>
      </c>
      <c r="F41" s="23">
        <v>279326.08016999991</v>
      </c>
      <c r="G41" s="74">
        <v>2369094.9747800007</v>
      </c>
      <c r="H41" s="73">
        <f t="shared" si="5"/>
        <v>0.36431603507039145</v>
      </c>
      <c r="I41" s="73">
        <f t="shared" si="6"/>
        <v>0.30183900801783842</v>
      </c>
      <c r="J41" s="73">
        <f t="shared" si="7"/>
        <v>0.35165712249095199</v>
      </c>
      <c r="K41" s="73">
        <f t="shared" si="8"/>
        <v>0.62884141072714239</v>
      </c>
      <c r="L41" s="73">
        <f t="shared" si="9"/>
        <v>8.3845372375042295</v>
      </c>
      <c r="M41" s="55">
        <f t="shared" si="1"/>
        <v>73.339648109466964</v>
      </c>
      <c r="N41" s="73">
        <f t="shared" si="1"/>
        <v>-7.9933191284405432</v>
      </c>
      <c r="O41" s="73">
        <f t="shared" si="1"/>
        <v>46.185409990157105</v>
      </c>
      <c r="P41" s="73">
        <f t="shared" si="1"/>
        <v>74.296033061245879</v>
      </c>
      <c r="Q41" s="77" t="s">
        <v>87</v>
      </c>
      <c r="R41" s="66" t="s">
        <v>72</v>
      </c>
      <c r="S41" s="14"/>
      <c r="T41" s="8"/>
      <c r="U41" s="8"/>
      <c r="V41" s="8"/>
      <c r="W41" s="8"/>
      <c r="X41" s="8"/>
      <c r="Y41" s="9"/>
      <c r="Z41" s="8"/>
    </row>
    <row r="42" spans="1:38" s="30" customFormat="1" ht="16.5" x14ac:dyDescent="0.35">
      <c r="A42" s="37" t="s">
        <v>73</v>
      </c>
      <c r="B42" s="23">
        <v>334613.03081000003</v>
      </c>
      <c r="C42" s="23">
        <v>349543.13528000016</v>
      </c>
      <c r="D42" s="23">
        <v>21032.909509999998</v>
      </c>
      <c r="E42" s="23">
        <v>35781.251859999997</v>
      </c>
      <c r="F42" s="23">
        <v>2933.1176800000003</v>
      </c>
      <c r="G42" s="74">
        <v>6152.1783800000012</v>
      </c>
      <c r="H42" s="73">
        <f t="shared" si="5"/>
        <v>1.0687557739727671</v>
      </c>
      <c r="I42" s="73">
        <f t="shared" si="6"/>
        <v>5.7910159922177851E-2</v>
      </c>
      <c r="J42" s="73">
        <f t="shared" si="7"/>
        <v>7.8514698062818286E-2</v>
      </c>
      <c r="K42" s="73">
        <f t="shared" si="8"/>
        <v>6.6032711968655681E-3</v>
      </c>
      <c r="L42" s="73">
        <f t="shared" si="9"/>
        <v>2.1773364625733746E-2</v>
      </c>
      <c r="M42" s="55">
        <f t="shared" si="1"/>
        <v>4.4619016880062121</v>
      </c>
      <c r="N42" s="73">
        <f t="shared" si="1"/>
        <v>-93.98274278991299</v>
      </c>
      <c r="O42" s="73">
        <f t="shared" si="1"/>
        <v>70.120314752402507</v>
      </c>
      <c r="P42" s="73">
        <f t="shared" si="1"/>
        <v>-91.802640971097631</v>
      </c>
      <c r="Q42" s="77" t="s">
        <v>87</v>
      </c>
      <c r="R42" s="66" t="s">
        <v>74</v>
      </c>
      <c r="S42" s="14"/>
      <c r="T42" s="8"/>
      <c r="U42" s="8"/>
      <c r="V42" s="8"/>
      <c r="W42" s="8"/>
      <c r="X42" s="8"/>
      <c r="Y42" s="9"/>
      <c r="Z42" s="8"/>
    </row>
    <row r="43" spans="1:38" s="30" customFormat="1" ht="17.25" x14ac:dyDescent="0.4">
      <c r="A43" s="37" t="s">
        <v>32</v>
      </c>
      <c r="B43" s="23">
        <v>388943.02011000004</v>
      </c>
      <c r="C43" s="23">
        <v>837595.87250999978</v>
      </c>
      <c r="D43" s="23">
        <v>866663.69443000294</v>
      </c>
      <c r="E43" s="23">
        <v>1600584.7484099988</v>
      </c>
      <c r="F43" s="23">
        <v>621863.26251000026</v>
      </c>
      <c r="G43" s="74">
        <v>460015.3671499996</v>
      </c>
      <c r="H43" s="73">
        <f t="shared" si="5"/>
        <v>2.5610156076552189</v>
      </c>
      <c r="I43" s="73">
        <f t="shared" si="6"/>
        <v>2.3861954580903322</v>
      </c>
      <c r="J43" s="73">
        <f t="shared" si="7"/>
        <v>3.5121585107492947</v>
      </c>
      <c r="K43" s="73">
        <f t="shared" si="8"/>
        <v>1.3999887552146002</v>
      </c>
      <c r="L43" s="73">
        <f t="shared" si="9"/>
        <v>1.6280546017584299</v>
      </c>
      <c r="M43" s="55">
        <f t="shared" si="1"/>
        <v>115.35181998461181</v>
      </c>
      <c r="N43" s="73">
        <f t="shared" si="1"/>
        <v>3.4703874355178521</v>
      </c>
      <c r="O43" s="73">
        <f t="shared" si="1"/>
        <v>84.683488958504171</v>
      </c>
      <c r="P43" s="73">
        <f t="shared" si="1"/>
        <v>-61.147745339461004</v>
      </c>
      <c r="Q43" s="73">
        <f t="shared" si="1"/>
        <v>-26.026283448026966</v>
      </c>
      <c r="R43" s="65" t="s">
        <v>33</v>
      </c>
      <c r="S43" s="8"/>
      <c r="T43" s="8"/>
      <c r="U43" s="8"/>
      <c r="V43" s="8"/>
      <c r="W43" s="8"/>
      <c r="X43" s="8"/>
      <c r="Y43" s="9"/>
      <c r="Z43" s="8"/>
    </row>
    <row r="44" spans="1:38" s="33" customFormat="1" ht="16.5" x14ac:dyDescent="0.35">
      <c r="A44" s="38" t="s">
        <v>31</v>
      </c>
      <c r="B44" s="16">
        <f>SUM(B45:B47)</f>
        <v>828695.95561000006</v>
      </c>
      <c r="C44" s="16">
        <f>SUM(C45:C48)</f>
        <v>771419.69127000193</v>
      </c>
      <c r="D44" s="16">
        <f>SUM(D45:D48)</f>
        <v>1002806.574630001</v>
      </c>
      <c r="E44" s="16">
        <f>SUM(E45:E48)</f>
        <v>1021243.3663099986</v>
      </c>
      <c r="F44" s="16">
        <f>SUM(F45:F48)</f>
        <v>1207909.1769599949</v>
      </c>
      <c r="G44" s="17">
        <f>SUM(G45:G48)</f>
        <v>694299.09113000031</v>
      </c>
      <c r="H44" s="18">
        <f t="shared" si="5"/>
        <v>2.3586767010620138</v>
      </c>
      <c r="I44" s="18">
        <f t="shared" si="6"/>
        <v>2.7610392694469752</v>
      </c>
      <c r="J44" s="18">
        <f t="shared" si="7"/>
        <v>2.240911381977726</v>
      </c>
      <c r="K44" s="18">
        <f t="shared" si="8"/>
        <v>2.7193426063455894</v>
      </c>
      <c r="L44" s="18">
        <f t="shared" si="9"/>
        <v>2.4572153693776735</v>
      </c>
      <c r="M44" s="56">
        <f t="shared" si="1"/>
        <v>-6.9116138376513838</v>
      </c>
      <c r="N44" s="18">
        <f t="shared" si="1"/>
        <v>29.994941272378295</v>
      </c>
      <c r="O44" s="18">
        <f t="shared" si="1"/>
        <v>1.8385192265816648</v>
      </c>
      <c r="P44" s="18">
        <f t="shared" si="1"/>
        <v>18.278288682987046</v>
      </c>
      <c r="Q44" s="18">
        <f t="shared" si="1"/>
        <v>-42.52058810602157</v>
      </c>
      <c r="R44" s="64" t="s">
        <v>75</v>
      </c>
      <c r="S44" s="8"/>
      <c r="T44" s="14"/>
      <c r="U44" s="14"/>
      <c r="V44" s="14"/>
      <c r="W44" s="14"/>
      <c r="X44" s="14"/>
      <c r="Y44" s="15"/>
      <c r="Z44" s="14"/>
    </row>
    <row r="45" spans="1:38" s="30" customFormat="1" ht="16.5" x14ac:dyDescent="0.35">
      <c r="A45" s="37" t="s">
        <v>76</v>
      </c>
      <c r="B45" s="23">
        <v>493651.14</v>
      </c>
      <c r="C45" s="23">
        <v>530302.52127000177</v>
      </c>
      <c r="D45" s="23">
        <v>623690.12402000092</v>
      </c>
      <c r="E45" s="23">
        <v>661419.75911999831</v>
      </c>
      <c r="F45" s="23">
        <v>733146.0403499949</v>
      </c>
      <c r="G45" s="74">
        <v>385593.04479000019</v>
      </c>
      <c r="H45" s="73">
        <f t="shared" si="5"/>
        <v>1.6214418890121434</v>
      </c>
      <c r="I45" s="73">
        <f t="shared" si="6"/>
        <v>1.7172134367196823</v>
      </c>
      <c r="J45" s="73">
        <f t="shared" si="7"/>
        <v>1.4513514754396486</v>
      </c>
      <c r="K45" s="73">
        <f t="shared" si="8"/>
        <v>1.6505175241857881</v>
      </c>
      <c r="L45" s="73">
        <f t="shared" si="9"/>
        <v>1.3646642608174109</v>
      </c>
      <c r="M45" s="55">
        <f t="shared" si="1"/>
        <v>7.4245511253152898</v>
      </c>
      <c r="N45" s="73">
        <f t="shared" si="1"/>
        <v>17.61025056534686</v>
      </c>
      <c r="O45" s="73">
        <f t="shared" si="1"/>
        <v>6.0494199999208993</v>
      </c>
      <c r="P45" s="73">
        <f t="shared" si="1"/>
        <v>10.84429067033415</v>
      </c>
      <c r="Q45" s="73">
        <f t="shared" si="1"/>
        <v>-47.405697696202139</v>
      </c>
      <c r="R45" s="66" t="s">
        <v>77</v>
      </c>
      <c r="S45" s="8"/>
      <c r="T45" s="8"/>
      <c r="U45" s="8"/>
      <c r="V45" s="8"/>
      <c r="W45" s="8"/>
      <c r="X45" s="8"/>
      <c r="Z45" s="8"/>
    </row>
    <row r="46" spans="1:38" s="30" customFormat="1" ht="16.5" x14ac:dyDescent="0.35">
      <c r="A46" s="37" t="s">
        <v>78</v>
      </c>
      <c r="B46" s="23">
        <v>335044.81560999999</v>
      </c>
      <c r="C46" s="23">
        <v>240493.51027000026</v>
      </c>
      <c r="D46" s="23">
        <v>377837.47268000001</v>
      </c>
      <c r="E46" s="23">
        <v>358327.35065000021</v>
      </c>
      <c r="F46" s="23">
        <v>473314.19823000015</v>
      </c>
      <c r="G46" s="74">
        <v>308416.16247000004</v>
      </c>
      <c r="H46" s="73">
        <f t="shared" si="5"/>
        <v>0.73532792311355166</v>
      </c>
      <c r="I46" s="73">
        <f t="shared" si="6"/>
        <v>1.0403044075802856</v>
      </c>
      <c r="J46" s="73">
        <f t="shared" si="7"/>
        <v>0.78627667511503274</v>
      </c>
      <c r="K46" s="73">
        <f t="shared" si="8"/>
        <v>1.0655631151627301</v>
      </c>
      <c r="L46" s="73">
        <f t="shared" si="9"/>
        <v>1.0915251715976495</v>
      </c>
      <c r="M46" s="55">
        <f t="shared" si="1"/>
        <v>-28.220494971054755</v>
      </c>
      <c r="N46" s="73">
        <f t="shared" si="1"/>
        <v>57.109217731407682</v>
      </c>
      <c r="O46" s="73">
        <f t="shared" si="1"/>
        <v>-5.1636281313270915</v>
      </c>
      <c r="P46" s="73">
        <f t="shared" si="1"/>
        <v>32.089888581325319</v>
      </c>
      <c r="Q46" s="73">
        <f t="shared" si="1"/>
        <v>-34.839021600588097</v>
      </c>
      <c r="R46" s="66" t="s">
        <v>79</v>
      </c>
      <c r="S46" s="14"/>
      <c r="T46" s="8"/>
      <c r="U46" s="8"/>
      <c r="V46" s="8"/>
      <c r="W46" s="8"/>
      <c r="X46" s="8"/>
      <c r="Y46" s="9"/>
      <c r="Z46" s="8"/>
    </row>
    <row r="47" spans="1:38" s="30" customFormat="1" ht="16.5" x14ac:dyDescent="0.35">
      <c r="A47" s="37" t="s">
        <v>80</v>
      </c>
      <c r="B47" s="23">
        <v>0</v>
      </c>
      <c r="C47" s="23">
        <v>541.22958999999992</v>
      </c>
      <c r="D47" s="23">
        <v>1278.97793</v>
      </c>
      <c r="E47" s="23">
        <v>1496.2565400000001</v>
      </c>
      <c r="F47" s="23">
        <v>1448.9383799999998</v>
      </c>
      <c r="G47" s="74">
        <v>289.88387</v>
      </c>
      <c r="H47" s="73">
        <f t="shared" si="5"/>
        <v>1.6548522656411328E-3</v>
      </c>
      <c r="I47" s="73">
        <f t="shared" si="6"/>
        <v>3.5214251470069673E-3</v>
      </c>
      <c r="J47" s="73">
        <f t="shared" si="7"/>
        <v>3.2832314230443809E-3</v>
      </c>
      <c r="K47" s="73">
        <f t="shared" si="8"/>
        <v>3.2619669970715449E-3</v>
      </c>
      <c r="L47" s="73">
        <f t="shared" si="9"/>
        <v>1.0259369626127127E-3</v>
      </c>
      <c r="M47" s="55" t="s">
        <v>81</v>
      </c>
      <c r="N47" s="73">
        <f>((D47-C47)/C47)*100</f>
        <v>136.30968328985858</v>
      </c>
      <c r="O47" s="73">
        <f>((E47-D47)/D47)*100</f>
        <v>16.988456556087726</v>
      </c>
      <c r="P47" s="73">
        <f>((F47-E47)/E47)*100</f>
        <v>-3.1624363025340734</v>
      </c>
      <c r="Q47" s="73">
        <f>((G47-F47)/F47)*100</f>
        <v>-79.993361070330678</v>
      </c>
      <c r="R47" s="66" t="s">
        <v>82</v>
      </c>
      <c r="S47" s="8"/>
      <c r="T47" s="8"/>
      <c r="U47" s="8"/>
      <c r="V47" s="8"/>
      <c r="W47" s="8"/>
      <c r="X47" s="8"/>
      <c r="Y47" s="9"/>
      <c r="Z47" s="8"/>
    </row>
    <row r="48" spans="1:38" s="30" customFormat="1" ht="16.5" x14ac:dyDescent="0.35">
      <c r="A48" s="39" t="s">
        <v>32</v>
      </c>
      <c r="B48" s="40">
        <v>0</v>
      </c>
      <c r="C48" s="40">
        <v>82.430139999999994</v>
      </c>
      <c r="D48" s="40">
        <v>0</v>
      </c>
      <c r="E48" s="40">
        <v>0</v>
      </c>
      <c r="F48" s="40">
        <v>0</v>
      </c>
      <c r="G48" s="75">
        <v>0</v>
      </c>
      <c r="H48" s="41">
        <f t="shared" si="5"/>
        <v>2.5203667067817892E-4</v>
      </c>
      <c r="I48" s="41">
        <f t="shared" si="6"/>
        <v>0</v>
      </c>
      <c r="J48" s="41">
        <f t="shared" si="7"/>
        <v>0</v>
      </c>
      <c r="K48" s="41">
        <f t="shared" si="8"/>
        <v>0</v>
      </c>
      <c r="L48" s="76">
        <f t="shared" si="9"/>
        <v>0</v>
      </c>
      <c r="M48" s="57" t="s">
        <v>81</v>
      </c>
      <c r="N48" s="42" t="s">
        <v>81</v>
      </c>
      <c r="O48" s="42" t="s">
        <v>81</v>
      </c>
      <c r="P48" s="42" t="s">
        <v>81</v>
      </c>
      <c r="Q48" s="42" t="s">
        <v>81</v>
      </c>
      <c r="R48" s="70" t="s">
        <v>33</v>
      </c>
      <c r="S48" s="8"/>
      <c r="T48" s="8"/>
      <c r="U48" s="8"/>
      <c r="V48" s="8"/>
      <c r="W48" s="8"/>
      <c r="X48" s="8"/>
      <c r="Y48" s="9"/>
      <c r="Z48" s="8"/>
    </row>
    <row r="49" spans="1:29" s="44" customFormat="1" ht="17.25" x14ac:dyDescent="0.4">
      <c r="A49" s="81" t="s">
        <v>90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18"/>
      <c r="N49" s="18"/>
      <c r="O49" s="18"/>
      <c r="P49" s="18"/>
      <c r="Q49" s="18"/>
      <c r="S49" s="8"/>
      <c r="T49" s="8"/>
      <c r="U49" s="8"/>
      <c r="V49" s="8"/>
      <c r="W49" s="8"/>
      <c r="X49" s="8"/>
      <c r="Y49" s="9"/>
      <c r="Z49" s="8"/>
      <c r="AC49" s="45"/>
    </row>
    <row r="50" spans="1:29" s="30" customFormat="1" ht="15" x14ac:dyDescent="0.35">
      <c r="A50" s="51" t="s">
        <v>83</v>
      </c>
      <c r="B50" s="46"/>
      <c r="C50" s="46"/>
      <c r="D50" s="46"/>
      <c r="F50" s="46"/>
      <c r="G50" s="46"/>
      <c r="I50" s="46"/>
      <c r="J50" s="46"/>
      <c r="K50" s="46"/>
      <c r="L50" s="46"/>
      <c r="M50" s="46"/>
      <c r="N50" s="46"/>
      <c r="O50" s="46"/>
      <c r="P50" s="46"/>
      <c r="Q50" s="46"/>
      <c r="R50" s="59" t="s">
        <v>84</v>
      </c>
      <c r="S50" s="82"/>
      <c r="T50" s="82"/>
      <c r="U50" s="82"/>
      <c r="V50" s="82"/>
      <c r="W50" s="82"/>
      <c r="X50" s="82"/>
      <c r="Y50" s="83"/>
      <c r="Z50" s="82"/>
    </row>
    <row r="51" spans="1:29" s="30" customFormat="1" x14ac:dyDescent="0.5">
      <c r="A51" s="51" t="s">
        <v>91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53" t="s">
        <v>92</v>
      </c>
      <c r="S51" s="46"/>
      <c r="T51" s="82"/>
      <c r="U51" s="82"/>
      <c r="V51" s="82"/>
      <c r="W51" s="82"/>
      <c r="X51" s="82"/>
      <c r="Z51" s="82"/>
    </row>
    <row r="52" spans="1:29" x14ac:dyDescent="0.45">
      <c r="B52" s="47"/>
      <c r="C52" s="47"/>
      <c r="D52" s="47"/>
      <c r="E52" s="47"/>
      <c r="F52" s="47"/>
      <c r="G52" s="47"/>
      <c r="S52" s="29"/>
      <c r="T52" s="8"/>
      <c r="U52" s="8"/>
      <c r="V52" s="8"/>
      <c r="W52" s="8"/>
      <c r="X52" s="8"/>
      <c r="Z52" s="8"/>
    </row>
    <row r="53" spans="1:29" x14ac:dyDescent="0.45">
      <c r="B53" s="47"/>
      <c r="C53" s="47"/>
      <c r="D53" s="47"/>
      <c r="E53" s="47"/>
      <c r="F53" s="47"/>
      <c r="G53" s="47"/>
      <c r="S53" s="29"/>
      <c r="T53" s="8"/>
      <c r="U53" s="8"/>
      <c r="V53" s="8"/>
      <c r="W53" s="8"/>
      <c r="X53" s="8"/>
      <c r="Y53" s="15"/>
      <c r="Z53" s="8"/>
    </row>
    <row r="54" spans="1:29" x14ac:dyDescent="0.45">
      <c r="B54" s="47"/>
      <c r="C54" s="47"/>
      <c r="D54" s="47"/>
      <c r="E54" s="47"/>
      <c r="F54" s="47"/>
      <c r="G54" s="47"/>
      <c r="S54" s="29"/>
      <c r="T54" s="8"/>
      <c r="U54" s="8"/>
      <c r="V54" s="8"/>
      <c r="W54" s="8"/>
      <c r="X54" s="8"/>
    </row>
    <row r="55" spans="1:29" x14ac:dyDescent="0.45">
      <c r="B55" s="47"/>
      <c r="C55" s="47"/>
      <c r="D55" s="47"/>
      <c r="E55" s="47"/>
      <c r="F55" s="47"/>
      <c r="G55" s="47"/>
      <c r="S55" s="29"/>
      <c r="T55" s="8"/>
      <c r="U55" s="8"/>
      <c r="V55" s="8"/>
      <c r="W55" s="8"/>
      <c r="X55" s="8"/>
      <c r="Y55" s="48"/>
    </row>
    <row r="56" spans="1:29" x14ac:dyDescent="0.45">
      <c r="S56" s="29"/>
      <c r="T56" s="8"/>
      <c r="U56" s="8"/>
      <c r="V56" s="8"/>
      <c r="W56" s="8"/>
      <c r="X56" s="8"/>
    </row>
    <row r="57" spans="1:29" x14ac:dyDescent="0.45">
      <c r="S57" s="29"/>
      <c r="T57" s="8"/>
      <c r="U57" s="8"/>
      <c r="V57" s="8"/>
      <c r="W57" s="8"/>
      <c r="X57" s="8"/>
    </row>
    <row r="58" spans="1:29" x14ac:dyDescent="0.45">
      <c r="S58" s="29"/>
      <c r="T58" s="8"/>
      <c r="U58" s="8"/>
      <c r="V58" s="8"/>
      <c r="W58" s="8"/>
      <c r="X58" s="8"/>
    </row>
    <row r="59" spans="1:29" x14ac:dyDescent="0.45">
      <c r="S59" s="29"/>
      <c r="T59" s="8"/>
      <c r="U59" s="8"/>
      <c r="V59" s="8"/>
      <c r="W59" s="8"/>
      <c r="X59" s="8"/>
    </row>
    <row r="60" spans="1:29" x14ac:dyDescent="0.45">
      <c r="S60" s="29"/>
      <c r="T60" s="8"/>
      <c r="U60" s="8"/>
      <c r="V60" s="8"/>
      <c r="W60" s="8"/>
      <c r="X60" s="8"/>
    </row>
    <row r="61" spans="1:29" x14ac:dyDescent="0.45">
      <c r="S61" s="29"/>
      <c r="T61" s="8"/>
      <c r="U61" s="8"/>
      <c r="V61" s="8"/>
      <c r="W61" s="8"/>
      <c r="X61" s="8"/>
    </row>
    <row r="62" spans="1:29" x14ac:dyDescent="0.45">
      <c r="B62" s="49"/>
      <c r="C62" s="49"/>
      <c r="D62" s="49"/>
      <c r="E62" s="49"/>
      <c r="F62" s="49"/>
      <c r="G62" s="49"/>
      <c r="S62" s="29"/>
      <c r="T62" s="8"/>
      <c r="U62" s="8"/>
      <c r="V62" s="8"/>
      <c r="W62" s="8"/>
      <c r="X62" s="8"/>
    </row>
    <row r="63" spans="1:29" x14ac:dyDescent="0.45">
      <c r="B63" s="49"/>
      <c r="C63" s="49"/>
      <c r="D63" s="49"/>
      <c r="E63" s="49"/>
      <c r="F63" s="49"/>
      <c r="G63" s="49"/>
      <c r="S63" s="29"/>
      <c r="T63" s="8"/>
      <c r="U63" s="8"/>
      <c r="V63" s="8"/>
      <c r="W63" s="8"/>
      <c r="X63" s="8"/>
    </row>
    <row r="64" spans="1:29" x14ac:dyDescent="0.45">
      <c r="A64" s="50"/>
      <c r="B64" s="49"/>
      <c r="C64" s="49"/>
      <c r="D64" s="49"/>
      <c r="E64" s="49"/>
      <c r="F64" s="49"/>
      <c r="G64" s="49"/>
      <c r="S64" s="29"/>
      <c r="T64" s="8"/>
      <c r="U64" s="8"/>
      <c r="V64" s="8"/>
      <c r="W64" s="8"/>
      <c r="X64" s="8"/>
    </row>
    <row r="65" spans="1:24" x14ac:dyDescent="0.45">
      <c r="A65" s="50"/>
      <c r="B65" s="49"/>
      <c r="C65" s="49"/>
      <c r="D65" s="49"/>
      <c r="E65" s="49"/>
      <c r="F65" s="49"/>
      <c r="G65" s="49"/>
      <c r="S65" s="29"/>
      <c r="T65" s="8"/>
      <c r="U65" s="8"/>
      <c r="V65" s="8"/>
      <c r="W65" s="8"/>
      <c r="X65" s="8"/>
    </row>
    <row r="66" spans="1:24" x14ac:dyDescent="0.45">
      <c r="B66" s="49"/>
      <c r="C66" s="49"/>
      <c r="D66" s="49"/>
      <c r="E66" s="49"/>
      <c r="F66" s="49"/>
      <c r="G66" s="49"/>
      <c r="S66" s="29"/>
    </row>
    <row r="67" spans="1:24" x14ac:dyDescent="0.45">
      <c r="B67" s="49"/>
      <c r="C67" s="49"/>
      <c r="D67" s="49"/>
      <c r="E67" s="49"/>
      <c r="F67" s="49"/>
      <c r="G67" s="49"/>
      <c r="S67" s="29"/>
    </row>
    <row r="68" spans="1:24" x14ac:dyDescent="0.45">
      <c r="B68" s="49"/>
      <c r="C68" s="49"/>
      <c r="D68" s="49"/>
      <c r="E68" s="49"/>
      <c r="F68" s="49"/>
      <c r="G68" s="49"/>
      <c r="S68" s="29"/>
    </row>
    <row r="69" spans="1:24" x14ac:dyDescent="0.45">
      <c r="S69" s="29"/>
    </row>
    <row r="70" spans="1:24" x14ac:dyDescent="0.45">
      <c r="S70" s="29"/>
    </row>
    <row r="71" spans="1:24" x14ac:dyDescent="0.45">
      <c r="S71" s="29"/>
    </row>
    <row r="72" spans="1:24" x14ac:dyDescent="0.45">
      <c r="S72" s="29"/>
    </row>
    <row r="73" spans="1:24" x14ac:dyDescent="0.45">
      <c r="S73" s="29"/>
    </row>
    <row r="74" spans="1:24" x14ac:dyDescent="0.45">
      <c r="S74" s="29"/>
    </row>
    <row r="75" spans="1:24" x14ac:dyDescent="0.45">
      <c r="S75" s="29"/>
    </row>
    <row r="76" spans="1:24" x14ac:dyDescent="0.45">
      <c r="S76" s="29"/>
    </row>
    <row r="77" spans="1:24" x14ac:dyDescent="0.45">
      <c r="S77" s="29"/>
    </row>
    <row r="78" spans="1:24" x14ac:dyDescent="0.45">
      <c r="S78" s="29"/>
    </row>
    <row r="79" spans="1:24" x14ac:dyDescent="0.45">
      <c r="S79" s="29"/>
    </row>
    <row r="80" spans="1:24" x14ac:dyDescent="0.45">
      <c r="S80" s="29"/>
    </row>
    <row r="104" spans="29:41" x14ac:dyDescent="0.45">
      <c r="AD104" s="3">
        <v>2009</v>
      </c>
      <c r="AE104" s="3">
        <v>2010</v>
      </c>
      <c r="AF104" s="3">
        <v>2011</v>
      </c>
      <c r="AG104" s="3">
        <v>2012</v>
      </c>
      <c r="AH104" s="3">
        <v>2013</v>
      </c>
      <c r="AI104" s="3">
        <v>2014</v>
      </c>
      <c r="AJ104" s="3">
        <v>2015</v>
      </c>
      <c r="AK104" s="3">
        <v>2016</v>
      </c>
      <c r="AL104" s="3">
        <v>2017</v>
      </c>
      <c r="AM104" s="3">
        <v>2018</v>
      </c>
      <c r="AN104" s="3">
        <v>2019</v>
      </c>
      <c r="AO104" s="3">
        <v>2020</v>
      </c>
    </row>
    <row r="105" spans="29:41" x14ac:dyDescent="0.45">
      <c r="AC105" s="3" t="s">
        <v>88</v>
      </c>
      <c r="AD105" s="3">
        <v>12368528.392270003</v>
      </c>
      <c r="AE105" s="3">
        <v>14017488.443949997</v>
      </c>
      <c r="AF105" s="3">
        <v>20486216.653159894</v>
      </c>
      <c r="AG105" s="3">
        <v>23884653.941069901</v>
      </c>
      <c r="AH105" s="3">
        <v>26634885.396759901</v>
      </c>
      <c r="AI105" s="3">
        <v>30649233.308269795</v>
      </c>
      <c r="AJ105" s="3">
        <v>29147779.394450299</v>
      </c>
      <c r="AK105" s="3">
        <v>32705613.741919942</v>
      </c>
      <c r="AL105" s="3">
        <v>36319895.400504716</v>
      </c>
      <c r="AM105" s="3">
        <v>45572679.692879952</v>
      </c>
      <c r="AN105" s="3">
        <v>44419161.239239857</v>
      </c>
      <c r="AO105" s="3">
        <v>28255524.516999986</v>
      </c>
    </row>
    <row r="106" spans="29:41" x14ac:dyDescent="0.45">
      <c r="AC106" s="3" t="s">
        <v>89</v>
      </c>
      <c r="AD106" s="3">
        <v>-30.357833956150195</v>
      </c>
      <c r="AE106" s="3">
        <v>13.33190173788622</v>
      </c>
      <c r="AF106" s="3">
        <v>46.14755514210411</v>
      </c>
      <c r="AG106" s="3">
        <v>16.588896551505599</v>
      </c>
      <c r="AH106" s="3">
        <v>12</v>
      </c>
      <c r="AI106" s="3">
        <v>15.071767164420516</v>
      </c>
      <c r="AJ106" s="3">
        <v>-4.8988302536571844</v>
      </c>
      <c r="AK106" s="3">
        <v>12.206193478145542</v>
      </c>
      <c r="AL106" s="3">
        <v>11.050951946980959</v>
      </c>
      <c r="AM106" s="3">
        <v>25.475801046075304</v>
      </c>
      <c r="AN106" s="3">
        <v>-2.5311622257321766</v>
      </c>
      <c r="AO106" s="3">
        <v>-36.388883246090934</v>
      </c>
    </row>
  </sheetData>
  <mergeCells count="10">
    <mergeCell ref="A1:R1"/>
    <mergeCell ref="A2:R2"/>
    <mergeCell ref="A4:A6"/>
    <mergeCell ref="R4:R6"/>
    <mergeCell ref="H4:L4"/>
    <mergeCell ref="H5:L5"/>
    <mergeCell ref="M4:Q4"/>
    <mergeCell ref="M5:Q5"/>
    <mergeCell ref="B4:G4"/>
    <mergeCell ref="B5:G5"/>
  </mergeCells>
  <pageMargins left="0.7" right="0.7" top="0.75" bottom="0.75" header="0.3" footer="0.3"/>
  <pageSetup paperSize="9" scale="45" orientation="portrait" horizontalDpi="4294967295" verticalDpi="4294967295" r:id="rId1"/>
  <colBreaks count="1" manualBreakCount="1">
    <brk id="19" max="6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2021-10-19T06:02:10Z</cp:lastPrinted>
  <dcterms:created xsi:type="dcterms:W3CDTF">2019-12-05T04:01:34Z</dcterms:created>
  <dcterms:modified xsi:type="dcterms:W3CDTF">2021-10-19T06:02:25Z</dcterms:modified>
</cp:coreProperties>
</file>