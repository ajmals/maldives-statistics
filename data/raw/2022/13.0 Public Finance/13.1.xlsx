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1" sheetId="1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'13.1'!$A$1:$S$38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N21" i="1" l="1"/>
  <c r="M21" i="1"/>
  <c r="O21" i="1"/>
  <c r="P21" i="1"/>
  <c r="Q21" i="1"/>
  <c r="L24" i="1" l="1"/>
  <c r="L23" i="1" s="1"/>
  <c r="K24" i="1"/>
  <c r="K23" i="1" s="1"/>
  <c r="H24" i="1" l="1"/>
  <c r="H8" i="1"/>
  <c r="G8" i="1"/>
  <c r="I8" i="1" l="1"/>
  <c r="J8" i="1"/>
  <c r="K8" i="1"/>
  <c r="L8" i="1"/>
  <c r="I24" i="1" l="1"/>
  <c r="J24" i="1"/>
  <c r="J23" i="1" s="1"/>
  <c r="J21" i="1" s="1"/>
  <c r="K21" i="1"/>
  <c r="L21" i="1"/>
  <c r="E8" i="1" l="1"/>
  <c r="D8" i="1"/>
  <c r="C8" i="1"/>
  <c r="B8" i="1"/>
  <c r="I23" i="1" l="1"/>
  <c r="I21" i="1" s="1"/>
  <c r="G24" i="1"/>
  <c r="G23" i="1" s="1"/>
  <c r="G21" i="1" s="1"/>
  <c r="H23" i="1"/>
  <c r="H21" i="1" s="1"/>
  <c r="E24" i="1"/>
  <c r="E23" i="1" s="1"/>
  <c r="E21" i="1" s="1"/>
  <c r="D24" i="1"/>
  <c r="D23" i="1" s="1"/>
  <c r="D21" i="1" s="1"/>
  <c r="C24" i="1"/>
  <c r="B24" i="1"/>
  <c r="C21" i="1"/>
  <c r="F24" i="1" l="1"/>
  <c r="F23" i="1" s="1"/>
  <c r="F8" i="1"/>
  <c r="B21" i="1"/>
  <c r="F21" i="1" l="1"/>
</calcChain>
</file>

<file path=xl/sharedStrings.xml><?xml version="1.0" encoding="utf-8"?>
<sst xmlns="http://schemas.openxmlformats.org/spreadsheetml/2006/main" count="89" uniqueCount="70">
  <si>
    <t>2023 - 2013,ctogEverukudwrwK iaWtogEbilWsiawf cSwTejwb egutwluawd : 13.1 ulwvWt</t>
  </si>
  <si>
    <t>Table 13.1 :   TOTAL REVENUE AND EXPENDITURE OF  GOVERNMENT BUDGET BY SOURCE, 2013- 2023</t>
  </si>
  <si>
    <t>(cniaWyifur cnwailim)</t>
  </si>
  <si>
    <t>(In million MVR)</t>
  </si>
  <si>
    <t>Particulars</t>
  </si>
  <si>
    <t>(iawfiverukuhWlcsia)</t>
  </si>
  <si>
    <t>clIBcfwt</t>
  </si>
  <si>
    <t>Actual</t>
  </si>
  <si>
    <t>Revised</t>
  </si>
  <si>
    <t xml:space="preserve">Approved </t>
  </si>
  <si>
    <t>Total Revenue 1_/</t>
  </si>
  <si>
    <t>Revenue</t>
  </si>
  <si>
    <t xml:space="preserve">Fund accounts </t>
  </si>
  <si>
    <t>Loan accounts</t>
  </si>
  <si>
    <t xml:space="preserve">                             Ebil cSwkwtcTcnuawwkea WrukUd cnOl cnurWkurws  </t>
  </si>
  <si>
    <t>Monetary grants</t>
  </si>
  <si>
    <t>Cash Loan</t>
  </si>
  <si>
    <t>ބޭރު ފައިސާގެ ގޮތުގައި ލިބޭ ލޯނު</t>
  </si>
  <si>
    <t>Foreign Budget Support Loan</t>
  </si>
  <si>
    <t>ބޭރުގެ ލޯނުއެހީ</t>
  </si>
  <si>
    <t>Domestic Budget Support Loan</t>
  </si>
  <si>
    <t>އެތެރޭގެ ލޯނުއެހީ</t>
  </si>
  <si>
    <t>Privatization</t>
  </si>
  <si>
    <t xml:space="preserve">                                   ޕްރައިވެޓައިޒޭޝަން އިން ލިބޭނެ ކަމަށް ލަފާކުރާ   </t>
  </si>
  <si>
    <t>Grants for development projects</t>
  </si>
  <si>
    <t>Foreign Loan disbursement for development projects</t>
  </si>
  <si>
    <t xml:space="preserve"> ތަރައްޤީގެ މަޝްރޫޢުތަކަށް ބޭރުގެ ލޯނު އެހީގެ ގޮތުގައި ލިބޭ ފައިސާ</t>
  </si>
  <si>
    <t>Domestic Loan disbursement for development projects</t>
  </si>
  <si>
    <t xml:space="preserve"> ތަރައްޤީގެ މަޝްރޫޢުތަކަށް އެތެރޭގެ ލޯނު އެހީގެ ގޮތުގައި ލިބޭ ފައިސާ</t>
  </si>
  <si>
    <t>Trade Credit</t>
  </si>
  <si>
    <t>Overall Surplus / deficit (-) 2_/</t>
  </si>
  <si>
    <t>2_/ (-) urwvcnim ivurutia udwrwK eruvcSwaInwdcmWA iawguTejwbiLum</t>
  </si>
  <si>
    <r>
      <t xml:space="preserve">       </t>
    </r>
    <r>
      <rPr>
        <sz val="10"/>
        <color theme="1"/>
        <rFont val="Calibri"/>
        <family val="2"/>
      </rPr>
      <t>(Including grants &amp; loans)</t>
    </r>
  </si>
  <si>
    <t xml:space="preserve">                                            (iawfinemih Ihea unOl iaWaIhea Elih egurEb)     </t>
  </si>
  <si>
    <t>Total Expenditure 3_/</t>
  </si>
  <si>
    <t xml:space="preserve"> Total Budget</t>
  </si>
  <si>
    <t>General budget</t>
  </si>
  <si>
    <t>Expenditure from fund accounts</t>
  </si>
  <si>
    <t>Expenditure from Loan accounts</t>
  </si>
  <si>
    <t xml:space="preserve">udwrwK Wruk cnukwtcTcnuawwkea WrukUd cnOl cnurWkurws  </t>
  </si>
  <si>
    <t>ފައިސާގެ ގޮތުގައި ދެވޭ ލޯނު</t>
  </si>
  <si>
    <t xml:space="preserve">Development expenditure of projects financed from foreign grants </t>
  </si>
  <si>
    <t xml:space="preserve">Development expenditure of projects financed from foreign loans </t>
  </si>
  <si>
    <t xml:space="preserve">Development expenditure of projects financed from Domestic loans </t>
  </si>
  <si>
    <t xml:space="preserve">  udwrwK Everuk cnIhea unOl އެތެރޭގެ  Ebil cSwkwtuTckejorcp egIqcawrwt</t>
  </si>
  <si>
    <t xml:space="preserve">     Gov. Contribution to Political Parties</t>
  </si>
  <si>
    <t>1_/  Revenue includes New revenue Measures approved by the parliament</t>
  </si>
  <si>
    <t xml:space="preserve">ޖުމްލަ އާމްދަނީ: ހިލޭ އެހީއާއި ޕްރޮޖެކްޓްތަކަށް ނެގުނު ލޯނުގެ ބައި ހިމަނައިގެންނެވެ. </t>
  </si>
  <si>
    <t xml:space="preserve">  1_/</t>
  </si>
  <si>
    <t>2_/  Overall deficit/surplus in this table is difference of Government total Income and Expenditure   (including grants) plus loan disbursements</t>
  </si>
  <si>
    <t xml:space="preserve">ޖުމްލަ އަރަނި / ދަރަނި މިބައިގައި ހިމެނެނީ (ޖުމްލަ އާމްދަނީ އާއި ޖުމްލަ ޚަރަދު ތަފާތު) ހިލޭއެހީއާއި ލޯނަށް ނެގުނު ފައިސާ ހިމަނައިގެންނެވެ. </t>
  </si>
  <si>
    <t xml:space="preserve">  2_/</t>
  </si>
  <si>
    <t>3_/  Total expenditure in this table include loan repayments</t>
  </si>
  <si>
    <t xml:space="preserve">ޖުމްލަ ޚަރަދުގެ ތެރޭގައި ލޯނު އަނބުރާ ދެއްކި ޚަރަދުތައް ހިމެނެއެވެ. </t>
  </si>
  <si>
    <t xml:space="preserve">  3_/</t>
  </si>
  <si>
    <t>IrwRercT cDcnea cscnEnif cfoa IrcTcsinim :ctWrwfivcaed utWmUluAwm</t>
  </si>
  <si>
    <t>1_/ InwdcmWa wlcmuj</t>
  </si>
  <si>
    <t xml:space="preserve">                                                Wsiawf Ebiliawgutog egInwdcmWA   </t>
  </si>
  <si>
    <t xml:space="preserve">                             Ebil cSwkwtuTcnuawkea uDcnwf wncnuh iawgukwtcsIfoa ikeaikea   </t>
  </si>
  <si>
    <t xml:space="preserve">                                        cniaWsiawf Ebil iawgutog egIheaElih egurEb   </t>
  </si>
  <si>
    <t xml:space="preserve">                                       Ebiliawgutog egIhea Elih cSwkwtuTejorcp egIqcawrwt   </t>
  </si>
  <si>
    <t>3_/ udwrwK wlcmuj</t>
  </si>
  <si>
    <t>wlcmuj eguTejwb</t>
  </si>
  <si>
    <t xml:space="preserve">                                                       uTejwb umcaWA egukwtcsIfoa   </t>
  </si>
  <si>
    <t xml:space="preserve">                           udwrwK Everuk cnukwtcTcnuawkeauDcnwf wncnuh iawgukwtcsIfoa ikeaikea   </t>
  </si>
  <si>
    <t xml:space="preserve">                                           udwrwK Everuk cniaWsiawf egIheaElih egurEb   </t>
  </si>
  <si>
    <t xml:space="preserve">                                udwrwK Everuk cnIhea Elih Ebil cSwkwtuTckejorcp egIqcawrwt   </t>
  </si>
  <si>
    <t xml:space="preserve">                                udwrwK Everuk cnIhea unOl Ebil cSwkwtuTckejorcp egIqcawrwt   </t>
  </si>
  <si>
    <t xml:space="preserve">Wsiawf Ed cnurWkurws cSwkwtITWpIsWyis  </t>
  </si>
  <si>
    <t>Source:  Ministry of 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</si>
</sst>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_(* #,##0_);_(* \(#,##0\);_(* &quot;-&quot;_);_(@_)"/>
    <numFmt numFmtId="165" formatCode="_(* #,##0.00_);_(* \(#,##0.00\);_(* &quot;-&quot;??_);_(@_)"/>
    <numFmt numFmtId="166" formatCode="General_)"/>
    <numFmt numFmtId="167" formatCode="#,##0.0"/>
    <numFmt numFmtId="168" formatCode="_(* #,##0.0_);_(* \(#,##0.0\);_(* &quot;-&quot;_);_(@_)"/>
    <numFmt numFmtId="169" formatCode="_(* #,##0.0_);_(* \(#,##0.0\);_(* &quot;-&quot;??_);_(@_)"/>
    <numFmt numFmtId="170" formatCode="0.0"/>
    <numFmt numFmtId="172" formatCode="_-* #,##0.00_-;\-* #,##0.00_-;_-* &quot;-&quot;??_-;_-@_-"/>
    <numFmt numFmtId="173" formatCode="#,##0.00\ ;&quot; (&quot;#,##0.00\);&quot; -&quot;#\ ;@\ "/>
    <numFmt numFmtId="178" formatCode="#,,"/>
    <numFmt numFmtId="179" formatCode="#,##0.0,,\ 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_Randhoo"/>
    </font>
    <font>
      <sz val="10"/>
      <color theme="1"/>
      <name val="Calibri"/>
      <family val="2"/>
    </font>
    <font>
      <sz val="9"/>
      <color theme="1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9.3000000000000007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7"/>
      <color theme="1"/>
      <name val="A_Randhoo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2"/>
      <color theme="1"/>
      <name val="A_Faseyha"/>
    </font>
    <font>
      <b/>
      <sz val="10"/>
      <color theme="1"/>
      <name val="A_Faseyha"/>
    </font>
    <font>
      <b/>
      <sz val="8"/>
      <color theme="1"/>
      <name val="A_Faseyha"/>
    </font>
    <font>
      <sz val="10"/>
      <color theme="1"/>
      <name val="A_Faseyha"/>
    </font>
    <font>
      <sz val="8"/>
      <color theme="1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/>
      <top/>
      <bottom/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indexed="64"/>
      </bottom>
      <diagonal/>
    </border>
  </borders>
  <cellStyleXfs count="17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6" fillId="0" borderId="0"/>
    <xf numFmtId="173" fontId="6" fillId="0" borderId="0"/>
    <xf numFmtId="0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0" fontId="25" fillId="0" borderId="0"/>
    <xf numFmtId="4" fontId="2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5">
    <xf numFmtId="0" fontId="0" fillId="0" borderId="0" xfId="0"/>
    <xf numFmtId="166" fontId="8" fillId="2" borderId="4" xfId="2" applyNumberFormat="1" applyFont="1" applyFill="1" applyBorder="1" applyAlignment="1">
      <alignment vertical="center"/>
    </xf>
    <xf numFmtId="166" fontId="5" fillId="2" borderId="0" xfId="2" applyNumberFormat="1" applyFont="1" applyFill="1" applyBorder="1" applyAlignment="1" applyProtection="1">
      <alignment horizontal="right" vertical="center"/>
      <protection locked="0"/>
    </xf>
    <xf numFmtId="166" fontId="5" fillId="2" borderId="2" xfId="2" applyNumberFormat="1" applyFont="1" applyFill="1" applyBorder="1" applyAlignment="1" applyProtection="1">
      <alignment horizontal="right" vertical="center"/>
    </xf>
    <xf numFmtId="166" fontId="13" fillId="2" borderId="0" xfId="2" applyNumberFormat="1" applyFont="1" applyFill="1" applyAlignment="1">
      <alignment vertical="center"/>
    </xf>
    <xf numFmtId="166" fontId="14" fillId="2" borderId="0" xfId="2" applyNumberFormat="1" applyFont="1" applyFill="1" applyAlignment="1">
      <alignment vertical="center"/>
    </xf>
    <xf numFmtId="167" fontId="5" fillId="2" borderId="0" xfId="2" applyNumberFormat="1" applyFont="1" applyFill="1" applyBorder="1" applyAlignment="1" applyProtection="1">
      <alignment horizontal="right" vertical="center"/>
    </xf>
    <xf numFmtId="166" fontId="5" fillId="2" borderId="0" xfId="2" applyNumberFormat="1" applyFont="1" applyFill="1" applyAlignment="1" applyProtection="1">
      <alignment horizontal="left" vertical="center"/>
    </xf>
    <xf numFmtId="167" fontId="10" fillId="2" borderId="0" xfId="2" applyNumberFormat="1" applyFont="1" applyFill="1" applyBorder="1" applyAlignment="1" applyProtection="1">
      <alignment horizontal="right" vertical="center"/>
    </xf>
    <xf numFmtId="166" fontId="8" fillId="2" borderId="0" xfId="2" applyNumberFormat="1" applyFont="1" applyFill="1" applyAlignment="1">
      <alignment vertical="center"/>
    </xf>
    <xf numFmtId="166" fontId="17" fillId="2" borderId="0" xfId="2" applyNumberFormat="1" applyFont="1" applyFill="1" applyAlignment="1">
      <alignment vertical="center"/>
    </xf>
    <xf numFmtId="166" fontId="11" fillId="2" borderId="0" xfId="2" applyNumberFormat="1" applyFont="1" applyFill="1" applyAlignment="1">
      <alignment vertical="center"/>
    </xf>
    <xf numFmtId="166" fontId="14" fillId="2" borderId="0" xfId="2" applyNumberFormat="1" applyFont="1" applyFill="1" applyBorder="1" applyAlignment="1">
      <alignment vertical="center"/>
    </xf>
    <xf numFmtId="166" fontId="18" fillId="2" borderId="1" xfId="2" applyNumberFormat="1" applyFont="1" applyFill="1" applyBorder="1" applyAlignment="1">
      <alignment vertical="center"/>
    </xf>
    <xf numFmtId="166" fontId="14" fillId="2" borderId="1" xfId="2" applyNumberFormat="1" applyFont="1" applyFill="1" applyBorder="1" applyAlignment="1">
      <alignment vertical="center"/>
    </xf>
    <xf numFmtId="166" fontId="5" fillId="2" borderId="0" xfId="2" applyNumberFormat="1" applyFont="1" applyFill="1" applyBorder="1" applyAlignment="1" applyProtection="1">
      <alignment horizontal="center" vertical="center"/>
      <protection locked="0"/>
    </xf>
    <xf numFmtId="166" fontId="8" fillId="2" borderId="0" xfId="2" applyNumberFormat="1" applyFont="1" applyFill="1" applyAlignment="1">
      <alignment horizontal="center" vertical="center"/>
    </xf>
    <xf numFmtId="166" fontId="17" fillId="2" borderId="0" xfId="2" applyNumberFormat="1" applyFont="1" applyFill="1" applyBorder="1" applyAlignment="1">
      <alignment vertical="center"/>
    </xf>
    <xf numFmtId="167" fontId="5" fillId="2" borderId="0" xfId="2" applyNumberFormat="1" applyFont="1" applyFill="1" applyAlignment="1" applyProtection="1">
      <alignment horizontal="right" vertical="center"/>
    </xf>
    <xf numFmtId="166" fontId="10" fillId="2" borderId="0" xfId="2" applyNumberFormat="1" applyFont="1" applyFill="1" applyAlignment="1" applyProtection="1">
      <alignment horizontal="left" vertical="center" indent="2"/>
    </xf>
    <xf numFmtId="167" fontId="10" fillId="2" borderId="0" xfId="2" applyNumberFormat="1" applyFont="1" applyFill="1" applyAlignment="1" applyProtection="1">
      <alignment horizontal="right" vertical="center"/>
      <protection locked="0"/>
    </xf>
    <xf numFmtId="166" fontId="19" fillId="2" borderId="0" xfId="2" applyNumberFormat="1" applyFont="1" applyFill="1" applyAlignment="1">
      <alignment horizontal="right" vertical="center"/>
    </xf>
    <xf numFmtId="165" fontId="10" fillId="2" borderId="0" xfId="1" applyFont="1" applyFill="1" applyAlignment="1" applyProtection="1">
      <alignment horizontal="right" vertical="center"/>
      <protection locked="0"/>
    </xf>
    <xf numFmtId="164" fontId="10" fillId="2" borderId="0" xfId="3" applyNumberFormat="1" applyFont="1" applyFill="1" applyAlignment="1" applyProtection="1">
      <alignment horizontal="right" vertical="center"/>
      <protection locked="0"/>
    </xf>
    <xf numFmtId="166" fontId="12" fillId="2" borderId="0" xfId="2" applyNumberFormat="1" applyFont="1" applyFill="1" applyAlignment="1">
      <alignment horizontal="right" vertical="center"/>
    </xf>
    <xf numFmtId="168" fontId="10" fillId="2" borderId="0" xfId="3" applyNumberFormat="1" applyFont="1" applyFill="1" applyAlignment="1" applyProtection="1">
      <alignment horizontal="right" vertical="center"/>
      <protection locked="0"/>
    </xf>
    <xf numFmtId="166" fontId="12" fillId="2" borderId="0" xfId="2" applyNumberFormat="1" applyFont="1" applyFill="1" applyAlignment="1">
      <alignment horizontal="right" vertical="center" indent="1"/>
    </xf>
    <xf numFmtId="166" fontId="17" fillId="2" borderId="0" xfId="2" applyNumberFormat="1" applyFont="1" applyFill="1" applyAlignment="1" applyProtection="1">
      <alignment horizontal="left" vertical="center"/>
    </xf>
    <xf numFmtId="167" fontId="10" fillId="2" borderId="0" xfId="2" applyNumberFormat="1" applyFont="1" applyFill="1" applyBorder="1" applyAlignment="1" applyProtection="1">
      <alignment horizontal="right" vertical="center"/>
      <protection locked="0"/>
    </xf>
    <xf numFmtId="167" fontId="5" fillId="2" borderId="0" xfId="2" applyNumberFormat="1" applyFont="1" applyFill="1" applyAlignment="1" applyProtection="1">
      <alignment horizontal="right" vertical="center"/>
      <protection locked="0"/>
    </xf>
    <xf numFmtId="167" fontId="10" fillId="2" borderId="0" xfId="2" applyNumberFormat="1" applyFont="1" applyFill="1" applyAlignment="1" applyProtection="1">
      <alignment horizontal="right" vertical="center"/>
    </xf>
    <xf numFmtId="169" fontId="10" fillId="2" borderId="0" xfId="1" applyNumberFormat="1" applyFont="1" applyFill="1" applyAlignment="1" applyProtection="1">
      <alignment horizontal="right" vertical="center"/>
      <protection locked="0"/>
    </xf>
    <xf numFmtId="169" fontId="10" fillId="2" borderId="0" xfId="1" applyNumberFormat="1" applyFont="1" applyFill="1" applyBorder="1" applyAlignment="1" applyProtection="1">
      <alignment horizontal="right" vertical="center"/>
      <protection locked="0"/>
    </xf>
    <xf numFmtId="166" fontId="10" fillId="2" borderId="0" xfId="2" applyNumberFormat="1" applyFont="1" applyFill="1" applyBorder="1" applyAlignment="1" applyProtection="1">
      <alignment horizontal="left" vertical="center" indent="2"/>
    </xf>
    <xf numFmtId="169" fontId="10" fillId="2" borderId="3" xfId="1" applyNumberFormat="1" applyFont="1" applyFill="1" applyBorder="1" applyAlignment="1" applyProtection="1">
      <alignment horizontal="right" vertical="center"/>
      <protection locked="0"/>
    </xf>
    <xf numFmtId="166" fontId="11" fillId="2" borderId="3" xfId="2" applyNumberFormat="1" applyFont="1" applyFill="1" applyBorder="1" applyAlignment="1" applyProtection="1">
      <alignment horizontal="left" vertical="center"/>
    </xf>
    <xf numFmtId="164" fontId="20" fillId="2" borderId="3" xfId="3" applyNumberFormat="1" applyFont="1" applyFill="1" applyBorder="1" applyAlignment="1" applyProtection="1">
      <alignment horizontal="right" vertical="center"/>
      <protection locked="0"/>
    </xf>
    <xf numFmtId="168" fontId="20" fillId="2" borderId="3" xfId="3" applyNumberFormat="1" applyFont="1" applyFill="1" applyBorder="1" applyAlignment="1" applyProtection="1">
      <alignment horizontal="right" vertical="center"/>
      <protection locked="0"/>
    </xf>
    <xf numFmtId="166" fontId="21" fillId="2" borderId="0" xfId="2" applyNumberFormat="1" applyFont="1" applyFill="1" applyAlignment="1" applyProtection="1">
      <alignment horizontal="left" vertical="center"/>
    </xf>
    <xf numFmtId="166" fontId="22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vertical="center"/>
    </xf>
    <xf numFmtId="166" fontId="8" fillId="2" borderId="0" xfId="2" applyNumberFormat="1" applyFont="1" applyFill="1" applyBorder="1" applyAlignment="1">
      <alignment vertical="center"/>
    </xf>
    <xf numFmtId="166" fontId="13" fillId="2" borderId="0" xfId="2" applyNumberFormat="1" applyFont="1" applyFill="1" applyBorder="1" applyAlignment="1">
      <alignment vertical="center"/>
    </xf>
    <xf numFmtId="169" fontId="5" fillId="2" borderId="0" xfId="1" applyNumberFormat="1" applyFont="1" applyFill="1" applyAlignment="1" applyProtection="1">
      <alignment horizontal="right" vertical="center"/>
    </xf>
    <xf numFmtId="169" fontId="5" fillId="2" borderId="0" xfId="1" applyNumberFormat="1" applyFont="1" applyFill="1" applyAlignment="1" applyProtection="1">
      <alignment horizontal="right" vertical="center"/>
      <protection locked="0"/>
    </xf>
    <xf numFmtId="0" fontId="1" fillId="2" borderId="0" xfId="0" applyFont="1" applyFill="1" applyBorder="1" applyAlignment="1">
      <alignment vertical="center"/>
    </xf>
    <xf numFmtId="166" fontId="18" fillId="2" borderId="1" xfId="2" applyNumberFormat="1" applyFont="1" applyFill="1" applyBorder="1" applyAlignment="1">
      <alignment horizontal="right" vertical="center"/>
    </xf>
    <xf numFmtId="166" fontId="24" fillId="2" borderId="0" xfId="2" applyNumberFormat="1" applyFont="1" applyFill="1" applyAlignment="1">
      <alignment vertical="center"/>
    </xf>
    <xf numFmtId="166" fontId="27" fillId="2" borderId="0" xfId="2" applyNumberFormat="1" applyFont="1" applyFill="1" applyAlignment="1">
      <alignment vertical="center"/>
    </xf>
    <xf numFmtId="166" fontId="27" fillId="2" borderId="0" xfId="2" applyNumberFormat="1" applyFont="1" applyFill="1" applyBorder="1" applyAlignment="1">
      <alignment vertical="center"/>
    </xf>
    <xf numFmtId="166" fontId="27" fillId="2" borderId="3" xfId="2" applyNumberFormat="1" applyFont="1" applyFill="1" applyBorder="1" applyAlignment="1">
      <alignment vertical="center"/>
    </xf>
    <xf numFmtId="166" fontId="29" fillId="2" borderId="4" xfId="2" applyNumberFormat="1" applyFont="1" applyFill="1" applyBorder="1" applyAlignment="1">
      <alignment horizontal="right" vertical="center"/>
    </xf>
    <xf numFmtId="169" fontId="10" fillId="2" borderId="0" xfId="1" applyNumberFormat="1" applyFont="1" applyFill="1" applyAlignment="1">
      <alignment vertical="center"/>
    </xf>
    <xf numFmtId="166" fontId="28" fillId="2" borderId="0" xfId="2" applyNumberFormat="1" applyFont="1" applyFill="1" applyAlignment="1">
      <alignment horizontal="right" vertical="center"/>
    </xf>
    <xf numFmtId="166" fontId="30" fillId="2" borderId="0" xfId="2" applyNumberFormat="1" applyFont="1" applyFill="1" applyAlignment="1">
      <alignment horizontal="right" vertical="center"/>
    </xf>
    <xf numFmtId="166" fontId="30" fillId="2" borderId="0" xfId="2" applyNumberFormat="1" applyFont="1" applyFill="1" applyBorder="1" applyAlignment="1">
      <alignment horizontal="right" vertical="center"/>
    </xf>
    <xf numFmtId="166" fontId="30" fillId="2" borderId="3" xfId="2" applyNumberFormat="1" applyFont="1" applyFill="1" applyBorder="1" applyAlignment="1">
      <alignment horizontal="right" vertical="center"/>
    </xf>
    <xf numFmtId="167" fontId="31" fillId="2" borderId="0" xfId="2" applyNumberFormat="1" applyFont="1" applyFill="1" applyBorder="1" applyAlignment="1">
      <alignment horizontal="right" vertical="center"/>
    </xf>
    <xf numFmtId="166" fontId="28" fillId="2" borderId="1" xfId="2" applyNumberFormat="1" applyFont="1" applyFill="1" applyBorder="1" applyAlignment="1">
      <alignment vertical="center"/>
    </xf>
    <xf numFmtId="166" fontId="12" fillId="2" borderId="0" xfId="2" applyNumberFormat="1" applyFont="1" applyFill="1" applyAlignment="1">
      <alignment horizontal="right" vertical="center" readingOrder="1"/>
    </xf>
    <xf numFmtId="166" fontId="30" fillId="2" borderId="0" xfId="2" applyNumberFormat="1" applyFont="1" applyFill="1" applyBorder="1" applyAlignment="1">
      <alignment horizontal="right" vertical="center" indent="2"/>
    </xf>
    <xf numFmtId="178" fontId="15" fillId="2" borderId="0" xfId="2" applyNumberFormat="1" applyFont="1" applyFill="1" applyAlignment="1">
      <alignment vertical="center"/>
    </xf>
    <xf numFmtId="179" fontId="5" fillId="2" borderId="0" xfId="1" applyNumberFormat="1" applyFont="1" applyFill="1" applyAlignment="1" applyProtection="1">
      <alignment horizontal="right" vertical="center"/>
    </xf>
    <xf numFmtId="179" fontId="5" fillId="2" borderId="0" xfId="1" applyNumberFormat="1" applyFont="1" applyFill="1" applyBorder="1" applyAlignment="1" applyProtection="1">
      <alignment horizontal="right" vertical="center"/>
    </xf>
    <xf numFmtId="179" fontId="10" fillId="2" borderId="0" xfId="1" applyNumberFormat="1" applyFont="1" applyFill="1" applyAlignment="1">
      <alignment vertical="center"/>
    </xf>
    <xf numFmtId="179" fontId="10" fillId="2" borderId="0" xfId="1" applyNumberFormat="1" applyFont="1" applyFill="1" applyBorder="1" applyAlignment="1">
      <alignment vertical="center"/>
    </xf>
    <xf numFmtId="179" fontId="10" fillId="2" borderId="0" xfId="1" applyNumberFormat="1" applyFont="1" applyFill="1" applyAlignment="1" applyProtection="1">
      <alignment horizontal="right" vertical="center"/>
      <protection locked="0"/>
    </xf>
    <xf numFmtId="179" fontId="10" fillId="2" borderId="0" xfId="1" applyNumberFormat="1" applyFont="1" applyFill="1" applyBorder="1" applyAlignment="1" applyProtection="1">
      <alignment horizontal="right" vertical="center"/>
      <protection locked="0"/>
    </xf>
    <xf numFmtId="179" fontId="5" fillId="2" borderId="0" xfId="1" applyNumberFormat="1" applyFont="1" applyFill="1" applyAlignment="1" applyProtection="1">
      <alignment horizontal="right" vertical="center"/>
      <protection locked="0"/>
    </xf>
    <xf numFmtId="179" fontId="5" fillId="2" borderId="0" xfId="1" applyNumberFormat="1" applyFont="1" applyFill="1" applyBorder="1" applyAlignment="1" applyProtection="1">
      <alignment horizontal="right" vertical="center"/>
      <protection locked="0"/>
    </xf>
    <xf numFmtId="179" fontId="10" fillId="2" borderId="3" xfId="1" applyNumberFormat="1" applyFont="1" applyFill="1" applyBorder="1" applyAlignment="1" applyProtection="1">
      <alignment horizontal="right" vertical="center"/>
      <protection locked="0"/>
    </xf>
    <xf numFmtId="166" fontId="24" fillId="2" borderId="1" xfId="2" applyNumberFormat="1" applyFont="1" applyFill="1" applyBorder="1" applyAlignment="1">
      <alignment horizontal="right" vertical="center"/>
    </xf>
    <xf numFmtId="166" fontId="24" fillId="2" borderId="0" xfId="2" applyNumberFormat="1" applyFont="1" applyFill="1" applyBorder="1" applyAlignment="1">
      <alignment horizontal="right" vertical="center"/>
    </xf>
    <xf numFmtId="166" fontId="24" fillId="2" borderId="2" xfId="2" applyNumberFormat="1" applyFont="1" applyFill="1" applyBorder="1" applyAlignment="1">
      <alignment horizontal="right" vertical="center"/>
    </xf>
    <xf numFmtId="179" fontId="10" fillId="3" borderId="0" xfId="1" applyNumberFormat="1" applyFont="1" applyFill="1" applyBorder="1" applyAlignment="1">
      <alignment vertical="center"/>
    </xf>
    <xf numFmtId="179" fontId="10" fillId="3" borderId="0" xfId="1" applyNumberFormat="1" applyFont="1" applyFill="1" applyBorder="1" applyAlignment="1" applyProtection="1">
      <alignment horizontal="right" vertical="center"/>
      <protection locked="0"/>
    </xf>
    <xf numFmtId="166" fontId="14" fillId="2" borderId="5" xfId="2" applyNumberFormat="1" applyFont="1" applyFill="1" applyBorder="1" applyAlignment="1">
      <alignment vertical="center"/>
    </xf>
    <xf numFmtId="166" fontId="5" fillId="2" borderId="6" xfId="2" applyNumberFormat="1" applyFont="1" applyFill="1" applyBorder="1" applyAlignment="1" applyProtection="1">
      <alignment horizontal="right" vertical="center"/>
      <protection locked="0"/>
    </xf>
    <xf numFmtId="166" fontId="5" fillId="2" borderId="7" xfId="2" applyNumberFormat="1" applyFont="1" applyFill="1" applyBorder="1" applyAlignment="1" applyProtection="1">
      <alignment horizontal="right" vertical="center"/>
    </xf>
    <xf numFmtId="179" fontId="5" fillId="2" borderId="6" xfId="1" applyNumberFormat="1" applyFont="1" applyFill="1" applyBorder="1" applyAlignment="1" applyProtection="1">
      <alignment horizontal="right" vertical="center"/>
    </xf>
    <xf numFmtId="179" fontId="10" fillId="2" borderId="6" xfId="1" applyNumberFormat="1" applyFont="1" applyFill="1" applyBorder="1" applyAlignment="1">
      <alignment vertical="center"/>
    </xf>
    <xf numFmtId="179" fontId="10" fillId="2" borderId="6" xfId="1" applyNumberFormat="1" applyFont="1" applyFill="1" applyBorder="1" applyAlignment="1" applyProtection="1">
      <alignment horizontal="right" vertical="center"/>
      <protection locked="0"/>
    </xf>
    <xf numFmtId="169" fontId="10" fillId="2" borderId="6" xfId="1" applyNumberFormat="1" applyFont="1" applyFill="1" applyBorder="1" applyAlignment="1" applyProtection="1">
      <alignment horizontal="right" vertical="center"/>
      <protection locked="0"/>
    </xf>
    <xf numFmtId="179" fontId="5" fillId="2" borderId="6" xfId="1" applyNumberFormat="1" applyFont="1" applyFill="1" applyBorder="1" applyAlignment="1" applyProtection="1">
      <alignment horizontal="right" vertical="center"/>
      <protection locked="0"/>
    </xf>
    <xf numFmtId="179" fontId="10" fillId="2" borderId="8" xfId="1" applyNumberFormat="1" applyFont="1" applyFill="1" applyBorder="1" applyAlignment="1" applyProtection="1">
      <alignment horizontal="right" vertical="center"/>
      <protection locked="0"/>
    </xf>
    <xf numFmtId="166" fontId="24" fillId="2" borderId="0" xfId="2" applyNumberFormat="1" applyFont="1" applyFill="1" applyAlignment="1">
      <alignment horizontal="center" vertical="center"/>
    </xf>
    <xf numFmtId="166" fontId="9" fillId="2" borderId="0" xfId="2" applyNumberFormat="1" applyFont="1" applyFill="1" applyBorder="1" applyAlignment="1" applyProtection="1">
      <alignment horizontal="center" vertical="center"/>
    </xf>
    <xf numFmtId="166" fontId="28" fillId="2" borderId="0" xfId="2" applyNumberFormat="1" applyFont="1" applyFill="1" applyAlignment="1">
      <alignment horizontal="center" vertical="center" wrapText="1"/>
    </xf>
    <xf numFmtId="166" fontId="8" fillId="2" borderId="0" xfId="2" applyNumberFormat="1" applyFont="1" applyFill="1" applyBorder="1" applyAlignment="1" applyProtection="1">
      <alignment horizontal="center" vertical="center"/>
    </xf>
    <xf numFmtId="166" fontId="5" fillId="2" borderId="1" xfId="2" applyNumberFormat="1" applyFont="1" applyFill="1" applyBorder="1" applyAlignment="1" applyProtection="1">
      <alignment horizontal="left" vertical="center"/>
    </xf>
    <xf numFmtId="166" fontId="5" fillId="2" borderId="0" xfId="2" applyNumberFormat="1" applyFont="1" applyFill="1" applyBorder="1" applyAlignment="1" applyProtection="1">
      <alignment horizontal="left" vertical="center"/>
    </xf>
    <xf numFmtId="166" fontId="5" fillId="2" borderId="2" xfId="2" applyNumberFormat="1" applyFont="1" applyFill="1" applyBorder="1" applyAlignment="1" applyProtection="1">
      <alignment horizontal="left" vertical="center"/>
    </xf>
    <xf numFmtId="166" fontId="24" fillId="2" borderId="1" xfId="2" applyNumberFormat="1" applyFont="1" applyFill="1" applyBorder="1" applyAlignment="1">
      <alignment horizontal="right" vertical="center"/>
    </xf>
    <xf numFmtId="166" fontId="24" fillId="2" borderId="0" xfId="2" applyNumberFormat="1" applyFont="1" applyFill="1" applyBorder="1" applyAlignment="1">
      <alignment horizontal="right" vertical="center"/>
    </xf>
    <xf numFmtId="166" fontId="24" fillId="2" borderId="2" xfId="2" applyNumberFormat="1" applyFont="1" applyFill="1" applyBorder="1" applyAlignment="1">
      <alignment horizontal="right" vertical="center"/>
    </xf>
  </cellXfs>
  <cellStyles count="17">
    <cellStyle name="Comma" xfId="1" builtinId="3"/>
    <cellStyle name="Comma 2" xfId="7"/>
    <cellStyle name="Comma 3" xfId="8"/>
    <cellStyle name="Comma 4" xfId="4"/>
    <cellStyle name="Comma 4 2" xfId="15"/>
    <cellStyle name="Comma 5" xfId="13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2 2" xfId="14"/>
    <cellStyle name="Normal 3" xfId="12"/>
    <cellStyle name="Normal 4" xfId="9"/>
    <cellStyle name="Normal_13 Public Finance_done" xfId="2"/>
    <cellStyle name="Percent 2" xfId="16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36</xdr:row>
      <xdr:rowOff>0</xdr:rowOff>
    </xdr:from>
    <xdr:to>
      <xdr:col>1</xdr:col>
      <xdr:colOff>0</xdr:colOff>
      <xdr:row>36</xdr:row>
      <xdr:rowOff>0</xdr:rowOff>
    </xdr:to>
    <xdr:sp macro="" textlink="">
      <xdr:nvSpPr>
        <xdr:cNvPr id="3" name="Text 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525" y="729615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35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4" name="Text 1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525" y="678180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X44"/>
  <sheetViews>
    <sheetView tabSelected="1" zoomScale="110" zoomScaleNormal="110" zoomScaleSheetLayoutView="100" workbookViewId="0">
      <pane xSplit="6" topLeftCell="G1" activePane="topRight" state="frozen"/>
      <selection pane="topRight" activeCell="R5" sqref="R5:R7"/>
    </sheetView>
  </sheetViews>
  <sheetFormatPr defaultColWidth="9.140625" defaultRowHeight="12.75"/>
  <cols>
    <col min="1" max="1" width="57.42578125" style="4" customWidth="1"/>
    <col min="2" max="2" width="7.85546875" style="4" hidden="1" customWidth="1"/>
    <col min="3" max="4" width="10.42578125" style="4" hidden="1" customWidth="1"/>
    <col min="5" max="5" width="11" style="4" hidden="1" customWidth="1"/>
    <col min="6" max="6" width="10.140625" style="4" hidden="1" customWidth="1"/>
    <col min="7" max="13" width="10.5703125" style="4" customWidth="1"/>
    <col min="14" max="14" width="10.42578125" style="4" bestFit="1" customWidth="1"/>
    <col min="15" max="17" width="10.5703125" style="4" customWidth="1"/>
    <col min="18" max="18" width="52.85546875" style="4" customWidth="1"/>
    <col min="19" max="19" width="2.5703125" style="4" customWidth="1"/>
    <col min="20" max="16384" width="9.140625" style="4"/>
  </cols>
  <sheetData>
    <row r="1" spans="1:258" ht="18.7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58" s="5" customFormat="1" ht="15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1:258" s="5" customFormat="1" ht="15.75">
      <c r="A3" s="87" t="s">
        <v>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258" s="5" customFormat="1">
      <c r="A4" s="88" t="s">
        <v>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12"/>
    </row>
    <row r="5" spans="1:258" s="9" customFormat="1" ht="15.75" customHeight="1">
      <c r="A5" s="89" t="s">
        <v>4</v>
      </c>
      <c r="B5" s="46"/>
      <c r="C5" s="46"/>
      <c r="D5" s="46"/>
      <c r="E5" s="13"/>
      <c r="F5" s="13"/>
      <c r="G5" s="1"/>
      <c r="H5" s="14"/>
      <c r="I5" s="14"/>
      <c r="J5" s="14"/>
      <c r="K5" s="14"/>
      <c r="L5" s="58"/>
      <c r="M5" s="51" t="s">
        <v>5</v>
      </c>
      <c r="N5" s="51"/>
      <c r="O5" s="76"/>
      <c r="P5" s="14"/>
      <c r="Q5" s="14"/>
      <c r="R5" s="92" t="s">
        <v>6</v>
      </c>
      <c r="S5" s="71"/>
    </row>
    <row r="6" spans="1:258" s="16" customFormat="1" ht="12.75" customHeight="1">
      <c r="A6" s="90"/>
      <c r="B6" s="15"/>
      <c r="C6" s="2"/>
      <c r="D6" s="2"/>
      <c r="E6" s="2"/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8</v>
      </c>
      <c r="N6" s="2"/>
      <c r="O6" s="77" t="s">
        <v>9</v>
      </c>
      <c r="P6" s="2" t="s">
        <v>9</v>
      </c>
      <c r="Q6" s="2" t="s">
        <v>9</v>
      </c>
      <c r="R6" s="93"/>
      <c r="S6" s="72"/>
    </row>
    <row r="7" spans="1:258" s="17" customFormat="1" ht="12.75" customHeight="1">
      <c r="A7" s="91"/>
      <c r="B7" s="3">
        <v>2008</v>
      </c>
      <c r="C7" s="3">
        <v>2009</v>
      </c>
      <c r="D7" s="3">
        <v>2010</v>
      </c>
      <c r="E7" s="3">
        <v>2011</v>
      </c>
      <c r="F7" s="3">
        <v>2012</v>
      </c>
      <c r="G7" s="3">
        <v>2013</v>
      </c>
      <c r="H7" s="3">
        <v>2014</v>
      </c>
      <c r="I7" s="3">
        <v>2015</v>
      </c>
      <c r="J7" s="3">
        <v>2016</v>
      </c>
      <c r="K7" s="3">
        <v>2017</v>
      </c>
      <c r="L7" s="3">
        <v>2018</v>
      </c>
      <c r="M7" s="3">
        <v>2019</v>
      </c>
      <c r="N7" s="3">
        <v>2020</v>
      </c>
      <c r="O7" s="78">
        <v>2021</v>
      </c>
      <c r="P7" s="3">
        <v>2022</v>
      </c>
      <c r="Q7" s="3">
        <v>2023</v>
      </c>
      <c r="R7" s="94"/>
      <c r="S7" s="73"/>
    </row>
    <row r="8" spans="1:258" s="9" customFormat="1" ht="18.75">
      <c r="A8" s="7" t="s">
        <v>10</v>
      </c>
      <c r="B8" s="18">
        <f t="shared" ref="B8:L8" si="0">SUM(B9:B20)</f>
        <v>8797.2808289999994</v>
      </c>
      <c r="C8" s="18">
        <f t="shared" si="0"/>
        <v>7838.2088169999997</v>
      </c>
      <c r="D8" s="18">
        <f t="shared" si="0"/>
        <v>9492.8144190000003</v>
      </c>
      <c r="E8" s="18">
        <f t="shared" si="0"/>
        <v>12196.840858</v>
      </c>
      <c r="F8" s="18">
        <f t="shared" si="0"/>
        <v>12287.820168999997</v>
      </c>
      <c r="G8" s="43">
        <f t="shared" si="0"/>
        <v>13223.42540853</v>
      </c>
      <c r="H8" s="43">
        <f t="shared" si="0"/>
        <v>15933.704056</v>
      </c>
      <c r="I8" s="43">
        <f t="shared" si="0"/>
        <v>18113.699796549998</v>
      </c>
      <c r="J8" s="43">
        <f t="shared" si="0"/>
        <v>21722.635160589998</v>
      </c>
      <c r="K8" s="43">
        <f t="shared" si="0"/>
        <v>23098.146908999999</v>
      </c>
      <c r="L8" s="43">
        <f t="shared" si="0"/>
        <v>22336.859532999999</v>
      </c>
      <c r="M8" s="62">
        <v>22008821726</v>
      </c>
      <c r="N8" s="63">
        <v>12550225141</v>
      </c>
      <c r="O8" s="79">
        <v>18901987491</v>
      </c>
      <c r="P8" s="63">
        <v>20818261069</v>
      </c>
      <c r="Q8" s="63">
        <v>25484620206</v>
      </c>
      <c r="R8" s="53" t="s">
        <v>56</v>
      </c>
      <c r="S8" s="47"/>
    </row>
    <row r="9" spans="1:258" s="10" customFormat="1" ht="18.75">
      <c r="A9" s="19" t="s">
        <v>11</v>
      </c>
      <c r="B9" s="20">
        <v>7054.4330769999997</v>
      </c>
      <c r="C9" s="20">
        <v>5467.9178659999998</v>
      </c>
      <c r="D9" s="20">
        <v>6573.7138210000003</v>
      </c>
      <c r="E9" s="20">
        <v>9508.1181149999993</v>
      </c>
      <c r="F9" s="20">
        <v>9817.0309849999994</v>
      </c>
      <c r="G9" s="31">
        <v>11799.703769</v>
      </c>
      <c r="H9" s="31">
        <v>14962.192276</v>
      </c>
      <c r="I9" s="31">
        <v>16655.965295999998</v>
      </c>
      <c r="J9" s="52">
        <v>18312.886023589996</v>
      </c>
      <c r="K9" s="52">
        <v>19841.171066999999</v>
      </c>
      <c r="L9" s="52">
        <v>21333.795754999999</v>
      </c>
      <c r="M9" s="64">
        <v>21006640821</v>
      </c>
      <c r="N9" s="65">
        <v>12230025563</v>
      </c>
      <c r="O9" s="80">
        <v>18178096924</v>
      </c>
      <c r="P9" s="65">
        <v>20136954982</v>
      </c>
      <c r="Q9" s="65">
        <v>24611689100</v>
      </c>
      <c r="R9" s="54" t="s">
        <v>57</v>
      </c>
      <c r="S9" s="48"/>
      <c r="U9" s="16"/>
      <c r="V9" s="16"/>
      <c r="W9" s="16"/>
      <c r="X9" s="16"/>
      <c r="Y9" s="16"/>
      <c r="Z9" s="16"/>
      <c r="AA9" s="16"/>
    </row>
    <row r="10" spans="1:258" s="10" customFormat="1" ht="18.75">
      <c r="A10" s="19" t="s">
        <v>12</v>
      </c>
      <c r="B10" s="20">
        <v>81.193549000000004</v>
      </c>
      <c r="C10" s="22">
        <v>0</v>
      </c>
      <c r="D10" s="23">
        <v>0</v>
      </c>
      <c r="E10" s="20">
        <v>71.725728000000004</v>
      </c>
      <c r="F10" s="20">
        <v>91.006381000000005</v>
      </c>
      <c r="G10" s="31">
        <v>118.874062</v>
      </c>
      <c r="H10" s="31">
        <v>164.495789</v>
      </c>
      <c r="I10" s="31">
        <v>172.402165</v>
      </c>
      <c r="J10" s="52">
        <v>169.34968175999998</v>
      </c>
      <c r="K10" s="52">
        <v>178.55735300000001</v>
      </c>
      <c r="L10" s="52">
        <v>169.49121700000001</v>
      </c>
      <c r="M10" s="64">
        <v>1086316768</v>
      </c>
      <c r="N10" s="65">
        <v>402565903</v>
      </c>
      <c r="O10" s="80">
        <v>736162762</v>
      </c>
      <c r="P10" s="65">
        <v>987426809</v>
      </c>
      <c r="Q10" s="65">
        <v>1205514319</v>
      </c>
      <c r="R10" s="54" t="s">
        <v>58</v>
      </c>
      <c r="S10" s="48"/>
      <c r="U10" s="17"/>
      <c r="V10" s="17"/>
      <c r="W10" s="17"/>
      <c r="X10" s="17"/>
      <c r="Y10" s="17"/>
      <c r="Z10" s="17"/>
      <c r="AA10" s="17"/>
    </row>
    <row r="11" spans="1:258" s="10" customFormat="1" ht="18.75" hidden="1" customHeight="1">
      <c r="A11" s="19" t="s">
        <v>13</v>
      </c>
      <c r="B11" s="20">
        <v>7.0724070000000001</v>
      </c>
      <c r="C11" s="20">
        <v>22.433268000000002</v>
      </c>
      <c r="D11" s="23">
        <v>0</v>
      </c>
      <c r="E11" s="23">
        <v>0</v>
      </c>
      <c r="F11" s="23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66">
        <v>0</v>
      </c>
      <c r="N11" s="67"/>
      <c r="O11" s="81">
        <v>0</v>
      </c>
      <c r="P11" s="67"/>
      <c r="Q11" s="67" t="s">
        <v>14</v>
      </c>
      <c r="R11" s="54" t="s">
        <v>14</v>
      </c>
      <c r="S11" s="48"/>
      <c r="U11" s="9"/>
      <c r="V11" s="9"/>
      <c r="W11" s="9"/>
      <c r="X11" s="9"/>
      <c r="Y11" s="9"/>
      <c r="Z11" s="9"/>
      <c r="AA11" s="9"/>
    </row>
    <row r="12" spans="1:258" s="10" customFormat="1" ht="18.75">
      <c r="A12" s="19" t="s">
        <v>15</v>
      </c>
      <c r="B12" s="20">
        <v>55.550635999999997</v>
      </c>
      <c r="C12" s="20">
        <v>52.923622000000002</v>
      </c>
      <c r="D12" s="20">
        <v>47.642878000000003</v>
      </c>
      <c r="E12" s="20">
        <v>318.363</v>
      </c>
      <c r="F12" s="20">
        <v>144.28058300000001</v>
      </c>
      <c r="G12" s="31">
        <v>43.25014952999998</v>
      </c>
      <c r="H12" s="31">
        <v>63.872695</v>
      </c>
      <c r="I12" s="31">
        <v>486.44234219999981</v>
      </c>
      <c r="J12" s="52">
        <v>79.936230210000005</v>
      </c>
      <c r="K12" s="31">
        <v>105.920444</v>
      </c>
      <c r="L12" s="31">
        <v>465.42606899999998</v>
      </c>
      <c r="M12" s="66">
        <v>822508228</v>
      </c>
      <c r="N12" s="67">
        <v>1565460487</v>
      </c>
      <c r="O12" s="81">
        <v>1557050000</v>
      </c>
      <c r="P12" s="67">
        <v>1557050000</v>
      </c>
      <c r="Q12" s="67">
        <v>1557050000</v>
      </c>
      <c r="R12" s="54" t="s">
        <v>59</v>
      </c>
      <c r="S12" s="48"/>
      <c r="U12" s="16"/>
      <c r="V12" s="16"/>
      <c r="W12" s="16"/>
      <c r="X12" s="16"/>
      <c r="Y12" s="16"/>
      <c r="Z12" s="16"/>
      <c r="AA12" s="16"/>
    </row>
    <row r="13" spans="1:258" s="10" customFormat="1" ht="18.75" hidden="1" customHeight="1">
      <c r="A13" s="19" t="s">
        <v>16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66">
        <v>0</v>
      </c>
      <c r="N13" s="67"/>
      <c r="O13" s="81">
        <v>0</v>
      </c>
      <c r="P13" s="67"/>
      <c r="Q13" s="67" t="s">
        <v>17</v>
      </c>
      <c r="R13" s="24" t="s">
        <v>17</v>
      </c>
      <c r="S13" s="48"/>
      <c r="U13" s="17"/>
      <c r="V13" s="17"/>
      <c r="W13" s="17"/>
      <c r="X13" s="17"/>
      <c r="Y13" s="17"/>
      <c r="Z13" s="17"/>
      <c r="AA13" s="17"/>
    </row>
    <row r="14" spans="1:258" s="10" customFormat="1" ht="18.75">
      <c r="A14" s="19" t="s">
        <v>18</v>
      </c>
      <c r="B14" s="25">
        <v>382.49900000000002</v>
      </c>
      <c r="C14" s="20">
        <v>637.5</v>
      </c>
      <c r="D14" s="25">
        <v>534.62186399999996</v>
      </c>
      <c r="E14" s="20">
        <v>486.14478600000001</v>
      </c>
      <c r="F14" s="20">
        <v>567.25472300000001</v>
      </c>
      <c r="G14" s="31">
        <v>0</v>
      </c>
      <c r="H14" s="31">
        <v>453.34800000000001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82">
        <v>0</v>
      </c>
      <c r="P14" s="32">
        <v>0</v>
      </c>
      <c r="Q14" s="32">
        <v>0</v>
      </c>
      <c r="R14" s="26" t="s">
        <v>19</v>
      </c>
      <c r="S14" s="48"/>
      <c r="U14" s="9"/>
      <c r="V14" s="9"/>
      <c r="W14" s="9"/>
      <c r="X14" s="9"/>
      <c r="Y14" s="9"/>
      <c r="Z14" s="9"/>
      <c r="AA14" s="9"/>
    </row>
    <row r="15" spans="1:258" s="10" customFormat="1" ht="18.75" hidden="1" customHeight="1">
      <c r="A15" s="19" t="s">
        <v>20</v>
      </c>
      <c r="B15" s="23">
        <v>0</v>
      </c>
      <c r="C15" s="23">
        <v>0</v>
      </c>
      <c r="D15" s="23">
        <v>0</v>
      </c>
      <c r="E15" s="23">
        <v>0</v>
      </c>
      <c r="F15" s="20">
        <v>300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66">
        <v>0</v>
      </c>
      <c r="N15" s="67"/>
      <c r="O15" s="81">
        <v>0</v>
      </c>
      <c r="P15" s="67"/>
      <c r="Q15" s="67" t="s">
        <v>21</v>
      </c>
      <c r="R15" s="26" t="s">
        <v>21</v>
      </c>
      <c r="S15" s="48"/>
      <c r="U15" s="16"/>
      <c r="V15" s="16"/>
      <c r="W15" s="16"/>
      <c r="X15" s="16"/>
      <c r="Y15" s="16"/>
      <c r="Z15" s="16"/>
      <c r="AA15" s="16"/>
    </row>
    <row r="16" spans="1:258" s="10" customFormat="1" ht="18.75" hidden="1" customHeight="1">
      <c r="A16" s="19" t="s">
        <v>22</v>
      </c>
      <c r="B16" s="23">
        <v>0</v>
      </c>
      <c r="C16" s="25">
        <v>510</v>
      </c>
      <c r="D16" s="23">
        <v>946.91444999999999</v>
      </c>
      <c r="E16" s="23">
        <v>0</v>
      </c>
      <c r="F16" s="23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66">
        <v>0</v>
      </c>
      <c r="N16" s="67"/>
      <c r="O16" s="81">
        <v>0</v>
      </c>
      <c r="P16" s="67"/>
      <c r="Q16" s="67" t="s">
        <v>23</v>
      </c>
      <c r="R16" s="59" t="s">
        <v>23</v>
      </c>
      <c r="S16" s="48"/>
      <c r="T16" s="27"/>
      <c r="U16" s="17"/>
      <c r="V16" s="17"/>
      <c r="W16" s="17"/>
      <c r="X16" s="17"/>
      <c r="Y16" s="17"/>
      <c r="Z16" s="17"/>
      <c r="AA16" s="1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</row>
    <row r="17" spans="1:258" s="10" customFormat="1" ht="18.75">
      <c r="A17" s="19" t="s">
        <v>24</v>
      </c>
      <c r="B17" s="20">
        <v>461.42420499999997</v>
      </c>
      <c r="C17" s="28">
        <v>368.59220499999998</v>
      </c>
      <c r="D17" s="20">
        <v>106.900358</v>
      </c>
      <c r="E17" s="20">
        <v>414.07133499999998</v>
      </c>
      <c r="F17" s="20">
        <v>222.38928999999999</v>
      </c>
      <c r="G17" s="31">
        <v>74.405078000000003</v>
      </c>
      <c r="H17" s="31">
        <v>101.40112999999999</v>
      </c>
      <c r="I17" s="31">
        <v>150.49885417000002</v>
      </c>
      <c r="J17" s="52">
        <v>173.18953770999997</v>
      </c>
      <c r="K17" s="52">
        <v>259.56114000000002</v>
      </c>
      <c r="L17" s="52">
        <v>368.14649200000002</v>
      </c>
      <c r="M17" s="64">
        <v>400465088</v>
      </c>
      <c r="N17" s="65">
        <v>577117633</v>
      </c>
      <c r="O17" s="80">
        <v>669489752</v>
      </c>
      <c r="P17" s="65">
        <v>701240405</v>
      </c>
      <c r="Q17" s="65">
        <v>608510954</v>
      </c>
      <c r="R17" s="54" t="s">
        <v>60</v>
      </c>
      <c r="S17" s="48"/>
      <c r="T17" s="27"/>
      <c r="U17" s="9"/>
      <c r="V17" s="9"/>
      <c r="W17" s="9"/>
      <c r="X17" s="9"/>
      <c r="Y17" s="9"/>
      <c r="Z17" s="9"/>
      <c r="AA17" s="9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</row>
    <row r="18" spans="1:258" s="10" customFormat="1" ht="21" hidden="1" customHeight="1">
      <c r="A18" s="19" t="s">
        <v>25</v>
      </c>
      <c r="B18" s="20">
        <v>755.10795499999995</v>
      </c>
      <c r="C18" s="28">
        <v>778.84185600000001</v>
      </c>
      <c r="D18" s="20">
        <v>1283.0210480000001</v>
      </c>
      <c r="E18" s="20">
        <v>1398.4178939999999</v>
      </c>
      <c r="F18" s="20">
        <v>1145.858207</v>
      </c>
      <c r="G18" s="31">
        <v>1187.19235</v>
      </c>
      <c r="H18" s="31">
        <v>188.39416600000001</v>
      </c>
      <c r="I18" s="31">
        <v>648.39113917999998</v>
      </c>
      <c r="J18" s="52">
        <v>2987.2736873199997</v>
      </c>
      <c r="K18" s="52">
        <v>2712.936905</v>
      </c>
      <c r="L18" s="52">
        <v>0</v>
      </c>
      <c r="M18" s="64">
        <v>0</v>
      </c>
      <c r="N18" s="74"/>
      <c r="O18" s="80">
        <v>0</v>
      </c>
      <c r="P18" s="74"/>
      <c r="Q18" s="74" t="s">
        <v>26</v>
      </c>
      <c r="R18" s="26" t="s">
        <v>26</v>
      </c>
      <c r="S18" s="48"/>
      <c r="T18" s="27"/>
      <c r="U18" s="16"/>
      <c r="V18" s="16"/>
      <c r="W18" s="16"/>
      <c r="X18" s="16"/>
      <c r="Y18" s="16"/>
      <c r="Z18" s="16"/>
      <c r="AA18" s="16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</row>
    <row r="19" spans="1:258" s="10" customFormat="1" ht="18.75" hidden="1" customHeight="1">
      <c r="A19" s="19" t="s">
        <v>27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66">
        <v>0</v>
      </c>
      <c r="N19" s="75"/>
      <c r="O19" s="81">
        <v>0</v>
      </c>
      <c r="P19" s="75"/>
      <c r="Q19" s="75" t="s">
        <v>28</v>
      </c>
      <c r="R19" s="26" t="s">
        <v>28</v>
      </c>
      <c r="S19" s="48"/>
      <c r="T19" s="27"/>
      <c r="U19" s="17"/>
      <c r="V19" s="17"/>
      <c r="W19" s="17"/>
      <c r="X19" s="17"/>
      <c r="Y19" s="17"/>
      <c r="Z19" s="17"/>
      <c r="AA19" s="1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</row>
    <row r="20" spans="1:258" s="10" customFormat="1" ht="15" customHeight="1">
      <c r="A20" s="19" t="s">
        <v>29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82">
        <v>0</v>
      </c>
      <c r="P20" s="32">
        <v>0</v>
      </c>
      <c r="Q20" s="32">
        <v>0</v>
      </c>
      <c r="R20" s="54"/>
      <c r="S20" s="48"/>
      <c r="T20" s="27"/>
      <c r="U20" s="9"/>
      <c r="V20" s="9"/>
      <c r="W20" s="9"/>
      <c r="X20" s="9"/>
      <c r="Y20" s="9"/>
      <c r="Z20" s="9"/>
      <c r="AA20" s="9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</row>
    <row r="21" spans="1:258" s="9" customFormat="1" ht="18.75">
      <c r="A21" s="7" t="s">
        <v>30</v>
      </c>
      <c r="B21" s="29">
        <f t="shared" ref="B21:Q21" si="1">+B8-B23</f>
        <v>-1943.5229260000015</v>
      </c>
      <c r="C21" s="29">
        <f t="shared" si="1"/>
        <v>-3876.7454459999999</v>
      </c>
      <c r="D21" s="29">
        <f t="shared" si="1"/>
        <v>-2380.6923200000019</v>
      </c>
      <c r="E21" s="29">
        <f t="shared" si="1"/>
        <v>-1463.2154230000015</v>
      </c>
      <c r="F21" s="29">
        <f t="shared" si="1"/>
        <v>-2764.8567550000025</v>
      </c>
      <c r="G21" s="44">
        <f t="shared" si="1"/>
        <v>-2075.0381229599971</v>
      </c>
      <c r="H21" s="44">
        <f t="shared" si="1"/>
        <v>-2024.5829999999969</v>
      </c>
      <c r="I21" s="44">
        <f t="shared" si="1"/>
        <v>-4554.1666823600026</v>
      </c>
      <c r="J21" s="44">
        <f>+J8-J23</f>
        <v>-5080.0184621300032</v>
      </c>
      <c r="K21" s="44">
        <f t="shared" si="1"/>
        <v>-1852.938603999999</v>
      </c>
      <c r="L21" s="44">
        <f t="shared" si="1"/>
        <v>-5828.4720679999991</v>
      </c>
      <c r="M21" s="68">
        <f t="shared" si="1"/>
        <v>-6985908315</v>
      </c>
      <c r="N21" s="69">
        <f>+N8-N23</f>
        <v>-18077430137</v>
      </c>
      <c r="O21" s="83">
        <f t="shared" si="1"/>
        <v>-14529541977</v>
      </c>
      <c r="P21" s="69">
        <f t="shared" si="1"/>
        <v>-17780138899</v>
      </c>
      <c r="Q21" s="69">
        <f t="shared" si="1"/>
        <v>-12765649081</v>
      </c>
      <c r="R21" s="53" t="s">
        <v>31</v>
      </c>
      <c r="S21" s="47"/>
      <c r="U21" s="16"/>
      <c r="V21" s="16"/>
      <c r="W21" s="16"/>
      <c r="X21" s="16"/>
      <c r="Y21" s="16"/>
      <c r="Z21" s="16"/>
      <c r="AA21" s="16"/>
    </row>
    <row r="22" spans="1:258" s="9" customFormat="1" ht="18.75">
      <c r="A22" s="7" t="s">
        <v>32</v>
      </c>
      <c r="B22" s="30"/>
      <c r="C22" s="8"/>
      <c r="D22" s="30"/>
      <c r="E22" s="30"/>
      <c r="F22" s="20"/>
      <c r="G22" s="31"/>
      <c r="H22" s="31"/>
      <c r="I22" s="31"/>
      <c r="J22" s="31"/>
      <c r="K22" s="31"/>
      <c r="L22" s="31"/>
      <c r="M22" s="66"/>
      <c r="N22" s="67"/>
      <c r="O22" s="81"/>
      <c r="P22" s="67"/>
      <c r="Q22" s="67"/>
      <c r="R22" s="54" t="s">
        <v>33</v>
      </c>
      <c r="S22" s="47"/>
      <c r="U22" s="17"/>
      <c r="V22" s="17"/>
      <c r="W22" s="17"/>
      <c r="X22" s="17"/>
      <c r="Y22" s="17"/>
      <c r="Z22" s="17"/>
      <c r="AA22" s="17"/>
    </row>
    <row r="23" spans="1:258" s="9" customFormat="1" ht="18.75">
      <c r="A23" s="7" t="s">
        <v>34</v>
      </c>
      <c r="B23" s="18">
        <v>10740.803755000001</v>
      </c>
      <c r="C23" s="6">
        <v>11714.954263</v>
      </c>
      <c r="D23" s="18">
        <f t="shared" ref="D23:L23" si="2">D24</f>
        <v>11873.506739000002</v>
      </c>
      <c r="E23" s="18">
        <f t="shared" si="2"/>
        <v>13660.056281000001</v>
      </c>
      <c r="F23" s="29">
        <f t="shared" si="2"/>
        <v>15052.676923999999</v>
      </c>
      <c r="G23" s="44">
        <f t="shared" si="2"/>
        <v>15298.463531489997</v>
      </c>
      <c r="H23" s="44">
        <f t="shared" si="2"/>
        <v>17958.287055999997</v>
      </c>
      <c r="I23" s="44">
        <f t="shared" si="2"/>
        <v>22667.86647891</v>
      </c>
      <c r="J23" s="44">
        <f t="shared" si="2"/>
        <v>26802.653622720001</v>
      </c>
      <c r="K23" s="44">
        <f t="shared" si="2"/>
        <v>24951.085512999998</v>
      </c>
      <c r="L23" s="44">
        <f t="shared" si="2"/>
        <v>28165.331600999998</v>
      </c>
      <c r="M23" s="68">
        <v>28994730041</v>
      </c>
      <c r="N23" s="69">
        <v>30627655278</v>
      </c>
      <c r="O23" s="83">
        <v>33431529468</v>
      </c>
      <c r="P23" s="69">
        <v>38598399968</v>
      </c>
      <c r="Q23" s="69">
        <v>38250269287</v>
      </c>
      <c r="R23" s="53" t="s">
        <v>61</v>
      </c>
      <c r="S23" s="47"/>
    </row>
    <row r="24" spans="1:258" s="9" customFormat="1" ht="18.75">
      <c r="A24" s="7" t="s">
        <v>35</v>
      </c>
      <c r="B24" s="18">
        <f>SUM(B25:B32)</f>
        <v>10740.803754999997</v>
      </c>
      <c r="C24" s="18">
        <f>SUM(C25:C32)</f>
        <v>11714.954263000003</v>
      </c>
      <c r="D24" s="18">
        <f t="shared" ref="D24:J24" si="3">SUM(D25:D32)</f>
        <v>11873.506739000002</v>
      </c>
      <c r="E24" s="18">
        <f t="shared" si="3"/>
        <v>13660.056281000001</v>
      </c>
      <c r="F24" s="29">
        <f t="shared" si="3"/>
        <v>15052.676923999999</v>
      </c>
      <c r="G24" s="44">
        <f t="shared" si="3"/>
        <v>15298.463531489997</v>
      </c>
      <c r="H24" s="44">
        <f>SUM(H25:H32)</f>
        <v>17958.287055999997</v>
      </c>
      <c r="I24" s="44">
        <f t="shared" si="3"/>
        <v>22667.86647891</v>
      </c>
      <c r="J24" s="44">
        <f t="shared" si="3"/>
        <v>26802.653622720001</v>
      </c>
      <c r="K24" s="44">
        <f t="shared" ref="K24:L24" si="4">SUM(K25:K33)</f>
        <v>24951.085512999998</v>
      </c>
      <c r="L24" s="44">
        <f t="shared" si="4"/>
        <v>28165.331600999998</v>
      </c>
      <c r="M24" s="68">
        <v>30128216622</v>
      </c>
      <c r="N24" s="69">
        <v>31787135124</v>
      </c>
      <c r="O24" s="83">
        <v>34922716599</v>
      </c>
      <c r="P24" s="69">
        <v>44977923779</v>
      </c>
      <c r="Q24" s="69">
        <v>40846113018</v>
      </c>
      <c r="R24" s="53" t="s">
        <v>62</v>
      </c>
      <c r="S24" s="47"/>
      <c r="U24" s="16"/>
      <c r="V24" s="16"/>
      <c r="W24" s="16"/>
      <c r="X24" s="16"/>
      <c r="Y24" s="16"/>
      <c r="Z24" s="16"/>
      <c r="AA24" s="16"/>
    </row>
    <row r="25" spans="1:258" s="10" customFormat="1" ht="18.75">
      <c r="A25" s="19" t="s">
        <v>36</v>
      </c>
      <c r="B25" s="31">
        <v>9028.3429649999998</v>
      </c>
      <c r="C25" s="32">
        <v>10432.388282</v>
      </c>
      <c r="D25" s="31">
        <v>10483.585333000001</v>
      </c>
      <c r="E25" s="31">
        <v>11488.839484</v>
      </c>
      <c r="F25" s="31">
        <v>13526.464507000001</v>
      </c>
      <c r="G25" s="31">
        <v>13892.434722999998</v>
      </c>
      <c r="H25" s="31">
        <v>17516.209221000001</v>
      </c>
      <c r="I25" s="31">
        <v>21623.477435000001</v>
      </c>
      <c r="J25" s="52">
        <v>23423.828703160001</v>
      </c>
      <c r="K25" s="52">
        <v>21767.820162</v>
      </c>
      <c r="L25" s="52">
        <v>23332.167303999999</v>
      </c>
      <c r="M25" s="64">
        <v>27413286167</v>
      </c>
      <c r="N25" s="65">
        <v>27942272535</v>
      </c>
      <c r="O25" s="80">
        <v>29429451513</v>
      </c>
      <c r="P25" s="65">
        <v>38006877288</v>
      </c>
      <c r="Q25" s="65">
        <v>32336517450</v>
      </c>
      <c r="R25" s="54" t="s">
        <v>63</v>
      </c>
      <c r="S25" s="48"/>
      <c r="U25" s="17"/>
      <c r="V25" s="17"/>
      <c r="W25" s="17"/>
      <c r="X25" s="17"/>
      <c r="Y25" s="17"/>
      <c r="Z25" s="17"/>
      <c r="AA25" s="17"/>
    </row>
    <row r="26" spans="1:258" s="10" customFormat="1" ht="18.75">
      <c r="A26" s="19" t="s">
        <v>37</v>
      </c>
      <c r="B26" s="31">
        <v>58.229534999999998</v>
      </c>
      <c r="C26" s="32">
        <v>57.178566000000004</v>
      </c>
      <c r="D26" s="31">
        <v>0</v>
      </c>
      <c r="E26" s="31">
        <v>60.209864000000003</v>
      </c>
      <c r="F26" s="31">
        <v>89.611200999999994</v>
      </c>
      <c r="G26" s="31">
        <v>103.50774728999973</v>
      </c>
      <c r="H26" s="31">
        <v>98.288548000000006</v>
      </c>
      <c r="I26" s="31">
        <v>144.219314</v>
      </c>
      <c r="J26" s="52">
        <v>156.773833</v>
      </c>
      <c r="K26" s="52">
        <v>175.165954</v>
      </c>
      <c r="L26" s="52">
        <v>210.90738200000001</v>
      </c>
      <c r="M26" s="64">
        <v>522936134</v>
      </c>
      <c r="N26" s="65">
        <v>2422477152</v>
      </c>
      <c r="O26" s="80">
        <v>726828034</v>
      </c>
      <c r="P26" s="65">
        <v>1131632528</v>
      </c>
      <c r="Q26" s="65">
        <v>715579161</v>
      </c>
      <c r="R26" s="54" t="s">
        <v>64</v>
      </c>
      <c r="S26" s="48"/>
      <c r="U26" s="9"/>
      <c r="V26" s="9"/>
      <c r="W26" s="9"/>
      <c r="X26" s="9"/>
      <c r="Y26" s="9"/>
      <c r="Z26" s="9"/>
      <c r="AA26" s="9"/>
    </row>
    <row r="27" spans="1:258" s="10" customFormat="1" ht="18.75" hidden="1" customHeight="1">
      <c r="A27" s="19" t="s">
        <v>38</v>
      </c>
      <c r="B27" s="31">
        <v>7.9</v>
      </c>
      <c r="C27" s="32">
        <v>25.029731999999999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52">
        <v>0</v>
      </c>
      <c r="K27" s="52">
        <v>0</v>
      </c>
      <c r="L27" s="52">
        <v>0</v>
      </c>
      <c r="M27" s="64">
        <v>0</v>
      </c>
      <c r="N27" s="65"/>
      <c r="O27" s="80">
        <v>0</v>
      </c>
      <c r="P27" s="65"/>
      <c r="Q27" s="65" t="s">
        <v>39</v>
      </c>
      <c r="R27" s="54" t="s">
        <v>39</v>
      </c>
      <c r="S27" s="48"/>
      <c r="U27" s="16"/>
      <c r="V27" s="16"/>
      <c r="W27" s="16"/>
      <c r="X27" s="16"/>
      <c r="Y27" s="16"/>
      <c r="Z27" s="16"/>
      <c r="AA27" s="16"/>
    </row>
    <row r="28" spans="1:258" s="10" customFormat="1" ht="18.75">
      <c r="A28" s="19" t="s">
        <v>15</v>
      </c>
      <c r="B28" s="31">
        <v>47.299860000000002</v>
      </c>
      <c r="C28" s="32">
        <v>52.923622000000002</v>
      </c>
      <c r="D28" s="31">
        <v>0</v>
      </c>
      <c r="E28" s="31">
        <v>298.51770399999998</v>
      </c>
      <c r="F28" s="31">
        <v>68.353718999999998</v>
      </c>
      <c r="G28" s="31">
        <v>40.923633199999962</v>
      </c>
      <c r="H28" s="31">
        <v>53.993991000000001</v>
      </c>
      <c r="I28" s="31">
        <v>101.27973655999992</v>
      </c>
      <c r="J28" s="52">
        <v>61.587861529999991</v>
      </c>
      <c r="K28" s="52">
        <v>28.152531</v>
      </c>
      <c r="L28" s="52">
        <v>21.601106000000001</v>
      </c>
      <c r="M28" s="64">
        <v>37674425</v>
      </c>
      <c r="N28" s="65">
        <v>21771591</v>
      </c>
      <c r="O28" s="80">
        <v>24616052</v>
      </c>
      <c r="P28" s="65">
        <v>21958360</v>
      </c>
      <c r="Q28" s="65">
        <v>21958360</v>
      </c>
      <c r="R28" s="54" t="s">
        <v>65</v>
      </c>
      <c r="S28" s="49"/>
      <c r="U28" s="17"/>
      <c r="V28" s="17"/>
      <c r="W28" s="17"/>
      <c r="X28" s="17"/>
      <c r="Y28" s="17"/>
      <c r="Z28" s="17"/>
      <c r="AA28" s="17"/>
    </row>
    <row r="29" spans="1:258" s="10" customFormat="1" ht="18.75" hidden="1">
      <c r="A29" s="19" t="s">
        <v>16</v>
      </c>
      <c r="B29" s="31">
        <v>382.499235</v>
      </c>
      <c r="C29" s="32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52">
        <v>0</v>
      </c>
      <c r="K29" s="52">
        <v>0</v>
      </c>
      <c r="L29" s="52">
        <v>0</v>
      </c>
      <c r="M29" s="64">
        <v>0</v>
      </c>
      <c r="N29" s="65"/>
      <c r="O29" s="80">
        <v>0</v>
      </c>
      <c r="P29" s="65"/>
      <c r="Q29" s="65" t="s">
        <v>40</v>
      </c>
      <c r="R29" s="24" t="s">
        <v>40</v>
      </c>
      <c r="S29" s="49"/>
      <c r="U29" s="9"/>
      <c r="V29" s="9"/>
      <c r="W29" s="9"/>
      <c r="X29" s="9"/>
      <c r="Y29" s="9"/>
      <c r="Z29" s="9"/>
      <c r="AA29" s="9"/>
    </row>
    <row r="30" spans="1:258" s="17" customFormat="1" ht="18.75">
      <c r="A30" s="33" t="s">
        <v>41</v>
      </c>
      <c r="B30" s="32">
        <v>461.42420499999997</v>
      </c>
      <c r="C30" s="32">
        <v>368.59220499999998</v>
      </c>
      <c r="D30" s="32">
        <v>106.900358</v>
      </c>
      <c r="E30" s="32">
        <v>414.07133499999998</v>
      </c>
      <c r="F30" s="31">
        <v>222.38928999999999</v>
      </c>
      <c r="G30" s="31">
        <v>74.405078000000003</v>
      </c>
      <c r="H30" s="31">
        <v>101.40112999999999</v>
      </c>
      <c r="I30" s="31">
        <v>150.49885417000002</v>
      </c>
      <c r="J30" s="52">
        <v>173.18953770999997</v>
      </c>
      <c r="K30" s="52">
        <v>267.00996099999998</v>
      </c>
      <c r="L30" s="52">
        <v>326.26511499999998</v>
      </c>
      <c r="M30" s="64">
        <v>233517893</v>
      </c>
      <c r="N30" s="65">
        <v>561207524</v>
      </c>
      <c r="O30" s="80">
        <v>669489752</v>
      </c>
      <c r="P30" s="65">
        <v>701240405</v>
      </c>
      <c r="Q30" s="65">
        <v>608510954</v>
      </c>
      <c r="R30" s="55" t="s">
        <v>66</v>
      </c>
      <c r="S30" s="49"/>
      <c r="U30" s="16"/>
      <c r="V30" s="16"/>
      <c r="W30" s="16"/>
      <c r="X30" s="16"/>
      <c r="Y30" s="16"/>
      <c r="Z30" s="16"/>
      <c r="AA30" s="16"/>
    </row>
    <row r="31" spans="1:258" s="10" customFormat="1" ht="18.75">
      <c r="A31" s="33" t="s">
        <v>42</v>
      </c>
      <c r="B31" s="32">
        <v>755.10795499999995</v>
      </c>
      <c r="C31" s="32">
        <v>778.84185600000001</v>
      </c>
      <c r="D31" s="32">
        <v>1283.0210480000001</v>
      </c>
      <c r="E31" s="32">
        <v>1398.4178939999999</v>
      </c>
      <c r="F31" s="32">
        <v>1145.858207</v>
      </c>
      <c r="G31" s="32">
        <v>1187.19235</v>
      </c>
      <c r="H31" s="32">
        <v>188.39416600000001</v>
      </c>
      <c r="I31" s="32">
        <v>648.39113917999998</v>
      </c>
      <c r="J31" s="52">
        <v>2987.2736873199997</v>
      </c>
      <c r="K31" s="52">
        <v>2712.936905</v>
      </c>
      <c r="L31" s="52">
        <v>4274.3906939999997</v>
      </c>
      <c r="M31" s="64">
        <v>1920802003</v>
      </c>
      <c r="N31" s="65">
        <v>839406322</v>
      </c>
      <c r="O31" s="80">
        <v>4042901796</v>
      </c>
      <c r="P31" s="65">
        <v>5078208321</v>
      </c>
      <c r="Q31" s="65">
        <v>7131210576</v>
      </c>
      <c r="R31" s="54" t="s">
        <v>67</v>
      </c>
      <c r="S31" s="49"/>
      <c r="U31" s="17"/>
      <c r="V31" s="17"/>
      <c r="W31" s="17"/>
      <c r="X31" s="17"/>
      <c r="Y31" s="17"/>
      <c r="Z31" s="17"/>
      <c r="AA31" s="17"/>
    </row>
    <row r="32" spans="1:258" s="17" customFormat="1" ht="10.5" hidden="1" customHeight="1">
      <c r="A32" s="33" t="s">
        <v>43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67">
        <v>0</v>
      </c>
      <c r="N32" s="67"/>
      <c r="O32" s="81">
        <v>0</v>
      </c>
      <c r="P32" s="67"/>
      <c r="Q32" s="67" t="s">
        <v>44</v>
      </c>
      <c r="R32" s="60" t="s">
        <v>44</v>
      </c>
      <c r="S32" s="49"/>
      <c r="U32" s="41"/>
      <c r="V32" s="41"/>
      <c r="W32" s="41"/>
      <c r="X32" s="41"/>
      <c r="Y32" s="41"/>
      <c r="Z32" s="41"/>
      <c r="AA32" s="41"/>
    </row>
    <row r="33" spans="1:19" s="17" customFormat="1" ht="18.75">
      <c r="A33" s="35" t="s">
        <v>45</v>
      </c>
      <c r="B33" s="36">
        <v>0</v>
      </c>
      <c r="C33" s="36">
        <v>0</v>
      </c>
      <c r="D33" s="37">
        <v>0</v>
      </c>
      <c r="E33" s="37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70">
        <v>0</v>
      </c>
      <c r="N33" s="70">
        <v>0</v>
      </c>
      <c r="O33" s="84">
        <v>29429452</v>
      </c>
      <c r="P33" s="70">
        <v>38006877</v>
      </c>
      <c r="Q33" s="70">
        <v>32336517</v>
      </c>
      <c r="R33" s="56" t="s">
        <v>68</v>
      </c>
      <c r="S33" s="50"/>
    </row>
    <row r="34" spans="1:19" s="10" customFormat="1" ht="18.75">
      <c r="A34" s="38" t="s">
        <v>46</v>
      </c>
      <c r="B34" s="11"/>
      <c r="C34" s="11"/>
      <c r="N34" s="61"/>
      <c r="R34" s="24" t="s">
        <v>47</v>
      </c>
      <c r="S34" s="39" t="s">
        <v>48</v>
      </c>
    </row>
    <row r="35" spans="1:19" s="10" customFormat="1" ht="18.75">
      <c r="A35" s="38" t="s">
        <v>49</v>
      </c>
      <c r="B35" s="11"/>
      <c r="C35" s="11"/>
      <c r="R35" s="24" t="s">
        <v>50</v>
      </c>
      <c r="S35" s="39" t="s">
        <v>51</v>
      </c>
    </row>
    <row r="36" spans="1:19" s="10" customFormat="1" ht="18.75">
      <c r="A36" s="38" t="s">
        <v>52</v>
      </c>
      <c r="B36" s="11"/>
      <c r="C36" s="11"/>
      <c r="D36" s="40"/>
      <c r="E36" s="40"/>
      <c r="F36" s="40"/>
      <c r="G36" s="40"/>
      <c r="H36" s="40"/>
      <c r="I36" s="40"/>
      <c r="J36" s="40"/>
      <c r="K36" s="40"/>
      <c r="L36" s="40"/>
      <c r="M36" s="40"/>
      <c r="O36" s="40"/>
      <c r="P36" s="40"/>
      <c r="Q36" s="40"/>
      <c r="R36" s="24" t="s">
        <v>53</v>
      </c>
      <c r="S36" s="39" t="s">
        <v>54</v>
      </c>
    </row>
    <row r="37" spans="1:19" s="10" customFormat="1" ht="13.5">
      <c r="A37" s="38" t="s">
        <v>69</v>
      </c>
      <c r="B37" s="11"/>
      <c r="C37" s="11"/>
      <c r="R37" s="21"/>
      <c r="S37" s="57" t="s">
        <v>55</v>
      </c>
    </row>
    <row r="38" spans="1:19" s="10" customFormat="1">
      <c r="R38" s="4"/>
    </row>
    <row r="41" spans="1:19" ht="36.75" customHeight="1"/>
    <row r="42" spans="1:19" ht="15">
      <c r="H42" s="45"/>
      <c r="I42" s="42"/>
      <c r="J42" s="42"/>
      <c r="K42" s="42"/>
      <c r="L42" s="42"/>
      <c r="M42" s="42"/>
      <c r="N42" s="42"/>
      <c r="O42" s="42"/>
      <c r="P42" s="42"/>
      <c r="Q42" s="42"/>
      <c r="R42" s="42"/>
    </row>
    <row r="43" spans="1:19" ht="15">
      <c r="H43" s="45"/>
      <c r="I43" s="42"/>
      <c r="J43" s="42"/>
      <c r="K43" s="42"/>
      <c r="L43" s="42"/>
      <c r="M43" s="42"/>
      <c r="N43" s="42"/>
      <c r="O43" s="42"/>
      <c r="P43" s="42"/>
      <c r="Q43" s="42"/>
      <c r="R43" s="42"/>
    </row>
    <row r="44" spans="1:19"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</row>
  </sheetData>
  <mergeCells count="6">
    <mergeCell ref="A1:S1"/>
    <mergeCell ref="A2:S2"/>
    <mergeCell ref="A3:R3"/>
    <mergeCell ref="A4:R4"/>
    <mergeCell ref="A5:A7"/>
    <mergeCell ref="R5:R7"/>
  </mergeCells>
  <pageMargins left="0.18" right="0.16" top="0.75" bottom="0.75" header="0.3" footer="0.3"/>
  <pageSetup paperSize="9" scale="59" orientation="landscape" horizontalDpi="4294967295" verticalDpi="4294967295" r:id="rId1"/>
  <colBreaks count="1" manualBreakCount="1">
    <brk id="19" max="1048575" man="1"/>
  </colBreaks>
  <customProperties>
    <customPr name="EpmWorksheetKeyString_GUID" r:id="rId2"/>
  </customProperties>
  <ignoredErrors>
    <ignoredError sqref="K22 G22:J22 F22:F23 B21:E23 G23:I23" unlockedFormula="1"/>
  </ignoredError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</vt:lpstr>
      <vt:lpstr>'13.1'!Print_Area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2021-06-13T03:32:07Z</cp:lastPrinted>
  <dcterms:created xsi:type="dcterms:W3CDTF">2014-03-06T08:38:12Z</dcterms:created>
  <dcterms:modified xsi:type="dcterms:W3CDTF">2021-06-13T03:32:57Z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