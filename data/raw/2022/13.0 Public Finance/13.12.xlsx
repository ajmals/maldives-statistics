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ublic Finance\"/>
    </mc:Choice>
  </mc:AlternateContent>
  <xr:revisionPtr revIDLastSave="0" documentId="13_ncr:1_{46CE780B-1E91-4E3F-AA17-37E8934BED71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12" sheetId="33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'13.12'!$A$1:$Q$79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33" l="1"/>
  <c r="M7" i="33"/>
  <c r="O7" i="33"/>
  <c r="O66" i="33" l="1"/>
  <c r="O65" i="33"/>
  <c r="O64" i="33"/>
  <c r="O62" i="33"/>
  <c r="O61" i="33"/>
  <c r="O60" i="33"/>
  <c r="O59" i="33"/>
  <c r="O58" i="33"/>
  <c r="O57" i="33"/>
  <c r="O56" i="33"/>
  <c r="O55" i="33"/>
  <c r="O52" i="33"/>
  <c r="O51" i="33"/>
  <c r="O49" i="33"/>
  <c r="O48" i="33"/>
  <c r="O47" i="33"/>
  <c r="O45" i="33"/>
  <c r="O44" i="33"/>
  <c r="O43" i="33"/>
  <c r="O42" i="33"/>
  <c r="O41" i="33"/>
  <c r="O40" i="33"/>
  <c r="O39" i="33"/>
  <c r="O37" i="33"/>
  <c r="O36" i="33"/>
  <c r="O35" i="33"/>
  <c r="O33" i="33"/>
  <c r="O32" i="33"/>
  <c r="O30" i="33"/>
  <c r="O29" i="33"/>
  <c r="O28" i="33"/>
  <c r="O27" i="33"/>
  <c r="O24" i="33"/>
  <c r="O22" i="33"/>
  <c r="O21" i="33"/>
  <c r="O20" i="33"/>
  <c r="O19" i="33"/>
  <c r="O18" i="33"/>
  <c r="O16" i="33"/>
  <c r="O15" i="33"/>
  <c r="O14" i="33"/>
  <c r="O11" i="33"/>
  <c r="O10" i="33"/>
  <c r="O9" i="33"/>
  <c r="O8" i="33"/>
  <c r="E7" i="33"/>
  <c r="M69" i="33" s="1"/>
  <c r="D7" i="33"/>
  <c r="L68" i="33" s="1"/>
  <c r="C7" i="33"/>
  <c r="K67" i="33" s="1"/>
  <c r="B7" i="33"/>
  <c r="J67" i="33" s="1"/>
  <c r="I11" i="33"/>
  <c r="H67" i="33"/>
  <c r="G11" i="33"/>
  <c r="L17" i="33" l="1"/>
  <c r="L34" i="33"/>
  <c r="J10" i="33"/>
  <c r="L43" i="33"/>
  <c r="L51" i="33"/>
  <c r="L38" i="33"/>
  <c r="L46" i="33"/>
  <c r="L27" i="33"/>
  <c r="L39" i="33"/>
  <c r="L66" i="33"/>
  <c r="L54" i="33"/>
  <c r="L13" i="33"/>
  <c r="L21" i="33"/>
  <c r="L35" i="33"/>
  <c r="J8" i="33"/>
  <c r="L30" i="33"/>
  <c r="L55" i="33"/>
  <c r="L62" i="33"/>
  <c r="L50" i="33"/>
  <c r="H10" i="33"/>
  <c r="L22" i="33"/>
  <c r="L67" i="33"/>
  <c r="L18" i="33"/>
  <c r="L26" i="33"/>
  <c r="L31" i="33"/>
  <c r="L42" i="33"/>
  <c r="L47" i="33"/>
  <c r="L58" i="33"/>
  <c r="L63" i="33"/>
  <c r="H8" i="33"/>
  <c r="L59" i="33"/>
  <c r="L19" i="33"/>
  <c r="L23" i="33"/>
  <c r="L28" i="33"/>
  <c r="L32" i="33"/>
  <c r="L36" i="33"/>
  <c r="L40" i="33"/>
  <c r="L44" i="33"/>
  <c r="L48" i="33"/>
  <c r="L52" i="33"/>
  <c r="L56" i="33"/>
  <c r="L60" i="33"/>
  <c r="L64" i="33"/>
  <c r="M68" i="33"/>
  <c r="H9" i="33"/>
  <c r="H11" i="33"/>
  <c r="L15" i="33"/>
  <c r="L24" i="33"/>
  <c r="L8" i="33"/>
  <c r="L10" i="33"/>
  <c r="L14" i="33"/>
  <c r="J9" i="33"/>
  <c r="J11" i="33"/>
  <c r="L20" i="33"/>
  <c r="L29" i="33"/>
  <c r="L33" i="33"/>
  <c r="L37" i="33"/>
  <c r="L41" i="33"/>
  <c r="L45" i="33"/>
  <c r="L49" i="33"/>
  <c r="L53" i="33"/>
  <c r="L57" i="33"/>
  <c r="L61" i="33"/>
  <c r="L65" i="33"/>
  <c r="L9" i="33"/>
  <c r="L11" i="33"/>
  <c r="L16" i="33"/>
  <c r="L25" i="33"/>
  <c r="K8" i="33"/>
  <c r="K9" i="33"/>
  <c r="K10" i="33"/>
  <c r="K11" i="33"/>
  <c r="M1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39" i="33"/>
  <c r="M40" i="33"/>
  <c r="M41" i="33"/>
  <c r="M42" i="33"/>
  <c r="M43" i="33"/>
  <c r="M44" i="33"/>
  <c r="M45" i="33"/>
  <c r="M46" i="33"/>
  <c r="M47" i="33"/>
  <c r="M48" i="33"/>
  <c r="M49" i="33"/>
  <c r="M50" i="33"/>
  <c r="M51" i="33"/>
  <c r="M52" i="33"/>
  <c r="M53" i="33"/>
  <c r="M54" i="33"/>
  <c r="M55" i="33"/>
  <c r="M56" i="33"/>
  <c r="M57" i="33"/>
  <c r="M58" i="33"/>
  <c r="M59" i="33"/>
  <c r="M60" i="33"/>
  <c r="M61" i="33"/>
  <c r="M62" i="33"/>
  <c r="M63" i="33"/>
  <c r="M64" i="33"/>
  <c r="M65" i="33"/>
  <c r="M66" i="33"/>
  <c r="M67" i="33"/>
  <c r="H70" i="33"/>
  <c r="H69" i="33"/>
  <c r="I70" i="33"/>
  <c r="M8" i="33"/>
  <c r="M9" i="33"/>
  <c r="M10" i="33"/>
  <c r="M11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H68" i="33"/>
  <c r="I69" i="33"/>
  <c r="J70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I68" i="33"/>
  <c r="J69" i="33"/>
  <c r="K70" i="33"/>
  <c r="G8" i="33"/>
  <c r="G9" i="33"/>
  <c r="G10" i="33"/>
  <c r="L12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J68" i="33"/>
  <c r="K69" i="33"/>
  <c r="L70" i="33"/>
  <c r="M12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J43" i="33"/>
  <c r="J44" i="33"/>
  <c r="J45" i="33"/>
  <c r="J46" i="33"/>
  <c r="J47" i="33"/>
  <c r="J48" i="33"/>
  <c r="J49" i="33"/>
  <c r="J50" i="33"/>
  <c r="J51" i="33"/>
  <c r="J52" i="33"/>
  <c r="J53" i="33"/>
  <c r="J54" i="33"/>
  <c r="J55" i="33"/>
  <c r="J56" i="33"/>
  <c r="J57" i="33"/>
  <c r="J58" i="33"/>
  <c r="J59" i="33"/>
  <c r="J60" i="33"/>
  <c r="J61" i="33"/>
  <c r="J62" i="33"/>
  <c r="J63" i="33"/>
  <c r="J64" i="33"/>
  <c r="J65" i="33"/>
  <c r="J66" i="33"/>
  <c r="K68" i="33"/>
  <c r="L69" i="33"/>
  <c r="M70" i="33"/>
  <c r="I8" i="33"/>
  <c r="I9" i="33"/>
  <c r="I10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K42" i="33"/>
  <c r="K43" i="33"/>
  <c r="K44" i="33"/>
  <c r="K45" i="33"/>
  <c r="K46" i="33"/>
  <c r="K47" i="33"/>
  <c r="K48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G7" i="33" l="1"/>
  <c r="H7" i="33"/>
  <c r="K7" i="33"/>
  <c r="I7" i="33"/>
  <c r="J7" i="33"/>
</calcChain>
</file>

<file path=xl/sharedStrings.xml><?xml version="1.0" encoding="utf-8"?>
<sst xmlns="http://schemas.openxmlformats.org/spreadsheetml/2006/main" count="165" uniqueCount="149">
  <si>
    <t xml:space="preserve">މުދަލާއި ޚިދުމަތުން ނެގޭ ޓެކްސް     </t>
  </si>
  <si>
    <t>ބިޒްނަސް ޕްރޮފިޓް ޓެކްސް</t>
  </si>
  <si>
    <t>ގްރީން ޓެކްސް</t>
  </si>
  <si>
    <t>Description</t>
  </si>
  <si>
    <t>Revenue collected (MVR)</t>
  </si>
  <si>
    <t>ތަފްސީލު</t>
  </si>
  <si>
    <t>ލިބުނު އާމްދަނީ (ރުފިޔާއިން)</t>
  </si>
  <si>
    <t>2019*</t>
  </si>
  <si>
    <t>އެއަރޕޯޓް ސަރވިސް ޗާޖް</t>
  </si>
  <si>
    <t>Airport Development Fee***</t>
  </si>
  <si>
    <t>އެއަރޕޯޓް ޑިވެލޮޕްމަންޓް ފީ</t>
  </si>
  <si>
    <t xml:space="preserve">Business Profit Tax/ Income Tax - Companies and Non-Individuals
</t>
  </si>
  <si>
    <t>އަމިއްލަ ފަރުދުންގެ އާމްދަނީން ނެގޭ ޓެކްސް</t>
  </si>
  <si>
    <t>ޓްރާންސްޕޯޓް އޮޕްރޭޓަރގެ އާމްދަނީން ނެގޭ ޓެކްސް</t>
  </si>
  <si>
    <t>Construction Period Extension Fee***</t>
  </si>
  <si>
    <t>Corporate Social Responsibility Fee***</t>
  </si>
  <si>
    <t>ޖޫރިމަނާ</t>
  </si>
  <si>
    <t>Green Tax</t>
  </si>
  <si>
    <t>Remittance Tax**</t>
  </si>
  <si>
    <t>ރެމިޓެންސް ޓެކްސް</t>
  </si>
  <si>
    <t>Land Acquisition and Conversion Fee</t>
  </si>
  <si>
    <t>ބިން ވިއްކުމާއި ބިން ބަދަލުކުރުމުގެ ފީ</t>
  </si>
  <si>
    <t>ބިން ވިއްކުމަށް ނެގޭ ޓެކްސް</t>
  </si>
  <si>
    <t>ކުލީގެ މުއްދަތު އިތުރުކުރުން</t>
  </si>
  <si>
    <t>Ownership Transfer Tax***</t>
  </si>
  <si>
    <t>އޯނަރޝިޕް ޓްރާންސްފަރ ޓެކްސް</t>
  </si>
  <si>
    <t>ރެވެނިއު ސްޓޭމްޕް</t>
  </si>
  <si>
    <t>ޓޫރިޒަމް އެޑްމިނިސްޓްރޭޝަން ފީ</t>
  </si>
  <si>
    <t>އެހެނިހެން</t>
  </si>
  <si>
    <t>Total</t>
  </si>
  <si>
    <t>ޖުމްލަ</t>
  </si>
  <si>
    <t>Source: Maldives Inland Revenue Authority</t>
  </si>
  <si>
    <t>2019*: 2019 Figures revised as per Internal Audit reconciliation on 31s March 2020</t>
  </si>
  <si>
    <t>2020 Figures reconciled as of 11.02.2021</t>
  </si>
  <si>
    <t>Percentage  shares</t>
  </si>
  <si>
    <t xml:space="preserve">ބެހިފައިވާ ގޮތް ސައްތައިން </t>
  </si>
  <si>
    <t>Airport Service Charge</t>
  </si>
  <si>
    <t>Bank Profit Tax</t>
  </si>
  <si>
    <t>ބެންކް ފައިދާގެ ޓެކްސް</t>
  </si>
  <si>
    <t>Commercial Land Rent</t>
  </si>
  <si>
    <t>ވިޔަފާރިކުރުމަށް ދޫކުރެވިފައިވާ ބިންބިމުގެ ކުލި</t>
  </si>
  <si>
    <t>Company Annual Fee</t>
  </si>
  <si>
    <t>ކުންފުނިތަކުގެ އަހަރީ ފީ</t>
  </si>
  <si>
    <t>Company Registration Fee</t>
  </si>
  <si>
    <t>ކުންފުނި ރަޖިސްޓްރީ ކުރުމުގެ ފީ</t>
  </si>
  <si>
    <t>ކޮންސްޓްރަކްޝަން ޕީރިއަޑް އެކްސްޓެންޝަން ފީ</t>
  </si>
  <si>
    <t>ކޯޕަރޭޓް ސޯޝަލް ރެސްޕޮންސިބިލިޓީ ފީ</t>
  </si>
  <si>
    <t>Co-operative Society Annual Fee</t>
  </si>
  <si>
    <t>ކޯޕަރޭޓިވް ސޮސައިޓީ އަހަރީ ފީ</t>
  </si>
  <si>
    <t>Co-operative Society Registration Fee</t>
  </si>
  <si>
    <t>ކޯޕަރޭޓިވް ސޮސައިޓީ ރެޖިސްޓްރޭޝަން ފީ</t>
  </si>
  <si>
    <t>Duty Free Royalty</t>
  </si>
  <si>
    <t>ޑިއުޓީ ފްރީ ޝޮޕްގެ ރޯޔަލްޓީ</t>
  </si>
  <si>
    <t>Fines</t>
  </si>
  <si>
    <t>Fishing Royalty</t>
  </si>
  <si>
    <t>މަސްވެރިކަމުގެ ރޯޔަލްޓީ</t>
  </si>
  <si>
    <t>Flat Maintenance Fee</t>
  </si>
  <si>
    <t>ފްލެޓް ބެލެހެއްޓުމުގެ އަގު</t>
  </si>
  <si>
    <t>Foreign Business Fee</t>
  </si>
  <si>
    <t>ބިދޭސީން ވިޔަފާރި ކުރުމުގެ ހުއްދަ</t>
  </si>
  <si>
    <t>Foreign Investment Administration Annual Fee</t>
  </si>
  <si>
    <t>ފޮރިން އިންވެސްޓްމަންޓް އެޑްމިނިސްޓްރޭޝަން ފީ</t>
  </si>
  <si>
    <t>Foreign Investment Royalty</t>
  </si>
  <si>
    <t>ބިދޭސީން ކުރާ ވިޔަފާރިގެ ރޯޔަލްޓީ</t>
  </si>
  <si>
    <t>Fuel Re-Export Royalty</t>
  </si>
  <si>
    <t>ފިއުލް ރީއެކްސްޕޯޓް ރޯޔަލްޓީ</t>
  </si>
  <si>
    <t>Goods and Services Tax</t>
  </si>
  <si>
    <t>Government Buildings Rent</t>
  </si>
  <si>
    <t>ސަރުކާރުގެ އިމާރާތުގެ ކުލި</t>
  </si>
  <si>
    <t>Import Trade Fee</t>
  </si>
  <si>
    <t>އިމްޕޯޓް ވިޔަފާރި ފީ</t>
  </si>
  <si>
    <t>Land Sales Tax</t>
  </si>
  <si>
    <t>Lease Period Extension Fee</t>
  </si>
  <si>
    <t>Long-Term Agricultural Leased Islands Rent</t>
  </si>
  <si>
    <t>ދަނޑުވެރިކަމަށް ދޫކުރެވިފައިވާ ރަށްރަށުގެ ކުލި</t>
  </si>
  <si>
    <t>Partnership Annual Fee</t>
  </si>
  <si>
    <t>ޕާޓްނާޝިޕް އަހަރީ ފީ</t>
  </si>
  <si>
    <t>Partnership Registration Fee</t>
  </si>
  <si>
    <t>ޕާޓްނާޝިޕް ރަޖިސްޓްރީކުރުމުގެ ފީ</t>
  </si>
  <si>
    <t>Re-Export Royalty</t>
  </si>
  <si>
    <t>ރީއެކްސްޕޯޓް ރޯޔަލްޓީ</t>
  </si>
  <si>
    <t>Rent from Floating Jetty</t>
  </si>
  <si>
    <t>ފްލޯޓިންގ ޖެޓީގެ ކުލި</t>
  </si>
  <si>
    <t>Rent from Land for Industry</t>
  </si>
  <si>
    <t>ސިނާޢީ މަސައްކަތްތަކަށް ދޫކުރެވިފައިވާ ބިމުގެ ކުލި</t>
  </si>
  <si>
    <t>Sale of Pass</t>
  </si>
  <si>
    <t>Resident Permit</t>
  </si>
  <si>
    <t>ރެސިޑެންޓް ޕާރމިޓް</t>
  </si>
  <si>
    <t>Restaurant, Café, Canteen Fee</t>
  </si>
  <si>
    <t>ރެސްޓޯރަންޓް، ކެފޭ އަދި ކެންޓީންތަކުގެ ވިޔަފާރި ފީ</t>
  </si>
  <si>
    <t>Revenue Stamp</t>
  </si>
  <si>
    <t>Sale of Government Buildings</t>
  </si>
  <si>
    <t>ސަރުކާރުގެ އިމާރާތް ވިއްކި</t>
  </si>
  <si>
    <t>Sale of Government Land</t>
  </si>
  <si>
    <t>ސަރުކާރުގެ ބިން ވިއްކި</t>
  </si>
  <si>
    <t>Sale of Items at Auction</t>
  </si>
  <si>
    <t>ނީލަމުގައި ތަކެތި ވިއްކައިގެން ލިބޭ</t>
  </si>
  <si>
    <t>Skipjack Industry Royalty</t>
  </si>
  <si>
    <t>މަސް އެކްސްޕޯޓް ކުރުމުގެ ރޯޔަލްޓީ</t>
  </si>
  <si>
    <t>Sole Traders Registration Fee</t>
  </si>
  <si>
    <t>އަމިއްލަ ފަރުދުންގެ ވިޔަފާރި ރަޖިސްޓަރީ ފީ</t>
  </si>
  <si>
    <t>Tourism Administration Fee</t>
  </si>
  <si>
    <t xml:space="preserve"> </t>
  </si>
  <si>
    <t>Tourism Land Rent</t>
  </si>
  <si>
    <t>ޓުއަރިޒަމްއަށް ދޫކުރެވިފައިވާ ބިމުގެ ކުލި</t>
  </si>
  <si>
    <t>Tourism Tax</t>
  </si>
  <si>
    <t>ޓުއަރިޒަމް ޓެކްސް</t>
  </si>
  <si>
    <t>Trade Registry Fee</t>
  </si>
  <si>
    <t>ޓްރޭޑް ރަޖިސްޓްރީ ފީ</t>
  </si>
  <si>
    <t>Uninhabited Islands Administration Fee</t>
  </si>
  <si>
    <t xml:space="preserve">ފަޅުރަށްރަށް ބެލެހެއްޓުމުގެ ފީ    </t>
  </si>
  <si>
    <t>Uninhabited Islands Rent</t>
  </si>
  <si>
    <t>ގޮއިފާލައްބަ، ހިންނަ ފަދަ ތަންތަނުގެ ވަރުވާ</t>
  </si>
  <si>
    <t>Vehicle Fee</t>
  </si>
  <si>
    <t>އެއްގަމު އުޅަނދު ފީ</t>
  </si>
  <si>
    <t>Vessel Fee</t>
  </si>
  <si>
    <t>ކަނޑުގައި ދުއްވާ އުޅަނދު ފީ</t>
  </si>
  <si>
    <t>Yellowfin Tuna Export Royalty</t>
  </si>
  <si>
    <t>ބޮޑު ކަންނެލީގެ އެކްސްޕޯޓް ރޯޔަލްޓީ</t>
  </si>
  <si>
    <t>Dive School Registration Fee***</t>
  </si>
  <si>
    <r>
      <t xml:space="preserve">ޑްރައިވިންގ ސްކޫލް ރެޖިސްޓްރޭޝަން ފީ </t>
    </r>
    <r>
      <rPr>
        <sz val="8"/>
        <rFont val="Faruma"/>
      </rPr>
      <t>***</t>
    </r>
  </si>
  <si>
    <t>Guest House Registration Fee***</t>
  </si>
  <si>
    <r>
      <t xml:space="preserve">ގެސްޓް ހައުސް ރެޖިސްޓްރޭޝަން ފީ </t>
    </r>
    <r>
      <rPr>
        <sz val="8"/>
        <rFont val="Faruma"/>
      </rPr>
      <t>***</t>
    </r>
  </si>
  <si>
    <t>Other Registrations &amp; License Fees***</t>
  </si>
  <si>
    <r>
      <t xml:space="preserve">އެހެނިހެންރެޖިސްޓްރޭޝަން އަދި ލައިސަންސް ފީ </t>
    </r>
    <r>
      <rPr>
        <sz val="8"/>
        <rFont val="Faruma"/>
      </rPr>
      <t>***</t>
    </r>
  </si>
  <si>
    <t>Motor Vehicle and Vessel Registration Fee***</t>
  </si>
  <si>
    <r>
      <t xml:space="preserve">އެއްގަމު އުޅަނދު އަދި ކަނޑުގައި ދުއްވާ އުޅަނދު ރެޖިސްޓްރޭޝަން ފީ </t>
    </r>
    <r>
      <rPr>
        <sz val="8"/>
        <rFont val="Faruma"/>
      </rPr>
      <t>***</t>
    </r>
  </si>
  <si>
    <t>Bank Mortgage Registration Fee***</t>
  </si>
  <si>
    <r>
      <t xml:space="preserve">ބޭންކް މޯގޭޖް ރެޖިސްޓްރޭޝަން ފީ </t>
    </r>
    <r>
      <rPr>
        <sz val="8"/>
        <rFont val="Faruma"/>
      </rPr>
      <t>***</t>
    </r>
  </si>
  <si>
    <t>Sale of Tender Documents***</t>
  </si>
  <si>
    <r>
      <t xml:space="preserve">ސޭލް އޮފް ޓެންޑަރ ޑޮކިއުމަންޓްސް </t>
    </r>
    <r>
      <rPr>
        <sz val="8"/>
        <rFont val="Faruma"/>
      </rPr>
      <t>***</t>
    </r>
  </si>
  <si>
    <t>މަޢުލޫމާތު ދެއްވި ފަރާތް: މޯލްޑިވްސް އިންލަންޑް ރެވެނިއު އޮތޯރިޓީ</t>
  </si>
  <si>
    <t>**Remittance tax added</t>
  </si>
  <si>
    <t>***  Airport Development Fee, Construction Period Extension Fee, Corporate Social Responsibility Fee, Tourism Administration Fee, Ownership Transfer Tax, Dive School Registration Fee, Guest house registration Fee, Ither Registrations &amp; License Fees, Motor Vehicle and Vessel Registration Fee, Bank Mortgage Registration Fee, Sale of Tender Documents added</t>
  </si>
  <si>
    <t xml:space="preserve">Individual Income Tax6
</t>
  </si>
  <si>
    <t>Transport Operator Income7</t>
  </si>
  <si>
    <t>Online Business And Activity Registration Fee ****</t>
  </si>
  <si>
    <t>Others5</t>
  </si>
  <si>
    <r>
      <t xml:space="preserve">އޮންލައިން ބިޒްނަސް އަދި ރެޖިސްޓްރޭޝަން ފީ </t>
    </r>
    <r>
      <rPr>
        <sz val="8"/>
        <rFont val="Faruma"/>
      </rPr>
      <t>****</t>
    </r>
  </si>
  <si>
    <t>2020 އާއި އަޅާބަލާއިރު 2021 ގައި އިތުރުވި މިންވަރު (%)</t>
  </si>
  <si>
    <t>ވޯކް ޕާމިޓް ފީ</t>
  </si>
  <si>
    <t>na</t>
  </si>
  <si>
    <t>Percentage change  over 2020</t>
  </si>
  <si>
    <t>Work permit Fee****</t>
  </si>
  <si>
    <t>****Work Permit Fee, Online Business and Activity Registration Fee and Loan Repayment and National Student Loan added</t>
  </si>
  <si>
    <t>Table 13.13: REVENUE COLLECTED BY DETAILED CATEGORIES,  2019 - 2021</t>
  </si>
  <si>
    <t>ތާވަލު 13.13: ޢާމްދަނީގެ ގޮތުގައި ލިބުނު ފައިސާގެ ތަފްޞީލު،  2019 - 2021</t>
  </si>
  <si>
    <t>(*)</t>
  </si>
  <si>
    <t xml:space="preserve">(*) - Indicates if the percentage change is greater than 100.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</si>
</sst>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5" formatCode="_-* #,##0.00\ _ރ_._-;_-* #,##0.00\ _ރ_.\-;_-* &quot;-&quot;??\ _ރ_._-;_-@_-"/>
    <numFmt numFmtId="167" formatCode="#,##0.0"/>
    <numFmt numFmtId="168" formatCode="0.0"/>
    <numFmt numFmtId="169" formatCode="_-* #,##0.00_-;\-* #,##0.00_-;_-* &quot;-&quot;??_-;_-@_-"/>
    <numFmt numFmtId="170" formatCode="#,##0.00\ ;&quot; (&quot;#,##0.00\);&quot; -&quot;#\ ;@\ "/>
    <numFmt numFmtId="171" formatCode="_(* #,##0_);_(* \(#,##0\);_(* &quot;-&quot;??_);_(@_)"/>
    <numFmt numFmtId="172" formatCode="#,##0_);\-#,##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9"/>
      <name val="Calibri"/>
      <family val="2"/>
      <scheme val="minor"/>
    </font>
    <font>
      <sz val="10"/>
      <name val="Faruma"/>
    </font>
    <font>
      <sz val="9.5"/>
      <name val="Faruma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Calibri"/>
      <family val="2"/>
      <scheme val="minor"/>
    </font>
    <font>
      <sz val="11"/>
      <name val="Faruma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Faruma"/>
    </font>
    <font>
      <sz val="8"/>
      <name val="Faruma"/>
    </font>
    <font>
      <i/>
      <sz val="10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9" fontId="1" fillId="0" borderId="0" applyFont="0" applyFill="0" applyBorder="0" applyAlignment="0" applyProtection="0"/>
    <xf numFmtId="0" fontId="5" fillId="0" borderId="0"/>
    <xf numFmtId="170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8" fontId="10" fillId="0" borderId="0"/>
    <xf numFmtId="4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</cellStyleXfs>
  <cellXfs count="75">
    <xf numFmtId="0" fontId="0" fillId="0" borderId="0" xfId="0"/>
    <xf numFmtId="0" fontId="15" fillId="2" borderId="0" xfId="0" applyFont="1" applyFill="1" applyAlignment="1">
      <alignment vertical="top" wrapText="1"/>
    </xf>
    <xf numFmtId="172" fontId="13" fillId="2" borderId="0" xfId="0" applyNumberFormat="1" applyFont="1" applyFill="1" applyAlignment="1">
      <alignment horizontal="left" vertical="top"/>
    </xf>
    <xf numFmtId="167" fontId="20" fillId="2" borderId="0" xfId="2" applyNumberFormat="1" applyFont="1" applyFill="1" applyAlignment="1">
      <alignment horizontal="right" vertical="center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vertical="center"/>
    </xf>
    <xf numFmtId="172" fontId="23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 wrapText="1"/>
    </xf>
    <xf numFmtId="1" fontId="12" fillId="2" borderId="0" xfId="0" applyNumberFormat="1" applyFont="1" applyFill="1" applyAlignment="1">
      <alignment horizontal="center" vertical="center" wrapText="1"/>
    </xf>
    <xf numFmtId="0" fontId="24" fillId="2" borderId="0" xfId="0" applyFont="1" applyFill="1" applyAlignment="1">
      <alignment vertical="top" wrapText="1"/>
    </xf>
    <xf numFmtId="0" fontId="22" fillId="2" borderId="9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right" vertical="center" wrapText="1"/>
    </xf>
    <xf numFmtId="0" fontId="22" fillId="2" borderId="8" xfId="0" applyFont="1" applyFill="1" applyBorder="1" applyAlignment="1">
      <alignment horizontal="right" vertical="center" wrapText="1"/>
    </xf>
    <xf numFmtId="0" fontId="22" fillId="2" borderId="11" xfId="0" applyFont="1" applyFill="1" applyBorder="1" applyAlignment="1">
      <alignment horizontal="right" vertical="center" wrapText="1"/>
    </xf>
    <xf numFmtId="171" fontId="26" fillId="2" borderId="0" xfId="0" applyNumberFormat="1" applyFont="1" applyFill="1" applyAlignment="1">
      <alignment horizontal="right" vertical="center" wrapText="1"/>
    </xf>
    <xf numFmtId="171" fontId="26" fillId="2" borderId="7" xfId="0" applyNumberFormat="1" applyFont="1" applyFill="1" applyBorder="1" applyAlignment="1">
      <alignment horizontal="right" vertical="center" wrapText="1"/>
    </xf>
    <xf numFmtId="1" fontId="26" fillId="2" borderId="0" xfId="0" applyNumberFormat="1" applyFont="1" applyFill="1" applyAlignment="1">
      <alignment horizontal="right" vertical="center" wrapText="1"/>
    </xf>
    <xf numFmtId="0" fontId="27" fillId="2" borderId="0" xfId="0" applyFont="1" applyFill="1" applyAlignment="1">
      <alignment vertical="top" wrapText="1"/>
    </xf>
    <xf numFmtId="0" fontId="22" fillId="2" borderId="0" xfId="0" applyFont="1" applyFill="1" applyAlignment="1">
      <alignment vertical="top" wrapText="1"/>
    </xf>
    <xf numFmtId="171" fontId="21" fillId="2" borderId="0" xfId="1" applyNumberFormat="1" applyFont="1" applyFill="1" applyBorder="1" applyAlignment="1">
      <alignment horizontal="right" vertical="center" wrapText="1"/>
    </xf>
    <xf numFmtId="171" fontId="21" fillId="2" borderId="7" xfId="1" applyNumberFormat="1" applyFont="1" applyFill="1" applyBorder="1" applyAlignment="1">
      <alignment horizontal="right" vertical="center" wrapText="1"/>
    </xf>
    <xf numFmtId="168" fontId="21" fillId="2" borderId="0" xfId="0" applyNumberFormat="1" applyFont="1" applyFill="1" applyAlignment="1">
      <alignment horizontal="right" vertical="center" wrapText="1"/>
    </xf>
    <xf numFmtId="1" fontId="21" fillId="2" borderId="0" xfId="0" applyNumberFormat="1" applyFont="1" applyFill="1" applyAlignment="1">
      <alignment horizontal="right" vertical="center" wrapText="1"/>
    </xf>
    <xf numFmtId="0" fontId="28" fillId="2" borderId="0" xfId="0" applyFont="1" applyFill="1" applyAlignment="1">
      <alignment vertical="top" wrapText="1"/>
    </xf>
    <xf numFmtId="43" fontId="13" fillId="2" borderId="0" xfId="1" applyFont="1" applyFill="1" applyAlignment="1">
      <alignment horizontal="left" vertical="top"/>
    </xf>
    <xf numFmtId="0" fontId="28" fillId="2" borderId="0" xfId="0" applyFont="1" applyFill="1" applyAlignment="1">
      <alignment vertical="top"/>
    </xf>
    <xf numFmtId="167" fontId="28" fillId="2" borderId="0" xfId="2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 vertical="center"/>
    </xf>
    <xf numFmtId="168" fontId="21" fillId="2" borderId="1" xfId="0" applyNumberFormat="1" applyFont="1" applyFill="1" applyBorder="1" applyAlignment="1">
      <alignment horizontal="right" vertical="center" wrapText="1"/>
    </xf>
    <xf numFmtId="1" fontId="21" fillId="2" borderId="1" xfId="0" applyNumberFormat="1" applyFont="1" applyFill="1" applyBorder="1" applyAlignment="1">
      <alignment horizontal="right" vertical="center" wrapText="1"/>
    </xf>
    <xf numFmtId="0" fontId="28" fillId="2" borderId="1" xfId="0" applyFont="1" applyFill="1" applyBorder="1" applyAlignment="1">
      <alignment vertical="top" wrapText="1"/>
    </xf>
    <xf numFmtId="3" fontId="21" fillId="2" borderId="0" xfId="1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vertical="center"/>
    </xf>
    <xf numFmtId="171" fontId="15" fillId="2" borderId="0" xfId="1" applyNumberFormat="1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left" vertical="center"/>
    </xf>
    <xf numFmtId="1" fontId="26" fillId="2" borderId="7" xfId="0" applyNumberFormat="1" applyFont="1" applyFill="1" applyBorder="1" applyAlignment="1">
      <alignment horizontal="right" vertical="center" wrapText="1"/>
    </xf>
    <xf numFmtId="1" fontId="21" fillId="2" borderId="7" xfId="0" applyNumberFormat="1" applyFont="1" applyFill="1" applyBorder="1" applyAlignment="1">
      <alignment horizontal="right" vertical="center" wrapText="1"/>
    </xf>
    <xf numFmtId="171" fontId="21" fillId="2" borderId="1" xfId="1" applyNumberFormat="1" applyFont="1" applyFill="1" applyBorder="1" applyAlignment="1">
      <alignment horizontal="right" vertical="center" wrapText="1"/>
    </xf>
    <xf numFmtId="1" fontId="21" fillId="2" borderId="8" xfId="0" applyNumberFormat="1" applyFont="1" applyFill="1" applyBorder="1" applyAlignment="1">
      <alignment horizontal="right" vertical="center" wrapText="1"/>
    </xf>
    <xf numFmtId="0" fontId="15" fillId="2" borderId="0" xfId="0" applyFont="1" applyFill="1" applyAlignment="1">
      <alignment vertical="top"/>
    </xf>
    <xf numFmtId="168" fontId="21" fillId="2" borderId="3" xfId="0" applyNumberFormat="1" applyFont="1" applyFill="1" applyBorder="1" applyAlignment="1">
      <alignment horizontal="right" vertical="center" wrapText="1"/>
    </xf>
    <xf numFmtId="168" fontId="21" fillId="2" borderId="4" xfId="0" applyNumberFormat="1" applyFont="1" applyFill="1" applyBorder="1" applyAlignment="1">
      <alignment horizontal="right" vertical="center" wrapText="1"/>
    </xf>
    <xf numFmtId="171" fontId="21" fillId="2" borderId="0" xfId="1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43" fontId="13" fillId="2" borderId="0" xfId="1" applyFont="1" applyFill="1" applyBorder="1" applyAlignment="1">
      <alignment horizontal="left" vertical="top"/>
    </xf>
    <xf numFmtId="168" fontId="13" fillId="2" borderId="0" xfId="1" applyNumberFormat="1" applyFont="1" applyFill="1" applyBorder="1" applyAlignment="1">
      <alignment horizontal="right" vertical="center"/>
    </xf>
    <xf numFmtId="3" fontId="21" fillId="2" borderId="2" xfId="1" applyNumberFormat="1" applyFont="1" applyFill="1" applyBorder="1" applyAlignment="1">
      <alignment horizontal="center" vertical="center" wrapText="1"/>
    </xf>
    <xf numFmtId="171" fontId="21" fillId="2" borderId="8" xfId="1" applyNumberFormat="1" applyFont="1" applyFill="1" applyBorder="1" applyAlignment="1">
      <alignment horizontal="right" vertical="center" wrapText="1"/>
    </xf>
    <xf numFmtId="0" fontId="14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14" fillId="2" borderId="0" xfId="0" applyFont="1" applyFill="1" applyAlignment="1">
      <alignment horizontal="right" vertical="center" wrapText="1"/>
    </xf>
    <xf numFmtId="0" fontId="25" fillId="2" borderId="1" xfId="0" applyFont="1" applyFill="1" applyBorder="1" applyAlignment="1">
      <alignment horizontal="right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 readingOrder="2"/>
    </xf>
    <xf numFmtId="0" fontId="8" fillId="2" borderId="2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vertical="center"/>
    </xf>
    <xf numFmtId="0" fontId="17" fillId="2" borderId="13" xfId="0" applyFont="1" applyFill="1" applyBorder="1" applyAlignment="1">
      <alignment vertical="center"/>
    </xf>
    <xf numFmtId="0" fontId="17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0" fillId="2" borderId="0" xfId="19" applyFont="1" applyFill="1" applyAlignment="1">
      <alignment horizontal="left" vertical="center"/>
    </xf>
  </cellXfs>
  <cellStyles count="20">
    <cellStyle name="Comma" xfId="1" builtinId="3"/>
    <cellStyle name="Comma 2" xfId="6" xr:uid="{00000000-0005-0000-0000-000001000000}"/>
    <cellStyle name="Comma 3" xfId="7" xr:uid="{00000000-0005-0000-0000-000002000000}"/>
    <cellStyle name="Comma 3 2" xfId="17" xr:uid="{00000000-0005-0000-0000-000003000000}"/>
    <cellStyle name="Comma 4" xfId="3" xr:uid="{00000000-0005-0000-0000-000004000000}"/>
    <cellStyle name="Comma 4 2" xfId="14" xr:uid="{00000000-0005-0000-0000-000005000000}"/>
    <cellStyle name="Comma 5" xfId="12" xr:uid="{00000000-0005-0000-0000-000006000000}"/>
    <cellStyle name="Comma 6" xfId="9" xr:uid="{00000000-0005-0000-0000-000007000000}"/>
    <cellStyle name="Comma 6 2" xfId="18" xr:uid="{00000000-0005-0000-0000-000008000000}"/>
    <cellStyle name="Comma 7" xfId="16" xr:uid="{00000000-0005-0000-0000-000009000000}"/>
    <cellStyle name="Excel Built-in Comma" xfId="5" xr:uid="{00000000-0005-0000-0000-00000C000000}"/>
    <cellStyle name="Excel Built-in Normal" xfId="4" xr:uid="{00000000-0005-0000-0000-00000D000000}"/>
    <cellStyle name="Normal" xfId="0" builtinId="0"/>
    <cellStyle name="Normal 2" xfId="10" xr:uid="{00000000-0005-0000-0000-00000F000000}"/>
    <cellStyle name="Normal 2 2" xfId="13" xr:uid="{00000000-0005-0000-0000-000010000000}"/>
    <cellStyle name="Normal 3" xfId="11" xr:uid="{00000000-0005-0000-0000-000011000000}"/>
    <cellStyle name="Normal 4" xfId="8" xr:uid="{00000000-0005-0000-0000-000012000000}"/>
    <cellStyle name="Normal_13 Public Finance_done" xfId="2" xr:uid="{00000000-0005-0000-0000-000013000000}"/>
    <cellStyle name="Normal_Quick data" xfId="19" xr:uid="{76F69086-4AEE-4CFC-AEA2-2CC53A44F2E8}"/>
    <cellStyle name="Percent 2" xfId="15" xr:uid="{00000000-0005-0000-0000-000017000000}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W79"/>
  <sheetViews>
    <sheetView tabSelected="1" zoomScaleNormal="100" zoomScaleSheetLayoutView="84" workbookViewId="0">
      <selection activeCell="G5" sqref="G5:M5"/>
    </sheetView>
  </sheetViews>
  <sheetFormatPr defaultColWidth="8" defaultRowHeight="15.75" x14ac:dyDescent="0.25"/>
  <cols>
    <col min="1" max="1" width="62" style="44" customWidth="1"/>
    <col min="2" max="2" width="2" style="1" hidden="1" customWidth="1"/>
    <col min="3" max="3" width="14.7109375" style="1" bestFit="1" customWidth="1"/>
    <col min="4" max="5" width="14.7109375" style="1" customWidth="1"/>
    <col min="6" max="6" width="4.7109375" style="1" customWidth="1"/>
    <col min="7" max="10" width="8" style="1" hidden="1" customWidth="1"/>
    <col min="11" max="13" width="8" style="1" customWidth="1"/>
    <col min="14" max="14" width="1.28515625" style="1" customWidth="1"/>
    <col min="15" max="15" width="19.5703125" style="1" customWidth="1"/>
    <col min="16" max="16" width="33.7109375" style="10" customWidth="1"/>
    <col min="17" max="17" width="0.85546875" style="1" customWidth="1"/>
    <col min="18" max="16384" width="8" style="1"/>
  </cols>
  <sheetData>
    <row r="1" spans="1:16" ht="21" x14ac:dyDescent="0.25">
      <c r="A1" s="53" t="s">
        <v>146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" x14ac:dyDescent="0.25">
      <c r="A2" s="54" t="s">
        <v>145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x14ac:dyDescent="0.25">
      <c r="A3" s="7"/>
      <c r="B3" s="9"/>
      <c r="C3" s="9"/>
      <c r="D3" s="9"/>
      <c r="E3" s="9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6" ht="30" customHeight="1" x14ac:dyDescent="0.25">
      <c r="A4" s="65" t="s">
        <v>3</v>
      </c>
      <c r="B4" s="69"/>
      <c r="C4" s="68" t="s">
        <v>4</v>
      </c>
      <c r="D4" s="68"/>
      <c r="E4" s="68"/>
      <c r="F4" s="11"/>
      <c r="G4" s="56" t="s">
        <v>34</v>
      </c>
      <c r="H4" s="55"/>
      <c r="I4" s="55"/>
      <c r="J4" s="55"/>
      <c r="K4" s="55"/>
      <c r="L4" s="55"/>
      <c r="M4" s="55"/>
      <c r="N4" s="11"/>
      <c r="O4" s="48" t="s">
        <v>142</v>
      </c>
      <c r="P4" s="58" t="s">
        <v>5</v>
      </c>
    </row>
    <row r="5" spans="1:16" ht="18.75" customHeight="1" x14ac:dyDescent="0.25">
      <c r="A5" s="66"/>
      <c r="B5" s="70"/>
      <c r="C5" s="71" t="s">
        <v>6</v>
      </c>
      <c r="D5" s="71"/>
      <c r="E5" s="71"/>
      <c r="F5" s="12"/>
      <c r="G5" s="61" t="s">
        <v>35</v>
      </c>
      <c r="H5" s="62"/>
      <c r="I5" s="62"/>
      <c r="J5" s="62"/>
      <c r="K5" s="62"/>
      <c r="L5" s="62"/>
      <c r="M5" s="62"/>
      <c r="N5" s="38"/>
      <c r="O5" s="63" t="s">
        <v>139</v>
      </c>
      <c r="P5" s="59"/>
    </row>
    <row r="6" spans="1:16" ht="15" customHeight="1" x14ac:dyDescent="0.25">
      <c r="A6" s="67"/>
      <c r="B6" s="13">
        <v>2018</v>
      </c>
      <c r="C6" s="13" t="s">
        <v>7</v>
      </c>
      <c r="D6" s="13">
        <v>2020</v>
      </c>
      <c r="E6" s="13">
        <v>2021</v>
      </c>
      <c r="F6" s="14"/>
      <c r="G6" s="15">
        <v>2015</v>
      </c>
      <c r="H6" s="15">
        <v>2016</v>
      </c>
      <c r="I6" s="15">
        <v>2017</v>
      </c>
      <c r="J6" s="15">
        <v>2018</v>
      </c>
      <c r="K6" s="15">
        <v>2019</v>
      </c>
      <c r="L6" s="15">
        <v>2020</v>
      </c>
      <c r="M6" s="15">
        <v>2021</v>
      </c>
      <c r="N6" s="14"/>
      <c r="O6" s="63"/>
      <c r="P6" s="60"/>
    </row>
    <row r="7" spans="1:16" s="20" customFormat="1" ht="19.5" x14ac:dyDescent="0.25">
      <c r="A7" s="39" t="s">
        <v>29</v>
      </c>
      <c r="B7" s="16">
        <f t="shared" ref="B7" si="0">SUM(B8:B67)</f>
        <v>16277744888.103025</v>
      </c>
      <c r="C7" s="16">
        <f>SUM(C8:C70)</f>
        <v>16741484479.047449</v>
      </c>
      <c r="D7" s="16">
        <f>SUM(D8:D70)</f>
        <v>10419649856.557802</v>
      </c>
      <c r="E7" s="16">
        <f>SUM(E8:E70)</f>
        <v>15661501276.2045</v>
      </c>
      <c r="F7" s="17"/>
      <c r="G7" s="18" t="e">
        <f t="shared" ref="G7:L7" si="1">SUM(G8:G67)</f>
        <v>#REF!</v>
      </c>
      <c r="H7" s="18" t="e">
        <f t="shared" si="1"/>
        <v>#REF!</v>
      </c>
      <c r="I7" s="18" t="e">
        <f t="shared" si="1"/>
        <v>#REF!</v>
      </c>
      <c r="J7" s="18">
        <f t="shared" si="1"/>
        <v>100.00000000000006</v>
      </c>
      <c r="K7" s="18">
        <f t="shared" si="1"/>
        <v>99.978443026814546</v>
      </c>
      <c r="L7" s="18">
        <f>SUM(L8:L67)</f>
        <v>99.985733772818961</v>
      </c>
      <c r="M7" s="18">
        <f>SUM(M8:M70)</f>
        <v>99.999999999999972</v>
      </c>
      <c r="N7" s="40"/>
      <c r="O7" s="51">
        <f>(E7/D7-1)*100</f>
        <v>50.307366291657488</v>
      </c>
      <c r="P7" s="19" t="s">
        <v>30</v>
      </c>
    </row>
    <row r="8" spans="1:16" ht="19.5" x14ac:dyDescent="0.25">
      <c r="A8" s="29" t="s">
        <v>36</v>
      </c>
      <c r="B8" s="21">
        <v>647005652.04000008</v>
      </c>
      <c r="C8" s="21">
        <v>731095991.43890047</v>
      </c>
      <c r="D8" s="21">
        <v>283339591.02079999</v>
      </c>
      <c r="E8" s="21">
        <v>473428443.87150002</v>
      </c>
      <c r="F8" s="22"/>
      <c r="G8" s="24" t="e">
        <f>#REF!/#REF!*100</f>
        <v>#REF!</v>
      </c>
      <c r="H8" s="23" t="e">
        <f>#REF!/#REF!*100</f>
        <v>#REF!</v>
      </c>
      <c r="I8" s="23" t="e">
        <f>#REF!/#REF!*100</f>
        <v>#REF!</v>
      </c>
      <c r="J8" s="23">
        <f t="shared" ref="J8:M23" si="2">B8/B$7*100</f>
        <v>3.9747867808941977</v>
      </c>
      <c r="K8" s="23">
        <f t="shared" si="2"/>
        <v>4.3669723097368847</v>
      </c>
      <c r="L8" s="23">
        <f t="shared" si="2"/>
        <v>2.71928130907849</v>
      </c>
      <c r="M8" s="23">
        <f>E8/E$7*100</f>
        <v>3.0228803453907034</v>
      </c>
      <c r="N8" s="41"/>
      <c r="O8" s="33">
        <f t="shared" ref="O8:O66" si="3">(E8/D8-1)*100</f>
        <v>67.088701640973852</v>
      </c>
      <c r="P8" s="25" t="s">
        <v>8</v>
      </c>
    </row>
    <row r="9" spans="1:16" ht="19.5" x14ac:dyDescent="0.25">
      <c r="A9" s="29" t="s">
        <v>9</v>
      </c>
      <c r="B9" s="21">
        <v>643250528.51762462</v>
      </c>
      <c r="C9" s="21">
        <v>733697538.34759951</v>
      </c>
      <c r="D9" s="21">
        <v>285888291.4224</v>
      </c>
      <c r="E9" s="21">
        <v>483012009.42840004</v>
      </c>
      <c r="F9" s="22"/>
      <c r="G9" s="24" t="e">
        <f>#REF!/#REF!*100</f>
        <v>#REF!</v>
      </c>
      <c r="H9" s="23" t="e">
        <f>#REF!/#REF!*100</f>
        <v>#REF!</v>
      </c>
      <c r="I9" s="23" t="e">
        <f>#REF!/#REF!*100</f>
        <v>#REF!</v>
      </c>
      <c r="J9" s="23">
        <f t="shared" si="2"/>
        <v>3.9517177160563528</v>
      </c>
      <c r="K9" s="23">
        <f t="shared" si="2"/>
        <v>4.3825118332000219</v>
      </c>
      <c r="L9" s="23">
        <f t="shared" si="2"/>
        <v>2.7437418277781269</v>
      </c>
      <c r="M9" s="23">
        <f t="shared" si="2"/>
        <v>3.084072215747736</v>
      </c>
      <c r="N9" s="41"/>
      <c r="O9" s="33">
        <f t="shared" si="3"/>
        <v>68.951308577639409</v>
      </c>
      <c r="P9" s="25" t="s">
        <v>10</v>
      </c>
    </row>
    <row r="10" spans="1:16" ht="19.5" x14ac:dyDescent="0.25">
      <c r="A10" s="29" t="s">
        <v>37</v>
      </c>
      <c r="B10" s="21">
        <v>564102077.25</v>
      </c>
      <c r="C10" s="21">
        <v>613969839.03999996</v>
      </c>
      <c r="D10" s="21">
        <v>953699643.38</v>
      </c>
      <c r="E10" s="21">
        <v>675071083.45000005</v>
      </c>
      <c r="F10" s="22"/>
      <c r="G10" s="24" t="e">
        <f>#REF!/#REF!*100</f>
        <v>#REF!</v>
      </c>
      <c r="H10" s="23" t="e">
        <f>#REF!/#REF!*100</f>
        <v>#REF!</v>
      </c>
      <c r="I10" s="23" t="e">
        <f>#REF!/#REF!*100</f>
        <v>#REF!</v>
      </c>
      <c r="J10" s="23">
        <f t="shared" si="2"/>
        <v>3.4654805142098484</v>
      </c>
      <c r="K10" s="23">
        <f t="shared" si="2"/>
        <v>3.6673560209574281</v>
      </c>
      <c r="L10" s="23">
        <f t="shared" si="2"/>
        <v>9.1528953132697755</v>
      </c>
      <c r="M10" s="23">
        <f t="shared" si="2"/>
        <v>4.310385521442174</v>
      </c>
      <c r="N10" s="41"/>
      <c r="O10" s="33">
        <f t="shared" si="3"/>
        <v>-29.215546200952168</v>
      </c>
      <c r="P10" s="25" t="s">
        <v>38</v>
      </c>
    </row>
    <row r="11" spans="1:16" ht="22.5" customHeight="1" x14ac:dyDescent="0.25">
      <c r="A11" s="29" t="s">
        <v>11</v>
      </c>
      <c r="B11" s="21">
        <v>2710318425.4878001</v>
      </c>
      <c r="C11" s="21">
        <v>2898887911.6715889</v>
      </c>
      <c r="D11" s="21">
        <v>2618266107.3859005</v>
      </c>
      <c r="E11" s="21">
        <v>1913005872.4241996</v>
      </c>
      <c r="F11" s="22"/>
      <c r="G11" s="24" t="e">
        <f>#REF!/#REF!*100</f>
        <v>#REF!</v>
      </c>
      <c r="H11" s="23" t="e">
        <f>#REF!/#REF!*100</f>
        <v>#REF!</v>
      </c>
      <c r="I11" s="23" t="e">
        <f>#REF!/#REF!*100</f>
        <v>#REF!</v>
      </c>
      <c r="J11" s="23">
        <f t="shared" si="2"/>
        <v>16.650454004035293</v>
      </c>
      <c r="K11" s="23">
        <f t="shared" si="2"/>
        <v>17.315596566718131</v>
      </c>
      <c r="L11" s="23">
        <f t="shared" si="2"/>
        <v>25.128158272401503</v>
      </c>
      <c r="M11" s="23">
        <f t="shared" si="2"/>
        <v>12.214703039553106</v>
      </c>
      <c r="N11" s="41"/>
      <c r="O11" s="33">
        <f t="shared" si="3"/>
        <v>-26.936155686094065</v>
      </c>
      <c r="P11" s="25" t="s">
        <v>1</v>
      </c>
    </row>
    <row r="12" spans="1:16" ht="21.75" customHeight="1" x14ac:dyDescent="0.25">
      <c r="A12" s="29" t="s">
        <v>134</v>
      </c>
      <c r="B12" s="26">
        <v>0</v>
      </c>
      <c r="C12" s="26">
        <v>0</v>
      </c>
      <c r="D12" s="21">
        <v>83037036.150000006</v>
      </c>
      <c r="E12" s="21">
        <v>219203990.10370001</v>
      </c>
      <c r="F12" s="22"/>
      <c r="G12" s="49">
        <v>0</v>
      </c>
      <c r="H12" s="50">
        <v>0</v>
      </c>
      <c r="I12" s="50">
        <v>0</v>
      </c>
      <c r="J12" s="50">
        <v>0</v>
      </c>
      <c r="K12" s="50">
        <v>0</v>
      </c>
      <c r="L12" s="23">
        <f t="shared" si="2"/>
        <v>0.79692731803016481</v>
      </c>
      <c r="M12" s="23">
        <f t="shared" si="2"/>
        <v>1.3996358729462952</v>
      </c>
      <c r="N12" s="41"/>
      <c r="O12" s="73" t="s">
        <v>147</v>
      </c>
      <c r="P12" s="4" t="s">
        <v>12</v>
      </c>
    </row>
    <row r="13" spans="1:16" ht="18.75" x14ac:dyDescent="0.25">
      <c r="A13" s="29" t="s">
        <v>135</v>
      </c>
      <c r="B13" s="26">
        <v>0</v>
      </c>
      <c r="C13" s="26">
        <v>0</v>
      </c>
      <c r="D13" s="21">
        <v>28179.579999999998</v>
      </c>
      <c r="E13" s="21">
        <v>3092732.96</v>
      </c>
      <c r="F13" s="22"/>
      <c r="G13" s="49">
        <v>0</v>
      </c>
      <c r="H13" s="50">
        <v>0</v>
      </c>
      <c r="I13" s="50">
        <v>0</v>
      </c>
      <c r="J13" s="50">
        <v>0</v>
      </c>
      <c r="K13" s="50">
        <v>0</v>
      </c>
      <c r="L13" s="23">
        <f t="shared" si="2"/>
        <v>2.7044651584203329E-4</v>
      </c>
      <c r="M13" s="23">
        <f t="shared" si="2"/>
        <v>1.974735949930281E-2</v>
      </c>
      <c r="N13" s="41"/>
      <c r="O13" s="73" t="s">
        <v>147</v>
      </c>
      <c r="P13" s="4" t="s">
        <v>13</v>
      </c>
    </row>
    <row r="14" spans="1:16" ht="19.5" x14ac:dyDescent="0.25">
      <c r="A14" s="29" t="s">
        <v>39</v>
      </c>
      <c r="B14" s="21">
        <v>99792129.519999996</v>
      </c>
      <c r="C14" s="21">
        <v>94322369.710000008</v>
      </c>
      <c r="D14" s="21">
        <v>48186481.089999996</v>
      </c>
      <c r="E14" s="21">
        <v>86716931.409999996</v>
      </c>
      <c r="F14" s="22"/>
      <c r="G14" s="24" t="e">
        <f>#REF!/#REF!*100</f>
        <v>#REF!</v>
      </c>
      <c r="H14" s="23" t="e">
        <f>#REF!/#REF!*100</f>
        <v>#REF!</v>
      </c>
      <c r="I14" s="23" t="e">
        <f>#REF!/#REF!*100</f>
        <v>#REF!</v>
      </c>
      <c r="J14" s="23">
        <f t="shared" si="2"/>
        <v>0.6130586896771888</v>
      </c>
      <c r="K14" s="23">
        <f t="shared" si="2"/>
        <v>0.56340505424144283</v>
      </c>
      <c r="L14" s="23">
        <f t="shared" si="2"/>
        <v>0.46245777692494083</v>
      </c>
      <c r="M14" s="23">
        <f t="shared" si="2"/>
        <v>0.55369488454950655</v>
      </c>
      <c r="N14" s="41"/>
      <c r="O14" s="33">
        <f t="shared" si="3"/>
        <v>79.961120730179474</v>
      </c>
      <c r="P14" s="25" t="s">
        <v>40</v>
      </c>
    </row>
    <row r="15" spans="1:16" ht="19.5" x14ac:dyDescent="0.25">
      <c r="A15" s="29" t="s">
        <v>41</v>
      </c>
      <c r="B15" s="21">
        <v>16185132</v>
      </c>
      <c r="C15" s="21">
        <v>16620278.460000001</v>
      </c>
      <c r="D15" s="21">
        <v>15626619.539999999</v>
      </c>
      <c r="E15" s="21">
        <v>18561390</v>
      </c>
      <c r="F15" s="22"/>
      <c r="G15" s="24" t="e">
        <f>#REF!/#REF!*100</f>
        <v>#REF!</v>
      </c>
      <c r="H15" s="23" t="e">
        <f>#REF!/#REF!*100</f>
        <v>#REF!</v>
      </c>
      <c r="I15" s="23" t="e">
        <f>#REF!/#REF!*100</f>
        <v>#REF!</v>
      </c>
      <c r="J15" s="23">
        <f t="shared" si="2"/>
        <v>9.9431045954217451E-2</v>
      </c>
      <c r="K15" s="23">
        <f t="shared" si="2"/>
        <v>9.9276013909046473E-2</v>
      </c>
      <c r="L15" s="23">
        <f t="shared" si="2"/>
        <v>0.14997259749726707</v>
      </c>
      <c r="M15" s="23">
        <f t="shared" si="2"/>
        <v>0.11851603286717781</v>
      </c>
      <c r="N15" s="41"/>
      <c r="O15" s="33">
        <f t="shared" si="3"/>
        <v>18.780584325917495</v>
      </c>
      <c r="P15" s="25" t="s">
        <v>42</v>
      </c>
    </row>
    <row r="16" spans="1:16" ht="19.5" x14ac:dyDescent="0.25">
      <c r="A16" s="29" t="s">
        <v>43</v>
      </c>
      <c r="B16" s="21">
        <v>4020195</v>
      </c>
      <c r="C16" s="21">
        <v>3819268</v>
      </c>
      <c r="D16" s="21">
        <v>3484082</v>
      </c>
      <c r="E16" s="21">
        <v>3428241</v>
      </c>
      <c r="F16" s="22"/>
      <c r="G16" s="24" t="e">
        <f>#REF!/#REF!*100</f>
        <v>#REF!</v>
      </c>
      <c r="H16" s="23" t="e">
        <f>#REF!/#REF!*100</f>
        <v>#REF!</v>
      </c>
      <c r="I16" s="23" t="e">
        <f>#REF!/#REF!*100</f>
        <v>#REF!</v>
      </c>
      <c r="J16" s="23">
        <f t="shared" si="2"/>
        <v>2.4697493587937075E-2</v>
      </c>
      <c r="K16" s="23">
        <f t="shared" si="2"/>
        <v>2.2813197985996684E-2</v>
      </c>
      <c r="L16" s="23">
        <f t="shared" si="2"/>
        <v>3.343761112862375E-2</v>
      </c>
      <c r="M16" s="23">
        <f t="shared" si="2"/>
        <v>2.1889606491356874E-2</v>
      </c>
      <c r="N16" s="41"/>
      <c r="O16" s="33">
        <f t="shared" si="3"/>
        <v>-1.6027464336373254</v>
      </c>
      <c r="P16" s="25" t="s">
        <v>44</v>
      </c>
    </row>
    <row r="17" spans="1:23" ht="19.5" x14ac:dyDescent="0.25">
      <c r="A17" s="2" t="s">
        <v>14</v>
      </c>
      <c r="B17" s="21">
        <v>105197100</v>
      </c>
      <c r="C17" s="21">
        <v>33813250</v>
      </c>
      <c r="D17" s="21">
        <v>0</v>
      </c>
      <c r="E17" s="21">
        <v>0</v>
      </c>
      <c r="F17" s="22"/>
      <c r="G17" s="24" t="e">
        <f>#REF!/#REF!*100</f>
        <v>#REF!</v>
      </c>
      <c r="H17" s="23" t="e">
        <f>#REF!/#REF!*100</f>
        <v>#REF!</v>
      </c>
      <c r="I17" s="23" t="e">
        <f>#REF!/#REF!*100</f>
        <v>#REF!</v>
      </c>
      <c r="J17" s="23">
        <f t="shared" si="2"/>
        <v>0.64626335357353937</v>
      </c>
      <c r="K17" s="23">
        <f t="shared" si="2"/>
        <v>0.20197283008157643</v>
      </c>
      <c r="L17" s="23">
        <f t="shared" si="2"/>
        <v>0</v>
      </c>
      <c r="M17" s="23">
        <f t="shared" si="2"/>
        <v>0</v>
      </c>
      <c r="N17" s="41"/>
      <c r="O17" s="73" t="s">
        <v>147</v>
      </c>
      <c r="P17" s="25" t="s">
        <v>45</v>
      </c>
      <c r="Q17" s="2"/>
      <c r="R17" s="2"/>
      <c r="S17" s="2"/>
      <c r="T17" s="2"/>
      <c r="U17" s="2"/>
      <c r="V17" s="2"/>
      <c r="W17" s="2"/>
    </row>
    <row r="18" spans="1:23" ht="19.5" x14ac:dyDescent="0.25">
      <c r="A18" s="2" t="s">
        <v>15</v>
      </c>
      <c r="B18" s="21">
        <v>7680000</v>
      </c>
      <c r="C18" s="21">
        <v>43975220</v>
      </c>
      <c r="D18" s="21">
        <v>21566315</v>
      </c>
      <c r="E18" s="21">
        <v>6232955</v>
      </c>
      <c r="F18" s="22"/>
      <c r="G18" s="24" t="e">
        <f>#REF!/#REF!*100</f>
        <v>#REF!</v>
      </c>
      <c r="H18" s="23" t="e">
        <f>#REF!/#REF!*100</f>
        <v>#REF!</v>
      </c>
      <c r="I18" s="23" t="e">
        <f>#REF!/#REF!*100</f>
        <v>#REF!</v>
      </c>
      <c r="J18" s="23">
        <f t="shared" si="2"/>
        <v>4.718098270242034E-2</v>
      </c>
      <c r="K18" s="23">
        <f t="shared" si="2"/>
        <v>0.26267216658735681</v>
      </c>
      <c r="L18" s="23">
        <f t="shared" si="2"/>
        <v>0.20697734853755029</v>
      </c>
      <c r="M18" s="23">
        <f t="shared" si="2"/>
        <v>3.9797940759805188E-2</v>
      </c>
      <c r="N18" s="41"/>
      <c r="O18" s="33">
        <f t="shared" si="3"/>
        <v>-71.098655472666522</v>
      </c>
      <c r="P18" s="25" t="s">
        <v>46</v>
      </c>
      <c r="Q18" s="2"/>
      <c r="R18" s="2"/>
      <c r="S18" s="2"/>
      <c r="T18" s="2"/>
      <c r="U18" s="2"/>
      <c r="V18" s="2"/>
      <c r="W18" s="2"/>
    </row>
    <row r="19" spans="1:23" ht="19.5" x14ac:dyDescent="0.25">
      <c r="A19" s="29" t="s">
        <v>47</v>
      </c>
      <c r="B19" s="21">
        <v>7000</v>
      </c>
      <c r="C19" s="21">
        <v>6200</v>
      </c>
      <c r="D19" s="21">
        <v>7000</v>
      </c>
      <c r="E19" s="21">
        <v>6600</v>
      </c>
      <c r="F19" s="22"/>
      <c r="G19" s="24" t="e">
        <f>#REF!/#REF!*100</f>
        <v>#REF!</v>
      </c>
      <c r="H19" s="23" t="e">
        <f>#REF!/#REF!*100</f>
        <v>#REF!</v>
      </c>
      <c r="I19" s="23" t="e">
        <f>#REF!/#REF!*100</f>
        <v>#REF!</v>
      </c>
      <c r="J19" s="23">
        <f t="shared" si="2"/>
        <v>4.3003499858976871E-5</v>
      </c>
      <c r="K19" s="23">
        <f t="shared" si="2"/>
        <v>3.7033752937259039E-5</v>
      </c>
      <c r="L19" s="23">
        <f t="shared" si="2"/>
        <v>6.7180760355343606E-5</v>
      </c>
      <c r="M19" s="23">
        <f t="shared" si="2"/>
        <v>4.214155388811795E-5</v>
      </c>
      <c r="N19" s="41"/>
      <c r="O19" s="33">
        <f t="shared" si="3"/>
        <v>-5.7142857142857162</v>
      </c>
      <c r="P19" s="25" t="s">
        <v>48</v>
      </c>
    </row>
    <row r="20" spans="1:23" ht="19.5" x14ac:dyDescent="0.25">
      <c r="A20" s="29" t="s">
        <v>49</v>
      </c>
      <c r="B20" s="21">
        <v>800</v>
      </c>
      <c r="C20" s="21">
        <v>1000</v>
      </c>
      <c r="D20" s="21">
        <v>600</v>
      </c>
      <c r="E20" s="21">
        <v>1200</v>
      </c>
      <c r="F20" s="22"/>
      <c r="G20" s="24" t="e">
        <f>#REF!/#REF!*100</f>
        <v>#REF!</v>
      </c>
      <c r="H20" s="23" t="e">
        <f>#REF!/#REF!*100</f>
        <v>#REF!</v>
      </c>
      <c r="I20" s="23" t="e">
        <f>#REF!/#REF!*100</f>
        <v>#REF!</v>
      </c>
      <c r="J20" s="23">
        <f t="shared" si="2"/>
        <v>4.9146856981687859E-6</v>
      </c>
      <c r="K20" s="23">
        <f t="shared" si="2"/>
        <v>5.9731859576224248E-6</v>
      </c>
      <c r="L20" s="23">
        <f t="shared" si="2"/>
        <v>5.7583508876008793E-6</v>
      </c>
      <c r="M20" s="23">
        <f t="shared" si="2"/>
        <v>7.6621007069305374E-6</v>
      </c>
      <c r="N20" s="41"/>
      <c r="O20" s="33">
        <f t="shared" si="3"/>
        <v>100</v>
      </c>
      <c r="P20" s="25" t="s">
        <v>50</v>
      </c>
    </row>
    <row r="21" spans="1:23" ht="19.5" x14ac:dyDescent="0.25">
      <c r="A21" s="29" t="s">
        <v>51</v>
      </c>
      <c r="B21" s="21">
        <v>76324061.13000001</v>
      </c>
      <c r="C21" s="21">
        <v>90092169.840000018</v>
      </c>
      <c r="D21" s="21">
        <v>25837392.369999997</v>
      </c>
      <c r="E21" s="21">
        <v>45588710.760000005</v>
      </c>
      <c r="F21" s="22"/>
      <c r="G21" s="24" t="e">
        <f>#REF!/#REF!*100</f>
        <v>#REF!</v>
      </c>
      <c r="H21" s="23" t="e">
        <f>#REF!/#REF!*100</f>
        <v>#REF!</v>
      </c>
      <c r="I21" s="23" t="e">
        <f>#REF!/#REF!*100</f>
        <v>#REF!</v>
      </c>
      <c r="J21" s="23">
        <f t="shared" si="2"/>
        <v>0.46888596457721399</v>
      </c>
      <c r="K21" s="23">
        <f t="shared" si="2"/>
        <v>0.53813728378002268</v>
      </c>
      <c r="L21" s="23">
        <f t="shared" si="2"/>
        <v>0.24796795214513614</v>
      </c>
      <c r="M21" s="23">
        <f t="shared" si="2"/>
        <v>0.29108774411853983</v>
      </c>
      <c r="N21" s="41"/>
      <c r="O21" s="33">
        <f t="shared" si="3"/>
        <v>76.444705050550766</v>
      </c>
      <c r="P21" s="25" t="s">
        <v>52</v>
      </c>
    </row>
    <row r="22" spans="1:23" ht="19.5" x14ac:dyDescent="0.25">
      <c r="A22" s="29" t="s">
        <v>53</v>
      </c>
      <c r="B22" s="21">
        <v>226467336.32799998</v>
      </c>
      <c r="C22" s="21">
        <v>197358978.90477699</v>
      </c>
      <c r="D22" s="21">
        <v>129047369.70370001</v>
      </c>
      <c r="E22" s="21">
        <v>183711322.33340001</v>
      </c>
      <c r="F22" s="22"/>
      <c r="G22" s="24" t="e">
        <f>#REF!/#REF!*100</f>
        <v>#REF!</v>
      </c>
      <c r="H22" s="23" t="e">
        <f>#REF!/#REF!*100</f>
        <v>#REF!</v>
      </c>
      <c r="I22" s="23" t="e">
        <f>#REF!/#REF!*100</f>
        <v>#REF!</v>
      </c>
      <c r="J22" s="23">
        <f t="shared" si="2"/>
        <v>1.3912697236920022</v>
      </c>
      <c r="K22" s="23">
        <f t="shared" si="2"/>
        <v>1.1788618814047143</v>
      </c>
      <c r="L22" s="23">
        <f t="shared" si="2"/>
        <v>1.2385000597930997</v>
      </c>
      <c r="M22" s="23">
        <f t="shared" si="2"/>
        <v>1.1730122106015732</v>
      </c>
      <c r="N22" s="41"/>
      <c r="O22" s="33">
        <f t="shared" si="3"/>
        <v>42.35960233456251</v>
      </c>
      <c r="P22" s="25" t="s">
        <v>16</v>
      </c>
    </row>
    <row r="23" spans="1:23" ht="19.5" hidden="1" x14ac:dyDescent="0.25">
      <c r="A23" s="29" t="s">
        <v>54</v>
      </c>
      <c r="B23" s="21">
        <v>0</v>
      </c>
      <c r="C23" s="21">
        <v>0</v>
      </c>
      <c r="D23" s="21">
        <v>0</v>
      </c>
      <c r="E23" s="21">
        <v>0</v>
      </c>
      <c r="F23" s="22"/>
      <c r="G23" s="24" t="e">
        <f>#REF!/#REF!*100</f>
        <v>#REF!</v>
      </c>
      <c r="H23" s="23" t="e">
        <f>#REF!/#REF!*100</f>
        <v>#REF!</v>
      </c>
      <c r="I23" s="23" t="e">
        <f>#REF!/#REF!*100</f>
        <v>#REF!</v>
      </c>
      <c r="J23" s="23">
        <f t="shared" si="2"/>
        <v>0</v>
      </c>
      <c r="K23" s="23">
        <f t="shared" si="2"/>
        <v>0</v>
      </c>
      <c r="L23" s="23">
        <f t="shared" si="2"/>
        <v>0</v>
      </c>
      <c r="M23" s="23">
        <f t="shared" si="2"/>
        <v>0</v>
      </c>
      <c r="N23" s="41"/>
      <c r="O23" s="33" t="s">
        <v>141</v>
      </c>
      <c r="P23" s="25" t="s">
        <v>55</v>
      </c>
    </row>
    <row r="24" spans="1:23" ht="19.5" x14ac:dyDescent="0.25">
      <c r="A24" s="29" t="s">
        <v>56</v>
      </c>
      <c r="B24" s="21">
        <v>554092.16</v>
      </c>
      <c r="C24" s="21">
        <v>582068</v>
      </c>
      <c r="D24" s="21">
        <v>408101</v>
      </c>
      <c r="E24" s="21">
        <v>460191</v>
      </c>
      <c r="F24" s="22"/>
      <c r="G24" s="24" t="e">
        <f>#REF!/#REF!*100</f>
        <v>#REF!</v>
      </c>
      <c r="H24" s="23" t="e">
        <f>#REF!/#REF!*100</f>
        <v>#REF!</v>
      </c>
      <c r="I24" s="23" t="e">
        <f>#REF!/#REF!*100</f>
        <v>#REF!</v>
      </c>
      <c r="J24" s="23">
        <f t="shared" ref="J24:M60" si="4">B24/B$7*100</f>
        <v>3.4039860177743132E-3</v>
      </c>
      <c r="K24" s="23">
        <f t="shared" si="4"/>
        <v>3.4768004039813696E-3</v>
      </c>
      <c r="L24" s="23">
        <f t="shared" si="4"/>
        <v>3.9166479259680111E-3</v>
      </c>
      <c r="M24" s="23">
        <f t="shared" si="4"/>
        <v>2.9383581553525588E-3</v>
      </c>
      <c r="N24" s="41"/>
      <c r="O24" s="33">
        <f t="shared" si="3"/>
        <v>12.763997147764883</v>
      </c>
      <c r="P24" s="25" t="s">
        <v>57</v>
      </c>
    </row>
    <row r="25" spans="1:23" ht="19.5" hidden="1" x14ac:dyDescent="0.25">
      <c r="A25" s="29" t="s">
        <v>58</v>
      </c>
      <c r="B25" s="21">
        <v>18452.059999999998</v>
      </c>
      <c r="C25" s="21">
        <v>0</v>
      </c>
      <c r="D25" s="21">
        <v>0</v>
      </c>
      <c r="E25" s="21">
        <v>0</v>
      </c>
      <c r="F25" s="22"/>
      <c r="G25" s="24" t="e">
        <f>#REF!/#REF!*100</f>
        <v>#REF!</v>
      </c>
      <c r="H25" s="23" t="e">
        <f>#REF!/#REF!*100</f>
        <v>#REF!</v>
      </c>
      <c r="I25" s="23" t="e">
        <f>#REF!/#REF!*100</f>
        <v>#REF!</v>
      </c>
      <c r="J25" s="23">
        <f t="shared" si="4"/>
        <v>1.1335759422969039E-4</v>
      </c>
      <c r="K25" s="23">
        <f t="shared" si="4"/>
        <v>0</v>
      </c>
      <c r="L25" s="23">
        <f t="shared" si="4"/>
        <v>0</v>
      </c>
      <c r="M25" s="23">
        <f t="shared" si="4"/>
        <v>0</v>
      </c>
      <c r="N25" s="41"/>
      <c r="O25" s="33" t="s">
        <v>141</v>
      </c>
      <c r="P25" s="25" t="s">
        <v>59</v>
      </c>
    </row>
    <row r="26" spans="1:23" ht="19.5" x14ac:dyDescent="0.25">
      <c r="A26" s="29" t="s">
        <v>60</v>
      </c>
      <c r="B26" s="21">
        <v>2028400</v>
      </c>
      <c r="C26" s="21">
        <v>1719140</v>
      </c>
      <c r="D26" s="21">
        <v>3119425.2064</v>
      </c>
      <c r="E26" s="21">
        <v>6985618.6214000005</v>
      </c>
      <c r="F26" s="22"/>
      <c r="G26" s="24" t="e">
        <f>#REF!/#REF!*100</f>
        <v>#REF!</v>
      </c>
      <c r="H26" s="23" t="e">
        <f>#REF!/#REF!*100</f>
        <v>#REF!</v>
      </c>
      <c r="I26" s="23" t="e">
        <f>#REF!/#REF!*100</f>
        <v>#REF!</v>
      </c>
      <c r="J26" s="23">
        <f t="shared" si="4"/>
        <v>1.2461185587706956E-2</v>
      </c>
      <c r="K26" s="23">
        <f t="shared" si="4"/>
        <v>1.0268742907187016E-2</v>
      </c>
      <c r="L26" s="23">
        <f t="shared" si="4"/>
        <v>2.9937908176796663E-2</v>
      </c>
      <c r="M26" s="23">
        <f t="shared" si="4"/>
        <v>4.4603761147813385E-2</v>
      </c>
      <c r="N26" s="41"/>
      <c r="O26" s="73" t="s">
        <v>147</v>
      </c>
      <c r="P26" s="27" t="s">
        <v>61</v>
      </c>
    </row>
    <row r="27" spans="1:23" ht="19.5" hidden="1" x14ac:dyDescent="0.25">
      <c r="A27" s="29" t="s">
        <v>62</v>
      </c>
      <c r="B27" s="21">
        <v>0</v>
      </c>
      <c r="C27" s="21">
        <v>0</v>
      </c>
      <c r="D27" s="21">
        <v>0</v>
      </c>
      <c r="E27" s="21"/>
      <c r="F27" s="22"/>
      <c r="G27" s="24" t="e">
        <f>#REF!/#REF!*100</f>
        <v>#REF!</v>
      </c>
      <c r="H27" s="23" t="e">
        <f>#REF!/#REF!*100</f>
        <v>#REF!</v>
      </c>
      <c r="I27" s="23" t="e">
        <f>#REF!/#REF!*100</f>
        <v>#REF!</v>
      </c>
      <c r="J27" s="23">
        <f t="shared" si="4"/>
        <v>0</v>
      </c>
      <c r="K27" s="23">
        <f t="shared" si="4"/>
        <v>0</v>
      </c>
      <c r="L27" s="23">
        <f t="shared" si="4"/>
        <v>0</v>
      </c>
      <c r="M27" s="23">
        <f t="shared" si="4"/>
        <v>0</v>
      </c>
      <c r="N27" s="41"/>
      <c r="O27" s="33" t="e">
        <f t="shared" si="3"/>
        <v>#DIV/0!</v>
      </c>
      <c r="P27" s="25" t="s">
        <v>63</v>
      </c>
    </row>
    <row r="28" spans="1:23" ht="19.5" x14ac:dyDescent="0.25">
      <c r="A28" s="29" t="s">
        <v>64</v>
      </c>
      <c r="B28" s="21">
        <v>131125.8983</v>
      </c>
      <c r="C28" s="21">
        <v>140596.6985</v>
      </c>
      <c r="D28" s="21">
        <v>98882.884099999981</v>
      </c>
      <c r="E28" s="21">
        <v>128501.02800000001</v>
      </c>
      <c r="F28" s="22"/>
      <c r="G28" s="24" t="e">
        <f>#REF!/#REF!*100</f>
        <v>#REF!</v>
      </c>
      <c r="H28" s="23" t="e">
        <f>#REF!/#REF!*100</f>
        <v>#REF!</v>
      </c>
      <c r="I28" s="23" t="e">
        <f>#REF!/#REF!*100</f>
        <v>#REF!</v>
      </c>
      <c r="J28" s="23">
        <f t="shared" si="4"/>
        <v>8.0555322129318081E-4</v>
      </c>
      <c r="K28" s="23">
        <f t="shared" si="4"/>
        <v>8.3981022516827386E-4</v>
      </c>
      <c r="L28" s="23">
        <f t="shared" si="4"/>
        <v>9.4900390570961638E-4</v>
      </c>
      <c r="M28" s="23">
        <f t="shared" si="4"/>
        <v>8.204898479000839E-4</v>
      </c>
      <c r="N28" s="41"/>
      <c r="O28" s="33">
        <f t="shared" si="3"/>
        <v>29.952750842145015</v>
      </c>
      <c r="P28" s="25" t="s">
        <v>65</v>
      </c>
    </row>
    <row r="29" spans="1:23" ht="19.5" x14ac:dyDescent="0.25">
      <c r="A29" s="29" t="s">
        <v>66</v>
      </c>
      <c r="B29" s="21">
        <v>7690004507.1075993</v>
      </c>
      <c r="C29" s="21">
        <v>7748561111.9536209</v>
      </c>
      <c r="D29" s="21">
        <v>4306485317.9263</v>
      </c>
      <c r="E29" s="21">
        <v>7827971230.287899</v>
      </c>
      <c r="F29" s="22"/>
      <c r="G29" s="24" t="e">
        <f>#REF!/#REF!*100</f>
        <v>#REF!</v>
      </c>
      <c r="H29" s="23" t="e">
        <f>#REF!/#REF!*100</f>
        <v>#REF!</v>
      </c>
      <c r="I29" s="23" t="e">
        <f>#REF!/#REF!*100</f>
        <v>#REF!</v>
      </c>
      <c r="J29" s="23">
        <f t="shared" si="4"/>
        <v>47.242443962419024</v>
      </c>
      <c r="K29" s="23">
        <f t="shared" si="4"/>
        <v>46.283596425700566</v>
      </c>
      <c r="L29" s="23">
        <f t="shared" si="4"/>
        <v>41.330422588201778</v>
      </c>
      <c r="M29" s="23">
        <f t="shared" si="4"/>
        <v>49.982253247850679</v>
      </c>
      <c r="N29" s="41"/>
      <c r="O29" s="33">
        <f t="shared" si="3"/>
        <v>81.771692050196009</v>
      </c>
      <c r="P29" s="25" t="s">
        <v>0</v>
      </c>
    </row>
    <row r="30" spans="1:23" ht="19.5" x14ac:dyDescent="0.25">
      <c r="A30" s="29" t="s">
        <v>67</v>
      </c>
      <c r="B30" s="21">
        <v>3313259.35</v>
      </c>
      <c r="C30" s="21">
        <v>3350940</v>
      </c>
      <c r="D30" s="21">
        <v>1689040</v>
      </c>
      <c r="E30" s="21">
        <v>1841373.3599999999</v>
      </c>
      <c r="F30" s="22"/>
      <c r="G30" s="24" t="e">
        <f>#REF!/#REF!*100</f>
        <v>#REF!</v>
      </c>
      <c r="H30" s="23" t="e">
        <f>#REF!/#REF!*100</f>
        <v>#REF!</v>
      </c>
      <c r="I30" s="23" t="e">
        <f>#REF!/#REF!*100</f>
        <v>#REF!</v>
      </c>
      <c r="J30" s="23">
        <f t="shared" si="4"/>
        <v>2.0354535427211259E-2</v>
      </c>
      <c r="K30" s="23">
        <f t="shared" si="4"/>
        <v>2.0015787752835291E-2</v>
      </c>
      <c r="L30" s="23">
        <f t="shared" si="4"/>
        <v>1.621014163865565E-2</v>
      </c>
      <c r="M30" s="23">
        <f t="shared" si="4"/>
        <v>1.1757323436149214E-2</v>
      </c>
      <c r="N30" s="41"/>
      <c r="O30" s="33">
        <f t="shared" si="3"/>
        <v>9.0189314640269025</v>
      </c>
      <c r="P30" s="25" t="s">
        <v>68</v>
      </c>
    </row>
    <row r="31" spans="1:23" ht="18.75" x14ac:dyDescent="0.25">
      <c r="A31" s="29" t="s">
        <v>17</v>
      </c>
      <c r="B31" s="21">
        <v>810525817.88999999</v>
      </c>
      <c r="C31" s="21">
        <v>850615153.91795635</v>
      </c>
      <c r="D31" s="21">
        <v>351898223.08999997</v>
      </c>
      <c r="E31" s="21">
        <v>802112616.45300007</v>
      </c>
      <c r="F31" s="22"/>
      <c r="G31" s="24" t="e">
        <f>#REF!/#REF!*100</f>
        <v>#REF!</v>
      </c>
      <c r="H31" s="23" t="e">
        <f>#REF!/#REF!*100</f>
        <v>#REF!</v>
      </c>
      <c r="I31" s="23" t="e">
        <f>#REF!/#REF!*100</f>
        <v>#REF!</v>
      </c>
      <c r="J31" s="23">
        <f t="shared" si="4"/>
        <v>4.9793495564756753</v>
      </c>
      <c r="K31" s="23">
        <f t="shared" si="4"/>
        <v>5.0808824927235738</v>
      </c>
      <c r="L31" s="23">
        <f t="shared" si="4"/>
        <v>3.3772557421257901</v>
      </c>
      <c r="M31" s="23">
        <f t="shared" si="4"/>
        <v>5.1215563713020291</v>
      </c>
      <c r="N31" s="41"/>
      <c r="O31" s="73" t="s">
        <v>147</v>
      </c>
      <c r="P31" s="3" t="s">
        <v>2</v>
      </c>
    </row>
    <row r="32" spans="1:23" ht="18.75" x14ac:dyDescent="0.25">
      <c r="A32" s="29" t="s">
        <v>18</v>
      </c>
      <c r="B32" s="21">
        <v>101829058.88500001</v>
      </c>
      <c r="C32" s="21">
        <v>102523494</v>
      </c>
      <c r="D32" s="21">
        <v>8970164</v>
      </c>
      <c r="E32" s="21">
        <v>101221.35</v>
      </c>
      <c r="F32" s="22"/>
      <c r="G32" s="24" t="e">
        <f>#REF!/#REF!*100</f>
        <v>#REF!</v>
      </c>
      <c r="H32" s="23" t="e">
        <f>#REF!/#REF!*100</f>
        <v>#REF!</v>
      </c>
      <c r="I32" s="23" t="e">
        <f>#REF!/#REF!*100</f>
        <v>#REF!</v>
      </c>
      <c r="J32" s="23">
        <f t="shared" si="4"/>
        <v>0.62557227420012074</v>
      </c>
      <c r="K32" s="23">
        <f t="shared" si="4"/>
        <v>0.61239189468718691</v>
      </c>
      <c r="L32" s="23">
        <f t="shared" si="4"/>
        <v>8.6088919718875764E-2</v>
      </c>
      <c r="M32" s="23">
        <f t="shared" si="4"/>
        <v>6.4630681449288614E-4</v>
      </c>
      <c r="N32" s="41"/>
      <c r="O32" s="33">
        <f t="shared" si="3"/>
        <v>-98.871577487323535</v>
      </c>
      <c r="P32" s="3" t="s">
        <v>19</v>
      </c>
    </row>
    <row r="33" spans="1:16" ht="19.5" x14ac:dyDescent="0.25">
      <c r="A33" s="29" t="s">
        <v>69</v>
      </c>
      <c r="B33" s="21">
        <v>9833485.3599999994</v>
      </c>
      <c r="C33" s="21">
        <v>8263656.6699999999</v>
      </c>
      <c r="D33" s="21">
        <v>35005</v>
      </c>
      <c r="E33" s="21">
        <v>45463.39</v>
      </c>
      <c r="F33" s="22"/>
      <c r="G33" s="24" t="e">
        <f>#REF!/#REF!*100</f>
        <v>#REF!</v>
      </c>
      <c r="H33" s="23" t="e">
        <f>#REF!/#REF!*100</f>
        <v>#REF!</v>
      </c>
      <c r="I33" s="23" t="e">
        <f>#REF!/#REF!*100</f>
        <v>#REF!</v>
      </c>
      <c r="J33" s="23">
        <f t="shared" si="4"/>
        <v>6.0410612327430169E-2</v>
      </c>
      <c r="K33" s="23">
        <f t="shared" si="4"/>
        <v>4.9360357979856884E-2</v>
      </c>
      <c r="L33" s="23">
        <f t="shared" si="4"/>
        <v>3.3595178803411466E-4</v>
      </c>
      <c r="M33" s="23">
        <f t="shared" si="4"/>
        <v>2.9028756054871554E-4</v>
      </c>
      <c r="N33" s="41"/>
      <c r="O33" s="33">
        <f t="shared" si="3"/>
        <v>29.876846164833594</v>
      </c>
      <c r="P33" s="25" t="s">
        <v>70</v>
      </c>
    </row>
    <row r="34" spans="1:16" ht="18.75" x14ac:dyDescent="0.25">
      <c r="A34" s="29" t="s">
        <v>20</v>
      </c>
      <c r="B34" s="21">
        <v>322065841.04820001</v>
      </c>
      <c r="C34" s="21">
        <v>34822119.628899999</v>
      </c>
      <c r="D34" s="21">
        <v>3933797.7640999998</v>
      </c>
      <c r="E34" s="21">
        <v>28475739.920000002</v>
      </c>
      <c r="F34" s="22"/>
      <c r="G34" s="24" t="e">
        <f>#REF!/#REF!*100</f>
        <v>#REF!</v>
      </c>
      <c r="H34" s="23" t="e">
        <f>#REF!/#REF!*100</f>
        <v>#REF!</v>
      </c>
      <c r="I34" s="23" t="e">
        <f>#REF!/#REF!*100</f>
        <v>#REF!</v>
      </c>
      <c r="J34" s="23">
        <f t="shared" si="4"/>
        <v>1.9785654785853626</v>
      </c>
      <c r="K34" s="23">
        <f t="shared" si="4"/>
        <v>0.20799899598199367</v>
      </c>
      <c r="L34" s="23">
        <f t="shared" si="4"/>
        <v>3.7753646410912653E-2</v>
      </c>
      <c r="M34" s="23">
        <f t="shared" si="4"/>
        <v>0.18181998914283509</v>
      </c>
      <c r="N34" s="41"/>
      <c r="O34" s="73" t="s">
        <v>147</v>
      </c>
      <c r="P34" s="3" t="s">
        <v>21</v>
      </c>
    </row>
    <row r="35" spans="1:16" ht="19.5" x14ac:dyDescent="0.25">
      <c r="A35" s="29" t="s">
        <v>71</v>
      </c>
      <c r="B35" s="21">
        <v>39352638.640000001</v>
      </c>
      <c r="C35" s="21">
        <v>26036075.540000007</v>
      </c>
      <c r="D35" s="21">
        <v>1064712.8500000001</v>
      </c>
      <c r="E35" s="21">
        <v>37500</v>
      </c>
      <c r="F35" s="22"/>
      <c r="G35" s="24" t="e">
        <f>#REF!/#REF!*100</f>
        <v>#REF!</v>
      </c>
      <c r="H35" s="23" t="e">
        <f>#REF!/#REF!*100</f>
        <v>#REF!</v>
      </c>
      <c r="I35" s="23" t="e">
        <f>#REF!/#REF!*100</f>
        <v>#REF!</v>
      </c>
      <c r="J35" s="23">
        <f t="shared" si="4"/>
        <v>0.24175731288651545</v>
      </c>
      <c r="K35" s="23">
        <f t="shared" si="4"/>
        <v>0.15551832080712472</v>
      </c>
      <c r="L35" s="23">
        <f t="shared" si="4"/>
        <v>1.0218316974729271E-2</v>
      </c>
      <c r="M35" s="23">
        <f t="shared" si="4"/>
        <v>2.3944064709157929E-4</v>
      </c>
      <c r="N35" s="41"/>
      <c r="O35" s="33">
        <f t="shared" si="3"/>
        <v>-96.477923601654652</v>
      </c>
      <c r="P35" s="28" t="s">
        <v>22</v>
      </c>
    </row>
    <row r="36" spans="1:16" ht="19.5" x14ac:dyDescent="0.25">
      <c r="A36" s="29" t="s">
        <v>72</v>
      </c>
      <c r="B36" s="21">
        <v>76700000</v>
      </c>
      <c r="C36" s="21">
        <v>306800000</v>
      </c>
      <c r="D36" s="21">
        <v>153500000</v>
      </c>
      <c r="E36" s="21">
        <v>230200000</v>
      </c>
      <c r="F36" s="22"/>
      <c r="G36" s="24" t="e">
        <f>#REF!/#REF!*100</f>
        <v>#REF!</v>
      </c>
      <c r="H36" s="23" t="e">
        <f>#REF!/#REF!*100</f>
        <v>#REF!</v>
      </c>
      <c r="I36" s="23" t="e">
        <f>#REF!/#REF!*100</f>
        <v>#REF!</v>
      </c>
      <c r="J36" s="23">
        <f t="shared" si="4"/>
        <v>0.47119549131193234</v>
      </c>
      <c r="K36" s="23">
        <f t="shared" si="4"/>
        <v>1.8325734517985599</v>
      </c>
      <c r="L36" s="23">
        <f t="shared" si="4"/>
        <v>1.4731781020778918</v>
      </c>
      <c r="M36" s="23">
        <f t="shared" si="4"/>
        <v>1.4698463189461746</v>
      </c>
      <c r="N36" s="41"/>
      <c r="O36" s="33">
        <f t="shared" si="3"/>
        <v>49.967426710097726</v>
      </c>
      <c r="P36" s="25" t="s">
        <v>23</v>
      </c>
    </row>
    <row r="37" spans="1:16" ht="19.5" x14ac:dyDescent="0.25">
      <c r="A37" s="29" t="s">
        <v>73</v>
      </c>
      <c r="B37" s="21">
        <v>17332196.1776</v>
      </c>
      <c r="C37" s="21">
        <v>15607926.969999995</v>
      </c>
      <c r="D37" s="21">
        <v>9002291.9400000013</v>
      </c>
      <c r="E37" s="21">
        <v>15057208.049999997</v>
      </c>
      <c r="F37" s="22"/>
      <c r="G37" s="24" t="e">
        <f>#REF!/#REF!*100</f>
        <v>#REF!</v>
      </c>
      <c r="H37" s="23" t="e">
        <f>#REF!/#REF!*100</f>
        <v>#REF!</v>
      </c>
      <c r="I37" s="23" t="e">
        <f>#REF!/#REF!*100</f>
        <v>#REF!</v>
      </c>
      <c r="J37" s="23">
        <f t="shared" si="4"/>
        <v>0.10647787083988303</v>
      </c>
      <c r="K37" s="23">
        <f t="shared" si="4"/>
        <v>9.3229050204800296E-2</v>
      </c>
      <c r="L37" s="23">
        <f t="shared" si="4"/>
        <v>8.6397259638568757E-2</v>
      </c>
      <c r="M37" s="23">
        <f t="shared" si="4"/>
        <v>9.6141537036920952E-2</v>
      </c>
      <c r="N37" s="41"/>
      <c r="O37" s="33">
        <f t="shared" si="3"/>
        <v>67.259717307057201</v>
      </c>
      <c r="P37" s="25" t="s">
        <v>74</v>
      </c>
    </row>
    <row r="38" spans="1:16" ht="19.5" x14ac:dyDescent="0.25">
      <c r="A38" s="29" t="s">
        <v>24</v>
      </c>
      <c r="B38" s="21">
        <v>383500</v>
      </c>
      <c r="C38" s="21">
        <v>5139700</v>
      </c>
      <c r="D38" s="21">
        <v>0</v>
      </c>
      <c r="E38" s="21">
        <v>6514450</v>
      </c>
      <c r="F38" s="22"/>
      <c r="G38" s="24" t="e">
        <f>#REF!/#REF!*100</f>
        <v>#REF!</v>
      </c>
      <c r="H38" s="23" t="e">
        <f>#REF!/#REF!*100</f>
        <v>#REF!</v>
      </c>
      <c r="I38" s="23" t="e">
        <f>#REF!/#REF!*100</f>
        <v>#REF!</v>
      </c>
      <c r="J38" s="23">
        <f t="shared" si="4"/>
        <v>2.3559774565596616E-3</v>
      </c>
      <c r="K38" s="23">
        <f t="shared" si="4"/>
        <v>3.0700383866391977E-2</v>
      </c>
      <c r="L38" s="23">
        <f t="shared" si="4"/>
        <v>0</v>
      </c>
      <c r="M38" s="23">
        <f t="shared" si="4"/>
        <v>4.1595309958553033E-2</v>
      </c>
      <c r="N38" s="41"/>
      <c r="O38" s="73" t="s">
        <v>147</v>
      </c>
      <c r="P38" s="25" t="s">
        <v>25</v>
      </c>
    </row>
    <row r="39" spans="1:16" ht="19.5" hidden="1" x14ac:dyDescent="0.25">
      <c r="A39" s="29" t="s">
        <v>75</v>
      </c>
      <c r="B39" s="21">
        <v>0</v>
      </c>
      <c r="C39" s="21">
        <v>0</v>
      </c>
      <c r="D39" s="21">
        <v>0</v>
      </c>
      <c r="E39" s="21"/>
      <c r="F39" s="22"/>
      <c r="G39" s="24" t="e">
        <f>#REF!/#REF!*100</f>
        <v>#REF!</v>
      </c>
      <c r="H39" s="23" t="e">
        <f>#REF!/#REF!*100</f>
        <v>#REF!</v>
      </c>
      <c r="I39" s="23" t="e">
        <f>#REF!/#REF!*100</f>
        <v>#REF!</v>
      </c>
      <c r="J39" s="23">
        <f t="shared" si="4"/>
        <v>0</v>
      </c>
      <c r="K39" s="23">
        <f t="shared" si="4"/>
        <v>0</v>
      </c>
      <c r="L39" s="23">
        <f t="shared" si="4"/>
        <v>0</v>
      </c>
      <c r="M39" s="23">
        <f t="shared" si="4"/>
        <v>0</v>
      </c>
      <c r="N39" s="41"/>
      <c r="O39" s="33" t="e">
        <f t="shared" si="3"/>
        <v>#DIV/0!</v>
      </c>
      <c r="P39" s="25" t="s">
        <v>76</v>
      </c>
    </row>
    <row r="40" spans="1:16" ht="19.5" x14ac:dyDescent="0.25">
      <c r="A40" s="29" t="s">
        <v>77</v>
      </c>
      <c r="B40" s="21">
        <v>396000</v>
      </c>
      <c r="C40" s="21">
        <v>454000</v>
      </c>
      <c r="D40" s="21">
        <v>446000</v>
      </c>
      <c r="E40" s="21">
        <v>386500</v>
      </c>
      <c r="F40" s="22"/>
      <c r="G40" s="24" t="e">
        <f>#REF!/#REF!*100</f>
        <v>#REF!</v>
      </c>
      <c r="H40" s="23" t="e">
        <f>#REF!/#REF!*100</f>
        <v>#REF!</v>
      </c>
      <c r="I40" s="23" t="e">
        <f>#REF!/#REF!*100</f>
        <v>#REF!</v>
      </c>
      <c r="J40" s="23">
        <f t="shared" si="4"/>
        <v>2.4327694205935491E-3</v>
      </c>
      <c r="K40" s="23">
        <f t="shared" si="4"/>
        <v>2.711826424760581E-3</v>
      </c>
      <c r="L40" s="23">
        <f t="shared" si="4"/>
        <v>4.2803741597833211E-3</v>
      </c>
      <c r="M40" s="23">
        <f t="shared" si="4"/>
        <v>2.4678349360238768E-3</v>
      </c>
      <c r="N40" s="41"/>
      <c r="O40" s="33">
        <f t="shared" si="3"/>
        <v>-13.340807174887892</v>
      </c>
      <c r="P40" s="25" t="s">
        <v>78</v>
      </c>
    </row>
    <row r="41" spans="1:16" ht="19.5" hidden="1" x14ac:dyDescent="0.25">
      <c r="A41" s="29" t="s">
        <v>79</v>
      </c>
      <c r="B41" s="21">
        <v>0</v>
      </c>
      <c r="C41" s="21">
        <v>0</v>
      </c>
      <c r="D41" s="21"/>
      <c r="E41" s="21"/>
      <c r="F41" s="22"/>
      <c r="G41" s="24" t="e">
        <f>#REF!/#REF!*100</f>
        <v>#REF!</v>
      </c>
      <c r="H41" s="23" t="e">
        <f>#REF!/#REF!*100</f>
        <v>#REF!</v>
      </c>
      <c r="I41" s="23" t="e">
        <f>#REF!/#REF!*100</f>
        <v>#REF!</v>
      </c>
      <c r="J41" s="23">
        <f t="shared" si="4"/>
        <v>0</v>
      </c>
      <c r="K41" s="23">
        <f t="shared" si="4"/>
        <v>0</v>
      </c>
      <c r="L41" s="23">
        <f t="shared" si="4"/>
        <v>0</v>
      </c>
      <c r="M41" s="23">
        <f t="shared" si="4"/>
        <v>0</v>
      </c>
      <c r="N41" s="41"/>
      <c r="O41" s="33" t="e">
        <f t="shared" si="3"/>
        <v>#DIV/0!</v>
      </c>
      <c r="P41" s="25" t="s">
        <v>80</v>
      </c>
    </row>
    <row r="42" spans="1:16" ht="19.5" x14ac:dyDescent="0.25">
      <c r="A42" s="29" t="s">
        <v>81</v>
      </c>
      <c r="B42" s="21">
        <v>84000</v>
      </c>
      <c r="C42" s="21">
        <v>54000</v>
      </c>
      <c r="D42" s="21">
        <v>52000</v>
      </c>
      <c r="E42" s="21">
        <v>24000</v>
      </c>
      <c r="F42" s="22"/>
      <c r="G42" s="24" t="e">
        <f>#REF!/#REF!*100</f>
        <v>#REF!</v>
      </c>
      <c r="H42" s="23" t="e">
        <f>#REF!/#REF!*100</f>
        <v>#REF!</v>
      </c>
      <c r="I42" s="23" t="e">
        <f>#REF!/#REF!*100</f>
        <v>#REF!</v>
      </c>
      <c r="J42" s="23">
        <f t="shared" si="4"/>
        <v>5.1604199830772247E-4</v>
      </c>
      <c r="K42" s="23">
        <f t="shared" si="4"/>
        <v>3.2255204171161093E-4</v>
      </c>
      <c r="L42" s="23">
        <f t="shared" si="4"/>
        <v>4.9905707692540953E-4</v>
      </c>
      <c r="M42" s="23">
        <f t="shared" si="4"/>
        <v>1.5324201413861074E-4</v>
      </c>
      <c r="N42" s="41"/>
      <c r="O42" s="33">
        <f t="shared" si="3"/>
        <v>-53.846153846153847</v>
      </c>
      <c r="P42" s="25" t="s">
        <v>82</v>
      </c>
    </row>
    <row r="43" spans="1:16" ht="22.5" customHeight="1" x14ac:dyDescent="0.25">
      <c r="A43" s="29" t="s">
        <v>83</v>
      </c>
      <c r="B43" s="21">
        <v>7771360.8099999987</v>
      </c>
      <c r="C43" s="21">
        <v>7489192.6899999203</v>
      </c>
      <c r="D43" s="21">
        <v>5695240.2600000007</v>
      </c>
      <c r="E43" s="21">
        <v>396692.32999999996</v>
      </c>
      <c r="F43" s="22"/>
      <c r="G43" s="24" t="e">
        <f>#REF!/#REF!*100</f>
        <v>#REF!</v>
      </c>
      <c r="H43" s="23" t="e">
        <f>#REF!/#REF!*100</f>
        <v>#REF!</v>
      </c>
      <c r="I43" s="23" t="e">
        <f>#REF!/#REF!*100</f>
        <v>#REF!</v>
      </c>
      <c r="J43" s="23">
        <f t="shared" si="4"/>
        <v>4.7742244785270484E-2</v>
      </c>
      <c r="K43" s="23">
        <f t="shared" si="4"/>
        <v>4.473434060983604E-2</v>
      </c>
      <c r="L43" s="23">
        <f t="shared" si="4"/>
        <v>5.465865301045212E-2</v>
      </c>
      <c r="M43" s="23">
        <f t="shared" si="4"/>
        <v>2.5329138184391011E-3</v>
      </c>
      <c r="N43" s="41"/>
      <c r="O43" s="33">
        <f t="shared" si="3"/>
        <v>-93.034669094012898</v>
      </c>
      <c r="P43" s="25" t="s">
        <v>84</v>
      </c>
    </row>
    <row r="44" spans="1:16" ht="19.5" x14ac:dyDescent="0.25">
      <c r="A44" s="29" t="s">
        <v>85</v>
      </c>
      <c r="B44" s="21">
        <v>2965677</v>
      </c>
      <c r="C44" s="21">
        <v>2805362</v>
      </c>
      <c r="D44" s="21">
        <v>2336534</v>
      </c>
      <c r="E44" s="21">
        <v>2561088</v>
      </c>
      <c r="F44" s="22"/>
      <c r="G44" s="24" t="e">
        <f>#REF!/#REF!*100</f>
        <v>#REF!</v>
      </c>
      <c r="H44" s="23" t="e">
        <f>#REF!/#REF!*100</f>
        <v>#REF!</v>
      </c>
      <c r="I44" s="23" t="e">
        <f>#REF!/#REF!*100</f>
        <v>#REF!</v>
      </c>
      <c r="J44" s="23">
        <f t="shared" si="4"/>
        <v>1.8219212921610137E-2</v>
      </c>
      <c r="K44" s="23">
        <f t="shared" si="4"/>
        <v>1.6756948904447559E-2</v>
      </c>
      <c r="L44" s="23">
        <f t="shared" si="4"/>
        <v>2.2424304388016056E-2</v>
      </c>
      <c r="M44" s="23">
        <f t="shared" si="4"/>
        <v>1.635276181275943E-2</v>
      </c>
      <c r="N44" s="41"/>
      <c r="O44" s="33">
        <f t="shared" si="3"/>
        <v>9.6105599148139866</v>
      </c>
      <c r="P44" s="25"/>
    </row>
    <row r="45" spans="1:16" ht="19.5" x14ac:dyDescent="0.25">
      <c r="A45" s="29" t="s">
        <v>86</v>
      </c>
      <c r="B45" s="21">
        <v>304371750</v>
      </c>
      <c r="C45" s="21">
        <v>319378590</v>
      </c>
      <c r="D45" s="21">
        <v>243419160</v>
      </c>
      <c r="E45" s="21">
        <v>50155620</v>
      </c>
      <c r="F45" s="22"/>
      <c r="G45" s="24" t="e">
        <f>#REF!/#REF!*100</f>
        <v>#REF!</v>
      </c>
      <c r="H45" s="23" t="e">
        <f>#REF!/#REF!*100</f>
        <v>#REF!</v>
      </c>
      <c r="I45" s="23" t="e">
        <f>#REF!/#REF!*100</f>
        <v>#REF!</v>
      </c>
      <c r="J45" s="23">
        <f>B45/B$7*100</f>
        <v>1.8698643583145065</v>
      </c>
      <c r="K45" s="23">
        <f>C45/C$7*100</f>
        <v>1.9077077089532497</v>
      </c>
      <c r="L45" s="23">
        <f t="shared" si="4"/>
        <v>2.3361548934084344</v>
      </c>
      <c r="M45" s="23">
        <f t="shared" si="4"/>
        <v>0.32024784288211611</v>
      </c>
      <c r="N45" s="41"/>
      <c r="O45" s="33">
        <f t="shared" si="3"/>
        <v>-79.395368877289698</v>
      </c>
      <c r="P45" s="25" t="s">
        <v>87</v>
      </c>
    </row>
    <row r="46" spans="1:16" ht="21" customHeight="1" x14ac:dyDescent="0.25">
      <c r="A46" s="29" t="s">
        <v>88</v>
      </c>
      <c r="B46" s="21">
        <v>2261845</v>
      </c>
      <c r="C46" s="21">
        <v>2131125</v>
      </c>
      <c r="D46" s="21">
        <v>22475</v>
      </c>
      <c r="E46" s="21">
        <v>0</v>
      </c>
      <c r="F46" s="22"/>
      <c r="G46" s="24" t="e">
        <f>#REF!/#REF!*100</f>
        <v>#REF!</v>
      </c>
      <c r="H46" s="23" t="e">
        <f>#REF!/#REF!*100</f>
        <v>#REF!</v>
      </c>
      <c r="I46" s="23" t="e">
        <f>#REF!/#REF!*100</f>
        <v>#REF!</v>
      </c>
      <c r="J46" s="23">
        <f t="shared" si="4"/>
        <v>1.3895321591218221E-2</v>
      </c>
      <c r="K46" s="23">
        <f t="shared" si="4"/>
        <v>1.2729605923938089E-2</v>
      </c>
      <c r="L46" s="23">
        <f t="shared" si="4"/>
        <v>2.1569822699804962E-4</v>
      </c>
      <c r="M46" s="23">
        <f t="shared" si="4"/>
        <v>0</v>
      </c>
      <c r="N46" s="41"/>
      <c r="O46" s="73" t="s">
        <v>147</v>
      </c>
      <c r="P46" s="25" t="s">
        <v>89</v>
      </c>
    </row>
    <row r="47" spans="1:16" ht="19.5" x14ac:dyDescent="0.25">
      <c r="A47" s="29" t="s">
        <v>90</v>
      </c>
      <c r="B47" s="21">
        <v>47580636.43</v>
      </c>
      <c r="C47" s="21">
        <v>17580224.899999999</v>
      </c>
      <c r="D47" s="21">
        <v>3527158</v>
      </c>
      <c r="E47" s="21">
        <v>2321504.25</v>
      </c>
      <c r="F47" s="22"/>
      <c r="G47" s="24" t="e">
        <f>#REF!/#REF!*100</f>
        <v>#REF!</v>
      </c>
      <c r="H47" s="23" t="e">
        <f>#REF!/#REF!*100</f>
        <v>#REF!</v>
      </c>
      <c r="I47" s="23" t="e">
        <f>#REF!/#REF!*100</f>
        <v>#REF!</v>
      </c>
      <c r="J47" s="23">
        <f>B47/B$7*100</f>
        <v>0.29230484171536214</v>
      </c>
      <c r="K47" s="23">
        <f t="shared" si="4"/>
        <v>0.10500995250452409</v>
      </c>
      <c r="L47" s="23">
        <f t="shared" si="4"/>
        <v>3.3851022333347573E-2</v>
      </c>
      <c r="M47" s="23">
        <f t="shared" si="4"/>
        <v>1.4822999462556037E-2</v>
      </c>
      <c r="N47" s="41"/>
      <c r="O47" s="33">
        <f t="shared" si="3"/>
        <v>-34.182017080040069</v>
      </c>
      <c r="P47" s="25" t="s">
        <v>26</v>
      </c>
    </row>
    <row r="48" spans="1:16" ht="19.5" x14ac:dyDescent="0.25">
      <c r="A48" s="29" t="s">
        <v>91</v>
      </c>
      <c r="B48" s="21">
        <v>790246.92000000016</v>
      </c>
      <c r="C48" s="21">
        <v>615506.92000000027</v>
      </c>
      <c r="D48" s="21">
        <v>364926.9200000001</v>
      </c>
      <c r="E48" s="21">
        <v>299623.19</v>
      </c>
      <c r="F48" s="22"/>
      <c r="G48" s="24" t="e">
        <f>#REF!/#REF!*100</f>
        <v>#REF!</v>
      </c>
      <c r="H48" s="23" t="e">
        <f>#REF!/#REF!*100</f>
        <v>#REF!</v>
      </c>
      <c r="I48" s="23" t="e">
        <f>#REF!/#REF!*100</f>
        <v>#REF!</v>
      </c>
      <c r="J48" s="23">
        <f t="shared" si="4"/>
        <v>4.8547690446824167E-3</v>
      </c>
      <c r="K48" s="23">
        <f t="shared" si="4"/>
        <v>3.6765372913634309E-3</v>
      </c>
      <c r="L48" s="23">
        <f t="shared" si="4"/>
        <v>3.5022954228190926E-3</v>
      </c>
      <c r="M48" s="23">
        <f t="shared" si="4"/>
        <v>1.9131192132598189E-3</v>
      </c>
      <c r="N48" s="41"/>
      <c r="O48" s="33">
        <f t="shared" si="3"/>
        <v>-17.895015802068002</v>
      </c>
      <c r="P48" s="25" t="s">
        <v>92</v>
      </c>
    </row>
    <row r="49" spans="1:17" ht="19.5" x14ac:dyDescent="0.25">
      <c r="A49" s="29" t="s">
        <v>93</v>
      </c>
      <c r="B49" s="21">
        <v>41135168.560000002</v>
      </c>
      <c r="C49" s="21">
        <v>17461011.800000004</v>
      </c>
      <c r="D49" s="21">
        <v>8867455.7400000002</v>
      </c>
      <c r="E49" s="21">
        <v>11772213.02</v>
      </c>
      <c r="F49" s="22"/>
      <c r="G49" s="24" t="e">
        <f>#REF!/#REF!*100</f>
        <v>#REF!</v>
      </c>
      <c r="H49" s="23" t="e">
        <f>#REF!/#REF!*100</f>
        <v>#REF!</v>
      </c>
      <c r="I49" s="23" t="e">
        <f>#REF!/#REF!*100</f>
        <v>#REF!</v>
      </c>
      <c r="J49" s="23">
        <f t="shared" si="4"/>
        <v>0.25270803076699289</v>
      </c>
      <c r="K49" s="23">
        <f t="shared" si="4"/>
        <v>0.1042978704896395</v>
      </c>
      <c r="L49" s="23">
        <f t="shared" si="4"/>
        <v>8.5103202718650864E-2</v>
      </c>
      <c r="M49" s="23">
        <f t="shared" si="4"/>
        <v>7.5166568085565724E-2</v>
      </c>
      <c r="N49" s="41"/>
      <c r="O49" s="33">
        <f t="shared" si="3"/>
        <v>32.757505254827457</v>
      </c>
      <c r="P49" s="25" t="s">
        <v>94</v>
      </c>
    </row>
    <row r="50" spans="1:17" ht="19.5" x14ac:dyDescent="0.25">
      <c r="A50" s="29" t="s">
        <v>95</v>
      </c>
      <c r="B50" s="21">
        <v>0</v>
      </c>
      <c r="C50" s="21">
        <v>1205.75</v>
      </c>
      <c r="D50" s="47">
        <v>0</v>
      </c>
      <c r="E50" s="47">
        <v>0</v>
      </c>
      <c r="F50" s="22"/>
      <c r="G50" s="24" t="e">
        <f>#REF!/#REF!*100</f>
        <v>#REF!</v>
      </c>
      <c r="H50" s="23" t="e">
        <f>#REF!/#REF!*100</f>
        <v>#REF!</v>
      </c>
      <c r="I50" s="23" t="e">
        <f>#REF!/#REF!*100</f>
        <v>#REF!</v>
      </c>
      <c r="J50" s="23">
        <f t="shared" si="4"/>
        <v>0</v>
      </c>
      <c r="K50" s="23">
        <f t="shared" si="4"/>
        <v>7.2021689684032397E-6</v>
      </c>
      <c r="L50" s="23">
        <f t="shared" si="4"/>
        <v>0</v>
      </c>
      <c r="M50" s="23">
        <f t="shared" si="4"/>
        <v>0</v>
      </c>
      <c r="N50" s="41"/>
      <c r="O50" s="73" t="s">
        <v>147</v>
      </c>
      <c r="P50" s="25" t="s">
        <v>96</v>
      </c>
    </row>
    <row r="51" spans="1:17" ht="19.5" hidden="1" x14ac:dyDescent="0.25">
      <c r="A51" s="29" t="s">
        <v>97</v>
      </c>
      <c r="B51" s="21">
        <v>0</v>
      </c>
      <c r="C51" s="21">
        <v>0</v>
      </c>
      <c r="D51" s="21"/>
      <c r="E51" s="21"/>
      <c r="F51" s="22"/>
      <c r="G51" s="24" t="e">
        <f>#REF!/#REF!*100</f>
        <v>#REF!</v>
      </c>
      <c r="H51" s="23" t="e">
        <f>#REF!/#REF!*100</f>
        <v>#REF!</v>
      </c>
      <c r="I51" s="23" t="e">
        <f>#REF!/#REF!*100</f>
        <v>#REF!</v>
      </c>
      <c r="J51" s="23">
        <f t="shared" si="4"/>
        <v>0</v>
      </c>
      <c r="K51" s="23">
        <f t="shared" si="4"/>
        <v>0</v>
      </c>
      <c r="L51" s="23">
        <f t="shared" si="4"/>
        <v>0</v>
      </c>
      <c r="M51" s="23">
        <f t="shared" si="4"/>
        <v>0</v>
      </c>
      <c r="N51" s="41"/>
      <c r="O51" s="33" t="e">
        <f t="shared" si="3"/>
        <v>#DIV/0!</v>
      </c>
      <c r="P51" s="25" t="s">
        <v>98</v>
      </c>
    </row>
    <row r="52" spans="1:17" ht="18.75" x14ac:dyDescent="0.25">
      <c r="A52" s="29" t="s">
        <v>99</v>
      </c>
      <c r="B52" s="21">
        <v>1207500</v>
      </c>
      <c r="C52" s="21">
        <v>1515800</v>
      </c>
      <c r="D52" s="21">
        <v>2455200</v>
      </c>
      <c r="E52" s="21">
        <v>2469800</v>
      </c>
      <c r="F52" s="22"/>
      <c r="G52" s="24" t="e">
        <f>#REF!/#REF!*100</f>
        <v>#REF!</v>
      </c>
      <c r="H52" s="23" t="e">
        <f>#REF!/#REF!*100</f>
        <v>#REF!</v>
      </c>
      <c r="I52" s="23" t="e">
        <f>#REF!/#REF!*100</f>
        <v>#REF!</v>
      </c>
      <c r="J52" s="23">
        <f t="shared" si="4"/>
        <v>7.4181037256735105E-3</v>
      </c>
      <c r="K52" s="23">
        <f t="shared" si="4"/>
        <v>9.0541552745640724E-3</v>
      </c>
      <c r="L52" s="23">
        <f t="shared" si="4"/>
        <v>2.3563171832062801E-2</v>
      </c>
      <c r="M52" s="23">
        <f t="shared" si="4"/>
        <v>1.5769880271647534E-2</v>
      </c>
      <c r="N52" s="41"/>
      <c r="O52" s="33">
        <f t="shared" si="3"/>
        <v>0.59465623981753701</v>
      </c>
      <c r="P52" s="3" t="s">
        <v>100</v>
      </c>
    </row>
    <row r="53" spans="1:17" ht="18.75" x14ac:dyDescent="0.25">
      <c r="A53" s="29" t="s">
        <v>101</v>
      </c>
      <c r="B53" s="21">
        <v>21484000</v>
      </c>
      <c r="C53" s="21">
        <v>6136000</v>
      </c>
      <c r="D53" s="47">
        <v>0</v>
      </c>
      <c r="E53" s="21">
        <v>0</v>
      </c>
      <c r="F53" s="22"/>
      <c r="G53" s="24" t="e">
        <f>#REF!/#REF!*100</f>
        <v>#REF!</v>
      </c>
      <c r="H53" s="23" t="e">
        <f>#REF!/#REF!*100</f>
        <v>#REF!</v>
      </c>
      <c r="I53" s="23" t="e">
        <f>#REF!/#REF!*100</f>
        <v>#REF!</v>
      </c>
      <c r="J53" s="23">
        <f t="shared" si="4"/>
        <v>0.13198388442432274</v>
      </c>
      <c r="K53" s="23">
        <f t="shared" si="4"/>
        <v>3.6651469035971197E-2</v>
      </c>
      <c r="L53" s="23">
        <f t="shared" si="4"/>
        <v>0</v>
      </c>
      <c r="M53" s="23">
        <f t="shared" si="4"/>
        <v>0</v>
      </c>
      <c r="N53" s="41"/>
      <c r="O53" s="73" t="s">
        <v>147</v>
      </c>
      <c r="P53" s="3" t="s">
        <v>27</v>
      </c>
      <c r="Q53" s="1" t="s">
        <v>102</v>
      </c>
    </row>
    <row r="54" spans="1:17" ht="19.5" x14ac:dyDescent="0.25">
      <c r="A54" s="29" t="s">
        <v>103</v>
      </c>
      <c r="B54" s="21">
        <v>1532773547.8168001</v>
      </c>
      <c r="C54" s="21">
        <v>1646551366.4556053</v>
      </c>
      <c r="D54" s="21">
        <v>702177427.79410005</v>
      </c>
      <c r="E54" s="21">
        <v>2072306280.1057</v>
      </c>
      <c r="F54" s="22"/>
      <c r="G54" s="24" t="e">
        <f>#REF!/#REF!*100</f>
        <v>#REF!</v>
      </c>
      <c r="H54" s="23" t="e">
        <f>#REF!/#REF!*100</f>
        <v>#REF!</v>
      </c>
      <c r="I54" s="23" t="e">
        <f>#REF!/#REF!*100</f>
        <v>#REF!</v>
      </c>
      <c r="J54" s="23">
        <f t="shared" si="4"/>
        <v>9.4163752924833215</v>
      </c>
      <c r="K54" s="23">
        <f t="shared" si="4"/>
        <v>9.8351575006166367</v>
      </c>
      <c r="L54" s="23">
        <f t="shared" si="4"/>
        <v>6.7389733576524309</v>
      </c>
      <c r="M54" s="23">
        <f t="shared" si="4"/>
        <v>13.23184951147873</v>
      </c>
      <c r="N54" s="41"/>
      <c r="O54" s="73" t="s">
        <v>147</v>
      </c>
      <c r="P54" s="25" t="s">
        <v>104</v>
      </c>
    </row>
    <row r="55" spans="1:17" ht="19.5" hidden="1" x14ac:dyDescent="0.25">
      <c r="A55" s="29" t="s">
        <v>105</v>
      </c>
      <c r="B55" s="21">
        <v>3561.2</v>
      </c>
      <c r="C55" s="21">
        <v>0</v>
      </c>
      <c r="D55" s="21"/>
      <c r="E55" s="21">
        <v>0</v>
      </c>
      <c r="F55" s="22"/>
      <c r="G55" s="24" t="e">
        <f>#REF!/#REF!*100</f>
        <v>#REF!</v>
      </c>
      <c r="H55" s="23" t="e">
        <f>#REF!/#REF!*100</f>
        <v>#REF!</v>
      </c>
      <c r="I55" s="23" t="e">
        <f>#REF!/#REF!*100</f>
        <v>#REF!</v>
      </c>
      <c r="J55" s="23">
        <f t="shared" si="4"/>
        <v>2.187772338539835E-5</v>
      </c>
      <c r="K55" s="23">
        <f t="shared" si="4"/>
        <v>0</v>
      </c>
      <c r="L55" s="23">
        <f t="shared" si="4"/>
        <v>0</v>
      </c>
      <c r="M55" s="23">
        <f t="shared" si="4"/>
        <v>0</v>
      </c>
      <c r="N55" s="41"/>
      <c r="O55" s="33" t="e">
        <f t="shared" si="3"/>
        <v>#DIV/0!</v>
      </c>
      <c r="P55" s="25" t="s">
        <v>106</v>
      </c>
    </row>
    <row r="56" spans="1:17" ht="19.5" x14ac:dyDescent="0.25">
      <c r="A56" s="29" t="s">
        <v>107</v>
      </c>
      <c r="B56" s="21">
        <v>1797650</v>
      </c>
      <c r="C56" s="21">
        <v>1957300</v>
      </c>
      <c r="D56" s="21">
        <v>1684088.22</v>
      </c>
      <c r="E56" s="21">
        <v>1941800</v>
      </c>
      <c r="F56" s="22"/>
      <c r="G56" s="24" t="e">
        <f>#REF!/#REF!*100</f>
        <v>#REF!</v>
      </c>
      <c r="H56" s="23" t="e">
        <f>#REF!/#REF!*100</f>
        <v>#REF!</v>
      </c>
      <c r="I56" s="23" t="e">
        <f>#REF!/#REF!*100</f>
        <v>#REF!</v>
      </c>
      <c r="J56" s="23">
        <f t="shared" si="4"/>
        <v>1.1043605931641397E-2</v>
      </c>
      <c r="K56" s="23">
        <f t="shared" si="4"/>
        <v>1.1691316874854373E-2</v>
      </c>
      <c r="L56" s="23">
        <f t="shared" si="4"/>
        <v>1.6162618160725308E-2</v>
      </c>
      <c r="M56" s="23">
        <f t="shared" si="4"/>
        <v>1.2398555960598094E-2</v>
      </c>
      <c r="N56" s="41"/>
      <c r="O56" s="33">
        <f t="shared" si="3"/>
        <v>15.302748213511052</v>
      </c>
      <c r="P56" s="25" t="s">
        <v>108</v>
      </c>
    </row>
    <row r="57" spans="1:17" ht="24.75" hidden="1" customHeight="1" x14ac:dyDescent="0.25">
      <c r="A57" s="29" t="s">
        <v>109</v>
      </c>
      <c r="B57" s="21">
        <v>0</v>
      </c>
      <c r="C57" s="21">
        <v>0</v>
      </c>
      <c r="D57" s="21">
        <v>0</v>
      </c>
      <c r="E57" s="21">
        <v>0</v>
      </c>
      <c r="F57" s="22"/>
      <c r="G57" s="24" t="e">
        <f>#REF!/#REF!*100</f>
        <v>#REF!</v>
      </c>
      <c r="H57" s="23" t="e">
        <f>#REF!/#REF!*100</f>
        <v>#REF!</v>
      </c>
      <c r="I57" s="23" t="e">
        <f>#REF!/#REF!*100</f>
        <v>#REF!</v>
      </c>
      <c r="J57" s="23">
        <f t="shared" si="4"/>
        <v>0</v>
      </c>
      <c r="K57" s="23">
        <f t="shared" si="4"/>
        <v>0</v>
      </c>
      <c r="L57" s="23">
        <f t="shared" si="4"/>
        <v>0</v>
      </c>
      <c r="M57" s="23">
        <f t="shared" si="4"/>
        <v>0</v>
      </c>
      <c r="N57" s="41"/>
      <c r="O57" s="33" t="e">
        <f t="shared" si="3"/>
        <v>#DIV/0!</v>
      </c>
      <c r="P57" s="25" t="s">
        <v>110</v>
      </c>
    </row>
    <row r="58" spans="1:17" ht="19.5" x14ac:dyDescent="0.25">
      <c r="A58" s="29" t="s">
        <v>111</v>
      </c>
      <c r="B58" s="21">
        <v>13826229.16</v>
      </c>
      <c r="C58" s="21">
        <v>10240781.280000003</v>
      </c>
      <c r="D58" s="21">
        <v>3136308.9299999997</v>
      </c>
      <c r="E58" s="21">
        <v>5448162.4500000002</v>
      </c>
      <c r="F58" s="22"/>
      <c r="G58" s="24" t="e">
        <f>#REF!/#REF!*100</f>
        <v>#REF!</v>
      </c>
      <c r="H58" s="23" t="e">
        <f>#REF!/#REF!*100</f>
        <v>#REF!</v>
      </c>
      <c r="I58" s="23" t="e">
        <f>#REF!/#REF!*100</f>
        <v>#REF!</v>
      </c>
      <c r="J58" s="23">
        <f t="shared" si="4"/>
        <v>8.4939463390320283E-2</v>
      </c>
      <c r="K58" s="23">
        <f t="shared" si="4"/>
        <v>6.1170090936778623E-2</v>
      </c>
      <c r="L58" s="23">
        <f t="shared" si="4"/>
        <v>3.0099945518093439E-2</v>
      </c>
      <c r="M58" s="23">
        <f t="shared" si="4"/>
        <v>3.4786974466347841E-2</v>
      </c>
      <c r="N58" s="41"/>
      <c r="O58" s="33">
        <f t="shared" si="3"/>
        <v>73.712557391468465</v>
      </c>
      <c r="P58" s="25" t="s">
        <v>112</v>
      </c>
    </row>
    <row r="59" spans="1:17" ht="19.5" x14ac:dyDescent="0.25">
      <c r="A59" s="29" t="s">
        <v>113</v>
      </c>
      <c r="B59" s="21">
        <v>92384692.730000004</v>
      </c>
      <c r="C59" s="21">
        <v>107432467.20999999</v>
      </c>
      <c r="D59" s="21">
        <v>102966321.18999998</v>
      </c>
      <c r="E59" s="21">
        <v>112967582.64</v>
      </c>
      <c r="F59" s="22"/>
      <c r="G59" s="24" t="e">
        <f>#REF!/#REF!*100</f>
        <v>#REF!</v>
      </c>
      <c r="H59" s="23" t="e">
        <f>#REF!/#REF!*100</f>
        <v>#REF!</v>
      </c>
      <c r="I59" s="23" t="e">
        <f>#REF!/#REF!*100</f>
        <v>#REF!</v>
      </c>
      <c r="J59" s="23">
        <f t="shared" si="4"/>
        <v>0.56755216011231102</v>
      </c>
      <c r="K59" s="23">
        <f t="shared" si="4"/>
        <v>0.64171410453150357</v>
      </c>
      <c r="L59" s="23">
        <f t="shared" si="4"/>
        <v>0.98819367836238936</v>
      </c>
      <c r="M59" s="23">
        <f t="shared" si="4"/>
        <v>0.72130749567181485</v>
      </c>
      <c r="N59" s="41"/>
      <c r="O59" s="33">
        <f t="shared" si="3"/>
        <v>9.7131385626034508</v>
      </c>
      <c r="P59" s="25" t="s">
        <v>114</v>
      </c>
    </row>
    <row r="60" spans="1:17" ht="24" customHeight="1" x14ac:dyDescent="0.25">
      <c r="A60" s="29" t="s">
        <v>115</v>
      </c>
      <c r="B60" s="21">
        <v>26636826.970000003</v>
      </c>
      <c r="C60" s="21">
        <v>27258582.329999998</v>
      </c>
      <c r="D60" s="21">
        <v>25058472.93</v>
      </c>
      <c r="E60" s="21">
        <v>26443347.909999996</v>
      </c>
      <c r="F60" s="22"/>
      <c r="G60" s="24" t="e">
        <f>#REF!/#REF!*100</f>
        <v>#REF!</v>
      </c>
      <c r="H60" s="23" t="e">
        <f>#REF!/#REF!*100</f>
        <v>#REF!</v>
      </c>
      <c r="I60" s="23" t="e">
        <f>#REF!/#REF!*100</f>
        <v>#REF!</v>
      </c>
      <c r="J60" s="23">
        <f t="shared" si="4"/>
        <v>0.1636395406925695</v>
      </c>
      <c r="K60" s="23">
        <f t="shared" si="4"/>
        <v>0.16282058119825074</v>
      </c>
      <c r="L60" s="23">
        <f t="shared" si="4"/>
        <v>0.24049246639731353</v>
      </c>
      <c r="M60" s="23">
        <f t="shared" si="4"/>
        <v>0.16884299559568425</v>
      </c>
      <c r="N60" s="41"/>
      <c r="O60" s="33">
        <f t="shared" si="3"/>
        <v>5.5265737216653177</v>
      </c>
      <c r="P60" s="25" t="s">
        <v>116</v>
      </c>
    </row>
    <row r="61" spans="1:17" ht="19.5" hidden="1" customHeight="1" x14ac:dyDescent="0.25">
      <c r="A61" s="29" t="s">
        <v>117</v>
      </c>
      <c r="B61" s="21">
        <v>0</v>
      </c>
      <c r="C61" s="21">
        <v>0</v>
      </c>
      <c r="D61" s="21"/>
      <c r="E61" s="21"/>
      <c r="F61" s="22"/>
      <c r="G61" s="24" t="e">
        <f>#REF!/#REF!*100</f>
        <v>#REF!</v>
      </c>
      <c r="H61" s="23" t="e">
        <f>#REF!/#REF!*100</f>
        <v>#REF!</v>
      </c>
      <c r="I61" s="23" t="e">
        <f>#REF!/#REF!*100</f>
        <v>#REF!</v>
      </c>
      <c r="J61" s="23">
        <f t="shared" ref="J61:M70" si="5">B61/B$7*100</f>
        <v>0</v>
      </c>
      <c r="K61" s="23">
        <f t="shared" si="5"/>
        <v>0</v>
      </c>
      <c r="L61" s="23">
        <f t="shared" si="5"/>
        <v>0</v>
      </c>
      <c r="M61" s="23">
        <f t="shared" si="5"/>
        <v>0</v>
      </c>
      <c r="N61" s="41"/>
      <c r="O61" s="33" t="e">
        <f t="shared" si="3"/>
        <v>#DIV/0!</v>
      </c>
      <c r="P61" s="25" t="s">
        <v>118</v>
      </c>
    </row>
    <row r="62" spans="1:17" ht="24" customHeight="1" x14ac:dyDescent="0.25">
      <c r="A62" s="29" t="s">
        <v>119</v>
      </c>
      <c r="B62" s="21">
        <v>110000</v>
      </c>
      <c r="C62" s="21">
        <v>160000</v>
      </c>
      <c r="D62" s="21">
        <v>130000</v>
      </c>
      <c r="E62" s="21">
        <v>105000</v>
      </c>
      <c r="F62" s="22"/>
      <c r="G62" s="24" t="e">
        <f>#REF!/#REF!*100</f>
        <v>#REF!</v>
      </c>
      <c r="H62" s="23" t="e">
        <f>#REF!/#REF!*100</f>
        <v>#REF!</v>
      </c>
      <c r="I62" s="23" t="e">
        <f>#REF!/#REF!*100</f>
        <v>#REF!</v>
      </c>
      <c r="J62" s="23">
        <f t="shared" si="5"/>
        <v>6.7576928349820798E-4</v>
      </c>
      <c r="K62" s="23">
        <f t="shared" si="5"/>
        <v>9.5570975321958805E-4</v>
      </c>
      <c r="L62" s="23">
        <f t="shared" si="5"/>
        <v>1.247642692313524E-3</v>
      </c>
      <c r="M62" s="23">
        <f t="shared" si="5"/>
        <v>6.7043381185642194E-4</v>
      </c>
      <c r="N62" s="41"/>
      <c r="O62" s="33">
        <f t="shared" si="3"/>
        <v>-19.23076923076923</v>
      </c>
      <c r="P62" s="25" t="s">
        <v>120</v>
      </c>
    </row>
    <row r="63" spans="1:17" ht="24" customHeight="1" x14ac:dyDescent="0.25">
      <c r="A63" s="29" t="s">
        <v>121</v>
      </c>
      <c r="B63" s="21">
        <v>555500</v>
      </c>
      <c r="C63" s="21">
        <v>647000</v>
      </c>
      <c r="D63" s="21">
        <v>519000</v>
      </c>
      <c r="E63" s="21">
        <v>1263500</v>
      </c>
      <c r="F63" s="22"/>
      <c r="G63" s="24" t="e">
        <f>#REF!/#REF!*100</f>
        <v>#REF!</v>
      </c>
      <c r="H63" s="23" t="e">
        <f>#REF!/#REF!*100</f>
        <v>#REF!</v>
      </c>
      <c r="I63" s="23" t="e">
        <f>#REF!/#REF!*100</f>
        <v>#REF!</v>
      </c>
      <c r="J63" s="23">
        <f t="shared" si="5"/>
        <v>3.4126348816659506E-3</v>
      </c>
      <c r="K63" s="23">
        <f t="shared" si="5"/>
        <v>3.8646513145817085E-3</v>
      </c>
      <c r="L63" s="23">
        <f t="shared" si="5"/>
        <v>4.9809735177747611E-3</v>
      </c>
      <c r="M63" s="23">
        <f t="shared" si="5"/>
        <v>8.0675535360056096E-3</v>
      </c>
      <c r="N63" s="41"/>
      <c r="O63" s="73" t="s">
        <v>147</v>
      </c>
      <c r="P63" s="25" t="s">
        <v>122</v>
      </c>
    </row>
    <row r="64" spans="1:17" ht="24" customHeight="1" x14ac:dyDescent="0.25">
      <c r="A64" s="29" t="s">
        <v>123</v>
      </c>
      <c r="B64" s="21">
        <v>4397050.95</v>
      </c>
      <c r="C64" s="21">
        <v>5619006.6000000015</v>
      </c>
      <c r="D64" s="21">
        <v>6301806.3499999996</v>
      </c>
      <c r="E64" s="21">
        <v>8307412.5599999996</v>
      </c>
      <c r="F64" s="22"/>
      <c r="G64" s="24" t="e">
        <f>#REF!/#REF!*100</f>
        <v>#REF!</v>
      </c>
      <c r="H64" s="23" t="e">
        <f>#REF!/#REF!*100</f>
        <v>#REF!</v>
      </c>
      <c r="I64" s="23" t="e">
        <f>#REF!/#REF!*100</f>
        <v>#REF!</v>
      </c>
      <c r="J64" s="23">
        <f t="shared" si="5"/>
        <v>2.7012654272605591E-2</v>
      </c>
      <c r="K64" s="23">
        <f t="shared" si="5"/>
        <v>3.3563371318907735E-2</v>
      </c>
      <c r="L64" s="23">
        <f t="shared" si="5"/>
        <v>6.0480020315018937E-2</v>
      </c>
      <c r="M64" s="23">
        <f t="shared" si="5"/>
        <v>5.3043526373949684E-2</v>
      </c>
      <c r="N64" s="41"/>
      <c r="O64" s="33">
        <f t="shared" si="3"/>
        <v>31.825894015292945</v>
      </c>
      <c r="P64" s="25" t="s">
        <v>124</v>
      </c>
    </row>
    <row r="65" spans="1:18" ht="24" customHeight="1" x14ac:dyDescent="0.25">
      <c r="A65" s="29" t="s">
        <v>125</v>
      </c>
      <c r="B65" s="21">
        <v>110000</v>
      </c>
      <c r="C65" s="21">
        <v>105000</v>
      </c>
      <c r="D65" s="21">
        <v>95000</v>
      </c>
      <c r="E65" s="21">
        <v>120000</v>
      </c>
      <c r="F65" s="22"/>
      <c r="G65" s="24" t="e">
        <f>#REF!/#REF!*100</f>
        <v>#REF!</v>
      </c>
      <c r="H65" s="23" t="e">
        <f>#REF!/#REF!*100</f>
        <v>#REF!</v>
      </c>
      <c r="I65" s="23" t="e">
        <f>#REF!/#REF!*100</f>
        <v>#REF!</v>
      </c>
      <c r="J65" s="23">
        <f t="shared" si="5"/>
        <v>6.7576928349820798E-4</v>
      </c>
      <c r="K65" s="23">
        <f t="shared" si="5"/>
        <v>6.2718452555035457E-4</v>
      </c>
      <c r="L65" s="23">
        <f t="shared" si="5"/>
        <v>9.1173889053680591E-4</v>
      </c>
      <c r="M65" s="23">
        <f t="shared" si="5"/>
        <v>7.6621007069305354E-4</v>
      </c>
      <c r="N65" s="41"/>
      <c r="O65" s="33">
        <f t="shared" si="3"/>
        <v>26.315789473684205</v>
      </c>
      <c r="P65" s="25" t="s">
        <v>126</v>
      </c>
    </row>
    <row r="66" spans="1:18" ht="24" customHeight="1" x14ac:dyDescent="0.25">
      <c r="A66" s="29" t="s">
        <v>127</v>
      </c>
      <c r="B66" s="21">
        <v>480000</v>
      </c>
      <c r="C66" s="21">
        <v>460000</v>
      </c>
      <c r="D66" s="21">
        <v>620000</v>
      </c>
      <c r="E66" s="21">
        <v>510000</v>
      </c>
      <c r="F66" s="22"/>
      <c r="G66" s="24" t="e">
        <f>#REF!/#REF!*100</f>
        <v>#REF!</v>
      </c>
      <c r="H66" s="45" t="e">
        <f>#REF!/#REF!*100</f>
        <v>#REF!</v>
      </c>
      <c r="I66" s="23" t="e">
        <f>#REF!/#REF!*100</f>
        <v>#REF!</v>
      </c>
      <c r="J66" s="23">
        <f t="shared" si="5"/>
        <v>2.9488114189012713E-3</v>
      </c>
      <c r="K66" s="23">
        <f t="shared" si="5"/>
        <v>2.7476655405063153E-3</v>
      </c>
      <c r="L66" s="23">
        <f t="shared" si="5"/>
        <v>5.9502959171875754E-3</v>
      </c>
      <c r="M66" s="23">
        <f t="shared" si="5"/>
        <v>3.256392800445478E-3</v>
      </c>
      <c r="N66" s="41"/>
      <c r="O66" s="33">
        <f t="shared" si="3"/>
        <v>-17.741935483870964</v>
      </c>
      <c r="P66" s="25" t="s">
        <v>128</v>
      </c>
    </row>
    <row r="67" spans="1:18" ht="24" customHeight="1" x14ac:dyDescent="0.25">
      <c r="A67" s="29" t="s">
        <v>129</v>
      </c>
      <c r="B67" s="21">
        <v>198832.70610000001</v>
      </c>
      <c r="C67" s="21">
        <v>0</v>
      </c>
      <c r="D67" s="21">
        <v>69120</v>
      </c>
      <c r="E67" s="21">
        <v>1106040.1173</v>
      </c>
      <c r="F67" s="22"/>
      <c r="G67" s="24" t="e">
        <f>#REF!/#REF!*100</f>
        <v>#REF!</v>
      </c>
      <c r="H67" s="45" t="e">
        <f>#REF!/#REF!*100</f>
        <v>#REF!</v>
      </c>
      <c r="I67" s="23" t="e">
        <f>#REF!/#REF!*100</f>
        <v>#REF!</v>
      </c>
      <c r="J67" s="23">
        <f t="shared" si="5"/>
        <v>1.2215003212473344E-3</v>
      </c>
      <c r="K67" s="23">
        <f t="shared" si="5"/>
        <v>0</v>
      </c>
      <c r="L67" s="23">
        <f t="shared" si="5"/>
        <v>6.6336202225162136E-4</v>
      </c>
      <c r="M67" s="23">
        <f t="shared" si="5"/>
        <v>7.0621589705482197E-3</v>
      </c>
      <c r="N67" s="41"/>
      <c r="O67" s="73" t="s">
        <v>147</v>
      </c>
      <c r="P67" s="25" t="s">
        <v>130</v>
      </c>
    </row>
    <row r="68" spans="1:18" ht="24" customHeight="1" x14ac:dyDescent="0.25">
      <c r="A68" s="29" t="s">
        <v>136</v>
      </c>
      <c r="B68" s="21">
        <v>0</v>
      </c>
      <c r="C68" s="21">
        <v>0</v>
      </c>
      <c r="D68" s="21">
        <v>1029500</v>
      </c>
      <c r="E68" s="21">
        <v>2556500</v>
      </c>
      <c r="F68" s="22"/>
      <c r="G68" s="24"/>
      <c r="H68" s="45" t="e">
        <f>#REF!/#REF!*100</f>
        <v>#REF!</v>
      </c>
      <c r="I68" s="23" t="e">
        <f>#REF!/#REF!*100</f>
        <v>#REF!</v>
      </c>
      <c r="J68" s="23">
        <f t="shared" si="5"/>
        <v>0</v>
      </c>
      <c r="K68" s="23">
        <f t="shared" si="5"/>
        <v>0</v>
      </c>
      <c r="L68" s="23">
        <f t="shared" si="5"/>
        <v>9.8803703979751765E-3</v>
      </c>
      <c r="M68" s="23">
        <f>E68/E$7*100</f>
        <v>1.6323467047723264E-2</v>
      </c>
      <c r="N68" s="41"/>
      <c r="O68" s="73" t="s">
        <v>147</v>
      </c>
      <c r="P68" s="25" t="s">
        <v>138</v>
      </c>
    </row>
    <row r="69" spans="1:18" ht="24" customHeight="1" x14ac:dyDescent="0.25">
      <c r="A69" s="29" t="s">
        <v>143</v>
      </c>
      <c r="B69" s="21">
        <v>0</v>
      </c>
      <c r="C69" s="21">
        <v>0</v>
      </c>
      <c r="D69" s="21">
        <v>0</v>
      </c>
      <c r="E69" s="21">
        <v>325315200</v>
      </c>
      <c r="F69" s="22"/>
      <c r="G69" s="24"/>
      <c r="H69" s="45" t="e">
        <f>#REF!/#REF!*100</f>
        <v>#REF!</v>
      </c>
      <c r="I69" s="23" t="e">
        <f>#REF!/#REF!*100</f>
        <v>#REF!</v>
      </c>
      <c r="J69" s="23">
        <f t="shared" si="5"/>
        <v>0</v>
      </c>
      <c r="K69" s="23">
        <f t="shared" si="5"/>
        <v>0</v>
      </c>
      <c r="L69" s="23">
        <f t="shared" si="5"/>
        <v>0</v>
      </c>
      <c r="M69" s="23">
        <f>E69/E$7*100</f>
        <v>2.0771648532460407</v>
      </c>
      <c r="N69" s="41"/>
      <c r="O69" s="73" t="s">
        <v>147</v>
      </c>
      <c r="P69" s="25" t="s">
        <v>140</v>
      </c>
    </row>
    <row r="70" spans="1:18" ht="24" customHeight="1" x14ac:dyDescent="0.25">
      <c r="A70" s="29" t="s">
        <v>137</v>
      </c>
      <c r="B70" s="21">
        <v>6408085.9311000006</v>
      </c>
      <c r="C70" s="21">
        <v>3608957.3200000003</v>
      </c>
      <c r="D70" s="21">
        <v>456990.92000000004</v>
      </c>
      <c r="E70" s="42">
        <v>1730813.43</v>
      </c>
      <c r="F70" s="52"/>
      <c r="G70" s="31"/>
      <c r="H70" s="46" t="e">
        <f>#REF!/#REF!*100</f>
        <v>#REF!</v>
      </c>
      <c r="I70" s="30" t="e">
        <f>#REF!/#REF!*100</f>
        <v>#REF!</v>
      </c>
      <c r="J70" s="30">
        <f t="shared" si="5"/>
        <v>3.9367160347767223E-2</v>
      </c>
      <c r="K70" s="30">
        <f t="shared" si="5"/>
        <v>2.1556973185482661E-2</v>
      </c>
      <c r="L70" s="30">
        <f t="shared" si="5"/>
        <v>4.3858567830125711E-3</v>
      </c>
      <c r="M70" s="30">
        <f t="shared" si="5"/>
        <v>1.1051389004639887E-2</v>
      </c>
      <c r="N70" s="43"/>
      <c r="O70" s="72" t="s">
        <v>147</v>
      </c>
      <c r="P70" s="32" t="s">
        <v>28</v>
      </c>
    </row>
    <row r="71" spans="1:18" ht="14.25" customHeight="1" x14ac:dyDescent="0.25">
      <c r="A71" s="64"/>
      <c r="B71" s="64"/>
      <c r="C71" s="64"/>
      <c r="D71" s="64"/>
      <c r="E71" s="57"/>
      <c r="F71" s="57"/>
      <c r="G71" s="24"/>
      <c r="H71" s="24"/>
      <c r="I71" s="24"/>
      <c r="J71" s="24"/>
      <c r="K71" s="24"/>
      <c r="L71" s="24"/>
      <c r="M71" s="24"/>
      <c r="N71" s="24"/>
      <c r="O71" s="33"/>
      <c r="P71" s="34" t="s">
        <v>131</v>
      </c>
    </row>
    <row r="72" spans="1:18" ht="39.75" customHeight="1" x14ac:dyDescent="0.25">
      <c r="A72" s="57" t="s">
        <v>133</v>
      </c>
      <c r="B72" s="57"/>
      <c r="C72" s="57"/>
      <c r="D72" s="57"/>
      <c r="E72" s="57"/>
      <c r="F72" s="57"/>
      <c r="G72" s="57"/>
      <c r="H72" s="57"/>
      <c r="I72" s="24"/>
      <c r="J72" s="24"/>
      <c r="K72" s="24"/>
      <c r="L72" s="24"/>
      <c r="M72" s="24"/>
      <c r="N72" s="24"/>
      <c r="O72" s="33"/>
      <c r="P72" s="34"/>
    </row>
    <row r="73" spans="1:18" ht="18.75" x14ac:dyDescent="0.25">
      <c r="A73" s="57" t="s">
        <v>144</v>
      </c>
      <c r="B73" s="57"/>
      <c r="C73" s="57"/>
      <c r="D73" s="57"/>
      <c r="E73" s="57"/>
      <c r="F73" s="57"/>
      <c r="G73" s="57"/>
      <c r="H73" s="57"/>
      <c r="I73" s="24"/>
      <c r="J73" s="24"/>
      <c r="K73" s="24"/>
      <c r="L73" s="24"/>
      <c r="M73" s="24"/>
      <c r="N73" s="24"/>
      <c r="O73" s="33"/>
      <c r="P73" s="34"/>
    </row>
    <row r="74" spans="1:18" ht="19.5" x14ac:dyDescent="0.25">
      <c r="A74" s="5" t="s">
        <v>132</v>
      </c>
      <c r="B74" s="21"/>
      <c r="C74" s="21"/>
      <c r="D74" s="21"/>
      <c r="E74" s="21"/>
      <c r="F74" s="21"/>
      <c r="G74" s="24"/>
      <c r="H74" s="24"/>
      <c r="I74" s="24"/>
      <c r="J74" s="24"/>
      <c r="K74" s="24"/>
      <c r="L74" s="24"/>
      <c r="M74" s="24"/>
      <c r="N74" s="24"/>
      <c r="O74" s="33"/>
      <c r="P74" s="25"/>
    </row>
    <row r="75" spans="1:18" s="36" customFormat="1" ht="18.75" x14ac:dyDescent="0.25">
      <c r="A75" s="6" t="s">
        <v>31</v>
      </c>
      <c r="B75" s="35"/>
      <c r="C75" s="35"/>
      <c r="D75" s="35"/>
      <c r="E75" s="35"/>
      <c r="F75" s="35"/>
      <c r="Q75" s="37"/>
      <c r="R75" s="37"/>
    </row>
    <row r="76" spans="1:18" s="36" customFormat="1" ht="18.75" x14ac:dyDescent="0.25">
      <c r="A76" s="6" t="s">
        <v>32</v>
      </c>
      <c r="B76" s="35"/>
      <c r="C76" s="35"/>
      <c r="D76" s="35"/>
      <c r="E76" s="35"/>
      <c r="F76" s="35"/>
      <c r="Q76" s="37"/>
      <c r="R76" s="37"/>
    </row>
    <row r="77" spans="1:18" x14ac:dyDescent="0.25">
      <c r="A77" s="6" t="s">
        <v>33</v>
      </c>
    </row>
    <row r="78" spans="1:18" x14ac:dyDescent="0.25">
      <c r="A78" s="74" t="s">
        <v>148</v>
      </c>
    </row>
    <row r="79" spans="1:18" ht="15" x14ac:dyDescent="0.25">
      <c r="B79" s="21"/>
      <c r="C79" s="21"/>
      <c r="D79" s="21"/>
      <c r="E79" s="21"/>
      <c r="P79" s="1"/>
    </row>
  </sheetData>
  <mergeCells count="12">
    <mergeCell ref="A73:H73"/>
    <mergeCell ref="P4:P6"/>
    <mergeCell ref="G5:M5"/>
    <mergeCell ref="O5:O6"/>
    <mergeCell ref="A71:F71"/>
    <mergeCell ref="A4:A6"/>
    <mergeCell ref="C4:E4"/>
    <mergeCell ref="C5:E5"/>
    <mergeCell ref="A1:P1"/>
    <mergeCell ref="A2:P2"/>
    <mergeCell ref="G4:M4"/>
    <mergeCell ref="A72:H72"/>
  </mergeCells>
  <pageMargins left="0.7" right="0.7" top="0.75" bottom="0.75" header="0.3" footer="0.3"/>
  <pageSetup paperSize="9" scale="46" orientation="portrait" r:id="rId1"/>
  <colBreaks count="1" manualBreakCount="1">
    <brk id="1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13.12</vt:lpstr>
      <vt:lpstr>'13.12'!Print_Area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2023-03-09T03:49:34Z</cp:lastPrinted>
  <dcterms:created xsi:type="dcterms:W3CDTF">2014-03-06T08:38:12Z</dcterms:created>
  <dcterms:modified xsi:type="dcterms:W3CDTF">2023-03-09T03:49:41Z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