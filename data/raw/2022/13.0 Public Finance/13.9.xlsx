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ublic Finance\"/>
    </mc:Choice>
  </mc:AlternateContent>
  <xr:revisionPtr revIDLastSave="0" documentId="13_ncr:1_{A215D424-FC06-43F3-B3D2-E99FC06774D1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9" sheetId="35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'13.9'!$A$1:$I$29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35" l="1"/>
  <c r="G14" i="35"/>
  <c r="F14" i="35"/>
  <c r="E14" i="35"/>
  <c r="D14" i="35"/>
  <c r="C14" i="35"/>
  <c r="H11" i="35"/>
  <c r="G11" i="35"/>
  <c r="F11" i="35"/>
  <c r="E11" i="35"/>
  <c r="D11" i="35"/>
  <c r="C11" i="35"/>
</calcChain>
</file>

<file path=xl/sharedStrings.xml><?xml version="1.0" encoding="utf-8"?>
<sst xmlns="http://schemas.openxmlformats.org/spreadsheetml/2006/main" count="42" uniqueCount="42">
  <si>
    <t>ތަފްސީލު</t>
  </si>
  <si>
    <t>(މިލިޔަން ރުފިޔާއިން)</t>
  </si>
  <si>
    <t>(In millions of Rufiyaa)</t>
  </si>
  <si>
    <t>Particular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</si>
  <si>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</si>
  <si>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</si>
  <si>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</si>
  <si>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</si>
  <si>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</si>
  <si>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</si>
  <si>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4_/</t>
    </r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</si>
  <si>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5_/</t>
    </r>
  </si>
  <si>
    <t>Selected ratios</t>
  </si>
  <si>
    <t>ctwbcsin caeawb WviawfivelWvoh</t>
  </si>
  <si>
    <t>Gross Domestic Product (GDP)</t>
  </si>
  <si>
    <t>DOD as a percentage of GDP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</si>
  <si>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</si>
  <si>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</si>
  <si>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</si>
  <si>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</si>
  <si>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</si>
  <si>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</si>
  <si>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</si>
  <si>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</si>
  <si>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</si>
  <si>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</si>
  <si>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</si>
  <si>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</si>
  <si>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</si>
  <si>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</si>
  <si>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</si>
  <si>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</si>
  <si>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</si>
  <si>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>Additonal Notes:</t>
  </si>
  <si>
    <t>1/ Data Source: Ministry of Finance</t>
  </si>
  <si>
    <t>2/ Difference in historical data due to reconciliations</t>
  </si>
  <si>
    <t xml:space="preserve"> cscnEnif cfoa IrcTcsinim :ctWrwf ivcaedutWmUluAwm    </t>
  </si>
  <si>
    <t xml:space="preserve">4_/ ugwa egutwmudiK egunOl  </t>
  </si>
  <si>
    <t xml:space="preserve">5_/ utWfwtegumuruk ctwmcdiK egunOl iaWdwdwA unugen cniaeretegunOl  </t>
  </si>
  <si>
    <t>ޤައުމީ އުފެއްދުންތެރިކަމުގެ މިންގަނޑު (ޖީ.ޑީ.ޕީ)</t>
  </si>
  <si>
    <t>Table 13.9 : SUMMARY OF BUDGETARY CENTRAL GOVERNMENT EXTERNAL DEBT, 2015 - 2021</t>
  </si>
  <si>
    <r>
      <t xml:space="preserve">2021- 2015, </t>
    </r>
    <r>
      <rPr>
        <b/>
        <sz val="12"/>
        <color theme="1"/>
        <rFont val="Faruma"/>
      </rPr>
      <t>(ބަޖެޓަރީ ސެންޓްރަލް ގަވަރންމަންޓް)</t>
    </r>
    <r>
      <rPr>
        <b/>
        <sz val="12"/>
        <color theme="1"/>
        <rFont val="A_Faseyha"/>
      </rPr>
      <t xml:space="preserve"> inwrwd egurEb egEjcaWr : 13.9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</si>
</sst>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5" formatCode="_-* #,##0.00\ _ރ_._-;_-* #,##0.00\ _ރ_.\-;_-* &quot;-&quot;??\ _ރ_._-;_-@_-"/>
    <numFmt numFmtId="166" formatCode="General_)"/>
    <numFmt numFmtId="168" formatCode="0.0"/>
    <numFmt numFmtId="169" formatCode="_-* #,##0.00_-;\-* #,##0.00_-;_-* &quot;-&quot;??_-;_-@_-"/>
    <numFmt numFmtId="170" formatCode="#,##0.00\ ;&quot; (&quot;#,##0.00\);&quot; -&quot;#\ ;@\ "/>
    <numFmt numFmtId="171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A_Randhoo"/>
    </font>
    <font>
      <sz val="10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0"/>
      <color theme="1"/>
      <name val="A_Faseyha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sz val="9"/>
      <name val="Calibri"/>
      <family val="2"/>
      <scheme val="minor"/>
    </font>
    <font>
      <sz val="10"/>
      <name val="A_Faseyha"/>
    </font>
    <font>
      <b/>
      <u/>
      <sz val="10"/>
      <color theme="1"/>
      <name val="Calibri"/>
      <family val="2"/>
      <scheme val="minor"/>
    </font>
    <font>
      <sz val="9.5"/>
      <name val="Calibri"/>
      <family val="2"/>
      <scheme val="minor"/>
    </font>
    <font>
      <sz val="9.5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0"/>
      <name val="A_Faseyha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34998626667073579"/>
      </bottom>
      <diagonal/>
    </border>
  </borders>
  <cellStyleXfs count="20">
    <xf numFmtId="0" fontId="0" fillId="0" borderId="0"/>
    <xf numFmtId="0" fontId="2" fillId="0" borderId="0"/>
    <xf numFmtId="169" fontId="1" fillId="0" borderId="0" applyFont="0" applyFill="0" applyBorder="0" applyAlignment="0" applyProtection="0"/>
    <xf numFmtId="0" fontId="5" fillId="0" borderId="0"/>
    <xf numFmtId="170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8" fontId="19" fillId="0" borderId="0"/>
    <xf numFmtId="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58">
    <xf numFmtId="0" fontId="0" fillId="0" borderId="0" xfId="0"/>
    <xf numFmtId="166" fontId="14" fillId="2" borderId="0" xfId="1" applyNumberFormat="1" applyFont="1" applyFill="1" applyAlignment="1">
      <alignment horizontal="right" vertical="center"/>
    </xf>
    <xf numFmtId="166" fontId="12" fillId="2" borderId="0" xfId="1" applyNumberFormat="1" applyFont="1" applyFill="1" applyAlignment="1">
      <alignment horizontal="right" vertical="center" indent="1"/>
    </xf>
    <xf numFmtId="166" fontId="13" fillId="2" borderId="0" xfId="1" applyNumberFormat="1" applyFont="1" applyFill="1" applyAlignment="1">
      <alignment horizontal="right" vertical="center"/>
    </xf>
    <xf numFmtId="166" fontId="21" fillId="2" borderId="0" xfId="1" applyNumberFormat="1" applyFont="1" applyFill="1" applyAlignment="1">
      <alignment horizontal="right" vertical="center"/>
    </xf>
    <xf numFmtId="0" fontId="1" fillId="2" borderId="0" xfId="0" applyFont="1" applyFill="1"/>
    <xf numFmtId="0" fontId="0" fillId="2" borderId="0" xfId="0" applyFill="1"/>
    <xf numFmtId="0" fontId="28" fillId="2" borderId="0" xfId="16" applyFont="1" applyFill="1"/>
    <xf numFmtId="166" fontId="8" fillId="2" borderId="0" xfId="1" applyNumberFormat="1" applyFont="1" applyFill="1" applyAlignment="1">
      <alignment horizontal="right"/>
    </xf>
    <xf numFmtId="166" fontId="8" fillId="2" borderId="0" xfId="1" applyNumberFormat="1" applyFont="1" applyFill="1" applyAlignment="1">
      <alignment horizontal="right" wrapText="1"/>
    </xf>
    <xf numFmtId="0" fontId="8" fillId="2" borderId="1" xfId="16" applyFont="1" applyFill="1" applyBorder="1" applyAlignment="1">
      <alignment horizontal="right" vertical="center"/>
    </xf>
    <xf numFmtId="0" fontId="22" fillId="2" borderId="0" xfId="16" applyFont="1" applyFill="1" applyAlignment="1">
      <alignment vertical="center"/>
    </xf>
    <xf numFmtId="0" fontId="23" fillId="2" borderId="0" xfId="0" applyFont="1" applyFill="1"/>
    <xf numFmtId="166" fontId="30" fillId="2" borderId="0" xfId="1" applyNumberFormat="1" applyFont="1" applyFill="1" applyAlignment="1">
      <alignment horizontal="right"/>
    </xf>
    <xf numFmtId="0" fontId="22" fillId="2" borderId="2" xfId="16" applyFont="1" applyFill="1" applyBorder="1" applyAlignment="1">
      <alignment vertical="center"/>
    </xf>
    <xf numFmtId="0" fontId="31" fillId="2" borderId="0" xfId="16" applyFont="1" applyFill="1"/>
    <xf numFmtId="168" fontId="15" fillId="2" borderId="0" xfId="16" applyNumberFormat="1" applyFont="1" applyFill="1" applyAlignment="1">
      <alignment horizontal="right" vertical="center"/>
    </xf>
    <xf numFmtId="0" fontId="9" fillId="2" borderId="0" xfId="16" applyFont="1" applyFill="1"/>
    <xf numFmtId="0" fontId="9" fillId="2" borderId="1" xfId="16" applyFont="1" applyFill="1" applyBorder="1"/>
    <xf numFmtId="9" fontId="32" fillId="2" borderId="1" xfId="10" applyFont="1" applyFill="1" applyBorder="1" applyAlignment="1">
      <alignment horizontal="right" vertical="center"/>
    </xf>
    <xf numFmtId="168" fontId="32" fillId="2" borderId="0" xfId="10" applyNumberFormat="1" applyFont="1" applyFill="1" applyAlignment="1">
      <alignment horizontal="right" vertical="center"/>
    </xf>
    <xf numFmtId="168" fontId="33" fillId="2" borderId="0" xfId="10" applyNumberFormat="1" applyFont="1" applyFill="1" applyAlignment="1">
      <alignment horizontal="right" vertical="center"/>
    </xf>
    <xf numFmtId="168" fontId="33" fillId="2" borderId="0" xfId="10" applyNumberFormat="1" applyFont="1" applyFill="1" applyBorder="1" applyAlignment="1">
      <alignment horizontal="right" vertical="center"/>
    </xf>
    <xf numFmtId="10" fontId="32" fillId="2" borderId="0" xfId="10" applyNumberFormat="1" applyFont="1" applyFill="1" applyBorder="1" applyAlignment="1">
      <alignment horizontal="right" vertical="center"/>
    </xf>
    <xf numFmtId="10" fontId="33" fillId="2" borderId="0" xfId="10" applyNumberFormat="1" applyFont="1" applyFill="1" applyBorder="1" applyAlignment="1">
      <alignment horizontal="right" vertical="center"/>
    </xf>
    <xf numFmtId="2" fontId="32" fillId="2" borderId="0" xfId="10" applyNumberFormat="1" applyFont="1" applyFill="1" applyBorder="1" applyAlignment="1">
      <alignment horizontal="right" vertical="center"/>
    </xf>
    <xf numFmtId="168" fontId="32" fillId="2" borderId="0" xfId="10" applyNumberFormat="1" applyFont="1" applyFill="1" applyBorder="1" applyAlignment="1">
      <alignment horizontal="right" vertical="center"/>
    </xf>
    <xf numFmtId="10" fontId="32" fillId="2" borderId="1" xfId="10" applyNumberFormat="1" applyFont="1" applyFill="1" applyBorder="1" applyAlignment="1">
      <alignment horizontal="right" vertical="center"/>
    </xf>
    <xf numFmtId="10" fontId="33" fillId="2" borderId="1" xfId="10" applyNumberFormat="1" applyFont="1" applyFill="1" applyBorder="1" applyAlignment="1">
      <alignment horizontal="right" vertical="center"/>
    </xf>
    <xf numFmtId="166" fontId="14" fillId="2" borderId="1" xfId="1" applyNumberFormat="1" applyFont="1" applyFill="1" applyBorder="1" applyAlignment="1">
      <alignment horizontal="right" vertical="center"/>
    </xf>
    <xf numFmtId="2" fontId="15" fillId="2" borderId="0" xfId="10" applyNumberFormat="1" applyFont="1" applyFill="1" applyBorder="1" applyAlignment="1">
      <alignment horizontal="right" vertical="center"/>
    </xf>
    <xf numFmtId="168" fontId="15" fillId="2" borderId="0" xfId="10" applyNumberFormat="1" applyFont="1" applyFill="1" applyBorder="1" applyAlignment="1">
      <alignment horizontal="right" vertical="center"/>
    </xf>
    <xf numFmtId="0" fontId="11" fillId="2" borderId="0" xfId="16" applyFont="1" applyFill="1" applyAlignment="1">
      <alignment horizontal="left"/>
    </xf>
    <xf numFmtId="0" fontId="11" fillId="2" borderId="0" xfId="16" applyFont="1" applyFill="1"/>
    <xf numFmtId="0" fontId="34" fillId="2" borderId="0" xfId="16" applyFont="1" applyFill="1"/>
    <xf numFmtId="0" fontId="24" fillId="2" borderId="0" xfId="16" applyFont="1" applyFill="1" applyAlignment="1">
      <alignment horizontal="left" vertical="center"/>
    </xf>
    <xf numFmtId="0" fontId="17" fillId="2" borderId="0" xfId="16" applyFont="1" applyFill="1"/>
    <xf numFmtId="0" fontId="8" fillId="2" borderId="0" xfId="16" applyFont="1" applyFill="1" applyAlignment="1">
      <alignment vertical="center"/>
    </xf>
    <xf numFmtId="0" fontId="10" fillId="2" borderId="0" xfId="16" applyFont="1" applyFill="1" applyAlignment="1">
      <alignment vertical="center"/>
    </xf>
    <xf numFmtId="0" fontId="8" fillId="2" borderId="1" xfId="16" applyFont="1" applyFill="1" applyBorder="1" applyAlignment="1">
      <alignment vertical="center"/>
    </xf>
    <xf numFmtId="0" fontId="29" fillId="2" borderId="1" xfId="16" applyFont="1" applyFill="1" applyBorder="1" applyAlignment="1">
      <alignment horizontal="right" vertical="center"/>
    </xf>
    <xf numFmtId="0" fontId="10" fillId="2" borderId="1" xfId="16" applyFont="1" applyFill="1" applyBorder="1" applyAlignment="1">
      <alignment vertical="center"/>
    </xf>
    <xf numFmtId="168" fontId="32" fillId="2" borderId="0" xfId="16" applyNumberFormat="1" applyFont="1" applyFill="1" applyAlignment="1">
      <alignment horizontal="right" vertical="center"/>
    </xf>
    <xf numFmtId="166" fontId="30" fillId="2" borderId="2" xfId="1" applyNumberFormat="1" applyFont="1" applyFill="1" applyBorder="1" applyAlignment="1">
      <alignment horizontal="right" vertical="center"/>
    </xf>
    <xf numFmtId="166" fontId="35" fillId="2" borderId="0" xfId="1" applyNumberFormat="1" applyFont="1" applyFill="1" applyAlignment="1">
      <alignment horizontal="right" vertical="center"/>
    </xf>
    <xf numFmtId="0" fontId="30" fillId="2" borderId="1" xfId="1" applyFont="1" applyFill="1" applyBorder="1" applyAlignment="1">
      <alignment horizontal="right" vertical="center"/>
    </xf>
    <xf numFmtId="166" fontId="30" fillId="2" borderId="0" xfId="1" applyNumberFormat="1" applyFont="1" applyFill="1" applyAlignment="1">
      <alignment horizontal="right" vertical="center"/>
    </xf>
    <xf numFmtId="171" fontId="22" fillId="2" borderId="0" xfId="17" applyNumberFormat="1" applyFont="1" applyFill="1" applyAlignment="1">
      <alignment horizontal="right" vertical="center"/>
    </xf>
    <xf numFmtId="171" fontId="22" fillId="2" borderId="0" xfId="17" applyNumberFormat="1" applyFont="1" applyFill="1" applyBorder="1" applyAlignment="1">
      <alignment horizontal="right" vertical="center"/>
    </xf>
    <xf numFmtId="171" fontId="22" fillId="2" borderId="2" xfId="17" applyNumberFormat="1" applyFont="1" applyFill="1" applyBorder="1" applyAlignment="1">
      <alignment horizontal="right" vertical="center"/>
    </xf>
    <xf numFmtId="171" fontId="15" fillId="2" borderId="0" xfId="17" applyNumberFormat="1" applyFont="1" applyFill="1" applyBorder="1" applyAlignment="1">
      <alignment horizontal="right" vertical="center"/>
    </xf>
    <xf numFmtId="171" fontId="1" fillId="2" borderId="0" xfId="0" applyNumberFormat="1" applyFont="1" applyFill="1"/>
    <xf numFmtId="171" fontId="32" fillId="2" borderId="0" xfId="17" applyNumberFormat="1" applyFont="1" applyFill="1" applyBorder="1" applyAlignment="1">
      <alignment horizontal="right" vertical="center"/>
    </xf>
    <xf numFmtId="166" fontId="18" fillId="2" borderId="0" xfId="1" applyNumberFormat="1" applyFont="1" applyFill="1" applyAlignment="1">
      <alignment horizontal="center" vertical="center"/>
    </xf>
    <xf numFmtId="0" fontId="26" fillId="2" borderId="0" xfId="16" applyFont="1" applyFill="1" applyAlignment="1">
      <alignment horizontal="center"/>
    </xf>
    <xf numFmtId="166" fontId="7" fillId="2" borderId="0" xfId="1" applyNumberFormat="1" applyFont="1" applyFill="1" applyAlignment="1">
      <alignment horizontal="center" vertical="center" wrapText="1"/>
    </xf>
    <xf numFmtId="0" fontId="27" fillId="2" borderId="1" xfId="16" applyFont="1" applyFill="1" applyBorder="1" applyAlignment="1">
      <alignment horizontal="center"/>
    </xf>
    <xf numFmtId="166" fontId="10" fillId="2" borderId="0" xfId="1" applyNumberFormat="1" applyFont="1" applyFill="1" applyAlignment="1">
      <alignment horizontal="center" vertical="center" wrapText="1"/>
    </xf>
  </cellXfs>
  <cellStyles count="20">
    <cellStyle name="Comma 2" xfId="5" xr:uid="{00000000-0005-0000-0000-000001000000}"/>
    <cellStyle name="Comma 3" xfId="6" xr:uid="{00000000-0005-0000-0000-000002000000}"/>
    <cellStyle name="Comma 3 2" xfId="18" xr:uid="{00000000-0005-0000-0000-000003000000}"/>
    <cellStyle name="Comma 4" xfId="2" xr:uid="{00000000-0005-0000-0000-000004000000}"/>
    <cellStyle name="Comma 4 2" xfId="14" xr:uid="{00000000-0005-0000-0000-000005000000}"/>
    <cellStyle name="Comma 5" xfId="12" xr:uid="{00000000-0005-0000-0000-000006000000}"/>
    <cellStyle name="Comma 6" xfId="8" xr:uid="{00000000-0005-0000-0000-000007000000}"/>
    <cellStyle name="Comma 6 2" xfId="19" xr:uid="{00000000-0005-0000-0000-000008000000}"/>
    <cellStyle name="Comma 7" xfId="17" xr:uid="{00000000-0005-0000-0000-000009000000}"/>
    <cellStyle name="Excel Built-in Comma" xfId="4" xr:uid="{00000000-0005-0000-0000-00000C000000}"/>
    <cellStyle name="Excel Built-in Normal" xfId="3" xr:uid="{00000000-0005-0000-0000-00000D000000}"/>
    <cellStyle name="Normal" xfId="0" builtinId="0"/>
    <cellStyle name="Normal 2" xfId="9" xr:uid="{00000000-0005-0000-0000-00000F000000}"/>
    <cellStyle name="Normal 2 2" xfId="13" xr:uid="{00000000-0005-0000-0000-000010000000}"/>
    <cellStyle name="Normal 3" xfId="11" xr:uid="{00000000-0005-0000-0000-000011000000}"/>
    <cellStyle name="Normal 4" xfId="7" xr:uid="{00000000-0005-0000-0000-000012000000}"/>
    <cellStyle name="Normal_13 Public Finance_done" xfId="1" xr:uid="{00000000-0005-0000-0000-000013000000}"/>
    <cellStyle name="Normal_EXDT-MPHRE (1)" xfId="16" xr:uid="{00000000-0005-0000-0000-000014000000}"/>
    <cellStyle name="Percent" xfId="10" builtinId="5"/>
    <cellStyle name="Percent 2" xfId="15" xr:uid="{00000000-0005-0000-0000-000017000000}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K42"/>
  <sheetViews>
    <sheetView tabSelected="1" zoomScaleNormal="100" workbookViewId="0">
      <selection activeCell="I50" sqref="I50"/>
    </sheetView>
  </sheetViews>
  <sheetFormatPr defaultColWidth="24.7109375" defaultRowHeight="15" x14ac:dyDescent="0.25"/>
  <cols>
    <col min="1" max="1" width="24.7109375" style="6"/>
    <col min="2" max="8" width="11.28515625" style="6" customWidth="1"/>
    <col min="9" max="9" width="71.7109375" style="6" customWidth="1"/>
    <col min="10" max="16384" width="24.7109375" style="6"/>
  </cols>
  <sheetData>
    <row r="1" spans="1:11" ht="21.75" x14ac:dyDescent="0.25">
      <c r="A1" s="53" t="s">
        <v>41</v>
      </c>
      <c r="B1" s="53"/>
      <c r="C1" s="53"/>
      <c r="D1" s="53"/>
      <c r="E1" s="53"/>
      <c r="F1" s="53"/>
      <c r="G1" s="53"/>
      <c r="H1" s="53"/>
      <c r="I1" s="53"/>
      <c r="J1" s="5"/>
      <c r="K1" s="5"/>
    </row>
    <row r="2" spans="1:11" x14ac:dyDescent="0.25">
      <c r="A2" s="54" t="s">
        <v>40</v>
      </c>
      <c r="B2" s="54"/>
      <c r="C2" s="54"/>
      <c r="D2" s="54"/>
      <c r="E2" s="54"/>
      <c r="F2" s="54"/>
      <c r="G2" s="54"/>
      <c r="H2" s="54"/>
      <c r="I2" s="54"/>
      <c r="J2" s="5"/>
      <c r="K2" s="5"/>
    </row>
    <row r="3" spans="1:11" x14ac:dyDescent="0.25">
      <c r="A3" s="57" t="s">
        <v>1</v>
      </c>
      <c r="B3" s="55"/>
      <c r="C3" s="55"/>
      <c r="D3" s="55"/>
      <c r="E3" s="55"/>
      <c r="F3" s="55"/>
      <c r="G3" s="55"/>
      <c r="H3" s="55"/>
      <c r="I3" s="55"/>
      <c r="J3" s="5"/>
      <c r="K3" s="5"/>
    </row>
    <row r="4" spans="1:11" x14ac:dyDescent="0.25">
      <c r="A4" s="56" t="s">
        <v>2</v>
      </c>
      <c r="B4" s="56"/>
      <c r="C4" s="56"/>
      <c r="D4" s="56"/>
      <c r="E4" s="56"/>
      <c r="F4" s="56"/>
      <c r="G4" s="56"/>
      <c r="H4" s="56"/>
      <c r="I4" s="56"/>
      <c r="J4" s="7"/>
      <c r="K4" s="7"/>
    </row>
    <row r="5" spans="1:11" ht="17.25" x14ac:dyDescent="0.25">
      <c r="A5" s="37"/>
      <c r="B5" s="8"/>
      <c r="C5" s="9"/>
      <c r="D5" s="8"/>
      <c r="E5" s="8"/>
      <c r="F5" s="8"/>
      <c r="G5" s="8"/>
      <c r="H5" s="8"/>
      <c r="I5" s="38"/>
      <c r="J5" s="7"/>
      <c r="K5" s="7"/>
    </row>
    <row r="6" spans="1:11" ht="17.25" x14ac:dyDescent="0.25">
      <c r="A6" s="39" t="s">
        <v>3</v>
      </c>
      <c r="B6" s="10">
        <v>2015</v>
      </c>
      <c r="C6" s="10">
        <v>2016</v>
      </c>
      <c r="D6" s="10">
        <v>2017</v>
      </c>
      <c r="E6" s="10">
        <v>2018</v>
      </c>
      <c r="F6" s="10">
        <v>2019</v>
      </c>
      <c r="G6" s="40">
        <v>2020</v>
      </c>
      <c r="H6" s="10">
        <v>2021</v>
      </c>
      <c r="I6" s="41" t="s">
        <v>0</v>
      </c>
      <c r="J6" s="5"/>
      <c r="K6" s="5"/>
    </row>
    <row r="7" spans="1:11" ht="15.75" x14ac:dyDescent="0.25">
      <c r="A7" s="11" t="s">
        <v>4</v>
      </c>
      <c r="B7" s="47">
        <v>10227.200000000001</v>
      </c>
      <c r="C7" s="47">
        <v>11854.1</v>
      </c>
      <c r="D7" s="47">
        <v>16866</v>
      </c>
      <c r="E7" s="47">
        <v>20576.5</v>
      </c>
      <c r="F7" s="47">
        <v>22050.3</v>
      </c>
      <c r="G7" s="48">
        <v>24961.7</v>
      </c>
      <c r="H7" s="48">
        <v>31514.1</v>
      </c>
      <c r="I7" s="46" t="s">
        <v>5</v>
      </c>
      <c r="J7" s="12"/>
      <c r="K7" s="12"/>
    </row>
    <row r="8" spans="1:11" ht="17.25" x14ac:dyDescent="0.4">
      <c r="A8" s="11" t="s">
        <v>6</v>
      </c>
      <c r="B8" s="47">
        <v>860.9</v>
      </c>
      <c r="C8" s="47">
        <v>3023.2</v>
      </c>
      <c r="D8" s="47">
        <v>5454.9</v>
      </c>
      <c r="E8" s="47">
        <v>5095.1000000000004</v>
      </c>
      <c r="F8" s="47">
        <v>2563.1999999999998</v>
      </c>
      <c r="G8" s="48">
        <v>3090.2</v>
      </c>
      <c r="H8" s="48">
        <v>10560.7</v>
      </c>
      <c r="I8" s="46" t="s">
        <v>7</v>
      </c>
      <c r="J8" s="12"/>
      <c r="K8" s="13"/>
    </row>
    <row r="9" spans="1:11" ht="15.75" x14ac:dyDescent="0.25">
      <c r="A9" s="11" t="s">
        <v>8</v>
      </c>
      <c r="B9" s="47">
        <v>960.2</v>
      </c>
      <c r="C9" s="47">
        <v>1041.9000000000001</v>
      </c>
      <c r="D9" s="47">
        <v>1048.8</v>
      </c>
      <c r="E9" s="47">
        <v>1074.4000000000001</v>
      </c>
      <c r="F9" s="47">
        <v>939.4</v>
      </c>
      <c r="G9" s="48">
        <v>813.9</v>
      </c>
      <c r="H9" s="48">
        <v>3782.9</v>
      </c>
      <c r="I9" s="46" t="s">
        <v>9</v>
      </c>
      <c r="J9" s="12"/>
      <c r="K9" s="12"/>
    </row>
    <row r="10" spans="1:11" ht="15.75" x14ac:dyDescent="0.25">
      <c r="A10" s="11" t="s">
        <v>10</v>
      </c>
      <c r="B10" s="47">
        <v>149.1</v>
      </c>
      <c r="C10" s="47">
        <v>147.9</v>
      </c>
      <c r="D10" s="47">
        <v>303.60000000000002</v>
      </c>
      <c r="E10" s="47">
        <v>516.6</v>
      </c>
      <c r="F10" s="47">
        <v>611.9</v>
      </c>
      <c r="G10" s="48">
        <v>542.29999999999995</v>
      </c>
      <c r="H10" s="48">
        <v>588.29999999999995</v>
      </c>
      <c r="I10" s="46" t="s">
        <v>37</v>
      </c>
      <c r="J10" s="12"/>
      <c r="K10" s="12"/>
    </row>
    <row r="11" spans="1:11" ht="15.75" x14ac:dyDescent="0.25">
      <c r="A11" s="14" t="s">
        <v>11</v>
      </c>
      <c r="B11" s="49">
        <v>1109.3</v>
      </c>
      <c r="C11" s="49">
        <f>C9+C10</f>
        <v>1189.8000000000002</v>
      </c>
      <c r="D11" s="49">
        <f t="shared" ref="D11:H11" si="0">D9+D10</f>
        <v>1352.4</v>
      </c>
      <c r="E11" s="49">
        <f t="shared" si="0"/>
        <v>1591</v>
      </c>
      <c r="F11" s="49">
        <f t="shared" si="0"/>
        <v>1551.3</v>
      </c>
      <c r="G11" s="49">
        <f t="shared" si="0"/>
        <v>1356.1999999999998</v>
      </c>
      <c r="H11" s="49">
        <f t="shared" si="0"/>
        <v>4371.2</v>
      </c>
      <c r="I11" s="43" t="s">
        <v>38</v>
      </c>
      <c r="J11" s="12"/>
      <c r="K11" s="12"/>
    </row>
    <row r="12" spans="1:11" ht="15.75" x14ac:dyDescent="0.25">
      <c r="A12" s="15" t="s">
        <v>12</v>
      </c>
      <c r="B12" s="16"/>
      <c r="C12" s="16"/>
      <c r="D12" s="16"/>
      <c r="E12" s="16"/>
      <c r="F12" s="16"/>
      <c r="G12" s="16"/>
      <c r="H12" s="42"/>
      <c r="I12" s="44" t="s">
        <v>13</v>
      </c>
      <c r="J12" s="5"/>
      <c r="K12" s="5"/>
    </row>
    <row r="13" spans="1:11" ht="18.75" x14ac:dyDescent="0.25">
      <c r="A13" s="17" t="s">
        <v>14</v>
      </c>
      <c r="B13" s="50">
        <v>52787</v>
      </c>
      <c r="C13" s="50">
        <v>67300</v>
      </c>
      <c r="D13" s="50">
        <v>73155</v>
      </c>
      <c r="E13" s="50">
        <v>81568</v>
      </c>
      <c r="F13" s="50">
        <v>86788</v>
      </c>
      <c r="G13" s="50">
        <v>57942</v>
      </c>
      <c r="H13" s="52">
        <v>66372</v>
      </c>
      <c r="I13" s="2" t="s">
        <v>39</v>
      </c>
      <c r="J13" s="5"/>
      <c r="K13" s="5"/>
    </row>
    <row r="14" spans="1:11" ht="15.75" x14ac:dyDescent="0.25">
      <c r="A14" s="18" t="s">
        <v>15</v>
      </c>
      <c r="B14" s="19">
        <v>0.19374467198363235</v>
      </c>
      <c r="C14" s="19">
        <f>C7/C13</f>
        <v>0.17613818722139674</v>
      </c>
      <c r="D14" s="19">
        <f t="shared" ref="D14:H14" si="1">D7/D13</f>
        <v>0.23055156858724626</v>
      </c>
      <c r="E14" s="19">
        <f t="shared" si="1"/>
        <v>0.25226191643781876</v>
      </c>
      <c r="F14" s="19">
        <f t="shared" si="1"/>
        <v>0.25407083928653729</v>
      </c>
      <c r="G14" s="19">
        <f t="shared" si="1"/>
        <v>0.43080494287390841</v>
      </c>
      <c r="H14" s="19">
        <f t="shared" si="1"/>
        <v>0.47481016091122763</v>
      </c>
      <c r="I14" s="45" t="s">
        <v>16</v>
      </c>
      <c r="J14" s="5"/>
      <c r="K14" s="5"/>
    </row>
    <row r="15" spans="1:11" ht="15.75" hidden="1" x14ac:dyDescent="0.25">
      <c r="A15" s="17"/>
      <c r="B15" s="20"/>
      <c r="C15" s="20"/>
      <c r="D15" s="20"/>
      <c r="E15" s="21"/>
      <c r="F15" s="22"/>
      <c r="G15" s="22"/>
      <c r="H15" s="22"/>
      <c r="I15" s="1"/>
      <c r="J15" s="5"/>
      <c r="K15" s="5"/>
    </row>
    <row r="16" spans="1:11" ht="15.75" hidden="1" x14ac:dyDescent="0.25">
      <c r="A16" s="17" t="s">
        <v>17</v>
      </c>
      <c r="B16" s="23"/>
      <c r="C16" s="23"/>
      <c r="D16" s="23"/>
      <c r="E16" s="24"/>
      <c r="F16" s="24"/>
      <c r="G16" s="24"/>
      <c r="H16" s="24"/>
      <c r="I16" s="1" t="s">
        <v>18</v>
      </c>
      <c r="J16"/>
      <c r="K16"/>
    </row>
    <row r="17" spans="1:9" ht="15.75" hidden="1" x14ac:dyDescent="0.25">
      <c r="A17" s="17"/>
      <c r="B17" s="25"/>
      <c r="C17" s="26"/>
      <c r="D17" s="26"/>
      <c r="E17" s="22"/>
      <c r="F17" s="22"/>
      <c r="G17" s="22"/>
      <c r="H17" s="22"/>
      <c r="I17" s="1"/>
    </row>
    <row r="18" spans="1:9" ht="15.75" hidden="1" x14ac:dyDescent="0.25">
      <c r="A18" s="18" t="s">
        <v>19</v>
      </c>
      <c r="B18" s="27"/>
      <c r="C18" s="27"/>
      <c r="D18" s="27"/>
      <c r="E18" s="28"/>
      <c r="F18" s="28"/>
      <c r="G18" s="28"/>
      <c r="H18" s="28"/>
      <c r="I18" s="29" t="s">
        <v>20</v>
      </c>
    </row>
    <row r="19" spans="1:9" ht="15.75" x14ac:dyDescent="0.25">
      <c r="A19" s="17" t="s">
        <v>21</v>
      </c>
      <c r="B19" s="30"/>
      <c r="C19" s="31"/>
      <c r="D19" s="31"/>
      <c r="E19" s="31"/>
      <c r="F19" s="31"/>
      <c r="G19" s="31"/>
      <c r="H19" s="31"/>
      <c r="I19" s="4" t="s">
        <v>22</v>
      </c>
    </row>
    <row r="20" spans="1:9" ht="15.75" x14ac:dyDescent="0.25">
      <c r="A20" s="32" t="s">
        <v>23</v>
      </c>
      <c r="B20" s="33"/>
      <c r="C20" s="33"/>
      <c r="D20" s="33"/>
      <c r="E20" s="33"/>
      <c r="F20" s="33"/>
      <c r="G20" s="33"/>
      <c r="H20" s="33"/>
      <c r="I20" s="4" t="s">
        <v>24</v>
      </c>
    </row>
    <row r="21" spans="1:9" ht="15.75" x14ac:dyDescent="0.25">
      <c r="A21" s="32" t="s">
        <v>25</v>
      </c>
      <c r="B21" s="33"/>
      <c r="C21" s="33"/>
      <c r="D21" s="33"/>
      <c r="E21" s="33"/>
      <c r="F21" s="33"/>
      <c r="G21" s="33"/>
      <c r="H21" s="33"/>
      <c r="I21" s="4" t="s">
        <v>26</v>
      </c>
    </row>
    <row r="22" spans="1:9" ht="15.75" x14ac:dyDescent="0.25">
      <c r="A22" s="32" t="s">
        <v>27</v>
      </c>
      <c r="B22" s="33"/>
      <c r="C22" s="33"/>
      <c r="D22" s="33"/>
      <c r="E22" s="33"/>
      <c r="F22" s="33"/>
      <c r="G22" s="33"/>
      <c r="H22" s="33"/>
      <c r="I22" s="4" t="s">
        <v>28</v>
      </c>
    </row>
    <row r="23" spans="1:9" ht="15.75" x14ac:dyDescent="0.25">
      <c r="A23" s="32" t="s">
        <v>29</v>
      </c>
      <c r="B23" s="33"/>
      <c r="C23" s="33"/>
      <c r="D23" s="33"/>
      <c r="E23" s="33"/>
      <c r="F23" s="33"/>
      <c r="G23" s="33"/>
      <c r="H23" s="33"/>
      <c r="I23" s="4" t="s">
        <v>30</v>
      </c>
    </row>
    <row r="24" spans="1:9" ht="15.75" x14ac:dyDescent="0.25">
      <c r="A24" s="32" t="s">
        <v>31</v>
      </c>
      <c r="B24" s="5"/>
      <c r="C24" s="5"/>
      <c r="D24" s="5"/>
      <c r="E24" s="5"/>
      <c r="F24" s="5"/>
      <c r="G24" s="5"/>
      <c r="H24" s="5"/>
      <c r="I24" s="4" t="s">
        <v>32</v>
      </c>
    </row>
    <row r="25" spans="1:9" ht="15.75" x14ac:dyDescent="0.25">
      <c r="A25"/>
      <c r="B25" s="5"/>
      <c r="C25" s="5"/>
      <c r="D25" s="5"/>
      <c r="E25" s="5"/>
      <c r="F25" s="5"/>
      <c r="G25" s="5"/>
      <c r="H25" s="5"/>
      <c r="I25" s="4" t="s">
        <v>36</v>
      </c>
    </row>
    <row r="26" spans="1:9" x14ac:dyDescent="0.25">
      <c r="A26" s="34" t="s">
        <v>33</v>
      </c>
      <c r="B26" s="5"/>
      <c r="C26" s="5"/>
      <c r="D26" s="5"/>
      <c r="E26" s="5"/>
      <c r="F26" s="5"/>
      <c r="G26" s="5"/>
      <c r="H26" s="5"/>
      <c r="I26"/>
    </row>
    <row r="27" spans="1:9" x14ac:dyDescent="0.25">
      <c r="A27" s="35" t="s">
        <v>34</v>
      </c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35" t="s">
        <v>35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6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36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11"/>
      <c r="B31" s="5"/>
      <c r="C31" s="51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/>
      <c r="B33" s="5"/>
      <c r="C33" s="5"/>
      <c r="D33" s="5"/>
      <c r="E33" s="5"/>
      <c r="F33" s="5"/>
      <c r="G33" s="5"/>
      <c r="H33" s="5"/>
      <c r="I33"/>
    </row>
    <row r="34" spans="1:9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5"/>
      <c r="B35" s="5"/>
      <c r="C35" s="5"/>
      <c r="D35" s="5"/>
      <c r="E35" s="5"/>
      <c r="F35" s="5"/>
      <c r="G35" s="5"/>
      <c r="H35" s="5"/>
      <c r="I35" s="5"/>
    </row>
    <row r="42" spans="1:9" x14ac:dyDescent="0.25">
      <c r="A42"/>
      <c r="B42"/>
      <c r="C42"/>
      <c r="D42"/>
      <c r="E42"/>
      <c r="F42"/>
      <c r="G42"/>
      <c r="H42"/>
      <c r="I42" s="3"/>
    </row>
  </sheetData>
  <mergeCells count="4">
    <mergeCell ref="A1:I1"/>
    <mergeCell ref="A2:I2"/>
    <mergeCell ref="A3:I3"/>
    <mergeCell ref="A4:I4"/>
  </mergeCells>
  <pageMargins left="0.7" right="0.7" top="0.75" bottom="0.75" header="0.3" footer="0.3"/>
  <pageSetup scale="51" orientation="portrait" r:id="rId1"/>
  <colBreaks count="1" manualBreakCount="1">
    <brk id="9" max="2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13.9</vt:lpstr>
      <vt:lpstr>'13.9'!Print_Area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2023-03-09T03:36:30Z</cp:lastPrinted>
  <dcterms:created xsi:type="dcterms:W3CDTF">2014-03-06T08:38:12Z</dcterms:created>
  <dcterms:modified xsi:type="dcterms:W3CDTF">2023-03-09T03:37:43Z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