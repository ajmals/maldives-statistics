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4" sheetId="4" r:id="rId1"/>
  </sheets>
  <externalReferences>
    <externalReference r:id="rId2"/>
    <externalReference r:id="rId3"/>
    <externalReference r:id="rId4"/>
    <externalReference r:id="rId5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'13.4'!$A$1:$X$42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V33" i="4" l="1"/>
  <c r="M29" i="4"/>
  <c r="L29" i="4"/>
  <c r="K29" i="4"/>
  <c r="J29" i="4"/>
  <c r="I29" i="4"/>
  <c r="H29" i="4"/>
  <c r="G29" i="4"/>
  <c r="F29" i="4"/>
  <c r="E29" i="4"/>
  <c r="V21" i="4" l="1"/>
  <c r="V18" i="4"/>
  <c r="V12" i="4"/>
  <c r="V19" i="4"/>
  <c r="V38" i="4"/>
  <c r="V37" i="4"/>
  <c r="V36" i="4"/>
  <c r="V34" i="4"/>
  <c r="V32" i="4"/>
  <c r="V31" i="4"/>
  <c r="V30" i="4"/>
  <c r="V27" i="4"/>
  <c r="V26" i="4"/>
  <c r="V23" i="4"/>
  <c r="V13" i="4"/>
  <c r="V14" i="4"/>
  <c r="V15" i="4"/>
  <c r="V16" i="4"/>
  <c r="V17" i="4"/>
  <c r="V39" i="4" l="1"/>
  <c r="V22" i="4" l="1"/>
  <c r="V20" i="4"/>
  <c r="M24" i="4" l="1"/>
  <c r="V24" i="4"/>
  <c r="M25" i="4"/>
  <c r="V25" i="4"/>
  <c r="M35" i="4"/>
  <c r="V35" i="4"/>
  <c r="L35" i="4"/>
  <c r="L24" i="4"/>
  <c r="M28" i="4" l="1"/>
  <c r="K28" i="4" l="1"/>
  <c r="K25" i="4"/>
  <c r="L25" i="4"/>
  <c r="K11" i="4"/>
  <c r="L11" i="4"/>
  <c r="M11" i="4"/>
  <c r="V11" i="4" l="1"/>
  <c r="L28" i="4"/>
  <c r="M10" i="4"/>
  <c r="K10" i="4"/>
  <c r="L10" i="4"/>
  <c r="V10" i="4" l="1"/>
  <c r="L8" i="4"/>
  <c r="L9" i="4"/>
  <c r="M8" i="4"/>
  <c r="M9" i="4"/>
  <c r="K8" i="4"/>
  <c r="K9" i="4"/>
  <c r="T21" i="4" l="1"/>
  <c r="T27" i="4"/>
  <c r="T31" i="4"/>
  <c r="T36" i="4"/>
  <c r="T12" i="4"/>
  <c r="T34" i="4"/>
  <c r="T19" i="4"/>
  <c r="T28" i="4"/>
  <c r="T32" i="4"/>
  <c r="T37" i="4"/>
  <c r="T13" i="4"/>
  <c r="T17" i="4"/>
  <c r="T8" i="4"/>
  <c r="T23" i="4"/>
  <c r="T30" i="4"/>
  <c r="T18" i="4"/>
  <c r="T24" i="4"/>
  <c r="T25" i="4"/>
  <c r="T29" i="4"/>
  <c r="T33" i="4"/>
  <c r="T38" i="4"/>
  <c r="T14" i="4"/>
  <c r="T26" i="4"/>
  <c r="T35" i="4"/>
  <c r="T15" i="4"/>
  <c r="T16" i="4"/>
  <c r="T11" i="4"/>
  <c r="T9" i="4"/>
  <c r="T10" i="4"/>
  <c r="T22" i="4"/>
  <c r="H25" i="4" l="1"/>
  <c r="I25" i="4"/>
  <c r="J25" i="4"/>
  <c r="I11" i="4" l="1"/>
  <c r="I28" i="4"/>
  <c r="J28" i="4"/>
  <c r="J11" i="4"/>
  <c r="J10" i="4" l="1"/>
  <c r="J9" i="4" s="1"/>
  <c r="H28" i="4" l="1"/>
  <c r="G28" i="4"/>
  <c r="F28" i="4"/>
  <c r="E28" i="4"/>
  <c r="D29" i="4"/>
  <c r="D28" i="4" s="1"/>
  <c r="C29" i="4"/>
  <c r="C28" i="4" s="1"/>
  <c r="B29" i="4"/>
  <c r="B28" i="4" s="1"/>
  <c r="G25" i="4"/>
  <c r="F25" i="4"/>
  <c r="E25" i="4"/>
  <c r="D25" i="4"/>
  <c r="C25" i="4"/>
  <c r="B25" i="4"/>
  <c r="H11" i="4"/>
  <c r="H10" i="4" s="1"/>
  <c r="G11" i="4"/>
  <c r="F11" i="4"/>
  <c r="E11" i="4"/>
  <c r="D11" i="4"/>
  <c r="C11" i="4"/>
  <c r="B11" i="4"/>
  <c r="H9" i="4" l="1"/>
  <c r="C10" i="4"/>
  <c r="G10" i="4"/>
  <c r="D10" i="4"/>
  <c r="E10" i="4"/>
  <c r="F10" i="4"/>
  <c r="B10" i="4"/>
  <c r="I10" i="4"/>
  <c r="I9" i="4" s="1"/>
  <c r="H8" i="4"/>
  <c r="D8" i="4" l="1"/>
  <c r="D9" i="4"/>
  <c r="C8" i="4"/>
  <c r="C9" i="4"/>
  <c r="B8" i="4"/>
  <c r="B9" i="4"/>
  <c r="G8" i="4"/>
  <c r="G9" i="4"/>
  <c r="F8" i="4"/>
  <c r="F9" i="4"/>
  <c r="E8" i="4"/>
  <c r="E9" i="4"/>
  <c r="I8" i="4"/>
  <c r="J8" i="4"/>
  <c r="V29" i="4" l="1"/>
  <c r="V9" i="4" l="1"/>
  <c r="V28" i="4" l="1"/>
  <c r="T39" i="4" l="1"/>
  <c r="V8" i="4"/>
</calcChain>
</file>

<file path=xl/sharedStrings.xml><?xml version="1.0" encoding="utf-8"?>
<sst xmlns="http://schemas.openxmlformats.org/spreadsheetml/2006/main" count="95" uniqueCount="85">
  <si>
    <t>(In million MVR)</t>
  </si>
  <si>
    <t>Particulars</t>
  </si>
  <si>
    <t>clIBcfwt</t>
  </si>
  <si>
    <t>Actual</t>
  </si>
  <si>
    <t>Revised</t>
  </si>
  <si>
    <t xml:space="preserve">Approved </t>
  </si>
  <si>
    <t>Percentage Change</t>
  </si>
  <si>
    <t>2019-2020</t>
  </si>
  <si>
    <t>Expenditure and net lending</t>
  </si>
  <si>
    <t>Current expenditure</t>
  </si>
  <si>
    <t>udwrwK Wditenivua</t>
  </si>
  <si>
    <t>Net lending</t>
  </si>
  <si>
    <t>IkWbufWs egInwrwd EverukUd</t>
  </si>
  <si>
    <t>IrwRercT cDcnea cscnEnif cfoa IrcTcsinim :ctWrwf ivcaedutWmUluAwm</t>
  </si>
  <si>
    <t>2023 - 2011 ,IkWbufWs egInwrwd iaWdwrwK EverukcnurWkurws cnutogegukwtiawb IdWBitcqia : 13.4 ulwvWt</t>
  </si>
  <si>
    <t>Table  13.4 :  ECONOMIC CLASSIFICATION OF CENTRAL GOVERNMENT EXPENDITURE AND NET LENDING, 2011 - 2023</t>
  </si>
  <si>
    <t>(cniaWyifur cnwyilim)</t>
  </si>
  <si>
    <t>ބެހިފައިވާ ގޮތް އިން ސައްތައިން</t>
  </si>
  <si>
    <t>އިތުރުވި މިންވަރު</t>
  </si>
  <si>
    <t>Percentage Share</t>
  </si>
  <si>
    <r>
      <t>2011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</si>
  <si>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ikWbufWs egInwrwd EverukUd iaWdwrwK wlcmuj</t>
  </si>
  <si>
    <r>
      <t>Total expenditure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</si>
  <si>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udwrwK ޖުމްލަ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</si>
  <si>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</si>
  <si>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</si>
  <si>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</si>
  <si>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</si>
  <si>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</si>
  <si>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</si>
  <si>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</si>
  <si>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</si>
  <si>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</si>
  <si>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</si>
  <si>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Training expenses</t>
  </si>
  <si>
    <t>unIrcmwt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</si>
  <si>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</si>
  <si>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</si>
  <si>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</si>
  <si>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</si>
  <si>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</si>
  <si>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</si>
  <si>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</si>
  <si>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</si>
  <si>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</si>
  <si>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</si>
  <si>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</si>
  <si>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</si>
  <si>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</si>
  <si>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</si>
  <si>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</si>
  <si>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</si>
  <si>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</si>
  <si>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</si>
  <si>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</si>
  <si>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</si>
  <si>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</si>
  <si>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</si>
  <si>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</si>
  <si>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</si>
  <si>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</si>
  <si>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</si>
  <si>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</si>
  <si>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</si>
  <si>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 xml:space="preserve">  Domestic Loan</t>
  </si>
  <si>
    <t>cawtunOl egEretea</t>
  </si>
  <si>
    <t xml:space="preserve">  Grant Financed</t>
  </si>
  <si>
    <t>ގްރާންޓް ފައިނާންސްޑް</t>
  </si>
  <si>
    <t xml:space="preserve">  Domestic PSIP</t>
  </si>
  <si>
    <t>ޑޮމެސްޓިކް ފީ.އެސް.އައި.ޕީ</t>
  </si>
  <si>
    <r>
      <t>Other</t>
    </r>
    <r>
      <rPr>
        <vertAlign val="superscript"/>
        <sz val="9"/>
        <color theme="1"/>
        <rFont val="Calibri"/>
        <family val="2"/>
        <scheme val="minor"/>
      </rPr>
      <t xml:space="preserve"> 2_/</t>
    </r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</si>
  <si>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</si>
  <si>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</si>
  <si>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</si>
  <si>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</si>
  <si>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</si>
  <si>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</si>
  <si>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</si>
  <si>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 xml:space="preserve">      Transfers to sovereign development Fund</t>
  </si>
  <si>
    <t xml:space="preserve">   cSwmukcaed cSwlWmcsuawr</t>
  </si>
  <si>
    <t xml:space="preserve"> Note:  1_/  Data revised</t>
  </si>
  <si>
    <r>
      <t xml:space="preserve">ނޯޓް: </t>
    </r>
    <r>
      <rPr>
        <i/>
        <sz val="10"/>
        <color theme="1"/>
        <rFont val="Faruma"/>
      </rPr>
      <t>/_1</t>
    </r>
    <r>
      <rPr>
        <sz val="10"/>
        <color theme="1"/>
        <rFont val="Faruma"/>
      </rPr>
      <t xml:space="preserve">  އިސްލާޙުކުރެވިފައި</t>
    </r>
  </si>
  <si>
    <t xml:space="preserve"> 2_/  Comprises development expenditure financed from domestic sources and by foreign grants. </t>
  </si>
  <si>
    <t>Wsiawf EverukudwrwK cSwaIqcawrwt  cnegibil iawgutog egIhea Elih egurEb iaWncnEjcaWr Inenemih iawgiawbim 2_/</t>
  </si>
  <si>
    <t>Source:  Ministry of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</si>
</sst>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(* #,##0_);_(* \(#,##0\);_(* &quot;-&quot;_);_(@_)"/>
    <numFmt numFmtId="165" formatCode="_(* #,##0.00_);_(* \(#,##0.00\);_(* &quot;-&quot;??_);_(@_)"/>
    <numFmt numFmtId="166" formatCode="General_)"/>
    <numFmt numFmtId="167" formatCode="#,##0.0"/>
    <numFmt numFmtId="169" formatCode="_(* #,##0.0_);_(* \(#,##0.0\);_(* &quot;-&quot;??_);_(@_)"/>
    <numFmt numFmtId="170" formatCode="0.0"/>
    <numFmt numFmtId="171" formatCode="0.0_);\(0.0\)"/>
    <numFmt numFmtId="172" formatCode="_-* #,##0.00_-;\-* #,##0.00_-;_-* &quot;-&quot;??_-;_-@_-"/>
    <numFmt numFmtId="173" formatCode="#,##0.00\ ;&quot; (&quot;#,##0.00\);&quot; -&quot;#\ ;@\ "/>
    <numFmt numFmtId="176" formatCode="0.0%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sz val="10"/>
      <color indexed="8"/>
      <name val="Arial"/>
      <family val="2"/>
    </font>
    <font>
      <vertAlign val="superscript"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sz val="10"/>
      <color theme="1"/>
      <name val="A_Faseyha"/>
    </font>
    <font>
      <i/>
      <sz val="10"/>
      <color theme="1"/>
      <name val="Faruma"/>
    </font>
    <font>
      <sz val="12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</borders>
  <cellStyleXfs count="18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170" fontId="26" fillId="0" borderId="0"/>
    <xf numFmtId="4" fontId="2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0">
    <xf numFmtId="0" fontId="0" fillId="0" borderId="0" xfId="0"/>
    <xf numFmtId="166" fontId="10" fillId="2" borderId="0" xfId="2" applyNumberFormat="1" applyFont="1" applyFill="1" applyBorder="1" applyAlignment="1" applyProtection="1">
      <alignment horizontal="right" vertical="center"/>
      <protection locked="0"/>
    </xf>
    <xf numFmtId="166" fontId="5" fillId="2" borderId="0" xfId="2" applyNumberFormat="1" applyFont="1" applyFill="1" applyBorder="1" applyAlignment="1" applyProtection="1">
      <alignment horizontal="right" vertical="center"/>
      <protection locked="0"/>
    </xf>
    <xf numFmtId="166" fontId="5" fillId="2" borderId="1" xfId="2" applyNumberFormat="1" applyFont="1" applyFill="1" applyBorder="1" applyAlignment="1" applyProtection="1">
      <alignment horizontal="right" vertical="center"/>
    </xf>
    <xf numFmtId="166" fontId="16" fillId="2" borderId="0" xfId="2" applyNumberFormat="1" applyFont="1" applyFill="1" applyAlignment="1">
      <alignment vertical="center"/>
    </xf>
    <xf numFmtId="166" fontId="9" fillId="2" borderId="0" xfId="2" applyNumberFormat="1" applyFont="1" applyFill="1" applyAlignment="1">
      <alignment vertical="center"/>
    </xf>
    <xf numFmtId="166" fontId="19" fillId="2" borderId="0" xfId="2" applyNumberFormat="1" applyFont="1" applyFill="1" applyAlignment="1">
      <alignment vertical="center"/>
    </xf>
    <xf numFmtId="166" fontId="15" fillId="2" borderId="0" xfId="2" applyNumberFormat="1" applyFont="1" applyFill="1" applyAlignment="1" applyProtection="1">
      <alignment horizontal="left" vertical="center"/>
    </xf>
    <xf numFmtId="166" fontId="13" fillId="2" borderId="2" xfId="2" applyNumberFormat="1" applyFont="1" applyFill="1" applyBorder="1" applyAlignment="1" applyProtection="1">
      <alignment horizontal="left" vertical="center"/>
    </xf>
    <xf numFmtId="166" fontId="17" fillId="2" borderId="0" xfId="2" applyNumberFormat="1" applyFont="1" applyFill="1" applyAlignment="1">
      <alignment horizontal="right" vertical="center"/>
    </xf>
    <xf numFmtId="166" fontId="9" fillId="2" borderId="0" xfId="2" applyNumberFormat="1" applyFont="1" applyFill="1" applyBorder="1" applyAlignment="1">
      <alignment vertical="center"/>
    </xf>
    <xf numFmtId="166" fontId="10" fillId="2" borderId="2" xfId="2" applyNumberFormat="1" applyFont="1" applyFill="1" applyBorder="1" applyAlignment="1" applyProtection="1">
      <alignment horizontal="right" vertical="center"/>
    </xf>
    <xf numFmtId="164" fontId="20" fillId="2" borderId="0" xfId="3" applyNumberFormat="1" applyFont="1" applyFill="1" applyAlignment="1" applyProtection="1">
      <alignment horizontal="right" vertical="center"/>
      <protection locked="0"/>
    </xf>
    <xf numFmtId="37" fontId="13" fillId="2" borderId="0" xfId="2" applyNumberFormat="1" applyFont="1" applyFill="1" applyAlignment="1" applyProtection="1">
      <alignment vertical="center"/>
    </xf>
    <xf numFmtId="166" fontId="16" fillId="2" borderId="0" xfId="2" applyNumberFormat="1" applyFont="1" applyFill="1" applyBorder="1" applyAlignment="1">
      <alignment vertical="center"/>
    </xf>
    <xf numFmtId="166" fontId="9" fillId="2" borderId="3" xfId="2" applyNumberFormat="1" applyFont="1" applyFill="1" applyBorder="1" applyAlignment="1" applyProtection="1">
      <alignment horizontal="center" vertical="center"/>
    </xf>
    <xf numFmtId="166" fontId="10" fillId="2" borderId="0" xfId="2" applyNumberFormat="1" applyFont="1" applyFill="1" applyAlignment="1" applyProtection="1">
      <alignment horizontal="left" vertical="center"/>
    </xf>
    <xf numFmtId="167" fontId="10" fillId="2" borderId="0" xfId="2" applyNumberFormat="1" applyFont="1" applyFill="1" applyAlignment="1" applyProtection="1">
      <alignment horizontal="right" vertical="center"/>
    </xf>
    <xf numFmtId="167" fontId="10" fillId="2" borderId="0" xfId="2" applyNumberFormat="1" applyFont="1" applyFill="1" applyAlignment="1" applyProtection="1">
      <alignment horizontal="right" vertical="center"/>
      <protection locked="0"/>
    </xf>
    <xf numFmtId="166" fontId="8" fillId="2" borderId="0" xfId="2" applyNumberFormat="1" applyFont="1" applyFill="1" applyAlignment="1">
      <alignment horizontal="right" vertical="center"/>
    </xf>
    <xf numFmtId="166" fontId="13" fillId="2" borderId="0" xfId="2" applyNumberFormat="1" applyFont="1" applyFill="1" applyAlignment="1" applyProtection="1">
      <alignment horizontal="left" vertical="center"/>
    </xf>
    <xf numFmtId="166" fontId="10" fillId="2" borderId="0" xfId="2" applyNumberFormat="1" applyFont="1" applyFill="1" applyAlignment="1">
      <alignment horizontal="right" vertical="center"/>
    </xf>
    <xf numFmtId="166" fontId="13" fillId="2" borderId="0" xfId="2" applyNumberFormat="1" applyFont="1" applyFill="1" applyAlignment="1" applyProtection="1">
      <alignment vertical="center"/>
    </xf>
    <xf numFmtId="166" fontId="18" fillId="2" borderId="0" xfId="2" applyNumberFormat="1" applyFont="1" applyFill="1" applyAlignment="1">
      <alignment horizontal="right" vertical="center"/>
    </xf>
    <xf numFmtId="171" fontId="10" fillId="2" borderId="0" xfId="2" applyNumberFormat="1" applyFont="1" applyFill="1" applyAlignment="1" applyProtection="1">
      <alignment horizontal="right" vertical="center"/>
      <protection locked="0"/>
    </xf>
    <xf numFmtId="166" fontId="21" fillId="2" borderId="0" xfId="2" applyNumberFormat="1" applyFont="1" applyFill="1" applyAlignment="1">
      <alignment horizontal="right" vertical="center"/>
    </xf>
    <xf numFmtId="170" fontId="13" fillId="2" borderId="0" xfId="2" applyNumberFormat="1" applyFont="1" applyFill="1" applyAlignment="1" applyProtection="1">
      <alignment horizontal="right" vertical="center"/>
    </xf>
    <xf numFmtId="170" fontId="19" fillId="2" borderId="0" xfId="2" applyNumberFormat="1" applyFont="1" applyFill="1" applyAlignment="1">
      <alignment horizontal="right" vertical="center"/>
    </xf>
    <xf numFmtId="1" fontId="19" fillId="2" borderId="0" xfId="2" applyNumberFormat="1" applyFont="1" applyFill="1" applyAlignment="1">
      <alignment vertical="center"/>
    </xf>
    <xf numFmtId="170" fontId="16" fillId="2" borderId="0" xfId="2" applyNumberFormat="1" applyFont="1" applyFill="1" applyAlignment="1">
      <alignment horizontal="right" vertical="center"/>
    </xf>
    <xf numFmtId="1" fontId="16" fillId="2" borderId="0" xfId="2" applyNumberFormat="1" applyFont="1" applyFill="1" applyAlignment="1">
      <alignment vertical="center"/>
    </xf>
    <xf numFmtId="170" fontId="12" fillId="2" borderId="3" xfId="2" applyNumberFormat="1" applyFont="1" applyFill="1" applyBorder="1" applyAlignment="1" applyProtection="1">
      <alignment horizontal="center" vertical="center"/>
      <protection hidden="1"/>
    </xf>
    <xf numFmtId="166" fontId="10" fillId="2" borderId="0" xfId="2" applyNumberFormat="1" applyFont="1" applyFill="1" applyBorder="1" applyAlignment="1" applyProtection="1">
      <alignment horizontal="center" vertical="center"/>
      <protection locked="0"/>
    </xf>
    <xf numFmtId="165" fontId="13" fillId="2" borderId="0" xfId="1" applyFont="1" applyFill="1" applyAlignment="1">
      <alignment horizontal="right" vertical="center"/>
    </xf>
    <xf numFmtId="167" fontId="10" fillId="2" borderId="0" xfId="2" applyNumberFormat="1" applyFont="1" applyFill="1" applyAlignment="1" applyProtection="1">
      <alignment vertical="center"/>
      <protection locked="0"/>
    </xf>
    <xf numFmtId="165" fontId="20" fillId="2" borderId="0" xfId="1" applyFont="1" applyFill="1" applyAlignment="1" applyProtection="1">
      <alignment horizontal="right" vertical="center"/>
      <protection locked="0"/>
    </xf>
    <xf numFmtId="166" fontId="10" fillId="2" borderId="9" xfId="2" applyNumberFormat="1" applyFont="1" applyFill="1" applyBorder="1" applyAlignment="1" applyProtection="1">
      <alignment horizontal="center" vertical="center"/>
    </xf>
    <xf numFmtId="166" fontId="12" fillId="2" borderId="10" xfId="2" applyNumberFormat="1" applyFont="1" applyFill="1" applyBorder="1" applyAlignment="1" applyProtection="1">
      <alignment horizontal="center" vertical="center" wrapText="1"/>
    </xf>
    <xf numFmtId="166" fontId="10" fillId="2" borderId="11" xfId="2" applyNumberFormat="1" applyFont="1" applyFill="1" applyBorder="1" applyAlignment="1" applyProtection="1">
      <alignment horizontal="center" vertical="center" wrapText="1"/>
      <protection locked="0"/>
    </xf>
    <xf numFmtId="166" fontId="12" fillId="2" borderId="6" xfId="2" applyNumberFormat="1" applyFont="1" applyFill="1" applyBorder="1" applyAlignment="1" applyProtection="1">
      <alignment horizontal="center" vertical="center" wrapText="1"/>
    </xf>
    <xf numFmtId="170" fontId="12" fillId="2" borderId="3" xfId="2" applyNumberFormat="1" applyFont="1" applyFill="1" applyBorder="1" applyAlignment="1" applyProtection="1">
      <alignment horizontal="center" vertical="center" wrapText="1"/>
      <protection hidden="1"/>
    </xf>
    <xf numFmtId="166" fontId="10" fillId="2" borderId="7" xfId="2" applyNumberFormat="1" applyFont="1" applyFill="1" applyBorder="1" applyAlignment="1" applyProtection="1">
      <alignment horizontal="center" vertical="center" wrapText="1"/>
      <protection locked="0"/>
    </xf>
    <xf numFmtId="166" fontId="15" fillId="2" borderId="0" xfId="2" applyNumberFormat="1" applyFont="1" applyFill="1" applyAlignment="1">
      <alignment vertical="center"/>
    </xf>
    <xf numFmtId="167" fontId="10" fillId="2" borderId="8" xfId="2" applyNumberFormat="1" applyFont="1" applyFill="1" applyBorder="1" applyAlignment="1" applyProtection="1">
      <alignment horizontal="center" vertical="center"/>
      <protection locked="0"/>
    </xf>
    <xf numFmtId="167" fontId="13" fillId="2" borderId="8" xfId="2" applyNumberFormat="1" applyFont="1" applyFill="1" applyBorder="1" applyAlignment="1" applyProtection="1">
      <alignment horizontal="center" vertical="center"/>
      <protection locked="0"/>
    </xf>
    <xf numFmtId="164" fontId="20" fillId="2" borderId="8" xfId="3" applyNumberFormat="1" applyFont="1" applyFill="1" applyBorder="1" applyAlignment="1" applyProtection="1">
      <alignment horizontal="center" vertical="center"/>
      <protection locked="0"/>
    </xf>
    <xf numFmtId="1" fontId="14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 applyProtection="1">
      <alignment horizontal="left" vertical="center" indent="4"/>
    </xf>
    <xf numFmtId="167" fontId="13" fillId="2" borderId="0" xfId="1" applyNumberFormat="1" applyFont="1" applyFill="1" applyAlignment="1">
      <alignment horizontal="right" vertical="center"/>
    </xf>
    <xf numFmtId="176" fontId="9" fillId="2" borderId="0" xfId="12" applyNumberFormat="1" applyFont="1" applyFill="1" applyAlignment="1">
      <alignment vertical="center"/>
    </xf>
    <xf numFmtId="166" fontId="29" fillId="2" borderId="0" xfId="2" applyNumberFormat="1" applyFont="1" applyFill="1" applyAlignment="1">
      <alignment horizontal="right" vertical="center"/>
    </xf>
    <xf numFmtId="166" fontId="30" fillId="2" borderId="0" xfId="2" applyNumberFormat="1" applyFont="1" applyFill="1" applyAlignment="1">
      <alignment horizontal="right" vertical="center"/>
    </xf>
    <xf numFmtId="166" fontId="25" fillId="2" borderId="3" xfId="2" applyNumberFormat="1" applyFont="1" applyFill="1" applyBorder="1" applyAlignment="1" applyProtection="1">
      <alignment horizontal="center" vertical="center"/>
    </xf>
    <xf numFmtId="166" fontId="10" fillId="2" borderId="4" xfId="2" applyNumberFormat="1" applyFont="1" applyFill="1" applyBorder="1" applyAlignment="1" applyProtection="1">
      <alignment horizontal="center" vertical="center" wrapText="1"/>
      <protection locked="0"/>
    </xf>
    <xf numFmtId="166" fontId="10" fillId="2" borderId="13" xfId="2" applyNumberFormat="1" applyFont="1" applyFill="1" applyBorder="1" applyAlignment="1" applyProtection="1">
      <alignment horizontal="center" vertical="center"/>
    </xf>
    <xf numFmtId="170" fontId="10" fillId="2" borderId="12" xfId="2" applyNumberFormat="1" applyFont="1" applyFill="1" applyBorder="1" applyAlignment="1" applyProtection="1">
      <alignment horizontal="center" vertical="center"/>
      <protection locked="0"/>
    </xf>
    <xf numFmtId="170" fontId="10" fillId="2" borderId="0" xfId="1" applyNumberFormat="1" applyFont="1" applyFill="1" applyBorder="1" applyAlignment="1" applyProtection="1">
      <alignment horizontal="right" vertical="center" indent="3"/>
    </xf>
    <xf numFmtId="167" fontId="10" fillId="2" borderId="4" xfId="2" applyNumberFormat="1" applyFont="1" applyFill="1" applyBorder="1" applyAlignment="1" applyProtection="1">
      <alignment horizontal="center" vertical="center"/>
      <protection locked="0"/>
    </xf>
    <xf numFmtId="166" fontId="29" fillId="2" borderId="0" xfId="2" applyNumberFormat="1" applyFont="1" applyFill="1" applyBorder="1" applyAlignment="1">
      <alignment horizontal="right" vertical="center"/>
    </xf>
    <xf numFmtId="1" fontId="29" fillId="2" borderId="2" xfId="2" applyNumberFormat="1" applyFont="1" applyFill="1" applyBorder="1" applyAlignment="1">
      <alignment vertical="center"/>
    </xf>
    <xf numFmtId="167" fontId="29" fillId="2" borderId="0" xfId="2" applyNumberFormat="1" applyFont="1" applyFill="1" applyAlignment="1">
      <alignment horizontal="right" vertical="center"/>
    </xf>
    <xf numFmtId="167" fontId="30" fillId="2" borderId="0" xfId="2" applyNumberFormat="1" applyFont="1" applyFill="1" applyAlignment="1">
      <alignment horizontal="right" vertical="center" indent="1"/>
    </xf>
    <xf numFmtId="166" fontId="30" fillId="2" borderId="0" xfId="2" applyNumberFormat="1" applyFont="1" applyFill="1" applyAlignment="1">
      <alignment horizontal="right" vertical="center" indent="3"/>
    </xf>
    <xf numFmtId="167" fontId="10" fillId="2" borderId="0" xfId="2" applyNumberFormat="1" applyFont="1" applyFill="1" applyBorder="1" applyAlignment="1" applyProtection="1">
      <alignment horizontal="right" vertical="center"/>
      <protection locked="0"/>
    </xf>
    <xf numFmtId="167" fontId="10" fillId="2" borderId="0" xfId="2" applyNumberFormat="1" applyFont="1" applyFill="1" applyBorder="1" applyAlignment="1" applyProtection="1">
      <alignment horizontal="right" vertical="center"/>
    </xf>
    <xf numFmtId="171" fontId="10" fillId="2" borderId="0" xfId="2" applyNumberFormat="1" applyFont="1" applyFill="1" applyBorder="1" applyAlignment="1" applyProtection="1">
      <alignment horizontal="right" vertical="center"/>
      <protection locked="0"/>
    </xf>
    <xf numFmtId="170" fontId="13" fillId="2" borderId="0" xfId="1" applyNumberFormat="1" applyFont="1" applyFill="1" applyBorder="1" applyAlignment="1" applyProtection="1">
      <alignment horizontal="right" vertical="center" indent="3"/>
    </xf>
    <xf numFmtId="167" fontId="13" fillId="2" borderId="2" xfId="2" applyNumberFormat="1" applyFont="1" applyFill="1" applyBorder="1" applyAlignment="1" applyProtection="1">
      <alignment horizontal="right" vertical="center"/>
      <protection locked="0"/>
    </xf>
    <xf numFmtId="167" fontId="13" fillId="2" borderId="5" xfId="2" applyNumberFormat="1" applyFont="1" applyFill="1" applyBorder="1" applyAlignment="1" applyProtection="1">
      <alignment horizontal="center" vertical="center"/>
      <protection locked="0"/>
    </xf>
    <xf numFmtId="167" fontId="13" fillId="2" borderId="9" xfId="2" applyNumberFormat="1" applyFont="1" applyFill="1" applyBorder="1" applyAlignment="1" applyProtection="1">
      <alignment horizontal="center" vertical="center"/>
      <protection locked="0"/>
    </xf>
    <xf numFmtId="166" fontId="19" fillId="2" borderId="2" xfId="2" applyNumberFormat="1" applyFont="1" applyFill="1" applyBorder="1" applyAlignment="1">
      <alignment vertical="center"/>
    </xf>
    <xf numFmtId="167" fontId="30" fillId="2" borderId="2" xfId="2" applyNumberFormat="1" applyFont="1" applyFill="1" applyBorder="1" applyAlignment="1">
      <alignment horizontal="right" vertical="center" indent="1"/>
    </xf>
    <xf numFmtId="166" fontId="9" fillId="2" borderId="10" xfId="2" applyNumberFormat="1" applyFont="1" applyFill="1" applyBorder="1" applyAlignment="1" applyProtection="1">
      <alignment horizontal="center" vertical="center"/>
    </xf>
    <xf numFmtId="167" fontId="10" fillId="2" borderId="8" xfId="2" applyNumberFormat="1" applyFont="1" applyFill="1" applyBorder="1" applyAlignment="1" applyProtection="1">
      <alignment horizontal="right" vertical="center"/>
      <protection locked="0"/>
    </xf>
    <xf numFmtId="167" fontId="10" fillId="2" borderId="8" xfId="2" applyNumberFormat="1" applyFont="1" applyFill="1" applyBorder="1" applyAlignment="1" applyProtection="1">
      <alignment horizontal="right" vertical="center"/>
    </xf>
    <xf numFmtId="166" fontId="19" fillId="2" borderId="3" xfId="2" applyNumberFormat="1" applyFont="1" applyFill="1" applyBorder="1" applyAlignment="1">
      <alignment vertical="center"/>
    </xf>
    <xf numFmtId="165" fontId="13" fillId="2" borderId="8" xfId="1" applyFont="1" applyFill="1" applyBorder="1" applyAlignment="1" applyProtection="1">
      <alignment horizontal="right" vertical="center"/>
      <protection locked="0"/>
    </xf>
    <xf numFmtId="171" fontId="10" fillId="2" borderId="8" xfId="2" applyNumberFormat="1" applyFont="1" applyFill="1" applyBorder="1" applyAlignment="1" applyProtection="1">
      <alignment horizontal="right" vertical="center"/>
      <protection locked="0"/>
    </xf>
    <xf numFmtId="167" fontId="13" fillId="2" borderId="8" xfId="2" applyNumberFormat="1" applyFont="1" applyFill="1" applyBorder="1" applyAlignment="1" applyProtection="1">
      <alignment horizontal="right" vertical="center"/>
    </xf>
    <xf numFmtId="167" fontId="13" fillId="2" borderId="9" xfId="2" applyNumberFormat="1" applyFont="1" applyFill="1" applyBorder="1" applyAlignment="1" applyProtection="1">
      <alignment horizontal="right" vertical="center"/>
      <protection locked="0"/>
    </xf>
    <xf numFmtId="165" fontId="13" fillId="2" borderId="0" xfId="1" applyFont="1" applyFill="1" applyBorder="1" applyAlignment="1" applyProtection="1">
      <alignment horizontal="right" vertical="center"/>
      <protection locked="0"/>
    </xf>
    <xf numFmtId="167" fontId="13" fillId="2" borderId="0" xfId="2" applyNumberFormat="1" applyFont="1" applyFill="1" applyBorder="1" applyAlignment="1" applyProtection="1">
      <alignment horizontal="right" vertical="center"/>
    </xf>
    <xf numFmtId="166" fontId="9" fillId="2" borderId="0" xfId="2" applyNumberFormat="1" applyFont="1" applyFill="1" applyBorder="1" applyAlignment="1" applyProtection="1">
      <alignment horizontal="center" vertical="center"/>
    </xf>
    <xf numFmtId="170" fontId="13" fillId="2" borderId="4" xfId="1" applyNumberFormat="1" applyFont="1" applyFill="1" applyBorder="1" applyAlignment="1" applyProtection="1">
      <alignment horizontal="center" vertical="center"/>
    </xf>
    <xf numFmtId="167" fontId="13" fillId="2" borderId="4" xfId="2" applyNumberFormat="1" applyFont="1" applyFill="1" applyBorder="1" applyAlignment="1" applyProtection="1">
      <alignment horizontal="center" vertical="center"/>
      <protection locked="0"/>
    </xf>
    <xf numFmtId="167" fontId="13" fillId="2" borderId="0" xfId="2" applyNumberFormat="1" applyFont="1" applyFill="1" applyBorder="1" applyAlignment="1" applyProtection="1">
      <alignment horizontal="right" vertical="center"/>
      <protection locked="0"/>
    </xf>
    <xf numFmtId="169" fontId="13" fillId="2" borderId="0" xfId="1" applyNumberFormat="1" applyFont="1" applyFill="1" applyBorder="1" applyAlignment="1" applyProtection="1">
      <alignment horizontal="center" vertical="center"/>
      <protection locked="0"/>
    </xf>
    <xf numFmtId="167" fontId="13" fillId="2" borderId="0" xfId="2" applyNumberFormat="1" applyFont="1" applyFill="1" applyBorder="1" applyAlignment="1" applyProtection="1">
      <alignment horizontal="center" vertical="center"/>
      <protection locked="0"/>
    </xf>
    <xf numFmtId="167" fontId="13" fillId="2" borderId="8" xfId="2" applyNumberFormat="1" applyFont="1" applyFill="1" applyBorder="1" applyAlignment="1" applyProtection="1">
      <alignment horizontal="right" vertical="center"/>
      <protection locked="0"/>
    </xf>
    <xf numFmtId="167" fontId="13" fillId="2" borderId="0" xfId="2" applyNumberFormat="1" applyFont="1" applyFill="1" applyAlignment="1" applyProtection="1">
      <alignment horizontal="right" vertical="center"/>
      <protection locked="0"/>
    </xf>
    <xf numFmtId="166" fontId="13" fillId="2" borderId="0" xfId="2" applyNumberFormat="1" applyFont="1" applyFill="1" applyAlignment="1">
      <alignment horizontal="right" vertical="center"/>
    </xf>
    <xf numFmtId="166" fontId="10" fillId="2" borderId="0" xfId="2" applyNumberFormat="1" applyFont="1" applyFill="1" applyBorder="1" applyAlignment="1" applyProtection="1">
      <alignment horizontal="left" vertical="center"/>
    </xf>
    <xf numFmtId="166" fontId="10" fillId="2" borderId="2" xfId="2" applyNumberFormat="1" applyFont="1" applyFill="1" applyBorder="1" applyAlignment="1" applyProtection="1">
      <alignment horizontal="left" vertical="center"/>
    </xf>
    <xf numFmtId="166" fontId="25" fillId="2" borderId="0" xfId="2" applyNumberFormat="1" applyFont="1" applyFill="1" applyAlignment="1">
      <alignment horizontal="center" vertical="center"/>
    </xf>
    <xf numFmtId="166" fontId="11" fillId="2" borderId="0" xfId="2" applyNumberFormat="1" applyFont="1" applyFill="1" applyBorder="1" applyAlignment="1" applyProtection="1">
      <alignment horizontal="center" vertical="center"/>
    </xf>
    <xf numFmtId="166" fontId="13" fillId="2" borderId="0" xfId="2" applyNumberFormat="1" applyFont="1" applyFill="1" applyAlignment="1">
      <alignment horizontal="right" vertical="center"/>
    </xf>
    <xf numFmtId="166" fontId="28" fillId="2" borderId="0" xfId="2" applyNumberFormat="1" applyFont="1" applyFill="1" applyAlignment="1">
      <alignment horizontal="center" vertical="center" wrapText="1"/>
    </xf>
    <xf numFmtId="166" fontId="10" fillId="2" borderId="2" xfId="2" applyNumberFormat="1" applyFont="1" applyFill="1" applyBorder="1" applyAlignment="1" applyProtection="1">
      <alignment horizontal="center" vertical="center"/>
    </xf>
    <xf numFmtId="167" fontId="13" fillId="2" borderId="0" xfId="2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Alignment="1" applyProtection="1">
      <alignment horizontal="right" vertical="center"/>
      <protection locked="0"/>
    </xf>
    <xf numFmtId="169" fontId="13" fillId="2" borderId="0" xfId="1" applyNumberFormat="1" applyFont="1" applyFill="1" applyAlignment="1" applyProtection="1">
      <alignment horizontal="right" vertical="center"/>
      <protection locked="0"/>
    </xf>
    <xf numFmtId="169" fontId="13" fillId="2" borderId="0" xfId="1" applyNumberFormat="1" applyFont="1" applyFill="1" applyAlignment="1" applyProtection="1">
      <alignment horizontal="center" vertical="center"/>
      <protection locked="0"/>
    </xf>
    <xf numFmtId="167" fontId="13" fillId="2" borderId="0" xfId="2" applyNumberFormat="1" applyFont="1" applyFill="1" applyBorder="1" applyAlignment="1" applyProtection="1">
      <alignment horizontal="right" vertical="center"/>
      <protection locked="0"/>
    </xf>
    <xf numFmtId="169" fontId="13" fillId="2" borderId="8" xfId="1" applyNumberFormat="1" applyFont="1" applyFill="1" applyBorder="1" applyAlignment="1" applyProtection="1">
      <alignment horizontal="center" vertical="center"/>
      <protection locked="0"/>
    </xf>
    <xf numFmtId="167" fontId="13" fillId="2" borderId="8" xfId="2" applyNumberFormat="1" applyFont="1" applyFill="1" applyBorder="1" applyAlignment="1" applyProtection="1">
      <alignment horizontal="right" vertical="center"/>
      <protection locked="0"/>
    </xf>
    <xf numFmtId="169" fontId="13" fillId="2" borderId="4" xfId="1" applyNumberFormat="1" applyFont="1" applyFill="1" applyBorder="1" applyAlignment="1" applyProtection="1">
      <alignment horizontal="center" vertical="center"/>
      <protection locked="0"/>
    </xf>
    <xf numFmtId="170" fontId="13" fillId="2" borderId="4" xfId="1" applyNumberFormat="1" applyFont="1" applyFill="1" applyBorder="1" applyAlignment="1" applyProtection="1">
      <alignment horizontal="center" vertical="center"/>
    </xf>
    <xf numFmtId="170" fontId="13" fillId="2" borderId="0" xfId="1" applyNumberFormat="1" applyFont="1" applyFill="1" applyBorder="1" applyAlignment="1" applyProtection="1">
      <alignment horizontal="center" vertical="center"/>
    </xf>
    <xf numFmtId="167" fontId="13" fillId="2" borderId="4" xfId="2" applyNumberFormat="1" applyFont="1" applyFill="1" applyBorder="1" applyAlignment="1" applyProtection="1">
      <alignment horizontal="center" vertical="center"/>
      <protection locked="0"/>
    </xf>
    <xf numFmtId="169" fontId="13" fillId="2" borderId="0" xfId="1" applyNumberFormat="1" applyFont="1" applyFill="1" applyBorder="1" applyAlignment="1" applyProtection="1">
      <alignment horizontal="center" vertical="center"/>
      <protection locked="0"/>
    </xf>
    <xf numFmtId="167" fontId="13" fillId="2" borderId="0" xfId="2" applyNumberFormat="1" applyFont="1" applyFill="1" applyBorder="1" applyAlignment="1" applyProtection="1">
      <alignment horizontal="center" vertical="center"/>
      <protection locked="0"/>
    </xf>
    <xf numFmtId="166" fontId="5" fillId="2" borderId="8" xfId="2" applyNumberFormat="1" applyFont="1" applyFill="1" applyBorder="1" applyAlignment="1" applyProtection="1">
      <alignment horizontal="right" vertical="center"/>
      <protection locked="0"/>
    </xf>
    <xf numFmtId="166" fontId="5" fillId="2" borderId="14" xfId="2" applyNumberFormat="1" applyFont="1" applyFill="1" applyBorder="1" applyAlignment="1" applyProtection="1">
      <alignment horizontal="right" vertical="center"/>
    </xf>
    <xf numFmtId="165" fontId="13" fillId="2" borderId="0" xfId="1" applyFont="1" applyFill="1" applyAlignment="1" applyProtection="1">
      <alignment horizontal="right" vertical="center"/>
      <protection locked="0"/>
    </xf>
    <xf numFmtId="166" fontId="13" fillId="2" borderId="0" xfId="2" applyNumberFormat="1" applyFont="1" applyFill="1" applyBorder="1" applyAlignment="1" applyProtection="1">
      <alignment horizontal="left" vertical="center"/>
    </xf>
    <xf numFmtId="167" fontId="30" fillId="2" borderId="0" xfId="2" applyNumberFormat="1" applyFont="1" applyFill="1" applyBorder="1" applyAlignment="1">
      <alignment horizontal="right" vertical="center" indent="1"/>
    </xf>
    <xf numFmtId="165" fontId="13" fillId="2" borderId="2" xfId="1" applyFont="1" applyFill="1" applyBorder="1" applyAlignment="1" applyProtection="1">
      <alignment horizontal="right" vertical="center"/>
      <protection locked="0"/>
    </xf>
    <xf numFmtId="165" fontId="13" fillId="2" borderId="5" xfId="1" applyFont="1" applyFill="1" applyBorder="1" applyAlignment="1" applyProtection="1">
      <alignment horizontal="right" vertical="center"/>
      <protection locked="0"/>
    </xf>
    <xf numFmtId="0" fontId="32" fillId="2" borderId="0" xfId="0" applyNumberFormat="1" applyFont="1" applyFill="1" applyBorder="1" applyAlignment="1">
      <alignment horizontal="left" vertical="center"/>
    </xf>
    <xf numFmtId="166" fontId="9" fillId="2" borderId="2" xfId="2" applyNumberFormat="1" applyFont="1" applyFill="1" applyBorder="1" applyAlignment="1">
      <alignment vertical="center"/>
    </xf>
  </cellXfs>
  <cellStyles count="18">
    <cellStyle name="Comma" xfId="1" builtinId="3"/>
    <cellStyle name="Comma 2" xfId="7"/>
    <cellStyle name="Comma 3" xfId="8"/>
    <cellStyle name="Comma 4" xfId="4"/>
    <cellStyle name="Comma 4 2" xfId="16"/>
    <cellStyle name="Comma 5" xfId="1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2 2" xfId="15"/>
    <cellStyle name="Normal 3" xfId="13"/>
    <cellStyle name="Normal 4" xfId="9"/>
    <cellStyle name="Normal_13 Public Finance_done" xfId="2"/>
    <cellStyle name="Percent" xfId="12" builtinId="5"/>
    <cellStyle name="Percent 2" xfId="17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personal/fathimath_amana_finance_gov_mv/Documents/3.%20Data%20Requests/NBS/Budget%20in%20GFS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F"/>
    </sheetNames>
    <sheetDataSet>
      <sheetData sheetId="0">
        <row r="159">
          <cell r="H159">
            <v>1096.946659</v>
          </cell>
          <cell r="I159">
            <v>1440.2569269999999</v>
          </cell>
        </row>
        <row r="173">
          <cell r="H173">
            <v>-77.370552000000004</v>
          </cell>
          <cell r="I173">
            <v>-103.625304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52"/>
  <sheetViews>
    <sheetView tabSelected="1" zoomScale="96" zoomScaleNormal="96" zoomScaleSheetLayoutView="100" workbookViewId="0">
      <pane xSplit="4" topLeftCell="E1" activePane="topRight" state="frozen"/>
      <selection pane="topRight" activeCell="M29" sqref="M29"/>
    </sheetView>
  </sheetViews>
  <sheetFormatPr defaultColWidth="9.140625" defaultRowHeight="12.75"/>
  <cols>
    <col min="1" max="1" width="36.140625" style="4" customWidth="1"/>
    <col min="2" max="3" width="9.140625" style="4" hidden="1" customWidth="1"/>
    <col min="4" max="4" width="10.28515625" style="4" hidden="1" customWidth="1"/>
    <col min="5" max="5" width="9.140625" style="4" customWidth="1"/>
    <col min="6" max="6" width="10.85546875" style="4" hidden="1" customWidth="1"/>
    <col min="7" max="8" width="9.140625" style="4" customWidth="1"/>
    <col min="9" max="9" width="9.140625" style="4"/>
    <col min="10" max="12" width="9.28515625" style="4" bestFit="1" customWidth="1"/>
    <col min="13" max="18" width="9.28515625" style="4" customWidth="1"/>
    <col min="19" max="19" width="2.28515625" style="4" customWidth="1"/>
    <col min="20" max="20" width="13" style="4" customWidth="1"/>
    <col min="21" max="21" width="1" style="4" customWidth="1"/>
    <col min="22" max="22" width="12.140625" style="29" customWidth="1"/>
    <col min="23" max="23" width="2.5703125" style="29" customWidth="1"/>
    <col min="24" max="24" width="42.28515625" style="30" bestFit="1" customWidth="1"/>
    <col min="25" max="16384" width="9.140625" style="4"/>
  </cols>
  <sheetData>
    <row r="1" spans="1:25" ht="18.75">
      <c r="A1" s="93" t="s">
        <v>14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spans="1:25" ht="15">
      <c r="A2" s="94" t="s">
        <v>15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25" ht="18.75">
      <c r="A3" s="96" t="s">
        <v>16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</row>
    <row r="4" spans="1:25">
      <c r="A4" s="97" t="s">
        <v>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14"/>
    </row>
    <row r="5" spans="1:25" ht="29.25" customHeight="1">
      <c r="A5" s="82"/>
      <c r="B5" s="15"/>
      <c r="C5" s="15"/>
      <c r="D5" s="15"/>
      <c r="E5" s="82"/>
      <c r="F5" s="82"/>
      <c r="G5" s="82"/>
      <c r="H5" s="82"/>
      <c r="I5" s="82"/>
      <c r="J5" s="82"/>
      <c r="K5" s="82"/>
      <c r="L5" s="82"/>
      <c r="M5" s="82"/>
      <c r="N5" s="82"/>
      <c r="O5" s="72"/>
      <c r="P5" s="15"/>
      <c r="Q5" s="15"/>
      <c r="R5" s="82"/>
      <c r="S5" s="82"/>
      <c r="T5" s="39" t="s">
        <v>17</v>
      </c>
      <c r="U5" s="37"/>
      <c r="V5" s="40" t="s">
        <v>18</v>
      </c>
      <c r="W5" s="31"/>
      <c r="X5" s="52"/>
      <c r="Y5" s="14"/>
    </row>
    <row r="6" spans="1:25" s="10" customFormat="1" ht="24">
      <c r="A6" s="91" t="s">
        <v>1</v>
      </c>
      <c r="B6" s="1"/>
      <c r="C6" s="1"/>
      <c r="D6" s="1"/>
      <c r="E6" s="1" t="s">
        <v>3</v>
      </c>
      <c r="F6" s="1" t="s">
        <v>4</v>
      </c>
      <c r="G6" s="1" t="s">
        <v>3</v>
      </c>
      <c r="H6" s="1" t="s">
        <v>3</v>
      </c>
      <c r="I6" s="1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4</v>
      </c>
      <c r="O6" s="111"/>
      <c r="P6" s="2" t="s">
        <v>5</v>
      </c>
      <c r="Q6" s="2" t="s">
        <v>5</v>
      </c>
      <c r="R6" s="2" t="s">
        <v>5</v>
      </c>
      <c r="S6" s="1"/>
      <c r="T6" s="41" t="s">
        <v>19</v>
      </c>
      <c r="U6" s="38"/>
      <c r="V6" s="53" t="s">
        <v>6</v>
      </c>
      <c r="W6" s="32"/>
      <c r="X6" s="58" t="s">
        <v>2</v>
      </c>
    </row>
    <row r="7" spans="1:25" s="5" customFormat="1" ht="15.75">
      <c r="A7" s="92"/>
      <c r="B7" s="11">
        <v>2008</v>
      </c>
      <c r="C7" s="11">
        <v>2009</v>
      </c>
      <c r="D7" s="11">
        <v>2010</v>
      </c>
      <c r="E7" s="11" t="s">
        <v>20</v>
      </c>
      <c r="F7" s="11">
        <v>2012</v>
      </c>
      <c r="G7" s="11">
        <v>2012</v>
      </c>
      <c r="H7" s="11">
        <v>2013</v>
      </c>
      <c r="I7" s="11">
        <v>2014</v>
      </c>
      <c r="J7" s="3">
        <v>2015</v>
      </c>
      <c r="K7" s="3">
        <v>2016</v>
      </c>
      <c r="L7" s="3">
        <v>2017</v>
      </c>
      <c r="M7" s="3">
        <v>2018</v>
      </c>
      <c r="N7" s="3">
        <v>2019</v>
      </c>
      <c r="O7" s="112">
        <v>2020</v>
      </c>
      <c r="P7" s="3">
        <v>2021</v>
      </c>
      <c r="Q7" s="3">
        <v>2022</v>
      </c>
      <c r="R7" s="3">
        <v>2023</v>
      </c>
      <c r="S7" s="11"/>
      <c r="T7" s="54">
        <v>2020</v>
      </c>
      <c r="U7" s="36"/>
      <c r="V7" s="55" t="s">
        <v>7</v>
      </c>
      <c r="W7" s="119"/>
      <c r="X7" s="59"/>
    </row>
    <row r="8" spans="1:25" s="5" customFormat="1" ht="21" customHeight="1">
      <c r="A8" s="16" t="s">
        <v>8</v>
      </c>
      <c r="B8" s="17">
        <f t="shared" ref="B8:M8" si="0">+B10+B28</f>
        <v>10176</v>
      </c>
      <c r="C8" s="17">
        <f t="shared" si="0"/>
        <v>10953.434156000001</v>
      </c>
      <c r="D8" s="17">
        <f t="shared" si="0"/>
        <v>10815.062102899999</v>
      </c>
      <c r="E8" s="17">
        <f t="shared" si="0"/>
        <v>12264.726665999999</v>
      </c>
      <c r="F8" s="17">
        <f t="shared" si="0"/>
        <v>14145.628022305787</v>
      </c>
      <c r="G8" s="18">
        <f t="shared" si="0"/>
        <v>13110.002924999999</v>
      </c>
      <c r="H8" s="18">
        <f t="shared" si="0"/>
        <v>13530.771002489999</v>
      </c>
      <c r="I8" s="18">
        <f t="shared" si="0"/>
        <v>16417.244472999999</v>
      </c>
      <c r="J8" s="18">
        <f t="shared" si="0"/>
        <v>21336.878134909999</v>
      </c>
      <c r="K8" s="18">
        <f t="shared" si="0"/>
        <v>25262.973192969999</v>
      </c>
      <c r="L8" s="18">
        <f t="shared" si="0"/>
        <v>22420.18677</v>
      </c>
      <c r="M8" s="18">
        <f t="shared" si="0"/>
        <v>26418.667526999998</v>
      </c>
      <c r="N8" s="18">
        <v>28919.533213000002</v>
      </c>
      <c r="O8" s="73">
        <v>30566.561805000001</v>
      </c>
      <c r="P8" s="63">
        <v>33440.525404</v>
      </c>
      <c r="Q8" s="63">
        <v>38314.009976999994</v>
      </c>
      <c r="R8" s="63">
        <v>37939.416805000001</v>
      </c>
      <c r="S8" s="18"/>
      <c r="T8" s="57">
        <f t="shared" ref="T8:T38" si="1">O8/$O$8*100</f>
        <v>100</v>
      </c>
      <c r="U8" s="43"/>
      <c r="V8" s="56">
        <f t="shared" ref="V8:V28" si="2">+(O8-N8)/N8*100</f>
        <v>5.6952115370230842</v>
      </c>
      <c r="X8" s="50" t="s">
        <v>21</v>
      </c>
      <c r="Y8" s="49"/>
    </row>
    <row r="9" spans="1:25" s="5" customFormat="1" ht="21" customHeight="1">
      <c r="A9" s="16" t="s">
        <v>22</v>
      </c>
      <c r="B9" s="17">
        <f>B10+B29</f>
        <v>10342.400000000001</v>
      </c>
      <c r="C9" s="17">
        <f t="shared" ref="C9:M9" si="3">C10+C29</f>
        <v>11104.270489000002</v>
      </c>
      <c r="D9" s="17">
        <f t="shared" si="3"/>
        <v>10996.362102899999</v>
      </c>
      <c r="E9" s="17">
        <f t="shared" si="3"/>
        <v>12663.726665999999</v>
      </c>
      <c r="F9" s="17">
        <f t="shared" si="3"/>
        <v>14215.928022305787</v>
      </c>
      <c r="G9" s="17">
        <f t="shared" si="3"/>
        <v>13200.234560999999</v>
      </c>
      <c r="H9" s="17">
        <f t="shared" si="3"/>
        <v>13666.256009489998</v>
      </c>
      <c r="I9" s="17">
        <f t="shared" si="3"/>
        <v>16539.406523000001</v>
      </c>
      <c r="J9" s="17">
        <f t="shared" si="3"/>
        <v>21440.896380909999</v>
      </c>
      <c r="K9" s="17">
        <f t="shared" si="3"/>
        <v>25306.509388119997</v>
      </c>
      <c r="L9" s="17">
        <f t="shared" si="3"/>
        <v>22497.557322000001</v>
      </c>
      <c r="M9" s="17">
        <f t="shared" si="3"/>
        <v>26522.292830999999</v>
      </c>
      <c r="N9" s="17">
        <v>28994.730041000003</v>
      </c>
      <c r="O9" s="74">
        <v>30627.655278000002</v>
      </c>
      <c r="P9" s="64">
        <v>33431.529467999993</v>
      </c>
      <c r="Q9" s="64">
        <v>38598.399967999998</v>
      </c>
      <c r="R9" s="64">
        <v>38250.269287000003</v>
      </c>
      <c r="S9" s="18"/>
      <c r="T9" s="57">
        <f t="shared" si="1"/>
        <v>100.1998702810926</v>
      </c>
      <c r="U9" s="43"/>
      <c r="V9" s="56">
        <f t="shared" si="2"/>
        <v>5.6318001053672901</v>
      </c>
      <c r="X9" s="50" t="s">
        <v>23</v>
      </c>
    </row>
    <row r="10" spans="1:25" s="5" customFormat="1" ht="21" customHeight="1">
      <c r="A10" s="16" t="s">
        <v>9</v>
      </c>
      <c r="B10" s="17">
        <f t="shared" ref="B10:M10" si="4">+B11+B24+B25</f>
        <v>7463.2000000000007</v>
      </c>
      <c r="C10" s="17">
        <f t="shared" si="4"/>
        <v>8764.9308290000008</v>
      </c>
      <c r="D10" s="17">
        <f t="shared" si="4"/>
        <v>8428.0733739999996</v>
      </c>
      <c r="E10" s="17">
        <f t="shared" si="4"/>
        <v>9075.7434510000003</v>
      </c>
      <c r="F10" s="17">
        <f t="shared" si="4"/>
        <v>10522.12938529569</v>
      </c>
      <c r="G10" s="18">
        <f t="shared" si="4"/>
        <v>10316.485255</v>
      </c>
      <c r="H10" s="18">
        <f t="shared" si="4"/>
        <v>11573.214585849999</v>
      </c>
      <c r="I10" s="18">
        <f t="shared" si="4"/>
        <v>13960.001397</v>
      </c>
      <c r="J10" s="18">
        <f t="shared" si="4"/>
        <v>16733.74419112</v>
      </c>
      <c r="K10" s="18">
        <f t="shared" si="4"/>
        <v>16141.004692499997</v>
      </c>
      <c r="L10" s="18">
        <f t="shared" si="4"/>
        <v>14955.176706</v>
      </c>
      <c r="M10" s="18">
        <f t="shared" si="4"/>
        <v>18268.036271999998</v>
      </c>
      <c r="N10" s="18">
        <v>21371.957551</v>
      </c>
      <c r="O10" s="73">
        <v>20876.937707000001</v>
      </c>
      <c r="P10" s="63">
        <v>21638.102760999998</v>
      </c>
      <c r="Q10" s="63">
        <v>22099.614652999997</v>
      </c>
      <c r="R10" s="63">
        <v>22618.161796</v>
      </c>
      <c r="S10" s="18"/>
      <c r="T10" s="57">
        <f t="shared" si="1"/>
        <v>68.299921463803642</v>
      </c>
      <c r="U10" s="43"/>
      <c r="V10" s="56">
        <f t="shared" si="2"/>
        <v>-2.3162119933035168</v>
      </c>
      <c r="X10" s="60" t="s">
        <v>10</v>
      </c>
    </row>
    <row r="11" spans="1:25" s="6" customFormat="1" ht="21" customHeight="1">
      <c r="A11" s="16" t="s">
        <v>24</v>
      </c>
      <c r="B11" s="18">
        <f t="shared" ref="B11:H11" si="5">SUM(B12:B23)</f>
        <v>6704.0000000000009</v>
      </c>
      <c r="C11" s="18">
        <f t="shared" si="5"/>
        <v>7725.4148610000011</v>
      </c>
      <c r="D11" s="18">
        <f t="shared" si="5"/>
        <v>7113.477116</v>
      </c>
      <c r="E11" s="18">
        <f t="shared" si="5"/>
        <v>7352.3074530000004</v>
      </c>
      <c r="F11" s="18">
        <f t="shared" si="5"/>
        <v>8817.3874749850675</v>
      </c>
      <c r="G11" s="18">
        <f t="shared" si="5"/>
        <v>8519.2447279999997</v>
      </c>
      <c r="H11" s="18">
        <f t="shared" si="5"/>
        <v>8842.2643139699994</v>
      </c>
      <c r="I11" s="18">
        <f>SUM(I12:I23)</f>
        <v>10437.031647</v>
      </c>
      <c r="J11" s="18">
        <f t="shared" ref="J11:M11" si="6">SUM(J12:J23)</f>
        <v>13631.306274120001</v>
      </c>
      <c r="K11" s="18">
        <f t="shared" si="6"/>
        <v>13953.813229789997</v>
      </c>
      <c r="L11" s="18">
        <f t="shared" si="6"/>
        <v>13009.614011000001</v>
      </c>
      <c r="M11" s="18">
        <f t="shared" si="6"/>
        <v>15141.07069</v>
      </c>
      <c r="N11" s="18">
        <v>17571.448314999998</v>
      </c>
      <c r="O11" s="73">
        <v>16910.054751</v>
      </c>
      <c r="P11" s="63">
        <v>17272.466397999997</v>
      </c>
      <c r="Q11" s="63">
        <v>17553.200670999999</v>
      </c>
      <c r="R11" s="63">
        <v>18173.897417</v>
      </c>
      <c r="S11" s="18"/>
      <c r="T11" s="57">
        <f t="shared" si="1"/>
        <v>55.322070106798513</v>
      </c>
      <c r="U11" s="43"/>
      <c r="V11" s="56">
        <f t="shared" si="2"/>
        <v>-3.7640241836832233</v>
      </c>
      <c r="X11" s="61" t="s">
        <v>25</v>
      </c>
    </row>
    <row r="12" spans="1:25" s="6" customFormat="1" ht="15.75">
      <c r="A12" s="20" t="s">
        <v>26</v>
      </c>
      <c r="B12" s="90">
        <v>2588.9</v>
      </c>
      <c r="C12" s="89">
        <v>2944.8222249999999</v>
      </c>
      <c r="D12" s="89">
        <v>2486.4620610000002</v>
      </c>
      <c r="E12" s="89">
        <v>2596.3040620000002</v>
      </c>
      <c r="F12" s="89">
        <v>2527.3335364730301</v>
      </c>
      <c r="G12" s="89">
        <v>2722.7159489999999</v>
      </c>
      <c r="H12" s="89">
        <v>3283.7425111899997</v>
      </c>
      <c r="I12" s="89">
        <v>3392.859852</v>
      </c>
      <c r="J12" s="89">
        <v>3929.2445547999996</v>
      </c>
      <c r="K12" s="89">
        <v>4029.6268312199995</v>
      </c>
      <c r="L12" s="89">
        <v>3996.5962450000002</v>
      </c>
      <c r="M12" s="89">
        <v>4278.4317789999996</v>
      </c>
      <c r="N12" s="89">
        <v>4642.9005079999997</v>
      </c>
      <c r="O12" s="88">
        <v>4327.4120489999996</v>
      </c>
      <c r="P12" s="85">
        <v>4510.1572999999999</v>
      </c>
      <c r="Q12" s="85">
        <v>5002.9509719999996</v>
      </c>
      <c r="R12" s="85">
        <v>5251.0575479999998</v>
      </c>
      <c r="S12" s="89"/>
      <c r="T12" s="84">
        <f t="shared" si="1"/>
        <v>14.15733989516653</v>
      </c>
      <c r="U12" s="44"/>
      <c r="V12" s="66">
        <f t="shared" si="2"/>
        <v>-6.7950725727676993</v>
      </c>
      <c r="X12" s="61" t="s">
        <v>27</v>
      </c>
    </row>
    <row r="13" spans="1:25" s="6" customFormat="1" ht="15.75">
      <c r="A13" s="20" t="s">
        <v>28</v>
      </c>
      <c r="B13" s="90">
        <v>977.2</v>
      </c>
      <c r="C13" s="89">
        <v>1797.9487119999999</v>
      </c>
      <c r="D13" s="89">
        <v>1691.8551520000001</v>
      </c>
      <c r="E13" s="89">
        <v>1684.651282</v>
      </c>
      <c r="F13" s="89">
        <v>1693.9412848249981</v>
      </c>
      <c r="G13" s="89">
        <v>1836.5324539999999</v>
      </c>
      <c r="H13" s="89">
        <v>2321.9727118199999</v>
      </c>
      <c r="I13" s="89">
        <v>2435.6551049999998</v>
      </c>
      <c r="J13" s="89">
        <v>2891.4520778200003</v>
      </c>
      <c r="K13" s="89">
        <v>2868.9035563300004</v>
      </c>
      <c r="L13" s="89">
        <v>2975.2445929999999</v>
      </c>
      <c r="M13" s="89">
        <v>3398.4061360000001</v>
      </c>
      <c r="N13" s="89">
        <v>3651.3357940000001</v>
      </c>
      <c r="O13" s="88">
        <v>3811.0934400000001</v>
      </c>
      <c r="P13" s="85">
        <v>3906.2771419999999</v>
      </c>
      <c r="Q13" s="85">
        <v>3901.397547</v>
      </c>
      <c r="R13" s="85">
        <v>3900.8029470000001</v>
      </c>
      <c r="S13" s="89"/>
      <c r="T13" s="84">
        <f t="shared" si="1"/>
        <v>12.46817834571303</v>
      </c>
      <c r="U13" s="44"/>
      <c r="V13" s="66">
        <f t="shared" si="2"/>
        <v>4.375320567955411</v>
      </c>
      <c r="X13" s="61" t="s">
        <v>29</v>
      </c>
    </row>
    <row r="14" spans="1:25" s="6" customFormat="1" ht="15.75">
      <c r="A14" s="20" t="s">
        <v>30</v>
      </c>
      <c r="B14" s="90">
        <v>126.3</v>
      </c>
      <c r="C14" s="89">
        <v>286.51753100000002</v>
      </c>
      <c r="D14" s="89">
        <v>155.387157</v>
      </c>
      <c r="E14" s="89">
        <v>146.63359800000001</v>
      </c>
      <c r="F14" s="89">
        <v>159.16254198666658</v>
      </c>
      <c r="G14" s="89">
        <v>157.925938</v>
      </c>
      <c r="H14" s="89">
        <v>321.28531844000003</v>
      </c>
      <c r="I14" s="89">
        <v>192.40862899999999</v>
      </c>
      <c r="J14" s="89">
        <v>904.71419108000009</v>
      </c>
      <c r="K14" s="89">
        <v>927.20913623999991</v>
      </c>
      <c r="L14" s="89">
        <v>948.15110600000003</v>
      </c>
      <c r="M14" s="89">
        <v>983.17368399999998</v>
      </c>
      <c r="N14" s="89">
        <v>562.29166699999996</v>
      </c>
      <c r="O14" s="88">
        <v>454.44782800000002</v>
      </c>
      <c r="P14" s="85">
        <v>583.711682</v>
      </c>
      <c r="Q14" s="85">
        <v>633.67240000000004</v>
      </c>
      <c r="R14" s="85">
        <v>702.61024299999997</v>
      </c>
      <c r="S14" s="89"/>
      <c r="T14" s="84">
        <f t="shared" si="1"/>
        <v>1.486748267270487</v>
      </c>
      <c r="U14" s="44"/>
      <c r="V14" s="66">
        <f t="shared" si="2"/>
        <v>-19.179341492891083</v>
      </c>
      <c r="X14" s="61" t="s">
        <v>31</v>
      </c>
    </row>
    <row r="15" spans="1:25" s="6" customFormat="1" ht="15.75">
      <c r="A15" s="20" t="s">
        <v>32</v>
      </c>
      <c r="B15" s="90">
        <v>173.5</v>
      </c>
      <c r="C15" s="89">
        <v>133.39837399999999</v>
      </c>
      <c r="D15" s="89">
        <v>103.018094</v>
      </c>
      <c r="E15" s="89">
        <v>136.514331</v>
      </c>
      <c r="F15" s="89">
        <v>138.30028738441143</v>
      </c>
      <c r="G15" s="89">
        <v>139.60034300000001</v>
      </c>
      <c r="H15" s="89">
        <v>118.49545676999999</v>
      </c>
      <c r="I15" s="89">
        <v>133.54383899999999</v>
      </c>
      <c r="J15" s="89">
        <v>188.85908920000003</v>
      </c>
      <c r="K15" s="89">
        <v>186.86977014999999</v>
      </c>
      <c r="L15" s="89">
        <v>176.68496999999999</v>
      </c>
      <c r="M15" s="89">
        <v>175.52487600000001</v>
      </c>
      <c r="N15" s="89">
        <v>231.34787800000001</v>
      </c>
      <c r="O15" s="88">
        <v>156.15583100000001</v>
      </c>
      <c r="P15" s="85">
        <v>172.28344200000001</v>
      </c>
      <c r="Q15" s="85">
        <v>168.373097</v>
      </c>
      <c r="R15" s="85">
        <v>166.865184</v>
      </c>
      <c r="S15" s="89"/>
      <c r="T15" s="84">
        <f t="shared" si="1"/>
        <v>0.51087142870761615</v>
      </c>
      <c r="U15" s="44"/>
      <c r="V15" s="66">
        <f t="shared" si="2"/>
        <v>-32.501723227390052</v>
      </c>
      <c r="X15" s="61" t="s">
        <v>33</v>
      </c>
    </row>
    <row r="16" spans="1:25" s="6" customFormat="1" ht="15.75">
      <c r="A16" s="20" t="s">
        <v>34</v>
      </c>
      <c r="B16" s="33">
        <v>0</v>
      </c>
      <c r="C16" s="33">
        <v>0</v>
      </c>
      <c r="D16" s="33">
        <v>0</v>
      </c>
      <c r="E16" s="48">
        <v>225.83264</v>
      </c>
      <c r="F16" s="89"/>
      <c r="G16" s="89">
        <v>308.01030900000001</v>
      </c>
      <c r="H16" s="89">
        <v>274.06769034999996</v>
      </c>
      <c r="I16" s="89">
        <v>305.657895</v>
      </c>
      <c r="J16" s="89">
        <v>415.17217681</v>
      </c>
      <c r="K16" s="89">
        <v>456.03143373999984</v>
      </c>
      <c r="L16" s="89">
        <v>248.34092699999999</v>
      </c>
      <c r="M16" s="89">
        <v>523.14564399999995</v>
      </c>
      <c r="N16" s="89">
        <v>564.17856800000004</v>
      </c>
      <c r="O16" s="88">
        <v>406.96538900000002</v>
      </c>
      <c r="P16" s="85">
        <v>630.83643900000004</v>
      </c>
      <c r="Q16" s="85">
        <v>642.30917699999998</v>
      </c>
      <c r="R16" s="85">
        <v>653.70599600000003</v>
      </c>
      <c r="S16" s="89"/>
      <c r="T16" s="84">
        <f t="shared" si="1"/>
        <v>1.3314071487537393</v>
      </c>
      <c r="U16" s="44"/>
      <c r="V16" s="66">
        <f t="shared" si="2"/>
        <v>-27.865854521435846</v>
      </c>
      <c r="X16" s="61" t="s">
        <v>35</v>
      </c>
    </row>
    <row r="17" spans="1:24" s="6" customFormat="1" ht="15.75">
      <c r="A17" s="20" t="s">
        <v>36</v>
      </c>
      <c r="B17" s="90">
        <v>435.7</v>
      </c>
      <c r="C17" s="89">
        <v>345.66474499999998</v>
      </c>
      <c r="D17" s="89">
        <v>315.84864700000003</v>
      </c>
      <c r="E17" s="89">
        <v>420.99627099999998</v>
      </c>
      <c r="F17" s="89">
        <v>387.57731545110539</v>
      </c>
      <c r="G17" s="89">
        <v>496.65301599999998</v>
      </c>
      <c r="H17" s="89">
        <v>537.30073173999995</v>
      </c>
      <c r="I17" s="89">
        <v>825.74070600000005</v>
      </c>
      <c r="J17" s="89">
        <v>1218.26251843</v>
      </c>
      <c r="K17" s="89">
        <v>1181.3357782100002</v>
      </c>
      <c r="L17" s="89">
        <v>1110.862676</v>
      </c>
      <c r="M17" s="89">
        <v>1324.022338</v>
      </c>
      <c r="N17" s="89">
        <v>1611.093746</v>
      </c>
      <c r="O17" s="88">
        <v>2286.4152650000001</v>
      </c>
      <c r="P17" s="85">
        <v>1710.003195</v>
      </c>
      <c r="Q17" s="85">
        <v>1568.56224</v>
      </c>
      <c r="R17" s="85">
        <v>1610.7052450000001</v>
      </c>
      <c r="S17" s="89"/>
      <c r="T17" s="84">
        <f t="shared" si="1"/>
        <v>7.4801192217372456</v>
      </c>
      <c r="U17" s="44"/>
      <c r="V17" s="66">
        <f t="shared" si="2"/>
        <v>41.916959871309686</v>
      </c>
      <c r="X17" s="61" t="s">
        <v>37</v>
      </c>
    </row>
    <row r="18" spans="1:24" s="6" customFormat="1" ht="15.75">
      <c r="A18" s="20" t="s">
        <v>38</v>
      </c>
      <c r="B18" s="90">
        <v>181.1</v>
      </c>
      <c r="C18" s="89">
        <v>138.21754999999999</v>
      </c>
      <c r="D18" s="89">
        <v>121.898888</v>
      </c>
      <c r="E18" s="89">
        <v>127.86300199999999</v>
      </c>
      <c r="F18" s="89">
        <v>121.2473748227352</v>
      </c>
      <c r="G18" s="89">
        <v>195.09169399999999</v>
      </c>
      <c r="H18" s="89">
        <v>99.355695399999988</v>
      </c>
      <c r="I18" s="89">
        <v>216.49781200000001</v>
      </c>
      <c r="J18" s="89">
        <v>386.44576319000004</v>
      </c>
      <c r="K18" s="89">
        <v>316.02278891999981</v>
      </c>
      <c r="L18" s="89">
        <v>211.97992600000001</v>
      </c>
      <c r="M18" s="89">
        <v>220.23083500000001</v>
      </c>
      <c r="N18" s="89">
        <v>408.40059400000001</v>
      </c>
      <c r="O18" s="88">
        <v>276.85641800000002</v>
      </c>
      <c r="P18" s="85">
        <v>259.41899799999999</v>
      </c>
      <c r="Q18" s="85">
        <v>286.85701799999998</v>
      </c>
      <c r="R18" s="85">
        <v>279.56913700000001</v>
      </c>
      <c r="S18" s="89"/>
      <c r="T18" s="84">
        <f t="shared" si="1"/>
        <v>0.90574929482161304</v>
      </c>
      <c r="U18" s="44"/>
      <c r="V18" s="66">
        <f t="shared" si="2"/>
        <v>-32.209594680462189</v>
      </c>
      <c r="X18" s="61" t="s">
        <v>39</v>
      </c>
    </row>
    <row r="19" spans="1:24" s="6" customFormat="1" ht="15" customHeight="1">
      <c r="A19" s="20" t="s">
        <v>40</v>
      </c>
      <c r="B19" s="95">
        <v>1044.5999999999999</v>
      </c>
      <c r="C19" s="98">
        <v>883.85667899999999</v>
      </c>
      <c r="D19" s="98">
        <v>864.94494099999997</v>
      </c>
      <c r="E19" s="99">
        <v>990.785977</v>
      </c>
      <c r="F19" s="100">
        <v>1009.8796036041454</v>
      </c>
      <c r="G19" s="100">
        <v>1035.3256839999999</v>
      </c>
      <c r="H19" s="100">
        <v>1038.28734955</v>
      </c>
      <c r="I19" s="100">
        <v>1366</v>
      </c>
      <c r="J19" s="100">
        <v>2050.2554301199998</v>
      </c>
      <c r="K19" s="101">
        <v>1633.9390962599996</v>
      </c>
      <c r="L19" s="101">
        <v>1597.2507149999999</v>
      </c>
      <c r="M19" s="101">
        <v>1793.0884430000001</v>
      </c>
      <c r="N19" s="101">
        <v>1930.5490769999999</v>
      </c>
      <c r="O19" s="103">
        <v>1916.1565459999999</v>
      </c>
      <c r="P19" s="105">
        <v>2383.8595780000001</v>
      </c>
      <c r="Q19" s="109">
        <v>2127.2925909999999</v>
      </c>
      <c r="R19" s="109">
        <v>2089.7625849999999</v>
      </c>
      <c r="S19" s="86"/>
      <c r="T19" s="108">
        <f t="shared" si="1"/>
        <v>6.2687997368633059</v>
      </c>
      <c r="U19" s="44"/>
      <c r="V19" s="106">
        <f t="shared" si="2"/>
        <v>-0.74551489892012535</v>
      </c>
      <c r="X19" s="61" t="s">
        <v>41</v>
      </c>
    </row>
    <row r="20" spans="1:24" s="6" customFormat="1" ht="15.75">
      <c r="A20" s="20" t="s">
        <v>42</v>
      </c>
      <c r="B20" s="95"/>
      <c r="C20" s="98"/>
      <c r="D20" s="98"/>
      <c r="E20" s="99"/>
      <c r="F20" s="100"/>
      <c r="G20" s="100"/>
      <c r="H20" s="100"/>
      <c r="I20" s="100"/>
      <c r="J20" s="100"/>
      <c r="K20" s="101"/>
      <c r="L20" s="101"/>
      <c r="M20" s="101"/>
      <c r="N20" s="101"/>
      <c r="O20" s="103"/>
      <c r="P20" s="105"/>
      <c r="Q20" s="109"/>
      <c r="R20" s="109"/>
      <c r="S20" s="86"/>
      <c r="T20" s="108"/>
      <c r="U20" s="44"/>
      <c r="V20" s="106" t="e">
        <f t="shared" si="2"/>
        <v>#DIV/0!</v>
      </c>
      <c r="X20" s="61" t="s">
        <v>43</v>
      </c>
    </row>
    <row r="21" spans="1:24" s="6" customFormat="1" ht="15.75">
      <c r="A21" s="20" t="s">
        <v>44</v>
      </c>
      <c r="B21" s="95">
        <v>21.2</v>
      </c>
      <c r="C21" s="98">
        <v>16.188054000000001</v>
      </c>
      <c r="D21" s="98">
        <v>13.388978</v>
      </c>
      <c r="E21" s="98">
        <v>17.164441</v>
      </c>
      <c r="F21" s="98">
        <v>23.852456573333328</v>
      </c>
      <c r="G21" s="98">
        <v>32.124121000000002</v>
      </c>
      <c r="H21" s="98">
        <v>24.469034969999999</v>
      </c>
      <c r="I21" s="98">
        <v>29.4</v>
      </c>
      <c r="J21" s="98">
        <v>37.105308000000001</v>
      </c>
      <c r="K21" s="98">
        <v>26.478656230000009</v>
      </c>
      <c r="L21" s="102">
        <v>18.765281000000002</v>
      </c>
      <c r="M21" s="102">
        <v>28.353482</v>
      </c>
      <c r="N21" s="102">
        <v>32.095553000000002</v>
      </c>
      <c r="O21" s="104">
        <v>42.442534999999999</v>
      </c>
      <c r="P21" s="102">
        <v>46.942365000000002</v>
      </c>
      <c r="Q21" s="102">
        <v>51.143720000000002</v>
      </c>
      <c r="R21" s="110">
        <v>54.847248999999998</v>
      </c>
      <c r="S21" s="87"/>
      <c r="T21" s="108">
        <f t="shared" si="1"/>
        <v>0.13885282640148738</v>
      </c>
      <c r="U21" s="44"/>
      <c r="V21" s="107">
        <f t="shared" si="2"/>
        <v>32.238054910597732</v>
      </c>
      <c r="X21" s="61" t="s">
        <v>45</v>
      </c>
    </row>
    <row r="22" spans="1:24" s="5" customFormat="1" ht="15.75">
      <c r="A22" s="20" t="s">
        <v>46</v>
      </c>
      <c r="B22" s="95"/>
      <c r="C22" s="98"/>
      <c r="D22" s="98"/>
      <c r="E22" s="98"/>
      <c r="F22" s="98"/>
      <c r="G22" s="98"/>
      <c r="H22" s="98"/>
      <c r="I22" s="98"/>
      <c r="J22" s="98"/>
      <c r="K22" s="98"/>
      <c r="L22" s="102"/>
      <c r="M22" s="102"/>
      <c r="N22" s="102"/>
      <c r="O22" s="104"/>
      <c r="P22" s="102"/>
      <c r="Q22" s="102"/>
      <c r="R22" s="110"/>
      <c r="S22" s="87"/>
      <c r="T22" s="108">
        <f t="shared" si="1"/>
        <v>0</v>
      </c>
      <c r="U22" s="44"/>
      <c r="V22" s="107" t="e">
        <f t="shared" si="2"/>
        <v>#DIV/0!</v>
      </c>
      <c r="X22" s="61" t="s">
        <v>47</v>
      </c>
    </row>
    <row r="23" spans="1:24" s="5" customFormat="1" ht="15.75">
      <c r="A23" s="20" t="s">
        <v>48</v>
      </c>
      <c r="B23" s="90">
        <v>1155.5</v>
      </c>
      <c r="C23" s="89">
        <v>1178.8009910000001</v>
      </c>
      <c r="D23" s="89">
        <v>1360.673198</v>
      </c>
      <c r="E23" s="89">
        <v>1005.5618490000001</v>
      </c>
      <c r="F23" s="89">
        <v>2756.0930738646425</v>
      </c>
      <c r="G23" s="89">
        <v>1595.26522</v>
      </c>
      <c r="H23" s="89">
        <v>823.28781374000005</v>
      </c>
      <c r="I23" s="89">
        <v>1539.2678089999999</v>
      </c>
      <c r="J23" s="89">
        <v>1609.7951646700001</v>
      </c>
      <c r="K23" s="89">
        <v>2327.3961824900007</v>
      </c>
      <c r="L23" s="89">
        <v>1725.737572</v>
      </c>
      <c r="M23" s="89">
        <v>2416.6934729999998</v>
      </c>
      <c r="N23" s="89">
        <v>3937.2549300000001</v>
      </c>
      <c r="O23" s="88">
        <v>3232.1094499999999</v>
      </c>
      <c r="P23" s="85">
        <v>3068.9762569999998</v>
      </c>
      <c r="Q23" s="85">
        <v>3170.6419089999999</v>
      </c>
      <c r="R23" s="85">
        <v>3463.9712829999999</v>
      </c>
      <c r="S23" s="89"/>
      <c r="T23" s="57">
        <f t="shared" si="1"/>
        <v>10.574003941363467</v>
      </c>
      <c r="U23" s="44"/>
      <c r="V23" s="66">
        <f t="shared" si="2"/>
        <v>-17.909571326640009</v>
      </c>
      <c r="X23" s="61" t="s">
        <v>49</v>
      </c>
    </row>
    <row r="24" spans="1:24" s="6" customFormat="1" ht="15.75">
      <c r="A24" s="16" t="s">
        <v>50</v>
      </c>
      <c r="B24" s="21">
        <v>280</v>
      </c>
      <c r="C24" s="18">
        <v>617.87877800000001</v>
      </c>
      <c r="D24" s="18">
        <v>675.78201999999999</v>
      </c>
      <c r="E24" s="18">
        <v>725.78473299999996</v>
      </c>
      <c r="F24" s="18">
        <v>924.91904556651195</v>
      </c>
      <c r="G24" s="34">
        <v>1107.0812289999999</v>
      </c>
      <c r="H24" s="34">
        <v>956.72619699999996</v>
      </c>
      <c r="I24" s="34">
        <v>978.34736899999996</v>
      </c>
      <c r="J24" s="34">
        <v>1347.6498610000001</v>
      </c>
      <c r="K24" s="18">
        <v>1182.28911582</v>
      </c>
      <c r="L24" s="18">
        <f>[4]IMF!H159</f>
        <v>1096.946659</v>
      </c>
      <c r="M24" s="18">
        <f>[4]IMF!I159</f>
        <v>1440.2569269999999</v>
      </c>
      <c r="N24" s="18">
        <v>1540.813124</v>
      </c>
      <c r="O24" s="73">
        <v>1708.053046</v>
      </c>
      <c r="P24" s="63">
        <v>2468.3649650000002</v>
      </c>
      <c r="Q24" s="63">
        <v>2715.6395170000001</v>
      </c>
      <c r="R24" s="63">
        <v>2580.4791150000001</v>
      </c>
      <c r="S24" s="18"/>
      <c r="T24" s="57">
        <f t="shared" si="1"/>
        <v>5.5879789715852208</v>
      </c>
      <c r="U24" s="43"/>
      <c r="V24" s="66">
        <f t="shared" si="2"/>
        <v>10.854004252367725</v>
      </c>
      <c r="X24" s="60" t="s">
        <v>51</v>
      </c>
    </row>
    <row r="25" spans="1:24" s="6" customFormat="1" ht="15.75">
      <c r="A25" s="16" t="s">
        <v>52</v>
      </c>
      <c r="B25" s="18">
        <f t="shared" ref="B25:L25" si="7">SUM(B26:B27)</f>
        <v>479.2</v>
      </c>
      <c r="C25" s="18">
        <f t="shared" si="7"/>
        <v>421.63718999999998</v>
      </c>
      <c r="D25" s="18">
        <f t="shared" si="7"/>
        <v>638.81423799999993</v>
      </c>
      <c r="E25" s="18">
        <f t="shared" si="7"/>
        <v>997.65126500000008</v>
      </c>
      <c r="F25" s="18">
        <f t="shared" si="7"/>
        <v>779.82286474411012</v>
      </c>
      <c r="G25" s="18">
        <f t="shared" si="7"/>
        <v>690.15929800000004</v>
      </c>
      <c r="H25" s="18">
        <f t="shared" si="7"/>
        <v>1774.22407488</v>
      </c>
      <c r="I25" s="18">
        <f t="shared" si="7"/>
        <v>2544.6223810000001</v>
      </c>
      <c r="J25" s="18">
        <f t="shared" si="7"/>
        <v>1754.7880560000001</v>
      </c>
      <c r="K25" s="18">
        <f t="shared" si="7"/>
        <v>1004.9023468899991</v>
      </c>
      <c r="L25" s="18">
        <f t="shared" si="7"/>
        <v>848.61603600000012</v>
      </c>
      <c r="M25" s="18">
        <f>SUM(M26:M27)</f>
        <v>1686.7086549999999</v>
      </c>
      <c r="N25" s="18">
        <v>2259.6961120000001</v>
      </c>
      <c r="O25" s="73">
        <v>2258.8299099999999</v>
      </c>
      <c r="P25" s="63">
        <v>1897.2713979999999</v>
      </c>
      <c r="Q25" s="63">
        <v>1830.774465</v>
      </c>
      <c r="R25" s="63">
        <v>1863.7852640000001</v>
      </c>
      <c r="S25" s="18"/>
      <c r="T25" s="57">
        <f t="shared" si="1"/>
        <v>7.3898723854198947</v>
      </c>
      <c r="U25" s="43"/>
      <c r="V25" s="66">
        <f t="shared" si="2"/>
        <v>-3.8332676478055452E-2</v>
      </c>
      <c r="X25" s="60" t="s">
        <v>53</v>
      </c>
    </row>
    <row r="26" spans="1:24" s="5" customFormat="1" ht="15.75">
      <c r="A26" s="22" t="s">
        <v>54</v>
      </c>
      <c r="B26" s="90">
        <v>409.5</v>
      </c>
      <c r="C26" s="89">
        <v>326.71006599999998</v>
      </c>
      <c r="D26" s="89">
        <v>389.53778699999998</v>
      </c>
      <c r="E26" s="89">
        <v>748.89331000000004</v>
      </c>
      <c r="F26" s="89">
        <v>524.65218775999983</v>
      </c>
      <c r="G26" s="89">
        <v>442.056106</v>
      </c>
      <c r="H26" s="89">
        <v>1308.5437119999999</v>
      </c>
      <c r="I26" s="89">
        <v>1338.103672</v>
      </c>
      <c r="J26" s="89">
        <v>1236.8888260000001</v>
      </c>
      <c r="K26" s="89">
        <v>492.59633237999998</v>
      </c>
      <c r="L26" s="89">
        <v>334.80296700000002</v>
      </c>
      <c r="M26" s="89">
        <v>1167.4048849999999</v>
      </c>
      <c r="N26" s="89">
        <v>1281.228648</v>
      </c>
      <c r="O26" s="88">
        <v>1157.6212089999999</v>
      </c>
      <c r="P26" s="85">
        <v>888.46369400000003</v>
      </c>
      <c r="Q26" s="85">
        <v>794.22102099999995</v>
      </c>
      <c r="R26" s="85">
        <v>794.308808</v>
      </c>
      <c r="S26" s="89"/>
      <c r="T26" s="84">
        <f t="shared" si="1"/>
        <v>3.7872143304342432</v>
      </c>
      <c r="U26" s="44"/>
      <c r="V26" s="66">
        <f t="shared" si="2"/>
        <v>-9.6475706497003113</v>
      </c>
      <c r="X26" s="61" t="s">
        <v>55</v>
      </c>
    </row>
    <row r="27" spans="1:24" s="6" customFormat="1" ht="15.75">
      <c r="A27" s="20" t="s">
        <v>56</v>
      </c>
      <c r="B27" s="90">
        <v>69.7</v>
      </c>
      <c r="C27" s="89">
        <v>94.927124000000006</v>
      </c>
      <c r="D27" s="89">
        <v>249.27645100000001</v>
      </c>
      <c r="E27" s="89">
        <v>248.75795500000001</v>
      </c>
      <c r="F27" s="89">
        <v>255.17067698411032</v>
      </c>
      <c r="G27" s="89">
        <v>248.10319200000001</v>
      </c>
      <c r="H27" s="89">
        <v>465.68036288000002</v>
      </c>
      <c r="I27" s="89">
        <v>1206.5187089999999</v>
      </c>
      <c r="J27" s="89">
        <v>517.89922999999999</v>
      </c>
      <c r="K27" s="89">
        <v>512.30601450999905</v>
      </c>
      <c r="L27" s="89">
        <v>513.81306900000004</v>
      </c>
      <c r="M27" s="89">
        <v>519.30376999999999</v>
      </c>
      <c r="N27" s="89">
        <v>978.46746399999995</v>
      </c>
      <c r="O27" s="88">
        <v>1101.208701</v>
      </c>
      <c r="P27" s="85">
        <v>1008.8077039999999</v>
      </c>
      <c r="Q27" s="85">
        <v>1036.5534439999999</v>
      </c>
      <c r="R27" s="85">
        <v>1069.4764560000001</v>
      </c>
      <c r="S27" s="89"/>
      <c r="T27" s="84">
        <f t="shared" si="1"/>
        <v>3.6026580549856511</v>
      </c>
      <c r="U27" s="44"/>
      <c r="V27" s="66">
        <f t="shared" si="2"/>
        <v>12.544232845334557</v>
      </c>
      <c r="X27" s="61" t="s">
        <v>57</v>
      </c>
    </row>
    <row r="28" spans="1:24" s="5" customFormat="1" ht="15.75">
      <c r="A28" s="16" t="s">
        <v>58</v>
      </c>
      <c r="B28" s="17">
        <f t="shared" ref="B28:K28" si="8">+B29+B35</f>
        <v>2712.7999999999997</v>
      </c>
      <c r="C28" s="17">
        <f t="shared" si="8"/>
        <v>2188.5033270000004</v>
      </c>
      <c r="D28" s="17">
        <f t="shared" si="8"/>
        <v>2386.9887288999994</v>
      </c>
      <c r="E28" s="17">
        <f t="shared" si="8"/>
        <v>3188.9832149999993</v>
      </c>
      <c r="F28" s="17">
        <f t="shared" si="8"/>
        <v>3623.4986370100969</v>
      </c>
      <c r="G28" s="18">
        <f t="shared" si="8"/>
        <v>2793.5176699999997</v>
      </c>
      <c r="H28" s="18">
        <f t="shared" si="8"/>
        <v>1957.5564166399993</v>
      </c>
      <c r="I28" s="18">
        <f t="shared" si="8"/>
        <v>2457.2430760000007</v>
      </c>
      <c r="J28" s="18">
        <f t="shared" si="8"/>
        <v>4603.1339437899996</v>
      </c>
      <c r="K28" s="18">
        <f t="shared" si="8"/>
        <v>9121.9685004700004</v>
      </c>
      <c r="L28" s="18">
        <f t="shared" ref="L28:M28" si="9">+L29+L35</f>
        <v>7465.0100640000001</v>
      </c>
      <c r="M28" s="18">
        <f t="shared" si="9"/>
        <v>8150.6312549999993</v>
      </c>
      <c r="N28" s="18">
        <v>7547.5756620000011</v>
      </c>
      <c r="O28" s="73">
        <v>9689.6240980000002</v>
      </c>
      <c r="P28" s="63">
        <v>11802.422642999998</v>
      </c>
      <c r="Q28" s="63">
        <v>16214.395324000001</v>
      </c>
      <c r="R28" s="63">
        <v>15321.255008999999</v>
      </c>
      <c r="S28" s="18"/>
      <c r="T28" s="57">
        <f t="shared" si="1"/>
        <v>31.700078536196365</v>
      </c>
      <c r="U28" s="43"/>
      <c r="V28" s="66">
        <f t="shared" si="2"/>
        <v>28.380615603294086</v>
      </c>
      <c r="X28" s="60" t="s">
        <v>59</v>
      </c>
    </row>
    <row r="29" spans="1:24" s="6" customFormat="1" ht="15.75">
      <c r="A29" s="16" t="s">
        <v>60</v>
      </c>
      <c r="B29" s="18">
        <f t="shared" ref="B29:M29" si="10">SUM(B30:B34)</f>
        <v>2879.2</v>
      </c>
      <c r="C29" s="18">
        <f t="shared" si="10"/>
        <v>2339.3396600000005</v>
      </c>
      <c r="D29" s="18">
        <f t="shared" si="10"/>
        <v>2568.2887288999996</v>
      </c>
      <c r="E29" s="18">
        <f t="shared" si="10"/>
        <v>3587.9832149999993</v>
      </c>
      <c r="F29" s="18">
        <f t="shared" si="10"/>
        <v>3693.7986370100971</v>
      </c>
      <c r="G29" s="18">
        <f t="shared" si="10"/>
        <v>2883.7493059999997</v>
      </c>
      <c r="H29" s="18">
        <f t="shared" si="10"/>
        <v>2093.0414236399993</v>
      </c>
      <c r="I29" s="18">
        <f t="shared" si="10"/>
        <v>2579.4051260000006</v>
      </c>
      <c r="J29" s="18">
        <f t="shared" si="10"/>
        <v>4707.1521897899993</v>
      </c>
      <c r="K29" s="18">
        <f t="shared" si="10"/>
        <v>9165.5046956200003</v>
      </c>
      <c r="L29" s="18">
        <f t="shared" si="10"/>
        <v>7542.3806160000004</v>
      </c>
      <c r="M29" s="18">
        <f t="shared" si="10"/>
        <v>8254.2565589999995</v>
      </c>
      <c r="N29" s="18">
        <v>7622.7724900000012</v>
      </c>
      <c r="O29" s="73">
        <v>9750.717571000001</v>
      </c>
      <c r="P29" s="63">
        <v>11793.426706999999</v>
      </c>
      <c r="Q29" s="63">
        <v>16498.785315000001</v>
      </c>
      <c r="R29" s="63">
        <v>15632.107490999999</v>
      </c>
      <c r="S29" s="18"/>
      <c r="T29" s="57">
        <f t="shared" si="1"/>
        <v>31.899948817288976</v>
      </c>
      <c r="U29" s="43"/>
      <c r="V29" s="66">
        <f t="shared" ref="V29:V38" si="11">+(O29-N29)/N29*100</f>
        <v>27.915631534216228</v>
      </c>
      <c r="X29" s="60" t="s">
        <v>61</v>
      </c>
    </row>
    <row r="30" spans="1:24" s="5" customFormat="1" ht="15.75">
      <c r="A30" s="20" t="s">
        <v>62</v>
      </c>
      <c r="B30" s="89">
        <v>1098</v>
      </c>
      <c r="C30" s="89">
        <v>738.42376899999999</v>
      </c>
      <c r="D30" s="89">
        <v>1256.347945</v>
      </c>
      <c r="E30" s="89">
        <v>1327.61689</v>
      </c>
      <c r="F30" s="89">
        <v>1891.8309750000001</v>
      </c>
      <c r="G30" s="89">
        <v>1131.645327</v>
      </c>
      <c r="H30" s="89">
        <v>1176.9269400000001</v>
      </c>
      <c r="I30" s="89">
        <v>188.39416600000001</v>
      </c>
      <c r="J30" s="89">
        <v>635.05139099999997</v>
      </c>
      <c r="K30" s="89">
        <v>2801.4434660000002</v>
      </c>
      <c r="L30" s="89">
        <v>2706.2206759999999</v>
      </c>
      <c r="M30" s="89">
        <v>4254.9127410000001</v>
      </c>
      <c r="N30" s="89">
        <v>1913.8057229999999</v>
      </c>
      <c r="O30" s="88">
        <v>746.94163500000002</v>
      </c>
      <c r="P30" s="85">
        <v>3890.3712829999999</v>
      </c>
      <c r="Q30" s="85">
        <v>4988.4512290000002</v>
      </c>
      <c r="R30" s="85">
        <v>6998.36445</v>
      </c>
      <c r="S30" s="89"/>
      <c r="T30" s="84">
        <f t="shared" si="1"/>
        <v>2.4436560440298427</v>
      </c>
      <c r="U30" s="44"/>
      <c r="V30" s="66">
        <f t="shared" si="11"/>
        <v>-60.97087462832296</v>
      </c>
      <c r="X30" s="61" t="s">
        <v>63</v>
      </c>
    </row>
    <row r="31" spans="1:24" s="5" customFormat="1" ht="15.75" hidden="1">
      <c r="A31" s="20" t="s">
        <v>64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113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0</v>
      </c>
      <c r="O31" s="76"/>
      <c r="P31" s="80">
        <v>0</v>
      </c>
      <c r="Q31" s="80">
        <v>0</v>
      </c>
      <c r="R31" s="80"/>
      <c r="S31" s="89"/>
      <c r="T31" s="84">
        <f t="shared" si="1"/>
        <v>0</v>
      </c>
      <c r="U31" s="44"/>
      <c r="V31" s="66" t="e">
        <f t="shared" si="11"/>
        <v>#DIV/0!</v>
      </c>
      <c r="X31" s="61" t="s">
        <v>65</v>
      </c>
    </row>
    <row r="32" spans="1:24" s="5" customFormat="1" ht="14.25" customHeight="1">
      <c r="A32" s="20" t="s">
        <v>66</v>
      </c>
      <c r="B32" s="12">
        <v>0</v>
      </c>
      <c r="C32" s="12">
        <v>0</v>
      </c>
      <c r="D32" s="12">
        <v>0</v>
      </c>
      <c r="E32" s="35">
        <v>0</v>
      </c>
      <c r="F32" s="12">
        <v>0</v>
      </c>
      <c r="G32" s="89">
        <v>154.819729</v>
      </c>
      <c r="H32" s="89">
        <v>36.444533999999997</v>
      </c>
      <c r="I32" s="89">
        <v>84.145286999999996</v>
      </c>
      <c r="J32" s="89">
        <v>79.620881999999995</v>
      </c>
      <c r="K32" s="89">
        <v>129.85195100000001</v>
      </c>
      <c r="L32" s="89">
        <v>178.19472400000001</v>
      </c>
      <c r="M32" s="89">
        <v>196.488542</v>
      </c>
      <c r="N32" s="89">
        <v>142.126135</v>
      </c>
      <c r="O32" s="88">
        <v>404.85657200000003</v>
      </c>
      <c r="P32" s="85">
        <v>561.50563799999998</v>
      </c>
      <c r="Q32" s="85">
        <v>600.02378899999997</v>
      </c>
      <c r="R32" s="85">
        <v>511.81324999999998</v>
      </c>
      <c r="S32" s="89"/>
      <c r="T32" s="84">
        <f t="shared" si="1"/>
        <v>1.3245080509309182</v>
      </c>
      <c r="U32" s="44"/>
      <c r="V32" s="66">
        <f t="shared" si="11"/>
        <v>184.85723051569653</v>
      </c>
      <c r="X32" s="61" t="s">
        <v>67</v>
      </c>
    </row>
    <row r="33" spans="1:28" s="5" customFormat="1" ht="17.25" customHeight="1">
      <c r="A33" s="20" t="s">
        <v>68</v>
      </c>
      <c r="B33" s="12">
        <v>0</v>
      </c>
      <c r="C33" s="12">
        <v>0</v>
      </c>
      <c r="D33" s="12">
        <v>0</v>
      </c>
      <c r="E33" s="35">
        <v>0</v>
      </c>
      <c r="F33" s="12">
        <v>0</v>
      </c>
      <c r="G33" s="89">
        <v>522.60649899999999</v>
      </c>
      <c r="H33" s="89">
        <v>645.19940499999996</v>
      </c>
      <c r="I33" s="89">
        <v>1702.5169109999999</v>
      </c>
      <c r="J33" s="89">
        <v>2402.6626430000001</v>
      </c>
      <c r="K33" s="89">
        <v>4149.4601480000001</v>
      </c>
      <c r="L33" s="89">
        <v>3005.0319509999999</v>
      </c>
      <c r="M33" s="89">
        <v>2374.0485250000002</v>
      </c>
      <c r="N33" s="89">
        <v>2192.9490989999999</v>
      </c>
      <c r="O33" s="88">
        <v>3988.9271990000002</v>
      </c>
      <c r="P33" s="85">
        <v>3386.9346129999999</v>
      </c>
      <c r="Q33" s="85">
        <v>6987.2287999999999</v>
      </c>
      <c r="R33" s="85">
        <v>4958.736543</v>
      </c>
      <c r="S33" s="89"/>
      <c r="T33" s="84">
        <f t="shared" si="1"/>
        <v>13.04997017475319</v>
      </c>
      <c r="U33" s="44"/>
      <c r="V33" s="66">
        <f t="shared" si="11"/>
        <v>81.897847096358916</v>
      </c>
      <c r="X33" s="61" t="s">
        <v>69</v>
      </c>
    </row>
    <row r="34" spans="1:28" s="6" customFormat="1" ht="17.25" customHeight="1">
      <c r="A34" s="20" t="s">
        <v>70</v>
      </c>
      <c r="B34" s="89">
        <v>1781.2</v>
      </c>
      <c r="C34" s="89">
        <v>1600.9158910000006</v>
      </c>
      <c r="D34" s="89">
        <v>1311.9407838999996</v>
      </c>
      <c r="E34" s="89">
        <v>2260.3663249999995</v>
      </c>
      <c r="F34" s="89">
        <v>1801.9676620100972</v>
      </c>
      <c r="G34" s="89">
        <v>1074.6777509999999</v>
      </c>
      <c r="H34" s="89">
        <v>234.47054463999962</v>
      </c>
      <c r="I34" s="89">
        <v>604.34876200000042</v>
      </c>
      <c r="J34" s="89">
        <v>1589.8172737899997</v>
      </c>
      <c r="K34" s="89">
        <v>2084.74913062</v>
      </c>
      <c r="L34" s="89">
        <v>1652.9332650000003</v>
      </c>
      <c r="M34" s="89">
        <v>1428.8067509999992</v>
      </c>
      <c r="N34" s="89">
        <v>3373.8915330000013</v>
      </c>
      <c r="O34" s="88">
        <v>4609.9921649999997</v>
      </c>
      <c r="P34" s="85">
        <v>3954.6151729999992</v>
      </c>
      <c r="Q34" s="85">
        <v>3923.0814970000015</v>
      </c>
      <c r="R34" s="85">
        <v>3163.1932479999996</v>
      </c>
      <c r="S34" s="89"/>
      <c r="T34" s="84">
        <f t="shared" si="1"/>
        <v>15.08181454757502</v>
      </c>
      <c r="U34" s="44"/>
      <c r="V34" s="66">
        <f>+(O34-N33)/N33*100</f>
        <v>110.21884033250878</v>
      </c>
      <c r="X34" s="61" t="s">
        <v>71</v>
      </c>
      <c r="Y34" s="9"/>
      <c r="AB34" s="23"/>
    </row>
    <row r="35" spans="1:28" s="5" customFormat="1" ht="17.25" customHeight="1">
      <c r="A35" s="16" t="s">
        <v>11</v>
      </c>
      <c r="B35" s="24">
        <v>-166.4</v>
      </c>
      <c r="C35" s="24">
        <v>-150.836333</v>
      </c>
      <c r="D35" s="24">
        <v>-181.3</v>
      </c>
      <c r="E35" s="24">
        <v>-399</v>
      </c>
      <c r="F35" s="24">
        <v>-70.3</v>
      </c>
      <c r="G35" s="24">
        <v>-90.231635999999995</v>
      </c>
      <c r="H35" s="24">
        <v>-135.485007</v>
      </c>
      <c r="I35" s="24">
        <v>-122.16204999999999</v>
      </c>
      <c r="J35" s="24">
        <v>-104.018246</v>
      </c>
      <c r="K35" s="24">
        <v>-43.536195150000012</v>
      </c>
      <c r="L35" s="24">
        <f>[4]IMF!H173</f>
        <v>-77.370552000000004</v>
      </c>
      <c r="M35" s="24">
        <f>[4]IMF!I173</f>
        <v>-103.625304</v>
      </c>
      <c r="N35" s="24">
        <v>-75.196827999999996</v>
      </c>
      <c r="O35" s="77">
        <v>-61.093473000000003</v>
      </c>
      <c r="P35" s="65">
        <v>8.9959360000000004</v>
      </c>
      <c r="Q35" s="65">
        <v>-284.38999100000001</v>
      </c>
      <c r="R35" s="65">
        <v>-310.85248200000001</v>
      </c>
      <c r="S35" s="24"/>
      <c r="T35" s="57">
        <f t="shared" si="1"/>
        <v>-0.19987028109261043</v>
      </c>
      <c r="U35" s="45"/>
      <c r="V35" s="66">
        <f t="shared" si="11"/>
        <v>-18.755252548684627</v>
      </c>
      <c r="X35" s="60" t="s">
        <v>12</v>
      </c>
      <c r="Y35" s="19"/>
      <c r="AB35" s="25"/>
    </row>
    <row r="36" spans="1:28" s="6" customFormat="1" ht="17.25" hidden="1" customHeight="1">
      <c r="A36" s="114" t="s">
        <v>72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78"/>
      <c r="P36" s="81"/>
      <c r="Q36" s="81"/>
      <c r="R36" s="81"/>
      <c r="S36" s="81"/>
      <c r="T36" s="57">
        <f t="shared" si="1"/>
        <v>0</v>
      </c>
      <c r="U36" s="43"/>
      <c r="V36" s="66" t="e">
        <f t="shared" si="11"/>
        <v>#DIV/0!</v>
      </c>
      <c r="X36" s="115" t="s">
        <v>73</v>
      </c>
    </row>
    <row r="37" spans="1:28" s="6" customFormat="1" ht="17.25" hidden="1" customHeight="1">
      <c r="A37" s="114" t="s">
        <v>74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8"/>
      <c r="P37" s="85"/>
      <c r="Q37" s="85"/>
      <c r="R37" s="85"/>
      <c r="S37" s="85"/>
      <c r="T37" s="57">
        <f t="shared" si="1"/>
        <v>0</v>
      </c>
      <c r="U37" s="43"/>
      <c r="V37" s="66" t="e">
        <f t="shared" si="11"/>
        <v>#DIV/0!</v>
      </c>
      <c r="X37" s="115" t="s">
        <v>75</v>
      </c>
    </row>
    <row r="38" spans="1:28" s="6" customFormat="1" ht="17.25" customHeight="1">
      <c r="A38" s="8" t="s">
        <v>76</v>
      </c>
      <c r="B38" s="67">
        <v>0.2</v>
      </c>
      <c r="C38" s="67">
        <v>1.1656</v>
      </c>
      <c r="D38" s="67">
        <v>0</v>
      </c>
      <c r="E38" s="67">
        <v>8.7040279999999992</v>
      </c>
      <c r="F38" s="67">
        <v>61.816024759999998</v>
      </c>
      <c r="G38" s="67">
        <v>46.362653000000002</v>
      </c>
      <c r="H38" s="67">
        <v>0</v>
      </c>
      <c r="I38" s="67">
        <v>5.5719279999999998</v>
      </c>
      <c r="J38" s="67">
        <v>55.088943999999998</v>
      </c>
      <c r="K38" s="67">
        <v>113.76190484999999</v>
      </c>
      <c r="L38" s="67">
        <v>49.168303999999999</v>
      </c>
      <c r="M38" s="67">
        <v>10.266794000000001</v>
      </c>
      <c r="N38" s="67">
        <v>8.9390350000000005</v>
      </c>
      <c r="O38" s="79">
        <v>21.272852</v>
      </c>
      <c r="P38" s="67">
        <v>21.268131</v>
      </c>
      <c r="Q38" s="67">
        <v>21.730730999999999</v>
      </c>
      <c r="R38" s="67">
        <v>21.730730999999999</v>
      </c>
      <c r="S38" s="67"/>
      <c r="T38" s="68">
        <f t="shared" si="1"/>
        <v>6.9595174412191305E-2</v>
      </c>
      <c r="U38" s="69"/>
      <c r="V38" s="66">
        <f t="shared" si="11"/>
        <v>137.97705233283011</v>
      </c>
      <c r="W38" s="70"/>
      <c r="X38" s="71" t="s">
        <v>77</v>
      </c>
      <c r="Y38" s="9"/>
      <c r="AB38" s="23"/>
    </row>
    <row r="39" spans="1:28" s="6" customFormat="1" ht="17.25" hidden="1" customHeight="1">
      <c r="A39" s="8" t="s">
        <v>78</v>
      </c>
      <c r="B39" s="116">
        <v>0</v>
      </c>
      <c r="C39" s="116">
        <v>0</v>
      </c>
      <c r="D39" s="116">
        <v>0</v>
      </c>
      <c r="E39" s="116">
        <v>0</v>
      </c>
      <c r="F39" s="116">
        <v>0</v>
      </c>
      <c r="G39" s="116">
        <v>0</v>
      </c>
      <c r="H39" s="116">
        <v>0</v>
      </c>
      <c r="I39" s="116">
        <v>0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7">
        <v>0</v>
      </c>
      <c r="P39" s="116">
        <v>0</v>
      </c>
      <c r="Q39" s="116">
        <v>0</v>
      </c>
      <c r="R39" s="116"/>
      <c r="S39" s="67"/>
      <c r="T39" s="68">
        <f t="shared" ref="T39" si="12">N39/$N$8*100</f>
        <v>0</v>
      </c>
      <c r="U39" s="69"/>
      <c r="V39" s="83" t="e">
        <f t="shared" ref="V39" si="13">+(N39-M39)/M39*100</f>
        <v>#DIV/0!</v>
      </c>
      <c r="W39" s="70"/>
      <c r="X39" s="71" t="s">
        <v>79</v>
      </c>
      <c r="Y39" s="9"/>
      <c r="AB39" s="23"/>
    </row>
    <row r="40" spans="1:28" ht="12" customHeight="1">
      <c r="A40" s="42" t="s">
        <v>80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5"/>
      <c r="W40" s="27"/>
      <c r="X40" s="46" t="s">
        <v>81</v>
      </c>
    </row>
    <row r="41" spans="1:28" s="6" customFormat="1" ht="15.75" customHeight="1">
      <c r="A41" s="47" t="s">
        <v>82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26"/>
      <c r="W41" s="26"/>
      <c r="X41" s="62" t="s">
        <v>83</v>
      </c>
    </row>
    <row r="42" spans="1:28" s="6" customFormat="1" ht="14.25" customHeight="1">
      <c r="A42" s="7" t="s">
        <v>84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26"/>
      <c r="W42" s="26"/>
      <c r="X42" s="51" t="s">
        <v>13</v>
      </c>
    </row>
    <row r="43" spans="1:28" s="6" customFormat="1" ht="15">
      <c r="A43" s="118"/>
      <c r="V43" s="27"/>
      <c r="W43" s="27"/>
      <c r="X43" s="28"/>
    </row>
    <row r="44" spans="1:28" s="6" customFormat="1" ht="12">
      <c r="V44" s="27"/>
      <c r="W44" s="27"/>
      <c r="X44" s="28"/>
    </row>
    <row r="45" spans="1:28" s="6" customFormat="1" ht="12">
      <c r="V45" s="27"/>
      <c r="W45" s="27"/>
      <c r="X45" s="28"/>
    </row>
    <row r="46" spans="1:28" s="6" customFormat="1" ht="12">
      <c r="V46" s="27"/>
      <c r="W46" s="27"/>
      <c r="X46" s="28"/>
    </row>
    <row r="47" spans="1:28" s="6" customFormat="1" ht="12">
      <c r="V47" s="27"/>
      <c r="W47" s="27"/>
      <c r="X47" s="28"/>
    </row>
    <row r="48" spans="1:28" s="6" customFormat="1" ht="12">
      <c r="V48" s="27"/>
      <c r="W48" s="27"/>
      <c r="X48" s="28"/>
    </row>
    <row r="49" spans="22:24" s="6" customFormat="1" ht="12">
      <c r="V49" s="27"/>
      <c r="W49" s="27"/>
      <c r="X49" s="28"/>
    </row>
    <row r="50" spans="22:24" s="6" customFormat="1" ht="12">
      <c r="V50" s="27"/>
      <c r="W50" s="27"/>
      <c r="X50" s="28"/>
    </row>
    <row r="51" spans="22:24" s="6" customFormat="1" ht="12">
      <c r="V51" s="27"/>
      <c r="W51" s="27"/>
      <c r="X51" s="28"/>
    </row>
    <row r="52" spans="22:24" s="6" customFormat="1" ht="12">
      <c r="V52" s="27"/>
      <c r="W52" s="27"/>
      <c r="X52" s="28"/>
    </row>
  </sheetData>
  <mergeCells count="42">
    <mergeCell ref="V19:V20"/>
    <mergeCell ref="V21:V22"/>
    <mergeCell ref="N19:N20"/>
    <mergeCell ref="T19:T20"/>
    <mergeCell ref="N21:N22"/>
    <mergeCell ref="T21:T22"/>
    <mergeCell ref="Q19:Q20"/>
    <mergeCell ref="Q21:Q22"/>
    <mergeCell ref="R19:R20"/>
    <mergeCell ref="R21:R22"/>
    <mergeCell ref="M21:M22"/>
    <mergeCell ref="O19:O20"/>
    <mergeCell ref="O21:O22"/>
    <mergeCell ref="P19:P20"/>
    <mergeCell ref="P21:P22"/>
    <mergeCell ref="J21:J22"/>
    <mergeCell ref="K21:K22"/>
    <mergeCell ref="L21:L22"/>
    <mergeCell ref="J19:J20"/>
    <mergeCell ref="K19:K20"/>
    <mergeCell ref="L19:L20"/>
    <mergeCell ref="E21:E22"/>
    <mergeCell ref="F21:F22"/>
    <mergeCell ref="G21:G22"/>
    <mergeCell ref="H21:H22"/>
    <mergeCell ref="I21:I22"/>
    <mergeCell ref="B21:B22"/>
    <mergeCell ref="A1:X1"/>
    <mergeCell ref="A2:X2"/>
    <mergeCell ref="A3:X3"/>
    <mergeCell ref="A4:X4"/>
    <mergeCell ref="B19:B20"/>
    <mergeCell ref="C19:C20"/>
    <mergeCell ref="D19:D20"/>
    <mergeCell ref="E19:E20"/>
    <mergeCell ref="F19:F20"/>
    <mergeCell ref="G19:G20"/>
    <mergeCell ref="H19:H20"/>
    <mergeCell ref="I19:I20"/>
    <mergeCell ref="M19:M20"/>
    <mergeCell ref="C21:C22"/>
    <mergeCell ref="D21:D22"/>
  </mergeCells>
  <pageMargins left="0.17" right="0.16" top="0.35" bottom="0.27" header="0.17" footer="0.17"/>
  <pageSetup paperSize="9" scale="63" orientation="landscape" horizontalDpi="4294967295" verticalDpi="4294967295" r:id="rId1"/>
  <colBreaks count="1" manualBreakCount="1">
    <brk id="24" max="1048575" man="1"/>
  </colBreaks>
  <ignoredErrors>
    <ignoredError sqref="I28:J28 I25:J25 I10:J10 S35:S37 U10:U37 S11:S34 U8 I8:J8" unlockedFormula="1"/>
    <ignoredError sqref="I11:J11" formulaRange="1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916c6aa-fa20-4fca-8349-5fbeea1bc483"/>
    <ds:schemaRef ds:uri="1593d9c1-a9f6-478d-a576-b0943b39c60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2021-06-13T03:48:21Z</cp:lastPrinted>
  <dcterms:created xsi:type="dcterms:W3CDTF">2014-03-06T08:38:12Z</dcterms:created>
  <dcterms:modified xsi:type="dcterms:W3CDTF">2021-06-13T03:49:08Z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