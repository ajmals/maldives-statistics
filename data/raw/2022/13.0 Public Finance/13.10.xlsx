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ublic Finance\"/>
    </mc:Choice>
  </mc:AlternateContent>
  <xr:revisionPtr revIDLastSave="0" documentId="13_ncr:1_{0269D855-929F-4C6E-A6A8-5328B878F3DD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10" sheetId="36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'13.10'!$A$1:$I$29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36" l="1"/>
  <c r="G14" i="36"/>
  <c r="F14" i="36"/>
  <c r="E14" i="36"/>
  <c r="D14" i="36"/>
  <c r="C14" i="36"/>
  <c r="H11" i="36"/>
  <c r="G11" i="36"/>
  <c r="F11" i="36"/>
  <c r="E11" i="36"/>
  <c r="D11" i="36"/>
  <c r="C11" i="36"/>
  <c r="B14" i="36" l="1"/>
  <c r="B11" i="36"/>
</calcChain>
</file>

<file path=xl/sharedStrings.xml><?xml version="1.0" encoding="utf-8"?>
<sst xmlns="http://schemas.openxmlformats.org/spreadsheetml/2006/main" count="42" uniqueCount="42">
  <si>
    <t>ތަފްސީލު</t>
  </si>
  <si>
    <t>(މިލިޔަން ރުފިޔާއިން)</t>
  </si>
  <si>
    <t>(In millions of Rufiyaa)</t>
  </si>
  <si>
    <t>Particular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</si>
  <si>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</si>
  <si>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</si>
  <si>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</si>
  <si>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</si>
  <si>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</si>
  <si>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</si>
  <si>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4_/</t>
    </r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</si>
  <si>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5_/</t>
    </r>
  </si>
  <si>
    <t>Selected ratios</t>
  </si>
  <si>
    <t>ctwbcsin caeawb WviawfivelWvoh</t>
  </si>
  <si>
    <t>Gross Domestic Product (GDP)</t>
  </si>
  <si>
    <t>DOD as a percentage of GDP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</si>
  <si>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</si>
  <si>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</si>
  <si>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</si>
  <si>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</si>
  <si>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</si>
  <si>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</si>
  <si>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</si>
  <si>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</si>
  <si>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</si>
  <si>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</si>
  <si>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</si>
  <si>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</si>
  <si>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</si>
  <si>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</si>
  <si>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</si>
  <si>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</si>
  <si>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</si>
  <si>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>Additonal Notes:</t>
  </si>
  <si>
    <t>1/ Data Source: Ministry of Finance</t>
  </si>
  <si>
    <t>2/ Difference in historical data due to reconciliations</t>
  </si>
  <si>
    <t xml:space="preserve"> cscnEnif cfoa IrcTcsinim :ctWrwf ivcaedutWmUluAwm    </t>
  </si>
  <si>
    <t xml:space="preserve">4_/ ugwa egutwmudiK egunOl  </t>
  </si>
  <si>
    <t xml:space="preserve">5_/ utWfwtegumuruk ctwmcdiK egunOl iaWdwdwA unugen cniaeretegunOl  </t>
  </si>
  <si>
    <t>ޤައުމީ އުފެއްދުންތެރިކަމުގެ މިންގަނޑު (ޖީ.ޑީ.ޕީ)</t>
  </si>
  <si>
    <t>Table 13.10 : SUMMARY OF PUBLICLY GUARANTEED EXTERNAL DEBT, 2015 - 2021</t>
  </si>
  <si>
    <t>ތާވަލު 13.10: ސަރުކާރުން ގެރެންޓީކޮށްދީފައިވާ ބޭރުގެ ދަރަނި ތާވަލު، 2015 - 2021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</si>
</sst>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5" formatCode="_-* #,##0.00\ _ރ_._-;_-* #,##0.00\ _ރ_.\-;_-* &quot;-&quot;??\ _ރ_._-;_-@_-"/>
    <numFmt numFmtId="166" formatCode="General_)"/>
    <numFmt numFmtId="168" formatCode="0.0"/>
    <numFmt numFmtId="169" formatCode="_-* #,##0.00_-;\-* #,##0.00_-;_-* &quot;-&quot;??_-;_-@_-"/>
    <numFmt numFmtId="170" formatCode="#,##0.00\ ;&quot; (&quot;#,##0.00\);&quot; -&quot;#\ ;@\ "/>
    <numFmt numFmtId="171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sz val="10"/>
      <color theme="1"/>
      <name val="A_Faseyha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1"/>
      <color theme="1"/>
      <name val="Faruma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sz val="9"/>
      <name val="Calibri"/>
      <family val="2"/>
      <scheme val="minor"/>
    </font>
    <font>
      <sz val="10"/>
      <name val="A_Faseyha"/>
    </font>
    <font>
      <b/>
      <u/>
      <sz val="10"/>
      <color theme="1"/>
      <name val="Calibri"/>
      <family val="2"/>
      <scheme val="minor"/>
    </font>
    <font>
      <sz val="9.5"/>
      <name val="Calibri"/>
      <family val="2"/>
      <scheme val="minor"/>
    </font>
    <font>
      <sz val="9.5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9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8" fontId="17" fillId="0" borderId="0"/>
    <xf numFmtId="4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57">
    <xf numFmtId="0" fontId="0" fillId="0" borderId="0" xfId="0"/>
    <xf numFmtId="166" fontId="13" fillId="2" borderId="0" xfId="2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right" vertical="center" indent="1"/>
    </xf>
    <xf numFmtId="166" fontId="12" fillId="2" borderId="0" xfId="2" applyNumberFormat="1" applyFont="1" applyFill="1" applyAlignment="1">
      <alignment horizontal="right" vertical="center"/>
    </xf>
    <xf numFmtId="166" fontId="19" fillId="2" borderId="0" xfId="2" applyNumberFormat="1" applyFont="1" applyFill="1" applyAlignment="1">
      <alignment horizontal="right" vertical="center"/>
    </xf>
    <xf numFmtId="166" fontId="20" fillId="2" borderId="0" xfId="2" applyNumberFormat="1" applyFont="1" applyFill="1" applyAlignment="1">
      <alignment horizontal="right" vertical="center"/>
    </xf>
    <xf numFmtId="0" fontId="1" fillId="2" borderId="0" xfId="0" applyFont="1" applyFill="1"/>
    <xf numFmtId="0" fontId="0" fillId="2" borderId="0" xfId="0" applyFill="1"/>
    <xf numFmtId="0" fontId="28" fillId="2" borderId="0" xfId="17" applyFont="1" applyFill="1"/>
    <xf numFmtId="166" fontId="7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 wrapText="1"/>
    </xf>
    <xf numFmtId="0" fontId="7" fillId="2" borderId="1" xfId="17" applyFont="1" applyFill="1" applyBorder="1" applyAlignment="1">
      <alignment horizontal="right" vertical="center"/>
    </xf>
    <xf numFmtId="0" fontId="21" fillId="2" borderId="0" xfId="17" applyFont="1" applyFill="1" applyAlignment="1">
      <alignment vertical="center"/>
    </xf>
    <xf numFmtId="171" fontId="21" fillId="2" borderId="0" xfId="1" applyNumberFormat="1" applyFont="1" applyFill="1" applyAlignment="1">
      <alignment horizontal="right" vertical="center"/>
    </xf>
    <xf numFmtId="171" fontId="21" fillId="2" borderId="0" xfId="1" applyNumberFormat="1" applyFont="1" applyFill="1" applyBorder="1" applyAlignment="1">
      <alignment horizontal="right" vertical="center"/>
    </xf>
    <xf numFmtId="0" fontId="22" fillId="2" borderId="0" xfId="0" applyFont="1" applyFill="1"/>
    <xf numFmtId="166" fontId="30" fillId="2" borderId="0" xfId="2" applyNumberFormat="1" applyFont="1" applyFill="1" applyAlignment="1">
      <alignment horizontal="right"/>
    </xf>
    <xf numFmtId="0" fontId="21" fillId="2" borderId="2" xfId="17" applyFont="1" applyFill="1" applyBorder="1" applyAlignment="1">
      <alignment vertical="center"/>
    </xf>
    <xf numFmtId="171" fontId="21" fillId="2" borderId="2" xfId="1" applyNumberFormat="1" applyFont="1" applyFill="1" applyBorder="1" applyAlignment="1">
      <alignment horizontal="right" vertical="center"/>
    </xf>
    <xf numFmtId="0" fontId="31" fillId="2" borderId="0" xfId="17" applyFont="1" applyFill="1"/>
    <xf numFmtId="168" fontId="14" fillId="2" borderId="0" xfId="17" applyNumberFormat="1" applyFont="1" applyFill="1" applyAlignment="1">
      <alignment horizontal="right" vertical="center"/>
    </xf>
    <xf numFmtId="0" fontId="8" fillId="2" borderId="0" xfId="17" applyFont="1" applyFill="1"/>
    <xf numFmtId="171" fontId="14" fillId="2" borderId="0" xfId="1" applyNumberFormat="1" applyFont="1" applyFill="1" applyBorder="1" applyAlignment="1">
      <alignment horizontal="right" vertical="center"/>
    </xf>
    <xf numFmtId="0" fontId="8" fillId="2" borderId="1" xfId="17" applyFont="1" applyFill="1" applyBorder="1"/>
    <xf numFmtId="9" fontId="32" fillId="2" borderId="1" xfId="11" applyFont="1" applyFill="1" applyBorder="1" applyAlignment="1">
      <alignment horizontal="right" vertical="center"/>
    </xf>
    <xf numFmtId="168" fontId="32" fillId="2" borderId="0" xfId="11" applyNumberFormat="1" applyFont="1" applyFill="1" applyAlignment="1">
      <alignment horizontal="right" vertical="center"/>
    </xf>
    <xf numFmtId="168" fontId="33" fillId="2" borderId="0" xfId="11" applyNumberFormat="1" applyFont="1" applyFill="1" applyAlignment="1">
      <alignment horizontal="right" vertical="center"/>
    </xf>
    <xf numFmtId="168" fontId="33" fillId="2" borderId="0" xfId="11" applyNumberFormat="1" applyFont="1" applyFill="1" applyBorder="1" applyAlignment="1">
      <alignment horizontal="right" vertical="center"/>
    </xf>
    <xf numFmtId="10" fontId="32" fillId="2" borderId="0" xfId="11" applyNumberFormat="1" applyFont="1" applyFill="1" applyBorder="1" applyAlignment="1">
      <alignment horizontal="right" vertical="center"/>
    </xf>
    <xf numFmtId="10" fontId="33" fillId="2" borderId="0" xfId="11" applyNumberFormat="1" applyFont="1" applyFill="1" applyBorder="1" applyAlignment="1">
      <alignment horizontal="right" vertical="center"/>
    </xf>
    <xf numFmtId="2" fontId="32" fillId="2" borderId="0" xfId="11" applyNumberFormat="1" applyFont="1" applyFill="1" applyBorder="1" applyAlignment="1">
      <alignment horizontal="right" vertical="center"/>
    </xf>
    <xf numFmtId="168" fontId="32" fillId="2" borderId="0" xfId="11" applyNumberFormat="1" applyFont="1" applyFill="1" applyBorder="1" applyAlignment="1">
      <alignment horizontal="right" vertical="center"/>
    </xf>
    <xf numFmtId="10" fontId="32" fillId="2" borderId="1" xfId="11" applyNumberFormat="1" applyFont="1" applyFill="1" applyBorder="1" applyAlignment="1">
      <alignment horizontal="right" vertical="center"/>
    </xf>
    <xf numFmtId="10" fontId="33" fillId="2" borderId="1" xfId="11" applyNumberFormat="1" applyFont="1" applyFill="1" applyBorder="1" applyAlignment="1">
      <alignment horizontal="right" vertical="center"/>
    </xf>
    <xf numFmtId="166" fontId="13" fillId="2" borderId="1" xfId="2" applyNumberFormat="1" applyFont="1" applyFill="1" applyBorder="1" applyAlignment="1">
      <alignment horizontal="right" vertical="center"/>
    </xf>
    <xf numFmtId="2" fontId="14" fillId="2" borderId="0" xfId="11" applyNumberFormat="1" applyFont="1" applyFill="1" applyBorder="1" applyAlignment="1">
      <alignment horizontal="right" vertical="center"/>
    </xf>
    <xf numFmtId="168" fontId="14" fillId="2" borderId="0" xfId="11" applyNumberFormat="1" applyFont="1" applyFill="1" applyBorder="1" applyAlignment="1">
      <alignment horizontal="right" vertical="center"/>
    </xf>
    <xf numFmtId="0" fontId="10" fillId="2" borderId="0" xfId="17" applyFont="1" applyFill="1" applyAlignment="1">
      <alignment horizontal="left"/>
    </xf>
    <xf numFmtId="0" fontId="10" fillId="2" borderId="0" xfId="17" applyFont="1" applyFill="1"/>
    <xf numFmtId="0" fontId="34" fillId="2" borderId="0" xfId="17" applyFont="1" applyFill="1"/>
    <xf numFmtId="0" fontId="23" fillId="2" borderId="0" xfId="17" applyFont="1" applyFill="1" applyAlignment="1">
      <alignment horizontal="left" vertical="center"/>
    </xf>
    <xf numFmtId="0" fontId="16" fillId="2" borderId="0" xfId="17" applyFont="1" applyFill="1"/>
    <xf numFmtId="0" fontId="7" fillId="2" borderId="0" xfId="17" applyFont="1" applyFill="1" applyAlignment="1">
      <alignment vertical="center"/>
    </xf>
    <xf numFmtId="0" fontId="9" fillId="2" borderId="0" xfId="17" applyFont="1" applyFill="1" applyAlignment="1">
      <alignment vertical="center"/>
    </xf>
    <xf numFmtId="0" fontId="7" fillId="2" borderId="1" xfId="17" applyFont="1" applyFill="1" applyBorder="1" applyAlignment="1">
      <alignment vertical="center"/>
    </xf>
    <xf numFmtId="0" fontId="29" fillId="2" borderId="1" xfId="17" applyFont="1" applyFill="1" applyBorder="1" applyAlignment="1">
      <alignment horizontal="right" vertical="center"/>
    </xf>
    <xf numFmtId="0" fontId="9" fillId="2" borderId="1" xfId="17" applyFont="1" applyFill="1" applyBorder="1" applyAlignment="1">
      <alignment vertical="center"/>
    </xf>
    <xf numFmtId="168" fontId="32" fillId="2" borderId="0" xfId="17" applyNumberFormat="1" applyFont="1" applyFill="1" applyAlignment="1">
      <alignment horizontal="right" vertical="center"/>
    </xf>
    <xf numFmtId="171" fontId="32" fillId="2" borderId="0" xfId="1" applyNumberFormat="1" applyFont="1" applyFill="1" applyBorder="1" applyAlignment="1">
      <alignment horizontal="right" vertical="center"/>
    </xf>
    <xf numFmtId="166" fontId="30" fillId="2" borderId="2" xfId="2" applyNumberFormat="1" applyFont="1" applyFill="1" applyBorder="1" applyAlignment="1">
      <alignment horizontal="right" vertical="center"/>
    </xf>
    <xf numFmtId="166" fontId="30" fillId="2" borderId="0" xfId="2" applyNumberFormat="1" applyFont="1" applyFill="1" applyAlignment="1">
      <alignment horizontal="right" vertical="center"/>
    </xf>
    <xf numFmtId="0" fontId="20" fillId="2" borderId="1" xfId="2" applyFont="1" applyFill="1" applyBorder="1" applyAlignment="1">
      <alignment horizontal="right" vertical="center"/>
    </xf>
    <xf numFmtId="0" fontId="20" fillId="2" borderId="0" xfId="0" applyFont="1" applyFill="1"/>
    <xf numFmtId="0" fontId="26" fillId="2" borderId="0" xfId="17" applyFont="1" applyFill="1" applyAlignment="1">
      <alignment horizontal="center"/>
    </xf>
    <xf numFmtId="0" fontId="27" fillId="2" borderId="1" xfId="17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166" fontId="9" fillId="2" borderId="0" xfId="2" applyNumberFormat="1" applyFont="1" applyFill="1" applyAlignment="1">
      <alignment horizontal="center" vertical="center" wrapText="1"/>
    </xf>
  </cellXfs>
  <cellStyles count="21">
    <cellStyle name="Comma" xfId="1" builtinId="3"/>
    <cellStyle name="Comma 2" xfId="6" xr:uid="{00000000-0005-0000-0000-000001000000}"/>
    <cellStyle name="Comma 3" xfId="7" xr:uid="{00000000-0005-0000-0000-000002000000}"/>
    <cellStyle name="Comma 3 2" xfId="19" xr:uid="{00000000-0005-0000-0000-000003000000}"/>
    <cellStyle name="Comma 4" xfId="3" xr:uid="{00000000-0005-0000-0000-000004000000}"/>
    <cellStyle name="Comma 4 2" xfId="15" xr:uid="{00000000-0005-0000-0000-000005000000}"/>
    <cellStyle name="Comma 5" xfId="13" xr:uid="{00000000-0005-0000-0000-000006000000}"/>
    <cellStyle name="Comma 6" xfId="9" xr:uid="{00000000-0005-0000-0000-000007000000}"/>
    <cellStyle name="Comma 6 2" xfId="20" xr:uid="{00000000-0005-0000-0000-000008000000}"/>
    <cellStyle name="Comma 7" xfId="18" xr:uid="{00000000-0005-0000-0000-000009000000}"/>
    <cellStyle name="Excel Built-in Comma" xfId="5" xr:uid="{00000000-0005-0000-0000-00000C000000}"/>
    <cellStyle name="Excel Built-in Normal" xfId="4" xr:uid="{00000000-0005-0000-0000-00000D000000}"/>
    <cellStyle name="Normal" xfId="0" builtinId="0"/>
    <cellStyle name="Normal 2" xfId="10" xr:uid="{00000000-0005-0000-0000-00000F000000}"/>
    <cellStyle name="Normal 2 2" xfId="14" xr:uid="{00000000-0005-0000-0000-000010000000}"/>
    <cellStyle name="Normal 3" xfId="12" xr:uid="{00000000-0005-0000-0000-000011000000}"/>
    <cellStyle name="Normal 4" xfId="8" xr:uid="{00000000-0005-0000-0000-000012000000}"/>
    <cellStyle name="Normal_13 Public Finance_done" xfId="2" xr:uid="{00000000-0005-0000-0000-000013000000}"/>
    <cellStyle name="Normal_EXDT-MPHRE (1)" xfId="17" xr:uid="{00000000-0005-0000-0000-000014000000}"/>
    <cellStyle name="Percent" xfId="11" builtinId="5"/>
    <cellStyle name="Percent 2" xfId="16" xr:uid="{00000000-0005-0000-0000-000017000000}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K35"/>
  <sheetViews>
    <sheetView tabSelected="1" zoomScaleNormal="100" workbookViewId="0">
      <selection activeCell="I30" sqref="I30"/>
    </sheetView>
  </sheetViews>
  <sheetFormatPr defaultColWidth="24.7109375" defaultRowHeight="15" x14ac:dyDescent="0.25"/>
  <cols>
    <col min="1" max="1" width="38" style="7" customWidth="1"/>
    <col min="2" max="5" width="10.5703125" style="7" customWidth="1"/>
    <col min="6" max="6" width="10" style="7" bestFit="1" customWidth="1"/>
    <col min="7" max="8" width="10.5703125" style="7" customWidth="1"/>
    <col min="9" max="9" width="66.85546875" style="7" customWidth="1"/>
    <col min="10" max="16384" width="24.7109375" style="7"/>
  </cols>
  <sheetData>
    <row r="1" spans="1:11" ht="21.75" customHeight="1" x14ac:dyDescent="0.55000000000000004">
      <c r="A1" s="55" t="s">
        <v>41</v>
      </c>
      <c r="B1" s="55"/>
      <c r="C1" s="55"/>
      <c r="D1" s="55"/>
      <c r="E1" s="55"/>
      <c r="F1" s="55"/>
      <c r="G1" s="55"/>
      <c r="H1" s="55"/>
      <c r="I1" s="55"/>
      <c r="J1" s="6"/>
      <c r="K1" s="6"/>
    </row>
    <row r="2" spans="1:11" x14ac:dyDescent="0.25">
      <c r="A2" s="53" t="s">
        <v>40</v>
      </c>
      <c r="B2" s="53"/>
      <c r="C2" s="53"/>
      <c r="D2" s="53"/>
      <c r="E2" s="53"/>
      <c r="F2" s="53"/>
      <c r="G2" s="53"/>
      <c r="H2" s="53"/>
      <c r="I2" s="53"/>
      <c r="J2" s="6"/>
      <c r="K2" s="6"/>
    </row>
    <row r="3" spans="1:11" ht="17.25" x14ac:dyDescent="0.25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6"/>
      <c r="K3" s="6"/>
    </row>
    <row r="4" spans="1:11" x14ac:dyDescent="0.25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8"/>
      <c r="K4" s="8"/>
    </row>
    <row r="5" spans="1:11" ht="17.25" x14ac:dyDescent="0.25">
      <c r="A5" s="42"/>
      <c r="B5" s="9"/>
      <c r="C5" s="10"/>
      <c r="D5" s="9"/>
      <c r="E5" s="9"/>
      <c r="F5" s="9"/>
      <c r="G5" s="9"/>
      <c r="H5" s="9"/>
      <c r="I5" s="43"/>
      <c r="J5" s="8"/>
      <c r="K5" s="8"/>
    </row>
    <row r="6" spans="1:11" ht="17.25" x14ac:dyDescent="0.25">
      <c r="A6" s="44" t="s">
        <v>3</v>
      </c>
      <c r="B6" s="11">
        <v>2015</v>
      </c>
      <c r="C6" s="11">
        <v>2016</v>
      </c>
      <c r="D6" s="11">
        <v>2017</v>
      </c>
      <c r="E6" s="11">
        <v>2018</v>
      </c>
      <c r="F6" s="11">
        <v>2019</v>
      </c>
      <c r="G6" s="45">
        <v>2020</v>
      </c>
      <c r="H6" s="11">
        <v>2021</v>
      </c>
      <c r="I6" s="46" t="s">
        <v>0</v>
      </c>
      <c r="J6" s="6"/>
      <c r="K6" s="6"/>
    </row>
    <row r="7" spans="1:11" ht="15.75" x14ac:dyDescent="0.25">
      <c r="A7" s="12" t="s">
        <v>4</v>
      </c>
      <c r="B7" s="13">
        <v>439.1</v>
      </c>
      <c r="C7" s="13">
        <v>2117.1</v>
      </c>
      <c r="D7" s="13">
        <v>778.2</v>
      </c>
      <c r="E7" s="13">
        <v>10348.4</v>
      </c>
      <c r="F7" s="13">
        <v>12728.3</v>
      </c>
      <c r="G7" s="14">
        <v>19078.5</v>
      </c>
      <c r="H7" s="14">
        <v>13486.6</v>
      </c>
      <c r="I7" s="50" t="s">
        <v>5</v>
      </c>
      <c r="J7" s="15"/>
      <c r="K7" s="15"/>
    </row>
    <row r="8" spans="1:11" ht="17.25" x14ac:dyDescent="0.4">
      <c r="A8" s="12" t="s">
        <v>6</v>
      </c>
      <c r="B8" s="13">
        <v>110.3</v>
      </c>
      <c r="C8" s="13">
        <v>1842.5</v>
      </c>
      <c r="D8" s="13">
        <v>713.5</v>
      </c>
      <c r="E8" s="13">
        <v>12270</v>
      </c>
      <c r="F8" s="13">
        <v>7864.2</v>
      </c>
      <c r="G8" s="14">
        <v>10548.6</v>
      </c>
      <c r="H8" s="14">
        <v>3589.5</v>
      </c>
      <c r="I8" s="50" t="s">
        <v>7</v>
      </c>
      <c r="J8" s="15"/>
      <c r="K8" s="16"/>
    </row>
    <row r="9" spans="1:11" ht="15.75" x14ac:dyDescent="0.25">
      <c r="A9" s="12" t="s">
        <v>8</v>
      </c>
      <c r="B9" s="13">
        <v>260.2</v>
      </c>
      <c r="C9" s="13">
        <v>163.30000000000001</v>
      </c>
      <c r="D9" s="13">
        <v>2057.1</v>
      </c>
      <c r="E9" s="13">
        <v>2706.1</v>
      </c>
      <c r="F9" s="13">
        <v>5465.6</v>
      </c>
      <c r="G9" s="14">
        <v>4229</v>
      </c>
      <c r="H9" s="14">
        <v>9152.5</v>
      </c>
      <c r="I9" s="50" t="s">
        <v>9</v>
      </c>
      <c r="J9" s="15"/>
      <c r="K9" s="15"/>
    </row>
    <row r="10" spans="1:11" ht="15.75" x14ac:dyDescent="0.25">
      <c r="A10" s="12" t="s">
        <v>10</v>
      </c>
      <c r="B10" s="13">
        <v>26</v>
      </c>
      <c r="C10" s="13">
        <v>33.799999999999997</v>
      </c>
      <c r="D10" s="13">
        <v>46</v>
      </c>
      <c r="E10" s="13">
        <v>248.2</v>
      </c>
      <c r="F10" s="13">
        <v>555.5</v>
      </c>
      <c r="G10" s="14">
        <v>596.79999999999995</v>
      </c>
      <c r="H10" s="14">
        <v>299.89999999999998</v>
      </c>
      <c r="I10" s="50" t="s">
        <v>37</v>
      </c>
      <c r="J10" s="15"/>
      <c r="K10" s="15"/>
    </row>
    <row r="11" spans="1:11" ht="15.75" x14ac:dyDescent="0.25">
      <c r="A11" s="17" t="s">
        <v>11</v>
      </c>
      <c r="B11" s="18">
        <f t="shared" ref="B11" si="0">B10+B9</f>
        <v>286.2</v>
      </c>
      <c r="C11" s="18">
        <f>C9+C10</f>
        <v>197.10000000000002</v>
      </c>
      <c r="D11" s="18">
        <f t="shared" ref="D11:H11" si="1">D9+D10</f>
        <v>2103.1</v>
      </c>
      <c r="E11" s="18">
        <f t="shared" si="1"/>
        <v>2954.2999999999997</v>
      </c>
      <c r="F11" s="18">
        <f t="shared" si="1"/>
        <v>6021.1</v>
      </c>
      <c r="G11" s="18">
        <f t="shared" si="1"/>
        <v>4825.8</v>
      </c>
      <c r="H11" s="18">
        <f t="shared" si="1"/>
        <v>9452.4</v>
      </c>
      <c r="I11" s="49" t="s">
        <v>38</v>
      </c>
      <c r="J11" s="15"/>
      <c r="K11" s="15"/>
    </row>
    <row r="12" spans="1:11" ht="15.75" x14ac:dyDescent="0.25">
      <c r="A12" s="19" t="s">
        <v>12</v>
      </c>
      <c r="B12" s="20"/>
      <c r="C12" s="20"/>
      <c r="D12" s="20"/>
      <c r="E12" s="20"/>
      <c r="F12" s="20"/>
      <c r="G12" s="20"/>
      <c r="H12" s="47"/>
      <c r="I12" s="4" t="s">
        <v>13</v>
      </c>
      <c r="J12" s="6"/>
      <c r="K12" s="6"/>
    </row>
    <row r="13" spans="1:11" ht="18.75" x14ac:dyDescent="0.25">
      <c r="A13" s="21" t="s">
        <v>14</v>
      </c>
      <c r="B13" s="22">
        <v>52787</v>
      </c>
      <c r="C13" s="22">
        <v>67300</v>
      </c>
      <c r="D13" s="22">
        <v>73155</v>
      </c>
      <c r="E13" s="22">
        <v>81568</v>
      </c>
      <c r="F13" s="22">
        <v>86788</v>
      </c>
      <c r="G13" s="22">
        <v>57942</v>
      </c>
      <c r="H13" s="48">
        <v>66372</v>
      </c>
      <c r="I13" s="2" t="s">
        <v>39</v>
      </c>
      <c r="J13" s="6"/>
      <c r="K13" s="6"/>
    </row>
    <row r="14" spans="1:11" ht="15.75" x14ac:dyDescent="0.25">
      <c r="A14" s="23" t="s">
        <v>15</v>
      </c>
      <c r="B14" s="24">
        <f t="shared" ref="B14:H14" si="2">B7/B13</f>
        <v>8.3183359539280508E-3</v>
      </c>
      <c r="C14" s="24">
        <f t="shared" si="2"/>
        <v>3.1457652303120358E-2</v>
      </c>
      <c r="D14" s="24">
        <f t="shared" si="2"/>
        <v>1.0637687102727087E-2</v>
      </c>
      <c r="E14" s="24">
        <f t="shared" si="2"/>
        <v>0.12686837975676735</v>
      </c>
      <c r="F14" s="24">
        <f t="shared" si="2"/>
        <v>0.14665967645296585</v>
      </c>
      <c r="G14" s="24">
        <f t="shared" si="2"/>
        <v>0.32926892409651032</v>
      </c>
      <c r="H14" s="24">
        <f t="shared" si="2"/>
        <v>0.20319713132043635</v>
      </c>
      <c r="I14" s="51" t="s">
        <v>16</v>
      </c>
      <c r="J14" s="6"/>
      <c r="K14" s="6"/>
    </row>
    <row r="15" spans="1:11" ht="15.75" hidden="1" x14ac:dyDescent="0.25">
      <c r="A15" s="21"/>
      <c r="B15" s="25"/>
      <c r="C15" s="25"/>
      <c r="D15" s="25"/>
      <c r="E15" s="26"/>
      <c r="F15" s="27"/>
      <c r="G15" s="27"/>
      <c r="H15" s="27"/>
      <c r="I15" s="1"/>
      <c r="J15" s="6"/>
      <c r="K15" s="6"/>
    </row>
    <row r="16" spans="1:11" ht="15.75" hidden="1" x14ac:dyDescent="0.25">
      <c r="A16" s="21" t="s">
        <v>17</v>
      </c>
      <c r="B16" s="28"/>
      <c r="C16" s="28"/>
      <c r="D16" s="28"/>
      <c r="E16" s="29"/>
      <c r="F16" s="29"/>
      <c r="G16" s="29"/>
      <c r="H16" s="29"/>
      <c r="I16" s="1" t="s">
        <v>18</v>
      </c>
    </row>
    <row r="17" spans="1:9" ht="15.75" hidden="1" x14ac:dyDescent="0.25">
      <c r="A17" s="21"/>
      <c r="B17" s="30"/>
      <c r="C17" s="31"/>
      <c r="D17" s="31"/>
      <c r="E17" s="27"/>
      <c r="F17" s="27"/>
      <c r="G17" s="27"/>
      <c r="H17" s="27"/>
      <c r="I17" s="1"/>
    </row>
    <row r="18" spans="1:9" ht="15.75" hidden="1" x14ac:dyDescent="0.25">
      <c r="A18" s="23" t="s">
        <v>19</v>
      </c>
      <c r="B18" s="32"/>
      <c r="C18" s="32"/>
      <c r="D18" s="32"/>
      <c r="E18" s="33"/>
      <c r="F18" s="33"/>
      <c r="G18" s="33"/>
      <c r="H18" s="33"/>
      <c r="I18" s="34" t="s">
        <v>20</v>
      </c>
    </row>
    <row r="19" spans="1:9" ht="15.75" x14ac:dyDescent="0.25">
      <c r="A19" s="21" t="s">
        <v>21</v>
      </c>
      <c r="B19" s="35"/>
      <c r="C19" s="36"/>
      <c r="D19" s="36"/>
      <c r="E19" s="36"/>
      <c r="F19" s="36"/>
      <c r="G19" s="36"/>
      <c r="H19" s="36"/>
      <c r="I19" s="5" t="s">
        <v>22</v>
      </c>
    </row>
    <row r="20" spans="1:9" ht="15.75" x14ac:dyDescent="0.25">
      <c r="A20" s="37" t="s">
        <v>23</v>
      </c>
      <c r="B20" s="38"/>
      <c r="C20" s="38"/>
      <c r="D20" s="38"/>
      <c r="E20" s="38"/>
      <c r="F20" s="38"/>
      <c r="G20" s="38"/>
      <c r="H20" s="38"/>
      <c r="I20" s="5" t="s">
        <v>24</v>
      </c>
    </row>
    <row r="21" spans="1:9" ht="15.75" x14ac:dyDescent="0.25">
      <c r="A21" s="37" t="s">
        <v>25</v>
      </c>
      <c r="B21" s="38"/>
      <c r="C21" s="38"/>
      <c r="D21" s="38"/>
      <c r="E21" s="38"/>
      <c r="F21" s="38"/>
      <c r="G21" s="38"/>
      <c r="H21" s="38"/>
      <c r="I21" s="5" t="s">
        <v>26</v>
      </c>
    </row>
    <row r="22" spans="1:9" ht="15.75" x14ac:dyDescent="0.25">
      <c r="A22" s="37" t="s">
        <v>27</v>
      </c>
      <c r="B22" s="38"/>
      <c r="C22" s="38"/>
      <c r="D22" s="38"/>
      <c r="E22" s="38"/>
      <c r="F22" s="38"/>
      <c r="G22" s="38"/>
      <c r="H22" s="38"/>
      <c r="I22" s="5" t="s">
        <v>28</v>
      </c>
    </row>
    <row r="23" spans="1:9" ht="15.75" x14ac:dyDescent="0.25">
      <c r="A23" s="37" t="s">
        <v>29</v>
      </c>
      <c r="B23" s="38"/>
      <c r="C23" s="38"/>
      <c r="D23" s="38"/>
      <c r="E23" s="38"/>
      <c r="F23" s="38"/>
      <c r="G23" s="38"/>
      <c r="H23" s="38"/>
      <c r="I23" s="5" t="s">
        <v>30</v>
      </c>
    </row>
    <row r="24" spans="1:9" ht="15.75" x14ac:dyDescent="0.25">
      <c r="A24" s="37" t="s">
        <v>31</v>
      </c>
      <c r="B24" s="6"/>
      <c r="C24" s="6"/>
      <c r="D24" s="6"/>
      <c r="E24" s="6"/>
      <c r="F24" s="6"/>
      <c r="G24" s="6"/>
      <c r="H24" s="6"/>
      <c r="I24" s="5" t="s">
        <v>32</v>
      </c>
    </row>
    <row r="25" spans="1:9" ht="15.75" x14ac:dyDescent="0.25">
      <c r="B25" s="6"/>
      <c r="C25" s="6"/>
      <c r="D25" s="6"/>
      <c r="E25" s="6"/>
      <c r="F25" s="6"/>
      <c r="G25" s="6"/>
      <c r="H25" s="6"/>
      <c r="I25" s="5" t="s">
        <v>36</v>
      </c>
    </row>
    <row r="26" spans="1:9" ht="17.25" x14ac:dyDescent="0.4">
      <c r="A26" s="39" t="s">
        <v>33</v>
      </c>
      <c r="B26" s="6"/>
      <c r="C26" s="6"/>
      <c r="D26" s="6"/>
      <c r="E26" s="6"/>
      <c r="F26" s="6"/>
      <c r="G26" s="6"/>
      <c r="H26" s="6"/>
      <c r="I26" s="52"/>
    </row>
    <row r="27" spans="1:9" x14ac:dyDescent="0.25">
      <c r="A27" s="40" t="s">
        <v>34</v>
      </c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0" t="s">
        <v>35</v>
      </c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1"/>
      <c r="B29" s="6"/>
      <c r="C29" s="6"/>
      <c r="D29" s="6"/>
      <c r="E29" s="6"/>
      <c r="F29" s="6"/>
      <c r="G29" s="6"/>
      <c r="H29" s="6"/>
      <c r="I29" s="6"/>
    </row>
    <row r="35" spans="9:9" x14ac:dyDescent="0.25">
      <c r="I35" s="3"/>
    </row>
  </sheetData>
  <mergeCells count="4">
    <mergeCell ref="A1:I1"/>
    <mergeCell ref="A2:I2"/>
    <mergeCell ref="A3:I3"/>
    <mergeCell ref="A4:I4"/>
  </mergeCells>
  <pageMargins left="0.7" right="0.7" top="0.75" bottom="0.75" header="0.3" footer="0.3"/>
  <pageSetup paperSize="9" scale="49" orientation="portrait" r:id="rId1"/>
  <colBreaks count="1" manualBreakCount="1">
    <brk id="9" max="3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2023-03-09T03:38:29Z</cp:lastPrinted>
  <dcterms:created xsi:type="dcterms:W3CDTF">2014-03-06T08:38:12Z</dcterms:created>
  <dcterms:modified xsi:type="dcterms:W3CDTF">2023-03-09T03:38:40Z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