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24226"/>
  <mc:AlternateContent xmlns:mc="http://schemas.openxmlformats.org/markup-compatibility/2006">
    <mc:Choice Requires="x15">
      <x15ac:absPath xmlns:x15ac="http://schemas.microsoft.com/office/spreadsheetml/2010/11/ac" url="\\192.168.1.8\st4\Dissemination\Publications\Statistical Year Book\YEARBOOK 2022\Final\web\Public Finance\"/>
    </mc:Choice>
  </mc:AlternateContent>
  <xr:revisionPtr revIDLastSave="0" documentId="13_ncr:1_{7D93B90B-DE91-45C3-A2DB-5021C7670632}" xr6:coauthVersionLast="47" xr6:coauthVersionMax="47" xr10:uidLastSave="{00000000-0000-0000-0000-000000000000}"/>
  <bookViews>
    <workbookView xWindow="-120" yWindow="-120" windowWidth="29040" windowHeight="15840" tabRatio="738" xr2:uid="{00000000-000D-0000-FFFF-FFFF00000000}"/>
  </bookViews>
  <sheets>
    <sheet name="13.11" sheetId="32"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'13.11'!$A$1:$Z$56</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8" i="32" l="1"/>
  <c r="W37" i="32"/>
  <c r="U14" i="32" l="1"/>
  <c r="V37" i="32"/>
  <c r="S37" i="32"/>
  <c r="P37" i="32"/>
  <c r="O37" i="32"/>
  <c r="N37" i="32"/>
  <c r="L37" i="32"/>
  <c r="K37" i="32"/>
  <c r="J37" i="32"/>
  <c r="T26" i="32" s="1"/>
  <c r="I37" i="32"/>
  <c r="S36" i="32" s="1"/>
  <c r="H37" i="32"/>
  <c r="R33" i="32" s="1"/>
  <c r="G37" i="32"/>
  <c r="Q30" i="32" s="1"/>
  <c r="F37" i="32"/>
  <c r="P33" i="32" s="1"/>
  <c r="E37" i="32"/>
  <c r="D37" i="32"/>
  <c r="C37" i="32"/>
  <c r="M37" i="32" s="1"/>
  <c r="B37" i="32"/>
  <c r="V36" i="32"/>
  <c r="U36" i="32"/>
  <c r="T36" i="32"/>
  <c r="Q36" i="32"/>
  <c r="P36" i="32"/>
  <c r="O36" i="32"/>
  <c r="N36" i="32"/>
  <c r="M36" i="32"/>
  <c r="V35" i="32"/>
  <c r="T35" i="32"/>
  <c r="S35" i="32"/>
  <c r="Q35" i="32"/>
  <c r="W34" i="32"/>
  <c r="V34" i="32"/>
  <c r="S34" i="32"/>
  <c r="P34" i="32"/>
  <c r="O34" i="32"/>
  <c r="N34" i="32"/>
  <c r="W33" i="32"/>
  <c r="V33" i="32"/>
  <c r="U33" i="32"/>
  <c r="S33" i="32"/>
  <c r="Q33" i="32"/>
  <c r="O33" i="32"/>
  <c r="N33" i="32"/>
  <c r="M33" i="32"/>
  <c r="V32" i="32"/>
  <c r="U32" i="32"/>
  <c r="T32" i="32"/>
  <c r="Q32" i="32"/>
  <c r="P32" i="32"/>
  <c r="O32" i="32"/>
  <c r="N32" i="32"/>
  <c r="M32" i="32"/>
  <c r="V31" i="32"/>
  <c r="T31" i="32"/>
  <c r="S31" i="32"/>
  <c r="Q31" i="32"/>
  <c r="P31" i="32"/>
  <c r="O31" i="32"/>
  <c r="N31" i="32"/>
  <c r="V30" i="32"/>
  <c r="T30" i="32"/>
  <c r="S30" i="32"/>
  <c r="O30" i="32"/>
  <c r="N30" i="32"/>
  <c r="W29" i="32"/>
  <c r="V29" i="32"/>
  <c r="U29" i="32"/>
  <c r="T29" i="32"/>
  <c r="S29" i="32"/>
  <c r="Q29" i="32"/>
  <c r="P29" i="32"/>
  <c r="O29" i="32"/>
  <c r="N29" i="32"/>
  <c r="M29" i="32"/>
  <c r="W28" i="32"/>
  <c r="V28" i="32"/>
  <c r="T28" i="32"/>
  <c r="S28" i="32"/>
  <c r="Q28" i="32"/>
  <c r="P28" i="32"/>
  <c r="O28" i="32"/>
  <c r="N28" i="32"/>
  <c r="W27" i="32"/>
  <c r="V27" i="32"/>
  <c r="T27" i="32"/>
  <c r="S27" i="32"/>
  <c r="O27" i="32"/>
  <c r="N27" i="32"/>
  <c r="W26" i="32"/>
  <c r="V26" i="32"/>
  <c r="U26" i="32"/>
  <c r="S26" i="32"/>
  <c r="Q26" i="32"/>
  <c r="P26" i="32"/>
  <c r="O26" i="32"/>
  <c r="N26" i="32"/>
  <c r="M26" i="32"/>
  <c r="V25" i="32"/>
  <c r="U25" i="32"/>
  <c r="T25" i="32"/>
  <c r="S25" i="32"/>
  <c r="R25" i="32"/>
  <c r="Q25" i="32"/>
  <c r="P25" i="32"/>
  <c r="O25" i="32"/>
  <c r="N25" i="32"/>
  <c r="W24" i="32"/>
  <c r="V24" i="32"/>
  <c r="U24" i="32"/>
  <c r="T24" i="32"/>
  <c r="S24" i="32"/>
  <c r="O24" i="32"/>
  <c r="N24" i="32"/>
  <c r="M24" i="32"/>
  <c r="W23" i="32"/>
  <c r="V23" i="32"/>
  <c r="U23" i="32"/>
  <c r="S23" i="32"/>
  <c r="Q23" i="32"/>
  <c r="P23" i="32"/>
  <c r="O23" i="32"/>
  <c r="N23" i="32"/>
  <c r="M23" i="32"/>
  <c r="V22" i="32"/>
  <c r="U22" i="32"/>
  <c r="T22" i="32"/>
  <c r="S22" i="32"/>
  <c r="R22" i="32"/>
  <c r="Q22" i="32"/>
  <c r="P22" i="32"/>
  <c r="W21" i="32"/>
  <c r="V21" i="32"/>
  <c r="U21" i="32"/>
  <c r="T21" i="32"/>
  <c r="S21" i="32"/>
  <c r="R21" i="32"/>
  <c r="Q21" i="32"/>
  <c r="P21" i="32"/>
  <c r="O21" i="32"/>
  <c r="N21" i="32"/>
  <c r="M21" i="32"/>
  <c r="W20" i="32"/>
  <c r="V20" i="32"/>
  <c r="U20" i="32"/>
  <c r="T20" i="32"/>
  <c r="S20" i="32"/>
  <c r="V19" i="32"/>
  <c r="U19" i="32"/>
  <c r="T19" i="32"/>
  <c r="S19" i="32"/>
  <c r="R19" i="32"/>
  <c r="Q19" i="32"/>
  <c r="O19" i="32"/>
  <c r="N19" i="32"/>
  <c r="M19" i="32"/>
  <c r="W18" i="32"/>
  <c r="V18" i="32"/>
  <c r="U18" i="32"/>
  <c r="T18" i="32"/>
  <c r="S18" i="32"/>
  <c r="Q18" i="32"/>
  <c r="P18" i="32"/>
  <c r="O18" i="32"/>
  <c r="N18" i="32"/>
  <c r="M18" i="32"/>
  <c r="W17" i="32"/>
  <c r="V17" i="32"/>
  <c r="U17" i="32"/>
  <c r="T17" i="32"/>
  <c r="S17" i="32"/>
  <c r="R17" i="32"/>
  <c r="Q17" i="32"/>
  <c r="P17" i="32"/>
  <c r="O17" i="32"/>
  <c r="N17" i="32"/>
  <c r="M17" i="32"/>
  <c r="W16" i="32"/>
  <c r="V16" i="32"/>
  <c r="U16" i="32"/>
  <c r="T16" i="32"/>
  <c r="S16" i="32"/>
  <c r="Q16" i="32"/>
  <c r="P16" i="32"/>
  <c r="O16" i="32"/>
  <c r="N16" i="32"/>
  <c r="V15" i="32"/>
  <c r="U15" i="32"/>
  <c r="T15" i="32"/>
  <c r="S15" i="32"/>
  <c r="Q15" i="32"/>
  <c r="P15" i="32"/>
  <c r="O15" i="32"/>
  <c r="N15" i="32"/>
  <c r="V14" i="32"/>
  <c r="V13" i="32"/>
  <c r="U13" i="32"/>
  <c r="W12" i="32"/>
  <c r="V12" i="32"/>
  <c r="U12" i="32"/>
  <c r="T12" i="32"/>
  <c r="S12" i="32"/>
  <c r="Q12" i="32"/>
  <c r="P12" i="32"/>
  <c r="O12" i="32"/>
  <c r="N12" i="32"/>
  <c r="M12" i="32"/>
  <c r="W11" i="32"/>
  <c r="V11" i="32"/>
  <c r="U11" i="32"/>
  <c r="T11" i="32"/>
  <c r="S11" i="32"/>
  <c r="R11" i="32"/>
  <c r="Q11" i="32"/>
  <c r="P11" i="32"/>
  <c r="O11" i="32"/>
  <c r="N11" i="32"/>
  <c r="M11" i="32"/>
  <c r="W10" i="32"/>
  <c r="V10" i="32"/>
  <c r="U10" i="32"/>
  <c r="T10" i="32"/>
  <c r="S10" i="32"/>
  <c r="Q10" i="32"/>
  <c r="P10" i="32"/>
  <c r="O10" i="32"/>
  <c r="N10" i="32"/>
  <c r="M10" i="32"/>
  <c r="W9" i="32"/>
  <c r="V9" i="32"/>
  <c r="U9" i="32"/>
  <c r="T9" i="32"/>
  <c r="S9" i="32"/>
  <c r="R9" i="32"/>
  <c r="Q9" i="32"/>
  <c r="P9" i="32"/>
  <c r="O9" i="32"/>
  <c r="N9" i="32"/>
  <c r="V8" i="32"/>
  <c r="U8" i="32"/>
  <c r="T8" i="32"/>
  <c r="S8" i="32"/>
  <c r="R8" i="32"/>
  <c r="Q8" i="32"/>
  <c r="P8" i="32"/>
  <c r="O8" i="32"/>
  <c r="N8" i="32"/>
  <c r="M8" i="32"/>
  <c r="M27" i="32" l="1"/>
  <c r="U27" i="32"/>
  <c r="R28" i="32"/>
  <c r="U30" i="32"/>
  <c r="R31" i="32"/>
  <c r="T33" i="32"/>
  <c r="Q34" i="32"/>
  <c r="R35" i="32"/>
  <c r="Q37" i="32"/>
  <c r="R34" i="32"/>
  <c r="R37" i="32"/>
  <c r="R18" i="32"/>
  <c r="R23" i="32"/>
  <c r="R15" i="32"/>
  <c r="R26" i="32"/>
  <c r="P19" i="32"/>
  <c r="Q20" i="32"/>
  <c r="P24" i="32"/>
  <c r="P27" i="32"/>
  <c r="M28" i="32"/>
  <c r="U28" i="32"/>
  <c r="R29" i="32"/>
  <c r="P30" i="32"/>
  <c r="M31" i="32"/>
  <c r="U31" i="32"/>
  <c r="R32" i="32"/>
  <c r="T34" i="32"/>
  <c r="U35" i="32"/>
  <c r="R36" i="32"/>
  <c r="T37" i="32"/>
  <c r="R12" i="32"/>
  <c r="R10" i="32"/>
  <c r="R16" i="32"/>
  <c r="R20" i="32"/>
  <c r="T23" i="32"/>
  <c r="Q24" i="32"/>
  <c r="Q27" i="32"/>
  <c r="S32" i="32"/>
  <c r="M34" i="32"/>
  <c r="U34" i="32"/>
  <c r="U37" i="32"/>
  <c r="R24" i="32"/>
  <c r="R27" i="32"/>
  <c r="R30"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Mariyam Jaidha</author>
  </authors>
  <commentList>
    <comment ref="H11" authorId="0" shapeId="0" xr:uid="{66A3AB69-5190-470D-B301-390C317080A0}">
      <text>
        <r>
          <rPr>
            <sz val="9"/>
            <color indexed="81"/>
            <rFont val="Tahoma"/>
            <family val="2"/>
          </rPr>
          <t xml:space="preserve">
Tourism license fees taken under MOU between MIRA and MoT</t>
        </r>
      </text>
    </comment>
    <comment ref="A44" authorId="0" shapeId="0" xr:uid="{202EEAAB-CC70-4847-98AB-3B29720814EE}">
      <text>
        <r>
          <rPr>
            <sz val="9"/>
            <color indexed="81"/>
            <rFont val="Tahoma"/>
            <family val="2"/>
          </rPr>
          <t xml:space="preserve">
highlighted royalties were not taken from 2013 - 2018</t>
        </r>
      </text>
    </comment>
    <comment ref="A45" authorId="0" shapeId="0" xr:uid="{BB0343FE-967D-46AB-ACE9-845D33C9A270}">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<sst xmlns="http://schemas.openxmlformats.org/spreadsheetml/2006/main" count="106" uniqueCount="92">
  <si>
    <t>-</t>
  </si>
  <si>
    <t>ގްރީން ޓެކްސް</t>
  </si>
  <si>
    <t>Description</t>
  </si>
  <si>
    <t>Revenue collected (MVR)</t>
  </si>
  <si>
    <t>Percentage shares</t>
  </si>
  <si>
    <t>ތަފްސީލު</t>
  </si>
  <si>
    <t>ލިބުނު އާމްދަނީ (ރުފިޔާއިން)</t>
  </si>
  <si>
    <t>cniawtcaws ctogWviawfiheb</t>
  </si>
  <si>
    <t>2019*</t>
  </si>
  <si>
    <t xml:space="preserve">Airport Service Charge
</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</si>
  <si>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</si>
  <si>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</si>
  <si>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</si>
  <si>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</si>
  <si>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</si>
  <si>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</si>
  <si>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</si>
  <si>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Income Tax - Companies and Non-Individuals
</t>
  </si>
  <si>
    <t>ވިޔަފާރި ފައިދާއިން ނެގޭ ޓެކްސް</t>
  </si>
  <si>
    <t>އަމިއްލަ ފަރުދުންގެ އާމްދަނީން ނެގޭ ޓެކްސް</t>
  </si>
  <si>
    <t>ޓްރާންސްޕޯޓް އޮޕްރޭޓަރގެ އާމްދަނީން ނެގޭ ޓެކްސް</t>
  </si>
  <si>
    <t>Construction Period Extension Fee***</t>
  </si>
  <si>
    <t>ކޮންސްޓްރަކްޝަން ޕީރިއަޑް އިތުރުކުރުމުގެ ފީ</t>
  </si>
  <si>
    <t>Corporate Social Responsibility Fee***</t>
  </si>
  <si>
    <t>ކޯޕްރޭޓް ސޯޝަލް ރެސްޕޮންސިބިލިޓީ ފީ</t>
  </si>
  <si>
    <t xml:space="preserve">Fines
</t>
  </si>
  <si>
    <t>ޖޫރިމަނާ</t>
  </si>
  <si>
    <t xml:space="preserve">Goods and Services Tax
</t>
  </si>
  <si>
    <t>މުދަލާއި ޚިދުމަތުގެ އަގުން ނެގޭ ޓެކްސް</t>
  </si>
  <si>
    <t>Green Tax</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</si>
  <si>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</si>
  <si>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</si>
  <si>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</si>
  <si>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</si>
  <si>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</si>
  <si>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</si>
  <si>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</si>
  <si>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</si>
  <si>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Fee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</si>
  <si>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</si>
  <si>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</si>
  <si>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</si>
  <si>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</si>
  <si>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</si>
  <si>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</si>
  <si>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</si>
  <si>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</si>
  <si>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</si>
  <si>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</si>
  <si>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</si>
  <si>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</si>
  <si>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</si>
  <si>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</si>
  <si>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</si>
  <si>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</si>
  <si>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</si>
  <si>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</si>
  <si>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</si>
  <si>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</si>
  <si>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</si>
  <si>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r>
      <t>Others</t>
    </r>
    <r>
      <rPr>
        <vertAlign val="superscript"/>
        <sz val="10"/>
        <rFont val="Calibri"/>
        <family val="2"/>
        <scheme val="minor"/>
      </rPr>
      <t>5</t>
    </r>
  </si>
  <si>
    <t>އެހެނިހެން</t>
  </si>
  <si>
    <t>Total</t>
  </si>
  <si>
    <t>ޖުމްލަ</t>
  </si>
  <si>
    <t>Note:</t>
  </si>
  <si>
    <t>*** Airport Development Fee, Construction Period Extension Fee, Corporate Social Responsibility Fee, Tourism Administration Fee, Ownership Transfer Tax added</t>
  </si>
  <si>
    <t>** Remittance Tax added by MIRA</t>
  </si>
  <si>
    <r>
      <rPr>
        <vertAlign val="superscript"/>
        <sz val="10"/>
        <rFont val="Calibri"/>
        <family val="2"/>
        <scheme val="minor"/>
      </rPr>
      <t xml:space="preserve">1 </t>
    </r>
    <r>
      <rPr>
        <sz val="10"/>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</si>
  <si>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</si>
  <si>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3</t>
    </r>
    <r>
      <rPr>
        <sz val="10"/>
        <color theme="1"/>
        <rFont val="Calibri"/>
        <family val="2"/>
        <scheme val="minor"/>
      </rPr>
      <t xml:space="preserve"> Royalties: Duty Free Royalty,</t>
    </r>
    <r>
      <rPr>
        <sz val="10"/>
        <color rgb="FFC00000"/>
        <rFont val="Calibri"/>
        <family val="2"/>
        <scheme val="minor"/>
      </rPr>
      <t xml:space="preserve"> Foreign Investment Royalty, Fishing Royalty,</t>
    </r>
    <r>
      <rPr>
        <sz val="10"/>
        <color theme="1"/>
        <rFont val="Calibri"/>
        <family val="2"/>
        <scheme val="minor"/>
      </rPr>
      <t xml:space="preserve"> Fuel re-export Royalty,</t>
    </r>
    <r>
      <rPr>
        <sz val="10"/>
        <color rgb="FFC00000"/>
        <rFont val="Calibri"/>
        <family val="2"/>
        <scheme val="minor"/>
      </rPr>
      <t xml:space="preserve"> Re-Export Royalty</t>
    </r>
    <r>
      <rPr>
        <sz val="10"/>
        <color theme="1"/>
        <rFont val="Calibri"/>
        <family val="2"/>
        <scheme val="minor"/>
      </rPr>
      <t xml:space="preserve">, Yellowfin Tuna Export Royalty, </t>
    </r>
    <r>
      <rPr>
        <sz val="10"/>
        <color rgb="FFC00000"/>
        <rFont val="Calibri"/>
        <family val="2"/>
        <scheme val="minor"/>
      </rPr>
      <t>Skipjack Industry Royalty</t>
    </r>
  </si>
  <si>
    <r>
      <rPr>
        <vertAlign val="superscript"/>
        <sz val="10"/>
        <color theme="1"/>
        <rFont val="Calibri"/>
        <family val="2"/>
        <scheme val="minor"/>
      </rPr>
      <t>4</t>
    </r>
    <r>
      <rPr>
        <sz val="10"/>
        <color theme="1"/>
        <rFont val="Calibri"/>
        <family val="2"/>
        <scheme val="minor"/>
      </rPr>
      <t xml:space="preserve"> Sale of Capital Assets: </t>
    </r>
    <r>
      <rPr>
        <sz val="10"/>
        <color rgb="FFC00000"/>
        <rFont val="Calibri"/>
        <family val="2"/>
        <scheme val="minor"/>
      </rPr>
      <t>Sale of Items At Auction</t>
    </r>
    <r>
      <rPr>
        <sz val="10"/>
        <color theme="1"/>
        <rFont val="Calibri"/>
        <family val="2"/>
        <scheme val="minor"/>
      </rPr>
      <t>, Sale of Government Buildings, Sale of Government Lands</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</si>
  <si>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</si>
  <si>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</si>
  <si>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</si>
  <si>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r>
      <t xml:space="preserve">ރޯޔަލްޓީ: ޑިއުޓީ ފްރީ ޝޮޕްގެ ރޯޔަލްޓީ، </t>
    </r>
    <r>
      <rPr>
        <sz val="10"/>
        <color rgb="FFC00000"/>
        <rFont val="Faruma"/>
      </rPr>
      <t>ބިދޭސީން ކުރާ ވިޔަފާރިގެ ރޯޔަލްޓީ، ބިދޭސީން ކުރާ މަސްވެރިކަމުގެ ރޯޔަލްޓީ، ގާމެންޓް އިންޑަސްޓްރީގެ ރޯޔަލްޓީ، ބުލިއަން ރޯޔަލްޓީ،</t>
    </r>
    <r>
      <rPr>
        <sz val="10"/>
        <rFont val="Faruma"/>
      </rPr>
      <t xml:space="preserve"> ފިއުލް ރީއެކްސްޕޯޓް ރޯޔަލްޓީ، </t>
    </r>
    <r>
      <rPr>
        <sz val="10"/>
        <color rgb="FFC00000"/>
        <rFont val="Faruma"/>
      </rPr>
      <t>ރީއެކްސްޕޯޓް ރޯޔަލްޓީ،</t>
    </r>
    <r>
      <rPr>
        <sz val="10"/>
        <rFont val="Faruma"/>
      </rPr>
      <t xml:space="preserve"> ބޮޑު ކަންނެލީގެ އެކްސްޕޯޓް ރޯޔަލްޓީ، </t>
    </r>
    <r>
      <rPr>
        <sz val="10"/>
        <color rgb="FFC00000"/>
        <rFont val="Faruma"/>
      </rPr>
      <t>މަސް އެކްސްޕޯޓް ކުރުމުގެ ރޯޔަލްޓީ</t>
    </r>
  </si>
  <si>
    <r>
      <t xml:space="preserve">ހަރުމުދާ ވިއްކައިގެން ލިބޭ ފައިސާ: </t>
    </r>
    <r>
      <rPr>
        <sz val="10"/>
        <color rgb="FFC00000"/>
        <rFont val="Faruma"/>
      </rPr>
      <t>ނީލަމުގައި ތަކެތި ވިއްކައިގެން ލިބޭ،</t>
    </r>
    <r>
      <rPr>
        <sz val="10"/>
        <rFont val="Faruma"/>
      </rPr>
      <t xml:space="preserve"> ސަރުކާރުގެ އިމާރާތް ވިއްކި، ސަރުކާރުގެ ބިން ވިއްކި</t>
    </r>
  </si>
  <si>
    <t>އެހެނިހެން: ކުރީ އަހަރުގެ ބަޖެޓުން އަނބުރާ ލިބޭ ފައިސާ، އެހެނިހެން ފީ އަދި ޗާޖު</t>
  </si>
  <si>
    <t>2019*: 2019 Figures revised as per Internal Audit reconciliation on 31s March 2020</t>
  </si>
  <si>
    <t>2020 Figures reconciled as of 11.02.2021</t>
  </si>
  <si>
    <r>
      <t>Individual Income Tax</t>
    </r>
    <r>
      <rPr>
        <vertAlign val="superscript"/>
        <sz val="10"/>
        <rFont val="Calibri"/>
        <family val="2"/>
        <scheme val="minor"/>
      </rPr>
      <t>6</t>
    </r>
    <r>
      <rPr>
        <sz val="10"/>
        <rFont val="Calibri"/>
        <family val="2"/>
        <scheme val="minor"/>
      </rPr>
      <t xml:space="preserve">
</t>
    </r>
  </si>
  <si>
    <r>
      <t>Transport Operator Income</t>
    </r>
    <r>
      <rPr>
        <sz val="8"/>
        <rFont val="Calibri"/>
        <family val="2"/>
        <scheme val="minor"/>
      </rPr>
      <t>7</t>
    </r>
  </si>
  <si>
    <t>* 2017 figures are revised by MIRA</t>
  </si>
  <si>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Loan Repayment and National Student Loan  (latter part added by MIRA)</t>
    </r>
  </si>
  <si>
    <t>Table 13.12: REVENUE COLLECTED BY MAJOR CATEGORIES, 2019 - 2021</t>
  </si>
  <si>
    <t>Percentage change over 2020</t>
  </si>
  <si>
    <t>2020 އާއި އަޅާބަލާއިރު 2021 ގައި އިތުރުވި މިންވަރު (%)</t>
  </si>
  <si>
    <t>Work permit Fee</t>
  </si>
  <si>
    <t>ވޯކް ޕާމިޓް ފީ</t>
  </si>
  <si>
    <t>na</t>
  </si>
  <si>
    <t>ތާވަލު 13.12: ޢާމްދަނީގެ ގޮތުގައި ލިބުނު ފައިސާ އެކި ބައިތަކަށް، 2019 - 2021</t>
  </si>
  <si>
    <t xml:space="preserve">(*) - Indicates if the percentage change is greater than 100.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</si>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</sst>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5" formatCode="_-* #,##0.00\ _ރ_._-;_-* #,##0.00\ _ރ_.\-;_-* &quot;-&quot;??\ _ރ_._-;_-@_-"/>
    <numFmt numFmtId="167" formatCode="#,##0.0"/>
    <numFmt numFmtId="168" formatCode="0.0"/>
    <numFmt numFmtId="169" formatCode="_-* #,##0.00_-;\-* #,##0.00_-;_-* &quot;-&quot;??_-;_-@_-"/>
    <numFmt numFmtId="170" formatCode="#,##0.00\ ;&quot; (&quot;#,##0.00\);&quot; -&quot;#\ ;@\ "/>
    <numFmt numFmtId="171" formatCode="_(* #,##0_);_(* \(#,##0\);_(* &quot;-&quot;??_);_(@_)"/>
    <numFmt numFmtId="172" formatCode="#,##0_);\-#,##0"/>
  </numFmts>
  <fonts count="38" x14ac:knownFonts="1">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sz val="10"/>
      <color theme="1"/>
      <name val="Calibri"/>
      <family val="2"/>
      <scheme val="minor"/>
    </font>
    <font>
      <sz val="10"/>
      <color theme="1"/>
      <name val="Faruma"/>
    </font>
    <font>
      <sz val="9"/>
      <color theme="1"/>
      <name val="Faruma"/>
    </font>
    <font>
      <i/>
      <sz val="10"/>
      <color theme="1"/>
      <name val="Calibri"/>
      <family val="2"/>
      <scheme val="minor"/>
    </font>
    <font>
      <sz val="10"/>
      <color indexed="8"/>
      <name val="Arial"/>
      <family val="2"/>
    </font>
    <font>
      <sz val="10"/>
      <name val="Courier"/>
    </font>
    <font>
      <sz val="10"/>
      <name val="Helv"/>
    </font>
    <font>
      <vertAlign val="superscript"/>
      <sz val="10"/>
      <color theme="1"/>
      <name val="Calibri"/>
      <family val="2"/>
      <scheme val="minor"/>
    </font>
    <font>
      <sz val="10"/>
      <name val="Calibri"/>
      <family val="2"/>
      <scheme val="minor"/>
    </font>
    <font>
      <b/>
      <sz val="11"/>
      <name val="Faruma"/>
    </font>
    <font>
      <b/>
      <sz val="12"/>
      <name val="Calibri"/>
      <family val="2"/>
      <scheme val="minor"/>
    </font>
    <font>
      <sz val="8"/>
      <name val="Calibri"/>
      <family val="2"/>
      <scheme val="minor"/>
    </font>
    <font>
      <sz val="11"/>
      <name val="Calibri"/>
      <family val="2"/>
      <scheme val="minor"/>
    </font>
    <font>
      <b/>
      <sz val="10"/>
      <name val="Calibri"/>
      <family val="2"/>
      <scheme val="minor"/>
    </font>
    <font>
      <b/>
      <sz val="10"/>
      <name val="Faruma"/>
    </font>
    <font>
      <b/>
      <sz val="9"/>
      <name val="Faruma"/>
    </font>
    <font>
      <b/>
      <sz val="9"/>
      <name val="A_Faseyha"/>
    </font>
    <font>
      <sz val="9"/>
      <name val="Calibri"/>
      <family val="2"/>
      <scheme val="minor"/>
    </font>
    <font>
      <sz val="10"/>
      <name val="Faruma"/>
    </font>
    <font>
      <vertAlign val="superscript"/>
      <sz val="10"/>
      <name val="Calibri"/>
      <family val="2"/>
      <scheme val="minor"/>
    </font>
    <font>
      <vertAlign val="superscript"/>
      <sz val="10"/>
      <name val="Faruma"/>
    </font>
    <font>
      <sz val="9.5"/>
      <name val="Faruma"/>
    </font>
    <font>
      <sz val="10.5"/>
      <name val="Calibri"/>
      <family val="2"/>
      <scheme val="minor"/>
    </font>
    <font>
      <vertAlign val="superscript"/>
      <sz val="9.5"/>
      <name val="Faruma"/>
    </font>
    <font>
      <b/>
      <sz val="11"/>
      <name val="Calibri"/>
      <family val="2"/>
      <scheme val="minor"/>
    </font>
    <font>
      <sz val="10"/>
      <color rgb="FFC00000"/>
      <name val="Calibri"/>
      <family val="2"/>
      <scheme val="minor"/>
    </font>
    <font>
      <sz val="10"/>
      <color rgb="FFC00000"/>
      <name val="Faruma"/>
    </font>
    <font>
      <i/>
      <sz val="10"/>
      <name val="Calibri"/>
      <family val="2"/>
      <scheme val="minor"/>
    </font>
    <font>
      <sz val="9"/>
      <color indexed="81"/>
      <name val="Tahoma"/>
      <family val="2"/>
    </font>
    <font>
      <i/>
      <sz val="10"/>
      <name val="Cambria"/>
      <family val="2"/>
      <scheme val="major"/>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auto="1"/>
      </top>
      <bottom style="hair">
        <color theme="1"/>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20">
    <xf numFmtId="0" fontId="0" fillId="0" borderId="0"/>
    <xf numFmtId="43" fontId="1" fillId="0" borderId="0" applyFont="0" applyFill="0" applyBorder="0" applyAlignment="0" applyProtection="0"/>
    <xf numFmtId="0" fontId="2" fillId="0" borderId="0"/>
    <xf numFmtId="169" fontId="1" fillId="0" borderId="0" applyFont="0" applyFill="0" applyBorder="0" applyAlignment="0" applyProtection="0"/>
    <xf numFmtId="0" fontId="6" fillId="0" borderId="0"/>
    <xf numFmtId="170"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2" fillId="0" borderId="0" applyNumberFormat="0" applyFill="0" applyBorder="0" applyAlignment="0" applyProtection="0"/>
    <xf numFmtId="168" fontId="13" fillId="0" borderId="0"/>
    <xf numFmtId="4" fontId="14"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2" fillId="0" borderId="0"/>
  </cellStyleXfs>
  <cellXfs count="88">
    <xf numFmtId="0" fontId="0" fillId="0" borderId="0" xfId="0"/>
    <xf numFmtId="0" fontId="16" fillId="2" borderId="0" xfId="0" applyFont="1" applyFill="1" applyAlignment="1">
      <alignment vertical="top" wrapText="1"/>
    </xf>
    <xf numFmtId="0" fontId="19" fillId="2" borderId="0" xfId="0" applyFont="1" applyFill="1" applyAlignment="1">
      <alignment vertical="top"/>
    </xf>
    <xf numFmtId="0" fontId="20" fillId="2" borderId="0" xfId="0" applyFont="1" applyFill="1" applyAlignment="1">
      <alignment vertical="top" wrapText="1"/>
    </xf>
    <xf numFmtId="0" fontId="21" fillId="2" borderId="4" xfId="0" applyFont="1" applyFill="1" applyBorder="1" applyAlignment="1">
      <alignment horizontal="center" vertical="center" wrapText="1"/>
    </xf>
    <xf numFmtId="0" fontId="23" fillId="2" borderId="0" xfId="0" applyFont="1" applyFill="1" applyAlignment="1">
      <alignment horizontal="center" vertical="center" wrapText="1" readingOrder="2"/>
    </xf>
    <xf numFmtId="0" fontId="25" fillId="2" borderId="0" xfId="0" applyFont="1" applyFill="1" applyAlignment="1">
      <alignment vertical="top" wrapText="1"/>
    </xf>
    <xf numFmtId="0" fontId="21" fillId="2" borderId="3" xfId="0" applyFont="1" applyFill="1" applyBorder="1" applyAlignment="1">
      <alignment horizontal="right" vertical="center" wrapText="1"/>
    </xf>
    <xf numFmtId="0" fontId="16" fillId="2" borderId="0" xfId="0" applyFont="1" applyFill="1" applyAlignment="1">
      <alignment horizontal="left" vertical="top"/>
    </xf>
    <xf numFmtId="171" fontId="20" fillId="2" borderId="0" xfId="1" applyNumberFormat="1" applyFont="1" applyFill="1" applyBorder="1" applyAlignment="1">
      <alignment horizontal="right" vertical="center"/>
    </xf>
    <xf numFmtId="171" fontId="1" fillId="2" borderId="0" xfId="1" applyNumberFormat="1" applyFont="1" applyFill="1" applyBorder="1" applyAlignment="1">
      <alignment horizontal="right" vertical="center"/>
    </xf>
    <xf numFmtId="168" fontId="20" fillId="2" borderId="0" xfId="0" applyNumberFormat="1" applyFont="1" applyFill="1" applyAlignment="1">
      <alignment horizontal="right" vertical="center" wrapText="1"/>
    </xf>
    <xf numFmtId="0" fontId="26" fillId="2" borderId="0" xfId="0" applyFont="1" applyFill="1" applyAlignment="1">
      <alignment vertical="top" wrapText="1"/>
    </xf>
    <xf numFmtId="171" fontId="16" fillId="2" borderId="0" xfId="0" applyNumberFormat="1" applyFont="1" applyFill="1" applyAlignment="1">
      <alignment vertical="top" wrapText="1"/>
    </xf>
    <xf numFmtId="172" fontId="16" fillId="2" borderId="0" xfId="0" applyNumberFormat="1" applyFont="1" applyFill="1" applyAlignment="1">
      <alignment horizontal="left" vertical="top"/>
    </xf>
    <xf numFmtId="43" fontId="16" fillId="2" borderId="0" xfId="0" applyNumberFormat="1" applyFont="1" applyFill="1" applyAlignment="1">
      <alignment vertical="top" wrapText="1"/>
    </xf>
    <xf numFmtId="172" fontId="16" fillId="2" borderId="0" xfId="0" applyNumberFormat="1" applyFont="1" applyFill="1" applyAlignment="1">
      <alignment horizontal="left" vertical="top" wrapText="1"/>
    </xf>
    <xf numFmtId="43" fontId="16" fillId="2" borderId="0" xfId="1" applyFont="1" applyFill="1" applyAlignment="1">
      <alignment vertical="top" wrapText="1"/>
    </xf>
    <xf numFmtId="167" fontId="29" fillId="2" borderId="0" xfId="2" applyNumberFormat="1" applyFont="1" applyFill="1" applyAlignment="1">
      <alignment horizontal="right" vertical="center"/>
    </xf>
    <xf numFmtId="0" fontId="9" fillId="2" borderId="0" xfId="0" applyFont="1" applyFill="1" applyAlignment="1">
      <alignment vertical="center" wrapText="1"/>
    </xf>
    <xf numFmtId="0" fontId="30" fillId="2" borderId="0" xfId="0" applyFont="1" applyFill="1" applyAlignment="1">
      <alignment horizontal="left" vertical="center" wrapText="1"/>
    </xf>
    <xf numFmtId="172" fontId="16" fillId="2" borderId="1" xfId="0" applyNumberFormat="1" applyFont="1" applyFill="1" applyBorder="1" applyAlignment="1">
      <alignment horizontal="left" vertical="top"/>
    </xf>
    <xf numFmtId="171" fontId="20" fillId="2" borderId="1" xfId="1" applyNumberFormat="1" applyFont="1" applyFill="1" applyBorder="1" applyAlignment="1">
      <alignment horizontal="right" vertical="center"/>
    </xf>
    <xf numFmtId="168" fontId="20" fillId="2" borderId="1" xfId="0" applyNumberFormat="1" applyFont="1" applyFill="1" applyBorder="1" applyAlignment="1">
      <alignment horizontal="right" vertical="center" wrapText="1"/>
    </xf>
    <xf numFmtId="171" fontId="32" fillId="2" borderId="3" xfId="1" applyNumberFormat="1" applyFont="1" applyFill="1" applyBorder="1" applyAlignment="1">
      <alignment horizontal="right" vertical="center"/>
    </xf>
    <xf numFmtId="168" fontId="32" fillId="2" borderId="3" xfId="0" applyNumberFormat="1" applyFont="1" applyFill="1" applyBorder="1" applyAlignment="1">
      <alignment horizontal="right" vertical="center" wrapText="1"/>
    </xf>
    <xf numFmtId="0" fontId="21" fillId="2" borderId="0" xfId="0" applyFont="1" applyFill="1" applyAlignment="1">
      <alignment vertical="top"/>
    </xf>
    <xf numFmtId="171" fontId="21" fillId="2" borderId="2" xfId="1" applyNumberFormat="1" applyFont="1" applyFill="1" applyBorder="1" applyAlignment="1">
      <alignment horizontal="right" vertical="center"/>
    </xf>
    <xf numFmtId="171" fontId="21" fillId="2" borderId="0" xfId="1" applyNumberFormat="1" applyFont="1" applyFill="1" applyBorder="1" applyAlignment="1">
      <alignment horizontal="right" vertical="center"/>
    </xf>
    <xf numFmtId="0" fontId="16" fillId="2" borderId="0" xfId="0" applyFont="1" applyFill="1" applyAlignment="1">
      <alignment vertical="top"/>
    </xf>
    <xf numFmtId="0" fontId="16" fillId="2" borderId="2" xfId="0" applyFont="1" applyFill="1" applyBorder="1" applyAlignment="1">
      <alignment vertical="top"/>
    </xf>
    <xf numFmtId="0" fontId="11" fillId="2" borderId="0" xfId="0" applyFont="1" applyFill="1" applyAlignment="1">
      <alignment horizontal="left" vertical="center"/>
    </xf>
    <xf numFmtId="0" fontId="8" fillId="2" borderId="0" xfId="0" applyFont="1" applyFill="1" applyAlignment="1">
      <alignment vertical="top"/>
    </xf>
    <xf numFmtId="0" fontId="15" fillId="2" borderId="0" xfId="0" applyFont="1" applyFill="1" applyAlignment="1">
      <alignment vertical="top"/>
    </xf>
    <xf numFmtId="0" fontId="10" fillId="2" borderId="0" xfId="0" applyFont="1" applyFill="1" applyAlignment="1">
      <alignment vertical="top"/>
    </xf>
    <xf numFmtId="172" fontId="11" fillId="2" borderId="0" xfId="0" applyNumberFormat="1" applyFont="1" applyFill="1" applyAlignment="1">
      <alignment horizontal="left" vertical="top"/>
    </xf>
    <xf numFmtId="0" fontId="8" fillId="2" borderId="0" xfId="0" applyFont="1" applyFill="1" applyAlignment="1">
      <alignment horizontal="left" vertical="center" wrapText="1"/>
    </xf>
    <xf numFmtId="0" fontId="15" fillId="2" borderId="0" xfId="0" applyFont="1" applyFill="1" applyAlignment="1">
      <alignment horizontal="center" vertical="top"/>
    </xf>
    <xf numFmtId="0" fontId="8" fillId="2" borderId="0" xfId="0" applyFont="1" applyFill="1" applyAlignment="1">
      <alignment vertical="top" wrapText="1"/>
    </xf>
    <xf numFmtId="0" fontId="27" fillId="2" borderId="0" xfId="0" applyFont="1" applyFill="1" applyAlignment="1">
      <alignment horizontal="center" vertical="top"/>
    </xf>
    <xf numFmtId="0" fontId="26" fillId="2" borderId="0" xfId="0" applyFont="1" applyFill="1" applyAlignment="1">
      <alignment horizontal="right" vertical="top" wrapText="1"/>
    </xf>
    <xf numFmtId="172" fontId="35" fillId="2" borderId="0" xfId="0" applyNumberFormat="1" applyFont="1" applyFill="1" applyAlignment="1">
      <alignment horizontal="left" vertical="center"/>
    </xf>
    <xf numFmtId="0" fontId="16" fillId="2" borderId="0" xfId="0" applyFont="1" applyFill="1" applyAlignment="1">
      <alignment horizontal="left" vertical="top" wrapText="1"/>
    </xf>
    <xf numFmtId="0" fontId="27" fillId="2" borderId="0" xfId="0" applyFont="1" applyFill="1" applyAlignment="1">
      <alignment vertical="top" wrapText="1"/>
    </xf>
    <xf numFmtId="0" fontId="21" fillId="2" borderId="3" xfId="0" applyFont="1" applyFill="1" applyBorder="1" applyAlignment="1">
      <alignment horizontal="center" vertical="center" wrapText="1"/>
    </xf>
    <xf numFmtId="0" fontId="5" fillId="2" borderId="3" xfId="0" applyFont="1" applyFill="1" applyBorder="1" applyAlignment="1">
      <alignment horizontal="right" vertical="center" wrapText="1"/>
    </xf>
    <xf numFmtId="172" fontId="21" fillId="2" borderId="3" xfId="0" applyNumberFormat="1" applyFont="1" applyFill="1" applyBorder="1" applyAlignment="1">
      <alignment horizontal="left" vertical="top"/>
    </xf>
    <xf numFmtId="0" fontId="22" fillId="2" borderId="3" xfId="0" applyFont="1" applyFill="1" applyBorder="1" applyAlignment="1">
      <alignment vertical="top" wrapText="1"/>
    </xf>
    <xf numFmtId="171" fontId="21" fillId="2" borderId="0" xfId="1" applyNumberFormat="1" applyFont="1" applyFill="1" applyBorder="1" applyAlignment="1">
      <alignment horizontal="left" vertical="center"/>
    </xf>
    <xf numFmtId="0" fontId="16" fillId="2" borderId="0" xfId="0" applyFont="1" applyFill="1" applyAlignment="1">
      <alignment horizontal="left" vertical="center"/>
    </xf>
    <xf numFmtId="171" fontId="5" fillId="2" borderId="0" xfId="1" applyNumberFormat="1" applyFont="1" applyFill="1" applyBorder="1" applyAlignment="1">
      <alignment horizontal="left" vertical="center"/>
    </xf>
    <xf numFmtId="0" fontId="8" fillId="2" borderId="0" xfId="0" applyFont="1" applyFill="1" applyAlignment="1">
      <alignment horizontal="left" vertical="center"/>
    </xf>
    <xf numFmtId="0" fontId="21" fillId="2" borderId="8" xfId="0" applyFont="1" applyFill="1" applyBorder="1" applyAlignment="1">
      <alignment horizontal="right" vertical="center" wrapText="1"/>
    </xf>
    <xf numFmtId="171" fontId="32" fillId="2" borderId="8" xfId="1" applyNumberFormat="1" applyFont="1" applyFill="1" applyBorder="1" applyAlignment="1">
      <alignment horizontal="right" vertical="center"/>
    </xf>
    <xf numFmtId="0" fontId="21" fillId="2" borderId="12" xfId="0" applyFont="1" applyFill="1" applyBorder="1" applyAlignment="1">
      <alignment horizontal="right" vertical="center" wrapText="1"/>
    </xf>
    <xf numFmtId="168" fontId="20" fillId="2" borderId="7" xfId="0" applyNumberFormat="1" applyFont="1" applyFill="1" applyBorder="1" applyAlignment="1">
      <alignment horizontal="right" vertical="center" wrapText="1"/>
    </xf>
    <xf numFmtId="171" fontId="20" fillId="2" borderId="7" xfId="1" applyNumberFormat="1" applyFont="1" applyFill="1" applyBorder="1" applyAlignment="1">
      <alignment horizontal="center" vertical="center"/>
    </xf>
    <xf numFmtId="1" fontId="32" fillId="2" borderId="12" xfId="0" applyNumberFormat="1" applyFont="1" applyFill="1" applyBorder="1" applyAlignment="1">
      <alignment horizontal="right" vertical="center"/>
    </xf>
    <xf numFmtId="171" fontId="1" fillId="2" borderId="10" xfId="1" applyNumberFormat="1" applyFont="1" applyFill="1" applyBorder="1" applyAlignment="1">
      <alignment horizontal="right" vertical="center"/>
    </xf>
    <xf numFmtId="168" fontId="20" fillId="2" borderId="10" xfId="0" applyNumberFormat="1" applyFont="1" applyFill="1" applyBorder="1" applyAlignment="1">
      <alignment horizontal="right" vertical="center" wrapText="1"/>
    </xf>
    <xf numFmtId="171" fontId="16" fillId="2" borderId="0" xfId="0" applyNumberFormat="1" applyFont="1" applyFill="1" applyAlignment="1">
      <alignment vertical="top"/>
    </xf>
    <xf numFmtId="0" fontId="17" fillId="2" borderId="0" xfId="0" applyFont="1" applyFill="1" applyAlignment="1">
      <alignment horizontal="center" vertical="top" wrapText="1"/>
    </xf>
    <xf numFmtId="0" fontId="18" fillId="2" borderId="0" xfId="0" applyFont="1" applyFill="1" applyAlignment="1">
      <alignment horizontal="center" vertical="top"/>
    </xf>
    <xf numFmtId="0" fontId="21" fillId="2" borderId="2"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5"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2" fillId="2" borderId="2" xfId="0" applyFont="1" applyFill="1" applyBorder="1" applyAlignment="1">
      <alignment horizontal="right" vertical="center" wrapText="1"/>
    </xf>
    <xf numFmtId="0" fontId="22" fillId="2" borderId="0" xfId="0" applyFont="1" applyFill="1" applyAlignment="1">
      <alignment horizontal="right" vertical="center" wrapText="1"/>
    </xf>
    <xf numFmtId="0" fontId="22" fillId="2" borderId="1" xfId="0" applyFont="1" applyFill="1" applyBorder="1" applyAlignment="1">
      <alignment horizontal="right" vertical="center" wrapText="1"/>
    </xf>
    <xf numFmtId="0" fontId="23" fillId="2" borderId="1"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4" fillId="2" borderId="6" xfId="0" applyFont="1" applyFill="1" applyBorder="1" applyAlignment="1">
      <alignment horizontal="center" vertical="center" wrapText="1" readingOrder="2"/>
    </xf>
    <xf numFmtId="0" fontId="24" fillId="2" borderId="1" xfId="0" applyFont="1" applyFill="1" applyBorder="1" applyAlignment="1">
      <alignment horizontal="center" vertical="center" wrapText="1" readingOrder="2"/>
    </xf>
    <xf numFmtId="0" fontId="24" fillId="2" borderId="9" xfId="0" applyFont="1" applyFill="1" applyBorder="1" applyAlignment="1">
      <alignment horizontal="center" vertical="center" wrapText="1" readingOrder="2"/>
    </xf>
    <xf numFmtId="0" fontId="16" fillId="2" borderId="0" xfId="0" applyFont="1" applyFill="1" applyAlignment="1">
      <alignment horizontal="left" vertical="center" wrapText="1"/>
    </xf>
    <xf numFmtId="0" fontId="8" fillId="2" borderId="0" xfId="0" applyFont="1" applyFill="1" applyAlignment="1">
      <alignment horizontal="left" vertical="center" wrapText="1"/>
    </xf>
    <xf numFmtId="0" fontId="21" fillId="2" borderId="2" xfId="0" applyFont="1" applyFill="1" applyBorder="1" applyAlignment="1">
      <alignment horizontal="left" vertical="center" wrapText="1"/>
    </xf>
    <xf numFmtId="0" fontId="21" fillId="2" borderId="0" xfId="0" applyFont="1" applyFill="1" applyAlignment="1">
      <alignment horizontal="left" vertical="center" wrapText="1"/>
    </xf>
    <xf numFmtId="0" fontId="21" fillId="2" borderId="1" xfId="0" applyFont="1" applyFill="1" applyBorder="1" applyAlignment="1">
      <alignment horizontal="left" vertical="center" wrapText="1"/>
    </xf>
    <xf numFmtId="0" fontId="26" fillId="2" borderId="0" xfId="0" applyFont="1" applyFill="1" applyAlignment="1">
      <alignment horizontal="right" vertical="top" wrapText="1"/>
    </xf>
    <xf numFmtId="0" fontId="9" fillId="2" borderId="0" xfId="0" applyFont="1" applyFill="1" applyAlignment="1">
      <alignment horizontal="right" vertical="top" wrapText="1"/>
    </xf>
    <xf numFmtId="0" fontId="8" fillId="2" borderId="0" xfId="0" applyFont="1" applyFill="1" applyAlignment="1">
      <alignment horizontal="right" vertical="top" wrapText="1"/>
    </xf>
    <xf numFmtId="0" fontId="37" fillId="2" borderId="0" xfId="19" applyFont="1" applyFill="1" applyAlignment="1">
      <alignment horizontal="left" vertical="center"/>
    </xf>
    <xf numFmtId="0" fontId="2" fillId="2" borderId="0" xfId="0" applyFont="1" applyFill="1" applyAlignment="1">
      <alignment horizontal="right" vertical="center"/>
    </xf>
    <xf numFmtId="167" fontId="20" fillId="2" borderId="0" xfId="1" applyNumberFormat="1" applyFont="1" applyFill="1" applyAlignment="1">
      <alignment horizontal="right" vertical="center" wrapText="1"/>
    </xf>
    <xf numFmtId="167" fontId="32" fillId="2" borderId="12" xfId="1" applyNumberFormat="1" applyFont="1" applyFill="1" applyBorder="1" applyAlignment="1">
      <alignment horizontal="right" vertical="center" wrapText="1"/>
    </xf>
  </cellXfs>
  <cellStyles count="20">
    <cellStyle name="Comma" xfId="1" builtinId="3"/>
    <cellStyle name="Comma 2" xfId="6" xr:uid="{00000000-0005-0000-0000-000001000000}"/>
    <cellStyle name="Comma 3" xfId="7" xr:uid="{00000000-0005-0000-0000-000002000000}"/>
    <cellStyle name="Comma 3 2" xfId="17" xr:uid="{00000000-0005-0000-0000-000003000000}"/>
    <cellStyle name="Comma 4" xfId="3" xr:uid="{00000000-0005-0000-0000-000004000000}"/>
    <cellStyle name="Comma 4 2" xfId="14" xr:uid="{00000000-0005-0000-0000-000005000000}"/>
    <cellStyle name="Comma 5" xfId="12" xr:uid="{00000000-0005-0000-0000-000006000000}"/>
    <cellStyle name="Comma 6" xfId="9" xr:uid="{00000000-0005-0000-0000-000007000000}"/>
    <cellStyle name="Comma 6 2" xfId="18" xr:uid="{00000000-0005-0000-0000-000008000000}"/>
    <cellStyle name="Comma 7" xfId="16" xr:uid="{00000000-0005-0000-0000-000009000000}"/>
    <cellStyle name="Excel Built-in Comma" xfId="5" xr:uid="{00000000-0005-0000-0000-00000C000000}"/>
    <cellStyle name="Excel Built-in Normal" xfId="4" xr:uid="{00000000-0005-0000-0000-00000D000000}"/>
    <cellStyle name="Normal" xfId="0" builtinId="0"/>
    <cellStyle name="Normal 2" xfId="10" xr:uid="{00000000-0005-0000-0000-00000F000000}"/>
    <cellStyle name="Normal 2 2" xfId="13" xr:uid="{00000000-0005-0000-0000-000010000000}"/>
    <cellStyle name="Normal 3" xfId="11" xr:uid="{00000000-0005-0000-0000-000011000000}"/>
    <cellStyle name="Normal 4" xfId="8" xr:uid="{00000000-0005-0000-0000-000012000000}"/>
    <cellStyle name="Normal_13 Public Finance_done" xfId="2" xr:uid="{00000000-0005-0000-0000-000013000000}"/>
    <cellStyle name="Normal_Quick data" xfId="19" xr:uid="{E4259BBE-A4C7-4609-AAA3-CC6099D77021}"/>
    <cellStyle name="Percent 2" xfId="15" xr:uid="{00000000-0005-0000-0000-000017000000}"/>
  </cellStyles>
  <dxfs count="0"/>
  <tableStyles count="0" defaultTableStyle="TableStyleMedium9" defaultPivotStyle="PivotStyleLight16"/>
  <colors>
    <mruColors>
      <color rgb="FFFBC99F"/>
      <color rgb="FFF5EADF"/>
      <color rgb="FFFDEADA"/>
      <color rgb="FFFAC090"/>
      <color rgb="FF996633"/>
      <color rgb="FFCC6600"/>
      <color rgb="FF6C3600"/>
      <color rgb="FFFCD5B5"/>
      <color rgb="FF7DDFDD"/>
      <color rgb="FF9537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A78"/>
  <sheetViews>
    <sheetView tabSelected="1" view="pageBreakPreview" zoomScale="106" zoomScaleNormal="100" zoomScaleSheetLayoutView="106" workbookViewId="0">
      <selection activeCell="B6" sqref="B6:L6"/>
    </sheetView>
  </sheetViews>
  <sheetFormatPr defaultColWidth="8" defaultRowHeight="12.75" x14ac:dyDescent="0.25"/>
  <cols>
    <col min="1" max="1" width="31.42578125" style="1" customWidth="1"/>
    <col min="2" max="3" width="14.28515625" style="1" hidden="1" customWidth="1"/>
    <col min="4" max="4" width="14.5703125" style="1" hidden="1" customWidth="1"/>
    <col min="5" max="6" width="15.85546875" style="1" hidden="1" customWidth="1"/>
    <col min="7" max="9" width="15.28515625" style="1" hidden="1" customWidth="1"/>
    <col min="10" max="12" width="17" style="1" customWidth="1"/>
    <col min="13" max="19" width="9.140625" style="1" hidden="1" customWidth="1"/>
    <col min="20" max="22" width="9.140625" style="1" customWidth="1"/>
    <col min="23" max="23" width="21.140625" style="1" customWidth="1"/>
    <col min="24" max="24" width="30.42578125" style="1" bestFit="1" customWidth="1"/>
    <col min="25" max="25" width="1.5703125" style="1" customWidth="1"/>
    <col min="26" max="26" width="14.28515625" style="1" bestFit="1" customWidth="1"/>
    <col min="27" max="27" width="8.28515625" style="1" bestFit="1" customWidth="1"/>
    <col min="28" max="16384" width="8" style="1"/>
  </cols>
  <sheetData>
    <row r="1" spans="1:27" ht="8.25" customHeight="1" x14ac:dyDescent="0.25"/>
    <row r="2" spans="1:27" ht="18.75" customHeight="1" x14ac:dyDescent="0.25">
      <c r="A2" s="61" t="s">
        <v>89</v>
      </c>
      <c r="B2" s="61"/>
      <c r="C2" s="61"/>
      <c r="D2" s="61"/>
      <c r="E2" s="61"/>
      <c r="F2" s="61"/>
      <c r="G2" s="61"/>
      <c r="H2" s="61"/>
      <c r="I2" s="61"/>
      <c r="J2" s="61"/>
      <c r="K2" s="61"/>
      <c r="L2" s="61"/>
      <c r="M2" s="61"/>
      <c r="N2" s="61"/>
      <c r="O2" s="61"/>
      <c r="P2" s="61"/>
      <c r="Q2" s="61"/>
      <c r="R2" s="61"/>
      <c r="S2" s="61"/>
      <c r="T2" s="61"/>
      <c r="U2" s="61"/>
      <c r="V2" s="61"/>
      <c r="W2" s="61"/>
      <c r="X2" s="61"/>
    </row>
    <row r="3" spans="1:27" ht="15.75" customHeight="1" x14ac:dyDescent="0.25">
      <c r="A3" s="62" t="s">
        <v>83</v>
      </c>
      <c r="B3" s="62"/>
      <c r="C3" s="62"/>
      <c r="D3" s="62"/>
      <c r="E3" s="62"/>
      <c r="F3" s="62"/>
      <c r="G3" s="62"/>
      <c r="H3" s="62"/>
      <c r="I3" s="62"/>
      <c r="J3" s="62"/>
      <c r="K3" s="62"/>
      <c r="L3" s="62"/>
      <c r="M3" s="62"/>
      <c r="N3" s="62"/>
      <c r="O3" s="62"/>
      <c r="P3" s="62"/>
      <c r="Q3" s="62"/>
      <c r="R3" s="62"/>
      <c r="S3" s="62"/>
      <c r="T3" s="62"/>
      <c r="U3" s="62"/>
      <c r="V3" s="62"/>
      <c r="W3" s="62"/>
      <c r="X3" s="62"/>
    </row>
    <row r="4" spans="1:27" ht="15" x14ac:dyDescent="0.25">
      <c r="A4" s="2"/>
      <c r="B4" s="3"/>
      <c r="C4" s="3"/>
      <c r="D4" s="3"/>
      <c r="E4" s="3"/>
      <c r="F4" s="3"/>
      <c r="G4" s="3"/>
      <c r="H4" s="3"/>
      <c r="I4" s="3"/>
      <c r="J4" s="3"/>
      <c r="K4" s="3"/>
      <c r="L4" s="3"/>
      <c r="M4" s="3"/>
      <c r="N4" s="3"/>
      <c r="O4" s="3"/>
      <c r="P4" s="3"/>
      <c r="Q4" s="3"/>
      <c r="R4" s="3"/>
      <c r="S4" s="3"/>
      <c r="T4" s="3"/>
      <c r="U4" s="3"/>
      <c r="V4" s="3"/>
      <c r="W4" s="3"/>
    </row>
    <row r="5" spans="1:27" ht="25.9" customHeight="1" x14ac:dyDescent="0.25">
      <c r="A5" s="78" t="s">
        <v>2</v>
      </c>
      <c r="B5" s="63" t="s">
        <v>3</v>
      </c>
      <c r="C5" s="63"/>
      <c r="D5" s="63"/>
      <c r="E5" s="63"/>
      <c r="F5" s="63"/>
      <c r="G5" s="63"/>
      <c r="H5" s="63"/>
      <c r="I5" s="63"/>
      <c r="J5" s="63"/>
      <c r="K5" s="63"/>
      <c r="L5" s="64"/>
      <c r="M5" s="65" t="s">
        <v>4</v>
      </c>
      <c r="N5" s="66"/>
      <c r="O5" s="66"/>
      <c r="P5" s="66"/>
      <c r="Q5" s="66"/>
      <c r="R5" s="66"/>
      <c r="S5" s="66"/>
      <c r="T5" s="66"/>
      <c r="U5" s="66"/>
      <c r="V5" s="67"/>
      <c r="W5" s="4" t="s">
        <v>84</v>
      </c>
      <c r="X5" s="68" t="s">
        <v>5</v>
      </c>
    </row>
    <row r="6" spans="1:27" s="6" customFormat="1" ht="51" customHeight="1" x14ac:dyDescent="0.25">
      <c r="A6" s="79"/>
      <c r="B6" s="71" t="s">
        <v>6</v>
      </c>
      <c r="C6" s="71"/>
      <c r="D6" s="71"/>
      <c r="E6" s="71"/>
      <c r="F6" s="71"/>
      <c r="G6" s="71"/>
      <c r="H6" s="71"/>
      <c r="I6" s="71"/>
      <c r="J6" s="71"/>
      <c r="K6" s="71"/>
      <c r="L6" s="72"/>
      <c r="M6" s="73" t="s">
        <v>7</v>
      </c>
      <c r="N6" s="74"/>
      <c r="O6" s="74"/>
      <c r="P6" s="74"/>
      <c r="Q6" s="74"/>
      <c r="R6" s="74"/>
      <c r="S6" s="74"/>
      <c r="T6" s="74"/>
      <c r="U6" s="74"/>
      <c r="V6" s="75"/>
      <c r="W6" s="5" t="s">
        <v>85</v>
      </c>
      <c r="X6" s="69"/>
    </row>
    <row r="7" spans="1:27" ht="18.75" customHeight="1" x14ac:dyDescent="0.25">
      <c r="A7" s="80"/>
      <c r="B7" s="7">
        <v>2011</v>
      </c>
      <c r="C7" s="7">
        <v>2012</v>
      </c>
      <c r="D7" s="7">
        <v>2013</v>
      </c>
      <c r="E7" s="7">
        <v>2014</v>
      </c>
      <c r="F7" s="45">
        <v>2015</v>
      </c>
      <c r="G7" s="7">
        <v>2016</v>
      </c>
      <c r="H7" s="7">
        <v>2017</v>
      </c>
      <c r="I7" s="7">
        <v>2018</v>
      </c>
      <c r="J7" s="7" t="s">
        <v>8</v>
      </c>
      <c r="K7" s="7">
        <v>2020</v>
      </c>
      <c r="L7" s="52">
        <v>2021</v>
      </c>
      <c r="M7" s="54">
        <v>2012</v>
      </c>
      <c r="N7" s="7">
        <v>2013</v>
      </c>
      <c r="O7" s="7">
        <v>2014</v>
      </c>
      <c r="P7" s="7">
        <v>2015</v>
      </c>
      <c r="Q7" s="7">
        <v>2016</v>
      </c>
      <c r="R7" s="7">
        <v>2017</v>
      </c>
      <c r="S7" s="7">
        <v>2018</v>
      </c>
      <c r="T7" s="7">
        <v>2019</v>
      </c>
      <c r="U7" s="7">
        <v>2020</v>
      </c>
      <c r="V7" s="52">
        <v>2021</v>
      </c>
      <c r="W7" s="44">
        <v>2020</v>
      </c>
      <c r="X7" s="70"/>
    </row>
    <row r="8" spans="1:27" ht="19.5" customHeight="1" x14ac:dyDescent="0.25">
      <c r="A8" s="8" t="s">
        <v>9</v>
      </c>
      <c r="B8" s="9">
        <v>337494704.2076</v>
      </c>
      <c r="C8" s="9">
        <v>299914418.10500002</v>
      </c>
      <c r="D8" s="9">
        <v>350246279.87499994</v>
      </c>
      <c r="E8" s="9">
        <v>431977863.3118999</v>
      </c>
      <c r="F8" s="9">
        <v>496698013.88999999</v>
      </c>
      <c r="G8" s="9">
        <v>537482907.12529993</v>
      </c>
      <c r="H8" s="10">
        <v>707769590.08371425</v>
      </c>
      <c r="I8" s="10">
        <v>643250528.51762462</v>
      </c>
      <c r="J8" s="10">
        <v>731095991.43890047</v>
      </c>
      <c r="K8" s="10">
        <v>283339591.02079999</v>
      </c>
      <c r="L8" s="58">
        <v>473428443.87150002</v>
      </c>
      <c r="M8" s="55">
        <f>(C8/$C$37)*100</f>
        <v>4.1933328367356175</v>
      </c>
      <c r="N8" s="11">
        <f>(D8/$D$37)*100</f>
        <v>3.8990700171998918</v>
      </c>
      <c r="O8" s="11">
        <f>(E8/$E$37)*100</f>
        <v>3.7571793063672669</v>
      </c>
      <c r="P8" s="11">
        <f>(F8/$F$37)*100</f>
        <v>3.8048039171468782</v>
      </c>
      <c r="Q8" s="11">
        <f>(G8/$G$37)*100</f>
        <v>3.6993125258994968</v>
      </c>
      <c r="R8" s="11">
        <f>(H8/$H$37)*100</f>
        <v>4.6600778705543657</v>
      </c>
      <c r="S8" s="11">
        <f>(I8/$I$37)*100</f>
        <v>3.950162649240764</v>
      </c>
      <c r="T8" s="11">
        <f>(J8/$J$37)*100</f>
        <v>4.3669723097368855</v>
      </c>
      <c r="U8" s="11">
        <f t="shared" ref="U8:U37" si="0">(K8/$K$37)*100</f>
        <v>2.7192813090784904</v>
      </c>
      <c r="V8" s="59">
        <f>(L8/$L$37)*100</f>
        <v>3.0228803453907043</v>
      </c>
      <c r="W8" s="86">
        <f>((L8/K8)-1)*100</f>
        <v>67.088701640973852</v>
      </c>
      <c r="X8" s="12" t="s">
        <v>10</v>
      </c>
      <c r="AA8" s="13"/>
    </row>
    <row r="9" spans="1:27" ht="19.5" customHeight="1" x14ac:dyDescent="0.25">
      <c r="A9" s="8" t="s">
        <v>11</v>
      </c>
      <c r="B9" s="9"/>
      <c r="C9" s="9"/>
      <c r="D9" s="9">
        <v>0</v>
      </c>
      <c r="E9" s="9">
        <v>0</v>
      </c>
      <c r="F9" s="9">
        <v>0</v>
      </c>
      <c r="G9" s="9">
        <v>0</v>
      </c>
      <c r="H9" s="10">
        <v>328474085.79999995</v>
      </c>
      <c r="I9" s="10">
        <v>647005652.04000008</v>
      </c>
      <c r="J9" s="10">
        <v>733697538.34759951</v>
      </c>
      <c r="K9" s="10">
        <v>285888291.4224</v>
      </c>
      <c r="L9" s="58">
        <v>483012009.42840004</v>
      </c>
      <c r="M9" s="55"/>
      <c r="N9" s="11">
        <f>(D9/$D$37)*100</f>
        <v>0</v>
      </c>
      <c r="O9" s="11">
        <f>(E9/$E$37)*100</f>
        <v>0</v>
      </c>
      <c r="P9" s="11">
        <f>(F9/$F$37)*100</f>
        <v>0</v>
      </c>
      <c r="Q9" s="11">
        <f>(G9/$G$37)*100</f>
        <v>0</v>
      </c>
      <c r="R9" s="11">
        <f>(H9/$H$37)*100</f>
        <v>2.1627304135885588</v>
      </c>
      <c r="S9" s="11">
        <f>(I9/$I$37)*100</f>
        <v>3.9732226360169216</v>
      </c>
      <c r="T9" s="11">
        <f>(J9/$J$37)*100</f>
        <v>4.3825118332000219</v>
      </c>
      <c r="U9" s="11">
        <f t="shared" si="0"/>
        <v>2.7437418277781274</v>
      </c>
      <c r="V9" s="59">
        <f t="shared" ref="V9:V35" si="1">(L9/$L$37)*100</f>
        <v>3.0840722157477365</v>
      </c>
      <c r="W9" s="86">
        <f t="shared" ref="W9:W34" si="2">((L9/K9)-1)*100</f>
        <v>68.951308577639409</v>
      </c>
      <c r="X9" s="12" t="s">
        <v>12</v>
      </c>
      <c r="AA9" s="13"/>
    </row>
    <row r="10" spans="1:27" ht="19.5" customHeight="1" x14ac:dyDescent="0.25">
      <c r="A10" s="14" t="s">
        <v>13</v>
      </c>
      <c r="B10" s="9">
        <v>229856988.79999998</v>
      </c>
      <c r="C10" s="9">
        <v>313152517.39999998</v>
      </c>
      <c r="D10" s="9">
        <v>355036694.05000001</v>
      </c>
      <c r="E10" s="9">
        <v>482197189.75</v>
      </c>
      <c r="F10" s="9">
        <v>512725167.70999998</v>
      </c>
      <c r="G10" s="9">
        <v>491669611.60000002</v>
      </c>
      <c r="H10" s="10">
        <v>649894826.80999994</v>
      </c>
      <c r="I10" s="10">
        <v>564102077.25</v>
      </c>
      <c r="J10" s="10">
        <v>613969839.03999996</v>
      </c>
      <c r="K10" s="10">
        <v>953699643.38</v>
      </c>
      <c r="L10" s="58">
        <v>675071083.45000005</v>
      </c>
      <c r="M10" s="55">
        <f>(C10/$C$37)*100</f>
        <v>4.3784248267120889</v>
      </c>
      <c r="N10" s="11">
        <f>(D10/$D$37)*100</f>
        <v>3.9523986643631916</v>
      </c>
      <c r="O10" s="11">
        <f>(E10/$E$37)*100</f>
        <v>4.1939679247152819</v>
      </c>
      <c r="P10" s="11">
        <f>(F10/$F$37)*100</f>
        <v>3.9275750495648882</v>
      </c>
      <c r="Q10" s="11">
        <f>(G12/$G$37)*100</f>
        <v>18.872356337395242</v>
      </c>
      <c r="R10" s="11">
        <f>(H10/$H$37)*100</f>
        <v>4.2790203804133888</v>
      </c>
      <c r="S10" s="11">
        <f>(I10/$I$37)*100</f>
        <v>3.4641167898411207</v>
      </c>
      <c r="T10" s="11">
        <f>(J10/$J$37)*100</f>
        <v>3.667356020957429</v>
      </c>
      <c r="U10" s="11">
        <f t="shared" si="0"/>
        <v>9.1528953132697772</v>
      </c>
      <c r="V10" s="59">
        <f t="shared" si="1"/>
        <v>4.3103855214421749</v>
      </c>
      <c r="W10" s="86">
        <f t="shared" si="2"/>
        <v>-29.215546200952168</v>
      </c>
      <c r="X10" s="12" t="s">
        <v>14</v>
      </c>
      <c r="Z10" s="15"/>
      <c r="AA10" s="13"/>
    </row>
    <row r="11" spans="1:27" ht="19.5" customHeight="1" x14ac:dyDescent="0.25">
      <c r="A11" s="16" t="s">
        <v>15</v>
      </c>
      <c r="B11" s="9">
        <v>29029741.73</v>
      </c>
      <c r="C11" s="9">
        <v>28598365.850000001</v>
      </c>
      <c r="D11" s="9">
        <v>27710614</v>
      </c>
      <c r="E11" s="9">
        <v>28174257</v>
      </c>
      <c r="F11" s="9">
        <v>32214675.300000001</v>
      </c>
      <c r="G11" s="9">
        <v>32630796.459999997</v>
      </c>
      <c r="H11" s="10">
        <v>41210716.772399999</v>
      </c>
      <c r="I11" s="10">
        <v>47127612.236099996</v>
      </c>
      <c r="J11" s="10">
        <v>46866204.730000004</v>
      </c>
      <c r="K11" s="10">
        <v>38389556.316399999</v>
      </c>
      <c r="L11" s="58">
        <v>50816344.688700005</v>
      </c>
      <c r="M11" s="55">
        <f>(C11/$C$37)*100</f>
        <v>0.39985562332584712</v>
      </c>
      <c r="N11" s="11">
        <f>(D11/$D$37)*100</f>
        <v>0.30848471608081079</v>
      </c>
      <c r="O11" s="11">
        <f>(E11/$E$37)*100</f>
        <v>0.24504898135542275</v>
      </c>
      <c r="P11" s="11">
        <f>(F11/$F$37)*100</f>
        <v>0.2467707124719842</v>
      </c>
      <c r="Q11" s="11">
        <f>(G11/$G$37)*100</f>
        <v>0.22458670308266052</v>
      </c>
      <c r="R11" s="11">
        <f>(H11/$H$37)*100</f>
        <v>0.27133851461183855</v>
      </c>
      <c r="S11" s="11">
        <f>(I11/$I$37)*100</f>
        <v>0.28940782066974008</v>
      </c>
      <c r="T11" s="11">
        <f>(J11/$J$37)*100</f>
        <v>0.27994055598029371</v>
      </c>
      <c r="U11" s="11">
        <f t="shared" si="0"/>
        <v>0.36843422614857657</v>
      </c>
      <c r="V11" s="59">
        <f t="shared" si="1"/>
        <v>0.32446662546909516</v>
      </c>
      <c r="W11" s="86">
        <f t="shared" si="2"/>
        <v>32.370231814821167</v>
      </c>
      <c r="X11" s="12" t="s">
        <v>16</v>
      </c>
      <c r="Z11" s="17"/>
      <c r="AA11" s="13"/>
    </row>
    <row r="12" spans="1:27" ht="30.75" customHeight="1" x14ac:dyDescent="0.25">
      <c r="A12" s="16" t="s">
        <v>17</v>
      </c>
      <c r="B12" s="9">
        <v>35069424.219999999</v>
      </c>
      <c r="C12" s="9">
        <v>1401117904.5887001</v>
      </c>
      <c r="D12" s="9">
        <v>1881814670.0172997</v>
      </c>
      <c r="E12" s="9">
        <v>2475402851.9278002</v>
      </c>
      <c r="F12" s="9">
        <v>2676515345.3940001</v>
      </c>
      <c r="G12" s="9">
        <v>2742014597.9856997</v>
      </c>
      <c r="H12" s="10">
        <v>2675941922.0164604</v>
      </c>
      <c r="I12" s="10">
        <v>2710318425.4878001</v>
      </c>
      <c r="J12" s="10">
        <v>2898887911.6715889</v>
      </c>
      <c r="K12" s="10">
        <v>2618266107.3859005</v>
      </c>
      <c r="L12" s="58">
        <v>1913005872.4241996</v>
      </c>
      <c r="M12" s="55">
        <f>(C12/$C$37)*100</f>
        <v>19.590100918032675</v>
      </c>
      <c r="N12" s="11">
        <f>(D12/$D$37)*100</f>
        <v>20.949050937557406</v>
      </c>
      <c r="O12" s="11">
        <f>(E12/$E$37)*100</f>
        <v>21.53011336942145</v>
      </c>
      <c r="P12" s="11">
        <f>(F12/$F$37)*100</f>
        <v>20.502630946122753</v>
      </c>
      <c r="Q12" s="11">
        <f>(G12/$G$37)*100</f>
        <v>18.872356337395242</v>
      </c>
      <c r="R12" s="11">
        <f>(H12/$H$37)*100</f>
        <v>17.618866236118841</v>
      </c>
      <c r="S12" s="11">
        <f>(I12/$I$37)*100</f>
        <v>16.643901772740794</v>
      </c>
      <c r="T12" s="11">
        <f>(J12/$J$37)*100</f>
        <v>17.315596566718135</v>
      </c>
      <c r="U12" s="11">
        <f t="shared" si="0"/>
        <v>25.128158272401507</v>
      </c>
      <c r="V12" s="59">
        <f t="shared" si="1"/>
        <v>12.214703039553108</v>
      </c>
      <c r="W12" s="86">
        <f t="shared" si="2"/>
        <v>-26.936155686094065</v>
      </c>
      <c r="X12" s="18" t="s">
        <v>18</v>
      </c>
      <c r="AA12" s="13"/>
    </row>
    <row r="13" spans="1:27" ht="22.5" customHeight="1" x14ac:dyDescent="0.25">
      <c r="A13" s="16" t="s">
        <v>79</v>
      </c>
      <c r="B13" s="9"/>
      <c r="C13" s="9"/>
      <c r="D13" s="9"/>
      <c r="E13" s="9"/>
      <c r="F13" s="9"/>
      <c r="G13" s="9">
        <v>0</v>
      </c>
      <c r="H13" s="9">
        <v>0</v>
      </c>
      <c r="I13" s="9">
        <v>0</v>
      </c>
      <c r="J13" s="9">
        <v>0</v>
      </c>
      <c r="K13" s="10">
        <v>83037036.150000006</v>
      </c>
      <c r="L13" s="58">
        <v>219203990.10370001</v>
      </c>
      <c r="M13" s="55"/>
      <c r="N13" s="11"/>
      <c r="O13" s="11"/>
      <c r="P13" s="11"/>
      <c r="Q13" s="9">
        <v>0</v>
      </c>
      <c r="R13" s="9">
        <v>0</v>
      </c>
      <c r="S13" s="9">
        <v>0</v>
      </c>
      <c r="T13" s="9">
        <v>0</v>
      </c>
      <c r="U13" s="11">
        <f t="shared" si="0"/>
        <v>0.79692731803016492</v>
      </c>
      <c r="V13" s="59">
        <f t="shared" si="1"/>
        <v>1.3996358729462957</v>
      </c>
      <c r="W13" s="85" t="s">
        <v>91</v>
      </c>
      <c r="X13" s="19" t="s">
        <v>19</v>
      </c>
      <c r="AA13" s="13"/>
    </row>
    <row r="14" spans="1:27" ht="22.5" customHeight="1" x14ac:dyDescent="0.25">
      <c r="A14" s="16" t="s">
        <v>80</v>
      </c>
      <c r="B14" s="9"/>
      <c r="C14" s="9"/>
      <c r="D14" s="9"/>
      <c r="E14" s="9"/>
      <c r="F14" s="9"/>
      <c r="G14" s="9">
        <v>0</v>
      </c>
      <c r="H14" s="9">
        <v>0</v>
      </c>
      <c r="I14" s="9">
        <v>0</v>
      </c>
      <c r="J14" s="9">
        <v>0</v>
      </c>
      <c r="K14" s="10">
        <v>28179.579999999998</v>
      </c>
      <c r="L14" s="58">
        <v>3092732.96</v>
      </c>
      <c r="M14" s="55"/>
      <c r="N14" s="11"/>
      <c r="O14" s="11"/>
      <c r="P14" s="11"/>
      <c r="Q14" s="9">
        <v>0</v>
      </c>
      <c r="R14" s="9">
        <v>0</v>
      </c>
      <c r="S14" s="9">
        <v>0</v>
      </c>
      <c r="T14" s="9">
        <v>0</v>
      </c>
      <c r="U14" s="11">
        <f>(K14/$K$37)*100</f>
        <v>2.7044651584203335E-4</v>
      </c>
      <c r="V14" s="59">
        <f t="shared" si="1"/>
        <v>1.9747359499302813E-2</v>
      </c>
      <c r="W14" s="85" t="s">
        <v>91</v>
      </c>
      <c r="X14" s="19" t="s">
        <v>20</v>
      </c>
      <c r="AA14" s="13"/>
    </row>
    <row r="15" spans="1:27" ht="19.5" customHeight="1" x14ac:dyDescent="0.25">
      <c r="A15" s="14" t="s">
        <v>21</v>
      </c>
      <c r="B15" s="9"/>
      <c r="C15" s="9"/>
      <c r="D15" s="9">
        <v>0</v>
      </c>
      <c r="E15" s="9">
        <v>0</v>
      </c>
      <c r="F15" s="9">
        <v>0</v>
      </c>
      <c r="G15" s="9">
        <v>0</v>
      </c>
      <c r="H15" s="10">
        <v>65344950</v>
      </c>
      <c r="I15" s="10">
        <v>105197100</v>
      </c>
      <c r="J15" s="10">
        <v>33813250</v>
      </c>
      <c r="K15" s="10">
        <v>0</v>
      </c>
      <c r="L15" s="58">
        <v>0</v>
      </c>
      <c r="M15" s="55"/>
      <c r="N15" s="11">
        <f>(D15/$D$37)*100</f>
        <v>0</v>
      </c>
      <c r="O15" s="11">
        <f>(E15/$E$37)*100</f>
        <v>0</v>
      </c>
      <c r="P15" s="11">
        <f>(F15/$F$37)*100</f>
        <v>0</v>
      </c>
      <c r="Q15" s="11">
        <f t="shared" ref="Q15:Q37" si="3">(G15/$G$37)*100</f>
        <v>0</v>
      </c>
      <c r="R15" s="11">
        <f t="shared" ref="R15:R37" si="4">(H15/$H$37)*100</f>
        <v>0.43024249658912878</v>
      </c>
      <c r="S15" s="11">
        <f t="shared" ref="S15:S37" si="5">(I15/$I$37)*100</f>
        <v>0.64600903816756039</v>
      </c>
      <c r="T15" s="11">
        <f t="shared" ref="T15:T37" si="6">(J15/$J$37)*100</f>
        <v>0.20197283008157649</v>
      </c>
      <c r="U15" s="11">
        <f t="shared" si="0"/>
        <v>0</v>
      </c>
      <c r="V15" s="59">
        <f t="shared" si="1"/>
        <v>0</v>
      </c>
      <c r="W15" s="86" t="s">
        <v>88</v>
      </c>
      <c r="X15" s="18" t="s">
        <v>22</v>
      </c>
      <c r="AA15" s="13"/>
    </row>
    <row r="16" spans="1:27" ht="19.5" customHeight="1" x14ac:dyDescent="0.25">
      <c r="A16" s="14" t="s">
        <v>23</v>
      </c>
      <c r="B16" s="9"/>
      <c r="C16" s="9"/>
      <c r="D16" s="9">
        <v>0</v>
      </c>
      <c r="E16" s="9">
        <v>0</v>
      </c>
      <c r="F16" s="9">
        <v>0</v>
      </c>
      <c r="G16" s="9">
        <v>0</v>
      </c>
      <c r="H16" s="10">
        <v>12971000</v>
      </c>
      <c r="I16" s="10">
        <v>7680000</v>
      </c>
      <c r="J16" s="10">
        <v>43975220</v>
      </c>
      <c r="K16" s="10">
        <v>21566315</v>
      </c>
      <c r="L16" s="58">
        <v>6232955</v>
      </c>
      <c r="M16" s="55"/>
      <c r="N16" s="11">
        <f>(D16/$D$37)*100</f>
        <v>0</v>
      </c>
      <c r="O16" s="11">
        <f>(E16/$E$37)*100</f>
        <v>0</v>
      </c>
      <c r="P16" s="11">
        <f>(F16/$F$37)*100</f>
        <v>0</v>
      </c>
      <c r="Q16" s="11">
        <f t="shared" si="3"/>
        <v>0</v>
      </c>
      <c r="R16" s="11">
        <f t="shared" si="4"/>
        <v>8.5403316143903854E-2</v>
      </c>
      <c r="S16" s="11">
        <f t="shared" si="5"/>
        <v>4.7162416198990885E-2</v>
      </c>
      <c r="T16" s="11">
        <f t="shared" si="6"/>
        <v>0.26267216658735681</v>
      </c>
      <c r="U16" s="11">
        <f t="shared" si="0"/>
        <v>0.20697734853755032</v>
      </c>
      <c r="V16" s="59">
        <f t="shared" si="1"/>
        <v>3.9797940759805195E-2</v>
      </c>
      <c r="W16" s="86">
        <f t="shared" si="2"/>
        <v>-71.098655472666522</v>
      </c>
      <c r="X16" s="18" t="s">
        <v>24</v>
      </c>
      <c r="AA16" s="13"/>
    </row>
    <row r="17" spans="1:27" ht="19.5" customHeight="1" x14ac:dyDescent="0.25">
      <c r="A17" s="16" t="s">
        <v>25</v>
      </c>
      <c r="B17" s="9">
        <v>44654557.465700001</v>
      </c>
      <c r="C17" s="9">
        <v>51539663.522400007</v>
      </c>
      <c r="D17" s="9">
        <v>54796856.450100005</v>
      </c>
      <c r="E17" s="9">
        <v>116054694.13689999</v>
      </c>
      <c r="F17" s="9">
        <v>257569888.39209995</v>
      </c>
      <c r="G17" s="9">
        <v>270265257.52340001</v>
      </c>
      <c r="H17" s="10">
        <v>195626549.71080002</v>
      </c>
      <c r="I17" s="10">
        <v>226467336.32799998</v>
      </c>
      <c r="J17" s="10">
        <v>197358978.90477699</v>
      </c>
      <c r="K17" s="10">
        <v>129047369.70370001</v>
      </c>
      <c r="L17" s="58">
        <v>183711322.33340001</v>
      </c>
      <c r="M17" s="55">
        <f>(C17/$C$37)*100</f>
        <v>0.7206154502619484</v>
      </c>
      <c r="N17" s="11">
        <f>(D17/$D$37)*100</f>
        <v>0.61001869912121209</v>
      </c>
      <c r="O17" s="11">
        <f>(E17/$E$37)*100</f>
        <v>1.0093996295896108</v>
      </c>
      <c r="P17" s="11">
        <f>(F17/$F$37)*100</f>
        <v>1.9730357136285632</v>
      </c>
      <c r="Q17" s="11">
        <f t="shared" si="3"/>
        <v>1.8601440887099518</v>
      </c>
      <c r="R17" s="11">
        <f t="shared" si="4"/>
        <v>1.2880391697704554</v>
      </c>
      <c r="S17" s="11">
        <f t="shared" si="5"/>
        <v>1.3907222358565083</v>
      </c>
      <c r="T17" s="11">
        <f t="shared" si="6"/>
        <v>1.1788618814047145</v>
      </c>
      <c r="U17" s="11">
        <f t="shared" si="0"/>
        <v>1.2385000597930997</v>
      </c>
      <c r="V17" s="59">
        <f t="shared" si="1"/>
        <v>1.1730122106015735</v>
      </c>
      <c r="W17" s="86">
        <f t="shared" si="2"/>
        <v>42.35960233456251</v>
      </c>
      <c r="X17" s="12" t="s">
        <v>26</v>
      </c>
      <c r="AA17" s="13"/>
    </row>
    <row r="18" spans="1:27" ht="19.5" customHeight="1" x14ac:dyDescent="0.25">
      <c r="A18" s="14" t="s">
        <v>27</v>
      </c>
      <c r="B18" s="9">
        <v>923334858.34319997</v>
      </c>
      <c r="C18" s="9">
        <v>2572005117.2307997</v>
      </c>
      <c r="D18" s="9">
        <v>3654632712.6659002</v>
      </c>
      <c r="E18" s="9">
        <v>4542200766.8251991</v>
      </c>
      <c r="F18" s="9">
        <v>6052938369.3200006</v>
      </c>
      <c r="G18" s="9">
        <v>6276877706.3801994</v>
      </c>
      <c r="H18" s="10">
        <v>6851347959.9054794</v>
      </c>
      <c r="I18" s="10">
        <v>7690004507.1075993</v>
      </c>
      <c r="J18" s="10">
        <v>7748561111.9536209</v>
      </c>
      <c r="K18" s="10">
        <v>4306485317.9263</v>
      </c>
      <c r="L18" s="58">
        <v>7827971230.287899</v>
      </c>
      <c r="M18" s="55">
        <f>(C18/$C$37)*100</f>
        <v>35.961170464835831</v>
      </c>
      <c r="N18" s="11">
        <f>(D18/$D$37)*100</f>
        <v>40.684711451950641</v>
      </c>
      <c r="O18" s="11">
        <f>(E18/$E$37)*100</f>
        <v>39.506336263715319</v>
      </c>
      <c r="P18" s="11">
        <f>(F18/$F$37)*100</f>
        <v>46.366691578794423</v>
      </c>
      <c r="Q18" s="11">
        <f t="shared" si="3"/>
        <v>43.201620023496702</v>
      </c>
      <c r="R18" s="11">
        <f t="shared" si="4"/>
        <v>45.110464561845532</v>
      </c>
      <c r="S18" s="11">
        <f t="shared" si="5"/>
        <v>47.223853272958905</v>
      </c>
      <c r="T18" s="11">
        <f t="shared" si="6"/>
        <v>46.283596425700573</v>
      </c>
      <c r="U18" s="11">
        <f t="shared" si="0"/>
        <v>41.330422588201785</v>
      </c>
      <c r="V18" s="59">
        <f t="shared" si="1"/>
        <v>49.982253247850686</v>
      </c>
      <c r="W18" s="86">
        <f t="shared" si="2"/>
        <v>81.771692050196009</v>
      </c>
      <c r="X18" s="12" t="s">
        <v>28</v>
      </c>
      <c r="AA18" s="13"/>
    </row>
    <row r="19" spans="1:27" ht="19.5" customHeight="1" x14ac:dyDescent="0.25">
      <c r="A19" s="20" t="s">
        <v>29</v>
      </c>
      <c r="B19" s="9">
        <v>0</v>
      </c>
      <c r="C19" s="9">
        <v>0</v>
      </c>
      <c r="D19" s="9">
        <v>0</v>
      </c>
      <c r="E19" s="9">
        <v>0</v>
      </c>
      <c r="F19" s="9">
        <v>45483359.280000009</v>
      </c>
      <c r="G19" s="9">
        <v>633548360.1105001</v>
      </c>
      <c r="H19" s="10">
        <v>693830414.08589995</v>
      </c>
      <c r="I19" s="10">
        <v>810525817.88999999</v>
      </c>
      <c r="J19" s="10">
        <v>850615153.91795635</v>
      </c>
      <c r="K19" s="10">
        <v>351898223.08999997</v>
      </c>
      <c r="L19" s="58">
        <v>802112616.45300007</v>
      </c>
      <c r="M19" s="55">
        <f>(C19/$C$37)*100</f>
        <v>0</v>
      </c>
      <c r="N19" s="11">
        <f>(D19/$D$37)*100</f>
        <v>0</v>
      </c>
      <c r="O19" s="11">
        <f>(E19/$E$37)*100</f>
        <v>0</v>
      </c>
      <c r="P19" s="11">
        <f>(F19/$F$37)*100</f>
        <v>0.34841142648874801</v>
      </c>
      <c r="Q19" s="11">
        <f t="shared" si="3"/>
        <v>4.3604984516716687</v>
      </c>
      <c r="R19" s="11">
        <f t="shared" si="4"/>
        <v>4.5682999155372626</v>
      </c>
      <c r="S19" s="11">
        <f t="shared" si="5"/>
        <v>4.9773900993952704</v>
      </c>
      <c r="T19" s="11">
        <f t="shared" si="6"/>
        <v>5.0808824927235747</v>
      </c>
      <c r="U19" s="11">
        <f t="shared" si="0"/>
        <v>3.3772557421257905</v>
      </c>
      <c r="V19" s="59">
        <f t="shared" si="1"/>
        <v>5.1215563713020291</v>
      </c>
      <c r="W19" s="86" t="s">
        <v>88</v>
      </c>
      <c r="X19" s="18" t="s">
        <v>1</v>
      </c>
      <c r="AA19" s="13"/>
    </row>
    <row r="20" spans="1:27" ht="19.5" customHeight="1" x14ac:dyDescent="0.25">
      <c r="A20" s="20" t="s">
        <v>30</v>
      </c>
      <c r="B20" s="9">
        <v>0</v>
      </c>
      <c r="C20" s="9">
        <v>0</v>
      </c>
      <c r="D20" s="9">
        <v>0</v>
      </c>
      <c r="E20" s="9">
        <v>0</v>
      </c>
      <c r="F20" s="9">
        <v>0</v>
      </c>
      <c r="G20" s="9">
        <v>14583885.27</v>
      </c>
      <c r="H20" s="10">
        <v>114217777.93000001</v>
      </c>
      <c r="I20" s="10">
        <v>101829058.88500001</v>
      </c>
      <c r="J20" s="10">
        <v>102523494</v>
      </c>
      <c r="K20" s="10">
        <v>8970164</v>
      </c>
      <c r="L20" s="58">
        <v>101221.35</v>
      </c>
      <c r="M20" s="55"/>
      <c r="N20" s="11" t="s">
        <v>0</v>
      </c>
      <c r="O20" s="11" t="s">
        <v>0</v>
      </c>
      <c r="P20" s="11" t="s">
        <v>0</v>
      </c>
      <c r="Q20" s="11">
        <f t="shared" si="3"/>
        <v>0.10037593519790773</v>
      </c>
      <c r="R20" s="11">
        <f t="shared" si="4"/>
        <v>0.75202968142857096</v>
      </c>
      <c r="S20" s="11">
        <f t="shared" si="5"/>
        <v>0.62532610107889597</v>
      </c>
      <c r="T20" s="11">
        <f t="shared" si="6"/>
        <v>0.61239189468718702</v>
      </c>
      <c r="U20" s="11">
        <f t="shared" si="0"/>
        <v>8.6088919718875778E-2</v>
      </c>
      <c r="V20" s="59">
        <f t="shared" si="1"/>
        <v>6.4630681449288625E-4</v>
      </c>
      <c r="W20" s="86">
        <f t="shared" si="2"/>
        <v>-98.871577487323535</v>
      </c>
      <c r="X20" s="18" t="s">
        <v>31</v>
      </c>
      <c r="AA20" s="13"/>
    </row>
    <row r="21" spans="1:27" ht="19.5" customHeight="1" x14ac:dyDescent="0.25">
      <c r="A21" s="16" t="s">
        <v>32</v>
      </c>
      <c r="B21" s="9">
        <v>91658196.929999992</v>
      </c>
      <c r="C21" s="9">
        <v>89591327.080000013</v>
      </c>
      <c r="D21" s="9">
        <v>95183780.023000002</v>
      </c>
      <c r="E21" s="9">
        <v>107989839.28320001</v>
      </c>
      <c r="F21" s="9">
        <v>109410607.41999999</v>
      </c>
      <c r="G21" s="9">
        <v>131238101.505</v>
      </c>
      <c r="H21" s="10">
        <v>145152134.95160002</v>
      </c>
      <c r="I21" s="10">
        <v>142119175.0176</v>
      </c>
      <c r="J21" s="10">
        <v>131065210.64999993</v>
      </c>
      <c r="K21" s="10">
        <v>67761362.219999999</v>
      </c>
      <c r="L21" s="58">
        <v>109484367.59999999</v>
      </c>
      <c r="M21" s="55">
        <f>(C21/$C$37)*100</f>
        <v>1.2526448581733647</v>
      </c>
      <c r="N21" s="11">
        <f>(D21/$D$37)*100</f>
        <v>1.0596207415647125</v>
      </c>
      <c r="O21" s="11">
        <f>(E21/$E$37)*100</f>
        <v>0.93925458666342043</v>
      </c>
      <c r="P21" s="11">
        <f t="shared" ref="P21:P34" si="7">(F21/$F$37)*100</f>
        <v>0.83810664840151139</v>
      </c>
      <c r="Q21" s="11">
        <f t="shared" si="3"/>
        <v>0.9032673343406189</v>
      </c>
      <c r="R21" s="11">
        <f t="shared" si="4"/>
        <v>0.95570685916537612</v>
      </c>
      <c r="S21" s="11">
        <f t="shared" si="5"/>
        <v>0.87274527109860411</v>
      </c>
      <c r="T21" s="11">
        <f t="shared" si="6"/>
        <v>0.78287687578740484</v>
      </c>
      <c r="U21" s="11">
        <f t="shared" si="0"/>
        <v>0.65032283380763622</v>
      </c>
      <c r="V21" s="59">
        <f t="shared" si="1"/>
        <v>0.69906687532150247</v>
      </c>
      <c r="W21" s="86">
        <f t="shared" si="2"/>
        <v>61.573445416487374</v>
      </c>
      <c r="X21" s="18" t="s">
        <v>33</v>
      </c>
      <c r="Z21" s="17"/>
      <c r="AA21" s="13"/>
    </row>
    <row r="22" spans="1:27" ht="19.5" customHeight="1" x14ac:dyDescent="0.25">
      <c r="A22" s="20" t="s">
        <v>34</v>
      </c>
      <c r="B22" s="9">
        <v>0</v>
      </c>
      <c r="C22" s="9">
        <v>0</v>
      </c>
      <c r="D22" s="9">
        <v>0</v>
      </c>
      <c r="E22" s="9">
        <v>114128047.2168</v>
      </c>
      <c r="F22" s="9">
        <v>106062455.44999999</v>
      </c>
      <c r="G22" s="9">
        <v>866691371.39180005</v>
      </c>
      <c r="H22" s="10">
        <v>543512031.66699994</v>
      </c>
      <c r="I22" s="10">
        <v>322065841.04820001</v>
      </c>
      <c r="J22" s="10">
        <v>34822119.628899999</v>
      </c>
      <c r="K22" s="10">
        <v>3933797.7640999998</v>
      </c>
      <c r="L22" s="58">
        <v>28475739.920000002</v>
      </c>
      <c r="M22" s="56" t="s">
        <v>0</v>
      </c>
      <c r="N22" s="9" t="s">
        <v>0</v>
      </c>
      <c r="O22" s="9" t="s">
        <v>0</v>
      </c>
      <c r="P22" s="11">
        <f t="shared" si="7"/>
        <v>0.81245914957040022</v>
      </c>
      <c r="Q22" s="11">
        <f t="shared" si="3"/>
        <v>5.9651427120291034</v>
      </c>
      <c r="R22" s="11">
        <f t="shared" si="4"/>
        <v>3.5785775860359479</v>
      </c>
      <c r="S22" s="11">
        <f t="shared" si="5"/>
        <v>1.9777868800772462</v>
      </c>
      <c r="T22" s="11">
        <f t="shared" si="6"/>
        <v>0.2079989959819937</v>
      </c>
      <c r="U22" s="11">
        <f t="shared" si="0"/>
        <v>3.7753646410912653E-2</v>
      </c>
      <c r="V22" s="59">
        <f t="shared" si="1"/>
        <v>0.18181998914283515</v>
      </c>
      <c r="W22" s="85" t="s">
        <v>91</v>
      </c>
      <c r="X22" s="18" t="s">
        <v>35</v>
      </c>
      <c r="Z22" s="17"/>
      <c r="AA22" s="13"/>
    </row>
    <row r="23" spans="1:27" ht="19.5" customHeight="1" x14ac:dyDescent="0.25">
      <c r="A23" s="14" t="s">
        <v>36</v>
      </c>
      <c r="B23" s="9">
        <v>7338828.0599999996</v>
      </c>
      <c r="C23" s="9">
        <v>16626055.370000001</v>
      </c>
      <c r="D23" s="9">
        <v>20650873.640000001</v>
      </c>
      <c r="E23" s="9">
        <v>28491864.500000004</v>
      </c>
      <c r="F23" s="9">
        <v>29136730.280000005</v>
      </c>
      <c r="G23" s="9">
        <v>23143294.260000002</v>
      </c>
      <c r="H23" s="10">
        <v>93789092.709999979</v>
      </c>
      <c r="I23" s="10">
        <v>39352638.640000001</v>
      </c>
      <c r="J23" s="10">
        <v>26036075.540000007</v>
      </c>
      <c r="K23" s="10">
        <v>1064712.8500000001</v>
      </c>
      <c r="L23" s="58">
        <v>37500</v>
      </c>
      <c r="M23" s="55">
        <f>(C23/$C$37)*100</f>
        <v>0.23246159477400338</v>
      </c>
      <c r="N23" s="11">
        <f t="shared" ref="N23:N34" si="8">(D23/$D$37)*100</f>
        <v>0.2298930977009784</v>
      </c>
      <c r="O23" s="11">
        <f t="shared" ref="O23:O34" si="9">(E23/$E$37)*100</f>
        <v>0.24781141070168178</v>
      </c>
      <c r="P23" s="11">
        <f t="shared" si="7"/>
        <v>0.22319305171763243</v>
      </c>
      <c r="Q23" s="11">
        <f t="shared" si="3"/>
        <v>0.15928744377100204</v>
      </c>
      <c r="R23" s="11">
        <f t="shared" si="4"/>
        <v>0.61752367092452676</v>
      </c>
      <c r="S23" s="11">
        <f t="shared" si="5"/>
        <v>0.24166217735262638</v>
      </c>
      <c r="T23" s="11">
        <f t="shared" si="6"/>
        <v>0.15551832080712474</v>
      </c>
      <c r="U23" s="11">
        <f t="shared" si="0"/>
        <v>1.0218316974729275E-2</v>
      </c>
      <c r="V23" s="59">
        <f t="shared" si="1"/>
        <v>2.3944064709157932E-4</v>
      </c>
      <c r="W23" s="86">
        <f t="shared" si="2"/>
        <v>-96.477923601654652</v>
      </c>
      <c r="X23" s="18" t="s">
        <v>37</v>
      </c>
      <c r="AA23" s="13"/>
    </row>
    <row r="24" spans="1:27" ht="19.5" customHeight="1" x14ac:dyDescent="0.25">
      <c r="A24" s="16" t="s">
        <v>38</v>
      </c>
      <c r="B24" s="9">
        <v>511255000</v>
      </c>
      <c r="C24" s="9">
        <v>168705000</v>
      </c>
      <c r="D24" s="9">
        <v>0</v>
      </c>
      <c r="E24" s="9">
        <v>789362981.79999995</v>
      </c>
      <c r="F24" s="9">
        <v>1096364901.3800001</v>
      </c>
      <c r="G24" s="9">
        <v>569097504.54999995</v>
      </c>
      <c r="H24" s="10">
        <v>117413250</v>
      </c>
      <c r="I24" s="10">
        <v>76700000</v>
      </c>
      <c r="J24" s="10">
        <v>306800000</v>
      </c>
      <c r="K24" s="10">
        <v>153500000</v>
      </c>
      <c r="L24" s="58">
        <v>230200000</v>
      </c>
      <c r="M24" s="55">
        <f>(C24/$C$37)*100</f>
        <v>2.3587936208315563</v>
      </c>
      <c r="N24" s="11">
        <f t="shared" si="8"/>
        <v>0</v>
      </c>
      <c r="O24" s="11">
        <f t="shared" si="9"/>
        <v>6.8655792630048449</v>
      </c>
      <c r="P24" s="11">
        <f t="shared" si="7"/>
        <v>8.3983695419341799</v>
      </c>
      <c r="Q24" s="11">
        <f t="shared" si="3"/>
        <v>3.9169050757351296</v>
      </c>
      <c r="R24" s="11">
        <f t="shared" si="4"/>
        <v>0.77306922436459935</v>
      </c>
      <c r="S24" s="11">
        <f t="shared" si="5"/>
        <v>0.47101006802898454</v>
      </c>
      <c r="T24" s="11">
        <f t="shared" si="6"/>
        <v>1.8325734517985601</v>
      </c>
      <c r="U24" s="11">
        <f t="shared" si="0"/>
        <v>1.473178102077892</v>
      </c>
      <c r="V24" s="59">
        <f t="shared" si="1"/>
        <v>1.4698463189461748</v>
      </c>
      <c r="W24" s="86">
        <f t="shared" si="2"/>
        <v>49.967426710097726</v>
      </c>
      <c r="X24" s="12" t="s">
        <v>39</v>
      </c>
      <c r="AA24" s="13"/>
    </row>
    <row r="25" spans="1:27" ht="19.5" customHeight="1" x14ac:dyDescent="0.25">
      <c r="A25" s="14" t="s">
        <v>40</v>
      </c>
      <c r="B25" s="9"/>
      <c r="C25" s="9"/>
      <c r="D25" s="9">
        <v>0</v>
      </c>
      <c r="E25" s="9">
        <v>0</v>
      </c>
      <c r="F25" s="9">
        <v>0</v>
      </c>
      <c r="G25" s="9">
        <v>0</v>
      </c>
      <c r="H25" s="10">
        <v>2455050</v>
      </c>
      <c r="I25" s="10">
        <v>383500</v>
      </c>
      <c r="J25" s="10">
        <v>5139700</v>
      </c>
      <c r="K25" s="10">
        <v>0</v>
      </c>
      <c r="L25" s="58">
        <v>6514450</v>
      </c>
      <c r="M25" s="55"/>
      <c r="N25" s="11">
        <f t="shared" si="8"/>
        <v>0</v>
      </c>
      <c r="O25" s="11">
        <f t="shared" si="9"/>
        <v>0</v>
      </c>
      <c r="P25" s="11">
        <f t="shared" si="7"/>
        <v>0</v>
      </c>
      <c r="Q25" s="11">
        <f t="shared" si="3"/>
        <v>0</v>
      </c>
      <c r="R25" s="11">
        <f t="shared" si="4"/>
        <v>1.616447546828241E-2</v>
      </c>
      <c r="S25" s="11">
        <f t="shared" si="5"/>
        <v>2.3550503401449227E-3</v>
      </c>
      <c r="T25" s="11">
        <f t="shared" si="6"/>
        <v>3.070038386639198E-2</v>
      </c>
      <c r="U25" s="11">
        <f t="shared" si="0"/>
        <v>0</v>
      </c>
      <c r="V25" s="59">
        <f t="shared" si="1"/>
        <v>4.1595309958553033E-2</v>
      </c>
      <c r="W25" s="85" t="s">
        <v>91</v>
      </c>
      <c r="X25" s="12" t="s">
        <v>41</v>
      </c>
      <c r="AA25" s="13"/>
    </row>
    <row r="26" spans="1:27" ht="19.5" customHeight="1" x14ac:dyDescent="0.25">
      <c r="A26" s="16" t="s">
        <v>42</v>
      </c>
      <c r="B26" s="9">
        <v>87861980</v>
      </c>
      <c r="C26" s="9">
        <v>171860080</v>
      </c>
      <c r="D26" s="9">
        <v>177775270</v>
      </c>
      <c r="E26" s="9">
        <v>227539500</v>
      </c>
      <c r="F26" s="9">
        <v>248727790</v>
      </c>
      <c r="G26" s="9">
        <v>262209160</v>
      </c>
      <c r="H26" s="10">
        <v>263253500</v>
      </c>
      <c r="I26" s="10">
        <v>304371750</v>
      </c>
      <c r="J26" s="10">
        <v>319378590</v>
      </c>
      <c r="K26" s="10">
        <v>243419160</v>
      </c>
      <c r="L26" s="58">
        <v>50155620</v>
      </c>
      <c r="M26" s="55">
        <f>(C26/$C$37)*100</f>
        <v>2.4029072071343522</v>
      </c>
      <c r="N26" s="11">
        <f t="shared" si="8"/>
        <v>1.9790594929487844</v>
      </c>
      <c r="O26" s="11">
        <f t="shared" si="9"/>
        <v>1.9790521075009084</v>
      </c>
      <c r="P26" s="11">
        <f t="shared" si="7"/>
        <v>1.9053035108468737</v>
      </c>
      <c r="Q26" s="11">
        <f t="shared" si="3"/>
        <v>1.8046967022291871</v>
      </c>
      <c r="R26" s="11">
        <f t="shared" si="4"/>
        <v>1.7333067524854824</v>
      </c>
      <c r="S26" s="11">
        <f t="shared" si="5"/>
        <v>1.8691285355097922</v>
      </c>
      <c r="T26" s="11">
        <f t="shared" si="6"/>
        <v>1.9077077089532501</v>
      </c>
      <c r="U26" s="11">
        <f t="shared" si="0"/>
        <v>2.3361548934084349</v>
      </c>
      <c r="V26" s="59">
        <f t="shared" si="1"/>
        <v>0.32024784288211622</v>
      </c>
      <c r="W26" s="86">
        <f t="shared" si="2"/>
        <v>-79.395368877289698</v>
      </c>
      <c r="X26" s="12" t="s">
        <v>43</v>
      </c>
      <c r="AA26" s="13"/>
    </row>
    <row r="27" spans="1:27" ht="19.5" customHeight="1" x14ac:dyDescent="0.25">
      <c r="A27" s="14" t="s">
        <v>44</v>
      </c>
      <c r="B27" s="9">
        <v>37072935</v>
      </c>
      <c r="C27" s="9">
        <v>39918623.75</v>
      </c>
      <c r="D27" s="9">
        <v>32890380.349999998</v>
      </c>
      <c r="E27" s="9">
        <v>38065530.5</v>
      </c>
      <c r="F27" s="9">
        <v>37610881.899999999</v>
      </c>
      <c r="G27" s="9">
        <v>43317638.149999999</v>
      </c>
      <c r="H27" s="10">
        <v>44345946.150000006</v>
      </c>
      <c r="I27" s="10">
        <v>47580636.43</v>
      </c>
      <c r="J27" s="10">
        <v>17580224.899999999</v>
      </c>
      <c r="K27" s="10">
        <v>3527158</v>
      </c>
      <c r="L27" s="58">
        <v>2321504.25</v>
      </c>
      <c r="M27" s="55">
        <f>(C27/$C$37)*100</f>
        <v>0.55813280610459126</v>
      </c>
      <c r="N27" s="11">
        <f t="shared" si="8"/>
        <v>0.36614777442533858</v>
      </c>
      <c r="O27" s="11">
        <f t="shared" si="9"/>
        <v>0.33107951964017285</v>
      </c>
      <c r="P27" s="11">
        <f t="shared" si="7"/>
        <v>0.28810671027196894</v>
      </c>
      <c r="Q27" s="11">
        <f t="shared" si="3"/>
        <v>0.2981406092665192</v>
      </c>
      <c r="R27" s="11">
        <f t="shared" si="4"/>
        <v>0.29198140920121707</v>
      </c>
      <c r="S27" s="11">
        <f t="shared" si="5"/>
        <v>0.29218981488600626</v>
      </c>
      <c r="T27" s="11">
        <f t="shared" si="6"/>
        <v>0.10500995250452411</v>
      </c>
      <c r="U27" s="11">
        <f t="shared" si="0"/>
        <v>3.385102233334758E-2</v>
      </c>
      <c r="V27" s="59">
        <f t="shared" si="1"/>
        <v>1.482299946255604E-2</v>
      </c>
      <c r="W27" s="86">
        <f t="shared" si="2"/>
        <v>-34.182017080040069</v>
      </c>
      <c r="X27" s="18" t="s">
        <v>45</v>
      </c>
      <c r="Z27" s="15"/>
      <c r="AA27" s="13"/>
    </row>
    <row r="28" spans="1:27" ht="19.5" customHeight="1" x14ac:dyDescent="0.25">
      <c r="A28" s="16" t="s">
        <v>46</v>
      </c>
      <c r="B28" s="9">
        <v>78480509.9366</v>
      </c>
      <c r="C28" s="9">
        <v>76481814.014899984</v>
      </c>
      <c r="D28" s="9">
        <v>101471706.8211</v>
      </c>
      <c r="E28" s="9">
        <v>89108745.615999997</v>
      </c>
      <c r="F28" s="9">
        <v>78572636.02790001</v>
      </c>
      <c r="G28" s="9">
        <v>74137837.046100006</v>
      </c>
      <c r="H28" s="10">
        <v>77076859.132199988</v>
      </c>
      <c r="I28" s="10">
        <v>76455187.028299987</v>
      </c>
      <c r="J28" s="10">
        <v>90232766.538500026</v>
      </c>
      <c r="K28" s="10">
        <v>25936275.254099999</v>
      </c>
      <c r="L28" s="58">
        <v>45717211.788000003</v>
      </c>
      <c r="M28" s="55">
        <f>(C28/$C$37)*100</f>
        <v>1.0693507306124395</v>
      </c>
      <c r="N28" s="11">
        <f t="shared" si="8"/>
        <v>1.1296202483619564</v>
      </c>
      <c r="O28" s="11">
        <f t="shared" si="9"/>
        <v>0.77503400863633398</v>
      </c>
      <c r="P28" s="11">
        <f t="shared" si="7"/>
        <v>0.60188175708251757</v>
      </c>
      <c r="Q28" s="11">
        <f t="shared" si="3"/>
        <v>0.51026558350402995</v>
      </c>
      <c r="R28" s="11">
        <f t="shared" si="4"/>
        <v>0.50748742331712415</v>
      </c>
      <c r="S28" s="11">
        <f t="shared" si="5"/>
        <v>0.46950668635421533</v>
      </c>
      <c r="T28" s="11">
        <f t="shared" si="6"/>
        <v>0.538977094005191</v>
      </c>
      <c r="U28" s="11">
        <f t="shared" si="0"/>
        <v>0.24891695605084579</v>
      </c>
      <c r="V28" s="59">
        <f t="shared" si="1"/>
        <v>0.29190823396644</v>
      </c>
      <c r="W28" s="86">
        <f t="shared" si="2"/>
        <v>76.267452978904672</v>
      </c>
      <c r="X28" s="18" t="s">
        <v>47</v>
      </c>
      <c r="Z28" s="17"/>
      <c r="AA28" s="13"/>
    </row>
    <row r="29" spans="1:27" ht="19.5" customHeight="1" x14ac:dyDescent="0.25">
      <c r="A29" s="16" t="s">
        <v>48</v>
      </c>
      <c r="B29" s="9">
        <v>139511809.34999999</v>
      </c>
      <c r="C29" s="9">
        <v>17563271.770000003</v>
      </c>
      <c r="D29" s="9">
        <v>245418995.9262</v>
      </c>
      <c r="E29" s="9">
        <v>6604867.4700000007</v>
      </c>
      <c r="F29" s="9">
        <v>6902539.540000001</v>
      </c>
      <c r="G29" s="9">
        <v>13064079.890000001</v>
      </c>
      <c r="H29" s="10">
        <v>27521170.030000005</v>
      </c>
      <c r="I29" s="10">
        <v>41925415.480000004</v>
      </c>
      <c r="J29" s="10">
        <v>18077724.470000006</v>
      </c>
      <c r="K29" s="10">
        <v>9232382.6600000001</v>
      </c>
      <c r="L29" s="58">
        <v>12071836.209999999</v>
      </c>
      <c r="M29" s="55">
        <f>(C29/$C$37)*100</f>
        <v>0.24556553399132786</v>
      </c>
      <c r="N29" s="11">
        <f t="shared" si="8"/>
        <v>2.7320942538166597</v>
      </c>
      <c r="O29" s="11">
        <f t="shared" si="9"/>
        <v>5.744662744827906E-2</v>
      </c>
      <c r="P29" s="11">
        <f t="shared" si="7"/>
        <v>5.2874802688197269E-2</v>
      </c>
      <c r="Q29" s="11">
        <f t="shared" si="3"/>
        <v>8.9915630312616249E-2</v>
      </c>
      <c r="R29" s="11">
        <f t="shared" si="4"/>
        <v>0.18120416195530201</v>
      </c>
      <c r="S29" s="11">
        <f t="shared" si="5"/>
        <v>0.25746144455512704</v>
      </c>
      <c r="T29" s="11">
        <f t="shared" si="6"/>
        <v>0.10798160994997136</v>
      </c>
      <c r="U29" s="11">
        <f t="shared" si="0"/>
        <v>8.8605498141469966E-2</v>
      </c>
      <c r="V29" s="59">
        <f t="shared" si="1"/>
        <v>7.7079687298825555E-2</v>
      </c>
      <c r="W29" s="86">
        <f t="shared" si="2"/>
        <v>30.755371116734011</v>
      </c>
      <c r="X29" s="18" t="s">
        <v>49</v>
      </c>
      <c r="Z29" s="17"/>
      <c r="AA29" s="13"/>
    </row>
    <row r="30" spans="1:27" ht="19.5" customHeight="1" x14ac:dyDescent="0.25">
      <c r="A30" s="16" t="s">
        <v>50</v>
      </c>
      <c r="B30" s="9"/>
      <c r="C30" s="9"/>
      <c r="D30" s="9">
        <v>0</v>
      </c>
      <c r="E30" s="9">
        <v>0</v>
      </c>
      <c r="F30" s="9">
        <v>0</v>
      </c>
      <c r="G30" s="9">
        <v>0</v>
      </c>
      <c r="H30" s="10">
        <v>16865000</v>
      </c>
      <c r="I30" s="10">
        <v>21484000</v>
      </c>
      <c r="J30" s="10">
        <v>6136000</v>
      </c>
      <c r="K30" s="10">
        <v>0</v>
      </c>
      <c r="L30" s="58">
        <v>0</v>
      </c>
      <c r="M30" s="55"/>
      <c r="N30" s="11">
        <f t="shared" si="8"/>
        <v>0</v>
      </c>
      <c r="O30" s="11">
        <f t="shared" si="9"/>
        <v>0</v>
      </c>
      <c r="P30" s="11">
        <f t="shared" si="7"/>
        <v>0</v>
      </c>
      <c r="Q30" s="11">
        <f t="shared" si="3"/>
        <v>0</v>
      </c>
      <c r="R30" s="11">
        <f t="shared" si="4"/>
        <v>0.11104208825587376</v>
      </c>
      <c r="S30" s="11">
        <f t="shared" si="5"/>
        <v>0.13193194656498961</v>
      </c>
      <c r="T30" s="11">
        <f t="shared" si="6"/>
        <v>3.6651469035971204E-2</v>
      </c>
      <c r="U30" s="11">
        <f t="shared" si="0"/>
        <v>0</v>
      </c>
      <c r="V30" s="59">
        <f t="shared" si="1"/>
        <v>0</v>
      </c>
      <c r="W30" s="85" t="s">
        <v>91</v>
      </c>
      <c r="X30" s="18" t="s">
        <v>51</v>
      </c>
      <c r="Z30" s="17"/>
      <c r="AA30" s="13"/>
    </row>
    <row r="31" spans="1:27" ht="19.5" customHeight="1" x14ac:dyDescent="0.25">
      <c r="A31" s="14" t="s">
        <v>52</v>
      </c>
      <c r="B31" s="9">
        <v>1202495510.0143998</v>
      </c>
      <c r="C31" s="9">
        <v>1049841778.2217</v>
      </c>
      <c r="D31" s="9">
        <v>1068823153.4752001</v>
      </c>
      <c r="E31" s="9">
        <v>1156222825.7628999</v>
      </c>
      <c r="F31" s="9">
        <v>1197553906.7299998</v>
      </c>
      <c r="G31" s="9">
        <v>1449680465.8505001</v>
      </c>
      <c r="H31" s="10">
        <v>1401635711.642</v>
      </c>
      <c r="I31" s="10">
        <v>1532773547.8168001</v>
      </c>
      <c r="J31" s="10">
        <v>1646551366.4556053</v>
      </c>
      <c r="K31" s="10">
        <v>702177427.79410005</v>
      </c>
      <c r="L31" s="58">
        <v>2072306280.1057</v>
      </c>
      <c r="M31" s="55">
        <f>(C31/$C$37)*100</f>
        <v>14.678640759620659</v>
      </c>
      <c r="N31" s="11">
        <f t="shared" si="8"/>
        <v>11.898531264604745</v>
      </c>
      <c r="O31" s="11">
        <f t="shared" si="9"/>
        <v>10.056386781489467</v>
      </c>
      <c r="P31" s="11">
        <f t="shared" si="7"/>
        <v>9.1734971107211543</v>
      </c>
      <c r="Q31" s="11">
        <f t="shared" si="3"/>
        <v>9.9776588888293194</v>
      </c>
      <c r="R31" s="11">
        <f t="shared" si="4"/>
        <v>9.2286128902896749</v>
      </c>
      <c r="S31" s="11">
        <f t="shared" si="5"/>
        <v>9.4126697917890336</v>
      </c>
      <c r="T31" s="11">
        <f t="shared" si="6"/>
        <v>9.8351575006166385</v>
      </c>
      <c r="U31" s="11">
        <f t="shared" si="0"/>
        <v>6.7389733576524318</v>
      </c>
      <c r="V31" s="59">
        <f t="shared" si="1"/>
        <v>13.231849511478732</v>
      </c>
      <c r="W31" s="85" t="s">
        <v>91</v>
      </c>
      <c r="X31" s="18" t="s">
        <v>53</v>
      </c>
      <c r="Z31" s="15"/>
      <c r="AA31" s="13"/>
    </row>
    <row r="32" spans="1:27" ht="19.5" customHeight="1" x14ac:dyDescent="0.25">
      <c r="A32" s="14" t="s">
        <v>54</v>
      </c>
      <c r="B32" s="9">
        <v>750739844.92149997</v>
      </c>
      <c r="C32" s="9">
        <v>802900158.02600002</v>
      </c>
      <c r="D32" s="9">
        <v>860140725.22539997</v>
      </c>
      <c r="E32" s="9">
        <v>804701951.22000003</v>
      </c>
      <c r="F32" s="9">
        <v>632505.73999999987</v>
      </c>
      <c r="G32" s="9">
        <v>152966.62</v>
      </c>
      <c r="H32" s="10">
        <v>3072</v>
      </c>
      <c r="I32" s="10">
        <v>3561</v>
      </c>
      <c r="J32" s="10">
        <v>0</v>
      </c>
      <c r="K32" s="10">
        <v>0</v>
      </c>
      <c r="L32" s="58">
        <v>0</v>
      </c>
      <c r="M32" s="55">
        <f>(C32/$C$37)*100</f>
        <v>11.225961120988574</v>
      </c>
      <c r="N32" s="11">
        <f t="shared" si="8"/>
        <v>9.5754019528654339</v>
      </c>
      <c r="O32" s="11">
        <f t="shared" si="9"/>
        <v>6.9989917903134806</v>
      </c>
      <c r="P32" s="11">
        <f t="shared" si="7"/>
        <v>4.8451176567475612E-3</v>
      </c>
      <c r="Q32" s="11">
        <f t="shared" si="3"/>
        <v>1.0528173564384447E-3</v>
      </c>
      <c r="R32" s="11">
        <f t="shared" si="4"/>
        <v>2.0226581388795978E-5</v>
      </c>
      <c r="S32" s="11">
        <f t="shared" si="5"/>
        <v>2.1867885948516476E-5</v>
      </c>
      <c r="T32" s="11">
        <f t="shared" si="6"/>
        <v>0</v>
      </c>
      <c r="U32" s="11">
        <f t="shared" si="0"/>
        <v>0</v>
      </c>
      <c r="V32" s="59">
        <f t="shared" si="1"/>
        <v>0</v>
      </c>
      <c r="W32" s="85" t="s">
        <v>91</v>
      </c>
      <c r="X32" s="18" t="s">
        <v>55</v>
      </c>
      <c r="AA32" s="13"/>
    </row>
    <row r="33" spans="1:27" ht="19.5" customHeight="1" x14ac:dyDescent="0.25">
      <c r="A33" s="14" t="s">
        <v>56</v>
      </c>
      <c r="B33" s="9">
        <v>47548283.660000004</v>
      </c>
      <c r="C33" s="9">
        <v>45912900.350000001</v>
      </c>
      <c r="D33" s="9">
        <v>49700980.010000005</v>
      </c>
      <c r="E33" s="9">
        <v>52186302.670000002</v>
      </c>
      <c r="F33" s="9">
        <v>62245584.850000001</v>
      </c>
      <c r="G33" s="9">
        <v>75695789.819999993</v>
      </c>
      <c r="H33" s="10">
        <v>83803210</v>
      </c>
      <c r="I33" s="10">
        <v>92384692.730000004</v>
      </c>
      <c r="J33" s="10">
        <v>107432467.20999999</v>
      </c>
      <c r="K33" s="10">
        <v>102966321.18999998</v>
      </c>
      <c r="L33" s="58">
        <v>112967582.64</v>
      </c>
      <c r="M33" s="55">
        <f>(C33/$C$37)*100</f>
        <v>0.64194337132541979</v>
      </c>
      <c r="N33" s="11">
        <f t="shared" si="8"/>
        <v>0.55328953401476078</v>
      </c>
      <c r="O33" s="11">
        <f t="shared" si="9"/>
        <v>0.45389663017517307</v>
      </c>
      <c r="P33" s="11">
        <f t="shared" si="7"/>
        <v>0.47681335225718835</v>
      </c>
      <c r="Q33" s="11">
        <f t="shared" si="3"/>
        <v>0.52098844396125465</v>
      </c>
      <c r="R33" s="11">
        <f t="shared" si="4"/>
        <v>0.55177488532140662</v>
      </c>
      <c r="S33" s="11">
        <f t="shared" si="5"/>
        <v>0.56732881887345676</v>
      </c>
      <c r="T33" s="11">
        <f t="shared" si="6"/>
        <v>0.64171410453150368</v>
      </c>
      <c r="U33" s="11">
        <f t="shared" si="0"/>
        <v>0.98819367836238958</v>
      </c>
      <c r="V33" s="59">
        <f t="shared" si="1"/>
        <v>0.72130749567181496</v>
      </c>
      <c r="W33" s="86">
        <f t="shared" si="2"/>
        <v>9.7131385626034508</v>
      </c>
      <c r="X33" s="12" t="s">
        <v>57</v>
      </c>
      <c r="AA33" s="13"/>
    </row>
    <row r="34" spans="1:27" ht="19.5" customHeight="1" x14ac:dyDescent="0.25">
      <c r="A34" s="14" t="s">
        <v>58</v>
      </c>
      <c r="B34" s="9">
        <v>6802023.7300000004</v>
      </c>
      <c r="C34" s="9">
        <v>6443984.5899999999</v>
      </c>
      <c r="D34" s="9">
        <v>6238700.8399999999</v>
      </c>
      <c r="E34" s="9">
        <v>6704584.9800000004</v>
      </c>
      <c r="F34" s="9">
        <v>7051600.6999999993</v>
      </c>
      <c r="G34" s="9">
        <v>20481678.534299999</v>
      </c>
      <c r="H34" s="10">
        <v>28434516.049999997</v>
      </c>
      <c r="I34" s="10">
        <v>26636826.970000003</v>
      </c>
      <c r="J34" s="10">
        <v>27258582.329999998</v>
      </c>
      <c r="K34" s="10">
        <v>25058472.93</v>
      </c>
      <c r="L34" s="58">
        <v>26443347.909999996</v>
      </c>
      <c r="M34" s="55">
        <f>(C34/$C$37)*100</f>
        <v>9.009827653969267E-2</v>
      </c>
      <c r="N34" s="11">
        <f t="shared" si="8"/>
        <v>6.9451505381314033E-2</v>
      </c>
      <c r="O34" s="11">
        <f t="shared" si="9"/>
        <v>5.8313932458267409E-2</v>
      </c>
      <c r="P34" s="11">
        <f t="shared" si="7"/>
        <v>5.40166403231431E-2</v>
      </c>
      <c r="Q34" s="11">
        <f t="shared" si="3"/>
        <v>0.14096844559880953</v>
      </c>
      <c r="R34" s="11">
        <f t="shared" si="4"/>
        <v>0.18721779073448908</v>
      </c>
      <c r="S34" s="11">
        <f t="shared" si="5"/>
        <v>0.16357514580464133</v>
      </c>
      <c r="T34" s="11">
        <f t="shared" si="6"/>
        <v>0.16282058119825077</v>
      </c>
      <c r="U34" s="11">
        <f t="shared" si="0"/>
        <v>0.24049246639731356</v>
      </c>
      <c r="V34" s="59">
        <f t="shared" si="1"/>
        <v>0.1688429955956843</v>
      </c>
      <c r="W34" s="86">
        <f t="shared" si="2"/>
        <v>5.5265737216653177</v>
      </c>
      <c r="X34" s="12" t="s">
        <v>59</v>
      </c>
      <c r="AA34" s="13"/>
    </row>
    <row r="35" spans="1:27" ht="19.5" customHeight="1" x14ac:dyDescent="0.25">
      <c r="A35" s="14" t="s">
        <v>86</v>
      </c>
      <c r="B35" s="9"/>
      <c r="C35" s="9"/>
      <c r="D35" s="9"/>
      <c r="E35" s="9"/>
      <c r="F35" s="9"/>
      <c r="G35" s="9">
        <v>0</v>
      </c>
      <c r="H35" s="10">
        <v>0</v>
      </c>
      <c r="I35" s="10">
        <v>0</v>
      </c>
      <c r="J35" s="10">
        <v>0</v>
      </c>
      <c r="K35" s="10">
        <v>0</v>
      </c>
      <c r="L35" s="58">
        <v>325315200</v>
      </c>
      <c r="M35" s="55"/>
      <c r="N35" s="11"/>
      <c r="O35" s="11"/>
      <c r="P35" s="11"/>
      <c r="Q35" s="11">
        <f t="shared" si="3"/>
        <v>0</v>
      </c>
      <c r="R35" s="11">
        <f t="shared" si="4"/>
        <v>0</v>
      </c>
      <c r="S35" s="11">
        <f t="shared" si="5"/>
        <v>0</v>
      </c>
      <c r="T35" s="11">
        <f t="shared" si="6"/>
        <v>0</v>
      </c>
      <c r="U35" s="11">
        <f t="shared" si="0"/>
        <v>0</v>
      </c>
      <c r="V35" s="59">
        <f t="shared" si="1"/>
        <v>2.0771648532460412</v>
      </c>
      <c r="W35" s="85" t="s">
        <v>91</v>
      </c>
      <c r="X35" s="12" t="s">
        <v>87</v>
      </c>
      <c r="AA35" s="13"/>
    </row>
    <row r="36" spans="1:27" ht="19.5" customHeight="1" x14ac:dyDescent="0.25">
      <c r="A36" s="21" t="s">
        <v>60</v>
      </c>
      <c r="B36" s="22">
        <v>0</v>
      </c>
      <c r="C36" s="22">
        <v>0</v>
      </c>
      <c r="D36" s="22">
        <v>283466.0528</v>
      </c>
      <c r="E36" s="22">
        <v>283466.0528</v>
      </c>
      <c r="F36" s="22">
        <v>80058.31</v>
      </c>
      <c r="G36" s="9">
        <v>1281640.1099999999</v>
      </c>
      <c r="H36" s="10">
        <v>6044494.1975999996</v>
      </c>
      <c r="I36" s="10">
        <v>6408085.9311000006</v>
      </c>
      <c r="J36" s="10">
        <v>3608957.32</v>
      </c>
      <c r="K36" s="10">
        <v>456990.92</v>
      </c>
      <c r="L36" s="58">
        <v>1730813.43</v>
      </c>
      <c r="M36" s="55">
        <f>(C36/$C$37)*100</f>
        <v>0</v>
      </c>
      <c r="N36" s="11">
        <f>(D36/$D$37)*100</f>
        <v>3.1556480421746028E-3</v>
      </c>
      <c r="O36" s="11">
        <f>(E36/$E$37)*100</f>
        <v>2.4654800120366082E-3</v>
      </c>
      <c r="P36" s="11">
        <f>(F36/$F$37)*100</f>
        <v>6.1326231023669435E-4</v>
      </c>
      <c r="Q36" s="11">
        <f t="shared" si="3"/>
        <v>8.8210941218134879E-3</v>
      </c>
      <c r="R36" s="23">
        <f t="shared" si="4"/>
        <v>3.9797999297480936E-2</v>
      </c>
      <c r="S36" s="11">
        <f t="shared" si="5"/>
        <v>3.935166871372868E-2</v>
      </c>
      <c r="T36" s="11">
        <f t="shared" si="6"/>
        <v>2.1556973185482661E-2</v>
      </c>
      <c r="U36" s="11">
        <f t="shared" si="0"/>
        <v>4.3858567830125719E-3</v>
      </c>
      <c r="V36" s="59">
        <f>(L36/$L$37)*100</f>
        <v>1.1051389004639891E-2</v>
      </c>
      <c r="W36" s="85" t="s">
        <v>91</v>
      </c>
      <c r="X36" s="12" t="s">
        <v>61</v>
      </c>
      <c r="AA36" s="13"/>
    </row>
    <row r="37" spans="1:27" ht="19.5" customHeight="1" x14ac:dyDescent="0.25">
      <c r="A37" s="46" t="s">
        <v>62</v>
      </c>
      <c r="B37" s="24">
        <f t="shared" ref="B37:H37" si="10">SUM(B8:B36)</f>
        <v>4560205196.3689995</v>
      </c>
      <c r="C37" s="24">
        <f t="shared" si="10"/>
        <v>7152172979.8695002</v>
      </c>
      <c r="D37" s="24">
        <f t="shared" si="10"/>
        <v>8982815859.421999</v>
      </c>
      <c r="E37" s="24">
        <f t="shared" si="10"/>
        <v>11497398130.023495</v>
      </c>
      <c r="F37" s="24">
        <f t="shared" si="10"/>
        <v>13054497017.614002</v>
      </c>
      <c r="G37" s="24">
        <f t="shared" si="10"/>
        <v>14529264650.182798</v>
      </c>
      <c r="H37" s="24">
        <f t="shared" si="10"/>
        <v>15187934831.645151</v>
      </c>
      <c r="I37" s="24">
        <f t="shared" ref="I37" si="11">SUM(I8:I36)</f>
        <v>16284152973.834122</v>
      </c>
      <c r="J37" s="24">
        <f>SUM(J8:J36)</f>
        <v>16741484479.047447</v>
      </c>
      <c r="K37" s="24">
        <f>SUM(K8:K36)</f>
        <v>10419649856.5578</v>
      </c>
      <c r="L37" s="53">
        <f>SUM(L8:L36)</f>
        <v>15661501276.204496</v>
      </c>
      <c r="M37" s="57">
        <f>(C37/$C$37)*100</f>
        <v>100</v>
      </c>
      <c r="N37" s="25">
        <f>(D37/$D$37)*100</f>
        <v>100</v>
      </c>
      <c r="O37" s="25">
        <f>(E37/$E$37)*100</f>
        <v>100</v>
      </c>
      <c r="P37" s="25">
        <f>(F37/$F$37)*100</f>
        <v>100</v>
      </c>
      <c r="Q37" s="25">
        <f t="shared" si="3"/>
        <v>100</v>
      </c>
      <c r="R37" s="25">
        <f t="shared" si="4"/>
        <v>100</v>
      </c>
      <c r="S37" s="25">
        <f t="shared" si="5"/>
        <v>100</v>
      </c>
      <c r="T37" s="25">
        <f t="shared" si="6"/>
        <v>100</v>
      </c>
      <c r="U37" s="25">
        <f t="shared" si="0"/>
        <v>100</v>
      </c>
      <c r="V37" s="25">
        <f>(L37/$L$37)*100</f>
        <v>100</v>
      </c>
      <c r="W37" s="87">
        <f>((L37/K37)-1)*100</f>
        <v>50.307366291657488</v>
      </c>
      <c r="X37" s="47" t="s">
        <v>63</v>
      </c>
    </row>
    <row r="38" spans="1:27" s="29" customFormat="1" ht="15" customHeight="1" x14ac:dyDescent="0.25">
      <c r="A38" s="26" t="s">
        <v>64</v>
      </c>
      <c r="B38" s="27"/>
      <c r="C38" s="27"/>
      <c r="D38" s="27"/>
      <c r="E38" s="27"/>
      <c r="F38" s="28"/>
      <c r="G38" s="28"/>
      <c r="H38" s="28"/>
      <c r="I38" s="28"/>
      <c r="J38" s="28"/>
      <c r="K38" s="28"/>
      <c r="L38" s="28"/>
      <c r="O38" s="30"/>
      <c r="Q38" s="60"/>
    </row>
    <row r="39" spans="1:27" s="49" customFormat="1" ht="15" customHeight="1" x14ac:dyDescent="0.25">
      <c r="A39" s="31" t="s">
        <v>65</v>
      </c>
      <c r="B39" s="48"/>
      <c r="C39" s="48"/>
      <c r="D39" s="48"/>
      <c r="E39" s="48"/>
      <c r="F39" s="48"/>
      <c r="G39" s="48"/>
      <c r="H39" s="48"/>
      <c r="I39" s="48"/>
      <c r="J39" s="48"/>
      <c r="K39" s="48"/>
      <c r="L39" s="48"/>
    </row>
    <row r="40" spans="1:27" s="51" customFormat="1" ht="15" customHeight="1" x14ac:dyDescent="0.25">
      <c r="A40" s="31" t="s">
        <v>66</v>
      </c>
      <c r="B40" s="50"/>
      <c r="C40" s="50"/>
      <c r="D40" s="50"/>
      <c r="E40" s="50"/>
      <c r="F40" s="50"/>
      <c r="G40" s="50"/>
      <c r="H40" s="50"/>
      <c r="I40" s="50"/>
      <c r="J40" s="50"/>
      <c r="K40" s="50"/>
      <c r="L40" s="50"/>
    </row>
    <row r="41" spans="1:27" s="51" customFormat="1" ht="15" customHeight="1" x14ac:dyDescent="0.25">
      <c r="A41" s="31" t="s">
        <v>81</v>
      </c>
      <c r="B41" s="50"/>
      <c r="C41" s="50"/>
      <c r="D41" s="50"/>
      <c r="E41" s="50"/>
      <c r="F41" s="50"/>
      <c r="G41" s="50"/>
      <c r="H41" s="50"/>
      <c r="I41" s="50"/>
      <c r="J41" s="50"/>
      <c r="K41" s="50"/>
      <c r="L41" s="50"/>
    </row>
    <row r="42" spans="1:27" s="32" customFormat="1" ht="48.75" customHeight="1" x14ac:dyDescent="0.25">
      <c r="A42" s="76" t="s">
        <v>67</v>
      </c>
      <c r="B42" s="76"/>
      <c r="C42" s="76"/>
      <c r="D42" s="76"/>
      <c r="E42" s="76"/>
      <c r="F42" s="76"/>
      <c r="G42" s="76"/>
      <c r="H42" s="76"/>
      <c r="I42" s="76"/>
      <c r="J42" s="76"/>
      <c r="K42" s="76"/>
      <c r="L42" s="76"/>
      <c r="M42" s="76"/>
      <c r="N42" s="76"/>
      <c r="O42" s="76"/>
      <c r="P42" s="76"/>
      <c r="Q42" s="76"/>
      <c r="R42" s="76"/>
      <c r="S42" s="76"/>
      <c r="T42" s="76"/>
      <c r="U42" s="76"/>
      <c r="V42" s="76"/>
      <c r="W42" s="76"/>
      <c r="X42" s="76"/>
    </row>
    <row r="43" spans="1:27" s="32" customFormat="1" ht="27.75" customHeight="1" x14ac:dyDescent="0.25">
      <c r="A43" s="77" t="s">
        <v>68</v>
      </c>
      <c r="B43" s="77"/>
      <c r="C43" s="77"/>
      <c r="D43" s="77"/>
      <c r="E43" s="77"/>
      <c r="F43" s="77"/>
      <c r="G43" s="77"/>
      <c r="H43" s="77"/>
      <c r="I43" s="77"/>
      <c r="J43" s="77"/>
      <c r="K43" s="77"/>
      <c r="L43" s="77"/>
      <c r="M43" s="77"/>
      <c r="N43" s="77"/>
      <c r="O43" s="77"/>
      <c r="P43" s="77"/>
      <c r="Q43" s="77"/>
      <c r="R43" s="77"/>
      <c r="S43" s="77"/>
      <c r="T43" s="77"/>
      <c r="U43" s="77"/>
      <c r="V43" s="77"/>
      <c r="W43" s="77"/>
      <c r="X43" s="77"/>
    </row>
    <row r="44" spans="1:27" s="32" customFormat="1" x14ac:dyDescent="0.25">
      <c r="A44" s="77" t="s">
        <v>69</v>
      </c>
      <c r="B44" s="77"/>
      <c r="C44" s="77"/>
      <c r="D44" s="77"/>
      <c r="E44" s="77"/>
      <c r="F44" s="77"/>
      <c r="G44" s="77"/>
      <c r="H44" s="77"/>
      <c r="I44" s="77"/>
      <c r="J44" s="77"/>
      <c r="K44" s="77"/>
      <c r="L44" s="77"/>
      <c r="M44" s="77"/>
      <c r="N44" s="77"/>
      <c r="O44" s="77"/>
      <c r="P44" s="77"/>
      <c r="Q44" s="77"/>
      <c r="R44" s="77"/>
      <c r="S44" s="77"/>
      <c r="T44" s="77"/>
      <c r="U44" s="77"/>
      <c r="V44" s="77"/>
      <c r="W44" s="77"/>
      <c r="X44" s="77"/>
    </row>
    <row r="45" spans="1:27" s="32" customFormat="1" ht="15" x14ac:dyDescent="0.25">
      <c r="A45" s="77" t="s">
        <v>70</v>
      </c>
      <c r="B45" s="77"/>
      <c r="C45" s="77"/>
      <c r="D45" s="77"/>
      <c r="E45" s="77"/>
      <c r="F45" s="77"/>
      <c r="G45" s="77"/>
      <c r="H45" s="77"/>
      <c r="I45" s="77"/>
      <c r="J45" s="77"/>
      <c r="K45" s="77"/>
      <c r="L45" s="77"/>
      <c r="M45" s="77"/>
      <c r="N45" s="77"/>
      <c r="O45" s="77"/>
      <c r="P45" s="77"/>
      <c r="Q45" s="77"/>
      <c r="R45" s="77"/>
      <c r="S45" s="77"/>
      <c r="T45" s="77"/>
      <c r="U45" s="77"/>
      <c r="V45" s="77"/>
      <c r="W45" s="77"/>
      <c r="X45" s="77"/>
      <c r="Y45" s="33"/>
    </row>
    <row r="46" spans="1:27" s="34" customFormat="1" ht="17.25" x14ac:dyDescent="0.25">
      <c r="A46" s="77" t="s">
        <v>82</v>
      </c>
      <c r="B46" s="77"/>
      <c r="C46" s="77"/>
      <c r="D46" s="77"/>
      <c r="E46" s="77"/>
      <c r="F46" s="77"/>
      <c r="G46" s="77"/>
      <c r="H46" s="77"/>
      <c r="I46" s="77"/>
      <c r="J46" s="77"/>
      <c r="K46" s="77"/>
      <c r="L46" s="77"/>
      <c r="M46" s="77"/>
      <c r="N46" s="77"/>
      <c r="O46" s="77"/>
      <c r="P46" s="77"/>
      <c r="Q46" s="77"/>
      <c r="R46" s="77"/>
      <c r="S46" s="77"/>
      <c r="T46" s="77"/>
      <c r="U46" s="77"/>
      <c r="V46" s="77"/>
      <c r="W46" s="77"/>
      <c r="X46" s="77"/>
    </row>
    <row r="47" spans="1:27" s="34" customFormat="1" ht="17.25" x14ac:dyDescent="0.25">
      <c r="A47" s="35" t="s">
        <v>71</v>
      </c>
      <c r="B47" s="36"/>
      <c r="C47" s="36"/>
      <c r="D47" s="36"/>
      <c r="E47" s="36"/>
      <c r="F47" s="36"/>
      <c r="G47" s="36"/>
      <c r="H47" s="36"/>
      <c r="I47" s="36"/>
      <c r="J47" s="36"/>
      <c r="K47" s="36"/>
      <c r="L47" s="36"/>
      <c r="M47" s="36"/>
      <c r="N47" s="36"/>
      <c r="O47" s="36"/>
      <c r="P47" s="36"/>
      <c r="Q47" s="36"/>
      <c r="R47" s="36"/>
      <c r="S47" s="36"/>
      <c r="T47" s="36"/>
      <c r="U47" s="36"/>
      <c r="V47" s="36"/>
      <c r="W47" s="36"/>
      <c r="X47" s="36"/>
    </row>
    <row r="48" spans="1:27" s="34" customFormat="1" ht="17.25" x14ac:dyDescent="0.25">
      <c r="B48" s="36"/>
      <c r="C48" s="36"/>
      <c r="D48" s="36"/>
      <c r="E48" s="36"/>
      <c r="F48" s="36"/>
      <c r="G48" s="36"/>
      <c r="H48" s="36"/>
      <c r="I48" s="36"/>
      <c r="J48" s="36"/>
      <c r="K48" s="36"/>
      <c r="L48" s="36"/>
      <c r="M48" s="36"/>
      <c r="N48" s="36"/>
      <c r="O48" s="36"/>
      <c r="P48" s="36"/>
      <c r="Q48" s="36"/>
      <c r="R48" s="36"/>
      <c r="S48" s="36"/>
      <c r="T48" s="36"/>
      <c r="U48" s="36"/>
      <c r="V48" s="36"/>
      <c r="W48" s="36"/>
      <c r="X48" s="36"/>
    </row>
    <row r="49" spans="1:25" s="32" customFormat="1" ht="37.5" customHeight="1" x14ac:dyDescent="0.25">
      <c r="A49" s="82" t="s">
        <v>72</v>
      </c>
      <c r="B49" s="82"/>
      <c r="C49" s="82"/>
      <c r="D49" s="82"/>
      <c r="E49" s="82"/>
      <c r="F49" s="82"/>
      <c r="G49" s="82"/>
      <c r="H49" s="82"/>
      <c r="I49" s="82"/>
      <c r="J49" s="82"/>
      <c r="K49" s="82"/>
      <c r="L49" s="82"/>
      <c r="M49" s="82"/>
      <c r="N49" s="82"/>
      <c r="O49" s="82"/>
      <c r="P49" s="82"/>
      <c r="Q49" s="82"/>
      <c r="R49" s="82"/>
      <c r="S49" s="82"/>
      <c r="T49" s="82"/>
      <c r="U49" s="82"/>
      <c r="V49" s="82"/>
      <c r="W49" s="82"/>
      <c r="X49" s="82"/>
      <c r="Y49" s="37">
        <v>1</v>
      </c>
    </row>
    <row r="50" spans="1:25" s="38" customFormat="1" ht="15" x14ac:dyDescent="0.25">
      <c r="A50" s="83" t="s">
        <v>73</v>
      </c>
      <c r="B50" s="83"/>
      <c r="C50" s="83"/>
      <c r="D50" s="83"/>
      <c r="E50" s="83"/>
      <c r="F50" s="83"/>
      <c r="G50" s="83"/>
      <c r="H50" s="83"/>
      <c r="I50" s="83"/>
      <c r="J50" s="83"/>
      <c r="K50" s="83"/>
      <c r="L50" s="83"/>
      <c r="M50" s="83"/>
      <c r="N50" s="83"/>
      <c r="O50" s="83"/>
      <c r="P50" s="83"/>
      <c r="Q50" s="83"/>
      <c r="R50" s="83"/>
      <c r="S50" s="83"/>
      <c r="T50" s="83"/>
      <c r="U50" s="83"/>
      <c r="V50" s="83"/>
      <c r="W50" s="83"/>
      <c r="X50" s="83"/>
      <c r="Y50" s="37">
        <v>2</v>
      </c>
    </row>
    <row r="51" spans="1:25" ht="18.75" x14ac:dyDescent="0.25">
      <c r="A51" s="81" t="s">
        <v>74</v>
      </c>
      <c r="B51" s="81"/>
      <c r="C51" s="81"/>
      <c r="D51" s="81"/>
      <c r="E51" s="81"/>
      <c r="F51" s="81"/>
      <c r="G51" s="81"/>
      <c r="H51" s="81"/>
      <c r="I51" s="81"/>
      <c r="J51" s="81"/>
      <c r="K51" s="81"/>
      <c r="L51" s="81"/>
      <c r="M51" s="81"/>
      <c r="N51" s="81"/>
      <c r="O51" s="81"/>
      <c r="P51" s="81"/>
      <c r="Q51" s="81"/>
      <c r="R51" s="81"/>
      <c r="S51" s="81"/>
      <c r="T51" s="81"/>
      <c r="U51" s="81"/>
      <c r="V51" s="81"/>
      <c r="W51" s="81"/>
      <c r="X51" s="81"/>
      <c r="Y51" s="39">
        <v>3</v>
      </c>
    </row>
    <row r="52" spans="1:25" ht="18.75" x14ac:dyDescent="0.25">
      <c r="A52" s="81" t="s">
        <v>75</v>
      </c>
      <c r="B52" s="81"/>
      <c r="C52" s="81"/>
      <c r="D52" s="81"/>
      <c r="E52" s="81"/>
      <c r="F52" s="81"/>
      <c r="G52" s="81"/>
      <c r="H52" s="81"/>
      <c r="I52" s="81"/>
      <c r="J52" s="81"/>
      <c r="K52" s="81"/>
      <c r="L52" s="81"/>
      <c r="M52" s="81"/>
      <c r="N52" s="81"/>
      <c r="O52" s="81"/>
      <c r="P52" s="81"/>
      <c r="Q52" s="81"/>
      <c r="R52" s="81"/>
      <c r="S52" s="81"/>
      <c r="T52" s="81"/>
      <c r="U52" s="81"/>
      <c r="V52" s="81"/>
      <c r="W52" s="81"/>
      <c r="X52" s="81"/>
      <c r="Y52" s="39">
        <v>4</v>
      </c>
    </row>
    <row r="53" spans="1:25" ht="18.75" x14ac:dyDescent="0.25">
      <c r="A53" s="40"/>
      <c r="B53" s="40"/>
      <c r="C53" s="40"/>
      <c r="D53" s="40"/>
      <c r="E53" s="40"/>
      <c r="F53" s="40"/>
      <c r="G53" s="40"/>
      <c r="H53" s="40"/>
      <c r="I53" s="40"/>
      <c r="J53" s="40"/>
      <c r="K53" s="40"/>
      <c r="L53" s="40"/>
      <c r="M53" s="40"/>
      <c r="N53" s="40"/>
      <c r="O53" s="81" t="s">
        <v>76</v>
      </c>
      <c r="P53" s="81"/>
      <c r="Q53" s="81"/>
      <c r="R53" s="81"/>
      <c r="S53" s="81"/>
      <c r="T53" s="81"/>
      <c r="U53" s="81"/>
      <c r="V53" s="81"/>
      <c r="W53" s="81"/>
      <c r="X53" s="81"/>
      <c r="Y53" s="39">
        <v>5</v>
      </c>
    </row>
    <row r="54" spans="1:25" x14ac:dyDescent="0.25">
      <c r="A54" s="41" t="s">
        <v>77</v>
      </c>
      <c r="G54" s="13"/>
    </row>
    <row r="55" spans="1:25" x14ac:dyDescent="0.25">
      <c r="A55" s="41" t="s">
        <v>78</v>
      </c>
      <c r="G55" s="13"/>
    </row>
    <row r="56" spans="1:25" x14ac:dyDescent="0.25">
      <c r="A56" s="84" t="s">
        <v>90</v>
      </c>
    </row>
    <row r="68" spans="25:25" s="42" customFormat="1" x14ac:dyDescent="0.25"/>
    <row r="69" spans="25:25" s="42" customFormat="1" x14ac:dyDescent="0.25"/>
    <row r="70" spans="25:25" s="42" customFormat="1" x14ac:dyDescent="0.25"/>
    <row r="71" spans="25:25" s="42" customFormat="1" x14ac:dyDescent="0.25"/>
    <row r="72" spans="25:25" s="42" customFormat="1" x14ac:dyDescent="0.25"/>
    <row r="73" spans="25:25" s="42" customFormat="1" x14ac:dyDescent="0.25"/>
    <row r="75" spans="25:25" ht="15" x14ac:dyDescent="0.25">
      <c r="Y75" s="43"/>
    </row>
    <row r="76" spans="25:25" ht="15" x14ac:dyDescent="0.25">
      <c r="Y76" s="43"/>
    </row>
    <row r="77" spans="25:25" ht="15" x14ac:dyDescent="0.25">
      <c r="Y77" s="43"/>
    </row>
    <row r="78" spans="25:25" ht="15" x14ac:dyDescent="0.25">
      <c r="Y78" s="43"/>
    </row>
  </sheetData>
  <mergeCells count="18">
    <mergeCell ref="O53:X53"/>
    <mergeCell ref="A46:X46"/>
    <mergeCell ref="A49:X49"/>
    <mergeCell ref="A50:X50"/>
    <mergeCell ref="A51:X51"/>
    <mergeCell ref="A52:X52"/>
    <mergeCell ref="A42:X42"/>
    <mergeCell ref="A43:X43"/>
    <mergeCell ref="A44:X44"/>
    <mergeCell ref="A45:X45"/>
    <mergeCell ref="A5:A7"/>
    <mergeCell ref="A2:X2"/>
    <mergeCell ref="A3:X3"/>
    <mergeCell ref="B5:L5"/>
    <mergeCell ref="M5:V5"/>
    <mergeCell ref="X5:X7"/>
    <mergeCell ref="B6:L6"/>
    <mergeCell ref="M6:V6"/>
  </mergeCells>
  <pageMargins left="0.7" right="0.7" top="0.75" bottom="0.75" header="0.3" footer="0.3"/>
  <pageSetup paperSize="9" scale="48"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50295-2D2D-4185-9F87-A8013C75F15B}">
  <ds:schemaRefs>
    <ds:schemaRef ds:uri="http://purl.org/dc/terms/"/>
    <ds:schemaRef ds:uri="http://schemas.openxmlformats.org/package/2006/metadata/core-properties"/>
    <ds:schemaRef ds:uri="http://purl.org/dc/dcmitype/"/>
    <ds:schemaRef ds:uri="http://schemas.microsoft.com/office/infopath/2007/PartnerControls"/>
    <ds:schemaRef ds:uri="1593d9c1-a9f6-478d-a576-b0943b39c604"/>
    <ds:schemaRef ds:uri="http://purl.org/dc/elements/1.1/"/>
    <ds:schemaRef ds:uri="http://schemas.microsoft.com/office/2006/metadata/properties"/>
    <ds:schemaRef ds:uri="http://schemas.microsoft.com/office/2006/documentManagement/types"/>
    <ds:schemaRef ds:uri="1916c6aa-fa20-4fca-8349-5fbeea1bc483"/>
    <ds:schemaRef ds:uri="http://www.w3.org/XML/1998/namespace"/>
  </ds:schemaRefs>
</ds:datastoreItem>
</file>

<file path=customXml/itemProps3.xml><?xml version="1.0" encoding="utf-8"?>
<ds:datastoreItem xmlns:ds="http://schemas.openxmlformats.org/officeDocument/2006/customXml" ds:itemID="{EB4048A6-D847-4D7F-8D3A-6E928B052D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13.11</vt:lpstr>
      <vt:lpstr>'13.11'!Print_Area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2023-03-09T03:43:36Z</cp:lastPrinted>
  <dcterms:created xsi:type="dcterms:W3CDTF">2014-03-06T08:38:12Z</dcterms:created>
  <dcterms:modified xsi:type="dcterms:W3CDTF">2023-03-09T03:43:45Z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