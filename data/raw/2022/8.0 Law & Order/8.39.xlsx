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5044591E-39B2-4898-8818-42A72C19054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9" sheetId="76" r:id="rId1"/>
  </sheets>
  <externalReferences>
    <externalReference r:id="rId2"/>
    <externalReference r:id="rId3"/>
    <externalReference r:id="rId4"/>
  </externalReferences>
  <definedNames>
    <definedName name="_xlnm.Print_Area" localSheetId="0">'8.39'!$A$1:$P$33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7" i="76" l="1"/>
  <c r="AP16" i="76"/>
  <c r="AP15" i="76"/>
  <c r="AO15" i="76"/>
  <c r="AO13" i="76"/>
  <c r="AO16" i="76"/>
  <c r="M6" i="76" l="1"/>
  <c r="AN15" i="76" l="1"/>
  <c r="AN16" i="76"/>
  <c r="AN13" i="76" l="1"/>
  <c r="AM16" i="76" l="1"/>
  <c r="AL16" i="76"/>
  <c r="AK16" i="76"/>
  <c r="AJ16" i="76"/>
  <c r="AI16" i="76"/>
  <c r="AH16" i="76"/>
  <c r="AG16" i="76"/>
  <c r="AM15" i="76"/>
  <c r="AL15" i="76"/>
  <c r="AK15" i="76"/>
  <c r="AJ15" i="76"/>
  <c r="AI15" i="76"/>
  <c r="AH15" i="76"/>
  <c r="AG15" i="76"/>
  <c r="L6" i="76"/>
  <c r="AN17" i="76" s="1"/>
  <c r="K6" i="76"/>
  <c r="J6" i="76"/>
  <c r="I6" i="76"/>
  <c r="H6" i="76"/>
  <c r="G6" i="76"/>
  <c r="F6" i="76"/>
  <c r="E6" i="76"/>
  <c r="D6" i="76"/>
  <c r="AF17" i="76" s="1"/>
  <c r="C6" i="76"/>
  <c r="AE17" i="76" s="1"/>
  <c r="B6" i="76"/>
  <c r="AD17" i="76" s="1"/>
  <c r="AG17" i="76" l="1"/>
  <c r="AH13" i="76"/>
  <c r="AK13" i="76"/>
  <c r="AL17" i="76"/>
  <c r="AI17" i="76"/>
  <c r="AI13" i="76"/>
  <c r="AJ17" i="76"/>
  <c r="AJ13" i="76"/>
  <c r="AK17" i="76"/>
  <c r="AM17" i="76"/>
  <c r="AL13" i="76"/>
  <c r="AH17" i="76"/>
  <c r="AM13" i="76"/>
</calcChain>
</file>

<file path=xl/sharedStrings.xml><?xml version="1.0" encoding="utf-8"?>
<sst xmlns="http://schemas.openxmlformats.org/spreadsheetml/2006/main" count="21" uniqueCount="19">
  <si>
    <t>Male</t>
  </si>
  <si>
    <t>Female</t>
  </si>
  <si>
    <t>ތަފްސީލް</t>
  </si>
  <si>
    <t>ފިރިހެން</t>
  </si>
  <si>
    <t>އަންހެން</t>
  </si>
  <si>
    <t>Category</t>
  </si>
  <si>
    <t>end year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</si>
  <si>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</si>
  <si>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</si>
  <si>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</si>
  <si>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</si>
  <si>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</si>
  <si>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</si>
  <si>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</si>
  <si>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</si>
  <si>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of females</t>
  </si>
  <si>
    <t>% share 2021</t>
  </si>
  <si>
    <t>TABLE 8.39: JUDGES BY SEX AND FINANCIAL RESOURCES FOR COURTS , 2013 - 2021</t>
  </si>
  <si>
    <t>ތާވަލު 8.39: ކޯޓުތަކުގައި ތިބި ފަނޑިޔާރުންގެ އަދަދު އަދި ކޯޓުތަކަށް ހިނގި ޚަރަދު، 2013 - 2021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</si>
</sst>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_(* #,##0.0_);_(* \(#,##0.0\);_(* &quot;-&quot;??_);_(@_)"/>
    <numFmt numFmtId="169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  <font>
      <sz val="9"/>
      <color theme="1"/>
      <name val="Faruma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3" fillId="0" borderId="7" applyNumberFormat="0" applyFill="0" applyAlignment="0" applyProtection="0"/>
    <xf numFmtId="0" fontId="10" fillId="0" borderId="0"/>
    <xf numFmtId="0" fontId="1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64" fontId="8" fillId="2" borderId="0" xfId="0" applyNumberFormat="1" applyFont="1" applyFill="1"/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169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2" fillId="2" borderId="0" xfId="0" applyFont="1" applyFill="1" applyAlignment="1">
      <alignment horizontal="left" vertical="center" indent="2"/>
    </xf>
    <xf numFmtId="169" fontId="8" fillId="2" borderId="0" xfId="1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167" fontId="8" fillId="2" borderId="0" xfId="0" applyNumberFormat="1" applyFont="1" applyFill="1"/>
    <xf numFmtId="0" fontId="2" fillId="2" borderId="9" xfId="0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vertical="top"/>
    </xf>
    <xf numFmtId="0" fontId="16" fillId="2" borderId="0" xfId="0" applyFont="1" applyFill="1" applyAlignment="1">
      <alignment horizontal="right" vertical="top" indent="1"/>
    </xf>
    <xf numFmtId="168" fontId="8" fillId="2" borderId="1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67" fontId="3" fillId="2" borderId="0" xfId="0" applyNumberFormat="1" applyFont="1" applyFill="1"/>
    <xf numFmtId="0" fontId="17" fillId="2" borderId="0" xfId="0" applyFont="1" applyFill="1"/>
    <xf numFmtId="164" fontId="3" fillId="2" borderId="0" xfId="0" applyNumberFormat="1" applyFont="1" applyFill="1"/>
    <xf numFmtId="0" fontId="7" fillId="2" borderId="0" xfId="0" applyFont="1" applyFill="1" applyAlignment="1">
      <alignment horizontal="left" vertical="top" indent="4"/>
    </xf>
    <xf numFmtId="0" fontId="17" fillId="2" borderId="0" xfId="0" applyFont="1" applyFill="1" applyAlignment="1">
      <alignment vertical="center"/>
    </xf>
    <xf numFmtId="164" fontId="8" fillId="2" borderId="9" xfId="0" applyNumberFormat="1" applyFont="1" applyFill="1" applyBorder="1"/>
    <xf numFmtId="1" fontId="8" fillId="2" borderId="0" xfId="0" applyNumberFormat="1" applyFont="1" applyFill="1"/>
    <xf numFmtId="168" fontId="8" fillId="2" borderId="0" xfId="1" applyNumberFormat="1" applyFont="1" applyFill="1"/>
    <xf numFmtId="169" fontId="8" fillId="3" borderId="0" xfId="1" applyNumberFormat="1" applyFont="1" applyFill="1" applyBorder="1" applyAlignment="1">
      <alignment horizontal="right" vertical="center"/>
    </xf>
    <xf numFmtId="168" fontId="8" fillId="3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0" fontId="2" fillId="2" borderId="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2021</a:t>
            </a: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64012366980025"/>
          <c:y val="0.12205736782902137"/>
          <c:w val="0.4195290808796503"/>
          <c:h val="0.82307425091074993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1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1-EC6C-4AD3-8FC7-E3EF114E98D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'8.39'!$A$7:$A$8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'8.39'!$M$7:$M$8</c:f>
              <c:numCache>
                <c:formatCode>_(* #,##0_);_(* \(#,##0\);_(* "-"??_);_(@_)</c:formatCode>
                <c:ptCount val="2"/>
                <c:pt idx="0">
                  <c:v>162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B-49B5-9F21-89375BCCD6D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7"/>
        <c:holeSize val="50"/>
      </c:doughnutChart>
    </c:plotArea>
    <c:plotVisOnly val="1"/>
    <c:dispBlanksAs val="zero"/>
    <c:showDLblsOverMax val="0"/>
  </c:chart>
  <c:spPr>
    <a:solidFill>
      <a:srgbClr val="FFEFEF"/>
    </a:solidFill>
  </c:spPr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290565256301036E-2"/>
          <c:y val="0.18628626421697292"/>
          <c:w val="0.89590844960025096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</c:spPr>
          <c:invertIfNegative val="0"/>
          <c:cat>
            <c:numRef>
              <c:f>'8.39'!$AD$14:$AO$14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  <c:pt idx="8" formatCode="General_)">
                  <c:v>2018</c:v>
                </c:pt>
                <c:pt idx="9" formatCode="General_)">
                  <c:v>2019</c:v>
                </c:pt>
                <c:pt idx="10" formatCode="General_)">
                  <c:v>2020</c:v>
                </c:pt>
                <c:pt idx="11" formatCode="General_)">
                  <c:v>2021</c:v>
                </c:pt>
              </c:numCache>
            </c:numRef>
          </c:cat>
          <c:val>
            <c:numRef>
              <c:f>'8.39'!$AD$17:$AO$17</c:f>
              <c:numCache>
                <c:formatCode>_(* #,##0.0_);_(* \(#,##0.0\);_(* "-"??_);_(@_)</c:formatCode>
                <c:ptCount val="12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  <c:pt idx="8">
                  <c:v>5.0761421319796955</c:v>
                </c:pt>
                <c:pt idx="9">
                  <c:v>5.9782608695652177</c:v>
                </c:pt>
                <c:pt idx="10">
                  <c:v>7.9787234042553195</c:v>
                </c:pt>
                <c:pt idx="11">
                  <c:v>10.989010989010989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9-4547-BF95-71666541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834032"/>
        <c:axId val="378827760"/>
      </c:barChart>
      <c:catAx>
        <c:axId val="37883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8827760"/>
        <c:crosses val="autoZero"/>
        <c:auto val="1"/>
        <c:lblAlgn val="ctr"/>
        <c:lblOffset val="100"/>
        <c:noMultiLvlLbl val="0"/>
      </c:catAx>
      <c:valAx>
        <c:axId val="3788277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378834032"/>
        <c:crosses val="autoZero"/>
        <c:crossBetween val="between"/>
      </c:valAx>
      <c:spPr>
        <a:solidFill>
          <a:srgbClr val="FFEFE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ShapeType="1"/>
        </xdr:cNvSpPr>
      </xdr:nvSpPr>
      <xdr:spPr bwMode="auto">
        <a:xfrm>
          <a:off x="2375536" y="288607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170017</xdr:colOff>
      <xdr:row>12</xdr:row>
      <xdr:rowOff>147176</xdr:rowOff>
    </xdr:from>
    <xdr:to>
      <xdr:col>7</xdr:col>
      <xdr:colOff>71693</xdr:colOff>
      <xdr:row>27</xdr:row>
      <xdr:rowOff>153629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307260</xdr:colOff>
      <xdr:row>12</xdr:row>
      <xdr:rowOff>131937</xdr:rowOff>
    </xdr:from>
    <xdr:to>
      <xdr:col>15</xdr:col>
      <xdr:colOff>27860</xdr:colOff>
      <xdr:row>27</xdr:row>
      <xdr:rowOff>167170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659547</xdr:colOff>
      <xdr:row>13</xdr:row>
      <xdr:rowOff>161282</xdr:rowOff>
    </xdr:from>
    <xdr:ext cx="4922520" cy="22587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 txBox="1"/>
      </xdr:nvSpPr>
      <xdr:spPr>
        <a:xfrm>
          <a:off x="7027384" y="2943866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</a:t>
          </a:r>
          <a:r>
            <a:rPr lang="dv-MV" sz="1000" b="1">
              <a:latin typeface="Consolas" pitchFamily="49" charset="0"/>
              <a:cs typeface="Consolas" pitchFamily="49" charset="0"/>
            </a:rPr>
            <a:t>2</a:t>
          </a:r>
          <a:r>
            <a:rPr lang="en-US" sz="1000" b="1">
              <a:latin typeface="Consolas" pitchFamily="49" charset="0"/>
              <a:cs typeface="Consolas" pitchFamily="49" charset="0"/>
            </a:rPr>
            <a:t>1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AP33"/>
  <sheetViews>
    <sheetView tabSelected="1" zoomScale="89" zoomScaleNormal="89" workbookViewId="0">
      <selection sqref="A1:O1"/>
    </sheetView>
  </sheetViews>
  <sheetFormatPr defaultColWidth="9.140625" defaultRowHeight="15"/>
  <cols>
    <col min="1" max="1" width="40.28515625" style="3" customWidth="1"/>
    <col min="2" max="4" width="14.28515625" style="3" hidden="1" customWidth="1"/>
    <col min="5" max="5" width="14.28515625" style="3" customWidth="1"/>
    <col min="6" max="11" width="13.7109375" style="3" customWidth="1"/>
    <col min="12" max="12" width="15" style="3" customWidth="1"/>
    <col min="13" max="13" width="17" style="3" customWidth="1"/>
    <col min="14" max="14" width="13.7109375" style="3" hidden="1" customWidth="1"/>
    <col min="15" max="15" width="38.5703125" style="3" customWidth="1"/>
    <col min="16" max="16" width="2.28515625" style="3" customWidth="1"/>
    <col min="17" max="16384" width="9.140625" style="3"/>
  </cols>
  <sheetData>
    <row r="1" spans="1:42" ht="21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42">
      <c r="A2" s="35" t="s">
        <v>17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4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42">
      <c r="A4" s="36" t="s">
        <v>5</v>
      </c>
      <c r="B4" s="39" t="s">
        <v>6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7" t="s">
        <v>2</v>
      </c>
    </row>
    <row r="5" spans="1:42">
      <c r="A5" s="28"/>
      <c r="B5" s="1">
        <v>2010</v>
      </c>
      <c r="C5" s="1">
        <v>2011</v>
      </c>
      <c r="D5" s="1">
        <v>2012</v>
      </c>
      <c r="E5" s="1">
        <v>2013</v>
      </c>
      <c r="F5" s="1">
        <v>2014</v>
      </c>
      <c r="G5" s="1">
        <v>2015</v>
      </c>
      <c r="H5" s="1">
        <v>2016</v>
      </c>
      <c r="I5" s="1">
        <v>2017</v>
      </c>
      <c r="J5" s="1">
        <v>2018</v>
      </c>
      <c r="K5" s="1">
        <v>2019</v>
      </c>
      <c r="L5" s="1">
        <v>2020</v>
      </c>
      <c r="M5" s="1">
        <v>2021</v>
      </c>
      <c r="N5" s="1">
        <v>2022</v>
      </c>
      <c r="O5" s="38"/>
    </row>
    <row r="6" spans="1:42" s="7" customFormat="1" ht="18.75">
      <c r="A6" s="5" t="s">
        <v>7</v>
      </c>
      <c r="B6" s="6">
        <f t="shared" ref="B6:J6" si="0">SUM(B7:B8)</f>
        <v>202</v>
      </c>
      <c r="C6" s="6">
        <f t="shared" si="0"/>
        <v>197</v>
      </c>
      <c r="D6" s="6">
        <f t="shared" si="0"/>
        <v>164</v>
      </c>
      <c r="E6" s="6">
        <f t="shared" si="0"/>
        <v>185</v>
      </c>
      <c r="F6" s="6">
        <f t="shared" si="0"/>
        <v>182</v>
      </c>
      <c r="G6" s="6">
        <f t="shared" si="0"/>
        <v>183</v>
      </c>
      <c r="H6" s="6">
        <f t="shared" si="0"/>
        <v>178</v>
      </c>
      <c r="I6" s="6">
        <f t="shared" si="0"/>
        <v>181</v>
      </c>
      <c r="J6" s="6">
        <f t="shared" si="0"/>
        <v>197</v>
      </c>
      <c r="K6" s="6">
        <f>SUM(K7:K8)</f>
        <v>184</v>
      </c>
      <c r="L6" s="6">
        <f>SUM(L7:L8)</f>
        <v>188</v>
      </c>
      <c r="M6" s="6">
        <f>SUM(M7:M8)</f>
        <v>182</v>
      </c>
      <c r="N6" s="6"/>
      <c r="O6" s="14" t="s">
        <v>8</v>
      </c>
    </row>
    <row r="7" spans="1:42" ht="18.75">
      <c r="A7" s="8" t="s">
        <v>0</v>
      </c>
      <c r="B7" s="9">
        <v>198</v>
      </c>
      <c r="C7" s="9">
        <v>192</v>
      </c>
      <c r="D7" s="9">
        <v>159</v>
      </c>
      <c r="E7" s="9">
        <v>176</v>
      </c>
      <c r="F7" s="9">
        <v>174</v>
      </c>
      <c r="G7" s="9">
        <v>176</v>
      </c>
      <c r="H7" s="9">
        <v>173</v>
      </c>
      <c r="I7" s="9">
        <v>174</v>
      </c>
      <c r="J7" s="9">
        <v>187</v>
      </c>
      <c r="K7" s="9">
        <v>173</v>
      </c>
      <c r="L7" s="9">
        <v>173</v>
      </c>
      <c r="M7" s="9">
        <v>162</v>
      </c>
      <c r="N7" s="26"/>
      <c r="O7" s="15" t="s">
        <v>3</v>
      </c>
      <c r="Q7" s="11"/>
    </row>
    <row r="8" spans="1:42" ht="18.75">
      <c r="A8" s="8" t="s">
        <v>1</v>
      </c>
      <c r="B8" s="9">
        <v>4</v>
      </c>
      <c r="C8" s="9">
        <v>5</v>
      </c>
      <c r="D8" s="9">
        <v>5</v>
      </c>
      <c r="E8" s="9">
        <v>9</v>
      </c>
      <c r="F8" s="9">
        <v>8</v>
      </c>
      <c r="G8" s="9">
        <v>7</v>
      </c>
      <c r="H8" s="9">
        <v>5</v>
      </c>
      <c r="I8" s="9">
        <v>7</v>
      </c>
      <c r="J8" s="9">
        <v>10</v>
      </c>
      <c r="K8" s="9">
        <v>11</v>
      </c>
      <c r="L8" s="9">
        <v>15</v>
      </c>
      <c r="M8" s="9">
        <v>20</v>
      </c>
      <c r="N8" s="26"/>
      <c r="O8" s="15" t="s">
        <v>4</v>
      </c>
      <c r="Q8" s="11"/>
    </row>
    <row r="9" spans="1:42" ht="21">
      <c r="A9" s="10" t="s">
        <v>9</v>
      </c>
      <c r="B9" s="16">
        <v>211.38208</v>
      </c>
      <c r="C9" s="16">
        <v>253.832494</v>
      </c>
      <c r="D9" s="16">
        <v>298.93866270999996</v>
      </c>
      <c r="E9" s="16">
        <v>292.36569200000002</v>
      </c>
      <c r="F9" s="16">
        <v>326.90534851999996</v>
      </c>
      <c r="G9" s="16">
        <v>468.04598700000003</v>
      </c>
      <c r="H9" s="16">
        <v>448.00623200000001</v>
      </c>
      <c r="I9" s="16">
        <v>413</v>
      </c>
      <c r="J9" s="16">
        <v>447.08000700000002</v>
      </c>
      <c r="K9" s="16">
        <v>487.6</v>
      </c>
      <c r="L9" s="16">
        <v>417.8</v>
      </c>
      <c r="M9" s="16">
        <v>413.46338150000003</v>
      </c>
      <c r="N9" s="27"/>
      <c r="O9" s="17" t="s">
        <v>10</v>
      </c>
    </row>
    <row r="10" spans="1:42" s="20" customFormat="1" ht="17.25">
      <c r="A10" s="2" t="s">
        <v>11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 t="s">
        <v>12</v>
      </c>
    </row>
    <row r="11" spans="1:42" ht="17.25">
      <c r="A11" s="21" t="s">
        <v>13</v>
      </c>
      <c r="B11" s="20"/>
      <c r="C11" s="20"/>
      <c r="O11" s="22" t="s">
        <v>14</v>
      </c>
      <c r="Q11" s="29"/>
      <c r="R11" s="30"/>
    </row>
    <row r="12" spans="1:42" s="20" customFormat="1">
      <c r="C12" s="13"/>
      <c r="K12" s="3"/>
      <c r="L12" s="3"/>
      <c r="M12" s="3"/>
      <c r="Q12" s="31"/>
      <c r="R12" s="32"/>
    </row>
    <row r="13" spans="1:42" s="20" customFormat="1" ht="12">
      <c r="Q13" s="31"/>
      <c r="R13" s="32"/>
      <c r="AH13" s="20">
        <f t="shared" ref="AH13:AO13" si="1">AH15+AH16</f>
        <v>182</v>
      </c>
      <c r="AI13" s="20">
        <f t="shared" si="1"/>
        <v>183</v>
      </c>
      <c r="AJ13" s="20">
        <f t="shared" si="1"/>
        <v>178</v>
      </c>
      <c r="AK13" s="20">
        <f t="shared" si="1"/>
        <v>181</v>
      </c>
      <c r="AL13" s="20">
        <f t="shared" si="1"/>
        <v>197</v>
      </c>
      <c r="AM13" s="20">
        <f t="shared" si="1"/>
        <v>184</v>
      </c>
      <c r="AN13" s="20">
        <f t="shared" si="1"/>
        <v>188</v>
      </c>
      <c r="AO13" s="20">
        <f t="shared" si="1"/>
        <v>182</v>
      </c>
    </row>
    <row r="14" spans="1:4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Q14" s="31"/>
      <c r="R14" s="32"/>
      <c r="AD14" s="12">
        <v>2010</v>
      </c>
      <c r="AE14" s="12">
        <v>2011</v>
      </c>
      <c r="AF14" s="12">
        <v>2012</v>
      </c>
      <c r="AG14" s="12">
        <v>2013</v>
      </c>
      <c r="AH14" s="23">
        <v>2014</v>
      </c>
      <c r="AI14" s="12">
        <v>2015</v>
      </c>
      <c r="AJ14" s="12">
        <v>2016</v>
      </c>
      <c r="AK14" s="23">
        <v>2017</v>
      </c>
      <c r="AL14" s="23">
        <v>2018</v>
      </c>
      <c r="AM14" s="23">
        <v>2019</v>
      </c>
      <c r="AN14" s="23">
        <v>2020</v>
      </c>
      <c r="AO14" s="23">
        <v>2021</v>
      </c>
      <c r="AP14" s="3" t="s">
        <v>16</v>
      </c>
    </row>
    <row r="15" spans="1:42">
      <c r="Q15" s="31"/>
      <c r="R15" s="32"/>
      <c r="AC15" s="8" t="s">
        <v>0</v>
      </c>
      <c r="AD15" s="9">
        <v>198</v>
      </c>
      <c r="AE15" s="9">
        <v>192</v>
      </c>
      <c r="AF15" s="9">
        <v>159</v>
      </c>
      <c r="AG15" s="9">
        <f t="shared" ref="AG15:AO16" si="2">E7</f>
        <v>176</v>
      </c>
      <c r="AH15" s="3">
        <f t="shared" si="2"/>
        <v>174</v>
      </c>
      <c r="AI15" s="3">
        <f t="shared" si="2"/>
        <v>176</v>
      </c>
      <c r="AJ15" s="3">
        <f t="shared" si="2"/>
        <v>173</v>
      </c>
      <c r="AK15" s="3">
        <f t="shared" si="2"/>
        <v>174</v>
      </c>
      <c r="AL15" s="3">
        <f t="shared" si="2"/>
        <v>187</v>
      </c>
      <c r="AM15" s="3">
        <f t="shared" si="2"/>
        <v>173</v>
      </c>
      <c r="AN15" s="3">
        <f t="shared" si="2"/>
        <v>173</v>
      </c>
      <c r="AO15" s="3">
        <f>M7</f>
        <v>162</v>
      </c>
      <c r="AP15" s="24">
        <f>AO15/AO13*100</f>
        <v>89.010989010989007</v>
      </c>
    </row>
    <row r="16" spans="1:42">
      <c r="AC16" s="8" t="s">
        <v>1</v>
      </c>
      <c r="AD16" s="9">
        <v>4</v>
      </c>
      <c r="AE16" s="9">
        <v>5</v>
      </c>
      <c r="AF16" s="9">
        <v>5</v>
      </c>
      <c r="AG16" s="9">
        <f t="shared" si="2"/>
        <v>9</v>
      </c>
      <c r="AH16" s="3">
        <f t="shared" si="2"/>
        <v>8</v>
      </c>
      <c r="AI16" s="3">
        <f t="shared" si="2"/>
        <v>7</v>
      </c>
      <c r="AJ16" s="3">
        <f t="shared" si="2"/>
        <v>5</v>
      </c>
      <c r="AK16" s="3">
        <f t="shared" si="2"/>
        <v>7</v>
      </c>
      <c r="AL16" s="3">
        <f t="shared" si="2"/>
        <v>10</v>
      </c>
      <c r="AM16" s="3">
        <f t="shared" si="2"/>
        <v>11</v>
      </c>
      <c r="AN16" s="3">
        <f t="shared" si="2"/>
        <v>15</v>
      </c>
      <c r="AO16" s="3">
        <f t="shared" si="2"/>
        <v>20</v>
      </c>
      <c r="AP16" s="24">
        <f>AO16/AO13*100</f>
        <v>10.989010989010989</v>
      </c>
    </row>
    <row r="17" spans="1:41">
      <c r="AC17" s="3" t="s">
        <v>15</v>
      </c>
      <c r="AD17" s="25">
        <f t="shared" ref="AD17:AN17" si="3">AD16/B6*100</f>
        <v>1.9801980198019802</v>
      </c>
      <c r="AE17" s="25">
        <f t="shared" si="3"/>
        <v>2.5380710659898478</v>
      </c>
      <c r="AF17" s="25">
        <f t="shared" si="3"/>
        <v>3.0487804878048781</v>
      </c>
      <c r="AG17" s="25">
        <f t="shared" si="3"/>
        <v>4.8648648648648649</v>
      </c>
      <c r="AH17" s="25">
        <f t="shared" si="3"/>
        <v>4.395604395604396</v>
      </c>
      <c r="AI17" s="25">
        <f t="shared" si="3"/>
        <v>3.8251366120218582</v>
      </c>
      <c r="AJ17" s="25">
        <f t="shared" si="3"/>
        <v>2.8089887640449436</v>
      </c>
      <c r="AK17" s="25">
        <f t="shared" si="3"/>
        <v>3.867403314917127</v>
      </c>
      <c r="AL17" s="25">
        <f t="shared" si="3"/>
        <v>5.0761421319796955</v>
      </c>
      <c r="AM17" s="25">
        <f t="shared" si="3"/>
        <v>5.9782608695652177</v>
      </c>
      <c r="AN17" s="25">
        <f t="shared" si="3"/>
        <v>7.9787234042553195</v>
      </c>
      <c r="AO17" s="25">
        <f>AO16/M6*100</f>
        <v>10.989010989010989</v>
      </c>
    </row>
    <row r="18" spans="1:41">
      <c r="A18" s="5"/>
    </row>
    <row r="20" spans="1:41">
      <c r="AD20" s="9"/>
      <c r="AE20" s="9"/>
      <c r="AF20" s="9"/>
    </row>
    <row r="21" spans="1:41">
      <c r="AD21" s="9"/>
      <c r="AE21" s="9"/>
      <c r="AF21" s="9"/>
    </row>
    <row r="33" spans="18:18">
      <c r="R33" s="7"/>
    </row>
  </sheetData>
  <mergeCells count="7">
    <mergeCell ref="Q11:R15"/>
    <mergeCell ref="A14:O14"/>
    <mergeCell ref="A1:O1"/>
    <mergeCell ref="A2:O2"/>
    <mergeCell ref="A4:A5"/>
    <mergeCell ref="O4:O5"/>
    <mergeCell ref="B4:N4"/>
  </mergeCells>
  <pageMargins left="0.7" right="0.7" top="0.75" bottom="0.75" header="0.3" footer="0.3"/>
  <pageSetup paperSize="9" scale="41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8.39</vt:lpstr>
      <vt:lpstr>'8.39'!Print_Area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2023-05-16T13:56:08Z</cp:lastPrinted>
  <dcterms:created xsi:type="dcterms:W3CDTF">2019-06-30T04:22:49Z</dcterms:created>
  <dcterms:modified xsi:type="dcterms:W3CDTF">2023-05-16T13:56:18Z</dcterms:modified>
</cp:coreProperties>
</file>