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EFBA271D-2BD4-4186-A379-1E349E60EDD0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28" sheetId="125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25" l="1"/>
  <c r="B13" i="125"/>
  <c r="B12" i="125"/>
  <c r="B11" i="125"/>
  <c r="B10" i="125"/>
  <c r="B9" i="125"/>
  <c r="B8" i="125"/>
  <c r="B7" i="125"/>
  <c r="B5" i="125" s="1"/>
  <c r="B6" i="125"/>
  <c r="I5" i="125"/>
  <c r="H5" i="125"/>
  <c r="G5" i="125"/>
  <c r="F5" i="125"/>
  <c r="E5" i="125"/>
  <c r="D5" i="125"/>
  <c r="C5" i="125"/>
</calcChain>
</file>

<file path=xl/sharedStrings.xml><?xml version="1.0" encoding="utf-8"?>
<sst xmlns="http://schemas.openxmlformats.org/spreadsheetml/2006/main" count="22" uniqueCount="21">
  <si>
    <t>Total</t>
  </si>
  <si>
    <t>Source: Maldives Police Service</t>
  </si>
  <si>
    <t>Types of abuse</t>
  </si>
  <si>
    <t xml:space="preserve">Age-group </t>
  </si>
  <si>
    <t>under 1 year</t>
  </si>
  <si>
    <t>1 - 4</t>
  </si>
  <si>
    <t>5</t>
  </si>
  <si>
    <t>6 - 9</t>
  </si>
  <si>
    <t>10 - 14</t>
  </si>
  <si>
    <t>15</t>
  </si>
  <si>
    <t>Physical Abuse</t>
  </si>
  <si>
    <t>Sexual Abuse</t>
  </si>
  <si>
    <t>Neglect</t>
  </si>
  <si>
    <t>Emotional / Verbal Abuse</t>
  </si>
  <si>
    <t>Cyberbullying</t>
  </si>
  <si>
    <t>Online Exploitation / Grooming</t>
  </si>
  <si>
    <t>Self-harm / Suicidal Behaviour</t>
  </si>
  <si>
    <t>Bullying / Harassment</t>
  </si>
  <si>
    <t>Online Harassment</t>
  </si>
  <si>
    <t>16 - 17</t>
  </si>
  <si>
    <t>Table 8.28 : NUMBER OF VICTIMS ON CHILD ABUSE CASES BY TYPE AND AGE OF CHILD,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</si>
</sst>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Faruma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sz val="10"/>
      <name val="MS Sans Serif"/>
      <family val="2"/>
    </font>
    <font>
      <sz val="10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9" fillId="0" borderId="0"/>
    <xf numFmtId="0" fontId="10" fillId="0" borderId="2" applyNumberFormat="0" applyFill="0" applyAlignment="0" applyProtection="0"/>
    <xf numFmtId="0" fontId="9" fillId="0" borderId="0"/>
    <xf numFmtId="0" fontId="9" fillId="0" borderId="0"/>
  </cellStyleXfs>
  <cellXfs count="28">
    <xf numFmtId="0" fontId="0" fillId="0" borderId="0" xfId="0"/>
    <xf numFmtId="0" fontId="0" fillId="2" borderId="0" xfId="0" applyFill="1"/>
    <xf numFmtId="0" fontId="8" fillId="2" borderId="0" xfId="0" applyFont="1" applyFill="1" applyAlignment="1">
      <alignment vertical="center"/>
    </xf>
    <xf numFmtId="164" fontId="5" fillId="2" borderId="0" xfId="0" applyNumberFormat="1" applyFont="1" applyFill="1"/>
    <xf numFmtId="0" fontId="4" fillId="2" borderId="1" xfId="5" applyFont="1" applyFill="1" applyBorder="1" applyAlignment="1">
      <alignment horizontal="right" vertical="center"/>
    </xf>
    <xf numFmtId="49" fontId="4" fillId="2" borderId="1" xfId="5" applyNumberFormat="1" applyFont="1" applyFill="1" applyBorder="1" applyAlignment="1">
      <alignment horizontal="right" vertical="center"/>
    </xf>
    <xf numFmtId="3" fontId="4" fillId="2" borderId="0" xfId="1" applyNumberFormat="1" applyFont="1" applyFill="1" applyAlignment="1">
      <alignment vertical="center" wrapText="1"/>
    </xf>
    <xf numFmtId="3" fontId="4" fillId="2" borderId="1" xfId="1" applyNumberFormat="1" applyFont="1" applyFill="1" applyBorder="1" applyAlignment="1">
      <alignment vertical="center" wrapText="1"/>
    </xf>
    <xf numFmtId="3" fontId="5" fillId="2" borderId="0" xfId="1" applyNumberFormat="1" applyFont="1" applyFill="1" applyBorder="1" applyAlignment="1">
      <alignment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/>
    </xf>
    <xf numFmtId="166" fontId="5" fillId="2" borderId="0" xfId="1" applyNumberFormat="1" applyFont="1" applyFill="1" applyAlignment="1">
      <alignment horizontal="left" vertical="center" wrapText="1" indent="1"/>
    </xf>
    <xf numFmtId="166" fontId="5" fillId="2" borderId="1" xfId="1" applyNumberFormat="1" applyFont="1" applyFill="1" applyBorder="1" applyAlignment="1">
      <alignment horizontal="left" vertical="center" wrapText="1" indent="1"/>
    </xf>
    <xf numFmtId="3" fontId="5" fillId="2" borderId="0" xfId="1" applyNumberFormat="1" applyFont="1" applyFill="1" applyAlignment="1">
      <alignment vertical="center" wrapText="1"/>
    </xf>
    <xf numFmtId="3" fontId="5" fillId="2" borderId="1" xfId="1" applyNumberFormat="1" applyFont="1" applyFill="1" applyBorder="1" applyAlignment="1">
      <alignment vertical="center" wrapText="1"/>
    </xf>
    <xf numFmtId="166" fontId="4" fillId="2" borderId="4" xfId="1" applyNumberFormat="1" applyFont="1" applyFill="1" applyBorder="1" applyAlignment="1">
      <alignment vertical="center" wrapText="1"/>
    </xf>
    <xf numFmtId="3" fontId="4" fillId="2" borderId="4" xfId="1" applyNumberFormat="1" applyFont="1" applyFill="1" applyBorder="1" applyAlignment="1">
      <alignment vertical="center" wrapText="1"/>
    </xf>
    <xf numFmtId="166" fontId="12" fillId="2" borderId="0" xfId="1" applyNumberFormat="1" applyFont="1" applyFill="1" applyBorder="1" applyAlignment="1">
      <alignment vertical="center" readingOrder="2"/>
    </xf>
    <xf numFmtId="164" fontId="2" fillId="2" borderId="0" xfId="0" applyNumberFormat="1" applyFont="1" applyFill="1" applyAlignment="1">
      <alignment vertical="center" readingOrder="2"/>
    </xf>
    <xf numFmtId="166" fontId="2" fillId="2" borderId="0" xfId="1" applyNumberFormat="1" applyFont="1" applyFill="1" applyBorder="1" applyAlignment="1">
      <alignment vertical="center" readingOrder="2"/>
    </xf>
    <xf numFmtId="166" fontId="3" fillId="2" borderId="0" xfId="1" applyNumberFormat="1" applyFont="1" applyFill="1" applyBorder="1" applyAlignment="1">
      <alignment horizontal="right" vertical="center" readingOrder="2"/>
    </xf>
    <xf numFmtId="166" fontId="12" fillId="2" borderId="0" xfId="1" applyNumberFormat="1" applyFont="1" applyFill="1" applyBorder="1" applyAlignment="1">
      <alignment horizontal="right" vertical="center" readingOrder="2"/>
    </xf>
    <xf numFmtId="164" fontId="4" fillId="2" borderId="0" xfId="0" applyNumberFormat="1" applyFont="1" applyFill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left" vertical="center" wrapText="1"/>
    </xf>
    <xf numFmtId="164" fontId="4" fillId="2" borderId="4" xfId="0" applyNumberFormat="1" applyFont="1" applyFill="1" applyBorder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right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</cellXfs>
  <cellStyles count="9">
    <cellStyle name="1" xfId="8" xr:uid="{00000000-0005-0000-0000-000000000000}"/>
    <cellStyle name="Comma" xfId="1" builtinId="3"/>
    <cellStyle name="Comma 2" xfId="2" xr:uid="{00000000-0005-0000-0000-000002000000}"/>
    <cellStyle name="Heading 1 2" xfId="6" xr:uid="{00000000-0005-0000-0000-000003000000}"/>
    <cellStyle name="Normal" xfId="0" builtinId="0"/>
    <cellStyle name="Normal 2" xfId="7" xr:uid="{00000000-0005-0000-0000-000006000000}"/>
    <cellStyle name="Normal 3" xfId="4" xr:uid="{00000000-0005-0000-0000-000007000000}"/>
    <cellStyle name="Normal_II-14(Population)" xfId="5" xr:uid="{00000000-0005-0000-0000-00000A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F292-E2CE-403B-9A5B-876BD4C15C7D}">
  <dimension ref="A1:J15"/>
  <sheetViews>
    <sheetView tabSelected="1" zoomScaleNormal="100" workbookViewId="0">
      <selection activeCell="E19" sqref="E19"/>
    </sheetView>
  </sheetViews>
  <sheetFormatPr defaultRowHeight="15"/>
  <cols>
    <col min="1" max="1" width="20.5703125" style="1" customWidth="1"/>
    <col min="2" max="16384" width="9.140625" style="1"/>
  </cols>
  <sheetData>
    <row r="1" spans="1:10">
      <c r="A1" s="22" t="s">
        <v>20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>
      <c r="A2" s="9"/>
      <c r="B2" s="9"/>
      <c r="C2" s="9"/>
      <c r="D2" s="9"/>
      <c r="E2" s="9"/>
      <c r="F2" s="9"/>
      <c r="G2" s="9"/>
      <c r="H2" s="9"/>
      <c r="I2" s="9"/>
      <c r="J2" s="10"/>
    </row>
    <row r="3" spans="1:10" ht="18.75">
      <c r="A3" s="23" t="s">
        <v>2</v>
      </c>
      <c r="B3" s="25" t="s">
        <v>0</v>
      </c>
      <c r="C3" s="27" t="s">
        <v>3</v>
      </c>
      <c r="D3" s="27"/>
      <c r="E3" s="27"/>
      <c r="F3" s="27"/>
      <c r="G3" s="27"/>
      <c r="H3" s="27"/>
      <c r="I3" s="27"/>
      <c r="J3" s="18"/>
    </row>
    <row r="4" spans="1:10" ht="18.75">
      <c r="A4" s="24"/>
      <c r="B4" s="26"/>
      <c r="C4" s="4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19</v>
      </c>
      <c r="J4" s="18"/>
    </row>
    <row r="5" spans="1:10" ht="18.75">
      <c r="A5" s="15" t="s">
        <v>0</v>
      </c>
      <c r="B5" s="16">
        <f>SUM(B6:B14)</f>
        <v>623</v>
      </c>
      <c r="C5" s="16">
        <f>SUM(C6:C14)</f>
        <v>5</v>
      </c>
      <c r="D5" s="16">
        <f t="shared" ref="D5:I5" si="0">SUM(D6:D14)</f>
        <v>54</v>
      </c>
      <c r="E5" s="16">
        <f t="shared" si="0"/>
        <v>19</v>
      </c>
      <c r="F5" s="16">
        <f t="shared" si="0"/>
        <v>80</v>
      </c>
      <c r="G5" s="16">
        <f t="shared" si="0"/>
        <v>252</v>
      </c>
      <c r="H5" s="16">
        <f t="shared" si="0"/>
        <v>80</v>
      </c>
      <c r="I5" s="16">
        <f t="shared" si="0"/>
        <v>133</v>
      </c>
      <c r="J5" s="19"/>
    </row>
    <row r="6" spans="1:10" ht="31.5" customHeight="1">
      <c r="A6" s="11" t="s">
        <v>10</v>
      </c>
      <c r="B6" s="6">
        <f t="shared" ref="B6:B14" si="1">SUM(C6:I6)</f>
        <v>193</v>
      </c>
      <c r="C6" s="13">
        <v>3</v>
      </c>
      <c r="D6" s="13">
        <v>24</v>
      </c>
      <c r="E6" s="13">
        <v>7</v>
      </c>
      <c r="F6" s="13">
        <v>29</v>
      </c>
      <c r="G6" s="13">
        <v>76</v>
      </c>
      <c r="H6" s="13">
        <v>24</v>
      </c>
      <c r="I6" s="13">
        <v>30</v>
      </c>
      <c r="J6" s="20"/>
    </row>
    <row r="7" spans="1:10" ht="31.5" customHeight="1">
      <c r="A7" s="11" t="s">
        <v>11</v>
      </c>
      <c r="B7" s="6">
        <f t="shared" si="1"/>
        <v>278</v>
      </c>
      <c r="C7" s="13">
        <v>0</v>
      </c>
      <c r="D7" s="13">
        <v>14</v>
      </c>
      <c r="E7" s="13">
        <v>9</v>
      </c>
      <c r="F7" s="13">
        <v>31</v>
      </c>
      <c r="G7" s="13">
        <v>113</v>
      </c>
      <c r="H7" s="13">
        <v>39</v>
      </c>
      <c r="I7" s="13">
        <v>72</v>
      </c>
      <c r="J7" s="20"/>
    </row>
    <row r="8" spans="1:10" ht="31.5" customHeight="1">
      <c r="A8" s="11" t="s">
        <v>12</v>
      </c>
      <c r="B8" s="6">
        <f t="shared" si="1"/>
        <v>38</v>
      </c>
      <c r="C8" s="13">
        <v>2</v>
      </c>
      <c r="D8" s="13">
        <v>14</v>
      </c>
      <c r="E8" s="13">
        <v>2</v>
      </c>
      <c r="F8" s="13">
        <v>5</v>
      </c>
      <c r="G8" s="13">
        <v>10</v>
      </c>
      <c r="H8" s="13">
        <v>2</v>
      </c>
      <c r="I8" s="13">
        <v>3</v>
      </c>
      <c r="J8" s="20"/>
    </row>
    <row r="9" spans="1:10" ht="31.5" customHeight="1">
      <c r="A9" s="11" t="s">
        <v>13</v>
      </c>
      <c r="B9" s="6">
        <f t="shared" si="1"/>
        <v>93</v>
      </c>
      <c r="C9" s="13">
        <v>0</v>
      </c>
      <c r="D9" s="13">
        <v>1</v>
      </c>
      <c r="E9" s="13">
        <v>1</v>
      </c>
      <c r="F9" s="13">
        <v>11</v>
      </c>
      <c r="G9" s="13">
        <v>45</v>
      </c>
      <c r="H9" s="13">
        <v>12</v>
      </c>
      <c r="I9" s="13">
        <v>23</v>
      </c>
      <c r="J9" s="20"/>
    </row>
    <row r="10" spans="1:10" ht="31.5" customHeight="1">
      <c r="A10" s="11" t="s">
        <v>17</v>
      </c>
      <c r="B10" s="6">
        <f t="shared" si="1"/>
        <v>9</v>
      </c>
      <c r="C10" s="13">
        <v>0</v>
      </c>
      <c r="D10" s="13">
        <v>0</v>
      </c>
      <c r="E10" s="13">
        <v>0</v>
      </c>
      <c r="F10" s="13">
        <v>3</v>
      </c>
      <c r="G10" s="13">
        <v>4</v>
      </c>
      <c r="H10" s="13">
        <v>0</v>
      </c>
      <c r="I10" s="13">
        <v>2</v>
      </c>
      <c r="J10" s="20"/>
    </row>
    <row r="11" spans="1:10" ht="31.5" customHeight="1">
      <c r="A11" s="11" t="s">
        <v>14</v>
      </c>
      <c r="B11" s="6">
        <f t="shared" si="1"/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20"/>
    </row>
    <row r="12" spans="1:10" ht="31.5" customHeight="1">
      <c r="A12" s="11" t="s">
        <v>18</v>
      </c>
      <c r="B12" s="6">
        <f t="shared" si="1"/>
        <v>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</v>
      </c>
      <c r="J12" s="20"/>
    </row>
    <row r="13" spans="1:10" ht="31.5" customHeight="1">
      <c r="A13" s="11" t="s">
        <v>15</v>
      </c>
      <c r="B13" s="6">
        <f t="shared" si="1"/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20"/>
    </row>
    <row r="14" spans="1:10" ht="31.5" customHeight="1">
      <c r="A14" s="12" t="s">
        <v>16</v>
      </c>
      <c r="B14" s="7">
        <f t="shared" si="1"/>
        <v>11</v>
      </c>
      <c r="C14" s="14">
        <v>0</v>
      </c>
      <c r="D14" s="14">
        <v>1</v>
      </c>
      <c r="E14" s="14">
        <v>0</v>
      </c>
      <c r="F14" s="14">
        <v>1</v>
      </c>
      <c r="G14" s="14">
        <v>4</v>
      </c>
      <c r="H14" s="14">
        <v>3</v>
      </c>
      <c r="I14" s="14">
        <v>2</v>
      </c>
      <c r="J14" s="21"/>
    </row>
    <row r="15" spans="1:10" ht="18.75">
      <c r="A15" s="2" t="s">
        <v>1</v>
      </c>
      <c r="B15" s="3"/>
      <c r="C15" s="3"/>
      <c r="D15" s="8"/>
      <c r="E15" s="8"/>
      <c r="F15" s="8"/>
      <c r="G15" s="8"/>
      <c r="H15" s="8"/>
      <c r="I15" s="8"/>
      <c r="J15" s="17"/>
    </row>
  </sheetData>
  <mergeCells count="4">
    <mergeCell ref="A1:J1"/>
    <mergeCell ref="A3:A4"/>
    <mergeCell ref="B3:B4"/>
    <mergeCell ref="C3:I3"/>
  </mergeCells>
  <pageMargins left="0.7" right="0.7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2023-05-16T13:36:55Z</cp:lastPrinted>
  <dcterms:created xsi:type="dcterms:W3CDTF">2019-06-30T04:22:49Z</dcterms:created>
  <dcterms:modified xsi:type="dcterms:W3CDTF">2023-05-16T13:37:03Z</dcterms:modified>
</cp:coreProperties>
</file>