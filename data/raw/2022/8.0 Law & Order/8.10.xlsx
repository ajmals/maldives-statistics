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000F1766-2841-4B3E-9FE9-69E346C5060E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0" sheetId="10" r:id="rId1"/>
  </sheets>
  <definedNames>
    <definedName name="_xlnm.Print_Area" localSheetId="0">'8.10'!$A$1:$P$60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0" l="1"/>
  <c r="N7" i="10"/>
  <c r="N8" i="10"/>
  <c r="N9" i="10"/>
  <c r="N10" i="10"/>
  <c r="N5" i="10"/>
  <c r="M6" i="10"/>
  <c r="M7" i="10"/>
  <c r="M8" i="10"/>
  <c r="M9" i="10"/>
  <c r="M10" i="10"/>
  <c r="M5" i="10"/>
  <c r="L6" i="10" l="1"/>
  <c r="L5" i="10" s="1"/>
  <c r="K6" i="10" l="1"/>
  <c r="K5" i="10" l="1"/>
  <c r="J6" i="10" l="1"/>
  <c r="J5" i="10" l="1"/>
  <c r="I6" i="10" l="1"/>
  <c r="H6" i="10"/>
  <c r="G6" i="10"/>
  <c r="G5" i="10" s="1"/>
  <c r="F6" i="10"/>
  <c r="F5" i="10" s="1"/>
  <c r="E6" i="10"/>
  <c r="E5" i="10" s="1"/>
  <c r="D6" i="10"/>
  <c r="D5" i="10" s="1"/>
  <c r="C6" i="10"/>
  <c r="C5" i="10" s="1"/>
  <c r="B6" i="10"/>
  <c r="B5" i="10" s="1"/>
  <c r="I5" i="10"/>
  <c r="H5" i="10"/>
</calcChain>
</file>

<file path=xl/sharedStrings.xml><?xml version="1.0" encoding="utf-8"?>
<sst xmlns="http://schemas.openxmlformats.org/spreadsheetml/2006/main" count="22" uniqueCount="22">
  <si>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</si>
  <si>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</si>
  <si>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</si>
  <si>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</si>
  <si>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</si>
  <si>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</si>
  <si>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</si>
  <si>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</si>
  <si>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</si>
  <si>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</si>
  <si>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</si>
  <si>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</si>
  <si>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</si>
  <si>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</si>
  <si>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</si>
  <si>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</si>
  <si>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</si>
  <si>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</si>
  <si>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%change over 2020</t>
  </si>
  <si>
    <t>Table 8.10:  ASSAULT CASES LOGGED BY TYPE, 2016 - 2021</t>
  </si>
  <si>
    <t>ތާވަލު 8.10: ހުށަހެޅިފައިވާ މާރާމާރީގެ މައްސަލަތައް، 2016- 2021</t>
  </si>
  <si>
    <t>އިންސައްތަ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</si>
</sst>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9" fillId="0" borderId="9" applyNumberFormat="0" applyFill="0" applyAlignment="0" applyProtection="0"/>
    <xf numFmtId="0" fontId="28" fillId="0" borderId="0"/>
    <xf numFmtId="0" fontId="28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25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 indent="4"/>
    </xf>
    <xf numFmtId="3" fontId="6" fillId="2" borderId="4" xfId="1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13" fillId="2" borderId="0" xfId="0" applyNumberFormat="1" applyFont="1" applyFill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3" fontId="16" fillId="2" borderId="8" xfId="0" applyNumberFormat="1" applyFont="1" applyFill="1" applyBorder="1" applyAlignment="1">
      <alignment vertical="center"/>
    </xf>
    <xf numFmtId="164" fontId="30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3" fontId="13" fillId="2" borderId="8" xfId="0" applyNumberFormat="1" applyFont="1" applyFill="1" applyBorder="1" applyAlignment="1">
      <alignment vertical="center"/>
    </xf>
    <xf numFmtId="3" fontId="13" fillId="2" borderId="7" xfId="0" applyNumberFormat="1" applyFont="1" applyFill="1" applyBorder="1" applyAlignment="1">
      <alignment vertical="center"/>
    </xf>
    <xf numFmtId="3" fontId="13" fillId="2" borderId="4" xfId="0" applyNumberFormat="1" applyFont="1" applyFill="1" applyBorder="1" applyAlignment="1">
      <alignment horizontal="right" vertical="center" indent="4"/>
    </xf>
    <xf numFmtId="3" fontId="13" fillId="2" borderId="0" xfId="0" applyNumberFormat="1" applyFont="1" applyFill="1" applyAlignment="1">
      <alignment horizontal="right" vertical="center" indent="4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10" xfId="0" applyNumberFormat="1" applyFont="1" applyFill="1" applyBorder="1" applyAlignment="1">
      <alignment horizontal="center" vertical="top"/>
    </xf>
    <xf numFmtId="164" fontId="24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'8.10'!$J$3:$J$4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'8.10'!$J$7:$J$9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'8.10'!$K$3:$K$4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'8.10'!$K$7:$K$9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'8.10'!$L$3:$L$4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'8.10'!$L$7:$L$9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rgbClr val="FAF5F0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18623911043846189"/>
          <c:h val="0.10038044237038794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0844843706820023"/>
                  <c:y val="-0.21805791927397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('8.10'!$M$6,'8.10'!$M$10)</c:f>
              <c:numCache>
                <c:formatCode>#,##0</c:formatCode>
                <c:ptCount val="2"/>
                <c:pt idx="0">
                  <c:v>17.377049180327869</c:v>
                </c:pt>
                <c:pt idx="1">
                  <c:v>82.622950819672141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(2020)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42-400B-8296-C265A3168647}"/>
              </c:ext>
            </c:extLst>
          </c:dPt>
          <c:dPt>
            <c:idx val="1"/>
            <c:invertIfNegative val="0"/>
            <c:bubble3D val="0"/>
            <c:spPr>
              <a:solidFill>
                <a:srgbClr val="FFC5C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42-400B-8296-C265A3168647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'8.10'!$N$7:$N$9</c:f>
              <c:numCache>
                <c:formatCode>#,##0</c:formatCode>
                <c:ptCount val="3"/>
                <c:pt idx="0">
                  <c:v>-66.666666666666657</c:v>
                </c:pt>
                <c:pt idx="1">
                  <c:v>42.857142857142854</c:v>
                </c:pt>
                <c:pt idx="2">
                  <c:v>-30.303030303030305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85088"/>
        <c:axId val="44186624"/>
      </c:barChart>
      <c:catAx>
        <c:axId val="44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rgbClr val="0066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624"/>
        <c:crosses val="autoZero"/>
        <c:auto val="1"/>
        <c:lblAlgn val="ctr"/>
        <c:lblOffset val="100"/>
        <c:noMultiLvlLbl val="0"/>
      </c:catAx>
      <c:valAx>
        <c:axId val="44186624"/>
        <c:scaling>
          <c:orientation val="minMax"/>
          <c:max val="100"/>
          <c:min val="-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0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14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14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219076</xdr:colOff>
      <xdr:row>28</xdr:row>
      <xdr:rowOff>117146</xdr:rowOff>
    </xdr:from>
    <xdr:to>
      <xdr:col>13</xdr:col>
      <xdr:colOff>695326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781176" y="6479846"/>
          <a:ext cx="4210050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2021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14</xdr:col>
      <xdr:colOff>628649</xdr:colOff>
      <xdr:row>59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0.26804</cdr:x>
      <cdr:y>0.05224</cdr:y>
    </cdr:from>
    <cdr:to>
      <cdr:x>0.77075</cdr:x>
      <cdr:y>0.14035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63685" y="144183"/>
          <a:ext cx="3307718" cy="243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2019 - 2021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U40"/>
  <sheetViews>
    <sheetView tabSelected="1" zoomScale="106" zoomScaleNormal="106" workbookViewId="0">
      <selection activeCell="R6" sqref="R6"/>
    </sheetView>
  </sheetViews>
  <sheetFormatPr defaultColWidth="15.42578125" defaultRowHeight="15"/>
  <cols>
    <col min="1" max="1" width="23.42578125" style="1" customWidth="1"/>
    <col min="2" max="6" width="10.85546875" style="1" hidden="1" customWidth="1"/>
    <col min="7" max="11" width="10.85546875" style="1" customWidth="1"/>
    <col min="12" max="12" width="11" style="1" customWidth="1"/>
    <col min="13" max="13" width="11.5703125" style="1" customWidth="1"/>
    <col min="14" max="14" width="17.42578125" style="1" customWidth="1"/>
    <col min="15" max="15" width="21.140625" style="1" customWidth="1"/>
    <col min="16" max="16" width="2.85546875" style="1" customWidth="1"/>
    <col min="17" max="17" width="22.140625" style="1" bestFit="1" customWidth="1"/>
    <col min="18" max="16384" width="15.42578125" style="1"/>
  </cols>
  <sheetData>
    <row r="1" spans="1:21" ht="18.75">
      <c r="A1" s="52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21" ht="21.75" customHeight="1">
      <c r="A2" s="43" t="s">
        <v>19</v>
      </c>
      <c r="B2" s="43"/>
      <c r="C2" s="43"/>
      <c r="D2" s="43"/>
      <c r="E2" s="43"/>
      <c r="F2" s="43"/>
      <c r="G2" s="43"/>
      <c r="H2" s="43"/>
      <c r="I2" s="43"/>
      <c r="J2" s="44"/>
      <c r="K2" s="44"/>
      <c r="L2" s="43"/>
      <c r="M2" s="43"/>
      <c r="N2" s="43"/>
      <c r="O2" s="43"/>
      <c r="Q2" s="2"/>
    </row>
    <row r="3" spans="1:21" ht="51.75">
      <c r="A3" s="48" t="s">
        <v>4</v>
      </c>
      <c r="B3" s="50">
        <v>2011</v>
      </c>
      <c r="C3" s="50">
        <v>2012</v>
      </c>
      <c r="D3" s="46">
        <v>2013</v>
      </c>
      <c r="E3" s="46">
        <v>2014</v>
      </c>
      <c r="F3" s="46">
        <v>2015</v>
      </c>
      <c r="G3" s="46">
        <v>2016</v>
      </c>
      <c r="H3" s="46">
        <v>2017</v>
      </c>
      <c r="I3" s="46">
        <v>2018</v>
      </c>
      <c r="J3" s="46">
        <v>2019</v>
      </c>
      <c r="K3" s="46">
        <v>2020</v>
      </c>
      <c r="L3" s="46">
        <v>2021</v>
      </c>
      <c r="M3" s="34" t="s">
        <v>21</v>
      </c>
      <c r="N3" s="37" t="s">
        <v>6</v>
      </c>
      <c r="O3" s="45" t="s">
        <v>5</v>
      </c>
      <c r="R3" s="3"/>
      <c r="S3" s="3"/>
      <c r="T3" s="3"/>
      <c r="U3" s="3"/>
    </row>
    <row r="4" spans="1:21" ht="24">
      <c r="A4" s="49"/>
      <c r="B4" s="51"/>
      <c r="C4" s="51"/>
      <c r="D4" s="47"/>
      <c r="E4" s="47"/>
      <c r="F4" s="47"/>
      <c r="G4" s="47"/>
      <c r="H4" s="47"/>
      <c r="I4" s="47"/>
      <c r="J4" s="47"/>
      <c r="K4" s="47"/>
      <c r="L4" s="47"/>
      <c r="M4" s="33" t="s">
        <v>7</v>
      </c>
      <c r="N4" s="20" t="s">
        <v>18</v>
      </c>
      <c r="O4" s="42"/>
      <c r="R4" s="3"/>
      <c r="S4" s="3"/>
      <c r="T4" s="3"/>
      <c r="U4" s="3"/>
    </row>
    <row r="5" spans="1:21" s="14" customFormat="1" ht="18.75">
      <c r="A5" s="5" t="s">
        <v>0</v>
      </c>
      <c r="B5" s="21">
        <f t="shared" ref="B5:I5" si="0">B6+B10</f>
        <v>1320</v>
      </c>
      <c r="C5" s="21">
        <f t="shared" si="0"/>
        <v>1264</v>
      </c>
      <c r="D5" s="21">
        <f t="shared" si="0"/>
        <v>1289</v>
      </c>
      <c r="E5" s="21">
        <f t="shared" si="0"/>
        <v>1062</v>
      </c>
      <c r="F5" s="21">
        <f t="shared" si="0"/>
        <v>944</v>
      </c>
      <c r="G5" s="21">
        <f t="shared" si="0"/>
        <v>781</v>
      </c>
      <c r="H5" s="21">
        <f t="shared" si="0"/>
        <v>770</v>
      </c>
      <c r="I5" s="21">
        <f t="shared" si="0"/>
        <v>753</v>
      </c>
      <c r="J5" s="21">
        <f>J6+J10</f>
        <v>631</v>
      </c>
      <c r="K5" s="21">
        <f>K6+K10</f>
        <v>661</v>
      </c>
      <c r="L5" s="21">
        <f>L6+L10</f>
        <v>610</v>
      </c>
      <c r="M5" s="38">
        <f>L5/L$5*100</f>
        <v>100</v>
      </c>
      <c r="N5" s="41">
        <f>((L5-K5)/K5*100)</f>
        <v>-7.7155824508320734</v>
      </c>
      <c r="O5" s="23" t="s">
        <v>3</v>
      </c>
      <c r="P5" s="21"/>
      <c r="Q5" s="21"/>
      <c r="R5" s="15"/>
      <c r="S5" s="15"/>
      <c r="T5" s="15"/>
      <c r="U5" s="15"/>
    </row>
    <row r="6" spans="1:21" s="14" customFormat="1" ht="18.75">
      <c r="A6" s="5" t="s">
        <v>8</v>
      </c>
      <c r="B6" s="6">
        <f t="shared" ref="B6:G6" si="1">SUM(B7:B9)</f>
        <v>207</v>
      </c>
      <c r="C6" s="6">
        <f t="shared" si="1"/>
        <v>158</v>
      </c>
      <c r="D6" s="6">
        <f t="shared" si="1"/>
        <v>192</v>
      </c>
      <c r="E6" s="6">
        <f t="shared" si="1"/>
        <v>268</v>
      </c>
      <c r="F6" s="6">
        <f>SUM(F7:F9)</f>
        <v>203</v>
      </c>
      <c r="G6" s="6">
        <f t="shared" si="1"/>
        <v>215</v>
      </c>
      <c r="H6" s="6">
        <f>SUM(H7:H9)</f>
        <v>219</v>
      </c>
      <c r="I6" s="6">
        <f>SUM(I7:I9)</f>
        <v>223</v>
      </c>
      <c r="J6" s="6">
        <f>SUM(J7:J9)</f>
        <v>131</v>
      </c>
      <c r="K6" s="6">
        <f>SUM(K7:K9)</f>
        <v>151</v>
      </c>
      <c r="L6" s="6">
        <f>SUM(L7:L9)</f>
        <v>106</v>
      </c>
      <c r="M6" s="38">
        <f t="shared" ref="M6:M10" si="2">L6/L$5*100</f>
        <v>17.377049180327869</v>
      </c>
      <c r="N6" s="41">
        <f t="shared" ref="N6:N10" si="3">((L6-K6)/K6*100)</f>
        <v>-29.80132450331126</v>
      </c>
      <c r="O6" s="23" t="s">
        <v>9</v>
      </c>
      <c r="P6" s="6"/>
      <c r="Q6" s="6"/>
      <c r="R6" s="15"/>
      <c r="S6" s="15"/>
      <c r="T6" s="15"/>
      <c r="U6" s="15"/>
    </row>
    <row r="7" spans="1:21" s="19" customFormat="1" ht="18.75">
      <c r="A7" s="16" t="s">
        <v>10</v>
      </c>
      <c r="B7" s="22">
        <v>113</v>
      </c>
      <c r="C7" s="22">
        <v>34</v>
      </c>
      <c r="D7" s="22">
        <v>23</v>
      </c>
      <c r="E7" s="25">
        <v>20</v>
      </c>
      <c r="F7" s="25">
        <v>18</v>
      </c>
      <c r="G7" s="25">
        <v>22</v>
      </c>
      <c r="H7" s="25">
        <v>17</v>
      </c>
      <c r="I7" s="25">
        <v>26</v>
      </c>
      <c r="J7" s="25">
        <v>6</v>
      </c>
      <c r="K7" s="25">
        <v>12</v>
      </c>
      <c r="L7" s="25">
        <v>4</v>
      </c>
      <c r="M7" s="35">
        <f t="shared" si="2"/>
        <v>0.65573770491803274</v>
      </c>
      <c r="N7" s="26">
        <f t="shared" si="3"/>
        <v>-66.666666666666657</v>
      </c>
      <c r="O7" s="8" t="s">
        <v>11</v>
      </c>
      <c r="P7" s="22"/>
      <c r="Q7" s="22"/>
      <c r="R7" s="15"/>
      <c r="S7" s="17"/>
      <c r="T7" s="17"/>
      <c r="U7" s="17"/>
    </row>
    <row r="8" spans="1:21" s="19" customFormat="1" ht="18.75">
      <c r="A8" s="16" t="s">
        <v>12</v>
      </c>
      <c r="B8" s="22">
        <v>49</v>
      </c>
      <c r="C8" s="22">
        <v>38</v>
      </c>
      <c r="D8" s="22">
        <v>26</v>
      </c>
      <c r="E8" s="25">
        <v>21</v>
      </c>
      <c r="F8" s="25">
        <v>21</v>
      </c>
      <c r="G8" s="25">
        <v>24</v>
      </c>
      <c r="H8" s="25">
        <v>34</v>
      </c>
      <c r="I8" s="25">
        <v>48</v>
      </c>
      <c r="J8" s="25">
        <v>16</v>
      </c>
      <c r="K8" s="25">
        <v>7</v>
      </c>
      <c r="L8" s="25">
        <v>10</v>
      </c>
      <c r="M8" s="35">
        <f t="shared" si="2"/>
        <v>1.639344262295082</v>
      </c>
      <c r="N8" s="26">
        <f t="shared" si="3"/>
        <v>42.857142857142854</v>
      </c>
      <c r="O8" s="8" t="s">
        <v>13</v>
      </c>
      <c r="P8" s="22"/>
      <c r="Q8" s="22"/>
      <c r="R8" s="15"/>
      <c r="S8" s="17"/>
      <c r="T8" s="17"/>
      <c r="U8" s="17"/>
    </row>
    <row r="9" spans="1:21" s="19" customFormat="1" ht="18.75">
      <c r="A9" s="16" t="s">
        <v>14</v>
      </c>
      <c r="B9" s="22">
        <v>45</v>
      </c>
      <c r="C9" s="22">
        <v>86</v>
      </c>
      <c r="D9" s="22">
        <v>143</v>
      </c>
      <c r="E9" s="25">
        <v>227</v>
      </c>
      <c r="F9" s="25">
        <v>164</v>
      </c>
      <c r="G9" s="25">
        <v>169</v>
      </c>
      <c r="H9" s="25">
        <v>168</v>
      </c>
      <c r="I9" s="25">
        <v>149</v>
      </c>
      <c r="J9" s="25">
        <v>109</v>
      </c>
      <c r="K9" s="25">
        <v>132</v>
      </c>
      <c r="L9" s="25">
        <v>92</v>
      </c>
      <c r="M9" s="35">
        <f t="shared" si="2"/>
        <v>15.081967213114755</v>
      </c>
      <c r="N9" s="26">
        <f t="shared" si="3"/>
        <v>-30.303030303030305</v>
      </c>
      <c r="O9" s="8" t="s">
        <v>15</v>
      </c>
      <c r="P9" s="22"/>
      <c r="Q9" s="22"/>
      <c r="R9" s="15"/>
      <c r="S9" s="17"/>
      <c r="T9" s="17"/>
      <c r="U9" s="17"/>
    </row>
    <row r="10" spans="1:21" s="29" customFormat="1" ht="18.75">
      <c r="A10" s="4" t="s">
        <v>16</v>
      </c>
      <c r="B10" s="27">
        <v>1113</v>
      </c>
      <c r="C10" s="27">
        <v>1106</v>
      </c>
      <c r="D10" s="27">
        <v>1097</v>
      </c>
      <c r="E10" s="24">
        <v>794</v>
      </c>
      <c r="F10" s="24">
        <v>741</v>
      </c>
      <c r="G10" s="24">
        <v>566</v>
      </c>
      <c r="H10" s="24">
        <v>551</v>
      </c>
      <c r="I10" s="24">
        <v>530</v>
      </c>
      <c r="J10" s="24">
        <v>500</v>
      </c>
      <c r="K10" s="24">
        <v>510</v>
      </c>
      <c r="L10" s="24">
        <v>504</v>
      </c>
      <c r="M10" s="39">
        <f t="shared" si="2"/>
        <v>82.622950819672141</v>
      </c>
      <c r="N10" s="40">
        <f t="shared" si="3"/>
        <v>-1.1764705882352942</v>
      </c>
      <c r="O10" s="28" t="s">
        <v>17</v>
      </c>
      <c r="P10" s="6"/>
      <c r="Q10" s="6"/>
      <c r="R10" s="15"/>
      <c r="S10" s="15"/>
      <c r="T10" s="15"/>
      <c r="U10" s="15"/>
    </row>
    <row r="11" spans="1:21">
      <c r="A11" s="11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36" t="s">
        <v>2</v>
      </c>
      <c r="R11" s="3"/>
      <c r="S11" s="3"/>
      <c r="T11" s="3"/>
      <c r="U11" s="3"/>
    </row>
    <row r="12" spans="1:21">
      <c r="R12" s="3"/>
      <c r="S12" s="3"/>
      <c r="T12" s="3"/>
      <c r="U12" s="3"/>
    </row>
    <row r="13" spans="1:21">
      <c r="A13" s="18"/>
      <c r="R13" s="3"/>
      <c r="S13" s="3"/>
      <c r="T13" s="3"/>
      <c r="U13" s="3"/>
    </row>
    <row r="14" spans="1:21">
      <c r="R14" s="3"/>
      <c r="S14" s="3"/>
      <c r="T14" s="3"/>
      <c r="U14" s="3"/>
    </row>
    <row r="15" spans="1:21">
      <c r="R15" s="3"/>
      <c r="S15" s="3"/>
      <c r="T15" s="3"/>
      <c r="U15" s="3"/>
    </row>
    <row r="16" spans="1:21">
      <c r="R16" s="3"/>
      <c r="S16" s="3"/>
      <c r="T16" s="3"/>
      <c r="U16" s="3"/>
    </row>
    <row r="17" spans="1:21">
      <c r="R17" s="3"/>
      <c r="S17" s="3"/>
      <c r="T17" s="3"/>
      <c r="U17" s="3"/>
    </row>
    <row r="18" spans="1:21" ht="17.25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9"/>
      <c r="O18" s="13"/>
      <c r="R18" s="3"/>
      <c r="S18" s="3"/>
      <c r="T18" s="3"/>
      <c r="U18" s="3"/>
    </row>
    <row r="19" spans="1:21">
      <c r="R19" s="3"/>
      <c r="S19" s="3"/>
      <c r="T19" s="3"/>
      <c r="U19" s="3"/>
    </row>
    <row r="20" spans="1:21">
      <c r="R20" s="3"/>
      <c r="S20" s="3"/>
      <c r="T20" s="3"/>
      <c r="U20" s="3"/>
    </row>
    <row r="27" spans="1:21">
      <c r="P27" s="30"/>
      <c r="Q27" s="30"/>
      <c r="R27" s="30"/>
    </row>
    <row r="28" spans="1:21">
      <c r="P28" s="14"/>
      <c r="Q28" s="14"/>
      <c r="R28" s="30"/>
    </row>
    <row r="29" spans="1:21">
      <c r="P29" s="14"/>
      <c r="Q29" s="14"/>
      <c r="R29" s="30"/>
    </row>
    <row r="30" spans="1:21">
      <c r="P30" s="14"/>
      <c r="Q30" s="14"/>
      <c r="R30" s="30"/>
    </row>
    <row r="31" spans="1:21">
      <c r="P31" s="14"/>
      <c r="Q31" s="14"/>
      <c r="R31" s="30"/>
    </row>
    <row r="32" spans="1:21">
      <c r="P32" s="14"/>
      <c r="Q32" s="14"/>
      <c r="R32" s="30"/>
    </row>
    <row r="33" spans="16:21">
      <c r="P33" s="14"/>
      <c r="Q33" s="14"/>
      <c r="R33" s="30"/>
    </row>
    <row r="34" spans="16:21">
      <c r="S34" s="31"/>
      <c r="T34" s="32"/>
      <c r="U34" s="30"/>
    </row>
    <row r="35" spans="16:21">
      <c r="S35" s="31"/>
      <c r="T35" s="32"/>
      <c r="U35" s="30"/>
    </row>
    <row r="36" spans="16:21">
      <c r="P36" s="30"/>
      <c r="Q36" s="30"/>
      <c r="R36" s="30"/>
      <c r="T36" s="5"/>
      <c r="U36" s="6"/>
    </row>
    <row r="37" spans="16:21">
      <c r="P37" s="30"/>
      <c r="Q37" s="30"/>
      <c r="R37" s="30"/>
    </row>
    <row r="38" spans="16:21">
      <c r="P38" s="30"/>
      <c r="Q38" s="30"/>
      <c r="R38" s="30"/>
    </row>
    <row r="39" spans="16:21">
      <c r="P39" s="30"/>
      <c r="Q39" s="30"/>
      <c r="R39" s="30"/>
    </row>
    <row r="40" spans="16:21">
      <c r="P40" s="30"/>
      <c r="Q40" s="30"/>
      <c r="R40" s="30"/>
    </row>
  </sheetData>
  <mergeCells count="15">
    <mergeCell ref="I3:I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</mergeCells>
  <pageMargins left="0.7" right="0.7" top="0.75" bottom="0.75" header="0.3" footer="0.3"/>
  <pageSetup paperSize="9" scale="56" orientation="portrait" r:id="rId1"/>
  <colBreaks count="1" manualBreakCount="1">
    <brk id="16" max="59" man="1"/>
  </colBreaks>
  <ignoredErrors>
    <ignoredError sqref="G6:K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2023-05-16T12:17:29Z</cp:lastPrinted>
  <dcterms:created xsi:type="dcterms:W3CDTF">2019-06-30T04:22:49Z</dcterms:created>
  <dcterms:modified xsi:type="dcterms:W3CDTF">2023-05-16T12:17:36Z</dcterms:modified>
</cp:coreProperties>
</file>