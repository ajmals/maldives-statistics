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A59925A7-E83D-41B1-9C82-339E9A170BC3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1" sheetId="11" r:id="rId1"/>
  </sheets>
  <definedNames>
    <definedName name="_xlnm.Print_Area" localSheetId="0">'8.11'!$A$1:$O$49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1" l="1"/>
  <c r="M7" i="11"/>
  <c r="M8" i="11"/>
  <c r="M10" i="11"/>
  <c r="M12" i="11"/>
  <c r="L5" i="11" l="1"/>
  <c r="K5" i="11" l="1"/>
  <c r="M5" i="11" s="1"/>
  <c r="J5" i="11" l="1"/>
  <c r="I5" i="11" l="1"/>
  <c r="H5" i="11"/>
  <c r="G5" i="11"/>
  <c r="F5" i="11"/>
  <c r="E5" i="11"/>
  <c r="D5" i="11"/>
  <c r="C5" i="11"/>
  <c r="B5" i="11"/>
  <c r="X11" i="11" l="1"/>
  <c r="X10" i="11"/>
  <c r="X9" i="11"/>
  <c r="X8" i="11"/>
  <c r="X7" i="11"/>
  <c r="X6" i="11"/>
</calcChain>
</file>

<file path=xl/sharedStrings.xml><?xml version="1.0" encoding="utf-8"?>
<sst xmlns="http://schemas.openxmlformats.org/spreadsheetml/2006/main" count="40" uniqueCount="29">
  <si>
    <t>Total</t>
  </si>
  <si>
    <t>Traffic accidents</t>
  </si>
  <si>
    <t>Source: Maldives Police Service</t>
  </si>
  <si>
    <t>csivrws csilop cscviDclOm :Ivcaed utWmUluAwm</t>
  </si>
  <si>
    <t>-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</si>
  <si>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</si>
  <si>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</si>
  <si>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</si>
  <si>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</si>
  <si>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>Homicides</t>
  </si>
  <si>
    <t>ގަސްތުގައި މީހުން މެރުން</t>
  </si>
  <si>
    <t>Homicide</t>
  </si>
  <si>
    <t>Suicides</t>
  </si>
  <si>
    <t>އަމިއްލައަށް މަރުވުން</t>
  </si>
  <si>
    <t>Suicide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</si>
  <si>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</si>
  <si>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</si>
  <si>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</si>
  <si>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</si>
  <si>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</si>
  <si>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</si>
  <si>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</si>
  <si>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Marine Accidents</t>
  </si>
  <si>
    <t>ކަނޑުމަތީގެ އެކްސިޑެންޓް</t>
  </si>
  <si>
    <t>% change over 2020</t>
  </si>
  <si>
    <t>Table 8.11 : LOGGED CASES OF DEATH , 2016 - 2021</t>
  </si>
  <si>
    <t>ތާވަލު 8.11: ހުށަހެޅިފައިވާ މަރުގެ މައްސަލަތައް، 2016- 2021</t>
  </si>
  <si>
    <t>(*)</t>
  </si>
  <si>
    <t xml:space="preserve">Note: (*) - Indicates if the percentage change is greater than 100.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</si>
</sst>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_Randhoo"/>
    </font>
    <font>
      <sz val="9"/>
      <color theme="1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0"/>
      <color theme="1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i/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8" fillId="0" borderId="7" applyNumberFormat="0" applyFill="0" applyAlignment="0" applyProtection="0"/>
    <xf numFmtId="0" fontId="17" fillId="0" borderId="0"/>
    <xf numFmtId="0" fontId="17" fillId="0" borderId="0"/>
    <xf numFmtId="0" fontId="17" fillId="0" borderId="0"/>
  </cellStyleXfs>
  <cellXfs count="47">
    <xf numFmtId="0" fontId="0" fillId="0" borderId="0" xfId="0"/>
    <xf numFmtId="164" fontId="0" fillId="2" borderId="0" xfId="0" applyNumberFormat="1" applyFill="1"/>
    <xf numFmtId="165" fontId="4" fillId="2" borderId="0" xfId="0" applyNumberFormat="1" applyFont="1" applyFill="1"/>
    <xf numFmtId="164" fontId="4" fillId="2" borderId="0" xfId="0" applyNumberFormat="1" applyFont="1" applyFill="1"/>
    <xf numFmtId="164" fontId="3" fillId="2" borderId="0" xfId="0" applyNumberFormat="1" applyFont="1" applyFill="1" applyAlignment="1">
      <alignment vertical="center"/>
    </xf>
    <xf numFmtId="164" fontId="8" fillId="2" borderId="5" xfId="0" applyNumberFormat="1" applyFont="1" applyFill="1" applyBorder="1" applyAlignment="1">
      <alignment vertical="center"/>
    </xf>
    <xf numFmtId="164" fontId="10" fillId="2" borderId="0" xfId="0" applyNumberFormat="1" applyFont="1" applyFill="1"/>
    <xf numFmtId="3" fontId="3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 indent="1"/>
    </xf>
    <xf numFmtId="3" fontId="3" fillId="2" borderId="4" xfId="0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horizontal="right" vertical="center" indent="1"/>
    </xf>
    <xf numFmtId="164" fontId="11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right" vertical="center" wrapText="1"/>
    </xf>
    <xf numFmtId="164" fontId="13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vertical="center"/>
    </xf>
    <xf numFmtId="166" fontId="5" fillId="2" borderId="3" xfId="1" applyNumberFormat="1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/>
    <xf numFmtId="164" fontId="3" fillId="2" borderId="0" xfId="0" applyNumberFormat="1" applyFont="1" applyFill="1" applyAlignment="1">
      <alignment horizontal="left" vertical="center" indent="1"/>
    </xf>
    <xf numFmtId="166" fontId="3" fillId="2" borderId="0" xfId="1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 indent="7"/>
    </xf>
    <xf numFmtId="164" fontId="13" fillId="2" borderId="0" xfId="0" applyNumberFormat="1" applyFont="1" applyFill="1" applyAlignment="1">
      <alignment horizontal="right" vertical="center"/>
    </xf>
    <xf numFmtId="164" fontId="3" fillId="2" borderId="4" xfId="0" applyNumberFormat="1" applyFont="1" applyFill="1" applyBorder="1" applyAlignment="1">
      <alignment horizontal="left" vertical="center" indent="1"/>
    </xf>
    <xf numFmtId="166" fontId="3" fillId="2" borderId="4" xfId="1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 indent="7"/>
    </xf>
    <xf numFmtId="164" fontId="9" fillId="2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right" vertical="center" indent="1"/>
    </xf>
    <xf numFmtId="166" fontId="3" fillId="2" borderId="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horizontal="center" vertical="center" wrapText="1"/>
    </xf>
    <xf numFmtId="0" fontId="19" fillId="2" borderId="0" xfId="8" applyFont="1" applyFill="1" applyAlignment="1">
      <alignment horizontal="left"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15" fillId="2" borderId="3" xfId="0" applyNumberFormat="1" applyFont="1" applyFill="1" applyBorder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left" vertical="center" wrapText="1"/>
    </xf>
    <xf numFmtId="164" fontId="14" fillId="2" borderId="4" xfId="0" applyNumberFormat="1" applyFont="1" applyFill="1" applyBorder="1" applyAlignment="1">
      <alignment horizontal="left" vertical="center" wrapText="1"/>
    </xf>
  </cellXfs>
  <cellStyles count="9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Normal_Quick data" xfId="8" xr:uid="{8E671006-C55D-4404-BCF4-935B647BB431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6946563418781553"/>
          <c:y val="0.15588886392441348"/>
          <c:w val="0.32296967100468466"/>
          <c:h val="0.820790744779583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DCD7-40F2-9218-11AA2782A93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0-DCD7-40F2-9218-11AA2782A93E}"/>
              </c:ext>
            </c:extLst>
          </c:dPt>
          <c:dPt>
            <c:idx val="3"/>
            <c:bubble3D val="0"/>
            <c:spPr>
              <a:solidFill>
                <a:srgbClr val="FFEFEF"/>
              </a:solidFill>
            </c:spPr>
            <c:extLst>
              <c:ext xmlns:c16="http://schemas.microsoft.com/office/drawing/2014/chart" uri="{C3380CC4-5D6E-409C-BE32-E72D297353CC}">
                <c16:uniqueId val="{00000004-DCD7-40F2-9218-11AA2782A93E}"/>
              </c:ext>
            </c:extLst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DCD7-40F2-9218-11AA2782A93E}"/>
              </c:ext>
            </c:extLst>
          </c:dPt>
          <c:dPt>
            <c:idx val="5"/>
            <c:bubble3D val="0"/>
            <c:spPr>
              <a:solidFill>
                <a:srgbClr val="FFC5C5"/>
              </a:solidFill>
            </c:spPr>
            <c:extLst>
              <c:ext xmlns:c16="http://schemas.microsoft.com/office/drawing/2014/chart" uri="{C3380CC4-5D6E-409C-BE32-E72D297353CC}">
                <c16:uniqueId val="{00000002-DCD7-40F2-9218-11AA2782A93E}"/>
              </c:ext>
            </c:extLst>
          </c:dPt>
          <c:dPt>
            <c:idx val="6"/>
            <c:bubble3D val="0"/>
            <c:spPr>
              <a:solidFill>
                <a:srgbClr val="FF6969"/>
              </a:solidFill>
            </c:spPr>
            <c:extLst>
              <c:ext xmlns:c16="http://schemas.microsoft.com/office/drawing/2014/chart" uri="{C3380CC4-5D6E-409C-BE32-E72D297353CC}">
                <c16:uniqueId val="{00000004-910F-4BCD-9372-490C8D43D8FC}"/>
              </c:ext>
            </c:extLst>
          </c:dPt>
          <c:dLbls>
            <c:dLbl>
              <c:idx val="0"/>
              <c:layout>
                <c:manualLayout>
                  <c:x val="5.775935777697868E-2"/>
                  <c:y val="6.47511874522708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72287848981179"/>
                      <c:h val="0.107582913049350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CD7-40F2-9218-11AA2782A93E}"/>
                </c:ext>
              </c:extLst>
            </c:dLbl>
            <c:dLbl>
              <c:idx val="1"/>
              <c:layout>
                <c:manualLayout>
                  <c:x val="-5.5532677647899993E-2"/>
                  <c:y val="0.178947769396704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D7-40F2-9218-11AA2782A93E}"/>
                </c:ext>
              </c:extLst>
            </c:dLbl>
            <c:dLbl>
              <c:idx val="4"/>
              <c:layout>
                <c:manualLayout>
                  <c:x val="3.2757219995718817E-2"/>
                  <c:y val="6.7117163888870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D7-40F2-9218-11AA2782A93E}"/>
                </c:ext>
              </c:extLst>
            </c:dLbl>
            <c:dLbl>
              <c:idx val="5"/>
              <c:layout>
                <c:manualLayout>
                  <c:x val="-0.10341608425412514"/>
                  <c:y val="3.06673777301550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D7-40F2-9218-11AA2782A93E}"/>
                </c:ext>
              </c:extLst>
            </c:dLbl>
            <c:dLbl>
              <c:idx val="6"/>
              <c:layout>
                <c:manualLayout>
                  <c:x val="0.18069459194674381"/>
                  <c:y val="-9.39752729310295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0F-4BCD-9372-490C8D43D8F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'8.11'!$A$6:$A$12</c:f>
              <c:strCache>
                <c:ptCount val="7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  <c:pt idx="6">
                  <c:v>Other death cases logged</c:v>
                </c:pt>
              </c:strCache>
            </c:strRef>
          </c:cat>
          <c:val>
            <c:numRef>
              <c:f>'8.11'!$L$6:$L$12</c:f>
              <c:numCache>
                <c:formatCode>#,##0</c:formatCode>
                <c:ptCount val="7"/>
                <c:pt idx="0">
                  <c:v>4</c:v>
                </c:pt>
                <c:pt idx="1">
                  <c:v>18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22</c:v>
                </c:pt>
                <c:pt idx="6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E5-4722-8CD5-3E16C70C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8.17: Number of death cases by type, 2019</a:t>
            </a:r>
            <a:r>
              <a:rPr lang="en-US" sz="1200" b="1" baseline="0"/>
              <a:t> - 2021</a:t>
            </a:r>
            <a:endParaRPr lang="en-US" sz="1200" b="1"/>
          </a:p>
        </c:rich>
      </c:tx>
      <c:layout>
        <c:manualLayout>
          <c:xMode val="edge"/>
          <c:yMode val="edge"/>
          <c:x val="0.24601593807260472"/>
          <c:y val="3.79377402848019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219260555825087E-2"/>
          <c:y val="0.15634564301814474"/>
          <c:w val="0.94132317361263051"/>
          <c:h val="0.725316488047288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'8.11'!$J$3:$J$4</c:f>
              <c:strCache>
                <c:ptCount val="2"/>
                <c:pt idx="0">
                  <c:v>2019 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'8.11'!$J$6:$J$11</c:f>
              <c:numCache>
                <c:formatCode>#,##0</c:formatCode>
                <c:ptCount val="6"/>
                <c:pt idx="0">
                  <c:v>3</c:v>
                </c:pt>
                <c:pt idx="1">
                  <c:v>17</c:v>
                </c:pt>
                <c:pt idx="2">
                  <c:v>28</c:v>
                </c:pt>
                <c:pt idx="3">
                  <c:v>5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9-43C6-BAC7-B970DD4052CC}"/>
            </c:ext>
          </c:extLst>
        </c:ser>
        <c:ser>
          <c:idx val="2"/>
          <c:order val="1"/>
          <c:tx>
            <c:strRef>
              <c:f>'8.11'!$K$3:$K$4</c:f>
              <c:strCache>
                <c:ptCount val="2"/>
                <c:pt idx="0">
                  <c:v>2020 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'8.11'!$K$6:$K$11</c:f>
              <c:numCache>
                <c:formatCode>#,##0</c:formatCode>
                <c:ptCount val="6"/>
                <c:pt idx="0">
                  <c:v>2</c:v>
                </c:pt>
                <c:pt idx="1">
                  <c:v>13</c:v>
                </c:pt>
                <c:pt idx="2">
                  <c:v>11</c:v>
                </c:pt>
                <c:pt idx="3">
                  <c:v>0</c:v>
                </c:pt>
                <c:pt idx="4">
                  <c:v>1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9-43C6-BAC7-B970DD4052CC}"/>
            </c:ext>
          </c:extLst>
        </c:ser>
        <c:ser>
          <c:idx val="3"/>
          <c:order val="2"/>
          <c:tx>
            <c:strRef>
              <c:f>'8.11'!$L$3:$L$4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'8.11'!$L$6:$L$11</c:f>
              <c:numCache>
                <c:formatCode>#,##0</c:formatCode>
                <c:ptCount val="6"/>
                <c:pt idx="0">
                  <c:v>4</c:v>
                </c:pt>
                <c:pt idx="1">
                  <c:v>18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9-43C6-BAC7-B970DD405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292352"/>
        <c:axId val="44298240"/>
      </c:barChart>
      <c:catAx>
        <c:axId val="442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240"/>
        <c:crosses val="autoZero"/>
        <c:auto val="1"/>
        <c:lblAlgn val="ctr"/>
        <c:lblOffset val="100"/>
        <c:noMultiLvlLbl val="0"/>
      </c:catAx>
      <c:valAx>
        <c:axId val="442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E5E5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235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1675952809334811"/>
          <c:y val="0.19961856473197467"/>
          <c:w val="0.17387828557445931"/>
          <c:h val="7.69855578119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354609</xdr:colOff>
      <xdr:row>14</xdr:row>
      <xdr:rowOff>134783</xdr:rowOff>
    </xdr:from>
    <xdr:to>
      <xdr:col>13</xdr:col>
      <xdr:colOff>1230312</xdr:colOff>
      <xdr:row>31</xdr:row>
      <xdr:rowOff>151500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239088</xdr:colOff>
      <xdr:row>15</xdr:row>
      <xdr:rowOff>79033</xdr:rowOff>
    </xdr:from>
    <xdr:to>
      <xdr:col>12</xdr:col>
      <xdr:colOff>57379</xdr:colOff>
      <xdr:row>16</xdr:row>
      <xdr:rowOff>143449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2700669" y="3705419"/>
          <a:ext cx="3800430" cy="253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cs typeface="Consolas" pitchFamily="49" charset="0"/>
            </a:rPr>
            <a:t>Figure 8.16: Percentage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cs typeface="Consolas" pitchFamily="49" charset="0"/>
            </a:rPr>
            <a:t> share of death cases logged, 2021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  <xdr:twoCellAnchor>
    <xdr:from>
      <xdr:col>0</xdr:col>
      <xdr:colOff>340895</xdr:colOff>
      <xdr:row>32</xdr:row>
      <xdr:rowOff>20514</xdr:rowOff>
    </xdr:from>
    <xdr:to>
      <xdr:col>13</xdr:col>
      <xdr:colOff>1238250</xdr:colOff>
      <xdr:row>47</xdr:row>
      <xdr:rowOff>175845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A1:X15"/>
  <sheetViews>
    <sheetView tabSelected="1" zoomScale="96" zoomScaleNormal="96" workbookViewId="0">
      <selection activeCell="P12" sqref="P12"/>
    </sheetView>
  </sheetViews>
  <sheetFormatPr defaultColWidth="9.140625" defaultRowHeight="15"/>
  <cols>
    <col min="1" max="1" width="26.140625" style="1" customWidth="1"/>
    <col min="2" max="6" width="0" style="1" hidden="1" customWidth="1"/>
    <col min="7" max="9" width="10.7109375" style="1" customWidth="1"/>
    <col min="10" max="12" width="12.7109375" style="1" customWidth="1"/>
    <col min="13" max="13" width="22.42578125" style="1" customWidth="1"/>
    <col min="14" max="14" width="24.85546875" style="1" customWidth="1"/>
    <col min="15" max="15" width="3.42578125" style="1" customWidth="1"/>
    <col min="16" max="21" width="24.85546875" style="1" customWidth="1"/>
    <col min="22" max="22" width="25.7109375" style="1" customWidth="1"/>
    <col min="23" max="16384" width="9.140625" style="1"/>
  </cols>
  <sheetData>
    <row r="1" spans="1:24" ht="21">
      <c r="A1" s="41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11"/>
      <c r="P1" s="11"/>
      <c r="Q1" s="11"/>
      <c r="R1" s="11"/>
      <c r="S1" s="11"/>
      <c r="T1" s="11"/>
      <c r="U1" s="11"/>
    </row>
    <row r="2" spans="1:24">
      <c r="A2" s="42" t="s">
        <v>25</v>
      </c>
      <c r="B2" s="42"/>
      <c r="C2" s="42"/>
      <c r="D2" s="42"/>
      <c r="E2" s="42"/>
      <c r="F2" s="42"/>
      <c r="G2" s="42"/>
      <c r="H2" s="42"/>
      <c r="I2" s="42"/>
      <c r="J2" s="42"/>
      <c r="K2" s="43"/>
      <c r="L2" s="44"/>
      <c r="M2" s="42"/>
      <c r="N2" s="42"/>
      <c r="O2" s="12"/>
      <c r="P2" s="12"/>
      <c r="Q2" s="12"/>
      <c r="R2" s="12"/>
      <c r="S2" s="12"/>
      <c r="T2" s="12"/>
      <c r="U2" s="12"/>
    </row>
    <row r="3" spans="1:24" ht="34.5">
      <c r="A3" s="45" t="s">
        <v>6</v>
      </c>
      <c r="B3" s="37">
        <v>2011</v>
      </c>
      <c r="C3" s="37">
        <v>2012</v>
      </c>
      <c r="D3" s="37">
        <v>2013</v>
      </c>
      <c r="E3" s="37">
        <v>2014</v>
      </c>
      <c r="F3" s="37">
        <v>2015</v>
      </c>
      <c r="G3" s="37">
        <v>2016</v>
      </c>
      <c r="H3" s="37">
        <v>2017</v>
      </c>
      <c r="I3" s="37">
        <v>2018</v>
      </c>
      <c r="J3" s="37">
        <v>2019</v>
      </c>
      <c r="K3" s="37">
        <v>2020</v>
      </c>
      <c r="L3" s="37">
        <v>2021</v>
      </c>
      <c r="M3" s="13" t="s">
        <v>8</v>
      </c>
      <c r="N3" s="39" t="s">
        <v>7</v>
      </c>
      <c r="O3" s="14"/>
      <c r="P3" s="14"/>
      <c r="Q3" s="14"/>
      <c r="R3" s="14"/>
      <c r="S3" s="14"/>
      <c r="T3" s="14"/>
      <c r="U3" s="14"/>
    </row>
    <row r="4" spans="1:24" ht="18.75">
      <c r="A4" s="46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5" t="s">
        <v>24</v>
      </c>
      <c r="N4" s="40"/>
      <c r="O4" s="15"/>
      <c r="P4" s="15"/>
      <c r="Q4" s="15"/>
      <c r="R4" s="15"/>
      <c r="S4" s="15"/>
      <c r="T4" s="15"/>
      <c r="U4" s="15"/>
    </row>
    <row r="5" spans="1:24" s="19" customFormat="1" ht="18.75">
      <c r="A5" s="16" t="s">
        <v>0</v>
      </c>
      <c r="B5" s="17">
        <f>SUM(B6:B12)</f>
        <v>171</v>
      </c>
      <c r="C5" s="17">
        <f>SUM(C6:C12)</f>
        <v>190</v>
      </c>
      <c r="D5" s="17">
        <f>SUM(D6:D12)</f>
        <v>183</v>
      </c>
      <c r="E5" s="17">
        <f>SUM(E6:E12)</f>
        <v>174</v>
      </c>
      <c r="F5" s="17">
        <f>SUM(F6:F12)</f>
        <v>172</v>
      </c>
      <c r="G5" s="17">
        <f t="shared" ref="G5:L5" si="0">SUM(G6:G12)</f>
        <v>154</v>
      </c>
      <c r="H5" s="17">
        <f t="shared" si="0"/>
        <v>174</v>
      </c>
      <c r="I5" s="17">
        <f t="shared" si="0"/>
        <v>181</v>
      </c>
      <c r="J5" s="17">
        <f t="shared" si="0"/>
        <v>224</v>
      </c>
      <c r="K5" s="17">
        <f t="shared" si="0"/>
        <v>174</v>
      </c>
      <c r="L5" s="17">
        <f t="shared" si="0"/>
        <v>182</v>
      </c>
      <c r="M5" s="22">
        <f>((L5-K5)/K5)*100</f>
        <v>4.5977011494252871</v>
      </c>
      <c r="N5" s="18" t="s">
        <v>5</v>
      </c>
      <c r="O5" s="34"/>
      <c r="P5" s="34"/>
      <c r="Q5" s="34"/>
      <c r="R5" s="18"/>
      <c r="S5" s="18"/>
      <c r="T5" s="18"/>
      <c r="U5" s="18"/>
      <c r="W5" s="3"/>
    </row>
    <row r="6" spans="1:24" s="3" customFormat="1" ht="18.75">
      <c r="A6" s="20" t="s">
        <v>9</v>
      </c>
      <c r="B6" s="21">
        <v>3</v>
      </c>
      <c r="C6" s="21">
        <v>10</v>
      </c>
      <c r="D6" s="4">
        <v>3</v>
      </c>
      <c r="E6" s="7">
        <v>3</v>
      </c>
      <c r="F6" s="7">
        <v>11</v>
      </c>
      <c r="G6" s="7">
        <v>5</v>
      </c>
      <c r="H6" s="7">
        <v>9</v>
      </c>
      <c r="I6" s="7">
        <v>3</v>
      </c>
      <c r="J6" s="7">
        <v>3</v>
      </c>
      <c r="K6" s="7">
        <v>2</v>
      </c>
      <c r="L6" s="7">
        <v>4</v>
      </c>
      <c r="M6" s="22">
        <f t="shared" ref="M6:M12" si="1">((L6-K6)/K6)*100</f>
        <v>100</v>
      </c>
      <c r="N6" s="8" t="s">
        <v>10</v>
      </c>
      <c r="O6" s="7"/>
      <c r="P6" s="7"/>
      <c r="Q6" s="7"/>
      <c r="R6" s="23"/>
      <c r="S6" s="23"/>
      <c r="T6" s="23"/>
      <c r="U6" s="23"/>
      <c r="W6" s="20" t="s">
        <v>11</v>
      </c>
      <c r="X6" s="2">
        <f t="shared" ref="X6:X11" si="2">(H6/$H$5)*100</f>
        <v>5.1724137931034484</v>
      </c>
    </row>
    <row r="7" spans="1:24" s="3" customFormat="1" ht="18.75">
      <c r="A7" s="20" t="s">
        <v>12</v>
      </c>
      <c r="B7" s="21">
        <v>13</v>
      </c>
      <c r="C7" s="21">
        <v>8</v>
      </c>
      <c r="D7" s="4">
        <v>19</v>
      </c>
      <c r="E7" s="7">
        <v>12</v>
      </c>
      <c r="F7" s="7">
        <v>15</v>
      </c>
      <c r="G7" s="7">
        <v>17</v>
      </c>
      <c r="H7" s="7">
        <v>17</v>
      </c>
      <c r="I7" s="7">
        <v>14</v>
      </c>
      <c r="J7" s="7">
        <v>17</v>
      </c>
      <c r="K7" s="7">
        <v>13</v>
      </c>
      <c r="L7" s="7">
        <v>18</v>
      </c>
      <c r="M7" s="22">
        <f t="shared" si="1"/>
        <v>38.461538461538467</v>
      </c>
      <c r="N7" s="8" t="s">
        <v>13</v>
      </c>
      <c r="O7" s="7"/>
      <c r="P7" s="7"/>
      <c r="Q7" s="7"/>
      <c r="R7" s="23"/>
      <c r="S7" s="23"/>
      <c r="T7" s="23"/>
      <c r="U7" s="23"/>
      <c r="W7" s="20" t="s">
        <v>14</v>
      </c>
      <c r="X7" s="2">
        <f t="shared" si="2"/>
        <v>9.7701149425287355</v>
      </c>
    </row>
    <row r="8" spans="1:24" s="3" customFormat="1" ht="18.75">
      <c r="A8" s="20" t="s">
        <v>15</v>
      </c>
      <c r="B8" s="21">
        <v>13</v>
      </c>
      <c r="C8" s="21">
        <v>12</v>
      </c>
      <c r="D8" s="4">
        <v>15</v>
      </c>
      <c r="E8" s="7">
        <v>14</v>
      </c>
      <c r="F8" s="7">
        <v>11</v>
      </c>
      <c r="G8" s="7">
        <v>16</v>
      </c>
      <c r="H8" s="7">
        <v>19</v>
      </c>
      <c r="I8" s="7">
        <v>15</v>
      </c>
      <c r="J8" s="7">
        <v>28</v>
      </c>
      <c r="K8" s="7">
        <v>11</v>
      </c>
      <c r="L8" s="7">
        <v>4</v>
      </c>
      <c r="M8" s="22">
        <f t="shared" si="1"/>
        <v>-63.636363636363633</v>
      </c>
      <c r="N8" s="8" t="s">
        <v>16</v>
      </c>
      <c r="O8" s="7"/>
      <c r="P8" s="7"/>
      <c r="Q8" s="7"/>
      <c r="R8" s="23"/>
      <c r="S8" s="23"/>
      <c r="T8" s="23"/>
      <c r="U8" s="23"/>
      <c r="W8" s="20" t="s">
        <v>15</v>
      </c>
      <c r="X8" s="2">
        <f t="shared" si="2"/>
        <v>10.919540229885058</v>
      </c>
    </row>
    <row r="9" spans="1:24" s="3" customFormat="1" ht="18.75">
      <c r="A9" s="20" t="s">
        <v>1</v>
      </c>
      <c r="B9" s="21">
        <v>7</v>
      </c>
      <c r="C9" s="21">
        <v>5</v>
      </c>
      <c r="D9" s="4">
        <v>2</v>
      </c>
      <c r="E9" s="7">
        <v>10</v>
      </c>
      <c r="F9" s="7">
        <v>12</v>
      </c>
      <c r="G9" s="7">
        <v>4</v>
      </c>
      <c r="H9" s="7">
        <v>9</v>
      </c>
      <c r="I9" s="7">
        <v>8</v>
      </c>
      <c r="J9" s="7">
        <v>5</v>
      </c>
      <c r="K9" s="7">
        <v>0</v>
      </c>
      <c r="L9" s="7">
        <v>6</v>
      </c>
      <c r="M9" s="22" t="s">
        <v>4</v>
      </c>
      <c r="N9" s="8" t="s">
        <v>17</v>
      </c>
      <c r="O9" s="7"/>
      <c r="P9" s="7"/>
      <c r="Q9" s="7"/>
      <c r="R9" s="23"/>
      <c r="S9" s="23"/>
      <c r="T9" s="23"/>
      <c r="U9" s="23"/>
      <c r="W9" s="20" t="s">
        <v>1</v>
      </c>
      <c r="X9" s="2">
        <f t="shared" si="2"/>
        <v>5.1724137931034484</v>
      </c>
    </row>
    <row r="10" spans="1:24" s="3" customFormat="1" ht="18.75">
      <c r="A10" s="20" t="s">
        <v>22</v>
      </c>
      <c r="B10" s="31" t="s">
        <v>4</v>
      </c>
      <c r="C10" s="31" t="s">
        <v>4</v>
      </c>
      <c r="D10" s="32" t="s">
        <v>4</v>
      </c>
      <c r="E10" s="7" t="s">
        <v>4</v>
      </c>
      <c r="F10" s="7" t="s">
        <v>4</v>
      </c>
      <c r="G10" s="7" t="s">
        <v>4</v>
      </c>
      <c r="H10" s="7" t="s">
        <v>4</v>
      </c>
      <c r="I10" s="7">
        <v>4</v>
      </c>
      <c r="J10" s="7">
        <v>0</v>
      </c>
      <c r="K10" s="7">
        <v>1</v>
      </c>
      <c r="L10" s="7">
        <v>1</v>
      </c>
      <c r="M10" s="22">
        <f t="shared" si="1"/>
        <v>0</v>
      </c>
      <c r="N10" s="8" t="s">
        <v>23</v>
      </c>
      <c r="O10" s="7"/>
      <c r="P10" s="7"/>
      <c r="Q10" s="7"/>
      <c r="R10" s="23"/>
      <c r="S10" s="23"/>
      <c r="T10" s="23"/>
      <c r="U10" s="23"/>
      <c r="W10" s="20" t="s">
        <v>18</v>
      </c>
      <c r="X10" s="2" t="e">
        <f t="shared" si="2"/>
        <v>#VALUE!</v>
      </c>
    </row>
    <row r="11" spans="1:24" s="3" customFormat="1" ht="18.75">
      <c r="A11" s="20" t="s">
        <v>18</v>
      </c>
      <c r="B11" s="21">
        <v>8</v>
      </c>
      <c r="C11" s="21">
        <v>30</v>
      </c>
      <c r="D11" s="4">
        <v>15</v>
      </c>
      <c r="E11" s="7">
        <v>13</v>
      </c>
      <c r="F11" s="7">
        <v>18</v>
      </c>
      <c r="G11" s="7">
        <v>12</v>
      </c>
      <c r="H11" s="7">
        <v>12</v>
      </c>
      <c r="I11" s="7">
        <v>22</v>
      </c>
      <c r="J11" s="7">
        <v>7</v>
      </c>
      <c r="K11" s="7">
        <v>9</v>
      </c>
      <c r="L11" s="7">
        <v>22</v>
      </c>
      <c r="M11" s="22" t="s">
        <v>27</v>
      </c>
      <c r="N11" s="8" t="s">
        <v>19</v>
      </c>
      <c r="O11" s="7"/>
      <c r="P11" s="7"/>
      <c r="Q11" s="7"/>
      <c r="R11" s="23"/>
      <c r="S11" s="23"/>
      <c r="T11" s="23"/>
      <c r="U11" s="23"/>
      <c r="W11" s="24" t="s">
        <v>20</v>
      </c>
      <c r="X11" s="2">
        <f t="shared" si="2"/>
        <v>6.8965517241379306</v>
      </c>
    </row>
    <row r="12" spans="1:24" s="3" customFormat="1" ht="18.75">
      <c r="A12" s="24" t="s">
        <v>20</v>
      </c>
      <c r="B12" s="25">
        <v>127</v>
      </c>
      <c r="C12" s="25">
        <v>125</v>
      </c>
      <c r="D12" s="26">
        <v>129</v>
      </c>
      <c r="E12" s="9">
        <v>122</v>
      </c>
      <c r="F12" s="9">
        <v>105</v>
      </c>
      <c r="G12" s="9">
        <v>100</v>
      </c>
      <c r="H12" s="9">
        <v>108</v>
      </c>
      <c r="I12" s="9">
        <v>115</v>
      </c>
      <c r="J12" s="9">
        <v>164</v>
      </c>
      <c r="K12" s="9">
        <v>138</v>
      </c>
      <c r="L12" s="9">
        <v>127</v>
      </c>
      <c r="M12" s="27">
        <f t="shared" si="1"/>
        <v>-7.9710144927536222</v>
      </c>
      <c r="N12" s="10" t="s">
        <v>21</v>
      </c>
      <c r="O12" s="7"/>
      <c r="P12" s="7"/>
      <c r="Q12" s="7"/>
      <c r="R12" s="23"/>
      <c r="S12" s="23"/>
      <c r="T12" s="23"/>
      <c r="U12" s="23"/>
      <c r="W12" s="20"/>
      <c r="X12" s="2"/>
    </row>
    <row r="13" spans="1:24">
      <c r="A13" s="36" t="s">
        <v>28</v>
      </c>
    </row>
    <row r="14" spans="1:24">
      <c r="A14" s="5" t="s">
        <v>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33" t="s">
        <v>3</v>
      </c>
      <c r="O14" s="30"/>
      <c r="P14" s="28"/>
      <c r="R14" s="28"/>
      <c r="S14" s="28"/>
      <c r="T14" s="28"/>
      <c r="U14" s="28"/>
    </row>
    <row r="15" spans="1:24">
      <c r="B15" s="29"/>
    </row>
  </sheetData>
  <mergeCells count="15">
    <mergeCell ref="I3:I4"/>
    <mergeCell ref="N3:N4"/>
    <mergeCell ref="A1:N1"/>
    <mergeCell ref="A2:N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K3:K4"/>
    <mergeCell ref="L3:L4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8.11</vt:lpstr>
      <vt:lpstr>'8.11'!Print_Area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2023-05-16T12:14:16Z</cp:lastPrinted>
  <dcterms:created xsi:type="dcterms:W3CDTF">2019-06-30T04:22:49Z</dcterms:created>
  <dcterms:modified xsi:type="dcterms:W3CDTF">2023-05-16T12:14:24Z</dcterms:modified>
</cp:coreProperties>
</file>