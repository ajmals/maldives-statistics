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58B1C806-1A63-4CC8-8431-082AC6F4B9D7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" sheetId="1" r:id="rId1"/>
  </sheets>
  <definedNames>
    <definedName name="_xlnm.Print_Area" localSheetId="0">'8.1'!$A$1:$T$49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4" i="1" l="1"/>
  <c r="AQ45" i="1"/>
  <c r="AQ46" i="1"/>
  <c r="AQ47" i="1"/>
  <c r="AQ48" i="1"/>
  <c r="P7" i="1"/>
  <c r="P8" i="1"/>
  <c r="P9" i="1"/>
  <c r="P10" i="1"/>
  <c r="P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6" i="1"/>
  <c r="O5" i="1"/>
  <c r="N5" i="1" l="1"/>
  <c r="AP44" i="1" l="1"/>
  <c r="AP45" i="1" l="1"/>
  <c r="AP46" i="1"/>
  <c r="AP47" i="1"/>
  <c r="AP48" i="1"/>
  <c r="M17" i="1" l="1"/>
  <c r="M5" i="1" l="1"/>
  <c r="P5" i="1" s="1"/>
  <c r="P17" i="1"/>
  <c r="AO44" i="1" l="1"/>
  <c r="AO45" i="1"/>
  <c r="AO46" i="1"/>
  <c r="AO47" i="1"/>
  <c r="AO48" i="1"/>
  <c r="L17" i="1"/>
  <c r="L5" i="1" l="1"/>
  <c r="AN44" i="1" l="1"/>
  <c r="AN45" i="1"/>
  <c r="AN46" i="1"/>
  <c r="AN47" i="1"/>
  <c r="AN48" i="1"/>
  <c r="AM48" i="1"/>
  <c r="AL48" i="1"/>
  <c r="AK48" i="1"/>
  <c r="AM47" i="1"/>
  <c r="AL47" i="1"/>
  <c r="AK47" i="1"/>
  <c r="AM46" i="1"/>
  <c r="AL46" i="1"/>
  <c r="AK46" i="1"/>
  <c r="AM45" i="1"/>
  <c r="AL45" i="1"/>
  <c r="AK45" i="1"/>
  <c r="AM44" i="1"/>
  <c r="AL44" i="1"/>
  <c r="AK44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<sst xmlns="http://schemas.openxmlformats.org/spreadsheetml/2006/main" count="67" uniqueCount="60">
  <si>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</si>
  <si>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</si>
  <si>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</si>
  <si>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</si>
  <si>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</si>
  <si>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</si>
  <si>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</si>
  <si>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</si>
  <si>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</si>
  <si>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</si>
  <si>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</si>
  <si>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</si>
  <si>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</si>
  <si>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</si>
  <si>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</si>
  <si>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</si>
  <si>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</si>
  <si>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</si>
  <si>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</si>
  <si>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</si>
  <si>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</si>
  <si>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</si>
  <si>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</si>
  <si>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</si>
  <si>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</si>
  <si>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</si>
  <si>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</si>
  <si>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</si>
  <si>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</si>
  <si>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</si>
  <si>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</si>
  <si>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</si>
  <si>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</si>
  <si>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</si>
  <si>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</si>
  <si>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</si>
  <si>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</si>
  <si>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</si>
  <si>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</si>
  <si>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</si>
  <si>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</si>
  <si>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</si>
  <si>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</si>
  <si>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</si>
  <si>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</si>
  <si>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</si>
  <si>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</si>
  <si>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</si>
  <si>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</si>
  <si>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</si>
  <si>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</si>
  <si>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</si>
  <si>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</si>
  <si>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</si>
  <si>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</si>
  <si>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Table 8.1: LOGGED CASES FROM THE YEAR, 2016 - 2021</t>
  </si>
  <si>
    <t>ތާވަލު 8.1: ހުށަހެޅިފައިވާ މައްސަލަތައް، 2016- 2021</t>
  </si>
  <si>
    <t>% share 2021</t>
  </si>
  <si>
    <t>2020އާއި އަޅާބަލާއިރު 2021ގައި އިތުރުވި މިންވަރު (%)</t>
  </si>
  <si>
    <t>% change over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</si>
</sst>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167" fontId="24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</cellStyleXfs>
  <cellXfs count="6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1" fillId="2" borderId="0" xfId="0" applyNumberFormat="1" applyFont="1" applyFill="1"/>
    <xf numFmtId="164" fontId="12" fillId="2" borderId="4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Alignment="1">
      <alignment vertical="center"/>
    </xf>
    <xf numFmtId="166" fontId="8" fillId="2" borderId="0" xfId="1" applyNumberFormat="1" applyFont="1" applyFill="1" applyBorder="1" applyAlignment="1">
      <alignment horizontal="center"/>
    </xf>
    <xf numFmtId="166" fontId="5" fillId="2" borderId="0" xfId="1" applyNumberFormat="1" applyFont="1" applyFill="1" applyBorder="1" applyAlignment="1">
      <alignment horizontal="center"/>
    </xf>
    <xf numFmtId="3" fontId="7" fillId="2" borderId="0" xfId="1" applyNumberFormat="1" applyFont="1" applyFill="1" applyBorder="1" applyAlignment="1">
      <alignment horizontal="right" vertical="center"/>
    </xf>
    <xf numFmtId="167" fontId="14" fillId="2" borderId="0" xfId="1" applyNumberFormat="1" applyFont="1" applyFill="1" applyBorder="1" applyAlignment="1">
      <alignment horizontal="right" vertical="center" indent="3"/>
    </xf>
    <xf numFmtId="167" fontId="14" fillId="2" borderId="0" xfId="1" applyNumberFormat="1" applyFont="1" applyFill="1" applyBorder="1" applyAlignment="1" applyProtection="1">
      <alignment horizontal="right" vertical="center" indent="3"/>
      <protection locked="0"/>
    </xf>
    <xf numFmtId="2" fontId="11" fillId="2" borderId="0" xfId="0" applyNumberFormat="1" applyFont="1" applyFill="1"/>
    <xf numFmtId="164" fontId="15" fillId="2" borderId="0" xfId="0" applyNumberFormat="1" applyFont="1" applyFill="1" applyAlignment="1">
      <alignment vertical="center"/>
    </xf>
    <xf numFmtId="166" fontId="16" fillId="2" borderId="0" xfId="1" applyNumberFormat="1" applyFont="1" applyFill="1" applyBorder="1" applyAlignment="1">
      <alignment horizontal="center"/>
    </xf>
    <xf numFmtId="166" fontId="17" fillId="2" borderId="0" xfId="1" applyNumberFormat="1" applyFont="1" applyFill="1" applyBorder="1" applyAlignment="1">
      <alignment horizontal="center"/>
    </xf>
    <xf numFmtId="3" fontId="15" fillId="2" borderId="0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top"/>
    </xf>
    <xf numFmtId="167" fontId="18" fillId="2" borderId="0" xfId="1" applyNumberFormat="1" applyFont="1" applyFill="1" applyBorder="1" applyAlignment="1">
      <alignment horizontal="right" vertical="center" indent="3"/>
    </xf>
    <xf numFmtId="164" fontId="1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center" vertical="top"/>
    </xf>
    <xf numFmtId="3" fontId="18" fillId="2" borderId="0" xfId="1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horizontal="left" vertical="center" indent="2"/>
    </xf>
    <xf numFmtId="164" fontId="20" fillId="2" borderId="0" xfId="0" applyNumberFormat="1" applyFont="1" applyFill="1" applyAlignment="1">
      <alignment horizontal="center" vertical="top"/>
    </xf>
    <xf numFmtId="164" fontId="13" fillId="2" borderId="0" xfId="0" applyNumberFormat="1" applyFont="1" applyFill="1" applyAlignment="1">
      <alignment horizontal="right" vertical="center" indent="2"/>
    </xf>
    <xf numFmtId="167" fontId="21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19" fillId="2" borderId="4" xfId="0" applyNumberFormat="1" applyFont="1" applyFill="1" applyBorder="1" applyAlignment="1">
      <alignment horizontal="left" vertical="center" indent="2"/>
    </xf>
    <xf numFmtId="164" fontId="0" fillId="2" borderId="4" xfId="0" applyNumberFormat="1" applyFill="1" applyBorder="1"/>
    <xf numFmtId="3" fontId="18" fillId="2" borderId="4" xfId="0" applyNumberFormat="1" applyFont="1" applyFill="1" applyBorder="1" applyAlignment="1">
      <alignment horizontal="right" vertical="top"/>
    </xf>
    <xf numFmtId="164" fontId="13" fillId="2" borderId="4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/>
    <xf numFmtId="164" fontId="22" fillId="2" borderId="6" xfId="0" applyNumberFormat="1" applyFont="1" applyFill="1" applyBorder="1" applyAlignment="1">
      <alignment horizontal="left" vertical="center"/>
    </xf>
    <xf numFmtId="167" fontId="18" fillId="2" borderId="0" xfId="1" applyNumberFormat="1" applyFont="1" applyFill="1" applyBorder="1" applyAlignment="1" applyProtection="1">
      <alignment vertical="center"/>
      <protection locked="0"/>
    </xf>
    <xf numFmtId="164" fontId="15" fillId="2" borderId="4" xfId="0" applyNumberFormat="1" applyFont="1" applyFill="1" applyBorder="1" applyAlignment="1">
      <alignment vertical="center"/>
    </xf>
    <xf numFmtId="164" fontId="13" fillId="2" borderId="4" xfId="0" applyNumberFormat="1" applyFont="1" applyFill="1" applyBorder="1" applyAlignment="1">
      <alignment horizontal="right" vertical="center"/>
    </xf>
    <xf numFmtId="164" fontId="28" fillId="2" borderId="6" xfId="0" applyNumberFormat="1" applyFont="1" applyFill="1" applyBorder="1" applyAlignment="1">
      <alignment horizontal="right"/>
    </xf>
    <xf numFmtId="164" fontId="29" fillId="2" borderId="5" xfId="0" applyNumberFormat="1" applyFont="1" applyFill="1" applyBorder="1" applyAlignment="1">
      <alignment horizontal="right" vertical="center"/>
    </xf>
    <xf numFmtId="167" fontId="18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18" fillId="2" borderId="4" xfId="1" applyNumberFormat="1" applyFont="1" applyFill="1" applyBorder="1" applyAlignment="1">
      <alignment horizontal="right" vertical="center" indent="3"/>
    </xf>
    <xf numFmtId="167" fontId="18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9" fillId="2" borderId="3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 applyProtection="1">
      <alignment vertical="center"/>
      <protection hidden="1"/>
    </xf>
    <xf numFmtId="169" fontId="25" fillId="2" borderId="0" xfId="1" applyNumberFormat="1" applyFont="1" applyFill="1" applyBorder="1" applyAlignment="1" applyProtection="1">
      <alignment vertical="center"/>
      <protection locked="0"/>
    </xf>
    <xf numFmtId="170" fontId="18" fillId="2" borderId="0" xfId="8" applyNumberFormat="1" applyFont="1" applyFill="1" applyAlignment="1">
      <alignment horizontal="left" vertical="center" indent="1"/>
    </xf>
    <xf numFmtId="3" fontId="18" fillId="2" borderId="4" xfId="1" applyNumberFormat="1" applyFont="1" applyFill="1" applyBorder="1" applyAlignment="1">
      <alignment horizontal="right" vertical="center"/>
    </xf>
    <xf numFmtId="3" fontId="18" fillId="3" borderId="0" xfId="0" applyNumberFormat="1" applyFont="1" applyFill="1" applyAlignment="1">
      <alignment horizontal="right" vertical="top"/>
    </xf>
    <xf numFmtId="3" fontId="18" fillId="3" borderId="4" xfId="0" applyNumberFormat="1" applyFont="1" applyFill="1" applyBorder="1" applyAlignment="1">
      <alignment horizontal="right" vertical="top"/>
    </xf>
    <xf numFmtId="166" fontId="16" fillId="2" borderId="4" xfId="1" applyNumberFormat="1" applyFont="1" applyFill="1" applyBorder="1" applyAlignment="1">
      <alignment horizontal="center"/>
    </xf>
    <xf numFmtId="166" fontId="17" fillId="2" borderId="4" xfId="1" applyNumberFormat="1" applyFont="1" applyFill="1" applyBorder="1" applyAlignment="1">
      <alignment horizontal="center"/>
    </xf>
    <xf numFmtId="3" fontId="15" fillId="2" borderId="4" xfId="1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8" xfId="0" applyNumberFormat="1" applyFont="1" applyFill="1" applyBorder="1" applyAlignment="1">
      <alignment horizontal="center" vertical="top"/>
    </xf>
    <xf numFmtId="164" fontId="5" fillId="2" borderId="10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7" fillId="2" borderId="9" xfId="0" applyNumberFormat="1" applyFont="1" applyFill="1" applyBorder="1" applyAlignment="1">
      <alignment horizontal="right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'8.1'!$AE$44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663300"/>
              </a:solidFill>
            </a:ln>
          </c:spPr>
          <c:marker>
            <c:symbol val="triangle"/>
            <c:size val="5"/>
            <c:spPr>
              <a:solidFill>
                <a:srgbClr val="663300"/>
              </a:solidFill>
            </c:spPr>
          </c:marker>
          <c:cat>
            <c:numRef>
              <c:f>'8.1'!$AM$43:$AQ$43</c:f>
              <c:numCache>
                <c:formatCode>General_)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'8.1'!$AM$44:$AQ$44</c:f>
              <c:numCache>
                <c:formatCode>#,##0.0</c:formatCode>
                <c:ptCount val="5"/>
                <c:pt idx="0">
                  <c:v>-3.125</c:v>
                </c:pt>
                <c:pt idx="1">
                  <c:v>-6.6514416214673133</c:v>
                </c:pt>
                <c:pt idx="2">
                  <c:v>39.26605504587156</c:v>
                </c:pt>
                <c:pt idx="3">
                  <c:v>-21.365832235397452</c:v>
                </c:pt>
                <c:pt idx="4">
                  <c:v>30.187098575816812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'8.1'!$AE$45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rgbClr val="996633"/>
              </a:solidFill>
            </c:spPr>
          </c:marker>
          <c:cat>
            <c:numRef>
              <c:f>'8.1'!$AM$43:$AQ$43</c:f>
              <c:numCache>
                <c:formatCode>General_)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'8.1'!$AM$45:$AQ$45</c:f>
              <c:numCache>
                <c:formatCode>#,##0.0</c:formatCode>
                <c:ptCount val="5"/>
                <c:pt idx="0">
                  <c:v>-6.1106155218554861</c:v>
                </c:pt>
                <c:pt idx="1">
                  <c:v>-4.6555819477434683</c:v>
                </c:pt>
                <c:pt idx="2">
                  <c:v>15.794718485301445</c:v>
                </c:pt>
                <c:pt idx="3">
                  <c:v>-40.189328743545609</c:v>
                </c:pt>
                <c:pt idx="4">
                  <c:v>11.726618705035971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'8.1'!$AE$46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cat>
            <c:numRef>
              <c:f>'8.1'!$AM$43:$AQ$43</c:f>
              <c:numCache>
                <c:formatCode>General_)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'8.1'!$AM$46:$AQ$46</c:f>
              <c:numCache>
                <c:formatCode>#,##0.0</c:formatCode>
                <c:ptCount val="5"/>
                <c:pt idx="0">
                  <c:v>-14.189473684210526</c:v>
                </c:pt>
                <c:pt idx="1">
                  <c:v>9.4210009813542683</c:v>
                </c:pt>
                <c:pt idx="2">
                  <c:v>-1.883408071748879</c:v>
                </c:pt>
                <c:pt idx="3">
                  <c:v>-34.872029250457039</c:v>
                </c:pt>
                <c:pt idx="4">
                  <c:v>1.0526315789473684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'8.1'!$AE$47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rgbClr val="FF8E1D"/>
              </a:solidFill>
            </a:ln>
          </c:spPr>
          <c:marker>
            <c:symbol val="x"/>
            <c:size val="5"/>
            <c:spPr>
              <a:solidFill>
                <a:srgbClr val="FF8E1D"/>
              </a:solidFill>
            </c:spPr>
          </c:marker>
          <c:cat>
            <c:numRef>
              <c:f>'8.1'!$AM$43:$AQ$43</c:f>
              <c:numCache>
                <c:formatCode>General_)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'8.1'!$AM$47:$AQ$47</c:f>
              <c:numCache>
                <c:formatCode>#,##0.0</c:formatCode>
                <c:ptCount val="5"/>
                <c:pt idx="0">
                  <c:v>-9.5133952979770378</c:v>
                </c:pt>
                <c:pt idx="1">
                  <c:v>7.9758308157099691</c:v>
                </c:pt>
                <c:pt idx="2">
                  <c:v>1.5109121432568551</c:v>
                </c:pt>
                <c:pt idx="3">
                  <c:v>-58.985667034178611</c:v>
                </c:pt>
                <c:pt idx="4">
                  <c:v>30.913978494623656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'8.1'!$AE$48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DDBA97"/>
              </a:solidFill>
            </a:ln>
          </c:spPr>
          <c:marker>
            <c:symbol val="circle"/>
            <c:size val="5"/>
            <c:spPr>
              <a:solidFill>
                <a:srgbClr val="996633"/>
              </a:solidFill>
            </c:spPr>
          </c:marker>
          <c:cat>
            <c:numRef>
              <c:f>'8.1'!$AM$43:$AQ$43</c:f>
              <c:numCache>
                <c:formatCode>General_)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'8.1'!$AM$48:$AQ$48</c:f>
              <c:numCache>
                <c:formatCode>#,##0.0</c:formatCode>
                <c:ptCount val="5"/>
                <c:pt idx="0">
                  <c:v>-1.4084507042253522</c:v>
                </c:pt>
                <c:pt idx="1">
                  <c:v>-2.2077922077922079</c:v>
                </c:pt>
                <c:pt idx="2">
                  <c:v>-16.201859229747676</c:v>
                </c:pt>
                <c:pt idx="3">
                  <c:v>4.7543581616481774</c:v>
                </c:pt>
                <c:pt idx="4">
                  <c:v>-7.7155824508320734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8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75684514004114"/>
          <c:y val="0.16006614074190303"/>
          <c:w val="0.7118063384238657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109483</xdr:colOff>
      <xdr:row>32</xdr:row>
      <xdr:rowOff>71492</xdr:rowOff>
    </xdr:from>
    <xdr:to>
      <xdr:col>16</xdr:col>
      <xdr:colOff>138640</xdr:colOff>
      <xdr:row>47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0.14811</cdr:x>
      <cdr:y>0.02183</cdr:y>
    </cdr:from>
    <cdr:to>
      <cdr:x>0.86546</cdr:x>
      <cdr:y>0.08595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7890" y="71729"/>
          <a:ext cx="5027008" cy="210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2017 - 2021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Q48"/>
  <sheetViews>
    <sheetView tabSelected="1" zoomScale="124" zoomScaleNormal="124" workbookViewId="0">
      <selection activeCell="Q36" sqref="Q36"/>
    </sheetView>
  </sheetViews>
  <sheetFormatPr defaultColWidth="9.140625" defaultRowHeight="15"/>
  <cols>
    <col min="1" max="1" width="22" style="1" customWidth="1"/>
    <col min="2" max="2" width="12" style="1" hidden="1" customWidth="1"/>
    <col min="3" max="3" width="8.42578125" style="1" hidden="1" customWidth="1"/>
    <col min="4" max="4" width="9.42578125" style="1" hidden="1" customWidth="1"/>
    <col min="5" max="5" width="9.7109375" style="1" hidden="1" customWidth="1"/>
    <col min="6" max="6" width="9.42578125" style="1" hidden="1" customWidth="1"/>
    <col min="7" max="7" width="11.85546875" style="1" hidden="1" customWidth="1"/>
    <col min="8" max="8" width="8.7109375" style="1" hidden="1" customWidth="1"/>
    <col min="9" max="14" width="11.85546875" style="1" customWidth="1"/>
    <col min="15" max="15" width="15.5703125" style="1" customWidth="1"/>
    <col min="16" max="16" width="18.28515625" style="1" customWidth="1"/>
    <col min="17" max="17" width="29.42578125" style="1" customWidth="1"/>
    <col min="18" max="19" width="2.140625" style="1" customWidth="1"/>
    <col min="20" max="20" width="9.140625" style="1"/>
    <col min="21" max="21" width="22.140625" style="1" bestFit="1" customWidth="1"/>
    <col min="22" max="31" width="9.140625" style="1"/>
    <col min="32" max="32" width="13.28515625" style="1" customWidth="1"/>
    <col min="33" max="16384" width="9.140625" style="1"/>
  </cols>
  <sheetData>
    <row r="1" spans="1:31" ht="21.75">
      <c r="A1" s="54" t="s">
        <v>56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31" ht="21.75" customHeight="1">
      <c r="A2" s="55" t="s">
        <v>55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  <c r="M2" s="56"/>
      <c r="N2" s="57"/>
      <c r="O2" s="56"/>
      <c r="P2" s="56"/>
      <c r="Q2" s="55"/>
      <c r="U2" s="2"/>
    </row>
    <row r="3" spans="1:31" ht="51.75">
      <c r="A3" s="58" t="s">
        <v>0</v>
      </c>
      <c r="B3" s="60">
        <v>2008</v>
      </c>
      <c r="C3" s="60">
        <v>2009</v>
      </c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62">
        <v>2018</v>
      </c>
      <c r="L3" s="50">
        <v>2019</v>
      </c>
      <c r="M3" s="50">
        <v>2020</v>
      </c>
      <c r="N3" s="50">
        <v>2021</v>
      </c>
      <c r="O3" s="40" t="s">
        <v>1</v>
      </c>
      <c r="P3" s="40" t="s">
        <v>58</v>
      </c>
      <c r="Q3" s="52" t="s">
        <v>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59"/>
      <c r="B4" s="61"/>
      <c r="C4" s="6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4" t="s">
        <v>57</v>
      </c>
      <c r="P4" s="4" t="s">
        <v>59</v>
      </c>
      <c r="Q4" s="5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>
      <c r="A5" s="5" t="s">
        <v>4</v>
      </c>
      <c r="B5" s="6">
        <v>17674</v>
      </c>
      <c r="C5" s="7">
        <v>19259</v>
      </c>
      <c r="D5" s="8">
        <f>SUM(D6:D24)</f>
        <v>17803</v>
      </c>
      <c r="E5" s="8">
        <f>SUM(E6:E24)</f>
        <v>20512</v>
      </c>
      <c r="F5" s="8">
        <f>SUM(F6:F24)</f>
        <v>21885</v>
      </c>
      <c r="G5" s="8">
        <f>SUM(G6:G24)</f>
        <v>18193</v>
      </c>
      <c r="H5" s="8">
        <f t="shared" ref="H5:N5" si="0">SUM(H6:H17)</f>
        <v>16362</v>
      </c>
      <c r="I5" s="8">
        <f t="shared" si="0"/>
        <v>16287</v>
      </c>
      <c r="J5" s="8">
        <f t="shared" si="0"/>
        <v>15535</v>
      </c>
      <c r="K5" s="8">
        <f t="shared" si="0"/>
        <v>14811</v>
      </c>
      <c r="L5" s="8">
        <f t="shared" si="0"/>
        <v>16480</v>
      </c>
      <c r="M5" s="8">
        <f t="shared" si="0"/>
        <v>12787</v>
      </c>
      <c r="N5" s="8">
        <f t="shared" si="0"/>
        <v>14143</v>
      </c>
      <c r="O5" s="9">
        <f>N5/$N$5*100</f>
        <v>100</v>
      </c>
      <c r="P5" s="10">
        <f>((N5-M5)/M5)*100</f>
        <v>10.604520215844216</v>
      </c>
      <c r="Q5" s="36" t="s">
        <v>5</v>
      </c>
      <c r="W5" s="3"/>
      <c r="X5" s="3"/>
      <c r="Y5" s="3"/>
      <c r="Z5" s="3"/>
      <c r="AA5" s="3"/>
      <c r="AB5" s="3"/>
      <c r="AC5" s="3"/>
      <c r="AD5" s="11"/>
      <c r="AE5" s="3"/>
    </row>
    <row r="6" spans="1:31" ht="18.75">
      <c r="A6" s="12" t="s">
        <v>3</v>
      </c>
      <c r="B6" s="13">
        <v>3903</v>
      </c>
      <c r="C6" s="14">
        <v>4007</v>
      </c>
      <c r="D6" s="15">
        <v>4734</v>
      </c>
      <c r="E6" s="15">
        <v>6571</v>
      </c>
      <c r="F6" s="15">
        <v>6683</v>
      </c>
      <c r="G6" s="15">
        <v>5080</v>
      </c>
      <c r="H6" s="15">
        <v>4008</v>
      </c>
      <c r="I6" s="15">
        <v>3616</v>
      </c>
      <c r="J6" s="16">
        <v>3503</v>
      </c>
      <c r="K6" s="16">
        <v>3270</v>
      </c>
      <c r="L6" s="16">
        <v>4554</v>
      </c>
      <c r="M6" s="16">
        <v>3581</v>
      </c>
      <c r="N6" s="16">
        <v>4662</v>
      </c>
      <c r="O6" s="17">
        <f>N6/$N$5*100</f>
        <v>32.963303400975747</v>
      </c>
      <c r="P6" s="37">
        <f>((N6-M6)/M6)*100</f>
        <v>30.187098575816812</v>
      </c>
      <c r="Q6" s="18" t="s">
        <v>7</v>
      </c>
      <c r="T6" s="16"/>
      <c r="W6" s="3"/>
      <c r="X6" s="3"/>
      <c r="Y6" s="3"/>
      <c r="Z6" s="3"/>
      <c r="AA6" s="3"/>
      <c r="AB6" s="3"/>
      <c r="AC6" s="3"/>
      <c r="AD6" s="11"/>
      <c r="AE6" s="19"/>
    </row>
    <row r="7" spans="1:31" ht="18.75">
      <c r="A7" s="12" t="s">
        <v>6</v>
      </c>
      <c r="B7" s="13">
        <v>3838</v>
      </c>
      <c r="C7" s="14">
        <v>3013</v>
      </c>
      <c r="D7" s="15">
        <v>2251</v>
      </c>
      <c r="E7" s="15">
        <v>1974</v>
      </c>
      <c r="F7" s="15">
        <v>1930</v>
      </c>
      <c r="G7" s="15">
        <v>2137</v>
      </c>
      <c r="H7" s="15">
        <v>2044</v>
      </c>
      <c r="I7" s="15">
        <v>2242</v>
      </c>
      <c r="J7" s="16">
        <v>2105</v>
      </c>
      <c r="K7" s="16">
        <v>2007</v>
      </c>
      <c r="L7" s="16">
        <v>2324</v>
      </c>
      <c r="M7" s="16">
        <v>1390</v>
      </c>
      <c r="N7" s="16">
        <v>1553</v>
      </c>
      <c r="O7" s="17">
        <f t="shared" ref="O7:O30" si="1">N7/$N$5*100</f>
        <v>10.980697164675105</v>
      </c>
      <c r="P7" s="37">
        <f t="shared" ref="P7:P30" si="2">((N7-M7)/M7)*100</f>
        <v>11.726618705035971</v>
      </c>
      <c r="Q7" s="18" t="s">
        <v>9</v>
      </c>
      <c r="T7" s="16"/>
      <c r="W7" s="3"/>
      <c r="X7" s="3"/>
      <c r="Y7" s="3"/>
      <c r="Z7" s="3"/>
      <c r="AA7" s="3"/>
      <c r="AB7" s="3"/>
      <c r="AC7" s="3"/>
      <c r="AD7" s="11"/>
      <c r="AE7" s="3"/>
    </row>
    <row r="8" spans="1:31" ht="18.75">
      <c r="A8" s="12" t="s">
        <v>8</v>
      </c>
      <c r="B8" s="13">
        <v>2484</v>
      </c>
      <c r="C8" s="14">
        <v>2366</v>
      </c>
      <c r="D8" s="15">
        <v>1823</v>
      </c>
      <c r="E8" s="15">
        <v>2534</v>
      </c>
      <c r="F8" s="15">
        <v>3965</v>
      </c>
      <c r="G8" s="15">
        <v>3140</v>
      </c>
      <c r="H8" s="15">
        <v>2079</v>
      </c>
      <c r="I8" s="15">
        <v>2375</v>
      </c>
      <c r="J8" s="16">
        <v>2038</v>
      </c>
      <c r="K8" s="16">
        <v>2230</v>
      </c>
      <c r="L8" s="16">
        <v>2188</v>
      </c>
      <c r="M8" s="16">
        <v>1425</v>
      </c>
      <c r="N8" s="16">
        <v>1440</v>
      </c>
      <c r="O8" s="17">
        <f t="shared" si="1"/>
        <v>10.181715336208725</v>
      </c>
      <c r="P8" s="37">
        <f t="shared" si="2"/>
        <v>1.0526315789473684</v>
      </c>
      <c r="Q8" s="18" t="s">
        <v>12</v>
      </c>
      <c r="T8" s="16"/>
      <c r="W8" s="3"/>
      <c r="X8" s="3"/>
      <c r="Y8" s="3"/>
      <c r="Z8" s="3"/>
      <c r="AA8" s="3"/>
      <c r="AB8" s="3"/>
      <c r="AC8" s="3"/>
      <c r="AD8" s="11"/>
      <c r="AE8" s="3"/>
    </row>
    <row r="9" spans="1:31" ht="18.75">
      <c r="A9" s="12" t="s">
        <v>13</v>
      </c>
      <c r="B9" s="13">
        <v>1520</v>
      </c>
      <c r="C9" s="14">
        <v>2139</v>
      </c>
      <c r="D9" s="20">
        <v>1480</v>
      </c>
      <c r="E9" s="20">
        <v>1508</v>
      </c>
      <c r="F9" s="20">
        <v>1983</v>
      </c>
      <c r="G9" s="20">
        <v>2014</v>
      </c>
      <c r="H9" s="15">
        <v>1712</v>
      </c>
      <c r="I9" s="20">
        <v>1829</v>
      </c>
      <c r="J9" s="16">
        <v>1655</v>
      </c>
      <c r="K9" s="16">
        <v>1787</v>
      </c>
      <c r="L9" s="16">
        <v>1814</v>
      </c>
      <c r="M9" s="16">
        <v>744</v>
      </c>
      <c r="N9" s="16">
        <v>974</v>
      </c>
      <c r="O9" s="17">
        <f t="shared" si="1"/>
        <v>6.8867991232411789</v>
      </c>
      <c r="P9" s="37">
        <f t="shared" si="2"/>
        <v>30.913978494623656</v>
      </c>
      <c r="Q9" s="18" t="s">
        <v>14</v>
      </c>
      <c r="T9" s="16"/>
      <c r="W9" s="3"/>
      <c r="X9" s="3"/>
      <c r="Y9" s="3"/>
      <c r="Z9" s="3"/>
      <c r="AA9" s="3"/>
      <c r="AB9" s="3"/>
      <c r="AC9" s="3"/>
      <c r="AD9" s="11"/>
      <c r="AE9" s="3"/>
    </row>
    <row r="10" spans="1:31" ht="18.75">
      <c r="A10" s="12" t="s">
        <v>10</v>
      </c>
      <c r="B10" s="13">
        <v>1602</v>
      </c>
      <c r="C10" s="14">
        <v>2000</v>
      </c>
      <c r="D10" s="15">
        <v>1320</v>
      </c>
      <c r="E10" s="15">
        <v>1264</v>
      </c>
      <c r="F10" s="15">
        <v>1289</v>
      </c>
      <c r="G10" s="15">
        <v>1062</v>
      </c>
      <c r="H10" s="15">
        <v>944</v>
      </c>
      <c r="I10" s="15">
        <v>781</v>
      </c>
      <c r="J10" s="16">
        <v>770</v>
      </c>
      <c r="K10" s="16">
        <v>753</v>
      </c>
      <c r="L10" s="16">
        <v>631</v>
      </c>
      <c r="M10" s="16">
        <v>661</v>
      </c>
      <c r="N10" s="16">
        <v>610</v>
      </c>
      <c r="O10" s="17">
        <f t="shared" si="1"/>
        <v>4.3130877465884181</v>
      </c>
      <c r="P10" s="37">
        <f t="shared" si="2"/>
        <v>-7.7155824508320734</v>
      </c>
      <c r="Q10" s="18" t="s">
        <v>16</v>
      </c>
      <c r="T10" s="16"/>
      <c r="X10" s="3"/>
      <c r="Y10" s="3"/>
      <c r="Z10" s="3"/>
      <c r="AA10" s="3"/>
      <c r="AB10" s="3"/>
      <c r="AC10" s="3"/>
      <c r="AD10" s="11"/>
      <c r="AE10" s="3"/>
    </row>
    <row r="11" spans="1:31" ht="18.75">
      <c r="A11" s="12" t="s">
        <v>17</v>
      </c>
      <c r="B11" s="13">
        <v>648</v>
      </c>
      <c r="C11" s="14">
        <v>902</v>
      </c>
      <c r="D11" s="15">
        <v>775</v>
      </c>
      <c r="E11" s="15">
        <v>880</v>
      </c>
      <c r="F11" s="15">
        <v>728</v>
      </c>
      <c r="G11" s="15">
        <v>520</v>
      </c>
      <c r="H11" s="15">
        <v>541</v>
      </c>
      <c r="I11" s="15">
        <v>359</v>
      </c>
      <c r="J11" s="16">
        <v>455</v>
      </c>
      <c r="K11" s="16">
        <v>472</v>
      </c>
      <c r="L11" s="16">
        <v>467</v>
      </c>
      <c r="M11" s="16">
        <v>395</v>
      </c>
      <c r="N11" s="16">
        <v>503</v>
      </c>
      <c r="O11" s="17">
        <f t="shared" si="1"/>
        <v>3.5565297320229088</v>
      </c>
      <c r="P11" s="37">
        <f t="shared" si="2"/>
        <v>27.341772151898734</v>
      </c>
      <c r="Q11" s="18" t="s">
        <v>18</v>
      </c>
      <c r="T11" s="16"/>
      <c r="W11" s="3"/>
      <c r="X11" s="3"/>
      <c r="Y11" s="3"/>
      <c r="Z11" s="3"/>
      <c r="AA11" s="3"/>
      <c r="AB11" s="3"/>
      <c r="AC11" s="3"/>
      <c r="AD11" s="11"/>
      <c r="AE11" s="3"/>
    </row>
    <row r="12" spans="1:31" ht="18.75">
      <c r="A12" s="12" t="s">
        <v>15</v>
      </c>
      <c r="B12" s="13">
        <v>596</v>
      </c>
      <c r="C12" s="14">
        <v>589</v>
      </c>
      <c r="D12" s="15">
        <v>718</v>
      </c>
      <c r="E12" s="15">
        <v>972</v>
      </c>
      <c r="F12" s="15">
        <v>729</v>
      </c>
      <c r="G12" s="15">
        <v>620</v>
      </c>
      <c r="H12" s="15">
        <v>546</v>
      </c>
      <c r="I12" s="15">
        <v>716</v>
      </c>
      <c r="J12" s="16">
        <v>662</v>
      </c>
      <c r="K12" s="16">
        <v>537</v>
      </c>
      <c r="L12" s="16">
        <v>483</v>
      </c>
      <c r="M12" s="16">
        <v>348</v>
      </c>
      <c r="N12" s="16">
        <v>377</v>
      </c>
      <c r="O12" s="17">
        <f t="shared" si="1"/>
        <v>2.6656296401046453</v>
      </c>
      <c r="P12" s="37">
        <f t="shared" si="2"/>
        <v>8.3333333333333321</v>
      </c>
      <c r="Q12" s="18" t="s">
        <v>20</v>
      </c>
      <c r="T12" s="16"/>
      <c r="W12" s="3"/>
      <c r="X12" s="3"/>
      <c r="Y12" s="3"/>
      <c r="Z12" s="3"/>
      <c r="AA12" s="3"/>
      <c r="AB12" s="3"/>
      <c r="AC12" s="3"/>
      <c r="AD12" s="11"/>
      <c r="AE12" s="3"/>
    </row>
    <row r="13" spans="1:31" ht="18.75">
      <c r="A13" s="12" t="s">
        <v>22</v>
      </c>
      <c r="B13" s="13">
        <v>455</v>
      </c>
      <c r="C13" s="14">
        <v>563</v>
      </c>
      <c r="D13" s="15">
        <v>642</v>
      </c>
      <c r="E13" s="15">
        <v>577</v>
      </c>
      <c r="F13" s="15">
        <v>573</v>
      </c>
      <c r="G13" s="15">
        <v>475</v>
      </c>
      <c r="H13" s="15">
        <v>540</v>
      </c>
      <c r="I13" s="15">
        <v>467</v>
      </c>
      <c r="J13" s="16">
        <v>417</v>
      </c>
      <c r="K13" s="16">
        <v>361</v>
      </c>
      <c r="L13" s="16">
        <v>405</v>
      </c>
      <c r="M13" s="16">
        <v>490</v>
      </c>
      <c r="N13" s="16">
        <v>342</v>
      </c>
      <c r="O13" s="17">
        <f t="shared" si="1"/>
        <v>2.4181573923495723</v>
      </c>
      <c r="P13" s="37">
        <f t="shared" si="2"/>
        <v>-30.204081632653061</v>
      </c>
      <c r="Q13" s="18" t="s">
        <v>23</v>
      </c>
      <c r="T13" s="16"/>
      <c r="W13" s="3"/>
      <c r="X13" s="3"/>
      <c r="Y13" s="3"/>
      <c r="Z13" s="3"/>
      <c r="AA13" s="3"/>
      <c r="AB13" s="3"/>
      <c r="AC13" s="3"/>
      <c r="AD13" s="11"/>
      <c r="AE13" s="3"/>
    </row>
    <row r="14" spans="1:31" ht="18.75">
      <c r="A14" s="12" t="s">
        <v>21</v>
      </c>
      <c r="B14" s="13">
        <v>313</v>
      </c>
      <c r="C14" s="14">
        <v>391</v>
      </c>
      <c r="D14" s="15">
        <v>364</v>
      </c>
      <c r="E14" s="15">
        <v>311</v>
      </c>
      <c r="F14" s="15">
        <v>391</v>
      </c>
      <c r="G14" s="15">
        <v>377</v>
      </c>
      <c r="H14" s="15">
        <v>744</v>
      </c>
      <c r="I14" s="15">
        <v>523</v>
      </c>
      <c r="J14" s="16">
        <v>518</v>
      </c>
      <c r="K14" s="16">
        <v>516</v>
      </c>
      <c r="L14" s="16">
        <v>494</v>
      </c>
      <c r="M14" s="16">
        <v>609</v>
      </c>
      <c r="N14" s="16">
        <v>987</v>
      </c>
      <c r="O14" s="17">
        <f t="shared" si="1"/>
        <v>6.978717386693063</v>
      </c>
      <c r="P14" s="37">
        <f t="shared" si="2"/>
        <v>62.068965517241381</v>
      </c>
      <c r="Q14" s="18" t="s">
        <v>25</v>
      </c>
      <c r="T14" s="16"/>
      <c r="W14" s="3"/>
      <c r="X14" s="3"/>
      <c r="Y14" s="3"/>
      <c r="Z14" s="3"/>
      <c r="AA14" s="3"/>
      <c r="AB14" s="3"/>
      <c r="AC14" s="3"/>
      <c r="AD14" s="11"/>
      <c r="AE14" s="3"/>
    </row>
    <row r="15" spans="1:31" ht="18.75">
      <c r="A15" s="12" t="s">
        <v>24</v>
      </c>
      <c r="B15" s="13">
        <v>172</v>
      </c>
      <c r="C15" s="14">
        <v>156</v>
      </c>
      <c r="D15" s="15">
        <v>146</v>
      </c>
      <c r="E15" s="15">
        <v>179</v>
      </c>
      <c r="F15" s="15">
        <v>207</v>
      </c>
      <c r="G15" s="15">
        <v>186</v>
      </c>
      <c r="H15" s="15">
        <v>346</v>
      </c>
      <c r="I15" s="15">
        <v>305</v>
      </c>
      <c r="J15" s="16">
        <v>279</v>
      </c>
      <c r="K15" s="16">
        <v>240</v>
      </c>
      <c r="L15" s="16">
        <v>219</v>
      </c>
      <c r="M15" s="16">
        <v>245</v>
      </c>
      <c r="N15" s="16">
        <v>267</v>
      </c>
      <c r="O15" s="17">
        <f t="shared" si="1"/>
        <v>1.8878597185887012</v>
      </c>
      <c r="P15" s="37">
        <f t="shared" si="2"/>
        <v>8.9795918367346932</v>
      </c>
      <c r="Q15" s="18" t="s">
        <v>27</v>
      </c>
      <c r="T15" s="16"/>
      <c r="W15" s="3"/>
      <c r="X15" s="3"/>
      <c r="Y15" s="3"/>
      <c r="Z15" s="3"/>
      <c r="AA15" s="3"/>
      <c r="AB15" s="3"/>
      <c r="AC15" s="3"/>
      <c r="AD15" s="11"/>
      <c r="AE15" s="3"/>
    </row>
    <row r="16" spans="1:31" ht="18.75">
      <c r="A16" s="12" t="s">
        <v>26</v>
      </c>
      <c r="B16" s="13">
        <v>98</v>
      </c>
      <c r="C16" s="14">
        <v>133</v>
      </c>
      <c r="D16" s="15">
        <v>136</v>
      </c>
      <c r="E16" s="15">
        <v>126</v>
      </c>
      <c r="F16" s="15">
        <v>97</v>
      </c>
      <c r="G16" s="15">
        <v>77</v>
      </c>
      <c r="H16" s="15">
        <v>91</v>
      </c>
      <c r="I16" s="15">
        <v>97</v>
      </c>
      <c r="J16" s="16">
        <v>86</v>
      </c>
      <c r="K16" s="16">
        <v>71</v>
      </c>
      <c r="L16" s="16">
        <v>86</v>
      </c>
      <c r="M16" s="16">
        <v>108</v>
      </c>
      <c r="N16" s="16">
        <v>150</v>
      </c>
      <c r="O16" s="17">
        <f t="shared" si="1"/>
        <v>1.0605953475217422</v>
      </c>
      <c r="P16" s="37">
        <f t="shared" si="2"/>
        <v>38.888888888888893</v>
      </c>
      <c r="Q16" s="18" t="s">
        <v>29</v>
      </c>
      <c r="T16" s="16"/>
      <c r="W16" s="3"/>
      <c r="X16" s="3"/>
      <c r="Y16" s="3"/>
      <c r="Z16" s="3"/>
      <c r="AA16" s="3"/>
      <c r="AB16" s="3"/>
      <c r="AC16" s="3"/>
      <c r="AD16" s="11"/>
      <c r="AE16" s="3"/>
    </row>
    <row r="17" spans="1:34" ht="18.75">
      <c r="A17" s="33" t="s">
        <v>11</v>
      </c>
      <c r="B17" s="47">
        <v>1763</v>
      </c>
      <c r="C17" s="48">
        <v>2399</v>
      </c>
      <c r="D17" s="44">
        <v>3414</v>
      </c>
      <c r="E17" s="44">
        <v>3616</v>
      </c>
      <c r="F17" s="44">
        <v>3310</v>
      </c>
      <c r="G17" s="44">
        <v>2505</v>
      </c>
      <c r="H17" s="49">
        <v>2767</v>
      </c>
      <c r="I17" s="49">
        <v>2977</v>
      </c>
      <c r="J17" s="49">
        <v>3047</v>
      </c>
      <c r="K17" s="28">
        <v>2567</v>
      </c>
      <c r="L17" s="28">
        <f>SUM(L18:L30)</f>
        <v>2815</v>
      </c>
      <c r="M17" s="28">
        <f>SUM(M18:M30)</f>
        <v>2791</v>
      </c>
      <c r="N17" s="28">
        <v>2278</v>
      </c>
      <c r="O17" s="38">
        <f t="shared" si="1"/>
        <v>16.106908011030193</v>
      </c>
      <c r="P17" s="39">
        <f t="shared" si="2"/>
        <v>-18.380508778215692</v>
      </c>
      <c r="Q17" s="34" t="s">
        <v>31</v>
      </c>
      <c r="T17" s="16"/>
      <c r="W17" s="3"/>
      <c r="X17" s="3"/>
      <c r="Y17" s="3"/>
      <c r="Z17" s="3"/>
      <c r="AA17" s="3"/>
      <c r="AB17" s="3"/>
      <c r="AC17" s="3"/>
      <c r="AD17" s="11"/>
      <c r="AE17" s="3"/>
    </row>
    <row r="18" spans="1:34" ht="18.75" hidden="1">
      <c r="A18" s="21" t="s">
        <v>32</v>
      </c>
      <c r="B18" s="22"/>
      <c r="C18" s="22"/>
      <c r="D18" s="22"/>
      <c r="E18" s="22"/>
      <c r="F18" s="22"/>
      <c r="G18" s="22"/>
      <c r="H18" s="16">
        <v>123</v>
      </c>
      <c r="I18" s="16">
        <v>101</v>
      </c>
      <c r="J18" s="16">
        <v>105</v>
      </c>
      <c r="K18" s="16">
        <v>29</v>
      </c>
      <c r="L18" s="16">
        <v>29</v>
      </c>
      <c r="M18" s="16">
        <v>24</v>
      </c>
      <c r="N18" s="45"/>
      <c r="O18" s="17">
        <f t="shared" si="1"/>
        <v>0</v>
      </c>
      <c r="P18" s="37">
        <f t="shared" si="2"/>
        <v>-100</v>
      </c>
      <c r="Q18" s="23" t="s">
        <v>33</v>
      </c>
      <c r="T18" s="16"/>
      <c r="W18" s="3"/>
      <c r="X18" s="3"/>
      <c r="Y18" s="3"/>
      <c r="Z18" s="3"/>
      <c r="AA18" s="3"/>
      <c r="AB18" s="3"/>
      <c r="AC18" s="3"/>
      <c r="AD18" s="11"/>
      <c r="AE18" s="3"/>
    </row>
    <row r="19" spans="1:34" ht="18.75" hidden="1">
      <c r="A19" s="21" t="s">
        <v>34</v>
      </c>
      <c r="B19" s="22"/>
      <c r="C19" s="22"/>
      <c r="D19" s="22"/>
      <c r="E19" s="22"/>
      <c r="F19" s="22"/>
      <c r="G19" s="22"/>
      <c r="H19" s="16">
        <v>62</v>
      </c>
      <c r="I19" s="16">
        <v>59</v>
      </c>
      <c r="J19" s="16">
        <v>70</v>
      </c>
      <c r="K19" s="16">
        <v>36</v>
      </c>
      <c r="L19" s="16">
        <v>56</v>
      </c>
      <c r="M19" s="16">
        <v>63</v>
      </c>
      <c r="N19" s="45"/>
      <c r="O19" s="17">
        <f t="shared" si="1"/>
        <v>0</v>
      </c>
      <c r="P19" s="37">
        <f t="shared" si="2"/>
        <v>-100</v>
      </c>
      <c r="Q19" s="23" t="s">
        <v>35</v>
      </c>
      <c r="T19" s="16"/>
      <c r="W19" s="3"/>
      <c r="X19" s="3"/>
      <c r="Y19" s="3"/>
      <c r="Z19" s="3"/>
      <c r="AA19" s="3"/>
      <c r="AB19" s="3"/>
      <c r="AC19" s="3"/>
      <c r="AD19" s="11"/>
      <c r="AE19" s="3"/>
    </row>
    <row r="20" spans="1:34" ht="18.75" hidden="1">
      <c r="A20" s="21" t="s">
        <v>37</v>
      </c>
      <c r="H20" s="16">
        <v>50</v>
      </c>
      <c r="I20" s="16">
        <v>47</v>
      </c>
      <c r="J20" s="16">
        <v>54</v>
      </c>
      <c r="K20" s="16">
        <v>55</v>
      </c>
      <c r="L20" s="16">
        <v>60</v>
      </c>
      <c r="M20" s="16">
        <v>40</v>
      </c>
      <c r="N20" s="45"/>
      <c r="O20" s="17">
        <f t="shared" si="1"/>
        <v>0</v>
      </c>
      <c r="P20" s="37">
        <f t="shared" si="2"/>
        <v>-100</v>
      </c>
      <c r="Q20" s="23" t="s">
        <v>38</v>
      </c>
      <c r="T20" s="16"/>
      <c r="W20" s="3"/>
      <c r="X20" s="3"/>
      <c r="Y20" s="3"/>
      <c r="Z20" s="3"/>
      <c r="AA20" s="3"/>
      <c r="AB20" s="3"/>
      <c r="AC20" s="3"/>
      <c r="AD20" s="11"/>
      <c r="AE20" s="3"/>
    </row>
    <row r="21" spans="1:34" ht="18.75" hidden="1">
      <c r="A21" s="21" t="s">
        <v>39</v>
      </c>
      <c r="H21" s="16">
        <v>108</v>
      </c>
      <c r="I21" s="16">
        <v>77</v>
      </c>
      <c r="J21" s="16">
        <v>71</v>
      </c>
      <c r="K21" s="16">
        <v>58</v>
      </c>
      <c r="L21" s="16">
        <v>68</v>
      </c>
      <c r="M21" s="16">
        <v>74</v>
      </c>
      <c r="N21" s="45"/>
      <c r="O21" s="17">
        <f t="shared" si="1"/>
        <v>0</v>
      </c>
      <c r="P21" s="37">
        <f t="shared" si="2"/>
        <v>-100</v>
      </c>
      <c r="Q21" s="23" t="s">
        <v>40</v>
      </c>
      <c r="T21" s="16"/>
      <c r="W21" s="3"/>
      <c r="X21" s="3"/>
      <c r="Y21" s="3"/>
      <c r="Z21" s="3"/>
      <c r="AA21" s="3"/>
      <c r="AB21" s="3"/>
      <c r="AC21" s="3"/>
      <c r="AD21" s="11"/>
      <c r="AE21" s="3"/>
    </row>
    <row r="22" spans="1:34" ht="18.75" hidden="1">
      <c r="A22" s="21" t="s">
        <v>30</v>
      </c>
      <c r="H22" s="16">
        <v>201</v>
      </c>
      <c r="I22" s="16">
        <v>275</v>
      </c>
      <c r="J22" s="16">
        <v>306</v>
      </c>
      <c r="K22" s="16">
        <v>246</v>
      </c>
      <c r="L22" s="16">
        <v>218</v>
      </c>
      <c r="M22" s="16">
        <v>112</v>
      </c>
      <c r="N22" s="45"/>
      <c r="O22" s="17">
        <f t="shared" si="1"/>
        <v>0</v>
      </c>
      <c r="P22" s="37">
        <f t="shared" si="2"/>
        <v>-100</v>
      </c>
      <c r="Q22" s="23" t="s">
        <v>41</v>
      </c>
      <c r="T22" s="16"/>
      <c r="W22" s="3"/>
      <c r="X22" s="3"/>
      <c r="Y22" s="3"/>
      <c r="Z22" s="3"/>
      <c r="AA22" s="3"/>
      <c r="AB22" s="3"/>
      <c r="AC22" s="3"/>
      <c r="AD22" s="11"/>
      <c r="AE22" s="3"/>
    </row>
    <row r="23" spans="1:34" ht="18.75" hidden="1">
      <c r="A23" s="21" t="s">
        <v>28</v>
      </c>
      <c r="H23" s="16">
        <v>320</v>
      </c>
      <c r="I23" s="16">
        <v>286</v>
      </c>
      <c r="J23" s="16">
        <v>308</v>
      </c>
      <c r="K23" s="16">
        <v>213</v>
      </c>
      <c r="L23" s="16">
        <v>185</v>
      </c>
      <c r="M23" s="16">
        <v>153</v>
      </c>
      <c r="N23" s="45"/>
      <c r="O23" s="17">
        <f t="shared" si="1"/>
        <v>0</v>
      </c>
      <c r="P23" s="37">
        <f t="shared" si="2"/>
        <v>-100</v>
      </c>
      <c r="Q23" s="23" t="s">
        <v>42</v>
      </c>
      <c r="T23" s="16"/>
      <c r="W23" s="3"/>
      <c r="X23" s="3"/>
      <c r="Y23" s="3"/>
      <c r="Z23" s="3"/>
      <c r="AA23" s="3"/>
      <c r="AB23" s="3"/>
      <c r="AC23" s="3"/>
      <c r="AD23" s="11"/>
      <c r="AE23" s="3"/>
    </row>
    <row r="24" spans="1:34" ht="18.75" hidden="1">
      <c r="A24" s="21" t="s">
        <v>36</v>
      </c>
      <c r="H24" s="16">
        <v>100</v>
      </c>
      <c r="I24" s="16">
        <v>147</v>
      </c>
      <c r="J24" s="16">
        <v>141</v>
      </c>
      <c r="K24" s="16">
        <v>92</v>
      </c>
      <c r="L24" s="16">
        <v>79</v>
      </c>
      <c r="M24" s="16">
        <v>121</v>
      </c>
      <c r="N24" s="45"/>
      <c r="O24" s="17">
        <f t="shared" si="1"/>
        <v>0</v>
      </c>
      <c r="P24" s="37">
        <f t="shared" si="2"/>
        <v>-100</v>
      </c>
      <c r="Q24" s="23" t="s">
        <v>43</v>
      </c>
      <c r="T24" s="16"/>
      <c r="W24" s="3"/>
      <c r="X24" s="3"/>
      <c r="Y24" s="3"/>
      <c r="Z24" s="3"/>
      <c r="AA24" s="3"/>
      <c r="AB24" s="3"/>
      <c r="AC24" s="3"/>
      <c r="AD24" s="3"/>
    </row>
    <row r="25" spans="1:34" s="25" customFormat="1" ht="18.75" hidden="1">
      <c r="A25" s="21" t="s">
        <v>44</v>
      </c>
      <c r="B25" s="13"/>
      <c r="C25" s="13"/>
      <c r="D25" s="13"/>
      <c r="E25" s="13"/>
      <c r="F25" s="24"/>
      <c r="G25" s="24"/>
      <c r="H25" s="16">
        <v>83</v>
      </c>
      <c r="I25" s="16">
        <v>72</v>
      </c>
      <c r="J25" s="16">
        <v>65</v>
      </c>
      <c r="K25" s="16">
        <v>87</v>
      </c>
      <c r="L25" s="16">
        <v>73</v>
      </c>
      <c r="M25" s="16">
        <v>104</v>
      </c>
      <c r="N25" s="45"/>
      <c r="O25" s="17">
        <f t="shared" si="1"/>
        <v>0</v>
      </c>
      <c r="P25" s="37">
        <f t="shared" si="2"/>
        <v>-100</v>
      </c>
      <c r="Q25" s="23" t="s">
        <v>45</v>
      </c>
      <c r="T25" s="16"/>
      <c r="W25" s="19"/>
      <c r="X25" s="19"/>
      <c r="Y25" s="19"/>
      <c r="Z25" s="19"/>
      <c r="AA25" s="19"/>
      <c r="AB25" s="19"/>
      <c r="AC25" s="19"/>
      <c r="AD25" s="19"/>
      <c r="AE25" s="19"/>
      <c r="AF25" s="1"/>
      <c r="AG25" s="1"/>
      <c r="AH25" s="1"/>
    </row>
    <row r="26" spans="1:34" s="25" customFormat="1" ht="18.75" hidden="1">
      <c r="A26" s="21" t="s">
        <v>46</v>
      </c>
      <c r="B26" s="1"/>
      <c r="C26" s="1"/>
      <c r="D26" s="1"/>
      <c r="E26" s="1"/>
      <c r="F26" s="1"/>
      <c r="G26" s="1"/>
      <c r="H26" s="16">
        <v>53</v>
      </c>
      <c r="I26" s="16">
        <v>55</v>
      </c>
      <c r="J26" s="16">
        <v>52</v>
      </c>
      <c r="K26" s="16">
        <v>28</v>
      </c>
      <c r="L26" s="16">
        <v>72</v>
      </c>
      <c r="M26" s="16">
        <v>56</v>
      </c>
      <c r="N26" s="45"/>
      <c r="O26" s="17">
        <f t="shared" si="1"/>
        <v>0</v>
      </c>
      <c r="P26" s="37">
        <f t="shared" si="2"/>
        <v>-100</v>
      </c>
      <c r="Q26" s="23" t="s">
        <v>47</v>
      </c>
      <c r="T26" s="16"/>
      <c r="W26" s="19"/>
      <c r="X26" s="19"/>
      <c r="Y26" s="19"/>
      <c r="Z26" s="19"/>
      <c r="AA26" s="19"/>
      <c r="AB26" s="19"/>
      <c r="AC26" s="19"/>
      <c r="AD26" s="19"/>
      <c r="AE26" s="19"/>
      <c r="AF26" s="1"/>
      <c r="AG26" s="1"/>
      <c r="AH26" s="1"/>
    </row>
    <row r="27" spans="1:34" ht="18.75" hidden="1">
      <c r="A27" s="21" t="s">
        <v>19</v>
      </c>
      <c r="H27" s="16">
        <v>515</v>
      </c>
      <c r="I27" s="16">
        <v>599</v>
      </c>
      <c r="J27" s="16">
        <v>640</v>
      </c>
      <c r="K27" s="16">
        <v>536</v>
      </c>
      <c r="L27" s="16">
        <v>492</v>
      </c>
      <c r="M27" s="16">
        <v>623</v>
      </c>
      <c r="N27" s="45"/>
      <c r="O27" s="17">
        <f t="shared" si="1"/>
        <v>0</v>
      </c>
      <c r="P27" s="37">
        <f t="shared" si="2"/>
        <v>-100</v>
      </c>
      <c r="Q27" s="23" t="s">
        <v>48</v>
      </c>
      <c r="T27" s="16"/>
    </row>
    <row r="28" spans="1:34" ht="18.75" hidden="1">
      <c r="A28" s="21" t="s">
        <v>49</v>
      </c>
      <c r="H28" s="16">
        <v>57</v>
      </c>
      <c r="I28" s="16">
        <v>41</v>
      </c>
      <c r="J28" s="16">
        <v>37</v>
      </c>
      <c r="K28" s="16">
        <v>39</v>
      </c>
      <c r="L28" s="16">
        <v>19</v>
      </c>
      <c r="M28" s="16">
        <v>8</v>
      </c>
      <c r="N28" s="45"/>
      <c r="O28" s="17">
        <f t="shared" si="1"/>
        <v>0</v>
      </c>
      <c r="P28" s="37">
        <f t="shared" si="2"/>
        <v>-100</v>
      </c>
      <c r="Q28" s="23" t="s">
        <v>50</v>
      </c>
      <c r="T28" s="16"/>
    </row>
    <row r="29" spans="1:34" ht="18.75" hidden="1">
      <c r="A29" s="21" t="s">
        <v>51</v>
      </c>
      <c r="H29" s="16">
        <v>28</v>
      </c>
      <c r="I29" s="16">
        <v>20</v>
      </c>
      <c r="J29" s="16">
        <v>23</v>
      </c>
      <c r="K29" s="16">
        <v>27</v>
      </c>
      <c r="L29" s="16">
        <v>15</v>
      </c>
      <c r="M29" s="16">
        <v>17</v>
      </c>
      <c r="N29" s="45"/>
      <c r="O29" s="17">
        <f t="shared" si="1"/>
        <v>0</v>
      </c>
      <c r="P29" s="37">
        <f t="shared" si="2"/>
        <v>-100</v>
      </c>
      <c r="Q29" s="23" t="s">
        <v>52</v>
      </c>
      <c r="T29" s="16"/>
      <c r="W29" s="3"/>
      <c r="X29" s="3"/>
      <c r="Y29" s="3"/>
      <c r="Z29" s="3"/>
      <c r="AA29" s="3"/>
      <c r="AB29" s="3"/>
      <c r="AC29" s="3"/>
      <c r="AD29" s="3"/>
    </row>
    <row r="30" spans="1:34" ht="18.75" hidden="1">
      <c r="A30" s="26" t="s">
        <v>11</v>
      </c>
      <c r="B30" s="27"/>
      <c r="C30" s="27"/>
      <c r="D30" s="27"/>
      <c r="E30" s="27"/>
      <c r="F30" s="27"/>
      <c r="G30" s="27"/>
      <c r="H30" s="28">
        <v>1067</v>
      </c>
      <c r="I30" s="28">
        <v>1198</v>
      </c>
      <c r="J30" s="28">
        <v>1175</v>
      </c>
      <c r="K30" s="28">
        <v>1121</v>
      </c>
      <c r="L30" s="28">
        <v>1449</v>
      </c>
      <c r="M30" s="28">
        <v>1396</v>
      </c>
      <c r="N30" s="46"/>
      <c r="O30" s="17">
        <f t="shared" si="1"/>
        <v>0</v>
      </c>
      <c r="P30" s="37">
        <f t="shared" si="2"/>
        <v>-100</v>
      </c>
      <c r="Q30" s="29" t="s">
        <v>31</v>
      </c>
      <c r="T30" s="16"/>
      <c r="W30" s="3"/>
      <c r="X30" s="3"/>
      <c r="Y30" s="3"/>
      <c r="Z30" s="3"/>
      <c r="AA30" s="3"/>
      <c r="AB30" s="3"/>
      <c r="AC30" s="3"/>
      <c r="AD30" s="3"/>
    </row>
    <row r="31" spans="1:34" s="30" customFormat="1" ht="16.5">
      <c r="A31" s="3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5" t="s">
        <v>54</v>
      </c>
      <c r="T31" s="16"/>
      <c r="X31" s="3"/>
      <c r="Y31" s="3"/>
      <c r="Z31" s="3"/>
      <c r="AA31" s="3"/>
      <c r="AB31" s="3"/>
      <c r="AC31" s="3"/>
      <c r="AD31" s="3"/>
      <c r="AE31" s="3"/>
      <c r="AF31" s="1"/>
      <c r="AG31" s="1"/>
      <c r="AH31" s="1"/>
    </row>
    <row r="32" spans="1:34">
      <c r="W32" s="3"/>
      <c r="X32" s="3"/>
      <c r="Y32" s="3"/>
      <c r="Z32" s="3"/>
      <c r="AA32" s="3"/>
      <c r="AB32" s="3"/>
      <c r="AC32" s="3"/>
      <c r="AD32" s="3"/>
      <c r="AE32" s="3"/>
    </row>
    <row r="33" spans="21:43" ht="19.5" customHeight="1">
      <c r="U33" s="21"/>
      <c r="V33" s="21"/>
    </row>
    <row r="34" spans="21:43" ht="19.5" customHeight="1">
      <c r="U34" s="21"/>
      <c r="V34" s="21"/>
    </row>
    <row r="35" spans="21:43" ht="19.5" customHeight="1">
      <c r="U35" s="41"/>
      <c r="V35" s="21"/>
    </row>
    <row r="36" spans="21:43" ht="19.5" customHeight="1">
      <c r="U36" s="42"/>
      <c r="V36" s="21"/>
    </row>
    <row r="37" spans="21:43">
      <c r="U37" s="42"/>
      <c r="V37" s="21"/>
    </row>
    <row r="38" spans="21:43">
      <c r="U38" s="42"/>
      <c r="V38" s="21"/>
    </row>
    <row r="39" spans="21:43">
      <c r="U39" s="42"/>
    </row>
    <row r="40" spans="21:43">
      <c r="U40" s="42"/>
    </row>
    <row r="41" spans="21:43">
      <c r="U41" s="42"/>
    </row>
    <row r="42" spans="21:43">
      <c r="U42" s="42"/>
    </row>
    <row r="43" spans="21:43">
      <c r="U43" s="42"/>
      <c r="AF43" s="1">
        <v>2010</v>
      </c>
      <c r="AG43" s="1">
        <v>2011</v>
      </c>
      <c r="AH43" s="1">
        <v>2012</v>
      </c>
      <c r="AI43" s="1">
        <v>2013</v>
      </c>
      <c r="AJ43" s="1">
        <v>2014</v>
      </c>
      <c r="AK43" s="1">
        <v>2015</v>
      </c>
      <c r="AL43" s="1">
        <v>2016</v>
      </c>
      <c r="AM43" s="1">
        <v>2017</v>
      </c>
      <c r="AN43" s="1">
        <v>2018</v>
      </c>
      <c r="AO43" s="1">
        <v>2019</v>
      </c>
      <c r="AP43" s="1">
        <v>2020</v>
      </c>
      <c r="AQ43" s="1">
        <v>2021</v>
      </c>
    </row>
    <row r="44" spans="21:43">
      <c r="U44" s="43"/>
      <c r="AE44" s="12" t="s">
        <v>3</v>
      </c>
      <c r="AF44" s="32">
        <v>-0.14973795857249811</v>
      </c>
      <c r="AG44" s="32">
        <v>18.320419895026244</v>
      </c>
      <c r="AH44" s="32">
        <v>38.804393747359526</v>
      </c>
      <c r="AI44" s="32">
        <v>1.7044589864556383</v>
      </c>
      <c r="AJ44" s="32">
        <v>-23.986233727367949</v>
      </c>
      <c r="AK44" s="32">
        <f t="shared" ref="AK44:AQ48" si="3">((H6-G6)/G6)*100</f>
        <v>-21.102362204724407</v>
      </c>
      <c r="AL44" s="32">
        <f t="shared" si="3"/>
        <v>-9.780439121756487</v>
      </c>
      <c r="AM44" s="32">
        <f t="shared" si="3"/>
        <v>-3.125</v>
      </c>
      <c r="AN44" s="32">
        <f>((K6-J6)/J6)*100</f>
        <v>-6.6514416214673133</v>
      </c>
      <c r="AO44" s="32">
        <f>((L6-K6)/K6)*100</f>
        <v>39.26605504587156</v>
      </c>
      <c r="AP44" s="32">
        <f>((M6-L6)/L6)*100</f>
        <v>-21.365832235397452</v>
      </c>
      <c r="AQ44" s="32">
        <f>((N6-M6)/M6)*100</f>
        <v>30.187098575816812</v>
      </c>
    </row>
    <row r="45" spans="21:43">
      <c r="AE45" s="12" t="s">
        <v>6</v>
      </c>
      <c r="AF45" s="32">
        <v>-19.349485562562229</v>
      </c>
      <c r="AG45" s="32">
        <v>-7.3662551440329223</v>
      </c>
      <c r="AH45" s="32">
        <v>-12.305641936916926</v>
      </c>
      <c r="AI45" s="32">
        <v>-2.2289766970618032</v>
      </c>
      <c r="AJ45" s="32">
        <v>10.725388601036268</v>
      </c>
      <c r="AK45" s="32">
        <f t="shared" si="3"/>
        <v>-4.3518951801591017</v>
      </c>
      <c r="AL45" s="32">
        <f t="shared" si="3"/>
        <v>9.6868884540117417</v>
      </c>
      <c r="AM45" s="32">
        <f t="shared" si="3"/>
        <v>-6.1106155218554861</v>
      </c>
      <c r="AN45" s="32">
        <f t="shared" si="3"/>
        <v>-4.6555819477434683</v>
      </c>
      <c r="AO45" s="32">
        <f t="shared" si="3"/>
        <v>15.794718485301445</v>
      </c>
      <c r="AP45" s="32">
        <f t="shared" si="3"/>
        <v>-40.189328743545609</v>
      </c>
      <c r="AQ45" s="32">
        <f t="shared" si="3"/>
        <v>11.726618705035971</v>
      </c>
    </row>
    <row r="46" spans="21:43">
      <c r="AE46" s="12" t="s">
        <v>8</v>
      </c>
      <c r="AF46" s="32">
        <v>-31.65680473372781</v>
      </c>
      <c r="AG46" s="32">
        <v>12.739641311069882</v>
      </c>
      <c r="AH46" s="32">
        <v>39.001645639056498</v>
      </c>
      <c r="AI46" s="32">
        <v>56.471981057616418</v>
      </c>
      <c r="AJ46" s="32">
        <v>-20.807061790668349</v>
      </c>
      <c r="AK46" s="32">
        <f t="shared" si="3"/>
        <v>-33.789808917197448</v>
      </c>
      <c r="AL46" s="32">
        <f t="shared" si="3"/>
        <v>14.237614237614238</v>
      </c>
      <c r="AM46" s="32">
        <f t="shared" si="3"/>
        <v>-14.189473684210526</v>
      </c>
      <c r="AN46" s="32">
        <f t="shared" si="3"/>
        <v>9.4210009813542683</v>
      </c>
      <c r="AO46" s="32">
        <f t="shared" si="3"/>
        <v>-1.883408071748879</v>
      </c>
      <c r="AP46" s="32">
        <f t="shared" si="3"/>
        <v>-34.872029250457039</v>
      </c>
      <c r="AQ46" s="32">
        <f t="shared" si="3"/>
        <v>1.0526315789473684</v>
      </c>
    </row>
    <row r="47" spans="21:43">
      <c r="AE47" s="12" t="s">
        <v>13</v>
      </c>
      <c r="AF47" s="32">
        <v>-19.91584852734923</v>
      </c>
      <c r="AG47" s="32">
        <v>-13.601868067717454</v>
      </c>
      <c r="AH47" s="32">
        <v>1.8918918918918921</v>
      </c>
      <c r="AI47" s="32">
        <v>31.49867374005305</v>
      </c>
      <c r="AJ47" s="32">
        <v>1.5632879475542107</v>
      </c>
      <c r="AK47" s="32">
        <f t="shared" si="3"/>
        <v>-14.995034756703079</v>
      </c>
      <c r="AL47" s="32">
        <f t="shared" si="3"/>
        <v>6.83411214953271</v>
      </c>
      <c r="AM47" s="32">
        <f t="shared" si="3"/>
        <v>-9.5133952979770378</v>
      </c>
      <c r="AN47" s="32">
        <f t="shared" si="3"/>
        <v>7.9758308157099691</v>
      </c>
      <c r="AO47" s="32">
        <f t="shared" si="3"/>
        <v>1.5109121432568551</v>
      </c>
      <c r="AP47" s="32">
        <f t="shared" si="3"/>
        <v>-58.985667034178611</v>
      </c>
      <c r="AQ47" s="32">
        <f t="shared" si="3"/>
        <v>30.913978494623656</v>
      </c>
    </row>
    <row r="48" spans="21:43">
      <c r="AE48" s="12" t="s">
        <v>10</v>
      </c>
      <c r="AF48" s="32">
        <v>-23.7</v>
      </c>
      <c r="AG48" s="32">
        <v>-13.499344692005241</v>
      </c>
      <c r="AH48" s="32">
        <v>-4.2424242424242431</v>
      </c>
      <c r="AI48" s="32">
        <v>1.9778481012658229</v>
      </c>
      <c r="AJ48" s="32">
        <v>-17.610550814584951</v>
      </c>
      <c r="AK48" s="32">
        <f t="shared" si="3"/>
        <v>-11.111111111111111</v>
      </c>
      <c r="AL48" s="32">
        <f t="shared" si="3"/>
        <v>-17.266949152542374</v>
      </c>
      <c r="AM48" s="32">
        <f t="shared" si="3"/>
        <v>-1.4084507042253522</v>
      </c>
      <c r="AN48" s="32">
        <f t="shared" si="3"/>
        <v>-2.2077922077922079</v>
      </c>
      <c r="AO48" s="32">
        <f t="shared" si="3"/>
        <v>-16.201859229747676</v>
      </c>
      <c r="AP48" s="32">
        <f t="shared" si="3"/>
        <v>4.7543581616481774</v>
      </c>
      <c r="AQ48" s="32">
        <f t="shared" si="3"/>
        <v>-7.7155824508320734</v>
      </c>
    </row>
  </sheetData>
  <mergeCells count="17">
    <mergeCell ref="M3:M4"/>
    <mergeCell ref="N3:N4"/>
    <mergeCell ref="I3:I4"/>
    <mergeCell ref="J3:J4"/>
    <mergeCell ref="Q3:Q4"/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K3:K4"/>
    <mergeCell ref="L3:L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U36:U43" xr:uid="{00000000-0002-0000-0000-000000000000}">
      <formula1>0</formula1>
      <formula2>1000</formula2>
    </dataValidation>
  </dataValidations>
  <pageMargins left="0.7" right="0.7" top="0.75" bottom="0.75" header="0.3" footer="0.3"/>
  <pageSetup scale="53" orientation="portrait" horizontalDpi="4294967295" verticalDpi="4294967295" r:id="rId1"/>
  <ignoredErrors>
    <ignoredError sqref="I5:K5" formulaRange="1"/>
    <ignoredError sqref="P5:P1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2023-05-16T11:46:14Z</cp:lastPrinted>
  <dcterms:created xsi:type="dcterms:W3CDTF">2019-06-30T04:22:49Z</dcterms:created>
  <dcterms:modified xsi:type="dcterms:W3CDTF">2023-05-16T11:46:27Z</dcterms:modified>
</cp:coreProperties>
</file>