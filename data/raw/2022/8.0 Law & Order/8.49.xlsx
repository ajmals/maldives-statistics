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75FA4BEA-C40E-490E-9A44-2360257FA3FD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49" sheetId="82" r:id="rId1"/>
  </sheets>
  <externalReferences>
    <externalReference r:id="rId2"/>
    <externalReference r:id="rId3"/>
    <externalReference r:id="rId4"/>
  </externalReferences>
  <definedNames>
    <definedName name="_xlnm.Print_Area" localSheetId="0">'8.49'!$A$1:$W$69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8" i="82" l="1"/>
  <c r="P28" i="82" s="1"/>
  <c r="BK51" i="82" s="1"/>
  <c r="N28" i="82"/>
  <c r="I28" i="82" s="1"/>
  <c r="G28" i="82"/>
  <c r="B28" i="82" s="1"/>
  <c r="U27" i="82"/>
  <c r="P27" i="82" s="1"/>
  <c r="N27" i="82"/>
  <c r="I27" i="82" s="1"/>
  <c r="G27" i="82"/>
  <c r="B27" i="82" s="1"/>
  <c r="U26" i="82"/>
  <c r="P26" i="82" s="1"/>
  <c r="N26" i="82"/>
  <c r="I26" i="82" s="1"/>
  <c r="G26" i="82"/>
  <c r="B26" i="82" s="1"/>
  <c r="U25" i="82"/>
  <c r="P25" i="82" s="1"/>
  <c r="BK48" i="82" s="1"/>
  <c r="N25" i="82"/>
  <c r="I25" i="82" s="1"/>
  <c r="G25" i="82"/>
  <c r="B25" i="82" s="1"/>
  <c r="U24" i="82"/>
  <c r="P24" i="82" s="1"/>
  <c r="BK47" i="82" s="1"/>
  <c r="N24" i="82"/>
  <c r="I24" i="82" s="1"/>
  <c r="G24" i="82"/>
  <c r="B24" i="82" s="1"/>
  <c r="U23" i="82"/>
  <c r="P23" i="82" s="1"/>
  <c r="BK46" i="82" s="1"/>
  <c r="N23" i="82"/>
  <c r="I23" i="82" s="1"/>
  <c r="G23" i="82"/>
  <c r="B23" i="82" s="1"/>
  <c r="T22" i="82"/>
  <c r="S22" i="82"/>
  <c r="R22" i="82"/>
  <c r="Q22" i="82"/>
  <c r="M22" i="82"/>
  <c r="L22" i="82"/>
  <c r="K22" i="82"/>
  <c r="J22" i="82"/>
  <c r="F22" i="82"/>
  <c r="E22" i="82"/>
  <c r="D22" i="82"/>
  <c r="C22" i="82"/>
  <c r="U21" i="82"/>
  <c r="P21" i="82" s="1"/>
  <c r="N21" i="82"/>
  <c r="I21" i="82" s="1"/>
  <c r="G21" i="82"/>
  <c r="B21" i="82" s="1"/>
  <c r="U20" i="82"/>
  <c r="P20" i="82" s="1"/>
  <c r="BJ50" i="82" s="1"/>
  <c r="N20" i="82"/>
  <c r="I20" i="82" s="1"/>
  <c r="G20" i="82"/>
  <c r="B20" i="82" s="1"/>
  <c r="BM64" i="82"/>
  <c r="U19" i="82"/>
  <c r="N19" i="82"/>
  <c r="I19" i="82" s="1"/>
  <c r="G19" i="82"/>
  <c r="B19" i="82" s="1"/>
  <c r="U18" i="82"/>
  <c r="P18" i="82" s="1"/>
  <c r="N18" i="82"/>
  <c r="I18" i="82" s="1"/>
  <c r="G18" i="82"/>
  <c r="U17" i="82"/>
  <c r="P17" i="82" s="1"/>
  <c r="N17" i="82"/>
  <c r="I17" i="82" s="1"/>
  <c r="G17" i="82"/>
  <c r="U16" i="82"/>
  <c r="P16" i="82" s="1"/>
  <c r="BJ46" i="82" s="1"/>
  <c r="N16" i="82"/>
  <c r="I16" i="82" s="1"/>
  <c r="G16" i="82"/>
  <c r="T15" i="82"/>
  <c r="S15" i="82"/>
  <c r="S8" i="82" s="1"/>
  <c r="R15" i="82"/>
  <c r="Q15" i="82"/>
  <c r="M15" i="82"/>
  <c r="L15" i="82"/>
  <c r="K15" i="82"/>
  <c r="J15" i="82"/>
  <c r="F15" i="82"/>
  <c r="E15" i="82"/>
  <c r="D15" i="82"/>
  <c r="C15" i="82"/>
  <c r="T14" i="82"/>
  <c r="S14" i="82"/>
  <c r="R14" i="82"/>
  <c r="Q14" i="82"/>
  <c r="M14" i="82"/>
  <c r="L14" i="82"/>
  <c r="K14" i="82"/>
  <c r="J14" i="82"/>
  <c r="F14" i="82"/>
  <c r="E14" i="82"/>
  <c r="D14" i="82"/>
  <c r="C14" i="82"/>
  <c r="T13" i="82"/>
  <c r="S13" i="82"/>
  <c r="R13" i="82"/>
  <c r="Q13" i="82"/>
  <c r="M13" i="82"/>
  <c r="L13" i="82"/>
  <c r="K13" i="82"/>
  <c r="J13" i="82"/>
  <c r="F13" i="82"/>
  <c r="E13" i="82"/>
  <c r="D13" i="82"/>
  <c r="C13" i="82"/>
  <c r="T12" i="82"/>
  <c r="S12" i="82"/>
  <c r="R12" i="82"/>
  <c r="Q12" i="82"/>
  <c r="M12" i="82"/>
  <c r="L12" i="82"/>
  <c r="K12" i="82"/>
  <c r="J12" i="82"/>
  <c r="F12" i="82"/>
  <c r="E12" i="82"/>
  <c r="D12" i="82"/>
  <c r="C12" i="82"/>
  <c r="T11" i="82"/>
  <c r="S11" i="82"/>
  <c r="R11" i="82"/>
  <c r="Q11" i="82"/>
  <c r="M11" i="82"/>
  <c r="L11" i="82"/>
  <c r="K11" i="82"/>
  <c r="J11" i="82"/>
  <c r="F11" i="82"/>
  <c r="E11" i="82"/>
  <c r="D11" i="82"/>
  <c r="C11" i="82"/>
  <c r="T10" i="82"/>
  <c r="S10" i="82"/>
  <c r="R10" i="82"/>
  <c r="Q10" i="82"/>
  <c r="M10" i="82"/>
  <c r="L10" i="82"/>
  <c r="K10" i="82"/>
  <c r="J10" i="82"/>
  <c r="F10" i="82"/>
  <c r="E10" i="82"/>
  <c r="D10" i="82"/>
  <c r="C10" i="82"/>
  <c r="T9" i="82"/>
  <c r="S9" i="82"/>
  <c r="R9" i="82"/>
  <c r="Q9" i="82"/>
  <c r="M9" i="82"/>
  <c r="L9" i="82"/>
  <c r="K9" i="82"/>
  <c r="J9" i="82"/>
  <c r="F9" i="82"/>
  <c r="E9" i="82"/>
  <c r="D9" i="82"/>
  <c r="C9" i="82"/>
  <c r="G11" i="82" l="1"/>
  <c r="U10" i="82"/>
  <c r="K8" i="82"/>
  <c r="BK40" i="82" s="1"/>
  <c r="U11" i="82"/>
  <c r="F8" i="82"/>
  <c r="N11" i="82"/>
  <c r="J8" i="82"/>
  <c r="BJ40" i="82" s="1"/>
  <c r="L8" i="82"/>
  <c r="N9" i="82"/>
  <c r="C8" i="82"/>
  <c r="BJ39" i="82" s="1"/>
  <c r="Q8" i="82"/>
  <c r="BJ41" i="82" s="1"/>
  <c r="G10" i="82"/>
  <c r="G13" i="82"/>
  <c r="D8" i="82"/>
  <c r="BK39" i="82" s="1"/>
  <c r="M8" i="82"/>
  <c r="U12" i="82"/>
  <c r="I12" i="82"/>
  <c r="BO63" i="82" s="1"/>
  <c r="I11" i="82"/>
  <c r="BO62" i="82" s="1"/>
  <c r="N12" i="82"/>
  <c r="I13" i="82"/>
  <c r="BO64" i="82" s="1"/>
  <c r="T8" i="82"/>
  <c r="N13" i="82"/>
  <c r="B17" i="82"/>
  <c r="B10" i="82" s="1"/>
  <c r="BN61" i="82" s="1"/>
  <c r="N22" i="82"/>
  <c r="I22" i="82" s="1"/>
  <c r="P9" i="82"/>
  <c r="BP60" i="82" s="1"/>
  <c r="B18" i="82"/>
  <c r="B11" i="82" s="1"/>
  <c r="BN62" i="82" s="1"/>
  <c r="P19" i="82"/>
  <c r="BJ49" i="82" s="1"/>
  <c r="U22" i="82"/>
  <c r="P22" i="82" s="1"/>
  <c r="BM62" i="82"/>
  <c r="P13" i="82"/>
  <c r="BP64" i="82" s="1"/>
  <c r="BK50" i="82"/>
  <c r="BL50" i="82" s="1"/>
  <c r="BN50" i="82" s="1"/>
  <c r="B12" i="82"/>
  <c r="BN63" i="82" s="1"/>
  <c r="BK49" i="82"/>
  <c r="U13" i="82"/>
  <c r="P10" i="82"/>
  <c r="BP61" i="82" s="1"/>
  <c r="BJ47" i="82"/>
  <c r="U14" i="82"/>
  <c r="BM63" i="82"/>
  <c r="B14" i="82"/>
  <c r="BN65" i="82" s="1"/>
  <c r="E8" i="82"/>
  <c r="BM60" i="82"/>
  <c r="N14" i="82"/>
  <c r="G15" i="82"/>
  <c r="B15" i="82" s="1"/>
  <c r="P14" i="82"/>
  <c r="BP65" i="82" s="1"/>
  <c r="BJ51" i="82"/>
  <c r="BL51" i="82" s="1"/>
  <c r="BM51" i="82" s="1"/>
  <c r="B13" i="82"/>
  <c r="BN64" i="82" s="1"/>
  <c r="P11" i="82"/>
  <c r="BP62" i="82" s="1"/>
  <c r="BJ48" i="82"/>
  <c r="BL48" i="82" s="1"/>
  <c r="BM48" i="82" s="1"/>
  <c r="BM61" i="82"/>
  <c r="I9" i="82"/>
  <c r="BO60" i="82" s="1"/>
  <c r="I10" i="82"/>
  <c r="BO61" i="82" s="1"/>
  <c r="I14" i="82"/>
  <c r="BO65" i="82" s="1"/>
  <c r="BM65" i="82"/>
  <c r="G12" i="82"/>
  <c r="R8" i="82"/>
  <c r="BK41" i="82" s="1"/>
  <c r="G22" i="82"/>
  <c r="G9" i="82"/>
  <c r="N10" i="82"/>
  <c r="U15" i="82"/>
  <c r="B16" i="82"/>
  <c r="B9" i="82" s="1"/>
  <c r="BN60" i="82" s="1"/>
  <c r="BK80" i="82"/>
  <c r="G14" i="82"/>
  <c r="N15" i="82"/>
  <c r="U9" i="82"/>
  <c r="G8" i="82" l="1"/>
  <c r="BL39" i="82" s="1"/>
  <c r="BL49" i="82"/>
  <c r="BN49" i="82" s="1"/>
  <c r="BJ80" i="82"/>
  <c r="BK82" i="82" s="1"/>
  <c r="U8" i="82"/>
  <c r="BL41" i="82" s="1"/>
  <c r="P12" i="82"/>
  <c r="BP63" i="82" s="1"/>
  <c r="BN48" i="82"/>
  <c r="BM50" i="82"/>
  <c r="B22" i="82"/>
  <c r="B8" i="82" s="1"/>
  <c r="BL47" i="82"/>
  <c r="BN47" i="82" s="1"/>
  <c r="N8" i="82"/>
  <c r="I15" i="82"/>
  <c r="I8" i="82" s="1"/>
  <c r="P15" i="82"/>
  <c r="P8" i="82" s="1"/>
  <c r="BN51" i="82"/>
  <c r="BL46" i="82"/>
  <c r="BN46" i="82" s="1"/>
  <c r="BM49" i="82" l="1"/>
  <c r="BM47" i="82"/>
  <c r="BL80" i="82"/>
  <c r="BL40" i="82"/>
  <c r="BM46" i="82"/>
  <c r="BL82" i="82" l="1"/>
  <c r="BI80" i="82"/>
  <c r="BJ82" i="82" s="1"/>
</calcChain>
</file>

<file path=xl/sharedStrings.xml><?xml version="1.0" encoding="utf-8"?>
<sst xmlns="http://schemas.openxmlformats.org/spreadsheetml/2006/main" count="118" uniqueCount="37">
  <si>
    <t>Total</t>
  </si>
  <si>
    <t>Male'</t>
  </si>
  <si>
    <t>Atolls</t>
  </si>
  <si>
    <t>Both Sexes</t>
  </si>
  <si>
    <t>Male</t>
  </si>
  <si>
    <t>Female</t>
  </si>
  <si>
    <t xml:space="preserve">Total </t>
  </si>
  <si>
    <t>cscnijed</t>
  </si>
  <si>
    <t>Source:Maldives Correctional  Service</t>
  </si>
  <si>
    <t>މައުލޫމާތު ދެއްވީ: މޯލްޑިވްސް ކަރެކްޝަނަލް ސަރވިސް</t>
  </si>
  <si>
    <t>2020 - 2018 cnutogeguscnij cnuhIm unuverukcmukuh :8.33clwvWt</t>
  </si>
  <si>
    <t>Table  8.33 :   PERSONS SENTENCED, BY TYPE AND PERIOD, 2018 - 2020</t>
  </si>
  <si>
    <t>Period of Sentence and Sex</t>
  </si>
  <si>
    <t xml:space="preserve"> cnutogeguscnij utwdcaum unuveruk cmukuh</t>
  </si>
  <si>
    <t>iawgudcnwb Eg</t>
  </si>
  <si>
    <t>Jailed</t>
  </si>
  <si>
    <t>Banished</t>
  </si>
  <si>
    <t>House Arrest/Detention</t>
  </si>
  <si>
    <t xml:space="preserve"> elWm</t>
  </si>
  <si>
    <t xml:space="preserve"> uLotwa</t>
  </si>
  <si>
    <t xml:space="preserve"> wlcmuj</t>
  </si>
  <si>
    <t xml:space="preserve"> iawgulwj</t>
  </si>
  <si>
    <t xml:space="preserve"> iawfivelWvurwa</t>
  </si>
  <si>
    <t>Less than 1 year</t>
  </si>
  <si>
    <t xml:space="preserve"> cSwd cnurwhwa 1</t>
  </si>
  <si>
    <t>1 - 2 years</t>
  </si>
  <si>
    <t>urwhwa 2 - 1</t>
  </si>
  <si>
    <t>2 - 3 years</t>
  </si>
  <si>
    <t>urwhwa 3 - 2</t>
  </si>
  <si>
    <t>3 - 4 years</t>
  </si>
  <si>
    <t>urwhwa 4 - 3</t>
  </si>
  <si>
    <t>4 - 5 years</t>
  </si>
  <si>
    <t>urwhwa 5 - 4</t>
  </si>
  <si>
    <t>5 years &amp; Over</t>
  </si>
  <si>
    <t xml:space="preserve"> itwm cnurwhwa 5</t>
  </si>
  <si>
    <t xml:space="preserve"> cnehirif</t>
  </si>
  <si>
    <t xml:space="preserve"> cnehcnwa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</si>
</sst>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0.0"/>
    <numFmt numFmtId="166" formatCode="_-* #,##0_-;\-* #,##0_-;_-* &quot;-&quot;??_-;_-@_-"/>
    <numFmt numFmtId="167" formatCode="#,##0.0"/>
  </numFmts>
  <fonts count="2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9"/>
      <name val="Arial"/>
      <family val="2"/>
    </font>
    <font>
      <b/>
      <sz val="15"/>
      <color theme="3"/>
      <name val="Arial Mäori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name val="Faruma"/>
    </font>
    <font>
      <b/>
      <sz val="10"/>
      <name val="Arial"/>
      <family val="2"/>
    </font>
    <font>
      <b/>
      <sz val="11"/>
      <name val="A_Faseyha"/>
    </font>
    <font>
      <b/>
      <sz val="9"/>
      <name val="A_Viligili"/>
    </font>
    <font>
      <b/>
      <sz val="10"/>
      <color theme="1"/>
      <name val="A_Randhoo"/>
    </font>
    <font>
      <b/>
      <sz val="10"/>
      <name val="A_Viligili"/>
    </font>
    <font>
      <sz val="10"/>
      <name val="A_Viligili"/>
    </font>
    <font>
      <sz val="10"/>
      <color indexed="8"/>
      <name val="Calibri"/>
      <family val="2"/>
      <scheme val="minor"/>
    </font>
    <font>
      <b/>
      <sz val="9"/>
      <color theme="0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</borders>
  <cellStyleXfs count="8">
    <xf numFmtId="0" fontId="0" fillId="0" borderId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3" fillId="0" borderId="3" applyNumberFormat="0" applyFill="0" applyAlignment="0" applyProtection="0"/>
    <xf numFmtId="0" fontId="10" fillId="0" borderId="0"/>
    <xf numFmtId="0" fontId="10" fillId="0" borderId="0"/>
    <xf numFmtId="0" fontId="8" fillId="0" borderId="0"/>
  </cellStyleXfs>
  <cellXfs count="89">
    <xf numFmtId="0" fontId="0" fillId="0" borderId="0" xfId="0"/>
    <xf numFmtId="164" fontId="1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horizontal="left" vertical="center" indent="1"/>
    </xf>
    <xf numFmtId="164" fontId="5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vertical="top"/>
    </xf>
    <xf numFmtId="164" fontId="14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right" vertical="center"/>
    </xf>
    <xf numFmtId="164" fontId="3" fillId="2" borderId="6" xfId="0" applyNumberFormat="1" applyFont="1" applyFill="1" applyBorder="1"/>
    <xf numFmtId="164" fontId="2" fillId="2" borderId="0" xfId="0" applyNumberFormat="1" applyFont="1" applyFill="1" applyAlignment="1">
      <alignment horizontal="center" vertical="top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right" vertical="center"/>
    </xf>
    <xf numFmtId="164" fontId="21" fillId="2" borderId="0" xfId="0" applyNumberFormat="1" applyFont="1" applyFill="1" applyAlignment="1">
      <alignment horizontal="center" vertical="center"/>
    </xf>
    <xf numFmtId="164" fontId="20" fillId="2" borderId="1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20" fillId="2" borderId="10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right"/>
    </xf>
    <xf numFmtId="164" fontId="2" fillId="2" borderId="4" xfId="0" applyNumberFormat="1" applyFont="1" applyFill="1" applyBorder="1" applyAlignment="1">
      <alignment horizontal="left" vertical="center"/>
    </xf>
    <xf numFmtId="3" fontId="2" fillId="2" borderId="4" xfId="0" applyNumberFormat="1" applyFont="1" applyFill="1" applyBorder="1" applyAlignment="1">
      <alignment horizontal="right" vertical="center"/>
    </xf>
    <xf numFmtId="3" fontId="6" fillId="2" borderId="4" xfId="0" applyNumberFormat="1" applyFont="1" applyFill="1" applyBorder="1" applyAlignment="1">
      <alignment horizontal="right" vertical="center"/>
    </xf>
    <xf numFmtId="3" fontId="2" fillId="2" borderId="8" xfId="0" applyNumberFormat="1" applyFont="1" applyFill="1" applyBorder="1" applyAlignment="1">
      <alignment horizontal="right" vertical="center"/>
    </xf>
    <xf numFmtId="164" fontId="22" fillId="2" borderId="4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left" vertical="center" indent="1"/>
    </xf>
    <xf numFmtId="3" fontId="2" fillId="2" borderId="9" xfId="0" applyNumberFormat="1" applyFont="1" applyFill="1" applyBorder="1" applyAlignment="1">
      <alignment horizontal="right" vertical="center"/>
    </xf>
    <xf numFmtId="164" fontId="23" fillId="2" borderId="0" xfId="0" applyNumberFormat="1" applyFont="1" applyFill="1" applyAlignment="1">
      <alignment horizontal="right" vertical="center" indent="1"/>
    </xf>
    <xf numFmtId="164" fontId="3" fillId="2" borderId="2" xfId="0" applyNumberFormat="1" applyFont="1" applyFill="1" applyBorder="1" applyAlignment="1">
      <alignment horizontal="left" vertical="center" indent="1"/>
    </xf>
    <xf numFmtId="3" fontId="6" fillId="2" borderId="2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3" fontId="2" fillId="2" borderId="12" xfId="0" applyNumberFormat="1" applyFont="1" applyFill="1" applyBorder="1" applyAlignment="1">
      <alignment horizontal="right" vertical="center"/>
    </xf>
    <xf numFmtId="164" fontId="23" fillId="2" borderId="2" xfId="0" applyNumberFormat="1" applyFont="1" applyFill="1" applyBorder="1" applyAlignment="1">
      <alignment horizontal="right" vertical="center" indent="1"/>
    </xf>
    <xf numFmtId="164" fontId="6" fillId="2" borderId="0" xfId="0" applyNumberFormat="1" applyFont="1" applyFill="1" applyAlignment="1">
      <alignment horizontal="left" vertical="center"/>
    </xf>
    <xf numFmtId="3" fontId="6" fillId="2" borderId="9" xfId="0" applyNumberFormat="1" applyFont="1" applyFill="1" applyBorder="1" applyAlignment="1">
      <alignment horizontal="right" vertical="center"/>
    </xf>
    <xf numFmtId="164" fontId="22" fillId="2" borderId="0" xfId="0" applyNumberFormat="1" applyFont="1" applyFill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1" fontId="6" fillId="2" borderId="0" xfId="0" applyNumberFormat="1" applyFont="1" applyFill="1" applyAlignment="1">
      <alignment horizontal="right" vertical="center"/>
    </xf>
    <xf numFmtId="3" fontId="1" fillId="2" borderId="0" xfId="7" applyNumberFormat="1" applyFont="1" applyFill="1" applyAlignment="1">
      <alignment horizontal="right" vertical="center"/>
    </xf>
    <xf numFmtId="165" fontId="1" fillId="2" borderId="0" xfId="0" applyNumberFormat="1" applyFont="1" applyFill="1" applyAlignment="1">
      <alignment horizontal="right" vertical="center"/>
    </xf>
    <xf numFmtId="1" fontId="1" fillId="2" borderId="0" xfId="0" applyNumberFormat="1" applyFont="1" applyFill="1" applyAlignment="1">
      <alignment horizontal="right" vertical="center"/>
    </xf>
    <xf numFmtId="1" fontId="1" fillId="2" borderId="0" xfId="7" applyNumberFormat="1" applyFont="1" applyFill="1" applyAlignment="1">
      <alignment horizontal="right" vertical="center"/>
    </xf>
    <xf numFmtId="164" fontId="1" fillId="2" borderId="2" xfId="0" applyNumberFormat="1" applyFont="1" applyFill="1" applyBorder="1" applyAlignment="1">
      <alignment horizontal="left" vertical="center" indent="1"/>
    </xf>
    <xf numFmtId="3" fontId="1" fillId="2" borderId="2" xfId="7" applyNumberFormat="1" applyFont="1" applyFill="1" applyBorder="1" applyAlignment="1">
      <alignment horizontal="right" vertical="center"/>
    </xf>
    <xf numFmtId="3" fontId="6" fillId="2" borderId="12" xfId="0" applyNumberFormat="1" applyFont="1" applyFill="1" applyBorder="1" applyAlignment="1">
      <alignment horizontal="right" vertical="center"/>
    </xf>
    <xf numFmtId="3" fontId="3" fillId="2" borderId="0" xfId="7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1" fontId="3" fillId="2" borderId="0" xfId="0" applyNumberFormat="1" applyFont="1" applyFill="1" applyAlignment="1">
      <alignment horizontal="right" vertical="center"/>
    </xf>
    <xf numFmtId="1" fontId="3" fillId="2" borderId="0" xfId="7" applyNumberFormat="1" applyFont="1" applyFill="1" applyAlignment="1">
      <alignment horizontal="right" vertical="center"/>
    </xf>
    <xf numFmtId="3" fontId="1" fillId="2" borderId="0" xfId="7" quotePrefix="1" applyNumberFormat="1" applyFont="1" applyFill="1" applyAlignment="1">
      <alignment horizontal="right" vertical="center"/>
    </xf>
    <xf numFmtId="1" fontId="3" fillId="2" borderId="0" xfId="7" quotePrefix="1" applyNumberFormat="1" applyFont="1" applyFill="1" applyAlignment="1">
      <alignment horizontal="right" vertical="center"/>
    </xf>
    <xf numFmtId="164" fontId="3" fillId="2" borderId="1" xfId="0" applyNumberFormat="1" applyFont="1" applyFill="1" applyBorder="1" applyAlignment="1">
      <alignment horizontal="left" vertical="center" indent="1"/>
    </xf>
    <xf numFmtId="3" fontId="3" fillId="2" borderId="1" xfId="7" applyNumberFormat="1" applyFont="1" applyFill="1" applyBorder="1" applyAlignment="1">
      <alignment horizontal="right" vertical="center"/>
    </xf>
    <xf numFmtId="3" fontId="1" fillId="2" borderId="1" xfId="7" applyNumberFormat="1" applyFont="1" applyFill="1" applyBorder="1" applyAlignment="1">
      <alignment horizontal="right" vertical="center"/>
    </xf>
    <xf numFmtId="3" fontId="2" fillId="2" borderId="10" xfId="0" applyNumberFormat="1" applyFont="1" applyFill="1" applyBorder="1" applyAlignment="1">
      <alignment horizontal="right" vertical="center"/>
    </xf>
    <xf numFmtId="164" fontId="23" fillId="2" borderId="1" xfId="0" applyNumberFormat="1" applyFont="1" applyFill="1" applyBorder="1" applyAlignment="1">
      <alignment horizontal="right" vertical="center" indent="1"/>
    </xf>
    <xf numFmtId="164" fontId="12" fillId="2" borderId="7" xfId="0" applyNumberFormat="1" applyFont="1" applyFill="1" applyBorder="1" applyAlignment="1">
      <alignment horizontal="left" vertical="center"/>
    </xf>
    <xf numFmtId="164" fontId="4" fillId="2" borderId="0" xfId="0" applyNumberFormat="1" applyFont="1" applyFill="1" applyAlignment="1">
      <alignment horizontal="left"/>
    </xf>
    <xf numFmtId="164" fontId="17" fillId="2" borderId="0" xfId="0" applyNumberFormat="1" applyFont="1" applyFill="1" applyAlignment="1">
      <alignment horizontal="right" vertical="center"/>
    </xf>
    <xf numFmtId="1" fontId="3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 vertical="center"/>
    </xf>
    <xf numFmtId="164" fontId="2" fillId="2" borderId="9" xfId="0" applyNumberFormat="1" applyFont="1" applyFill="1" applyBorder="1" applyAlignment="1">
      <alignment horizontal="right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2" fillId="2" borderId="11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0" fillId="2" borderId="4" xfId="0" applyNumberFormat="1" applyFont="1" applyFill="1" applyBorder="1" applyAlignment="1">
      <alignment horizontal="right" vertical="center" wrapText="1"/>
    </xf>
    <xf numFmtId="164" fontId="20" fillId="2" borderId="0" xfId="0" applyNumberFormat="1" applyFont="1" applyFill="1" applyAlignment="1">
      <alignment horizontal="right" vertical="center" wrapText="1"/>
    </xf>
    <xf numFmtId="164" fontId="20" fillId="2" borderId="1" xfId="0" applyNumberFormat="1" applyFont="1" applyFill="1" applyBorder="1" applyAlignment="1">
      <alignment horizontal="right" vertical="center" wrapText="1"/>
    </xf>
    <xf numFmtId="164" fontId="20" fillId="2" borderId="1" xfId="0" applyNumberFormat="1" applyFont="1" applyFill="1" applyBorder="1" applyAlignment="1">
      <alignment horizontal="center" vertical="center"/>
    </xf>
  </cellXfs>
  <cellStyles count="8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Normal_Long Series" xfId="7" xr:uid="{00000000-0005-0000-0000-00000C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00307947844436E-2"/>
          <c:y val="0.1753044483326813"/>
          <c:w val="0.90002565145571201"/>
          <c:h val="0.71651559658607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'8.49'!$BJ$34</c:f>
              <c:strCache>
                <c:ptCount val="1"/>
                <c:pt idx="0">
                  <c:v>Jailed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numRef>
              <c:f>'8.49'!$BI$35:$BI$41</c:f>
              <c:numCache>
                <c:formatCode>General_)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'8.49'!$BJ$35:$BJ$41</c:f>
              <c:numCache>
                <c:formatCode>General_)</c:formatCode>
                <c:ptCount val="7"/>
                <c:pt idx="0">
                  <c:v>278</c:v>
                </c:pt>
                <c:pt idx="1">
                  <c:v>257</c:v>
                </c:pt>
                <c:pt idx="2">
                  <c:v>742</c:v>
                </c:pt>
                <c:pt idx="3">
                  <c:v>893</c:v>
                </c:pt>
                <c:pt idx="4">
                  <c:v>988</c:v>
                </c:pt>
                <c:pt idx="5">
                  <c:v>991</c:v>
                </c:pt>
                <c:pt idx="6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C-4A89-829F-554F50E09FD2}"/>
            </c:ext>
          </c:extLst>
        </c:ser>
        <c:ser>
          <c:idx val="1"/>
          <c:order val="1"/>
          <c:tx>
            <c:strRef>
              <c:f>'8.49'!$BK$34</c:f>
              <c:strCache>
                <c:ptCount val="1"/>
                <c:pt idx="0">
                  <c:v>Banished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'8.49'!$BI$35:$BI$41</c:f>
              <c:numCache>
                <c:formatCode>General_)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'8.49'!$BK$35:$BK$41</c:f>
              <c:numCache>
                <c:formatCode>General_)</c:formatCode>
                <c:ptCount val="7"/>
                <c:pt idx="0">
                  <c:v>24</c:v>
                </c:pt>
                <c:pt idx="1">
                  <c:v>8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1C-4A89-829F-554F50E09FD2}"/>
            </c:ext>
          </c:extLst>
        </c:ser>
        <c:ser>
          <c:idx val="2"/>
          <c:order val="2"/>
          <c:tx>
            <c:strRef>
              <c:f>'8.49'!$BL$34</c:f>
              <c:strCache>
                <c:ptCount val="1"/>
                <c:pt idx="0">
                  <c:v>House Arrest/Detention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numRef>
              <c:f>'8.49'!$BI$35:$BI$41</c:f>
              <c:numCache>
                <c:formatCode>General_)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'8.49'!$BL$35:$BL$41</c:f>
              <c:numCache>
                <c:formatCode>General_)</c:formatCode>
                <c:ptCount val="7"/>
                <c:pt idx="0">
                  <c:v>99</c:v>
                </c:pt>
                <c:pt idx="1">
                  <c:v>93</c:v>
                </c:pt>
                <c:pt idx="2">
                  <c:v>81</c:v>
                </c:pt>
                <c:pt idx="3">
                  <c:v>229</c:v>
                </c:pt>
                <c:pt idx="4">
                  <c:v>273</c:v>
                </c:pt>
                <c:pt idx="5">
                  <c:v>249</c:v>
                </c:pt>
                <c:pt idx="6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1C-4A89-829F-554F50E09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261312"/>
        <c:axId val="293262848"/>
      </c:barChart>
      <c:catAx>
        <c:axId val="29326131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293262848"/>
        <c:crosses val="autoZero"/>
        <c:auto val="1"/>
        <c:lblAlgn val="ctr"/>
        <c:lblOffset val="100"/>
        <c:noMultiLvlLbl val="0"/>
      </c:catAx>
      <c:valAx>
        <c:axId val="293262848"/>
        <c:scaling>
          <c:orientation val="minMax"/>
        </c:scaling>
        <c:delete val="0"/>
        <c:axPos val="l"/>
        <c:majorGridlines>
          <c:spPr>
            <a:ln>
              <a:solidFill>
                <a:srgbClr val="FFC5C5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293261312"/>
        <c:crosses val="autoZero"/>
        <c:crossBetween val="between"/>
      </c:valAx>
      <c:spPr>
        <a:solidFill>
          <a:srgbClr val="FFEF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7561878827098394E-2"/>
          <c:y val="0.20940028319387283"/>
          <c:w val="0.53054445939233807"/>
          <c:h val="6.1336759988334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665081330243762E-2"/>
          <c:y val="0.14272747964917415"/>
          <c:w val="0.90649170398708312"/>
          <c:h val="0.6888962030871542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'8.49'!$BM$45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6969"/>
            </a:solidFill>
          </c:spPr>
          <c:invertIfNegative val="0"/>
          <c:cat>
            <c:strRef>
              <c:f>'8.49'!$BI$46:$BI$51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'8.49'!$BM$46:$BM$51</c:f>
              <c:numCache>
                <c:formatCode>0</c:formatCode>
                <c:ptCount val="6"/>
                <c:pt idx="0">
                  <c:v>98.064516129032256</c:v>
                </c:pt>
                <c:pt idx="1">
                  <c:v>94.117647058823522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98.305084745762713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6-4C77-A63D-BDB5F6C57521}"/>
            </c:ext>
          </c:extLst>
        </c:ser>
        <c:ser>
          <c:idx val="2"/>
          <c:order val="1"/>
          <c:tx>
            <c:strRef>
              <c:f>'8.49'!$BN$45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'8.49'!$BI$46:$BI$51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'8.49'!$BN$46:$BN$51</c:f>
              <c:numCache>
                <c:formatCode>0</c:formatCode>
                <c:ptCount val="6"/>
                <c:pt idx="0">
                  <c:v>1.935483870967742</c:v>
                </c:pt>
                <c:pt idx="1">
                  <c:v>5.8823529411764701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1.6949152542372881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6-4C77-A63D-BDB5F6C57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3149312"/>
        <c:axId val="293155200"/>
      </c:barChart>
      <c:catAx>
        <c:axId val="293149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293155200"/>
        <c:crosses val="autoZero"/>
        <c:auto val="1"/>
        <c:lblAlgn val="ctr"/>
        <c:lblOffset val="100"/>
        <c:noMultiLvlLbl val="0"/>
      </c:catAx>
      <c:valAx>
        <c:axId val="293155200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FFC5C5"/>
              </a:solidFill>
            </a:ln>
          </c:spPr>
        </c:majorGridlines>
        <c:numFmt formatCode="0" sourceLinked="1"/>
        <c:majorTickMark val="out"/>
        <c:minorTickMark val="none"/>
        <c:tickLblPos val="nextTo"/>
        <c:crossAx val="293149312"/>
        <c:crosses val="autoZero"/>
        <c:crossBetween val="between"/>
      </c:valAx>
      <c:spPr>
        <a:solidFill>
          <a:srgbClr val="FFEF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8439226722074754"/>
          <c:y val="0.91427095728789531"/>
          <c:w val="0.29628862343828005"/>
          <c:h val="8.31016701690423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125269644381649E-2"/>
          <c:y val="0.15962234741447126"/>
          <c:w val="0.89357015238391391"/>
          <c:h val="0.6849147867304056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'8.49'!$BN$59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'8.49'!$BI$60:$BI$65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'8.49'!$BN$60:$BN$65</c:f>
              <c:numCache>
                <c:formatCode>General_)</c:formatCode>
                <c:ptCount val="6"/>
                <c:pt idx="0">
                  <c:v>821</c:v>
                </c:pt>
                <c:pt idx="1">
                  <c:v>93</c:v>
                </c:pt>
                <c:pt idx="2">
                  <c:v>12</c:v>
                </c:pt>
                <c:pt idx="3">
                  <c:v>287</c:v>
                </c:pt>
                <c:pt idx="4">
                  <c:v>2</c:v>
                </c:pt>
                <c:pt idx="5">
                  <c:v>47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376E-4267-A894-8593135305E3}"/>
            </c:ext>
          </c:extLst>
        </c:ser>
        <c:ser>
          <c:idx val="2"/>
          <c:order val="2"/>
          <c:tx>
            <c:strRef>
              <c:f>'8.49'!$BO$59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FF6969"/>
            </a:solidFill>
          </c:spPr>
          <c:invertIfNegative val="0"/>
          <c:cat>
            <c:strRef>
              <c:f>'8.49'!$BI$60:$BI$65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'8.49'!$BO$60:$BO$65</c:f>
              <c:numCache>
                <c:formatCode>General_)</c:formatCode>
                <c:ptCount val="6"/>
                <c:pt idx="0">
                  <c:v>896</c:v>
                </c:pt>
                <c:pt idx="1">
                  <c:v>65</c:v>
                </c:pt>
                <c:pt idx="2">
                  <c:v>25</c:v>
                </c:pt>
                <c:pt idx="3">
                  <c:v>155</c:v>
                </c:pt>
                <c:pt idx="4">
                  <c:v>10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6E-4267-A894-8593135305E3}"/>
            </c:ext>
          </c:extLst>
        </c:ser>
        <c:ser>
          <c:idx val="3"/>
          <c:order val="3"/>
          <c:tx>
            <c:strRef>
              <c:f>'8.49'!$BP$59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strRef>
              <c:f>'8.49'!$BI$60:$BI$65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'8.49'!$BP$60:$BP$65</c:f>
              <c:numCache>
                <c:formatCode>General_)</c:formatCode>
                <c:ptCount val="6"/>
                <c:pt idx="0">
                  <c:v>465</c:v>
                </c:pt>
                <c:pt idx="1">
                  <c:v>34</c:v>
                </c:pt>
                <c:pt idx="2">
                  <c:v>9</c:v>
                </c:pt>
                <c:pt idx="3">
                  <c:v>41</c:v>
                </c:pt>
                <c:pt idx="4">
                  <c:v>3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6E-4267-A894-859313530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275136"/>
        <c:axId val="2932766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'8.49'!$BM$59</c15:sqref>
                        </c15:formulaRef>
                      </c:ext>
                    </c:extLst>
                    <c:strCache>
                      <c:ptCount val="1"/>
                      <c:pt idx="0">
                        <c:v>2017 </c:v>
                      </c:pt>
                    </c:strCache>
                  </c:strRef>
                </c:tx>
                <c:spPr>
                  <a:solidFill>
                    <a:srgbClr val="249390"/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'8.49'!$BI$60:$BI$65</c15:sqref>
                        </c15:formulaRef>
                      </c:ext>
                    </c:extLst>
                    <c:strCache>
                      <c:ptCount val="6"/>
                      <c:pt idx="0">
                        <c:v>Less than 1 year</c:v>
                      </c:pt>
                      <c:pt idx="1">
                        <c:v>1 - 2 years</c:v>
                      </c:pt>
                      <c:pt idx="2">
                        <c:v>2 - 3 years</c:v>
                      </c:pt>
                      <c:pt idx="3">
                        <c:v>3 - 4 years</c:v>
                      </c:pt>
                      <c:pt idx="4">
                        <c:v>4 - 5 years</c:v>
                      </c:pt>
                      <c:pt idx="5">
                        <c:v>5 years &amp; Over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'8.49'!$BM$60:$BM$65</c15:sqref>
                        </c15:formulaRef>
                      </c:ext>
                    </c:extLst>
                    <c:numCache>
                      <c:formatCode>General_)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76E-4267-A894-8593135305E3}"/>
                  </c:ext>
                </c:extLst>
              </c15:ser>
            </c15:filteredBarSeries>
          </c:ext>
        </c:extLst>
      </c:barChart>
      <c:catAx>
        <c:axId val="29327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3276672"/>
        <c:crosses val="autoZero"/>
        <c:auto val="1"/>
        <c:lblAlgn val="ctr"/>
        <c:lblOffset val="100"/>
        <c:noMultiLvlLbl val="0"/>
      </c:catAx>
      <c:valAx>
        <c:axId val="293276672"/>
        <c:scaling>
          <c:orientation val="minMax"/>
          <c:max val="1000"/>
        </c:scaling>
        <c:delete val="0"/>
        <c:axPos val="l"/>
        <c:majorGridlines>
          <c:spPr>
            <a:ln>
              <a:solidFill>
                <a:srgbClr val="FFC5C5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293275136"/>
        <c:crosses val="autoZero"/>
        <c:crossBetween val="between"/>
      </c:valAx>
      <c:spPr>
        <a:solidFill>
          <a:srgbClr val="FFEF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7236532074998336"/>
          <c:y val="0.23741698233155506"/>
          <c:w val="0.31467786808243881"/>
          <c:h val="8.549966617186161E-2"/>
        </c:manualLayout>
      </c:layout>
      <c:overlay val="0"/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104775</xdr:rowOff>
    </xdr:from>
    <xdr:to>
      <xdr:col>19</xdr:col>
      <xdr:colOff>18994</xdr:colOff>
      <xdr:row>39</xdr:row>
      <xdr:rowOff>131083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 txBox="1">
          <a:spLocks noChangeArrowheads="1"/>
        </xdr:cNvSpPr>
      </xdr:nvSpPr>
      <xdr:spPr bwMode="auto">
        <a:xfrm>
          <a:off x="1095375" y="8010525"/>
          <a:ext cx="9467794" cy="263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05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type, 2009 - 2010 </a:t>
          </a:r>
        </a:p>
      </xdr:txBody>
    </xdr:sp>
    <xdr:clientData/>
  </xdr:twoCellAnchor>
  <xdr:twoCellAnchor editAs="oneCell">
    <xdr:from>
      <xdr:col>1</xdr:col>
      <xdr:colOff>0</xdr:colOff>
      <xdr:row>65</xdr:row>
      <xdr:rowOff>88446</xdr:rowOff>
    </xdr:from>
    <xdr:to>
      <xdr:col>18</xdr:col>
      <xdr:colOff>631723</xdr:colOff>
      <xdr:row>65</xdr:row>
      <xdr:rowOff>111360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 txBox="1">
          <a:spLocks noChangeArrowheads="1"/>
        </xdr:cNvSpPr>
      </xdr:nvSpPr>
      <xdr:spPr bwMode="auto">
        <a:xfrm>
          <a:off x="1095375" y="12204246"/>
          <a:ext cx="9394723" cy="229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2010</a:t>
          </a:r>
        </a:p>
      </xdr:txBody>
    </xdr:sp>
    <xdr:clientData/>
  </xdr:twoCellAnchor>
  <xdr:twoCellAnchor editAs="oneCell">
    <xdr:from>
      <xdr:col>0</xdr:col>
      <xdr:colOff>983876</xdr:colOff>
      <xdr:row>134</xdr:row>
      <xdr:rowOff>139514</xdr:rowOff>
    </xdr:from>
    <xdr:to>
      <xdr:col>10</xdr:col>
      <xdr:colOff>2414</xdr:colOff>
      <xdr:row>135</xdr:row>
      <xdr:rowOff>1029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SpPr txBox="1">
          <a:spLocks noChangeArrowheads="1"/>
        </xdr:cNvSpPr>
      </xdr:nvSpPr>
      <xdr:spPr bwMode="auto">
        <a:xfrm>
          <a:off x="983876" y="23428139"/>
          <a:ext cx="4866888" cy="23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2009</a:t>
          </a:r>
        </a:p>
      </xdr:txBody>
    </xdr:sp>
    <xdr:clientData/>
  </xdr:twoCellAnchor>
  <xdr:twoCellAnchor editAs="oneCell">
    <xdr:from>
      <xdr:col>1</xdr:col>
      <xdr:colOff>0</xdr:colOff>
      <xdr:row>40</xdr:row>
      <xdr:rowOff>104775</xdr:rowOff>
    </xdr:from>
    <xdr:to>
      <xdr:col>18</xdr:col>
      <xdr:colOff>647644</xdr:colOff>
      <xdr:row>40</xdr:row>
      <xdr:rowOff>131083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SpPr txBox="1">
          <a:spLocks noChangeArrowheads="1"/>
        </xdr:cNvSpPr>
      </xdr:nvSpPr>
      <xdr:spPr bwMode="auto">
        <a:xfrm>
          <a:off x="1095375" y="8172450"/>
          <a:ext cx="9410644" cy="263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05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type, 2009 - 2010 </a:t>
          </a:r>
        </a:p>
      </xdr:txBody>
    </xdr:sp>
    <xdr:clientData/>
  </xdr:twoCellAnchor>
  <xdr:twoCellAnchor editAs="oneCell">
    <xdr:from>
      <xdr:col>1</xdr:col>
      <xdr:colOff>0</xdr:colOff>
      <xdr:row>72</xdr:row>
      <xdr:rowOff>231321</xdr:rowOff>
    </xdr:from>
    <xdr:to>
      <xdr:col>18</xdr:col>
      <xdr:colOff>660298</xdr:colOff>
      <xdr:row>73</xdr:row>
      <xdr:rowOff>23954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 txBox="1">
          <a:spLocks noChangeArrowheads="1"/>
        </xdr:cNvSpPr>
      </xdr:nvSpPr>
      <xdr:spPr bwMode="auto">
        <a:xfrm>
          <a:off x="1095375" y="13413921"/>
          <a:ext cx="9423298" cy="212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2010</a:t>
          </a:r>
        </a:p>
      </xdr:txBody>
    </xdr:sp>
    <xdr:clientData/>
  </xdr:twoCellAnchor>
  <xdr:twoCellAnchor editAs="oneCell">
    <xdr:from>
      <xdr:col>0</xdr:col>
      <xdr:colOff>983876</xdr:colOff>
      <xdr:row>134</xdr:row>
      <xdr:rowOff>139514</xdr:rowOff>
    </xdr:from>
    <xdr:to>
      <xdr:col>10</xdr:col>
      <xdr:colOff>307214</xdr:colOff>
      <xdr:row>135</xdr:row>
      <xdr:rowOff>1029</xdr:rowOff>
    </xdr:to>
    <xdr:sp macro="" textlink="">
      <xdr:nvSpPr>
        <xdr:cNvPr id="7" name="Text Box 4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SpPr txBox="1">
          <a:spLocks noChangeArrowheads="1"/>
        </xdr:cNvSpPr>
      </xdr:nvSpPr>
      <xdr:spPr bwMode="auto">
        <a:xfrm>
          <a:off x="983876" y="23428139"/>
          <a:ext cx="5038338" cy="23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2009</a:t>
          </a:r>
        </a:p>
      </xdr:txBody>
    </xdr:sp>
    <xdr:clientData/>
  </xdr:twoCellAnchor>
  <xdr:twoCellAnchor>
    <xdr:from>
      <xdr:col>12</xdr:col>
      <xdr:colOff>195337</xdr:colOff>
      <xdr:row>29</xdr:row>
      <xdr:rowOff>48744</xdr:rowOff>
    </xdr:from>
    <xdr:to>
      <xdr:col>21</xdr:col>
      <xdr:colOff>722586</xdr:colOff>
      <xdr:row>46</xdr:row>
      <xdr:rowOff>19994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481056</xdr:colOff>
      <xdr:row>47</xdr:row>
      <xdr:rowOff>49406</xdr:rowOff>
    </xdr:from>
    <xdr:to>
      <xdr:col>11</xdr:col>
      <xdr:colOff>237508</xdr:colOff>
      <xdr:row>65</xdr:row>
      <xdr:rowOff>98578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476978</xdr:colOff>
      <xdr:row>29</xdr:row>
      <xdr:rowOff>64336</xdr:rowOff>
    </xdr:from>
    <xdr:to>
      <xdr:col>11</xdr:col>
      <xdr:colOff>229914</xdr:colOff>
      <xdr:row>46</xdr:row>
      <xdr:rowOff>54810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293221</xdr:colOff>
      <xdr:row>29</xdr:row>
      <xdr:rowOff>150693</xdr:rowOff>
    </xdr:from>
    <xdr:to>
      <xdr:col>10</xdr:col>
      <xdr:colOff>399251</xdr:colOff>
      <xdr:row>31</xdr:row>
      <xdr:rowOff>68585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2900-00000D000000}"/>
            </a:ext>
          </a:extLst>
        </xdr:cNvPr>
        <xdr:cNvSpPr txBox="1"/>
      </xdr:nvSpPr>
      <xdr:spPr>
        <a:xfrm>
          <a:off x="2760196" y="6437193"/>
          <a:ext cx="4420855" cy="24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8.53: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duration, 2018 - 2020</a:t>
          </a:r>
          <a:endParaRPr lang="en-US" sz="1100"/>
        </a:p>
      </xdr:txBody>
    </xdr:sp>
    <xdr:clientData/>
  </xdr:twoCellAnchor>
  <xdr:twoCellAnchor>
    <xdr:from>
      <xdr:col>2</xdr:col>
      <xdr:colOff>430097</xdr:colOff>
      <xdr:row>47</xdr:row>
      <xdr:rowOff>132839</xdr:rowOff>
    </xdr:from>
    <xdr:to>
      <xdr:col>10</xdr:col>
      <xdr:colOff>15901</xdr:colOff>
      <xdr:row>49</xdr:row>
      <xdr:rowOff>68253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2900-00000E000000}"/>
            </a:ext>
          </a:extLst>
        </xdr:cNvPr>
        <xdr:cNvSpPr txBox="1"/>
      </xdr:nvSpPr>
      <xdr:spPr>
        <a:xfrm>
          <a:off x="2212194" y="9565662"/>
          <a:ext cx="4624836" cy="273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8.56: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Percentage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duration and sex, 2020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14</xdr:col>
      <xdr:colOff>29098</xdr:colOff>
      <xdr:row>30</xdr:row>
      <xdr:rowOff>49631</xdr:rowOff>
    </xdr:from>
    <xdr:to>
      <xdr:col>20</xdr:col>
      <xdr:colOff>425030</xdr:colOff>
      <xdr:row>31</xdr:row>
      <xdr:rowOff>132229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2900-000010000000}"/>
            </a:ext>
          </a:extLst>
        </xdr:cNvPr>
        <xdr:cNvSpPr txBox="1"/>
      </xdr:nvSpPr>
      <xdr:spPr>
        <a:xfrm>
          <a:off x="9630298" y="6498056"/>
          <a:ext cx="4024957" cy="2445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8.54: Number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type, 2014 - 2020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92D050"/>
  </sheetPr>
  <dimension ref="A1:BP96"/>
  <sheetViews>
    <sheetView tabSelected="1" zoomScale="59" zoomScaleNormal="59" workbookViewId="0">
      <selection activeCell="S54" sqref="S54"/>
    </sheetView>
  </sheetViews>
  <sheetFormatPr defaultColWidth="11.140625" defaultRowHeight="12.75"/>
  <cols>
    <col min="1" max="1" width="16.42578125" style="12" customWidth="1"/>
    <col min="2" max="3" width="10.28515625" style="12" customWidth="1"/>
    <col min="4" max="4" width="11.42578125" style="12" customWidth="1"/>
    <col min="5" max="7" width="10.28515625" style="1" customWidth="1"/>
    <col min="8" max="8" width="1.85546875" style="1" customWidth="1"/>
    <col min="9" max="10" width="10.28515625" style="12" customWidth="1"/>
    <col min="11" max="11" width="11.42578125" style="12" customWidth="1"/>
    <col min="12" max="14" width="10.28515625" style="1" customWidth="1"/>
    <col min="15" max="15" width="1.85546875" style="1" customWidth="1"/>
    <col min="16" max="17" width="10.28515625" style="12" customWidth="1"/>
    <col min="18" max="18" width="11.42578125" style="12" customWidth="1"/>
    <col min="19" max="21" width="10.28515625" style="1" customWidth="1"/>
    <col min="22" max="22" width="18.7109375" style="12" customWidth="1"/>
    <col min="23" max="59" width="14" style="12" customWidth="1"/>
    <col min="60" max="16384" width="11.140625" style="12"/>
  </cols>
  <sheetData>
    <row r="1" spans="1:65" ht="22.5" customHeight="1">
      <c r="A1" s="78" t="s">
        <v>10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65" s="10" customFormat="1" ht="15">
      <c r="A2" s="79" t="s">
        <v>11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</row>
    <row r="3" spans="1:65">
      <c r="A3" s="80" t="s">
        <v>12</v>
      </c>
      <c r="B3" s="83">
        <v>2018</v>
      </c>
      <c r="C3" s="84"/>
      <c r="D3" s="84"/>
      <c r="E3" s="84"/>
      <c r="F3" s="84"/>
      <c r="G3" s="84"/>
      <c r="H3" s="17"/>
      <c r="I3" s="83">
        <v>2019</v>
      </c>
      <c r="J3" s="84"/>
      <c r="K3" s="84"/>
      <c r="L3" s="84"/>
      <c r="M3" s="84"/>
      <c r="N3" s="84"/>
      <c r="O3" s="17"/>
      <c r="P3" s="83">
        <v>2020</v>
      </c>
      <c r="Q3" s="84"/>
      <c r="R3" s="84"/>
      <c r="S3" s="84"/>
      <c r="T3" s="84"/>
      <c r="U3" s="84"/>
      <c r="V3" s="85" t="s">
        <v>13</v>
      </c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</row>
    <row r="4" spans="1:65" ht="15">
      <c r="A4" s="81"/>
      <c r="B4" s="19"/>
      <c r="C4" s="18"/>
      <c r="D4" s="18"/>
      <c r="E4" s="88" t="s">
        <v>14</v>
      </c>
      <c r="F4" s="88"/>
      <c r="G4" s="88"/>
      <c r="H4" s="18"/>
      <c r="I4" s="19"/>
      <c r="J4" s="18"/>
      <c r="K4" s="18"/>
      <c r="L4" s="88" t="s">
        <v>14</v>
      </c>
      <c r="M4" s="88"/>
      <c r="N4" s="88"/>
      <c r="O4" s="18"/>
      <c r="P4" s="19"/>
      <c r="Q4" s="18"/>
      <c r="R4" s="18"/>
      <c r="S4" s="88" t="s">
        <v>14</v>
      </c>
      <c r="T4" s="88"/>
      <c r="U4" s="88"/>
      <c r="V4" s="86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</row>
    <row r="5" spans="1:65" ht="12.75" customHeight="1">
      <c r="A5" s="81"/>
      <c r="B5" s="76" t="s">
        <v>6</v>
      </c>
      <c r="C5" s="75" t="s">
        <v>15</v>
      </c>
      <c r="D5" s="75" t="s">
        <v>16</v>
      </c>
      <c r="E5" s="77" t="s">
        <v>17</v>
      </c>
      <c r="F5" s="77"/>
      <c r="G5" s="77"/>
      <c r="H5" s="18"/>
      <c r="I5" s="76" t="s">
        <v>6</v>
      </c>
      <c r="J5" s="75" t="s">
        <v>15</v>
      </c>
      <c r="K5" s="75" t="s">
        <v>16</v>
      </c>
      <c r="L5" s="77" t="s">
        <v>17</v>
      </c>
      <c r="M5" s="77"/>
      <c r="N5" s="77"/>
      <c r="O5" s="18"/>
      <c r="P5" s="76" t="s">
        <v>6</v>
      </c>
      <c r="Q5" s="75" t="s">
        <v>15</v>
      </c>
      <c r="R5" s="75" t="s">
        <v>16</v>
      </c>
      <c r="S5" s="77" t="s">
        <v>17</v>
      </c>
      <c r="T5" s="77"/>
      <c r="U5" s="77"/>
      <c r="V5" s="86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18"/>
      <c r="BJ5" s="18"/>
      <c r="BK5" s="18"/>
    </row>
    <row r="6" spans="1:65" ht="15.75">
      <c r="A6" s="81"/>
      <c r="B6" s="76"/>
      <c r="C6" s="75"/>
      <c r="D6" s="75"/>
      <c r="E6" s="22" t="s">
        <v>18</v>
      </c>
      <c r="F6" s="22" t="s">
        <v>19</v>
      </c>
      <c r="G6" s="22" t="s">
        <v>20</v>
      </c>
      <c r="H6" s="21"/>
      <c r="I6" s="76"/>
      <c r="J6" s="75"/>
      <c r="K6" s="75"/>
      <c r="L6" s="22" t="s">
        <v>18</v>
      </c>
      <c r="M6" s="22" t="s">
        <v>19</v>
      </c>
      <c r="N6" s="22" t="s">
        <v>20</v>
      </c>
      <c r="O6" s="21"/>
      <c r="P6" s="76"/>
      <c r="Q6" s="75"/>
      <c r="R6" s="75"/>
      <c r="S6" s="22" t="s">
        <v>18</v>
      </c>
      <c r="T6" s="22" t="s">
        <v>19</v>
      </c>
      <c r="U6" s="22" t="s">
        <v>20</v>
      </c>
      <c r="V6" s="86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18"/>
      <c r="BJ6" s="18"/>
      <c r="BK6" s="18"/>
    </row>
    <row r="7" spans="1:65" s="8" customFormat="1" ht="15">
      <c r="A7" s="82"/>
      <c r="B7" s="25" t="s">
        <v>20</v>
      </c>
      <c r="C7" s="22" t="s">
        <v>21</v>
      </c>
      <c r="D7" s="22" t="s">
        <v>22</v>
      </c>
      <c r="E7" s="24" t="s">
        <v>1</v>
      </c>
      <c r="F7" s="24" t="s">
        <v>2</v>
      </c>
      <c r="G7" s="24" t="s">
        <v>0</v>
      </c>
      <c r="H7" s="23"/>
      <c r="I7" s="25" t="s">
        <v>20</v>
      </c>
      <c r="J7" s="22" t="s">
        <v>21</v>
      </c>
      <c r="K7" s="22" t="s">
        <v>22</v>
      </c>
      <c r="L7" s="24" t="s">
        <v>1</v>
      </c>
      <c r="M7" s="24" t="s">
        <v>2</v>
      </c>
      <c r="N7" s="24" t="s">
        <v>0</v>
      </c>
      <c r="O7" s="23"/>
      <c r="P7" s="25" t="s">
        <v>20</v>
      </c>
      <c r="Q7" s="22" t="s">
        <v>21</v>
      </c>
      <c r="R7" s="22" t="s">
        <v>22</v>
      </c>
      <c r="S7" s="24" t="s">
        <v>1</v>
      </c>
      <c r="T7" s="24" t="s">
        <v>2</v>
      </c>
      <c r="U7" s="24" t="s">
        <v>0</v>
      </c>
      <c r="V7" s="87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11"/>
      <c r="BH7" s="11"/>
      <c r="BI7" s="11"/>
      <c r="BJ7" s="11"/>
      <c r="BK7" s="11"/>
    </row>
    <row r="8" spans="1:65" ht="15.75">
      <c r="A8" s="27" t="s">
        <v>3</v>
      </c>
      <c r="B8" s="30">
        <f t="shared" ref="B8:G8" si="0">B15+B22</f>
        <v>1262</v>
      </c>
      <c r="C8" s="28">
        <f t="shared" si="0"/>
        <v>988</v>
      </c>
      <c r="D8" s="28">
        <f t="shared" si="0"/>
        <v>1</v>
      </c>
      <c r="E8" s="29">
        <f t="shared" si="0"/>
        <v>157</v>
      </c>
      <c r="F8" s="29">
        <f t="shared" si="0"/>
        <v>116</v>
      </c>
      <c r="G8" s="29">
        <f t="shared" si="0"/>
        <v>273</v>
      </c>
      <c r="H8" s="29"/>
      <c r="I8" s="30">
        <f t="shared" ref="I8:N8" si="1">I15+I22</f>
        <v>1241</v>
      </c>
      <c r="J8" s="28">
        <f t="shared" si="1"/>
        <v>991</v>
      </c>
      <c r="K8" s="28">
        <f t="shared" si="1"/>
        <v>1</v>
      </c>
      <c r="L8" s="29">
        <f t="shared" si="1"/>
        <v>117</v>
      </c>
      <c r="M8" s="29">
        <f t="shared" si="1"/>
        <v>132</v>
      </c>
      <c r="N8" s="29">
        <f t="shared" si="1"/>
        <v>249</v>
      </c>
      <c r="O8" s="29"/>
      <c r="P8" s="30">
        <f t="shared" ref="P8:U8" si="2">P15+P22</f>
        <v>611</v>
      </c>
      <c r="Q8" s="28">
        <f t="shared" si="2"/>
        <v>503</v>
      </c>
      <c r="R8" s="28">
        <f t="shared" si="2"/>
        <v>0</v>
      </c>
      <c r="S8" s="29">
        <f t="shared" si="2"/>
        <v>65</v>
      </c>
      <c r="T8" s="29">
        <f t="shared" si="2"/>
        <v>43</v>
      </c>
      <c r="U8" s="29">
        <f t="shared" si="2"/>
        <v>108</v>
      </c>
      <c r="V8" s="31" t="s">
        <v>7</v>
      </c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</row>
    <row r="9" spans="1:65" ht="15.75">
      <c r="A9" s="33" t="s">
        <v>23</v>
      </c>
      <c r="B9" s="34">
        <f>B16+B23</f>
        <v>821</v>
      </c>
      <c r="C9" s="2">
        <f t="shared" ref="C9:G10" si="3">C16+C23</f>
        <v>575</v>
      </c>
      <c r="D9" s="2">
        <f t="shared" si="3"/>
        <v>1</v>
      </c>
      <c r="E9" s="4">
        <f t="shared" si="3"/>
        <v>140</v>
      </c>
      <c r="F9" s="4">
        <f t="shared" si="3"/>
        <v>105</v>
      </c>
      <c r="G9" s="4">
        <f t="shared" si="3"/>
        <v>245</v>
      </c>
      <c r="H9" s="4"/>
      <c r="I9" s="34">
        <f>I16+I23</f>
        <v>896</v>
      </c>
      <c r="J9" s="2">
        <f t="shared" ref="J9:N10" si="4">J16+J23</f>
        <v>670</v>
      </c>
      <c r="K9" s="2">
        <f t="shared" si="4"/>
        <v>1</v>
      </c>
      <c r="L9" s="4">
        <f t="shared" si="4"/>
        <v>105</v>
      </c>
      <c r="M9" s="4">
        <f t="shared" si="4"/>
        <v>120</v>
      </c>
      <c r="N9" s="4">
        <f t="shared" si="4"/>
        <v>225</v>
      </c>
      <c r="O9" s="4"/>
      <c r="P9" s="34">
        <f>P16+P23</f>
        <v>465</v>
      </c>
      <c r="Q9" s="2">
        <f t="shared" ref="Q9:U10" si="5">Q16+Q23</f>
        <v>363</v>
      </c>
      <c r="R9" s="2">
        <f t="shared" si="5"/>
        <v>0</v>
      </c>
      <c r="S9" s="4">
        <f t="shared" si="5"/>
        <v>61</v>
      </c>
      <c r="T9" s="4">
        <f t="shared" si="5"/>
        <v>41</v>
      </c>
      <c r="U9" s="4">
        <f t="shared" si="5"/>
        <v>102</v>
      </c>
      <c r="V9" s="35" t="s">
        <v>24</v>
      </c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</row>
    <row r="10" spans="1:65" ht="15.75">
      <c r="A10" s="33" t="s">
        <v>25</v>
      </c>
      <c r="B10" s="34">
        <f>B17+B24</f>
        <v>93</v>
      </c>
      <c r="C10" s="3">
        <f t="shared" si="3"/>
        <v>68</v>
      </c>
      <c r="D10" s="3">
        <f t="shared" si="3"/>
        <v>0</v>
      </c>
      <c r="E10" s="5">
        <f t="shared" si="3"/>
        <v>15</v>
      </c>
      <c r="F10" s="5">
        <f t="shared" si="3"/>
        <v>10</v>
      </c>
      <c r="G10" s="5">
        <f t="shared" si="3"/>
        <v>25</v>
      </c>
      <c r="H10" s="4"/>
      <c r="I10" s="34">
        <f>I17+I24</f>
        <v>65</v>
      </c>
      <c r="J10" s="3">
        <f t="shared" si="4"/>
        <v>47</v>
      </c>
      <c r="K10" s="3">
        <f t="shared" si="4"/>
        <v>0</v>
      </c>
      <c r="L10" s="5">
        <f t="shared" si="4"/>
        <v>9</v>
      </c>
      <c r="M10" s="5">
        <f t="shared" si="4"/>
        <v>9</v>
      </c>
      <c r="N10" s="5">
        <f t="shared" si="4"/>
        <v>18</v>
      </c>
      <c r="O10" s="4"/>
      <c r="P10" s="34">
        <f>P17+P24</f>
        <v>34</v>
      </c>
      <c r="Q10" s="3">
        <f t="shared" si="5"/>
        <v>28</v>
      </c>
      <c r="R10" s="3">
        <f t="shared" si="5"/>
        <v>0</v>
      </c>
      <c r="S10" s="5">
        <f t="shared" si="5"/>
        <v>4</v>
      </c>
      <c r="T10" s="5">
        <f t="shared" si="5"/>
        <v>2</v>
      </c>
      <c r="U10" s="5">
        <f t="shared" si="5"/>
        <v>6</v>
      </c>
      <c r="V10" s="35" t="s">
        <v>26</v>
      </c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</row>
    <row r="11" spans="1:65" ht="15.75">
      <c r="A11" s="33" t="s">
        <v>27</v>
      </c>
      <c r="B11" s="34">
        <f t="shared" ref="B11:G14" si="6">B18+B25</f>
        <v>12</v>
      </c>
      <c r="C11" s="3">
        <f t="shared" si="6"/>
        <v>9</v>
      </c>
      <c r="D11" s="3">
        <f t="shared" si="6"/>
        <v>0</v>
      </c>
      <c r="E11" s="5">
        <f t="shared" si="6"/>
        <v>2</v>
      </c>
      <c r="F11" s="5">
        <f t="shared" si="6"/>
        <v>1</v>
      </c>
      <c r="G11" s="5">
        <f t="shared" si="6"/>
        <v>3</v>
      </c>
      <c r="H11" s="4"/>
      <c r="I11" s="34">
        <f t="shared" ref="I11:N14" si="7">I18+I25</f>
        <v>25</v>
      </c>
      <c r="J11" s="3">
        <f t="shared" si="7"/>
        <v>23</v>
      </c>
      <c r="K11" s="3">
        <f t="shared" si="7"/>
        <v>0</v>
      </c>
      <c r="L11" s="5">
        <f t="shared" si="7"/>
        <v>0</v>
      </c>
      <c r="M11" s="5">
        <f t="shared" si="7"/>
        <v>2</v>
      </c>
      <c r="N11" s="5">
        <f t="shared" si="7"/>
        <v>2</v>
      </c>
      <c r="O11" s="4"/>
      <c r="P11" s="34">
        <f t="shared" ref="P11:U14" si="8">P18+P25</f>
        <v>9</v>
      </c>
      <c r="Q11" s="3">
        <f t="shared" si="8"/>
        <v>9</v>
      </c>
      <c r="R11" s="3">
        <f t="shared" si="8"/>
        <v>0</v>
      </c>
      <c r="S11" s="5">
        <f t="shared" si="8"/>
        <v>0</v>
      </c>
      <c r="T11" s="5">
        <f t="shared" si="8"/>
        <v>0</v>
      </c>
      <c r="U11" s="5">
        <f t="shared" si="8"/>
        <v>0</v>
      </c>
      <c r="V11" s="35" t="s">
        <v>28</v>
      </c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</row>
    <row r="12" spans="1:65" ht="15.75">
      <c r="A12" s="33" t="s">
        <v>29</v>
      </c>
      <c r="B12" s="34">
        <f t="shared" si="6"/>
        <v>287</v>
      </c>
      <c r="C12" s="3">
        <f t="shared" si="6"/>
        <v>287</v>
      </c>
      <c r="D12" s="3">
        <f t="shared" si="6"/>
        <v>0</v>
      </c>
      <c r="E12" s="5">
        <f t="shared" si="6"/>
        <v>0</v>
      </c>
      <c r="F12" s="5">
        <f t="shared" si="6"/>
        <v>0</v>
      </c>
      <c r="G12" s="5">
        <f t="shared" si="6"/>
        <v>0</v>
      </c>
      <c r="H12" s="4"/>
      <c r="I12" s="34">
        <f t="shared" si="7"/>
        <v>155</v>
      </c>
      <c r="J12" s="3">
        <f t="shared" si="7"/>
        <v>153</v>
      </c>
      <c r="K12" s="3">
        <f t="shared" si="7"/>
        <v>0</v>
      </c>
      <c r="L12" s="5">
        <f t="shared" si="7"/>
        <v>1</v>
      </c>
      <c r="M12" s="5">
        <f t="shared" si="7"/>
        <v>1</v>
      </c>
      <c r="N12" s="5">
        <f t="shared" si="7"/>
        <v>2</v>
      </c>
      <c r="O12" s="4"/>
      <c r="P12" s="34">
        <f t="shared" si="8"/>
        <v>41</v>
      </c>
      <c r="Q12" s="3">
        <f t="shared" si="8"/>
        <v>41</v>
      </c>
      <c r="R12" s="3">
        <f t="shared" si="8"/>
        <v>0</v>
      </c>
      <c r="S12" s="5">
        <f t="shared" si="8"/>
        <v>0</v>
      </c>
      <c r="T12" s="5">
        <f t="shared" si="8"/>
        <v>0</v>
      </c>
      <c r="U12" s="5">
        <f t="shared" si="8"/>
        <v>0</v>
      </c>
      <c r="V12" s="35" t="s">
        <v>30</v>
      </c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</row>
    <row r="13" spans="1:65" ht="15.75">
      <c r="A13" s="33" t="s">
        <v>31</v>
      </c>
      <c r="B13" s="34">
        <f t="shared" si="6"/>
        <v>2</v>
      </c>
      <c r="C13" s="3">
        <f t="shared" si="6"/>
        <v>2</v>
      </c>
      <c r="D13" s="3">
        <f t="shared" si="6"/>
        <v>0</v>
      </c>
      <c r="E13" s="5">
        <f t="shared" si="6"/>
        <v>0</v>
      </c>
      <c r="F13" s="5">
        <f t="shared" si="6"/>
        <v>0</v>
      </c>
      <c r="G13" s="5">
        <f t="shared" si="6"/>
        <v>0</v>
      </c>
      <c r="H13" s="4"/>
      <c r="I13" s="34">
        <f t="shared" si="7"/>
        <v>10</v>
      </c>
      <c r="J13" s="3">
        <f t="shared" si="7"/>
        <v>9</v>
      </c>
      <c r="K13" s="3">
        <f t="shared" si="7"/>
        <v>0</v>
      </c>
      <c r="L13" s="5">
        <f t="shared" si="7"/>
        <v>1</v>
      </c>
      <c r="M13" s="5">
        <f t="shared" si="7"/>
        <v>0</v>
      </c>
      <c r="N13" s="5">
        <f t="shared" si="7"/>
        <v>1</v>
      </c>
      <c r="O13" s="4"/>
      <c r="P13" s="34">
        <f t="shared" si="8"/>
        <v>3</v>
      </c>
      <c r="Q13" s="3">
        <f t="shared" si="8"/>
        <v>3</v>
      </c>
      <c r="R13" s="3">
        <f t="shared" si="8"/>
        <v>0</v>
      </c>
      <c r="S13" s="5">
        <f t="shared" si="8"/>
        <v>0</v>
      </c>
      <c r="T13" s="5">
        <f t="shared" si="8"/>
        <v>0</v>
      </c>
      <c r="U13" s="5">
        <f t="shared" si="8"/>
        <v>0</v>
      </c>
      <c r="V13" s="35" t="s">
        <v>32</v>
      </c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</row>
    <row r="14" spans="1:65" ht="15.75">
      <c r="A14" s="36" t="s">
        <v>33</v>
      </c>
      <c r="B14" s="40">
        <f t="shared" si="6"/>
        <v>47</v>
      </c>
      <c r="C14" s="38">
        <f t="shared" si="6"/>
        <v>47</v>
      </c>
      <c r="D14" s="38">
        <f t="shared" si="6"/>
        <v>0</v>
      </c>
      <c r="E14" s="39">
        <f t="shared" si="6"/>
        <v>0</v>
      </c>
      <c r="F14" s="39">
        <f t="shared" si="6"/>
        <v>0</v>
      </c>
      <c r="G14" s="39">
        <f t="shared" si="6"/>
        <v>0</v>
      </c>
      <c r="H14" s="37"/>
      <c r="I14" s="40">
        <f t="shared" si="7"/>
        <v>90</v>
      </c>
      <c r="J14" s="38">
        <f t="shared" si="7"/>
        <v>89</v>
      </c>
      <c r="K14" s="38">
        <f t="shared" si="7"/>
        <v>0</v>
      </c>
      <c r="L14" s="39">
        <f t="shared" si="7"/>
        <v>1</v>
      </c>
      <c r="M14" s="39">
        <f t="shared" si="7"/>
        <v>0</v>
      </c>
      <c r="N14" s="39">
        <f t="shared" si="7"/>
        <v>1</v>
      </c>
      <c r="O14" s="37"/>
      <c r="P14" s="40">
        <f t="shared" si="8"/>
        <v>59</v>
      </c>
      <c r="Q14" s="38">
        <f t="shared" si="8"/>
        <v>59</v>
      </c>
      <c r="R14" s="38">
        <f t="shared" si="8"/>
        <v>0</v>
      </c>
      <c r="S14" s="39">
        <f t="shared" si="8"/>
        <v>0</v>
      </c>
      <c r="T14" s="39">
        <f t="shared" si="8"/>
        <v>0</v>
      </c>
      <c r="U14" s="39">
        <f t="shared" si="8"/>
        <v>0</v>
      </c>
      <c r="V14" s="41" t="s">
        <v>34</v>
      </c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</row>
    <row r="15" spans="1:65" s="1" customFormat="1" ht="15.75">
      <c r="A15" s="42" t="s">
        <v>4</v>
      </c>
      <c r="B15" s="43">
        <f t="shared" ref="B15:B28" si="9">C15+D15+G15</f>
        <v>1189</v>
      </c>
      <c r="C15" s="4">
        <f>SUM(C16:C21)</f>
        <v>944</v>
      </c>
      <c r="D15" s="4">
        <f>SUM(D16:D21)</f>
        <v>1</v>
      </c>
      <c r="E15" s="4">
        <f>SUM(E16:E21)</f>
        <v>146</v>
      </c>
      <c r="F15" s="4">
        <f>SUM(F16:F21)</f>
        <v>98</v>
      </c>
      <c r="G15" s="4">
        <f>SUM(G16:G21)</f>
        <v>244</v>
      </c>
      <c r="H15" s="4"/>
      <c r="I15" s="43">
        <f t="shared" ref="I15:I28" si="10">J15+K15+N15</f>
        <v>1181</v>
      </c>
      <c r="J15" s="4">
        <f>SUM(J16:J21)</f>
        <v>956</v>
      </c>
      <c r="K15" s="4">
        <f>SUM(K16:K21)</f>
        <v>0</v>
      </c>
      <c r="L15" s="4">
        <f>SUM(L16:L21)</f>
        <v>105</v>
      </c>
      <c r="M15" s="4">
        <f>SUM(M16:M21)</f>
        <v>120</v>
      </c>
      <c r="N15" s="4">
        <f>SUM(N16:N21)</f>
        <v>225</v>
      </c>
      <c r="O15" s="4"/>
      <c r="P15" s="43">
        <f t="shared" ref="P15:P28" si="11">Q15+R15+U15</f>
        <v>599</v>
      </c>
      <c r="Q15" s="4">
        <f>SUM(Q16:Q21)</f>
        <v>493</v>
      </c>
      <c r="R15" s="4">
        <f>SUM(R16:R21)</f>
        <v>0</v>
      </c>
      <c r="S15" s="4">
        <f>SUM(S16:S21)</f>
        <v>63</v>
      </c>
      <c r="T15" s="4">
        <f>SUM(T16:T21)</f>
        <v>43</v>
      </c>
      <c r="U15" s="4">
        <f>SUM(U16:U21)</f>
        <v>106</v>
      </c>
      <c r="V15" s="44" t="s">
        <v>35</v>
      </c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6"/>
      <c r="BJ15" s="46"/>
      <c r="BK15" s="46"/>
    </row>
    <row r="16" spans="1:65" s="1" customFormat="1" ht="15.75">
      <c r="A16" s="7" t="s">
        <v>23</v>
      </c>
      <c r="B16" s="43">
        <f t="shared" si="9"/>
        <v>790</v>
      </c>
      <c r="C16" s="47">
        <v>559</v>
      </c>
      <c r="D16" s="47">
        <v>1</v>
      </c>
      <c r="E16" s="47">
        <v>135</v>
      </c>
      <c r="F16" s="47">
        <v>95</v>
      </c>
      <c r="G16" s="5">
        <f t="shared" ref="G16:G21" si="12">F16+E16</f>
        <v>230</v>
      </c>
      <c r="H16" s="5"/>
      <c r="I16" s="43">
        <f t="shared" si="10"/>
        <v>861</v>
      </c>
      <c r="J16" s="47">
        <v>649</v>
      </c>
      <c r="K16" s="47">
        <v>0</v>
      </c>
      <c r="L16" s="47">
        <v>100</v>
      </c>
      <c r="M16" s="47">
        <v>112</v>
      </c>
      <c r="N16" s="5">
        <f t="shared" ref="N16:N21" si="13">M16+L16</f>
        <v>212</v>
      </c>
      <c r="O16" s="5"/>
      <c r="P16" s="43">
        <f t="shared" si="11"/>
        <v>456</v>
      </c>
      <c r="Q16" s="47">
        <v>355</v>
      </c>
      <c r="R16" s="47">
        <v>0</v>
      </c>
      <c r="S16" s="47">
        <v>60</v>
      </c>
      <c r="T16" s="47">
        <v>41</v>
      </c>
      <c r="U16" s="5">
        <f t="shared" ref="U16:U21" si="14">T16+S16</f>
        <v>101</v>
      </c>
      <c r="V16" s="35" t="s">
        <v>24</v>
      </c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7"/>
      <c r="BH16" s="47"/>
      <c r="BI16" s="49"/>
      <c r="BJ16" s="50"/>
      <c r="BK16" s="50"/>
    </row>
    <row r="17" spans="1:63" s="1" customFormat="1" ht="18.75" customHeight="1">
      <c r="A17" s="7" t="s">
        <v>25</v>
      </c>
      <c r="B17" s="43">
        <f t="shared" si="9"/>
        <v>78</v>
      </c>
      <c r="C17" s="47">
        <v>67</v>
      </c>
      <c r="D17" s="47">
        <v>0</v>
      </c>
      <c r="E17" s="47">
        <v>9</v>
      </c>
      <c r="F17" s="47">
        <v>2</v>
      </c>
      <c r="G17" s="5">
        <f t="shared" si="12"/>
        <v>11</v>
      </c>
      <c r="H17" s="5"/>
      <c r="I17" s="43">
        <f t="shared" si="10"/>
        <v>54</v>
      </c>
      <c r="J17" s="47">
        <v>47</v>
      </c>
      <c r="K17" s="47">
        <v>0</v>
      </c>
      <c r="L17" s="47">
        <v>2</v>
      </c>
      <c r="M17" s="47">
        <v>5</v>
      </c>
      <c r="N17" s="5">
        <f t="shared" si="13"/>
        <v>7</v>
      </c>
      <c r="O17" s="5"/>
      <c r="P17" s="43">
        <f t="shared" si="11"/>
        <v>32</v>
      </c>
      <c r="Q17" s="47">
        <v>27</v>
      </c>
      <c r="R17" s="47">
        <v>0</v>
      </c>
      <c r="S17" s="47">
        <v>3</v>
      </c>
      <c r="T17" s="47">
        <v>2</v>
      </c>
      <c r="U17" s="5">
        <f t="shared" si="14"/>
        <v>5</v>
      </c>
      <c r="V17" s="35" t="s">
        <v>26</v>
      </c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7"/>
      <c r="BH17" s="47"/>
      <c r="BI17" s="49"/>
      <c r="BJ17" s="50"/>
      <c r="BK17" s="50"/>
    </row>
    <row r="18" spans="1:63" s="1" customFormat="1" ht="18.75" customHeight="1">
      <c r="A18" s="7" t="s">
        <v>27</v>
      </c>
      <c r="B18" s="43">
        <f t="shared" si="9"/>
        <v>11</v>
      </c>
      <c r="C18" s="47">
        <v>8</v>
      </c>
      <c r="D18" s="47">
        <v>0</v>
      </c>
      <c r="E18" s="47">
        <v>2</v>
      </c>
      <c r="F18" s="47">
        <v>1</v>
      </c>
      <c r="G18" s="5">
        <f t="shared" si="12"/>
        <v>3</v>
      </c>
      <c r="H18" s="5"/>
      <c r="I18" s="43">
        <f t="shared" si="10"/>
        <v>25</v>
      </c>
      <c r="J18" s="47">
        <v>23</v>
      </c>
      <c r="K18" s="47">
        <v>0</v>
      </c>
      <c r="L18" s="47">
        <v>0</v>
      </c>
      <c r="M18" s="47">
        <v>2</v>
      </c>
      <c r="N18" s="5">
        <f t="shared" si="13"/>
        <v>2</v>
      </c>
      <c r="O18" s="5"/>
      <c r="P18" s="43">
        <f t="shared" si="11"/>
        <v>9</v>
      </c>
      <c r="Q18" s="47">
        <v>9</v>
      </c>
      <c r="R18" s="47">
        <v>0</v>
      </c>
      <c r="S18" s="47">
        <v>0</v>
      </c>
      <c r="T18" s="47">
        <v>0</v>
      </c>
      <c r="U18" s="5">
        <f t="shared" si="14"/>
        <v>0</v>
      </c>
      <c r="V18" s="35" t="s">
        <v>28</v>
      </c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7"/>
      <c r="BH18" s="47"/>
      <c r="BI18" s="49"/>
      <c r="BJ18" s="50"/>
      <c r="BK18" s="50"/>
    </row>
    <row r="19" spans="1:63" s="1" customFormat="1" ht="18.75" customHeight="1">
      <c r="A19" s="7" t="s">
        <v>29</v>
      </c>
      <c r="B19" s="43">
        <f t="shared" si="9"/>
        <v>264</v>
      </c>
      <c r="C19" s="5">
        <v>264</v>
      </c>
      <c r="D19" s="5">
        <v>0</v>
      </c>
      <c r="E19" s="47">
        <v>0</v>
      </c>
      <c r="F19" s="47">
        <v>0</v>
      </c>
      <c r="G19" s="5">
        <f t="shared" si="12"/>
        <v>0</v>
      </c>
      <c r="H19" s="5"/>
      <c r="I19" s="43">
        <f t="shared" si="10"/>
        <v>143</v>
      </c>
      <c r="J19" s="5">
        <v>141</v>
      </c>
      <c r="K19" s="5">
        <v>0</v>
      </c>
      <c r="L19" s="47">
        <v>1</v>
      </c>
      <c r="M19" s="47">
        <v>1</v>
      </c>
      <c r="N19" s="5">
        <f t="shared" si="13"/>
        <v>2</v>
      </c>
      <c r="O19" s="5"/>
      <c r="P19" s="43">
        <f t="shared" si="11"/>
        <v>41</v>
      </c>
      <c r="Q19" s="5">
        <v>41</v>
      </c>
      <c r="R19" s="5">
        <v>0</v>
      </c>
      <c r="S19" s="47">
        <v>0</v>
      </c>
      <c r="T19" s="47">
        <v>0</v>
      </c>
      <c r="U19" s="5">
        <f t="shared" si="14"/>
        <v>0</v>
      </c>
      <c r="V19" s="35" t="s">
        <v>30</v>
      </c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5"/>
      <c r="BH19" s="5"/>
      <c r="BI19" s="49"/>
      <c r="BJ19" s="50"/>
      <c r="BK19" s="50"/>
    </row>
    <row r="20" spans="1:63" s="1" customFormat="1" ht="18.75" customHeight="1">
      <c r="A20" s="7" t="s">
        <v>31</v>
      </c>
      <c r="B20" s="43">
        <f t="shared" si="9"/>
        <v>2</v>
      </c>
      <c r="C20" s="5">
        <v>2</v>
      </c>
      <c r="D20" s="5">
        <v>0</v>
      </c>
      <c r="E20" s="47">
        <v>0</v>
      </c>
      <c r="F20" s="47">
        <v>0</v>
      </c>
      <c r="G20" s="5">
        <f t="shared" si="12"/>
        <v>0</v>
      </c>
      <c r="H20" s="5"/>
      <c r="I20" s="43">
        <f t="shared" si="10"/>
        <v>10</v>
      </c>
      <c r="J20" s="5">
        <v>9</v>
      </c>
      <c r="K20" s="5">
        <v>0</v>
      </c>
      <c r="L20" s="47">
        <v>1</v>
      </c>
      <c r="M20" s="47">
        <v>0</v>
      </c>
      <c r="N20" s="5">
        <f t="shared" si="13"/>
        <v>1</v>
      </c>
      <c r="O20" s="5"/>
      <c r="P20" s="43">
        <f t="shared" si="11"/>
        <v>3</v>
      </c>
      <c r="Q20" s="5">
        <v>3</v>
      </c>
      <c r="R20" s="5">
        <v>0</v>
      </c>
      <c r="S20" s="47">
        <v>0</v>
      </c>
      <c r="T20" s="47">
        <v>0</v>
      </c>
      <c r="U20" s="5">
        <f t="shared" si="14"/>
        <v>0</v>
      </c>
      <c r="V20" s="35" t="s">
        <v>32</v>
      </c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5"/>
      <c r="BH20" s="5"/>
      <c r="BI20" s="49"/>
      <c r="BJ20" s="50"/>
      <c r="BK20" s="50"/>
    </row>
    <row r="21" spans="1:63" s="1" customFormat="1" ht="18.75" customHeight="1">
      <c r="A21" s="51" t="s">
        <v>33</v>
      </c>
      <c r="B21" s="53">
        <f t="shared" si="9"/>
        <v>44</v>
      </c>
      <c r="C21" s="39">
        <v>44</v>
      </c>
      <c r="D21" s="39">
        <v>0</v>
      </c>
      <c r="E21" s="52">
        <v>0</v>
      </c>
      <c r="F21" s="52">
        <v>0</v>
      </c>
      <c r="G21" s="39">
        <f t="shared" si="12"/>
        <v>0</v>
      </c>
      <c r="H21" s="39"/>
      <c r="I21" s="53">
        <f t="shared" si="10"/>
        <v>88</v>
      </c>
      <c r="J21" s="39">
        <v>87</v>
      </c>
      <c r="K21" s="39">
        <v>0</v>
      </c>
      <c r="L21" s="52">
        <v>1</v>
      </c>
      <c r="M21" s="52">
        <v>0</v>
      </c>
      <c r="N21" s="39">
        <f t="shared" si="13"/>
        <v>1</v>
      </c>
      <c r="O21" s="39"/>
      <c r="P21" s="53">
        <f t="shared" si="11"/>
        <v>58</v>
      </c>
      <c r="Q21" s="39">
        <v>58</v>
      </c>
      <c r="R21" s="39">
        <v>0</v>
      </c>
      <c r="S21" s="52">
        <v>0</v>
      </c>
      <c r="T21" s="52">
        <v>0</v>
      </c>
      <c r="U21" s="39">
        <f t="shared" si="14"/>
        <v>0</v>
      </c>
      <c r="V21" s="41" t="s">
        <v>34</v>
      </c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5"/>
      <c r="BH21" s="5"/>
      <c r="BI21" s="49"/>
      <c r="BJ21" s="50"/>
      <c r="BK21" s="50"/>
    </row>
    <row r="22" spans="1:63" s="1" customFormat="1" ht="18.75" customHeight="1">
      <c r="A22" s="42" t="s">
        <v>5</v>
      </c>
      <c r="B22" s="43">
        <f t="shared" si="9"/>
        <v>73</v>
      </c>
      <c r="C22" s="4">
        <f>SUM(C23:C28)</f>
        <v>44</v>
      </c>
      <c r="D22" s="4">
        <f>SUM(D23:D28)</f>
        <v>0</v>
      </c>
      <c r="E22" s="4">
        <f>SUM(E23:E28)</f>
        <v>11</v>
      </c>
      <c r="F22" s="4">
        <f>SUM(F23:F28)</f>
        <v>18</v>
      </c>
      <c r="G22" s="5">
        <f>SUM(G23:G28)</f>
        <v>29</v>
      </c>
      <c r="H22" s="5"/>
      <c r="I22" s="43">
        <f t="shared" si="10"/>
        <v>60</v>
      </c>
      <c r="J22" s="4">
        <f>SUM(J23:J28)</f>
        <v>35</v>
      </c>
      <c r="K22" s="4">
        <f>SUM(K23:K28)</f>
        <v>1</v>
      </c>
      <c r="L22" s="4">
        <f>SUM(L23:L28)</f>
        <v>12</v>
      </c>
      <c r="M22" s="4">
        <f>SUM(M23:M28)</f>
        <v>12</v>
      </c>
      <c r="N22" s="5">
        <f>SUM(N23:N28)</f>
        <v>24</v>
      </c>
      <c r="O22" s="5"/>
      <c r="P22" s="43">
        <f t="shared" si="11"/>
        <v>12</v>
      </c>
      <c r="Q22" s="4">
        <f>SUM(Q23:Q28)</f>
        <v>10</v>
      </c>
      <c r="R22" s="4">
        <f>SUM(R23:R28)</f>
        <v>0</v>
      </c>
      <c r="S22" s="4">
        <f>SUM(S23:S28)</f>
        <v>2</v>
      </c>
      <c r="T22" s="4">
        <f>SUM(T23:T28)</f>
        <v>0</v>
      </c>
      <c r="U22" s="5">
        <f>SUM(U23:U28)</f>
        <v>2</v>
      </c>
      <c r="V22" s="44" t="s">
        <v>36</v>
      </c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6"/>
      <c r="BJ22" s="46"/>
      <c r="BK22" s="46"/>
    </row>
    <row r="23" spans="1:63" ht="18.75" customHeight="1">
      <c r="A23" s="33" t="s">
        <v>23</v>
      </c>
      <c r="B23" s="34">
        <f t="shared" si="9"/>
        <v>31</v>
      </c>
      <c r="C23" s="54">
        <v>16</v>
      </c>
      <c r="D23" s="55">
        <v>0</v>
      </c>
      <c r="E23" s="47">
        <v>5</v>
      </c>
      <c r="F23" s="47">
        <v>10</v>
      </c>
      <c r="G23" s="5">
        <f t="shared" ref="G23:G28" si="15">E23+F23</f>
        <v>15</v>
      </c>
      <c r="H23" s="5"/>
      <c r="I23" s="34">
        <f t="shared" si="10"/>
        <v>35</v>
      </c>
      <c r="J23" s="54">
        <v>21</v>
      </c>
      <c r="K23" s="55">
        <v>1</v>
      </c>
      <c r="L23" s="47">
        <v>5</v>
      </c>
      <c r="M23" s="47">
        <v>8</v>
      </c>
      <c r="N23" s="5">
        <f t="shared" ref="N23:N28" si="16">L23+M23</f>
        <v>13</v>
      </c>
      <c r="O23" s="5"/>
      <c r="P23" s="34">
        <f t="shared" si="11"/>
        <v>9</v>
      </c>
      <c r="Q23" s="54">
        <v>8</v>
      </c>
      <c r="R23" s="55">
        <v>0</v>
      </c>
      <c r="S23" s="47">
        <v>1</v>
      </c>
      <c r="T23" s="47">
        <v>0</v>
      </c>
      <c r="U23" s="5">
        <f t="shared" ref="U23:U28" si="17">S23+T23</f>
        <v>1</v>
      </c>
      <c r="V23" s="35" t="s">
        <v>24</v>
      </c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4"/>
      <c r="BH23" s="54"/>
      <c r="BI23" s="57"/>
      <c r="BJ23" s="58"/>
      <c r="BK23" s="58"/>
    </row>
    <row r="24" spans="1:63" ht="18.75" customHeight="1">
      <c r="A24" s="33" t="s">
        <v>25</v>
      </c>
      <c r="B24" s="34">
        <f t="shared" si="9"/>
        <v>15</v>
      </c>
      <c r="C24" s="54">
        <v>1</v>
      </c>
      <c r="D24" s="55">
        <v>0</v>
      </c>
      <c r="E24" s="47">
        <v>6</v>
      </c>
      <c r="F24" s="47">
        <v>8</v>
      </c>
      <c r="G24" s="5">
        <f t="shared" si="15"/>
        <v>14</v>
      </c>
      <c r="H24" s="5"/>
      <c r="I24" s="34">
        <f t="shared" si="10"/>
        <v>11</v>
      </c>
      <c r="J24" s="54">
        <v>0</v>
      </c>
      <c r="K24" s="55">
        <v>0</v>
      </c>
      <c r="L24" s="47">
        <v>7</v>
      </c>
      <c r="M24" s="47">
        <v>4</v>
      </c>
      <c r="N24" s="5">
        <f t="shared" si="16"/>
        <v>11</v>
      </c>
      <c r="O24" s="5"/>
      <c r="P24" s="34">
        <f t="shared" si="11"/>
        <v>2</v>
      </c>
      <c r="Q24" s="54">
        <v>1</v>
      </c>
      <c r="R24" s="55">
        <v>0</v>
      </c>
      <c r="S24" s="47">
        <v>1</v>
      </c>
      <c r="T24" s="47">
        <v>0</v>
      </c>
      <c r="U24" s="5">
        <f t="shared" si="17"/>
        <v>1</v>
      </c>
      <c r="V24" s="35" t="s">
        <v>26</v>
      </c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4"/>
      <c r="BH24" s="54"/>
      <c r="BI24" s="57"/>
      <c r="BJ24" s="58"/>
      <c r="BK24" s="58"/>
    </row>
    <row r="25" spans="1:63" ht="18.75" customHeight="1">
      <c r="A25" s="33" t="s">
        <v>27</v>
      </c>
      <c r="B25" s="34">
        <f t="shared" si="9"/>
        <v>1</v>
      </c>
      <c r="C25" s="54">
        <v>1</v>
      </c>
      <c r="D25" s="55">
        <v>0</v>
      </c>
      <c r="E25" s="47">
        <v>0</v>
      </c>
      <c r="F25" s="59">
        <v>0</v>
      </c>
      <c r="G25" s="5">
        <f t="shared" si="15"/>
        <v>0</v>
      </c>
      <c r="H25" s="5"/>
      <c r="I25" s="34">
        <f t="shared" si="10"/>
        <v>0</v>
      </c>
      <c r="J25" s="54">
        <v>0</v>
      </c>
      <c r="K25" s="55">
        <v>0</v>
      </c>
      <c r="L25" s="47">
        <v>0</v>
      </c>
      <c r="M25" s="59">
        <v>0</v>
      </c>
      <c r="N25" s="5">
        <f t="shared" si="16"/>
        <v>0</v>
      </c>
      <c r="O25" s="5"/>
      <c r="P25" s="34">
        <f t="shared" si="11"/>
        <v>0</v>
      </c>
      <c r="Q25" s="54">
        <v>0</v>
      </c>
      <c r="R25" s="55">
        <v>0</v>
      </c>
      <c r="S25" s="47">
        <v>0</v>
      </c>
      <c r="T25" s="59">
        <v>0</v>
      </c>
      <c r="U25" s="5">
        <f t="shared" si="17"/>
        <v>0</v>
      </c>
      <c r="V25" s="35" t="s">
        <v>28</v>
      </c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4"/>
      <c r="BH25" s="54"/>
      <c r="BI25" s="57"/>
      <c r="BJ25" s="58"/>
      <c r="BK25" s="60"/>
    </row>
    <row r="26" spans="1:63" ht="18.75" customHeight="1">
      <c r="A26" s="33" t="s">
        <v>29</v>
      </c>
      <c r="B26" s="34">
        <f t="shared" si="9"/>
        <v>23</v>
      </c>
      <c r="C26" s="54">
        <v>23</v>
      </c>
      <c r="D26" s="54">
        <v>0</v>
      </c>
      <c r="E26" s="47">
        <v>0</v>
      </c>
      <c r="F26" s="47">
        <v>0</v>
      </c>
      <c r="G26" s="5">
        <f t="shared" si="15"/>
        <v>0</v>
      </c>
      <c r="H26" s="5"/>
      <c r="I26" s="34">
        <f t="shared" si="10"/>
        <v>12</v>
      </c>
      <c r="J26" s="54">
        <v>12</v>
      </c>
      <c r="K26" s="54">
        <v>0</v>
      </c>
      <c r="L26" s="47">
        <v>0</v>
      </c>
      <c r="M26" s="47">
        <v>0</v>
      </c>
      <c r="N26" s="5">
        <f t="shared" si="16"/>
        <v>0</v>
      </c>
      <c r="O26" s="5"/>
      <c r="P26" s="34">
        <f t="shared" si="11"/>
        <v>0</v>
      </c>
      <c r="Q26" s="54">
        <v>0</v>
      </c>
      <c r="R26" s="54">
        <v>0</v>
      </c>
      <c r="S26" s="47">
        <v>0</v>
      </c>
      <c r="T26" s="47">
        <v>0</v>
      </c>
      <c r="U26" s="5">
        <f t="shared" si="17"/>
        <v>0</v>
      </c>
      <c r="V26" s="35" t="s">
        <v>30</v>
      </c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4"/>
      <c r="BH26" s="54"/>
      <c r="BI26" s="57"/>
      <c r="BJ26" s="58"/>
      <c r="BK26" s="58"/>
    </row>
    <row r="27" spans="1:63" ht="18.75" customHeight="1">
      <c r="A27" s="33" t="s">
        <v>31</v>
      </c>
      <c r="B27" s="34">
        <f t="shared" si="9"/>
        <v>0</v>
      </c>
      <c r="C27" s="54">
        <v>0</v>
      </c>
      <c r="D27" s="54">
        <v>0</v>
      </c>
      <c r="E27" s="47">
        <v>0</v>
      </c>
      <c r="F27" s="47">
        <v>0</v>
      </c>
      <c r="G27" s="5">
        <f t="shared" si="15"/>
        <v>0</v>
      </c>
      <c r="H27" s="5"/>
      <c r="I27" s="34">
        <f t="shared" si="10"/>
        <v>0</v>
      </c>
      <c r="J27" s="54">
        <v>0</v>
      </c>
      <c r="K27" s="54">
        <v>0</v>
      </c>
      <c r="L27" s="47">
        <v>0</v>
      </c>
      <c r="M27" s="47">
        <v>0</v>
      </c>
      <c r="N27" s="5">
        <f t="shared" si="16"/>
        <v>0</v>
      </c>
      <c r="O27" s="5"/>
      <c r="P27" s="34">
        <f t="shared" si="11"/>
        <v>0</v>
      </c>
      <c r="Q27" s="54">
        <v>0</v>
      </c>
      <c r="R27" s="54">
        <v>0</v>
      </c>
      <c r="S27" s="47">
        <v>0</v>
      </c>
      <c r="T27" s="47">
        <v>0</v>
      </c>
      <c r="U27" s="5">
        <f t="shared" si="17"/>
        <v>0</v>
      </c>
      <c r="V27" s="35" t="s">
        <v>32</v>
      </c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4"/>
      <c r="BH27" s="54"/>
      <c r="BI27" s="57"/>
      <c r="BJ27" s="58"/>
      <c r="BK27" s="58"/>
    </row>
    <row r="28" spans="1:63" ht="18.75" customHeight="1">
      <c r="A28" s="61" t="s">
        <v>33</v>
      </c>
      <c r="B28" s="64">
        <f t="shared" si="9"/>
        <v>3</v>
      </c>
      <c r="C28" s="62">
        <v>3</v>
      </c>
      <c r="D28" s="62">
        <v>0</v>
      </c>
      <c r="E28" s="63">
        <v>0</v>
      </c>
      <c r="F28" s="63">
        <v>0</v>
      </c>
      <c r="G28" s="63">
        <f t="shared" si="15"/>
        <v>0</v>
      </c>
      <c r="H28" s="63"/>
      <c r="I28" s="64">
        <f t="shared" si="10"/>
        <v>2</v>
      </c>
      <c r="J28" s="62">
        <v>2</v>
      </c>
      <c r="K28" s="62">
        <v>0</v>
      </c>
      <c r="L28" s="63">
        <v>0</v>
      </c>
      <c r="M28" s="63">
        <v>0</v>
      </c>
      <c r="N28" s="63">
        <f t="shared" si="16"/>
        <v>0</v>
      </c>
      <c r="O28" s="63"/>
      <c r="P28" s="64">
        <f t="shared" si="11"/>
        <v>1</v>
      </c>
      <c r="Q28" s="62">
        <v>1</v>
      </c>
      <c r="R28" s="62">
        <v>0</v>
      </c>
      <c r="S28" s="63">
        <v>0</v>
      </c>
      <c r="T28" s="63">
        <v>0</v>
      </c>
      <c r="U28" s="63">
        <f t="shared" si="17"/>
        <v>0</v>
      </c>
      <c r="V28" s="65" t="s">
        <v>34</v>
      </c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4"/>
      <c r="BH28" s="54"/>
      <c r="BI28" s="57"/>
      <c r="BJ28" s="58"/>
      <c r="BK28" s="58"/>
    </row>
    <row r="29" spans="1:63" ht="18.75" customHeight="1">
      <c r="A29" s="66" t="s">
        <v>8</v>
      </c>
      <c r="B29" s="14"/>
      <c r="C29" s="14"/>
      <c r="D29" s="14"/>
      <c r="E29" s="9"/>
      <c r="F29" s="67"/>
      <c r="G29" s="9"/>
      <c r="H29" s="9"/>
      <c r="I29" s="14"/>
      <c r="J29" s="14"/>
      <c r="K29" s="14"/>
      <c r="L29" s="9"/>
      <c r="M29" s="67"/>
      <c r="N29" s="9"/>
      <c r="O29" s="9"/>
      <c r="P29" s="14"/>
      <c r="Q29" s="14"/>
      <c r="R29" s="14"/>
      <c r="S29" s="9"/>
      <c r="T29" s="67"/>
      <c r="U29" s="9"/>
      <c r="V29" s="68" t="s">
        <v>9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</row>
    <row r="30" spans="1:63">
      <c r="B30" s="14"/>
      <c r="C30" s="14"/>
      <c r="D30" s="14"/>
      <c r="E30" s="9"/>
      <c r="G30" s="9"/>
      <c r="H30" s="9"/>
      <c r="I30" s="14"/>
      <c r="J30" s="14"/>
      <c r="K30" s="14"/>
      <c r="L30" s="9"/>
      <c r="N30" s="9"/>
      <c r="O30" s="9"/>
      <c r="P30" s="14"/>
      <c r="Q30" s="14"/>
      <c r="R30" s="14"/>
      <c r="S30" s="9"/>
      <c r="U30" s="9"/>
    </row>
    <row r="31" spans="1:63">
      <c r="A31" s="13"/>
      <c r="E31" s="12"/>
      <c r="F31" s="12"/>
      <c r="G31" s="12"/>
      <c r="H31" s="12"/>
      <c r="L31" s="12"/>
      <c r="M31" s="12"/>
      <c r="N31" s="12"/>
      <c r="O31" s="12"/>
      <c r="S31" s="12"/>
      <c r="T31" s="12"/>
      <c r="U31" s="12"/>
    </row>
    <row r="32" spans="1:63">
      <c r="A32" s="13"/>
      <c r="E32" s="12"/>
      <c r="F32" s="12"/>
      <c r="G32" s="12"/>
      <c r="H32" s="12"/>
      <c r="L32" s="12"/>
      <c r="M32" s="12"/>
      <c r="N32" s="12"/>
      <c r="O32" s="12"/>
      <c r="S32" s="12"/>
      <c r="T32" s="12"/>
      <c r="U32" s="12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</row>
    <row r="33" spans="1:66">
      <c r="A33" s="13"/>
      <c r="E33" s="12"/>
      <c r="F33" s="12"/>
      <c r="G33" s="12"/>
      <c r="H33" s="12"/>
      <c r="L33" s="12"/>
      <c r="M33" s="12"/>
      <c r="N33" s="12"/>
      <c r="O33" s="12"/>
      <c r="S33" s="12"/>
      <c r="T33" s="12"/>
      <c r="U33" s="12"/>
    </row>
    <row r="34" spans="1:66">
      <c r="A34" s="13"/>
      <c r="E34" s="12"/>
      <c r="F34" s="12"/>
      <c r="G34" s="12"/>
      <c r="H34" s="12"/>
      <c r="L34" s="12"/>
      <c r="M34" s="12"/>
      <c r="N34" s="12"/>
      <c r="O34" s="12"/>
      <c r="S34" s="12"/>
      <c r="T34" s="12"/>
      <c r="U34" s="12"/>
      <c r="BJ34" s="12" t="s">
        <v>15</v>
      </c>
      <c r="BK34" s="12" t="s">
        <v>16</v>
      </c>
      <c r="BL34" s="12" t="s">
        <v>17</v>
      </c>
    </row>
    <row r="35" spans="1:66">
      <c r="A35" s="13"/>
      <c r="E35" s="12"/>
      <c r="F35" s="12"/>
      <c r="G35" s="12"/>
      <c r="H35" s="12"/>
      <c r="L35" s="12"/>
      <c r="M35" s="12"/>
      <c r="N35" s="12"/>
      <c r="O35" s="12"/>
      <c r="S35" s="12"/>
      <c r="T35" s="12"/>
      <c r="U35" s="12"/>
      <c r="BI35" s="12">
        <v>2014</v>
      </c>
      <c r="BJ35" s="12">
        <v>278</v>
      </c>
      <c r="BK35" s="12">
        <v>24</v>
      </c>
      <c r="BL35" s="12">
        <v>99</v>
      </c>
    </row>
    <row r="36" spans="1:66">
      <c r="E36" s="12"/>
      <c r="F36" s="12"/>
      <c r="G36" s="12"/>
      <c r="H36" s="12"/>
      <c r="L36" s="12"/>
      <c r="M36" s="12"/>
      <c r="N36" s="12"/>
      <c r="O36" s="12"/>
      <c r="S36" s="12"/>
      <c r="T36" s="12"/>
      <c r="U36" s="12"/>
      <c r="BI36" s="12">
        <v>2015</v>
      </c>
      <c r="BJ36" s="12">
        <v>257</v>
      </c>
      <c r="BK36" s="12">
        <v>8</v>
      </c>
      <c r="BL36" s="12">
        <v>93</v>
      </c>
    </row>
    <row r="37" spans="1:66">
      <c r="E37" s="12"/>
      <c r="F37" s="12"/>
      <c r="G37" s="12"/>
      <c r="H37" s="12"/>
      <c r="L37" s="12"/>
      <c r="M37" s="12"/>
      <c r="N37" s="12"/>
      <c r="O37" s="12"/>
      <c r="S37" s="12"/>
      <c r="T37" s="12"/>
      <c r="U37" s="12"/>
      <c r="BI37" s="12">
        <v>2016</v>
      </c>
      <c r="BJ37" s="12">
        <v>742</v>
      </c>
      <c r="BK37" s="12">
        <v>5</v>
      </c>
      <c r="BL37" s="12">
        <v>81</v>
      </c>
    </row>
    <row r="38" spans="1:66">
      <c r="E38" s="12"/>
      <c r="F38" s="12"/>
      <c r="L38" s="12"/>
      <c r="M38" s="12"/>
      <c r="S38" s="12"/>
      <c r="T38" s="12"/>
      <c r="BI38" s="12">
        <v>2017</v>
      </c>
      <c r="BJ38" s="12">
        <v>893</v>
      </c>
      <c r="BK38" s="12">
        <v>2</v>
      </c>
      <c r="BL38" s="12">
        <v>229</v>
      </c>
    </row>
    <row r="39" spans="1:66">
      <c r="BI39" s="12">
        <v>2018</v>
      </c>
      <c r="BJ39" s="12">
        <f>C8</f>
        <v>988</v>
      </c>
      <c r="BK39" s="12">
        <f>D8</f>
        <v>1</v>
      </c>
      <c r="BL39" s="12">
        <f>G8</f>
        <v>273</v>
      </c>
    </row>
    <row r="40" spans="1:66">
      <c r="BI40" s="12">
        <v>2019</v>
      </c>
      <c r="BJ40" s="12">
        <f>J8</f>
        <v>991</v>
      </c>
      <c r="BK40" s="12">
        <f>K8</f>
        <v>1</v>
      </c>
      <c r="BL40" s="12">
        <f>N8</f>
        <v>249</v>
      </c>
    </row>
    <row r="41" spans="1:66">
      <c r="BI41" s="12">
        <v>2020</v>
      </c>
      <c r="BJ41" s="12">
        <f>Q8</f>
        <v>503</v>
      </c>
      <c r="BK41" s="12">
        <f>R8</f>
        <v>0</v>
      </c>
      <c r="BL41" s="12">
        <f>U8</f>
        <v>108</v>
      </c>
    </row>
    <row r="45" spans="1:66">
      <c r="BI45" s="15"/>
      <c r="BJ45" s="15" t="s">
        <v>4</v>
      </c>
      <c r="BK45" s="15" t="s">
        <v>5</v>
      </c>
      <c r="BM45" s="15" t="s">
        <v>4</v>
      </c>
      <c r="BN45" s="15" t="s">
        <v>5</v>
      </c>
    </row>
    <row r="46" spans="1:66">
      <c r="BI46" s="12" t="s">
        <v>23</v>
      </c>
      <c r="BJ46" s="12">
        <f>P16</f>
        <v>456</v>
      </c>
      <c r="BK46" s="12">
        <f>P23</f>
        <v>9</v>
      </c>
      <c r="BL46" s="12">
        <f t="shared" ref="BL46:BL51" si="18">SUM(BJ46:BK46)</f>
        <v>465</v>
      </c>
      <c r="BM46" s="69">
        <f t="shared" ref="BM46:BM51" si="19">BJ46/BL46*100</f>
        <v>98.064516129032256</v>
      </c>
      <c r="BN46" s="69">
        <f t="shared" ref="BN46:BN51" si="20">BK46/BL46*100</f>
        <v>1.935483870967742</v>
      </c>
    </row>
    <row r="47" spans="1:66">
      <c r="BI47" s="12" t="s">
        <v>25</v>
      </c>
      <c r="BJ47" s="12">
        <f t="shared" ref="BJ47:BJ51" si="21">P17</f>
        <v>32</v>
      </c>
      <c r="BK47" s="12">
        <f t="shared" ref="BK47:BK51" si="22">P24</f>
        <v>2</v>
      </c>
      <c r="BL47" s="12">
        <f t="shared" si="18"/>
        <v>34</v>
      </c>
      <c r="BM47" s="69">
        <f t="shared" si="19"/>
        <v>94.117647058823522</v>
      </c>
      <c r="BN47" s="69">
        <f t="shared" si="20"/>
        <v>5.8823529411764701</v>
      </c>
    </row>
    <row r="48" spans="1:66">
      <c r="BI48" s="12" t="s">
        <v>27</v>
      </c>
      <c r="BJ48" s="12">
        <f t="shared" si="21"/>
        <v>9</v>
      </c>
      <c r="BK48" s="12">
        <f t="shared" si="22"/>
        <v>0</v>
      </c>
      <c r="BL48" s="12">
        <f t="shared" si="18"/>
        <v>9</v>
      </c>
      <c r="BM48" s="69">
        <f t="shared" si="19"/>
        <v>100</v>
      </c>
      <c r="BN48" s="69">
        <f t="shared" si="20"/>
        <v>0</v>
      </c>
    </row>
    <row r="49" spans="5:68">
      <c r="E49" s="12"/>
      <c r="F49" s="12"/>
      <c r="G49" s="12"/>
      <c r="H49" s="12"/>
      <c r="L49" s="12"/>
      <c r="M49" s="12"/>
      <c r="N49" s="12"/>
      <c r="O49" s="12"/>
      <c r="S49" s="12"/>
      <c r="T49" s="12"/>
      <c r="U49" s="12"/>
      <c r="BI49" s="12" t="s">
        <v>29</v>
      </c>
      <c r="BJ49" s="12">
        <f t="shared" si="21"/>
        <v>41</v>
      </c>
      <c r="BK49" s="12">
        <f t="shared" si="22"/>
        <v>0</v>
      </c>
      <c r="BL49" s="12">
        <f t="shared" si="18"/>
        <v>41</v>
      </c>
      <c r="BM49" s="69">
        <f t="shared" si="19"/>
        <v>100</v>
      </c>
      <c r="BN49" s="69">
        <f t="shared" si="20"/>
        <v>0</v>
      </c>
    </row>
    <row r="50" spans="5:68">
      <c r="E50" s="12"/>
      <c r="F50" s="12"/>
      <c r="G50" s="12"/>
      <c r="H50" s="12"/>
      <c r="L50" s="12"/>
      <c r="M50" s="12"/>
      <c r="N50" s="12"/>
      <c r="O50" s="12"/>
      <c r="S50" s="12"/>
      <c r="T50" s="12"/>
      <c r="U50" s="12"/>
      <c r="BI50" s="12" t="s">
        <v>31</v>
      </c>
      <c r="BJ50" s="12">
        <f t="shared" si="21"/>
        <v>3</v>
      </c>
      <c r="BK50" s="12">
        <f t="shared" si="22"/>
        <v>0</v>
      </c>
      <c r="BL50" s="12">
        <f t="shared" si="18"/>
        <v>3</v>
      </c>
      <c r="BM50" s="69">
        <f t="shared" si="19"/>
        <v>100</v>
      </c>
      <c r="BN50" s="69">
        <f t="shared" si="20"/>
        <v>0</v>
      </c>
    </row>
    <row r="51" spans="5:68">
      <c r="E51" s="12"/>
      <c r="F51" s="12"/>
      <c r="G51" s="12"/>
      <c r="H51" s="12"/>
      <c r="L51" s="12"/>
      <c r="M51" s="12"/>
      <c r="N51" s="12"/>
      <c r="O51" s="12"/>
      <c r="S51" s="12"/>
      <c r="T51" s="12"/>
      <c r="U51" s="12"/>
      <c r="BI51" s="12" t="s">
        <v>33</v>
      </c>
      <c r="BJ51" s="12">
        <f t="shared" si="21"/>
        <v>58</v>
      </c>
      <c r="BK51" s="12">
        <f t="shared" si="22"/>
        <v>1</v>
      </c>
      <c r="BL51" s="12">
        <f t="shared" si="18"/>
        <v>59</v>
      </c>
      <c r="BM51" s="69">
        <f t="shared" si="19"/>
        <v>98.305084745762713</v>
      </c>
      <c r="BN51" s="69">
        <f t="shared" si="20"/>
        <v>1.6949152542372881</v>
      </c>
    </row>
    <row r="52" spans="5:68">
      <c r="E52" s="12"/>
      <c r="F52" s="12"/>
      <c r="G52" s="12"/>
      <c r="H52" s="12"/>
      <c r="L52" s="12"/>
      <c r="M52" s="12"/>
      <c r="N52" s="12"/>
      <c r="O52" s="12"/>
      <c r="S52" s="12"/>
      <c r="T52" s="12"/>
      <c r="U52" s="12"/>
    </row>
    <row r="53" spans="5:68">
      <c r="E53" s="12"/>
      <c r="F53" s="12"/>
      <c r="G53" s="12"/>
      <c r="H53" s="12"/>
      <c r="L53" s="12"/>
      <c r="M53" s="12"/>
      <c r="N53" s="12"/>
      <c r="O53" s="12"/>
      <c r="S53" s="12"/>
      <c r="T53" s="12"/>
      <c r="U53" s="12"/>
    </row>
    <row r="54" spans="5:68">
      <c r="E54" s="12"/>
      <c r="F54" s="12"/>
      <c r="G54" s="12"/>
      <c r="H54" s="12"/>
      <c r="L54" s="12"/>
      <c r="M54" s="12"/>
      <c r="N54" s="12"/>
      <c r="O54" s="12"/>
      <c r="S54" s="12"/>
      <c r="T54" s="12"/>
      <c r="U54" s="12"/>
    </row>
    <row r="55" spans="5:68">
      <c r="E55" s="12"/>
      <c r="F55" s="12"/>
      <c r="G55" s="12"/>
      <c r="H55" s="12"/>
      <c r="L55" s="12"/>
      <c r="M55" s="12"/>
      <c r="N55" s="12"/>
      <c r="O55" s="12"/>
      <c r="S55" s="12"/>
      <c r="T55" s="12"/>
      <c r="U55" s="12"/>
    </row>
    <row r="56" spans="5:68">
      <c r="E56" s="12"/>
      <c r="F56" s="12"/>
      <c r="G56" s="12"/>
      <c r="H56" s="12"/>
      <c r="L56" s="12"/>
      <c r="M56" s="12"/>
      <c r="N56" s="12"/>
      <c r="O56" s="12"/>
      <c r="S56" s="12"/>
      <c r="T56" s="12"/>
      <c r="U56" s="12"/>
    </row>
    <row r="57" spans="5:68">
      <c r="E57" s="12"/>
      <c r="F57" s="12"/>
      <c r="G57" s="12"/>
      <c r="H57" s="12"/>
      <c r="L57" s="12"/>
      <c r="M57" s="12"/>
      <c r="N57" s="12"/>
      <c r="O57" s="12"/>
      <c r="S57" s="12"/>
      <c r="T57" s="12"/>
      <c r="U57" s="12"/>
    </row>
    <row r="58" spans="5:68">
      <c r="E58" s="12"/>
      <c r="F58" s="12"/>
      <c r="G58" s="12"/>
      <c r="H58" s="12"/>
      <c r="L58" s="12"/>
      <c r="M58" s="12"/>
      <c r="N58" s="12"/>
      <c r="O58" s="12"/>
      <c r="S58" s="12"/>
      <c r="T58" s="12"/>
      <c r="U58" s="12"/>
    </row>
    <row r="59" spans="5:68">
      <c r="E59" s="12"/>
      <c r="F59" s="12"/>
      <c r="G59" s="12"/>
      <c r="H59" s="12"/>
      <c r="L59" s="12"/>
      <c r="M59" s="12"/>
      <c r="N59" s="12"/>
      <c r="O59" s="12"/>
      <c r="S59" s="12"/>
      <c r="T59" s="12"/>
      <c r="U59" s="12"/>
      <c r="BJ59" s="12">
        <v>2014</v>
      </c>
      <c r="BK59" s="12">
        <v>2015</v>
      </c>
      <c r="BL59" s="12">
        <v>2016</v>
      </c>
      <c r="BM59" s="12">
        <v>2017</v>
      </c>
      <c r="BN59" s="12">
        <v>2018</v>
      </c>
      <c r="BO59" s="12">
        <v>2019</v>
      </c>
      <c r="BP59" s="12">
        <v>2020</v>
      </c>
    </row>
    <row r="60" spans="5:68">
      <c r="E60" s="12"/>
      <c r="F60" s="12"/>
      <c r="G60" s="12"/>
      <c r="H60" s="12"/>
      <c r="L60" s="12"/>
      <c r="M60" s="12"/>
      <c r="N60" s="12"/>
      <c r="O60" s="12"/>
      <c r="S60" s="12"/>
      <c r="T60" s="12"/>
      <c r="U60" s="12"/>
      <c r="BI60" s="12" t="s">
        <v>23</v>
      </c>
      <c r="BJ60" s="12">
        <v>93</v>
      </c>
      <c r="BK60" s="12">
        <v>92</v>
      </c>
      <c r="BL60" s="12">
        <v>79</v>
      </c>
      <c r="BM60" s="12" t="e">
        <f>#REF!</f>
        <v>#REF!</v>
      </c>
      <c r="BN60" s="12">
        <f t="shared" ref="BN60:BN65" si="23">B9</f>
        <v>821</v>
      </c>
      <c r="BO60" s="12">
        <f t="shared" ref="BO60:BO65" si="24">I9</f>
        <v>896</v>
      </c>
      <c r="BP60" s="12">
        <f t="shared" ref="BP60:BP65" si="25">P9</f>
        <v>465</v>
      </c>
    </row>
    <row r="61" spans="5:68">
      <c r="E61" s="12"/>
      <c r="F61" s="12"/>
      <c r="G61" s="12"/>
      <c r="H61" s="12"/>
      <c r="L61" s="12"/>
      <c r="M61" s="12"/>
      <c r="N61" s="12"/>
      <c r="O61" s="12"/>
      <c r="S61" s="12"/>
      <c r="T61" s="12"/>
      <c r="U61" s="12"/>
      <c r="BI61" s="12" t="s">
        <v>25</v>
      </c>
      <c r="BJ61" s="12">
        <v>98</v>
      </c>
      <c r="BK61" s="12">
        <v>51</v>
      </c>
      <c r="BL61" s="12">
        <v>60</v>
      </c>
      <c r="BM61" s="12" t="e">
        <f>#REF!</f>
        <v>#REF!</v>
      </c>
      <c r="BN61" s="12">
        <f t="shared" si="23"/>
        <v>93</v>
      </c>
      <c r="BO61" s="12">
        <f t="shared" si="24"/>
        <v>65</v>
      </c>
      <c r="BP61" s="12">
        <f t="shared" si="25"/>
        <v>34</v>
      </c>
    </row>
    <row r="62" spans="5:68">
      <c r="E62" s="12"/>
      <c r="F62" s="12"/>
      <c r="G62" s="12"/>
      <c r="H62" s="12"/>
      <c r="L62" s="12"/>
      <c r="M62" s="12"/>
      <c r="N62" s="12"/>
      <c r="O62" s="12"/>
      <c r="S62" s="12"/>
      <c r="T62" s="12"/>
      <c r="U62" s="12"/>
      <c r="BI62" s="12" t="s">
        <v>27</v>
      </c>
      <c r="BJ62" s="12">
        <v>94</v>
      </c>
      <c r="BK62" s="12">
        <v>66</v>
      </c>
      <c r="BL62" s="12">
        <v>162</v>
      </c>
      <c r="BM62" s="12" t="e">
        <f>#REF!</f>
        <v>#REF!</v>
      </c>
      <c r="BN62" s="12">
        <f t="shared" si="23"/>
        <v>12</v>
      </c>
      <c r="BO62" s="12">
        <f t="shared" si="24"/>
        <v>25</v>
      </c>
      <c r="BP62" s="12">
        <f t="shared" si="25"/>
        <v>9</v>
      </c>
    </row>
    <row r="63" spans="5:68">
      <c r="E63" s="12"/>
      <c r="F63" s="12"/>
      <c r="G63" s="12"/>
      <c r="H63" s="12"/>
      <c r="L63" s="12"/>
      <c r="M63" s="12"/>
      <c r="N63" s="12"/>
      <c r="O63" s="12"/>
      <c r="S63" s="12"/>
      <c r="T63" s="12"/>
      <c r="U63" s="12"/>
      <c r="BI63" s="12" t="s">
        <v>29</v>
      </c>
      <c r="BJ63" s="12">
        <v>25</v>
      </c>
      <c r="BK63" s="12">
        <v>87</v>
      </c>
      <c r="BL63" s="12">
        <v>188</v>
      </c>
      <c r="BM63" s="12" t="e">
        <f>#REF!</f>
        <v>#REF!</v>
      </c>
      <c r="BN63" s="12">
        <f t="shared" si="23"/>
        <v>287</v>
      </c>
      <c r="BO63" s="12">
        <f t="shared" si="24"/>
        <v>155</v>
      </c>
      <c r="BP63" s="12">
        <f t="shared" si="25"/>
        <v>41</v>
      </c>
    </row>
    <row r="64" spans="5:68">
      <c r="E64" s="12"/>
      <c r="F64" s="12"/>
      <c r="G64" s="12"/>
      <c r="H64" s="12"/>
      <c r="L64" s="12"/>
      <c r="M64" s="12"/>
      <c r="N64" s="12"/>
      <c r="O64" s="12"/>
      <c r="S64" s="12"/>
      <c r="T64" s="12"/>
      <c r="U64" s="12"/>
      <c r="BI64" s="12" t="s">
        <v>31</v>
      </c>
      <c r="BJ64" s="12">
        <v>56</v>
      </c>
      <c r="BK64" s="12">
        <v>47</v>
      </c>
      <c r="BL64" s="12">
        <v>100</v>
      </c>
      <c r="BM64" s="12" t="e">
        <f>#REF!</f>
        <v>#REF!</v>
      </c>
      <c r="BN64" s="12">
        <f t="shared" si="23"/>
        <v>2</v>
      </c>
      <c r="BO64" s="12">
        <f t="shared" si="24"/>
        <v>10</v>
      </c>
      <c r="BP64" s="12">
        <f t="shared" si="25"/>
        <v>3</v>
      </c>
    </row>
    <row r="65" spans="1:68">
      <c r="E65" s="12"/>
      <c r="F65" s="12"/>
      <c r="G65" s="12"/>
      <c r="H65" s="12"/>
      <c r="L65" s="12"/>
      <c r="M65" s="12"/>
      <c r="N65" s="12"/>
      <c r="O65" s="12"/>
      <c r="S65" s="12"/>
      <c r="T65" s="12"/>
      <c r="U65" s="12"/>
      <c r="BI65" s="12" t="s">
        <v>33</v>
      </c>
      <c r="BJ65" s="12">
        <v>34</v>
      </c>
      <c r="BK65" s="12">
        <v>15</v>
      </c>
      <c r="BL65" s="12">
        <v>239</v>
      </c>
      <c r="BM65" s="12" t="e">
        <f>#REF!</f>
        <v>#REF!</v>
      </c>
      <c r="BN65" s="12">
        <f t="shared" si="23"/>
        <v>47</v>
      </c>
      <c r="BO65" s="12">
        <f t="shared" si="24"/>
        <v>90</v>
      </c>
      <c r="BP65" s="12">
        <f t="shared" si="25"/>
        <v>59</v>
      </c>
    </row>
    <row r="66" spans="1:68">
      <c r="E66" s="12"/>
      <c r="F66" s="12"/>
      <c r="G66" s="12"/>
      <c r="H66" s="12"/>
      <c r="L66" s="12"/>
      <c r="M66" s="12"/>
      <c r="N66" s="12"/>
      <c r="O66" s="12"/>
      <c r="S66" s="12"/>
      <c r="T66" s="12"/>
      <c r="U66" s="12"/>
    </row>
    <row r="67" spans="1:68">
      <c r="E67" s="12"/>
      <c r="F67" s="12"/>
      <c r="G67" s="12"/>
      <c r="H67" s="12"/>
      <c r="L67" s="12"/>
      <c r="M67" s="12"/>
      <c r="N67" s="12"/>
      <c r="O67" s="12"/>
      <c r="S67" s="12"/>
      <c r="T67" s="12"/>
      <c r="U67" s="12"/>
    </row>
    <row r="68" spans="1:68">
      <c r="E68" s="12"/>
      <c r="L68" s="12"/>
      <c r="S68" s="12"/>
    </row>
    <row r="69" spans="1:68">
      <c r="E69" s="12"/>
      <c r="L69" s="12"/>
      <c r="S69" s="12"/>
      <c r="BI69" s="12" t="s">
        <v>23</v>
      </c>
      <c r="BJ69" s="12">
        <v>79</v>
      </c>
    </row>
    <row r="70" spans="1:68">
      <c r="E70" s="12"/>
      <c r="L70" s="12"/>
      <c r="S70" s="12"/>
      <c r="BI70" s="12" t="s">
        <v>25</v>
      </c>
      <c r="BJ70" s="12">
        <v>60</v>
      </c>
    </row>
    <row r="71" spans="1:68">
      <c r="E71" s="12"/>
      <c r="L71" s="12"/>
      <c r="S71" s="12"/>
      <c r="BI71" s="12" t="s">
        <v>27</v>
      </c>
      <c r="BJ71" s="12">
        <v>162</v>
      </c>
    </row>
    <row r="72" spans="1:68">
      <c r="A72" s="70"/>
      <c r="E72" s="12"/>
      <c r="F72" s="12"/>
      <c r="G72" s="12"/>
      <c r="H72" s="12"/>
      <c r="L72" s="12"/>
      <c r="M72" s="12"/>
      <c r="N72" s="12"/>
      <c r="O72" s="12"/>
      <c r="S72" s="12"/>
      <c r="T72" s="12"/>
      <c r="U72" s="12"/>
      <c r="BI72" s="12" t="s">
        <v>29</v>
      </c>
      <c r="BJ72" s="12">
        <v>188</v>
      </c>
    </row>
    <row r="73" spans="1:68">
      <c r="A73" s="71"/>
      <c r="E73" s="12"/>
      <c r="F73" s="12"/>
      <c r="G73" s="12"/>
      <c r="H73" s="12"/>
      <c r="L73" s="12"/>
      <c r="M73" s="12"/>
      <c r="N73" s="12"/>
      <c r="O73" s="12"/>
      <c r="S73" s="12"/>
      <c r="T73" s="12"/>
      <c r="U73" s="12"/>
      <c r="BI73" s="12" t="s">
        <v>31</v>
      </c>
      <c r="BJ73" s="12">
        <v>100</v>
      </c>
    </row>
    <row r="74" spans="1:68">
      <c r="A74" s="71"/>
      <c r="E74" s="12"/>
      <c r="F74" s="12"/>
      <c r="G74" s="12"/>
      <c r="H74" s="12"/>
      <c r="L74" s="12"/>
      <c r="M74" s="12"/>
      <c r="N74" s="12"/>
      <c r="O74" s="12"/>
      <c r="S74" s="12"/>
      <c r="T74" s="12"/>
      <c r="U74" s="12"/>
      <c r="BI74" s="12" t="s">
        <v>33</v>
      </c>
      <c r="BJ74" s="12">
        <v>239</v>
      </c>
    </row>
    <row r="75" spans="1:68">
      <c r="A75" s="72"/>
      <c r="E75" s="12"/>
      <c r="F75" s="12"/>
      <c r="G75" s="12"/>
      <c r="H75" s="12"/>
      <c r="L75" s="12"/>
      <c r="M75" s="12"/>
      <c r="N75" s="12"/>
      <c r="O75" s="12"/>
      <c r="S75" s="12"/>
      <c r="T75" s="12"/>
      <c r="U75" s="12"/>
    </row>
    <row r="76" spans="1:68">
      <c r="A76" s="73"/>
      <c r="E76" s="12"/>
      <c r="F76" s="12"/>
      <c r="G76" s="12"/>
      <c r="H76" s="12"/>
      <c r="L76" s="12"/>
      <c r="M76" s="12"/>
      <c r="N76" s="12"/>
      <c r="O76" s="12"/>
      <c r="S76" s="12"/>
      <c r="T76" s="12"/>
      <c r="U76" s="12"/>
    </row>
    <row r="77" spans="1:68">
      <c r="A77" s="73"/>
      <c r="E77" s="12"/>
      <c r="F77" s="12"/>
      <c r="G77" s="12"/>
      <c r="H77" s="12"/>
      <c r="L77" s="12"/>
      <c r="M77" s="12"/>
      <c r="N77" s="12"/>
      <c r="O77" s="12"/>
      <c r="S77" s="12"/>
      <c r="T77" s="12"/>
      <c r="U77" s="12"/>
    </row>
    <row r="78" spans="1:68">
      <c r="A78" s="73"/>
      <c r="E78" s="12"/>
      <c r="F78" s="12"/>
      <c r="G78" s="12"/>
      <c r="H78" s="12"/>
      <c r="L78" s="12"/>
      <c r="M78" s="12"/>
      <c r="N78" s="12"/>
      <c r="O78" s="12"/>
      <c r="S78" s="12"/>
      <c r="T78" s="12"/>
      <c r="U78" s="12"/>
    </row>
    <row r="79" spans="1:68">
      <c r="A79" s="73"/>
      <c r="E79" s="12"/>
      <c r="F79" s="12"/>
      <c r="G79" s="12"/>
      <c r="H79" s="12"/>
      <c r="L79" s="12"/>
      <c r="M79" s="12"/>
      <c r="N79" s="12"/>
      <c r="O79" s="12"/>
      <c r="S79" s="12"/>
      <c r="T79" s="12"/>
      <c r="U79" s="12"/>
      <c r="BJ79" s="6" t="s">
        <v>15</v>
      </c>
      <c r="BK79" s="6" t="s">
        <v>16</v>
      </c>
      <c r="BL79" s="12" t="s">
        <v>17</v>
      </c>
    </row>
    <row r="80" spans="1:68">
      <c r="A80" s="73"/>
      <c r="E80" s="12"/>
      <c r="F80" s="12"/>
      <c r="G80" s="12"/>
      <c r="H80" s="12"/>
      <c r="L80" s="12"/>
      <c r="M80" s="12"/>
      <c r="N80" s="12"/>
      <c r="O80" s="12"/>
      <c r="S80" s="12"/>
      <c r="T80" s="12"/>
      <c r="U80" s="12"/>
      <c r="BI80" s="12">
        <f>SUM(BJ80:BL80)</f>
        <v>1241</v>
      </c>
      <c r="BJ80" s="6">
        <f>J8</f>
        <v>991</v>
      </c>
      <c r="BK80" s="6">
        <f>K8</f>
        <v>1</v>
      </c>
      <c r="BL80" s="6">
        <f>N8</f>
        <v>249</v>
      </c>
    </row>
    <row r="81" spans="1:64">
      <c r="A81" s="73"/>
      <c r="E81" s="12"/>
      <c r="F81" s="12"/>
      <c r="G81" s="12"/>
      <c r="H81" s="12"/>
      <c r="L81" s="12"/>
      <c r="M81" s="12"/>
      <c r="N81" s="12"/>
      <c r="O81" s="12"/>
      <c r="S81" s="12"/>
      <c r="T81" s="12"/>
      <c r="U81" s="12"/>
    </row>
    <row r="82" spans="1:64">
      <c r="A82" s="72"/>
      <c r="E82" s="12"/>
      <c r="F82" s="12"/>
      <c r="G82" s="12"/>
      <c r="H82" s="12"/>
      <c r="L82" s="12"/>
      <c r="M82" s="12"/>
      <c r="N82" s="12"/>
      <c r="O82" s="12"/>
      <c r="S82" s="12"/>
      <c r="T82" s="12"/>
      <c r="U82" s="12"/>
      <c r="BJ82" s="12">
        <f>BJ80/BI80*100</f>
        <v>79.854955680902492</v>
      </c>
      <c r="BK82" s="12">
        <f>BK80/BJ80*100</f>
        <v>0.10090817356205853</v>
      </c>
      <c r="BL82" s="12">
        <f>BL80/BJ80*100</f>
        <v>25.126135216952573</v>
      </c>
    </row>
    <row r="83" spans="1:64">
      <c r="A83" s="73"/>
      <c r="E83" s="12"/>
      <c r="F83" s="12"/>
      <c r="G83" s="12"/>
      <c r="H83" s="12"/>
      <c r="L83" s="12"/>
      <c r="M83" s="12"/>
      <c r="N83" s="12"/>
      <c r="O83" s="12"/>
      <c r="S83" s="12"/>
      <c r="T83" s="12"/>
      <c r="U83" s="12"/>
    </row>
    <row r="84" spans="1:64">
      <c r="A84" s="73"/>
      <c r="E84" s="12"/>
      <c r="F84" s="12"/>
      <c r="G84" s="12"/>
      <c r="H84" s="12"/>
      <c r="L84" s="12"/>
      <c r="M84" s="12"/>
      <c r="N84" s="12"/>
      <c r="O84" s="12"/>
      <c r="S84" s="12"/>
      <c r="T84" s="12"/>
      <c r="U84" s="12"/>
    </row>
    <row r="85" spans="1:64">
      <c r="A85" s="73"/>
      <c r="E85" s="12"/>
      <c r="F85" s="12"/>
      <c r="G85" s="12"/>
      <c r="H85" s="12"/>
      <c r="L85" s="12"/>
      <c r="M85" s="12"/>
      <c r="N85" s="12"/>
      <c r="O85" s="12"/>
      <c r="S85" s="12"/>
      <c r="T85" s="12"/>
      <c r="U85" s="12"/>
    </row>
    <row r="86" spans="1:64">
      <c r="A86" s="73"/>
      <c r="E86" s="12"/>
      <c r="F86" s="12"/>
      <c r="G86" s="12"/>
      <c r="H86" s="12"/>
      <c r="L86" s="12"/>
      <c r="M86" s="12"/>
      <c r="N86" s="12"/>
      <c r="O86" s="12"/>
      <c r="S86" s="12"/>
      <c r="T86" s="12"/>
      <c r="U86" s="12"/>
    </row>
    <row r="87" spans="1:64">
      <c r="A87" s="73"/>
      <c r="E87" s="12"/>
      <c r="F87" s="12"/>
      <c r="G87" s="12"/>
      <c r="H87" s="12"/>
      <c r="L87" s="12"/>
      <c r="M87" s="12"/>
      <c r="N87" s="12"/>
      <c r="O87" s="12"/>
      <c r="S87" s="12"/>
      <c r="T87" s="12"/>
      <c r="U87" s="12"/>
    </row>
    <row r="88" spans="1:64">
      <c r="A88" s="73"/>
      <c r="E88" s="12"/>
      <c r="F88" s="12"/>
      <c r="G88" s="12"/>
      <c r="H88" s="12"/>
      <c r="L88" s="12"/>
      <c r="M88" s="12"/>
      <c r="N88" s="12"/>
      <c r="O88" s="12"/>
      <c r="S88" s="12"/>
      <c r="T88" s="12"/>
      <c r="U88" s="12"/>
    </row>
    <row r="89" spans="1:64">
      <c r="A89" s="72"/>
      <c r="E89" s="12"/>
      <c r="F89" s="12"/>
      <c r="G89" s="12"/>
      <c r="H89" s="12"/>
      <c r="L89" s="12"/>
      <c r="M89" s="12"/>
      <c r="N89" s="12"/>
      <c r="O89" s="12"/>
      <c r="S89" s="12"/>
      <c r="T89" s="12"/>
      <c r="U89" s="12"/>
    </row>
    <row r="90" spans="1:64">
      <c r="A90" s="73"/>
      <c r="E90" s="12"/>
      <c r="F90" s="12"/>
      <c r="G90" s="12"/>
      <c r="H90" s="12"/>
      <c r="L90" s="12"/>
      <c r="M90" s="12"/>
      <c r="N90" s="12"/>
      <c r="O90" s="12"/>
      <c r="S90" s="12"/>
      <c r="T90" s="12"/>
      <c r="U90" s="12"/>
    </row>
    <row r="91" spans="1:64">
      <c r="A91" s="73"/>
      <c r="E91" s="12"/>
      <c r="F91" s="12"/>
      <c r="G91" s="12"/>
      <c r="H91" s="12"/>
      <c r="L91" s="12"/>
      <c r="M91" s="12"/>
      <c r="N91" s="12"/>
      <c r="O91" s="12"/>
      <c r="S91" s="12"/>
      <c r="T91" s="12"/>
      <c r="U91" s="12"/>
    </row>
    <row r="92" spans="1:64">
      <c r="A92" s="73"/>
      <c r="E92" s="12"/>
      <c r="F92" s="12"/>
      <c r="G92" s="12"/>
      <c r="H92" s="12"/>
      <c r="L92" s="12"/>
      <c r="M92" s="12"/>
      <c r="N92" s="12"/>
      <c r="O92" s="12"/>
      <c r="S92" s="12"/>
      <c r="T92" s="12"/>
      <c r="U92" s="12"/>
    </row>
    <row r="93" spans="1:64">
      <c r="A93" s="73"/>
      <c r="E93" s="12"/>
      <c r="F93" s="12"/>
      <c r="G93" s="12"/>
      <c r="H93" s="12"/>
      <c r="L93" s="12"/>
      <c r="M93" s="12"/>
      <c r="N93" s="12"/>
      <c r="O93" s="12"/>
      <c r="S93" s="12"/>
      <c r="T93" s="12"/>
      <c r="U93" s="12"/>
    </row>
    <row r="94" spans="1:64">
      <c r="A94" s="73"/>
      <c r="E94" s="12"/>
      <c r="F94" s="12"/>
      <c r="G94" s="12"/>
      <c r="H94" s="12"/>
      <c r="L94" s="12"/>
      <c r="M94" s="12"/>
      <c r="N94" s="12"/>
      <c r="O94" s="12"/>
      <c r="S94" s="12"/>
      <c r="T94" s="12"/>
      <c r="U94" s="12"/>
    </row>
    <row r="95" spans="1:64">
      <c r="A95" s="73"/>
      <c r="E95" s="12"/>
      <c r="F95" s="12"/>
      <c r="G95" s="12"/>
      <c r="H95" s="12"/>
      <c r="L95" s="12"/>
      <c r="M95" s="12"/>
      <c r="N95" s="12"/>
      <c r="O95" s="12"/>
      <c r="S95" s="12"/>
      <c r="T95" s="12"/>
      <c r="U95" s="12"/>
    </row>
    <row r="96" spans="1:64">
      <c r="A96" s="74"/>
      <c r="E96" s="12"/>
      <c r="F96" s="12"/>
      <c r="G96" s="12"/>
      <c r="H96" s="12"/>
      <c r="L96" s="12"/>
      <c r="M96" s="12"/>
      <c r="N96" s="12"/>
      <c r="O96" s="12"/>
      <c r="S96" s="12"/>
      <c r="T96" s="12"/>
      <c r="U96" s="12"/>
    </row>
  </sheetData>
  <mergeCells count="22">
    <mergeCell ref="A1:V1"/>
    <mergeCell ref="A2:V2"/>
    <mergeCell ref="A3:A7"/>
    <mergeCell ref="B3:G3"/>
    <mergeCell ref="I3:N3"/>
    <mergeCell ref="P3:U3"/>
    <mergeCell ref="V3:V7"/>
    <mergeCell ref="E4:G4"/>
    <mergeCell ref="L4:N4"/>
    <mergeCell ref="S4:U4"/>
    <mergeCell ref="E5:G5"/>
    <mergeCell ref="B5:B6"/>
    <mergeCell ref="C5:C6"/>
    <mergeCell ref="D5:D6"/>
    <mergeCell ref="R5:R6"/>
    <mergeCell ref="S5:U5"/>
    <mergeCell ref="Q5:Q6"/>
    <mergeCell ref="I5:I6"/>
    <mergeCell ref="J5:J6"/>
    <mergeCell ref="K5:K6"/>
    <mergeCell ref="L5:N5"/>
    <mergeCell ref="P5:P6"/>
  </mergeCells>
  <pageMargins left="0.7" right="0.7" top="0.75" bottom="0.75" header="0.3" footer="0.3"/>
  <pageSetup paperSize="9" scale="36" orientation="portrait" r:id="rId1"/>
  <colBreaks count="1" manualBreakCount="1">
    <brk id="58" max="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8.49</vt:lpstr>
      <vt:lpstr>'8.49'!Print_Area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2023-05-16T14:03:32Z</cp:lastPrinted>
  <dcterms:created xsi:type="dcterms:W3CDTF">2019-06-30T04:22:49Z</dcterms:created>
  <dcterms:modified xsi:type="dcterms:W3CDTF">2023-05-16T14:03:39Z</dcterms:modified>
</cp:coreProperties>
</file>