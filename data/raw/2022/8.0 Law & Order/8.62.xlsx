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DA2AB731-349A-4EAA-8170-CAEDFDA7ABD2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62" sheetId="118" r:id="rId1"/>
  </sheets>
  <externalReferences>
    <externalReference r:id="rId2"/>
    <externalReference r:id="rId3"/>
    <externalReference r:id="rId4"/>
  </externalReferences>
  <definedNames>
    <definedName name="_xlnm.Print_Area" localSheetId="0">'8.62'!$A$1:$M$35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18" l="1"/>
  <c r="B32" i="118"/>
  <c r="B31" i="118"/>
  <c r="B30" i="118"/>
  <c r="B29" i="118"/>
  <c r="B28" i="118"/>
  <c r="B27" i="118"/>
  <c r="B26" i="118"/>
  <c r="B25" i="118"/>
  <c r="J24" i="118"/>
  <c r="I24" i="118"/>
  <c r="H24" i="118"/>
  <c r="G24" i="118"/>
  <c r="F24" i="118"/>
  <c r="E24" i="118"/>
  <c r="D24" i="118"/>
  <c r="B16" i="118"/>
  <c r="B15" i="118"/>
  <c r="B14" i="118"/>
  <c r="B13" i="118"/>
  <c r="B12" i="118"/>
  <c r="B11" i="118"/>
  <c r="B10" i="118"/>
  <c r="B9" i="118"/>
  <c r="B8" i="118"/>
  <c r="J7" i="118"/>
  <c r="I7" i="118"/>
  <c r="H7" i="118"/>
  <c r="G7" i="118"/>
  <c r="F7" i="118"/>
  <c r="E7" i="118"/>
  <c r="D7" i="118"/>
  <c r="B24" i="118" l="1"/>
  <c r="B7" i="118"/>
</calcChain>
</file>

<file path=xl/sharedStrings.xml><?xml version="1.0" encoding="utf-8"?>
<sst xmlns="http://schemas.openxmlformats.org/spreadsheetml/2006/main" count="72" uniqueCount="37">
  <si>
    <t>Total</t>
  </si>
  <si>
    <t>Others</t>
  </si>
  <si>
    <t>އެހެނިހެން</t>
  </si>
  <si>
    <t>ޖުމްލަ</t>
  </si>
  <si>
    <t>ކުރެވޭ އަނިޔާގެ ބާވަތް</t>
  </si>
  <si>
    <t>Types of abuse</t>
  </si>
  <si>
    <t xml:space="preserve">Age-group </t>
  </si>
  <si>
    <t>under 1 year</t>
  </si>
  <si>
    <t>1 - 4</t>
  </si>
  <si>
    <t>5</t>
  </si>
  <si>
    <t>6 - 9</t>
  </si>
  <si>
    <t>10 - 14</t>
  </si>
  <si>
    <t>15</t>
  </si>
  <si>
    <t>16 - 18</t>
  </si>
  <si>
    <t>Physical Abuse</t>
  </si>
  <si>
    <t>Sexual Abuse</t>
  </si>
  <si>
    <t>Neglect</t>
  </si>
  <si>
    <t>އަޅާނުލުން</t>
  </si>
  <si>
    <t>ޖިސްމާނީ އަނިޔާ</t>
  </si>
  <si>
    <t>Emotional Abuse</t>
  </si>
  <si>
    <t>ނަފްސާނީ އަނިޔާ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</si>
  <si>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</si>
  <si>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</si>
  <si>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</si>
  <si>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</si>
  <si>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</si>
  <si>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</si>
  <si>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</si>
  <si>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</si>
  <si>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</si>
  <si>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</si>
  <si>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</si>
  <si>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</si>
  <si>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Table 8.62: NUMBER OF REPORTED CHILD ABUSE CASES BY TYPE AND AGE OF CHILD, 2019</t>
  </si>
  <si>
    <t>ތާވަލު 8.62: ޢުމުރުފުރާގެ ގޮތުން ކުޑަކުދިންނަށް ކުރާ އަނިޔާއާއިބެހެގޮތުން ހުށަހެޅިފައިވާ މައްސަލަތައް،  2019</t>
  </si>
  <si>
    <t>ތާވަލު 8.62: ޢުމުރުފުރާގެ ގޮތުން ކުޑަކުދިންނަށް ކުރާ އަނިޔާއާއިބެހެގޮތުން ހުށަހެޅިފައިވާ މައްސަލަތައް،  2018</t>
  </si>
  <si>
    <t>Table 8.62: NUMBER OF REPORTED CHILD ABUSE CASES BY TYPE AND AGE OF CHILD,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</si>
</sst>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8" fillId="0" borderId="0"/>
    <xf numFmtId="0" fontId="9" fillId="0" borderId="2" applyNumberFormat="0" applyFill="0" applyAlignment="0" applyProtection="0"/>
    <xf numFmtId="0" fontId="8" fillId="0" borderId="0"/>
    <xf numFmtId="0" fontId="8" fillId="0" borderId="0"/>
  </cellStyleXfs>
  <cellXfs count="36">
    <xf numFmtId="0" fontId="0" fillId="0" borderId="0" xfId="0"/>
    <xf numFmtId="164" fontId="0" fillId="2" borderId="0" xfId="0" applyNumberFormat="1" applyFill="1"/>
    <xf numFmtId="164" fontId="2" fillId="2" borderId="0" xfId="0" applyNumberFormat="1" applyFont="1" applyFill="1" applyAlignment="1">
      <alignment vertical="center"/>
    </xf>
    <xf numFmtId="164" fontId="3" fillId="2" borderId="0" xfId="0" applyNumberFormat="1" applyFont="1" applyFill="1"/>
    <xf numFmtId="0" fontId="2" fillId="2" borderId="1" xfId="5" applyFont="1" applyFill="1" applyBorder="1" applyAlignment="1">
      <alignment horizontal="right" vertical="center"/>
    </xf>
    <xf numFmtId="49" fontId="2" fillId="2" borderId="1" xfId="5" applyNumberFormat="1" applyFont="1" applyFill="1" applyBorder="1" applyAlignment="1">
      <alignment horizontal="right" vertical="center"/>
    </xf>
    <xf numFmtId="3" fontId="2" fillId="2" borderId="0" xfId="1" applyNumberFormat="1" applyFont="1" applyFill="1" applyAlignment="1">
      <alignment vertical="center" wrapText="1"/>
    </xf>
    <xf numFmtId="3" fontId="2" fillId="2" borderId="1" xfId="1" applyNumberFormat="1" applyFont="1" applyFill="1" applyBorder="1" applyAlignment="1">
      <alignment vertical="center" wrapText="1"/>
    </xf>
    <xf numFmtId="3" fontId="3" fillId="2" borderId="0" xfId="1" applyNumberFormat="1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Alignment="1">
      <alignment vertical="center"/>
    </xf>
    <xf numFmtId="166" fontId="10" fillId="2" borderId="4" xfId="1" applyNumberFormat="1" applyFont="1" applyFill="1" applyBorder="1" applyAlignment="1">
      <alignment vertical="center" wrapText="1" readingOrder="2"/>
    </xf>
    <xf numFmtId="164" fontId="11" fillId="2" borderId="0" xfId="0" applyNumberFormat="1" applyFont="1" applyFill="1" applyAlignment="1">
      <alignment vertical="top" readingOrder="2"/>
    </xf>
    <xf numFmtId="164" fontId="4" fillId="2" borderId="0" xfId="0" applyNumberFormat="1" applyFont="1" applyFill="1" applyAlignment="1">
      <alignment vertical="top"/>
    </xf>
    <xf numFmtId="164" fontId="2" fillId="2" borderId="4" xfId="0" applyNumberFormat="1" applyFont="1" applyFill="1" applyBorder="1" applyAlignment="1">
      <alignment horizontal="right" vertical="center" wrapText="1"/>
    </xf>
    <xf numFmtId="166" fontId="2" fillId="2" borderId="4" xfId="1" applyNumberFormat="1" applyFont="1" applyFill="1" applyBorder="1" applyAlignment="1">
      <alignment vertical="center" wrapText="1"/>
    </xf>
    <xf numFmtId="3" fontId="2" fillId="2" borderId="4" xfId="1" applyNumberFormat="1" applyFont="1" applyFill="1" applyBorder="1" applyAlignment="1">
      <alignment vertical="center" wrapText="1"/>
    </xf>
    <xf numFmtId="166" fontId="3" fillId="2" borderId="0" xfId="1" applyNumberFormat="1" applyFont="1" applyFill="1" applyAlignment="1">
      <alignment horizontal="left" vertical="center" wrapText="1" indent="1"/>
    </xf>
    <xf numFmtId="166" fontId="11" fillId="2" borderId="0" xfId="1" applyNumberFormat="1" applyFont="1" applyFill="1" applyAlignment="1">
      <alignment horizontal="right" vertical="center" wrapText="1" indent="1" readingOrder="2"/>
    </xf>
    <xf numFmtId="3" fontId="2" fillId="2" borderId="0" xfId="1" applyNumberFormat="1" applyFont="1" applyFill="1" applyBorder="1" applyAlignment="1">
      <alignment vertical="center" wrapText="1"/>
    </xf>
    <xf numFmtId="166" fontId="3" fillId="2" borderId="1" xfId="1" applyNumberFormat="1" applyFont="1" applyFill="1" applyBorder="1" applyAlignment="1">
      <alignment horizontal="left" vertical="center" wrapText="1" indent="1"/>
    </xf>
    <xf numFmtId="166" fontId="12" fillId="2" borderId="1" xfId="1" applyNumberFormat="1" applyFont="1" applyFill="1" applyBorder="1" applyAlignment="1">
      <alignment horizontal="right" vertical="center" wrapText="1" indent="1" readingOrder="2"/>
    </xf>
    <xf numFmtId="166" fontId="12" fillId="2" borderId="0" xfId="1" applyNumberFormat="1" applyFont="1" applyFill="1" applyBorder="1" applyAlignment="1">
      <alignment vertical="center" wrapText="1" readingOrder="2"/>
    </xf>
    <xf numFmtId="3" fontId="3" fillId="2" borderId="0" xfId="1" applyNumberFormat="1" applyFont="1" applyFill="1" applyAlignment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10" fillId="2" borderId="0" xfId="0" applyNumberFormat="1" applyFont="1" applyFill="1" applyAlignment="1">
      <alignment horizontal="center" vertical="center" wrapText="1" readingOrder="2"/>
    </xf>
    <xf numFmtId="164" fontId="2" fillId="2" borderId="0" xfId="0" applyNumberFormat="1" applyFont="1" applyFill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10" fillId="2" borderId="4" xfId="0" applyNumberFormat="1" applyFont="1" applyFill="1" applyBorder="1" applyAlignment="1">
      <alignment horizontal="right" vertical="center" wrapText="1" readingOrder="2"/>
    </xf>
    <xf numFmtId="164" fontId="10" fillId="2" borderId="1" xfId="0" applyNumberFormat="1" applyFont="1" applyFill="1" applyBorder="1" applyAlignment="1">
      <alignment horizontal="right" vertical="center" wrapText="1" readingOrder="2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</cellXfs>
  <cellStyles count="9">
    <cellStyle name="1" xfId="8" xr:uid="{00000000-0005-0000-0000-000000000000}"/>
    <cellStyle name="Comma" xfId="1" builtinId="3"/>
    <cellStyle name="Comma 2" xfId="2" xr:uid="{00000000-0005-0000-0000-000002000000}"/>
    <cellStyle name="Heading 1 2" xfId="6" xr:uid="{00000000-0005-0000-0000-000003000000}"/>
    <cellStyle name="Normal" xfId="0" builtinId="0"/>
    <cellStyle name="Normal 2" xfId="7" xr:uid="{00000000-0005-0000-0000-000006000000}"/>
    <cellStyle name="Normal 3" xfId="4" xr:uid="{00000000-0005-0000-0000-000007000000}"/>
    <cellStyle name="Normal_II-14(Population)" xfId="5" xr:uid="{00000000-0005-0000-0000-00000A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92D050"/>
  </sheetPr>
  <dimension ref="A1:K36"/>
  <sheetViews>
    <sheetView tabSelected="1" zoomScaleNormal="100" workbookViewId="0">
      <selection activeCell="O15" sqref="O15"/>
    </sheetView>
  </sheetViews>
  <sheetFormatPr defaultColWidth="6.85546875" defaultRowHeight="15"/>
  <cols>
    <col min="1" max="1" width="23" style="1" customWidth="1"/>
    <col min="2" max="2" width="6.85546875" style="1"/>
    <col min="3" max="3" width="3.28515625" style="1" customWidth="1"/>
    <col min="4" max="4" width="9.7109375" style="1" customWidth="1"/>
    <col min="5" max="10" width="10.85546875" style="1" customWidth="1"/>
    <col min="11" max="11" width="39.7109375" style="1" customWidth="1"/>
    <col min="12" max="16384" width="6.85546875" style="1"/>
  </cols>
  <sheetData>
    <row r="1" spans="1:11" s="11" customFormat="1" ht="18.75">
      <c r="A1" s="14"/>
      <c r="B1" s="3"/>
      <c r="C1" s="3"/>
      <c r="D1" s="3"/>
      <c r="E1" s="8"/>
      <c r="F1" s="8"/>
      <c r="G1" s="8"/>
      <c r="H1" s="8"/>
      <c r="I1" s="8"/>
      <c r="J1" s="8"/>
      <c r="K1" s="23"/>
    </row>
    <row r="2" spans="1:11" s="3" customFormat="1" ht="18.75">
      <c r="A2" s="28" t="s">
        <v>34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s="3" customFormat="1" ht="12.75">
      <c r="A3" s="29" t="s">
        <v>33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s="3" customFormat="1" ht="12.75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s="3" customFormat="1" ht="12.75">
      <c r="A5" s="26" t="s">
        <v>5</v>
      </c>
      <c r="B5" s="33" t="s">
        <v>0</v>
      </c>
      <c r="C5" s="15"/>
      <c r="D5" s="35" t="s">
        <v>6</v>
      </c>
      <c r="E5" s="35"/>
      <c r="F5" s="35"/>
      <c r="G5" s="35"/>
      <c r="H5" s="35"/>
      <c r="I5" s="35"/>
      <c r="J5" s="35"/>
      <c r="K5" s="31" t="s">
        <v>4</v>
      </c>
    </row>
    <row r="6" spans="1:11" s="3" customFormat="1" ht="12.75">
      <c r="A6" s="27"/>
      <c r="B6" s="34"/>
      <c r="C6" s="10"/>
      <c r="D6" s="4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32"/>
    </row>
    <row r="7" spans="1:11" s="2" customFormat="1" ht="18.75">
      <c r="A7" s="16" t="s">
        <v>0</v>
      </c>
      <c r="B7" s="17">
        <f>SUM(B8:B16)</f>
        <v>1375</v>
      </c>
      <c r="C7" s="17"/>
      <c r="D7" s="17">
        <f t="shared" ref="D7:J7" si="0">SUM(D8:D16)</f>
        <v>57</v>
      </c>
      <c r="E7" s="17">
        <f t="shared" si="0"/>
        <v>220</v>
      </c>
      <c r="F7" s="17">
        <f t="shared" si="0"/>
        <v>101</v>
      </c>
      <c r="G7" s="17">
        <f t="shared" si="0"/>
        <v>333</v>
      </c>
      <c r="H7" s="17">
        <f t="shared" si="0"/>
        <v>420</v>
      </c>
      <c r="I7" s="17">
        <f t="shared" si="0"/>
        <v>92</v>
      </c>
      <c r="J7" s="17">
        <f t="shared" si="0"/>
        <v>152</v>
      </c>
      <c r="K7" s="12" t="s">
        <v>3</v>
      </c>
    </row>
    <row r="8" spans="1:11" s="11" customFormat="1" ht="18.75">
      <c r="A8" s="18" t="s">
        <v>16</v>
      </c>
      <c r="B8" s="6">
        <f t="shared" ref="B8:B16" si="1">SUM(D8:J8)</f>
        <v>410</v>
      </c>
      <c r="C8" s="6"/>
      <c r="D8" s="24">
        <v>49</v>
      </c>
      <c r="E8" s="24">
        <v>110</v>
      </c>
      <c r="F8" s="24">
        <v>34</v>
      </c>
      <c r="G8" s="24">
        <v>107</v>
      </c>
      <c r="H8" s="24">
        <v>77</v>
      </c>
      <c r="I8" s="24">
        <v>15</v>
      </c>
      <c r="J8" s="24">
        <v>18</v>
      </c>
      <c r="K8" s="19" t="s">
        <v>17</v>
      </c>
    </row>
    <row r="9" spans="1:11" s="11" customFormat="1" ht="18.75">
      <c r="A9" s="18" t="s">
        <v>14</v>
      </c>
      <c r="B9" s="6">
        <f t="shared" si="1"/>
        <v>299</v>
      </c>
      <c r="C9" s="6"/>
      <c r="D9" s="24">
        <v>2</v>
      </c>
      <c r="E9" s="24">
        <v>47</v>
      </c>
      <c r="F9" s="24">
        <v>33</v>
      </c>
      <c r="G9" s="24">
        <v>84</v>
      </c>
      <c r="H9" s="24">
        <v>90</v>
      </c>
      <c r="I9" s="24">
        <v>20</v>
      </c>
      <c r="J9" s="24">
        <v>23</v>
      </c>
      <c r="K9" s="19" t="s">
        <v>18</v>
      </c>
    </row>
    <row r="10" spans="1:11" s="11" customFormat="1" ht="18.75">
      <c r="A10" s="18" t="s">
        <v>15</v>
      </c>
      <c r="B10" s="6">
        <f t="shared" si="1"/>
        <v>360</v>
      </c>
      <c r="C10" s="6"/>
      <c r="D10" s="24">
        <v>1</v>
      </c>
      <c r="E10" s="24">
        <v>24</v>
      </c>
      <c r="F10" s="24">
        <v>22</v>
      </c>
      <c r="G10" s="24">
        <v>69</v>
      </c>
      <c r="H10" s="24">
        <v>144</v>
      </c>
      <c r="I10" s="24">
        <v>32</v>
      </c>
      <c r="J10" s="24">
        <v>68</v>
      </c>
      <c r="K10" s="19" t="s">
        <v>21</v>
      </c>
    </row>
    <row r="11" spans="1:11" s="11" customFormat="1" ht="18.75">
      <c r="A11" s="18" t="s">
        <v>19</v>
      </c>
      <c r="B11" s="6">
        <f t="shared" si="1"/>
        <v>144</v>
      </c>
      <c r="C11" s="6"/>
      <c r="D11" s="24">
        <v>2</v>
      </c>
      <c r="E11" s="24">
        <v>21</v>
      </c>
      <c r="F11" s="24">
        <v>6</v>
      </c>
      <c r="G11" s="24">
        <v>46</v>
      </c>
      <c r="H11" s="24">
        <v>44</v>
      </c>
      <c r="I11" s="24">
        <v>10</v>
      </c>
      <c r="J11" s="24">
        <v>15</v>
      </c>
      <c r="K11" s="19" t="s">
        <v>20</v>
      </c>
    </row>
    <row r="12" spans="1:11" s="11" customFormat="1" ht="18.75">
      <c r="A12" s="18" t="s">
        <v>22</v>
      </c>
      <c r="B12" s="6">
        <f t="shared" si="1"/>
        <v>32</v>
      </c>
      <c r="C12" s="6"/>
      <c r="D12" s="24">
        <v>0</v>
      </c>
      <c r="E12" s="24">
        <v>0</v>
      </c>
      <c r="F12" s="24">
        <v>1</v>
      </c>
      <c r="G12" s="24">
        <v>2</v>
      </c>
      <c r="H12" s="24">
        <v>22</v>
      </c>
      <c r="I12" s="24">
        <v>3</v>
      </c>
      <c r="J12" s="24">
        <v>4</v>
      </c>
      <c r="K12" s="19" t="s">
        <v>23</v>
      </c>
    </row>
    <row r="13" spans="1:11" s="11" customFormat="1" ht="18.75">
      <c r="A13" s="18" t="s">
        <v>24</v>
      </c>
      <c r="B13" s="6">
        <f t="shared" si="1"/>
        <v>13</v>
      </c>
      <c r="C13" s="20"/>
      <c r="D13" s="8">
        <v>0</v>
      </c>
      <c r="E13" s="8">
        <v>1</v>
      </c>
      <c r="F13" s="8">
        <v>0</v>
      </c>
      <c r="G13" s="8">
        <v>2</v>
      </c>
      <c r="H13" s="8">
        <v>5</v>
      </c>
      <c r="I13" s="8">
        <v>1</v>
      </c>
      <c r="J13" s="8">
        <v>4</v>
      </c>
      <c r="K13" s="19" t="s">
        <v>25</v>
      </c>
    </row>
    <row r="14" spans="1:11" s="11" customFormat="1" ht="31.5" customHeight="1">
      <c r="A14" s="18" t="s">
        <v>26</v>
      </c>
      <c r="B14" s="6">
        <f t="shared" si="1"/>
        <v>65</v>
      </c>
      <c r="C14" s="20"/>
      <c r="D14" s="8">
        <v>1</v>
      </c>
      <c r="E14" s="8">
        <v>15</v>
      </c>
      <c r="F14" s="8">
        <v>5</v>
      </c>
      <c r="G14" s="8">
        <v>21</v>
      </c>
      <c r="H14" s="8">
        <v>19</v>
      </c>
      <c r="I14" s="8">
        <v>3</v>
      </c>
      <c r="J14" s="8">
        <v>1</v>
      </c>
      <c r="K14" s="19" t="s">
        <v>27</v>
      </c>
    </row>
    <row r="15" spans="1:11" s="11" customFormat="1" ht="18.75" customHeight="1">
      <c r="A15" s="18" t="s">
        <v>28</v>
      </c>
      <c r="B15" s="6">
        <f t="shared" si="1"/>
        <v>29</v>
      </c>
      <c r="C15" s="20"/>
      <c r="D15" s="8">
        <v>0</v>
      </c>
      <c r="E15" s="8">
        <v>0</v>
      </c>
      <c r="F15" s="8">
        <v>0</v>
      </c>
      <c r="G15" s="8">
        <v>0</v>
      </c>
      <c r="H15" s="8">
        <v>9</v>
      </c>
      <c r="I15" s="8">
        <v>4</v>
      </c>
      <c r="J15" s="8">
        <v>16</v>
      </c>
      <c r="K15" s="19" t="s">
        <v>29</v>
      </c>
    </row>
    <row r="16" spans="1:11" s="11" customFormat="1" ht="18.75">
      <c r="A16" s="21" t="s">
        <v>1</v>
      </c>
      <c r="B16" s="7">
        <f t="shared" si="1"/>
        <v>23</v>
      </c>
      <c r="C16" s="7"/>
      <c r="D16" s="25">
        <v>2</v>
      </c>
      <c r="E16" s="25">
        <v>2</v>
      </c>
      <c r="F16" s="25">
        <v>0</v>
      </c>
      <c r="G16" s="25">
        <v>2</v>
      </c>
      <c r="H16" s="25">
        <v>10</v>
      </c>
      <c r="I16" s="25">
        <v>4</v>
      </c>
      <c r="J16" s="25">
        <v>3</v>
      </c>
      <c r="K16" s="22" t="s">
        <v>2</v>
      </c>
    </row>
    <row r="17" spans="1:11" s="3" customFormat="1" ht="24" customHeight="1">
      <c r="A17" s="30" t="s">
        <v>30</v>
      </c>
      <c r="B17" s="30"/>
      <c r="C17" s="30"/>
      <c r="D17" s="30"/>
      <c r="E17" s="30"/>
      <c r="F17" s="30"/>
      <c r="G17" s="30"/>
      <c r="H17" s="30"/>
      <c r="I17" s="13"/>
      <c r="J17" s="13"/>
      <c r="K17" s="13" t="s">
        <v>31</v>
      </c>
    </row>
    <row r="18" spans="1:11" s="11" customFormat="1" ht="18.75">
      <c r="A18" s="14" t="s">
        <v>32</v>
      </c>
      <c r="B18" s="3"/>
      <c r="C18" s="3"/>
      <c r="D18" s="3"/>
      <c r="E18" s="8"/>
      <c r="F18" s="8"/>
      <c r="G18" s="8"/>
      <c r="H18" s="8"/>
      <c r="I18" s="8"/>
      <c r="J18" s="8"/>
      <c r="K18" s="23"/>
    </row>
    <row r="19" spans="1:11" s="3" customFormat="1" ht="18.75">
      <c r="A19" s="28" t="s">
        <v>35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1:11" s="3" customFormat="1" ht="12.75">
      <c r="A20" s="29" t="s">
        <v>36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1:11" s="3" customFormat="1" ht="12.7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s="3" customFormat="1" ht="12.75">
      <c r="A22" s="26" t="s">
        <v>5</v>
      </c>
      <c r="B22" s="33" t="s">
        <v>0</v>
      </c>
      <c r="C22" s="15"/>
      <c r="D22" s="35" t="s">
        <v>6</v>
      </c>
      <c r="E22" s="35"/>
      <c r="F22" s="35"/>
      <c r="G22" s="35"/>
      <c r="H22" s="35"/>
      <c r="I22" s="35"/>
      <c r="J22" s="35"/>
      <c r="K22" s="31" t="s">
        <v>4</v>
      </c>
    </row>
    <row r="23" spans="1:11" s="3" customFormat="1" ht="12.75">
      <c r="A23" s="27"/>
      <c r="B23" s="34"/>
      <c r="C23" s="10"/>
      <c r="D23" s="4" t="s">
        <v>7</v>
      </c>
      <c r="E23" s="5" t="s">
        <v>8</v>
      </c>
      <c r="F23" s="5" t="s">
        <v>9</v>
      </c>
      <c r="G23" s="5" t="s">
        <v>10</v>
      </c>
      <c r="H23" s="5" t="s">
        <v>11</v>
      </c>
      <c r="I23" s="5" t="s">
        <v>12</v>
      </c>
      <c r="J23" s="5" t="s">
        <v>13</v>
      </c>
      <c r="K23" s="32"/>
    </row>
    <row r="24" spans="1:11" s="2" customFormat="1" ht="18.75">
      <c r="A24" s="16" t="s">
        <v>0</v>
      </c>
      <c r="B24" s="17">
        <f>SUM(B25:B33)</f>
        <v>1309</v>
      </c>
      <c r="C24" s="17"/>
      <c r="D24" s="17">
        <f t="shared" ref="D24:J24" si="2">SUM(D25:D33)</f>
        <v>54</v>
      </c>
      <c r="E24" s="17">
        <f t="shared" si="2"/>
        <v>223</v>
      </c>
      <c r="F24" s="17">
        <f t="shared" si="2"/>
        <v>95</v>
      </c>
      <c r="G24" s="17">
        <f t="shared" si="2"/>
        <v>269</v>
      </c>
      <c r="H24" s="17">
        <f t="shared" si="2"/>
        <v>402</v>
      </c>
      <c r="I24" s="17">
        <f t="shared" si="2"/>
        <v>102</v>
      </c>
      <c r="J24" s="17">
        <f t="shared" si="2"/>
        <v>164</v>
      </c>
      <c r="K24" s="12" t="s">
        <v>3</v>
      </c>
    </row>
    <row r="25" spans="1:11" s="11" customFormat="1" ht="18.75">
      <c r="A25" s="18" t="s">
        <v>16</v>
      </c>
      <c r="B25" s="6">
        <f t="shared" ref="B25:B33" si="3">SUM(D25:J25)</f>
        <v>351</v>
      </c>
      <c r="C25" s="6"/>
      <c r="D25" s="24">
        <v>47</v>
      </c>
      <c r="E25" s="24">
        <v>85</v>
      </c>
      <c r="F25" s="24">
        <v>32</v>
      </c>
      <c r="G25" s="24">
        <v>87</v>
      </c>
      <c r="H25" s="24">
        <v>74</v>
      </c>
      <c r="I25" s="24">
        <v>6</v>
      </c>
      <c r="J25" s="24">
        <v>20</v>
      </c>
      <c r="K25" s="19" t="s">
        <v>17</v>
      </c>
    </row>
    <row r="26" spans="1:11" s="11" customFormat="1" ht="18.75">
      <c r="A26" s="18" t="s">
        <v>14</v>
      </c>
      <c r="B26" s="6">
        <f t="shared" si="3"/>
        <v>316</v>
      </c>
      <c r="C26" s="6"/>
      <c r="D26" s="24">
        <v>6</v>
      </c>
      <c r="E26" s="24">
        <v>76</v>
      </c>
      <c r="F26" s="24">
        <v>30</v>
      </c>
      <c r="G26" s="24">
        <v>61</v>
      </c>
      <c r="H26" s="24">
        <v>87</v>
      </c>
      <c r="I26" s="24">
        <v>19</v>
      </c>
      <c r="J26" s="24">
        <v>37</v>
      </c>
      <c r="K26" s="19" t="s">
        <v>18</v>
      </c>
    </row>
    <row r="27" spans="1:11" s="11" customFormat="1" ht="18.75">
      <c r="A27" s="18" t="s">
        <v>15</v>
      </c>
      <c r="B27" s="6">
        <f t="shared" si="3"/>
        <v>358</v>
      </c>
      <c r="C27" s="6"/>
      <c r="D27" s="24">
        <v>0</v>
      </c>
      <c r="E27" s="24">
        <v>24</v>
      </c>
      <c r="F27" s="24">
        <v>17</v>
      </c>
      <c r="G27" s="24">
        <v>69</v>
      </c>
      <c r="H27" s="24">
        <v>141</v>
      </c>
      <c r="I27" s="24">
        <v>43</v>
      </c>
      <c r="J27" s="24">
        <v>64</v>
      </c>
      <c r="K27" s="19" t="s">
        <v>21</v>
      </c>
    </row>
    <row r="28" spans="1:11" s="11" customFormat="1" ht="18.75">
      <c r="A28" s="18" t="s">
        <v>19</v>
      </c>
      <c r="B28" s="6">
        <f t="shared" si="3"/>
        <v>113</v>
      </c>
      <c r="C28" s="6"/>
      <c r="D28" s="24">
        <v>0</v>
      </c>
      <c r="E28" s="24">
        <v>17</v>
      </c>
      <c r="F28" s="24">
        <v>9</v>
      </c>
      <c r="G28" s="24">
        <v>24</v>
      </c>
      <c r="H28" s="24">
        <v>39</v>
      </c>
      <c r="I28" s="24">
        <v>11</v>
      </c>
      <c r="J28" s="24">
        <v>13</v>
      </c>
      <c r="K28" s="19" t="s">
        <v>20</v>
      </c>
    </row>
    <row r="29" spans="1:11" s="11" customFormat="1" ht="18.75">
      <c r="A29" s="18" t="s">
        <v>22</v>
      </c>
      <c r="B29" s="6">
        <f t="shared" si="3"/>
        <v>31</v>
      </c>
      <c r="C29" s="6"/>
      <c r="D29" s="24">
        <v>0</v>
      </c>
      <c r="E29" s="24">
        <v>0</v>
      </c>
      <c r="F29" s="24">
        <v>2</v>
      </c>
      <c r="G29" s="24">
        <v>5</v>
      </c>
      <c r="H29" s="24">
        <v>18</v>
      </c>
      <c r="I29" s="24">
        <v>2</v>
      </c>
      <c r="J29" s="24">
        <v>4</v>
      </c>
      <c r="K29" s="19" t="s">
        <v>23</v>
      </c>
    </row>
    <row r="30" spans="1:11" s="11" customFormat="1" ht="18.75">
      <c r="A30" s="18" t="s">
        <v>24</v>
      </c>
      <c r="B30" s="6">
        <f t="shared" si="3"/>
        <v>27</v>
      </c>
      <c r="C30" s="20"/>
      <c r="D30" s="8">
        <v>0</v>
      </c>
      <c r="E30" s="8">
        <v>1</v>
      </c>
      <c r="F30" s="8">
        <v>0</v>
      </c>
      <c r="G30" s="8">
        <v>3</v>
      </c>
      <c r="H30" s="8">
        <v>9</v>
      </c>
      <c r="I30" s="8">
        <v>5</v>
      </c>
      <c r="J30" s="8">
        <v>9</v>
      </c>
      <c r="K30" s="19" t="s">
        <v>25</v>
      </c>
    </row>
    <row r="31" spans="1:11" s="11" customFormat="1" ht="31.5" customHeight="1">
      <c r="A31" s="18" t="s">
        <v>26</v>
      </c>
      <c r="B31" s="6">
        <f t="shared" si="3"/>
        <v>55</v>
      </c>
      <c r="C31" s="20"/>
      <c r="D31" s="8">
        <v>0</v>
      </c>
      <c r="E31" s="8">
        <v>17</v>
      </c>
      <c r="F31" s="8">
        <v>5</v>
      </c>
      <c r="G31" s="8">
        <v>9</v>
      </c>
      <c r="H31" s="8">
        <v>14</v>
      </c>
      <c r="I31" s="8">
        <v>6</v>
      </c>
      <c r="J31" s="8">
        <v>4</v>
      </c>
      <c r="K31" s="19" t="s">
        <v>27</v>
      </c>
    </row>
    <row r="32" spans="1:11" s="11" customFormat="1" ht="18.75" customHeight="1">
      <c r="A32" s="18" t="s">
        <v>28</v>
      </c>
      <c r="B32" s="6">
        <f t="shared" si="3"/>
        <v>19</v>
      </c>
      <c r="C32" s="20"/>
      <c r="D32" s="8">
        <v>0</v>
      </c>
      <c r="E32" s="8">
        <v>0</v>
      </c>
      <c r="F32" s="8">
        <v>0</v>
      </c>
      <c r="G32" s="8">
        <v>0</v>
      </c>
      <c r="H32" s="8">
        <v>5</v>
      </c>
      <c r="I32" s="8">
        <v>6</v>
      </c>
      <c r="J32" s="8">
        <v>8</v>
      </c>
      <c r="K32" s="19" t="s">
        <v>29</v>
      </c>
    </row>
    <row r="33" spans="1:11" s="11" customFormat="1" ht="18.75">
      <c r="A33" s="21" t="s">
        <v>1</v>
      </c>
      <c r="B33" s="7">
        <f t="shared" si="3"/>
        <v>39</v>
      </c>
      <c r="C33" s="7"/>
      <c r="D33" s="25">
        <v>1</v>
      </c>
      <c r="E33" s="25">
        <v>3</v>
      </c>
      <c r="F33" s="25">
        <v>0</v>
      </c>
      <c r="G33" s="25">
        <v>11</v>
      </c>
      <c r="H33" s="25">
        <v>15</v>
      </c>
      <c r="I33" s="25">
        <v>4</v>
      </c>
      <c r="J33" s="25">
        <v>5</v>
      </c>
      <c r="K33" s="22" t="s">
        <v>2</v>
      </c>
    </row>
    <row r="34" spans="1:11" s="3" customFormat="1" ht="24" customHeight="1">
      <c r="A34" s="30" t="s">
        <v>30</v>
      </c>
      <c r="B34" s="30"/>
      <c r="C34" s="30"/>
      <c r="D34" s="30"/>
      <c r="E34" s="30"/>
      <c r="F34" s="30"/>
      <c r="G34" s="30"/>
      <c r="H34" s="30"/>
      <c r="I34" s="13"/>
      <c r="J34" s="13"/>
      <c r="K34" s="13" t="s">
        <v>31</v>
      </c>
    </row>
    <row r="35" spans="1:11" s="11" customFormat="1" ht="18.75">
      <c r="A35" s="14" t="s">
        <v>32</v>
      </c>
      <c r="B35" s="3"/>
      <c r="C35" s="3"/>
      <c r="D35" s="3"/>
      <c r="E35" s="8"/>
      <c r="F35" s="8"/>
      <c r="G35" s="8"/>
      <c r="H35" s="8"/>
      <c r="I35" s="8"/>
      <c r="J35" s="8"/>
      <c r="K35" s="23"/>
    </row>
    <row r="36" spans="1:11" s="11" customFormat="1" ht="18.75">
      <c r="A36" s="14"/>
      <c r="B36" s="3"/>
      <c r="C36" s="3"/>
      <c r="D36" s="3"/>
      <c r="E36" s="8"/>
      <c r="F36" s="8"/>
      <c r="G36" s="8"/>
      <c r="H36" s="8"/>
      <c r="I36" s="8"/>
      <c r="J36" s="8"/>
      <c r="K36" s="23"/>
    </row>
  </sheetData>
  <mergeCells count="14">
    <mergeCell ref="A2:K2"/>
    <mergeCell ref="A3:K3"/>
    <mergeCell ref="A5:A6"/>
    <mergeCell ref="B5:B6"/>
    <mergeCell ref="D5:J5"/>
    <mergeCell ref="K5:K6"/>
    <mergeCell ref="A17:H17"/>
    <mergeCell ref="A19:K19"/>
    <mergeCell ref="A20:K20"/>
    <mergeCell ref="A22:A23"/>
    <mergeCell ref="B22:B23"/>
    <mergeCell ref="D22:J22"/>
    <mergeCell ref="K22:K23"/>
    <mergeCell ref="A34:H34"/>
  </mergeCells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8.62</vt:lpstr>
      <vt:lpstr>'8.62'!Print_Area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2023-05-16T14:23:10Z</dcterms:modified>
</cp:coreProperties>
</file>