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EB8B2319-88C5-4E41-A564-CBD6A8BA9032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2" sheetId="2" r:id="rId1"/>
  </sheets>
  <definedNames>
    <definedName name="_xlnm.Print_Area" localSheetId="0">'8.2'!$A$1:$U$65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2" l="1"/>
  <c r="S8" i="2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R16" i="2"/>
  <c r="S16" i="2"/>
  <c r="R17" i="2"/>
  <c r="S17" i="2"/>
  <c r="R18" i="2"/>
  <c r="S18" i="2"/>
  <c r="R20" i="2"/>
  <c r="S20" i="2"/>
  <c r="R21" i="2"/>
  <c r="S21" i="2"/>
  <c r="R22" i="2"/>
  <c r="S22" i="2"/>
  <c r="R23" i="2"/>
  <c r="S23" i="2"/>
  <c r="R24" i="2"/>
  <c r="S24" i="2"/>
  <c r="R25" i="2"/>
  <c r="S25" i="2"/>
  <c r="R26" i="2"/>
  <c r="S26" i="2"/>
  <c r="R27" i="2"/>
  <c r="S27" i="2"/>
  <c r="R28" i="2"/>
  <c r="S28" i="2"/>
  <c r="R29" i="2"/>
  <c r="S29" i="2"/>
  <c r="R30" i="2"/>
  <c r="S30" i="2"/>
  <c r="N30" i="2"/>
  <c r="N29" i="2"/>
  <c r="N28" i="2"/>
  <c r="N27" i="2"/>
  <c r="N26" i="2"/>
  <c r="N25" i="2"/>
  <c r="N24" i="2"/>
  <c r="N23" i="2"/>
  <c r="N22" i="2"/>
  <c r="N21" i="2"/>
  <c r="N20" i="2"/>
  <c r="P7" i="2"/>
  <c r="O7" i="2"/>
  <c r="N19" i="2"/>
  <c r="N18" i="2"/>
  <c r="N17" i="2"/>
  <c r="N16" i="2"/>
  <c r="N15" i="2"/>
  <c r="N14" i="2"/>
  <c r="N13" i="2"/>
  <c r="N12" i="2"/>
  <c r="N11" i="2"/>
  <c r="N10" i="2"/>
  <c r="N9" i="2"/>
  <c r="N8" i="2"/>
  <c r="N7" i="2" l="1"/>
  <c r="M19" i="2" l="1"/>
  <c r="S19" i="2" s="1"/>
  <c r="L19" i="2"/>
  <c r="K30" i="2"/>
  <c r="Q30" i="2" s="1"/>
  <c r="K29" i="2"/>
  <c r="Q29" i="2" s="1"/>
  <c r="K28" i="2"/>
  <c r="Q28" i="2" s="1"/>
  <c r="K27" i="2"/>
  <c r="Q27" i="2" s="1"/>
  <c r="K26" i="2"/>
  <c r="Q26" i="2" s="1"/>
  <c r="K25" i="2"/>
  <c r="Q25" i="2" s="1"/>
  <c r="K24" i="2"/>
  <c r="Q24" i="2" s="1"/>
  <c r="K23" i="2"/>
  <c r="Q23" i="2" s="1"/>
  <c r="K22" i="2"/>
  <c r="Q22" i="2" s="1"/>
  <c r="K21" i="2"/>
  <c r="Q21" i="2" s="1"/>
  <c r="K20" i="2"/>
  <c r="Q20" i="2" s="1"/>
  <c r="K18" i="2"/>
  <c r="Q18" i="2" s="1"/>
  <c r="K17" i="2"/>
  <c r="Q17" i="2" s="1"/>
  <c r="K16" i="2"/>
  <c r="Q16" i="2" s="1"/>
  <c r="K15" i="2"/>
  <c r="Q15" i="2" s="1"/>
  <c r="K14" i="2"/>
  <c r="Q14" i="2" s="1"/>
  <c r="K13" i="2"/>
  <c r="Q13" i="2" s="1"/>
  <c r="K12" i="2"/>
  <c r="Q12" i="2" s="1"/>
  <c r="K11" i="2"/>
  <c r="Q11" i="2" s="1"/>
  <c r="K10" i="2"/>
  <c r="Q10" i="2" s="1"/>
  <c r="K9" i="2"/>
  <c r="Q9" i="2" s="1"/>
  <c r="K8" i="2"/>
  <c r="Q8" i="2" s="1"/>
  <c r="M7" i="2"/>
  <c r="S7" i="2" s="1"/>
  <c r="L7" i="2" l="1"/>
  <c r="R7" i="2" s="1"/>
  <c r="R19" i="2"/>
  <c r="K19" i="2"/>
  <c r="Q19" i="2" s="1"/>
  <c r="K7" i="2" l="1"/>
  <c r="Q7" i="2" s="1"/>
  <c r="H30" i="2" l="1"/>
  <c r="H29" i="2"/>
  <c r="H28" i="2"/>
  <c r="H27" i="2"/>
  <c r="H26" i="2"/>
  <c r="H25" i="2"/>
  <c r="H24" i="2"/>
  <c r="H23" i="2"/>
  <c r="H22" i="2"/>
  <c r="H21" i="2"/>
  <c r="H20" i="2"/>
  <c r="H18" i="2"/>
  <c r="H17" i="2"/>
  <c r="H16" i="2"/>
  <c r="H15" i="2"/>
  <c r="H14" i="2"/>
  <c r="H13" i="2"/>
  <c r="H12" i="2"/>
  <c r="H11" i="2"/>
  <c r="H10" i="2"/>
  <c r="H9" i="2"/>
  <c r="H8" i="2"/>
  <c r="J7" i="2"/>
  <c r="H19" i="2" l="1"/>
  <c r="I7" i="2"/>
  <c r="H7" i="2" l="1"/>
  <c r="E30" i="2" l="1"/>
  <c r="B30" i="2"/>
  <c r="E29" i="2"/>
  <c r="B29" i="2"/>
  <c r="E28" i="2"/>
  <c r="B28" i="2"/>
  <c r="E27" i="2"/>
  <c r="B27" i="2"/>
  <c r="E26" i="2"/>
  <c r="B26" i="2"/>
  <c r="E25" i="2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G7" i="2"/>
  <c r="F7" i="2"/>
  <c r="D7" i="2"/>
  <c r="C7" i="2"/>
  <c r="B7" i="2" l="1"/>
  <c r="E7" i="2"/>
</calcChain>
</file>

<file path=xl/sharedStrings.xml><?xml version="1.0" encoding="utf-8"?>
<sst xmlns="http://schemas.openxmlformats.org/spreadsheetml/2006/main" count="92" uniqueCount="60">
  <si>
    <t>ހުށަހެޅިފައިވާ މައްސަލަތައް</t>
  </si>
  <si>
    <t>Theft</t>
  </si>
  <si>
    <t>Total</t>
  </si>
  <si>
    <t>wlcmuj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</si>
  <si>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</si>
  <si>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</si>
  <si>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</si>
  <si>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</si>
  <si>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</si>
  <si>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</si>
  <si>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</si>
  <si>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</si>
  <si>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</si>
  <si>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</si>
  <si>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</si>
  <si>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</si>
  <si>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</si>
  <si>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</si>
  <si>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</si>
  <si>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</si>
  <si>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</si>
  <si>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</si>
  <si>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</si>
  <si>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ވަގުފައިސާ އަދި ފޯރޖްކުރުން</t>
  </si>
  <si>
    <t>އެހެނިހެން</t>
  </si>
  <si>
    <t>Arson</t>
  </si>
  <si>
    <t>ހުޅުޖެހުން</t>
  </si>
  <si>
    <t>Lost items</t>
  </si>
  <si>
    <t>އަމިއްލައަށް މަރުވާން އުޅުން</t>
  </si>
  <si>
    <t>Source: Maldives Police Service</t>
  </si>
  <si>
    <t>csivrws csilop cscviDclOm :Ivcaed utWmUluAwm</t>
  </si>
  <si>
    <t>Type of case</t>
  </si>
  <si>
    <t>ކުރީ އަހަރާއި  އަޅާ ބަލާއިރު އިތުރުވި މިންވަރު</t>
  </si>
  <si>
    <t>ރާއްޖެ</t>
  </si>
  <si>
    <t>މާލެ</t>
  </si>
  <si>
    <t>އަތޮޅުތައް</t>
  </si>
  <si>
    <t>Republic</t>
  </si>
  <si>
    <t>Male'</t>
  </si>
  <si>
    <t>Atolls</t>
  </si>
  <si>
    <t>ޓްރެފިކް އެކްސިޑެންޓްސް</t>
  </si>
  <si>
    <t>Threatening</t>
  </si>
  <si>
    <t xml:space="preserve">  ބިރުދެއްކުން</t>
  </si>
  <si>
    <t>Fire incidents</t>
  </si>
  <si>
    <t xml:space="preserve">  އަލިފާނުގެ ހާދިސާ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</si>
  <si>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</si>
  <si>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</si>
  <si>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</si>
  <si>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</si>
  <si>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</si>
  <si>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</si>
  <si>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</si>
  <si>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</si>
  <si>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</si>
  <si>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</si>
  <si>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</si>
  <si>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Unlawful posession of weapons</t>
  </si>
  <si>
    <t>ހަތިޔާރު ގެންގުޅުން</t>
  </si>
  <si>
    <t>% change over 2020</t>
  </si>
  <si>
    <t>TABLE 8.2  : NUMBER OF  LOGGED CASES BY  LOCALITY &amp; TYPE OF CASES, 2017 - 2021</t>
  </si>
  <si>
    <t>ތާވަލު 8.2: މާލެ އަދި އަތޮޅުތަކުން ހުށަހެޅިފައިވާ މައްސަލަތަކުގެ ޢަދަދު އަދި ބާވަތް، 2017- 2021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</si>
</sst>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i/>
      <sz val="10"/>
      <name val="Calibri"/>
      <family val="2"/>
      <scheme val="minor"/>
    </font>
    <font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167" fontId="22" fillId="0" borderId="0"/>
    <xf numFmtId="0" fontId="27" fillId="0" borderId="14" applyNumberFormat="0" applyFill="0" applyAlignment="0" applyProtection="0"/>
    <xf numFmtId="0" fontId="26" fillId="0" borderId="0"/>
    <xf numFmtId="0" fontId="26" fillId="0" borderId="0"/>
  </cellStyleXfs>
  <cellXfs count="74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5" fillId="2" borderId="0" xfId="0" applyNumberFormat="1" applyFont="1" applyFill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horizontal="right" vertical="center"/>
    </xf>
    <xf numFmtId="167" fontId="17" fillId="2" borderId="0" xfId="1" applyNumberFormat="1" applyFont="1" applyFill="1" applyBorder="1" applyAlignment="1">
      <alignment horizontal="right"/>
    </xf>
    <xf numFmtId="164" fontId="20" fillId="2" borderId="3" xfId="0" applyNumberFormat="1" applyFont="1" applyFill="1" applyBorder="1" applyAlignment="1">
      <alignment horizontal="right" vertical="center" wrapText="1"/>
    </xf>
    <xf numFmtId="164" fontId="20" fillId="2" borderId="6" xfId="0" applyNumberFormat="1" applyFont="1" applyFill="1" applyBorder="1" applyAlignment="1">
      <alignment horizontal="right" vertical="center" wrapText="1"/>
    </xf>
    <xf numFmtId="164" fontId="20" fillId="2" borderId="7" xfId="0" applyNumberFormat="1" applyFont="1" applyFill="1" applyBorder="1" applyAlignment="1">
      <alignment horizontal="right" vertical="center" wrapText="1"/>
    </xf>
    <xf numFmtId="164" fontId="5" fillId="2" borderId="8" xfId="0" applyNumberFormat="1" applyFont="1" applyFill="1" applyBorder="1" applyAlignment="1">
      <alignment horizontal="right" vertical="center" wrapText="1"/>
    </xf>
    <xf numFmtId="164" fontId="5" fillId="2" borderId="9" xfId="0" applyNumberFormat="1" applyFont="1" applyFill="1" applyBorder="1" applyAlignment="1">
      <alignment horizontal="right" vertical="center" wrapText="1"/>
    </xf>
    <xf numFmtId="166" fontId="5" fillId="2" borderId="0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center" vertical="center"/>
    </xf>
    <xf numFmtId="164" fontId="23" fillId="2" borderId="0" xfId="0" applyNumberFormat="1" applyFont="1" applyFill="1"/>
    <xf numFmtId="166" fontId="6" fillId="2" borderId="0" xfId="3" applyFont="1" applyFill="1" applyBorder="1" applyAlignment="1">
      <alignment horizontal="center" vertical="center"/>
    </xf>
    <xf numFmtId="166" fontId="13" fillId="2" borderId="0" xfId="3" applyFont="1" applyFill="1" applyBorder="1" applyAlignment="1">
      <alignment horizontal="center" vertical="center"/>
    </xf>
    <xf numFmtId="166" fontId="12" fillId="2" borderId="0" xfId="3" applyFont="1" applyFill="1" applyBorder="1" applyAlignment="1">
      <alignment horizontal="center" vertical="center"/>
    </xf>
    <xf numFmtId="166" fontId="12" fillId="2" borderId="11" xfId="3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horizontal="right" vertical="center" indent="1"/>
    </xf>
    <xf numFmtId="164" fontId="10" fillId="2" borderId="0" xfId="0" applyNumberFormat="1" applyFont="1" applyFill="1" applyAlignment="1">
      <alignment horizontal="right" vertical="center" wrapText="1"/>
    </xf>
    <xf numFmtId="164" fontId="24" fillId="2" borderId="4" xfId="0" applyNumberFormat="1" applyFont="1" applyFill="1" applyBorder="1" applyAlignment="1">
      <alignment horizontal="left" vertical="center" indent="1"/>
    </xf>
    <xf numFmtId="166" fontId="12" fillId="2" borderId="4" xfId="3" applyFont="1" applyFill="1" applyBorder="1" applyAlignment="1">
      <alignment horizontal="center" vertical="center"/>
    </xf>
    <xf numFmtId="166" fontId="12" fillId="2" borderId="8" xfId="3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right" vertical="center" indent="1"/>
    </xf>
    <xf numFmtId="164" fontId="16" fillId="2" borderId="0" xfId="0" applyNumberFormat="1" applyFont="1" applyFill="1"/>
    <xf numFmtId="164" fontId="18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13" fillId="2" borderId="0" xfId="0" applyNumberFormat="1" applyFont="1" applyFill="1"/>
    <xf numFmtId="164" fontId="25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vertical="center"/>
    </xf>
    <xf numFmtId="3" fontId="5" fillId="2" borderId="12" xfId="3" applyNumberFormat="1" applyFont="1" applyFill="1" applyBorder="1" applyAlignment="1">
      <alignment horizontal="right" vertical="center"/>
    </xf>
    <xf numFmtId="3" fontId="12" fillId="2" borderId="0" xfId="3" applyNumberFormat="1" applyFont="1" applyFill="1" applyBorder="1" applyAlignment="1">
      <alignment horizontal="right" vertical="center"/>
    </xf>
    <xf numFmtId="3" fontId="12" fillId="2" borderId="11" xfId="3" applyNumberFormat="1" applyFont="1" applyFill="1" applyBorder="1" applyAlignment="1">
      <alignment horizontal="right" vertical="center"/>
    </xf>
    <xf numFmtId="3" fontId="5" fillId="2" borderId="9" xfId="3" applyNumberFormat="1" applyFont="1" applyFill="1" applyBorder="1" applyAlignment="1">
      <alignment horizontal="right" vertical="center"/>
    </xf>
    <xf numFmtId="3" fontId="12" fillId="2" borderId="4" xfId="3" applyNumberFormat="1" applyFont="1" applyFill="1" applyBorder="1" applyAlignment="1">
      <alignment horizontal="right" vertical="center"/>
    </xf>
    <xf numFmtId="3" fontId="12" fillId="2" borderId="8" xfId="3" applyNumberFormat="1" applyFont="1" applyFill="1" applyBorder="1" applyAlignment="1">
      <alignment horizontal="right" vertical="center"/>
    </xf>
    <xf numFmtId="164" fontId="12" fillId="2" borderId="4" xfId="0" applyNumberFormat="1" applyFont="1" applyFill="1" applyBorder="1" applyAlignment="1">
      <alignment vertical="center"/>
    </xf>
    <xf numFmtId="164" fontId="10" fillId="2" borderId="4" xfId="0" applyNumberFormat="1" applyFont="1" applyFill="1" applyBorder="1" applyAlignment="1">
      <alignment horizontal="right" vertical="center"/>
    </xf>
    <xf numFmtId="165" fontId="14" fillId="2" borderId="0" xfId="4" applyNumberFormat="1" applyFont="1" applyFill="1" applyBorder="1" applyAlignment="1" applyProtection="1">
      <alignment horizontal="right" vertical="center"/>
      <protection locked="0"/>
    </xf>
    <xf numFmtId="165" fontId="14" fillId="2" borderId="4" xfId="4" applyNumberFormat="1" applyFont="1" applyFill="1" applyBorder="1" applyAlignment="1" applyProtection="1">
      <alignment horizontal="right" vertical="center"/>
      <protection locked="0"/>
    </xf>
    <xf numFmtId="164" fontId="28" fillId="2" borderId="13" xfId="0" applyNumberFormat="1" applyFont="1" applyFill="1" applyBorder="1" applyAlignment="1">
      <alignment horizontal="right"/>
    </xf>
    <xf numFmtId="164" fontId="29" fillId="2" borderId="10" xfId="0" applyNumberFormat="1" applyFont="1" applyFill="1" applyBorder="1" applyAlignment="1">
      <alignment horizontal="right" vertical="center"/>
    </xf>
    <xf numFmtId="164" fontId="5" fillId="2" borderId="4" xfId="0" applyNumberFormat="1" applyFont="1" applyFill="1" applyBorder="1" applyAlignment="1">
      <alignment horizontal="right" vertical="center" wrapText="1"/>
    </xf>
    <xf numFmtId="164" fontId="20" fillId="2" borderId="16" xfId="0" applyNumberFormat="1" applyFont="1" applyFill="1" applyBorder="1" applyAlignment="1">
      <alignment horizontal="right" vertical="center" wrapText="1"/>
    </xf>
    <xf numFmtId="166" fontId="5" fillId="2" borderId="11" xfId="3" applyFont="1" applyFill="1" applyBorder="1" applyAlignment="1">
      <alignment horizontal="center" vertical="center"/>
    </xf>
    <xf numFmtId="166" fontId="12" fillId="3" borderId="0" xfId="3" applyFont="1" applyFill="1" applyBorder="1" applyAlignment="1">
      <alignment horizontal="center" vertical="center"/>
    </xf>
    <xf numFmtId="166" fontId="12" fillId="3" borderId="11" xfId="3" applyFont="1" applyFill="1" applyBorder="1" applyAlignment="1">
      <alignment horizontal="center" vertical="center"/>
    </xf>
    <xf numFmtId="3" fontId="12" fillId="3" borderId="0" xfId="3" applyNumberFormat="1" applyFont="1" applyFill="1" applyBorder="1" applyAlignment="1">
      <alignment horizontal="right" vertical="center"/>
    </xf>
    <xf numFmtId="166" fontId="12" fillId="3" borderId="4" xfId="3" applyFont="1" applyFill="1" applyBorder="1" applyAlignment="1">
      <alignment horizontal="center" vertical="center"/>
    </xf>
    <xf numFmtId="166" fontId="12" fillId="3" borderId="8" xfId="3" applyFont="1" applyFill="1" applyBorder="1" applyAlignment="1">
      <alignment horizontal="center" vertical="center"/>
    </xf>
    <xf numFmtId="165" fontId="14" fillId="2" borderId="9" xfId="4" applyNumberFormat="1" applyFont="1" applyFill="1" applyBorder="1" applyAlignment="1" applyProtection="1">
      <alignment horizontal="right" vertical="center"/>
      <protection locked="0"/>
    </xf>
    <xf numFmtId="164" fontId="8" fillId="2" borderId="3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15" xfId="0" applyNumberFormat="1" applyFont="1" applyFill="1" applyBorder="1" applyAlignment="1">
      <alignment horizontal="center" vertical="top"/>
    </xf>
    <xf numFmtId="164" fontId="3" fillId="2" borderId="17" xfId="0" applyNumberFormat="1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8" fillId="2" borderId="0" xfId="0" applyNumberFormat="1" applyFont="1" applyFill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164" fontId="19" fillId="2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7" fillId="2" borderId="16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 vertical="center" wrapText="1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Heading 1 2" xfId="6" xr:uid="{00000000-0005-0000-0000-000003000000}"/>
    <cellStyle name="Hyperlink" xfId="2" builtinId="8"/>
    <cellStyle name="Normal" xfId="0" builtinId="0"/>
    <cellStyle name="Normal 2" xfId="7" xr:uid="{00000000-0005-0000-0000-000006000000}"/>
    <cellStyle name="Normal 3" xfId="5" xr:uid="{00000000-0005-0000-0000-000007000000}"/>
    <cellStyle name="Percent 2" xfId="4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54202331622758E-2"/>
          <c:y val="0.1784770735971532"/>
          <c:w val="0.89173231707112144"/>
          <c:h val="0.52151224989159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'8.2'!$L$6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'8.2'!$O$8:$O$19</c:f>
              <c:numCache>
                <c:formatCode>_-* #,##0_-;\-* #,##0_-;_-* "-"??_-;_-@_-</c:formatCode>
                <c:ptCount val="12"/>
                <c:pt idx="0">
                  <c:v>3841</c:v>
                </c:pt>
                <c:pt idx="1">
                  <c:v>1426</c:v>
                </c:pt>
                <c:pt idx="2">
                  <c:v>864</c:v>
                </c:pt>
                <c:pt idx="3">
                  <c:v>722</c:v>
                </c:pt>
                <c:pt idx="4">
                  <c:v>312</c:v>
                </c:pt>
                <c:pt idx="5">
                  <c:v>327</c:v>
                </c:pt>
                <c:pt idx="6">
                  <c:v>345</c:v>
                </c:pt>
                <c:pt idx="7">
                  <c:v>116</c:v>
                </c:pt>
                <c:pt idx="8">
                  <c:v>703</c:v>
                </c:pt>
                <c:pt idx="9">
                  <c:v>139</c:v>
                </c:pt>
                <c:pt idx="10">
                  <c:v>132</c:v>
                </c:pt>
                <c:pt idx="11">
                  <c:v>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970-B6B5-D76371007392}"/>
            </c:ext>
          </c:extLst>
        </c:ser>
        <c:ser>
          <c:idx val="1"/>
          <c:order val="1"/>
          <c:tx>
            <c:strRef>
              <c:f>'8.2'!$P$6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F6969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'8.2'!$P$8:$P$19</c:f>
              <c:numCache>
                <c:formatCode>_-* #,##0_-;\-* #,##0_-;_-* "-"??_-;_-@_-</c:formatCode>
                <c:ptCount val="12"/>
                <c:pt idx="0">
                  <c:v>821</c:v>
                </c:pt>
                <c:pt idx="1">
                  <c:v>127</c:v>
                </c:pt>
                <c:pt idx="2">
                  <c:v>576</c:v>
                </c:pt>
                <c:pt idx="3">
                  <c:v>252</c:v>
                </c:pt>
                <c:pt idx="4">
                  <c:v>298</c:v>
                </c:pt>
                <c:pt idx="5">
                  <c:v>176</c:v>
                </c:pt>
                <c:pt idx="6">
                  <c:v>32</c:v>
                </c:pt>
                <c:pt idx="7">
                  <c:v>226</c:v>
                </c:pt>
                <c:pt idx="8">
                  <c:v>284</c:v>
                </c:pt>
                <c:pt idx="9">
                  <c:v>128</c:v>
                </c:pt>
                <c:pt idx="10">
                  <c:v>18</c:v>
                </c:pt>
                <c:pt idx="11">
                  <c:v>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C-4970-B6B5-D7637100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403490688"/>
        <c:axId val="403492224"/>
      </c:barChart>
      <c:catAx>
        <c:axId val="403490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03492224"/>
        <c:crosses val="autoZero"/>
        <c:auto val="1"/>
        <c:lblAlgn val="ctr"/>
        <c:lblOffset val="100"/>
        <c:noMultiLvlLbl val="0"/>
      </c:catAx>
      <c:valAx>
        <c:axId val="403492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490688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18600515524547906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rgbClr val="FF6969"/>
            </a:solidFill>
          </c:spPr>
          <c:explosion val="3"/>
          <c:dPt>
            <c:idx val="1"/>
            <c:bubble3D val="0"/>
            <c:spPr>
              <a:solidFill>
                <a:srgbClr val="FFC5C5"/>
              </a:solidFill>
            </c:spPr>
            <c:extLst>
              <c:ext xmlns:c16="http://schemas.microsoft.com/office/drawing/2014/chart" uri="{C3380CC4-5D6E-409C-BE32-E72D297353CC}">
                <c16:uniqueId val="{00000000-65F6-4A19-8DB7-8EEA4C237A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'8.2'!$O$6:$P$6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'8.2'!$O$7:$P$7</c:f>
              <c:numCache>
                <c:formatCode>_-* #,##0_-;\-* #,##0_-;_-* "-"??_-;_-@_-</c:formatCode>
                <c:ptCount val="2"/>
                <c:pt idx="0">
                  <c:v>10188</c:v>
                </c:pt>
                <c:pt idx="1">
                  <c:v>3955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3-4BA7-AE15-317750693BE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76201</xdr:rowOff>
    </xdr:from>
    <xdr:to>
      <xdr:col>13</xdr:col>
      <xdr:colOff>228601</xdr:colOff>
      <xdr:row>47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48</xdr:row>
      <xdr:rowOff>129893</xdr:rowOff>
    </xdr:from>
    <xdr:to>
      <xdr:col>13</xdr:col>
      <xdr:colOff>257175</xdr:colOff>
      <xdr:row>63</xdr:row>
      <xdr:rowOff>190234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533400</xdr:colOff>
      <xdr:row>32</xdr:row>
      <xdr:rowOff>96981</xdr:rowOff>
    </xdr:from>
    <xdr:to>
      <xdr:col>12</xdr:col>
      <xdr:colOff>257175</xdr:colOff>
      <xdr:row>33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924175" y="7793181"/>
          <a:ext cx="5819775" cy="23639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2021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447675</xdr:colOff>
      <xdr:row>49</xdr:row>
      <xdr:rowOff>82218</xdr:rowOff>
    </xdr:from>
    <xdr:to>
      <xdr:col>12</xdr:col>
      <xdr:colOff>400050</xdr:colOff>
      <xdr:row>50</xdr:row>
      <xdr:rowOff>133852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838450" y="11045493"/>
          <a:ext cx="6048375" cy="242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2021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A1:AD41"/>
  <sheetViews>
    <sheetView tabSelected="1" zoomScale="87" zoomScaleNormal="87" workbookViewId="0">
      <selection activeCell="Q7" sqref="Q7"/>
    </sheetView>
  </sheetViews>
  <sheetFormatPr defaultColWidth="9.140625" defaultRowHeight="15"/>
  <cols>
    <col min="1" max="1" width="26.7109375" style="1" customWidth="1"/>
    <col min="2" max="16" width="9.140625" style="1" customWidth="1"/>
    <col min="17" max="18" width="9.42578125" style="1" customWidth="1"/>
    <col min="19" max="19" width="9.28515625" style="1" customWidth="1"/>
    <col min="20" max="20" width="35.140625" style="1" customWidth="1"/>
    <col min="21" max="21" width="3.28515625" style="1" customWidth="1"/>
    <col min="22" max="22" width="9.140625" style="1"/>
    <col min="23" max="23" width="22.140625" style="1" bestFit="1" customWidth="1"/>
    <col min="24" max="16384" width="9.140625" style="1"/>
  </cols>
  <sheetData>
    <row r="1" spans="1:30" ht="21">
      <c r="A1" s="63" t="s">
        <v>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30" ht="21.75" customHeight="1">
      <c r="A2" s="55" t="s">
        <v>58</v>
      </c>
      <c r="B2" s="55"/>
      <c r="C2" s="55"/>
      <c r="D2" s="55"/>
      <c r="E2" s="55"/>
      <c r="F2" s="55"/>
      <c r="G2" s="55"/>
      <c r="H2" s="56"/>
      <c r="I2" s="56"/>
      <c r="J2" s="56"/>
      <c r="K2" s="56"/>
      <c r="L2" s="56"/>
      <c r="M2" s="56"/>
      <c r="N2" s="57"/>
      <c r="O2" s="57"/>
      <c r="P2" s="57"/>
      <c r="Q2" s="55"/>
      <c r="R2" s="55"/>
      <c r="S2" s="55"/>
      <c r="T2" s="55"/>
      <c r="W2" s="2"/>
    </row>
    <row r="3" spans="1:30" ht="17.25" customHeight="1">
      <c r="A3" s="58" t="s">
        <v>31</v>
      </c>
      <c r="B3" s="65">
        <v>2017</v>
      </c>
      <c r="C3" s="66"/>
      <c r="D3" s="67"/>
      <c r="E3" s="65">
        <v>2018</v>
      </c>
      <c r="F3" s="66"/>
      <c r="G3" s="67"/>
      <c r="H3" s="65">
        <v>2019</v>
      </c>
      <c r="I3" s="66"/>
      <c r="J3" s="67"/>
      <c r="K3" s="65">
        <v>2020</v>
      </c>
      <c r="L3" s="73"/>
      <c r="M3" s="67"/>
      <c r="N3" s="65">
        <v>2021</v>
      </c>
      <c r="O3" s="73"/>
      <c r="P3" s="67"/>
      <c r="Q3" s="71" t="s">
        <v>32</v>
      </c>
      <c r="R3" s="72"/>
      <c r="S3" s="72"/>
      <c r="T3" s="54" t="s">
        <v>0</v>
      </c>
    </row>
    <row r="4" spans="1:30" ht="16.5" customHeight="1">
      <c r="A4" s="64"/>
      <c r="B4" s="68"/>
      <c r="C4" s="69"/>
      <c r="D4" s="70"/>
      <c r="E4" s="68"/>
      <c r="F4" s="69"/>
      <c r="G4" s="70"/>
      <c r="H4" s="68"/>
      <c r="I4" s="69"/>
      <c r="J4" s="70"/>
      <c r="K4" s="68"/>
      <c r="L4" s="69"/>
      <c r="M4" s="70"/>
      <c r="N4" s="68"/>
      <c r="O4" s="69"/>
      <c r="P4" s="70"/>
      <c r="Q4" s="62" t="s">
        <v>57</v>
      </c>
      <c r="R4" s="62"/>
      <c r="S4" s="62"/>
      <c r="T4" s="60"/>
      <c r="W4" s="3"/>
      <c r="X4" s="3"/>
      <c r="Y4" s="3"/>
      <c r="Z4" s="3"/>
      <c r="AA4" s="3"/>
      <c r="AB4" s="3"/>
    </row>
    <row r="5" spans="1:30" ht="18.75">
      <c r="A5" s="64"/>
      <c r="B5" s="10" t="s">
        <v>33</v>
      </c>
      <c r="C5" s="8" t="s">
        <v>34</v>
      </c>
      <c r="D5" s="9" t="s">
        <v>35</v>
      </c>
      <c r="E5" s="10" t="s">
        <v>33</v>
      </c>
      <c r="F5" s="8" t="s">
        <v>34</v>
      </c>
      <c r="G5" s="9" t="s">
        <v>35</v>
      </c>
      <c r="H5" s="10" t="s">
        <v>33</v>
      </c>
      <c r="I5" s="8" t="s">
        <v>34</v>
      </c>
      <c r="J5" s="9" t="s">
        <v>35</v>
      </c>
      <c r="K5" s="10" t="s">
        <v>33</v>
      </c>
      <c r="L5" s="46" t="s">
        <v>34</v>
      </c>
      <c r="M5" s="9" t="s">
        <v>35</v>
      </c>
      <c r="N5" s="10" t="s">
        <v>33</v>
      </c>
      <c r="O5" s="46" t="s">
        <v>34</v>
      </c>
      <c r="P5" s="9" t="s">
        <v>35</v>
      </c>
      <c r="Q5" s="46" t="s">
        <v>33</v>
      </c>
      <c r="R5" s="8" t="s">
        <v>34</v>
      </c>
      <c r="S5" s="8" t="s">
        <v>35</v>
      </c>
      <c r="T5" s="60"/>
      <c r="W5" s="3"/>
      <c r="X5" s="3"/>
      <c r="Y5" s="3"/>
      <c r="Z5" s="3"/>
      <c r="AA5" s="3"/>
      <c r="AB5" s="3"/>
    </row>
    <row r="6" spans="1:30" ht="13.5" customHeight="1">
      <c r="A6" s="59"/>
      <c r="B6" s="12" t="s">
        <v>36</v>
      </c>
      <c r="C6" s="45" t="s">
        <v>37</v>
      </c>
      <c r="D6" s="11" t="s">
        <v>38</v>
      </c>
      <c r="E6" s="12" t="s">
        <v>36</v>
      </c>
      <c r="F6" s="45" t="s">
        <v>37</v>
      </c>
      <c r="G6" s="11" t="s">
        <v>38</v>
      </c>
      <c r="H6" s="12" t="s">
        <v>36</v>
      </c>
      <c r="I6" s="45" t="s">
        <v>37</v>
      </c>
      <c r="J6" s="11" t="s">
        <v>38</v>
      </c>
      <c r="K6" s="12" t="s">
        <v>36</v>
      </c>
      <c r="L6" s="45" t="s">
        <v>37</v>
      </c>
      <c r="M6" s="11" t="s">
        <v>38</v>
      </c>
      <c r="N6" s="12" t="s">
        <v>36</v>
      </c>
      <c r="O6" s="45" t="s">
        <v>37</v>
      </c>
      <c r="P6" s="11" t="s">
        <v>38</v>
      </c>
      <c r="Q6" s="45" t="s">
        <v>36</v>
      </c>
      <c r="R6" s="45" t="s">
        <v>37</v>
      </c>
      <c r="S6" s="45" t="s">
        <v>38</v>
      </c>
      <c r="T6" s="61"/>
      <c r="W6" s="3"/>
      <c r="X6" s="3"/>
      <c r="Y6" s="3"/>
      <c r="Z6" s="3"/>
      <c r="AA6" s="3"/>
      <c r="AB6" s="3"/>
    </row>
    <row r="7" spans="1:30" s="15" customFormat="1" ht="15.75">
      <c r="A7" s="4" t="s">
        <v>2</v>
      </c>
      <c r="B7" s="14">
        <f t="shared" ref="B7:P7" si="0">SUM(B8:B19)</f>
        <v>15535</v>
      </c>
      <c r="C7" s="13">
        <f t="shared" si="0"/>
        <v>10930</v>
      </c>
      <c r="D7" s="13">
        <f t="shared" si="0"/>
        <v>4605</v>
      </c>
      <c r="E7" s="14">
        <f t="shared" si="0"/>
        <v>14811</v>
      </c>
      <c r="F7" s="13">
        <f t="shared" si="0"/>
        <v>10203</v>
      </c>
      <c r="G7" s="13">
        <f t="shared" si="0"/>
        <v>4608</v>
      </c>
      <c r="H7" s="14">
        <f t="shared" si="0"/>
        <v>16480</v>
      </c>
      <c r="I7" s="13">
        <f t="shared" si="0"/>
        <v>11459</v>
      </c>
      <c r="J7" s="13">
        <f t="shared" si="0"/>
        <v>5021</v>
      </c>
      <c r="K7" s="14">
        <f t="shared" si="0"/>
        <v>12787</v>
      </c>
      <c r="L7" s="13">
        <f t="shared" si="0"/>
        <v>7852</v>
      </c>
      <c r="M7" s="47">
        <f t="shared" si="0"/>
        <v>4935</v>
      </c>
      <c r="N7" s="14">
        <f t="shared" si="0"/>
        <v>14143</v>
      </c>
      <c r="O7" s="13">
        <f t="shared" si="0"/>
        <v>10188</v>
      </c>
      <c r="P7" s="47">
        <f t="shared" si="0"/>
        <v>3955</v>
      </c>
      <c r="Q7" s="41">
        <f>(N7-K7)/K7*100</f>
        <v>10.604520215844216</v>
      </c>
      <c r="R7" s="41">
        <f>(O7-L7)/L7*100</f>
        <v>29.750382068262866</v>
      </c>
      <c r="S7" s="41">
        <f>(P7-M7)/M7*100</f>
        <v>-19.858156028368796</v>
      </c>
      <c r="T7" s="44" t="s">
        <v>3</v>
      </c>
      <c r="V7" s="16"/>
      <c r="W7" s="17"/>
      <c r="X7" s="17"/>
      <c r="Y7" s="16"/>
      <c r="Z7" s="17"/>
      <c r="AA7" s="17"/>
      <c r="AB7" s="4"/>
      <c r="AC7" s="4"/>
      <c r="AD7" s="4"/>
    </row>
    <row r="8" spans="1:30" ht="18.75">
      <c r="A8" s="32" t="s">
        <v>1</v>
      </c>
      <c r="B8" s="33">
        <f>SUM(C8:D8)</f>
        <v>3503</v>
      </c>
      <c r="C8" s="34">
        <v>2509</v>
      </c>
      <c r="D8" s="35">
        <v>994</v>
      </c>
      <c r="E8" s="33">
        <f>SUM(F8:G8)</f>
        <v>3270</v>
      </c>
      <c r="F8" s="34">
        <v>2141</v>
      </c>
      <c r="G8" s="35">
        <v>1129</v>
      </c>
      <c r="H8" s="33">
        <f>SUM(I8:J8)</f>
        <v>4554</v>
      </c>
      <c r="I8" s="18">
        <v>3289</v>
      </c>
      <c r="J8" s="19">
        <v>1265</v>
      </c>
      <c r="K8" s="33">
        <f>SUM(L8:M8)</f>
        <v>3581</v>
      </c>
      <c r="L8" s="18">
        <v>2341</v>
      </c>
      <c r="M8" s="19">
        <v>1240</v>
      </c>
      <c r="N8" s="33">
        <f>SUM(O8:P8)</f>
        <v>4662</v>
      </c>
      <c r="O8" s="18">
        <v>3841</v>
      </c>
      <c r="P8" s="19">
        <v>821</v>
      </c>
      <c r="Q8" s="41">
        <f t="shared" ref="Q8:Q30" si="1">(N8-K8)/K8*100</f>
        <v>30.187098575816812</v>
      </c>
      <c r="R8" s="41">
        <f t="shared" ref="R8:R30" si="2">(O8-L8)/L8*100</f>
        <v>64.075181546347721</v>
      </c>
      <c r="S8" s="41">
        <f t="shared" ref="S8:S30" si="3">(P8-M8)/M8*100</f>
        <v>-33.79032258064516</v>
      </c>
      <c r="T8" s="6" t="s">
        <v>4</v>
      </c>
      <c r="U8" s="5"/>
      <c r="V8" s="16"/>
      <c r="W8" s="17"/>
      <c r="X8" s="17"/>
      <c r="Y8" s="16"/>
      <c r="Z8" s="17"/>
      <c r="AA8" s="17"/>
      <c r="AB8" s="4"/>
      <c r="AC8" s="4"/>
      <c r="AD8" s="4"/>
    </row>
    <row r="9" spans="1:30" ht="18.75">
      <c r="A9" s="32" t="s">
        <v>15</v>
      </c>
      <c r="B9" s="33">
        <f t="shared" ref="B9:B18" si="4">SUM(C9:D9)</f>
        <v>2105</v>
      </c>
      <c r="C9" s="34">
        <v>1926</v>
      </c>
      <c r="D9" s="35">
        <v>179</v>
      </c>
      <c r="E9" s="33">
        <f t="shared" ref="E9:E18" si="5">SUM(F9:G9)</f>
        <v>2007</v>
      </c>
      <c r="F9" s="34">
        <v>1849</v>
      </c>
      <c r="G9" s="35">
        <v>158</v>
      </c>
      <c r="H9" s="33">
        <f t="shared" ref="H9:H18" si="6">SUM(I9:J9)</f>
        <v>2324</v>
      </c>
      <c r="I9" s="18">
        <v>2132</v>
      </c>
      <c r="J9" s="19">
        <v>192</v>
      </c>
      <c r="K9" s="33">
        <f t="shared" ref="K9:K18" si="7">SUM(L9:M9)</f>
        <v>1390</v>
      </c>
      <c r="L9" s="18">
        <v>1269</v>
      </c>
      <c r="M9" s="19">
        <v>121</v>
      </c>
      <c r="N9" s="33">
        <f t="shared" ref="N9:N18" si="8">SUM(O9:P9)</f>
        <v>1553</v>
      </c>
      <c r="O9" s="18">
        <v>1426</v>
      </c>
      <c r="P9" s="19">
        <v>127</v>
      </c>
      <c r="Q9" s="41">
        <f t="shared" si="1"/>
        <v>11.726618705035971</v>
      </c>
      <c r="R9" s="41">
        <f t="shared" si="2"/>
        <v>12.371946414499606</v>
      </c>
      <c r="S9" s="41">
        <f t="shared" si="3"/>
        <v>4.9586776859504136</v>
      </c>
      <c r="T9" s="6" t="s">
        <v>39</v>
      </c>
      <c r="U9" s="5"/>
      <c r="V9" s="16"/>
      <c r="W9" s="17"/>
      <c r="X9" s="17"/>
      <c r="Y9" s="16"/>
      <c r="Z9" s="17"/>
      <c r="AA9" s="17"/>
      <c r="AB9" s="4"/>
      <c r="AC9" s="4"/>
      <c r="AD9" s="4"/>
    </row>
    <row r="10" spans="1:30" ht="18.75">
      <c r="A10" s="32" t="s">
        <v>5</v>
      </c>
      <c r="B10" s="33">
        <f t="shared" si="4"/>
        <v>2038</v>
      </c>
      <c r="C10" s="34">
        <v>1167</v>
      </c>
      <c r="D10" s="35">
        <v>871</v>
      </c>
      <c r="E10" s="33">
        <f t="shared" si="5"/>
        <v>2230</v>
      </c>
      <c r="F10" s="34">
        <v>1390</v>
      </c>
      <c r="G10" s="35">
        <v>840</v>
      </c>
      <c r="H10" s="33">
        <f t="shared" si="6"/>
        <v>2188</v>
      </c>
      <c r="I10" s="18">
        <v>1102</v>
      </c>
      <c r="J10" s="19">
        <v>1086</v>
      </c>
      <c r="K10" s="33">
        <f t="shared" si="7"/>
        <v>1425</v>
      </c>
      <c r="L10" s="18">
        <v>482</v>
      </c>
      <c r="M10" s="19">
        <v>943</v>
      </c>
      <c r="N10" s="33">
        <f t="shared" si="8"/>
        <v>1440</v>
      </c>
      <c r="O10" s="18">
        <v>864</v>
      </c>
      <c r="P10" s="19">
        <v>576</v>
      </c>
      <c r="Q10" s="41">
        <f t="shared" si="1"/>
        <v>1.0526315789473684</v>
      </c>
      <c r="R10" s="41">
        <f t="shared" si="2"/>
        <v>79.253112033195023</v>
      </c>
      <c r="S10" s="41">
        <f t="shared" si="3"/>
        <v>-38.918345705196181</v>
      </c>
      <c r="T10" s="6" t="s">
        <v>8</v>
      </c>
      <c r="U10" s="5"/>
      <c r="V10" s="16"/>
      <c r="W10" s="17"/>
      <c r="X10" s="17"/>
      <c r="Y10" s="16"/>
      <c r="Z10" s="17"/>
      <c r="AA10" s="17"/>
      <c r="AB10" s="4"/>
      <c r="AC10" s="4"/>
      <c r="AD10" s="4"/>
    </row>
    <row r="11" spans="1:30" ht="18.75">
      <c r="A11" s="32" t="s">
        <v>27</v>
      </c>
      <c r="B11" s="33">
        <f t="shared" si="4"/>
        <v>1655</v>
      </c>
      <c r="C11" s="34">
        <v>1306</v>
      </c>
      <c r="D11" s="35">
        <v>349</v>
      </c>
      <c r="E11" s="33">
        <f t="shared" si="5"/>
        <v>1787</v>
      </c>
      <c r="F11" s="34">
        <v>1442</v>
      </c>
      <c r="G11" s="35">
        <v>345</v>
      </c>
      <c r="H11" s="33">
        <f t="shared" si="6"/>
        <v>1814</v>
      </c>
      <c r="I11" s="18">
        <v>1412</v>
      </c>
      <c r="J11" s="19">
        <v>402</v>
      </c>
      <c r="K11" s="33">
        <f t="shared" si="7"/>
        <v>744</v>
      </c>
      <c r="L11" s="18">
        <v>544</v>
      </c>
      <c r="M11" s="19">
        <v>200</v>
      </c>
      <c r="N11" s="33">
        <f t="shared" si="8"/>
        <v>974</v>
      </c>
      <c r="O11" s="18">
        <v>722</v>
      </c>
      <c r="P11" s="19">
        <v>252</v>
      </c>
      <c r="Q11" s="41">
        <f t="shared" si="1"/>
        <v>30.913978494623656</v>
      </c>
      <c r="R11" s="41">
        <f t="shared" si="2"/>
        <v>32.720588235294116</v>
      </c>
      <c r="S11" s="41">
        <f t="shared" si="3"/>
        <v>26</v>
      </c>
      <c r="T11" s="6" t="s">
        <v>9</v>
      </c>
      <c r="U11" s="5"/>
      <c r="V11" s="16"/>
      <c r="W11" s="17"/>
      <c r="X11" s="17"/>
      <c r="Y11" s="16"/>
      <c r="Z11" s="17"/>
      <c r="AA11" s="17"/>
      <c r="AB11" s="4"/>
      <c r="AC11" s="4"/>
      <c r="AD11" s="4"/>
    </row>
    <row r="12" spans="1:30" ht="18.75">
      <c r="A12" s="32" t="s">
        <v>6</v>
      </c>
      <c r="B12" s="33">
        <f t="shared" si="4"/>
        <v>770</v>
      </c>
      <c r="C12" s="34">
        <v>360</v>
      </c>
      <c r="D12" s="35">
        <v>410</v>
      </c>
      <c r="E12" s="33">
        <f t="shared" si="5"/>
        <v>753</v>
      </c>
      <c r="F12" s="34">
        <v>338</v>
      </c>
      <c r="G12" s="35">
        <v>415</v>
      </c>
      <c r="H12" s="33">
        <f t="shared" si="6"/>
        <v>631</v>
      </c>
      <c r="I12" s="18">
        <v>294</v>
      </c>
      <c r="J12" s="19">
        <v>337</v>
      </c>
      <c r="K12" s="33">
        <f t="shared" si="7"/>
        <v>661</v>
      </c>
      <c r="L12" s="18">
        <v>272</v>
      </c>
      <c r="M12" s="19">
        <v>389</v>
      </c>
      <c r="N12" s="33">
        <f t="shared" si="8"/>
        <v>610</v>
      </c>
      <c r="O12" s="18">
        <v>312</v>
      </c>
      <c r="P12" s="19">
        <v>298</v>
      </c>
      <c r="Q12" s="41">
        <f t="shared" si="1"/>
        <v>-7.7155824508320734</v>
      </c>
      <c r="R12" s="41">
        <f t="shared" si="2"/>
        <v>14.705882352941178</v>
      </c>
      <c r="S12" s="41">
        <f t="shared" si="3"/>
        <v>-23.393316195372751</v>
      </c>
      <c r="T12" s="6" t="s">
        <v>11</v>
      </c>
      <c r="U12" s="5"/>
      <c r="V12" s="16"/>
      <c r="W12" s="17"/>
      <c r="X12" s="17"/>
      <c r="Y12" s="16"/>
      <c r="Z12" s="17"/>
      <c r="AA12" s="17"/>
      <c r="AB12" s="4"/>
      <c r="AC12" s="4"/>
      <c r="AD12" s="4"/>
    </row>
    <row r="13" spans="1:30" ht="18.75">
      <c r="A13" s="32" t="s">
        <v>12</v>
      </c>
      <c r="B13" s="33">
        <f t="shared" si="4"/>
        <v>455</v>
      </c>
      <c r="C13" s="34">
        <v>296</v>
      </c>
      <c r="D13" s="35">
        <v>159</v>
      </c>
      <c r="E13" s="33">
        <f t="shared" si="5"/>
        <v>472</v>
      </c>
      <c r="F13" s="34">
        <v>294</v>
      </c>
      <c r="G13" s="35">
        <v>178</v>
      </c>
      <c r="H13" s="33">
        <f t="shared" si="6"/>
        <v>467</v>
      </c>
      <c r="I13" s="18">
        <v>305</v>
      </c>
      <c r="J13" s="19">
        <v>162</v>
      </c>
      <c r="K13" s="33">
        <f t="shared" si="7"/>
        <v>395</v>
      </c>
      <c r="L13" s="18">
        <v>214</v>
      </c>
      <c r="M13" s="19">
        <v>181</v>
      </c>
      <c r="N13" s="33">
        <f t="shared" si="8"/>
        <v>503</v>
      </c>
      <c r="O13" s="18">
        <v>327</v>
      </c>
      <c r="P13" s="19">
        <v>176</v>
      </c>
      <c r="Q13" s="41">
        <f t="shared" si="1"/>
        <v>27.341772151898734</v>
      </c>
      <c r="R13" s="41">
        <f t="shared" si="2"/>
        <v>52.803738317757009</v>
      </c>
      <c r="S13" s="41">
        <f t="shared" si="3"/>
        <v>-2.7624309392265194</v>
      </c>
      <c r="T13" s="6" t="s">
        <v>13</v>
      </c>
      <c r="U13" s="5"/>
      <c r="V13" s="16"/>
      <c r="W13" s="17"/>
      <c r="X13" s="17"/>
      <c r="Y13" s="16"/>
      <c r="Z13" s="17"/>
      <c r="AA13" s="17"/>
      <c r="AB13" s="4"/>
      <c r="AC13" s="4"/>
      <c r="AD13" s="4"/>
    </row>
    <row r="14" spans="1:30" ht="18.75">
      <c r="A14" s="32" t="s">
        <v>10</v>
      </c>
      <c r="B14" s="33">
        <f t="shared" si="4"/>
        <v>662</v>
      </c>
      <c r="C14" s="34">
        <v>619</v>
      </c>
      <c r="D14" s="35">
        <v>43</v>
      </c>
      <c r="E14" s="33">
        <f t="shared" si="5"/>
        <v>537</v>
      </c>
      <c r="F14" s="34">
        <v>491</v>
      </c>
      <c r="G14" s="35">
        <v>46</v>
      </c>
      <c r="H14" s="33">
        <f t="shared" si="6"/>
        <v>483</v>
      </c>
      <c r="I14" s="18">
        <v>436</v>
      </c>
      <c r="J14" s="19">
        <v>47</v>
      </c>
      <c r="K14" s="33">
        <f t="shared" si="7"/>
        <v>348</v>
      </c>
      <c r="L14" s="18">
        <v>302</v>
      </c>
      <c r="M14" s="19">
        <v>46</v>
      </c>
      <c r="N14" s="33">
        <f t="shared" si="8"/>
        <v>377</v>
      </c>
      <c r="O14" s="18">
        <v>345</v>
      </c>
      <c r="P14" s="19">
        <v>32</v>
      </c>
      <c r="Q14" s="41">
        <f t="shared" si="1"/>
        <v>8.3333333333333321</v>
      </c>
      <c r="R14" s="41">
        <f t="shared" si="2"/>
        <v>14.23841059602649</v>
      </c>
      <c r="S14" s="41">
        <f t="shared" si="3"/>
        <v>-30.434782608695656</v>
      </c>
      <c r="T14" s="6" t="s">
        <v>14</v>
      </c>
      <c r="U14" s="5"/>
      <c r="V14" s="16"/>
      <c r="W14" s="17"/>
      <c r="X14" s="17"/>
      <c r="Y14" s="16"/>
      <c r="Z14" s="17"/>
      <c r="AA14" s="17"/>
      <c r="AB14" s="4"/>
      <c r="AC14" s="4"/>
      <c r="AD14" s="4"/>
    </row>
    <row r="15" spans="1:30" ht="18.75">
      <c r="A15" s="5" t="s">
        <v>17</v>
      </c>
      <c r="B15" s="33">
        <f t="shared" si="4"/>
        <v>417</v>
      </c>
      <c r="C15" s="34">
        <v>129</v>
      </c>
      <c r="D15" s="35">
        <v>288</v>
      </c>
      <c r="E15" s="33">
        <f t="shared" si="5"/>
        <v>361</v>
      </c>
      <c r="F15" s="34">
        <v>114</v>
      </c>
      <c r="G15" s="35">
        <v>247</v>
      </c>
      <c r="H15" s="33">
        <f t="shared" si="6"/>
        <v>405</v>
      </c>
      <c r="I15" s="18">
        <v>144</v>
      </c>
      <c r="J15" s="19">
        <v>261</v>
      </c>
      <c r="K15" s="33">
        <f t="shared" si="7"/>
        <v>490</v>
      </c>
      <c r="L15" s="18">
        <v>177</v>
      </c>
      <c r="M15" s="19">
        <v>313</v>
      </c>
      <c r="N15" s="33">
        <f t="shared" si="8"/>
        <v>342</v>
      </c>
      <c r="O15" s="18">
        <v>116</v>
      </c>
      <c r="P15" s="19">
        <v>226</v>
      </c>
      <c r="Q15" s="41">
        <f t="shared" si="1"/>
        <v>-30.204081632653061</v>
      </c>
      <c r="R15" s="41">
        <f t="shared" si="2"/>
        <v>-34.463276836158194</v>
      </c>
      <c r="S15" s="41">
        <f t="shared" si="3"/>
        <v>-27.795527156549522</v>
      </c>
      <c r="T15" s="6" t="s">
        <v>18</v>
      </c>
      <c r="U15" s="5"/>
      <c r="V15" s="16"/>
      <c r="W15" s="17"/>
      <c r="X15" s="17"/>
      <c r="Y15" s="16"/>
      <c r="Z15" s="17"/>
      <c r="AA15" s="17"/>
      <c r="AB15" s="4"/>
      <c r="AC15" s="4"/>
      <c r="AD15" s="4"/>
    </row>
    <row r="16" spans="1:30" ht="18.75">
      <c r="A16" s="5" t="s">
        <v>16</v>
      </c>
      <c r="B16" s="33">
        <f t="shared" si="4"/>
        <v>518</v>
      </c>
      <c r="C16" s="34">
        <v>435</v>
      </c>
      <c r="D16" s="35">
        <v>83</v>
      </c>
      <c r="E16" s="33">
        <f t="shared" si="5"/>
        <v>516</v>
      </c>
      <c r="F16" s="34">
        <v>373</v>
      </c>
      <c r="G16" s="35">
        <v>143</v>
      </c>
      <c r="H16" s="33">
        <f t="shared" si="6"/>
        <v>494</v>
      </c>
      <c r="I16" s="18">
        <v>380</v>
      </c>
      <c r="J16" s="19">
        <v>114</v>
      </c>
      <c r="K16" s="33">
        <f t="shared" si="7"/>
        <v>609</v>
      </c>
      <c r="L16" s="18">
        <v>470</v>
      </c>
      <c r="M16" s="19">
        <v>139</v>
      </c>
      <c r="N16" s="33">
        <f t="shared" si="8"/>
        <v>987</v>
      </c>
      <c r="O16" s="18">
        <v>703</v>
      </c>
      <c r="P16" s="19">
        <v>284</v>
      </c>
      <c r="Q16" s="41">
        <f t="shared" si="1"/>
        <v>62.068965517241381</v>
      </c>
      <c r="R16" s="41">
        <f t="shared" si="2"/>
        <v>49.574468085106382</v>
      </c>
      <c r="S16" s="41">
        <f t="shared" si="3"/>
        <v>104.31654676258992</v>
      </c>
      <c r="T16" s="6" t="s">
        <v>20</v>
      </c>
      <c r="U16" s="5"/>
      <c r="V16" s="16"/>
      <c r="W16" s="17"/>
      <c r="X16" s="17"/>
      <c r="Y16" s="16"/>
      <c r="Z16" s="17"/>
      <c r="AA16" s="17"/>
      <c r="AB16" s="4"/>
      <c r="AC16" s="4"/>
      <c r="AD16" s="4"/>
    </row>
    <row r="17" spans="1:30" ht="18.75">
      <c r="A17" s="5" t="s">
        <v>19</v>
      </c>
      <c r="B17" s="33">
        <f t="shared" si="4"/>
        <v>279</v>
      </c>
      <c r="C17" s="34">
        <v>133</v>
      </c>
      <c r="D17" s="35">
        <v>146</v>
      </c>
      <c r="E17" s="33">
        <f t="shared" si="5"/>
        <v>240</v>
      </c>
      <c r="F17" s="34">
        <v>116</v>
      </c>
      <c r="G17" s="35">
        <v>124</v>
      </c>
      <c r="H17" s="33">
        <f t="shared" si="6"/>
        <v>219</v>
      </c>
      <c r="I17" s="18">
        <v>120</v>
      </c>
      <c r="J17" s="19">
        <v>99</v>
      </c>
      <c r="K17" s="33">
        <f t="shared" si="7"/>
        <v>245</v>
      </c>
      <c r="L17" s="18">
        <v>118</v>
      </c>
      <c r="M17" s="19">
        <v>127</v>
      </c>
      <c r="N17" s="33">
        <f t="shared" si="8"/>
        <v>267</v>
      </c>
      <c r="O17" s="18">
        <v>139</v>
      </c>
      <c r="P17" s="19">
        <v>128</v>
      </c>
      <c r="Q17" s="41">
        <f t="shared" si="1"/>
        <v>8.9795918367346932</v>
      </c>
      <c r="R17" s="41">
        <f t="shared" si="2"/>
        <v>17.796610169491526</v>
      </c>
      <c r="S17" s="41">
        <f t="shared" si="3"/>
        <v>0.78740157480314954</v>
      </c>
      <c r="T17" s="6" t="s">
        <v>22</v>
      </c>
      <c r="U17" s="5"/>
      <c r="V17" s="16"/>
      <c r="W17" s="17"/>
      <c r="X17" s="17"/>
      <c r="Y17" s="16"/>
      <c r="Z17" s="17"/>
      <c r="AA17" s="17"/>
      <c r="AB17" s="4"/>
      <c r="AC17" s="4"/>
      <c r="AD17" s="4"/>
    </row>
    <row r="18" spans="1:30" ht="18.75">
      <c r="A18" s="5" t="s">
        <v>21</v>
      </c>
      <c r="B18" s="33">
        <f t="shared" si="4"/>
        <v>86</v>
      </c>
      <c r="C18" s="34">
        <v>71</v>
      </c>
      <c r="D18" s="35">
        <v>15</v>
      </c>
      <c r="E18" s="33">
        <f t="shared" si="5"/>
        <v>71</v>
      </c>
      <c r="F18" s="34">
        <v>64</v>
      </c>
      <c r="G18" s="35">
        <v>7</v>
      </c>
      <c r="H18" s="33">
        <f t="shared" si="6"/>
        <v>86</v>
      </c>
      <c r="I18" s="18">
        <v>79</v>
      </c>
      <c r="J18" s="19">
        <v>7</v>
      </c>
      <c r="K18" s="33">
        <f t="shared" si="7"/>
        <v>108</v>
      </c>
      <c r="L18" s="18">
        <v>92</v>
      </c>
      <c r="M18" s="19">
        <v>16</v>
      </c>
      <c r="N18" s="33">
        <f t="shared" si="8"/>
        <v>150</v>
      </c>
      <c r="O18" s="18">
        <v>132</v>
      </c>
      <c r="P18" s="19">
        <v>18</v>
      </c>
      <c r="Q18" s="41">
        <f t="shared" si="1"/>
        <v>38.888888888888893</v>
      </c>
      <c r="R18" s="41">
        <f t="shared" si="2"/>
        <v>43.478260869565219</v>
      </c>
      <c r="S18" s="41">
        <f t="shared" si="3"/>
        <v>12.5</v>
      </c>
      <c r="T18" s="6" t="s">
        <v>23</v>
      </c>
      <c r="U18" s="5"/>
      <c r="V18" s="16"/>
      <c r="W18" s="17"/>
      <c r="X18" s="17"/>
      <c r="Y18" s="16"/>
      <c r="Z18" s="17"/>
      <c r="AA18" s="17"/>
      <c r="AB18" s="4"/>
      <c r="AC18" s="4"/>
      <c r="AD18" s="4"/>
    </row>
    <row r="19" spans="1:30" ht="18.75">
      <c r="A19" s="39" t="s">
        <v>7</v>
      </c>
      <c r="B19" s="36">
        <f>SUM(C19:D19)</f>
        <v>3047</v>
      </c>
      <c r="C19" s="37">
        <v>1979</v>
      </c>
      <c r="D19" s="38">
        <v>1068</v>
      </c>
      <c r="E19" s="36">
        <f>SUM(F19:G19)</f>
        <v>2567</v>
      </c>
      <c r="F19" s="37">
        <v>1591</v>
      </c>
      <c r="G19" s="38">
        <v>976</v>
      </c>
      <c r="H19" s="36">
        <f>SUM(I19:J19)</f>
        <v>2815</v>
      </c>
      <c r="I19" s="24">
        <v>1766</v>
      </c>
      <c r="J19" s="25">
        <v>1049</v>
      </c>
      <c r="K19" s="36">
        <f>SUM(L19:M19)</f>
        <v>2791</v>
      </c>
      <c r="L19" s="24">
        <f>SUM(L20:L30)</f>
        <v>1571</v>
      </c>
      <c r="M19" s="25">
        <f>SUM(M20:M30)</f>
        <v>1220</v>
      </c>
      <c r="N19" s="36">
        <f>SUM(O19:P19)</f>
        <v>2278</v>
      </c>
      <c r="O19" s="24">
        <v>1261</v>
      </c>
      <c r="P19" s="25">
        <v>1017</v>
      </c>
      <c r="Q19" s="42">
        <f t="shared" si="1"/>
        <v>-18.380508778215692</v>
      </c>
      <c r="R19" s="42">
        <f t="shared" si="2"/>
        <v>-19.732654360280076</v>
      </c>
      <c r="S19" s="42">
        <f t="shared" si="3"/>
        <v>-16.639344262295083</v>
      </c>
      <c r="T19" s="40" t="s">
        <v>24</v>
      </c>
      <c r="U19" s="5"/>
      <c r="V19" s="16"/>
      <c r="W19" s="17"/>
      <c r="X19" s="17"/>
      <c r="Y19" s="16"/>
      <c r="Z19" s="17"/>
      <c r="AA19" s="17"/>
      <c r="AB19" s="4"/>
      <c r="AC19" s="4"/>
      <c r="AD19" s="4"/>
    </row>
    <row r="20" spans="1:30" ht="18.75" hidden="1">
      <c r="A20" s="20" t="s">
        <v>40</v>
      </c>
      <c r="B20" s="33">
        <f t="shared" ref="B20:B30" si="9">C20+D20</f>
        <v>636</v>
      </c>
      <c r="C20" s="34">
        <v>402</v>
      </c>
      <c r="D20" s="35">
        <v>234</v>
      </c>
      <c r="E20" s="33">
        <f t="shared" ref="E20:E30" si="10">F20+G20</f>
        <v>542</v>
      </c>
      <c r="F20" s="34">
        <v>327</v>
      </c>
      <c r="G20" s="35">
        <v>215</v>
      </c>
      <c r="H20" s="33">
        <f t="shared" ref="H20:H30" si="11">I20+J20</f>
        <v>485</v>
      </c>
      <c r="I20" s="18">
        <v>323</v>
      </c>
      <c r="J20" s="19">
        <v>162</v>
      </c>
      <c r="K20" s="33">
        <f t="shared" ref="K20:K30" si="12">L20+M20</f>
        <v>621</v>
      </c>
      <c r="L20" s="18">
        <v>341</v>
      </c>
      <c r="M20" s="19">
        <v>280</v>
      </c>
      <c r="N20" s="33">
        <f t="shared" ref="N20:N30" si="13">O20+P20</f>
        <v>0</v>
      </c>
      <c r="O20" s="48"/>
      <c r="P20" s="49"/>
      <c r="Q20" s="41">
        <f t="shared" si="1"/>
        <v>-100</v>
      </c>
      <c r="R20" s="41">
        <f t="shared" si="2"/>
        <v>-100</v>
      </c>
      <c r="S20" s="41">
        <f t="shared" si="3"/>
        <v>-100</v>
      </c>
      <c r="T20" s="6" t="s">
        <v>41</v>
      </c>
      <c r="W20" s="3"/>
      <c r="X20" s="3"/>
      <c r="Y20" s="3"/>
      <c r="Z20" s="3"/>
      <c r="AA20" s="3"/>
      <c r="AB20" s="3"/>
    </row>
    <row r="21" spans="1:30" ht="18.75" hidden="1">
      <c r="A21" s="20" t="s">
        <v>42</v>
      </c>
      <c r="B21" s="33">
        <f t="shared" si="9"/>
        <v>75</v>
      </c>
      <c r="C21" s="34">
        <v>29</v>
      </c>
      <c r="D21" s="35">
        <v>46</v>
      </c>
      <c r="E21" s="33">
        <f t="shared" si="10"/>
        <v>64</v>
      </c>
      <c r="F21" s="34">
        <v>18</v>
      </c>
      <c r="G21" s="35">
        <v>46</v>
      </c>
      <c r="H21" s="33">
        <f t="shared" si="11"/>
        <v>52</v>
      </c>
      <c r="I21" s="18">
        <v>19</v>
      </c>
      <c r="J21" s="19">
        <v>33</v>
      </c>
      <c r="K21" s="33">
        <f t="shared" si="12"/>
        <v>48</v>
      </c>
      <c r="L21" s="18">
        <v>13</v>
      </c>
      <c r="M21" s="19">
        <v>35</v>
      </c>
      <c r="N21" s="33">
        <f t="shared" si="13"/>
        <v>0</v>
      </c>
      <c r="O21" s="48"/>
      <c r="P21" s="49"/>
      <c r="Q21" s="41">
        <f t="shared" si="1"/>
        <v>-100</v>
      </c>
      <c r="R21" s="41">
        <f t="shared" si="2"/>
        <v>-100</v>
      </c>
      <c r="S21" s="41">
        <f t="shared" si="3"/>
        <v>-100</v>
      </c>
      <c r="T21" s="6" t="s">
        <v>43</v>
      </c>
      <c r="W21" s="3"/>
      <c r="X21" s="3"/>
      <c r="Y21" s="3"/>
      <c r="Z21" s="3"/>
      <c r="AA21" s="3"/>
      <c r="AB21" s="3"/>
    </row>
    <row r="22" spans="1:30" ht="18.75" hidden="1">
      <c r="A22" s="20" t="s">
        <v>44</v>
      </c>
      <c r="B22" s="33">
        <f t="shared" si="9"/>
        <v>9</v>
      </c>
      <c r="C22" s="34">
        <v>2</v>
      </c>
      <c r="D22" s="35">
        <v>7</v>
      </c>
      <c r="E22" s="33">
        <f t="shared" si="10"/>
        <v>5</v>
      </c>
      <c r="F22" s="34">
        <v>0</v>
      </c>
      <c r="G22" s="35">
        <v>5</v>
      </c>
      <c r="H22" s="33">
        <f t="shared" si="11"/>
        <v>10</v>
      </c>
      <c r="I22" s="34">
        <v>0</v>
      </c>
      <c r="J22" s="19">
        <v>10</v>
      </c>
      <c r="K22" s="33">
        <f t="shared" si="12"/>
        <v>11</v>
      </c>
      <c r="L22" s="34">
        <v>2</v>
      </c>
      <c r="M22" s="19">
        <v>9</v>
      </c>
      <c r="N22" s="33">
        <f t="shared" si="13"/>
        <v>0</v>
      </c>
      <c r="O22" s="50"/>
      <c r="P22" s="49"/>
      <c r="Q22" s="41">
        <f t="shared" si="1"/>
        <v>-100</v>
      </c>
      <c r="R22" s="41">
        <f t="shared" si="2"/>
        <v>-100</v>
      </c>
      <c r="S22" s="41">
        <f t="shared" si="3"/>
        <v>-100</v>
      </c>
      <c r="T22" s="21" t="s">
        <v>45</v>
      </c>
      <c r="W22" s="3"/>
      <c r="X22" s="3"/>
      <c r="Y22" s="3"/>
      <c r="Z22" s="3"/>
      <c r="AA22" s="3"/>
      <c r="AB22" s="3"/>
    </row>
    <row r="23" spans="1:30" ht="37.5" hidden="1">
      <c r="A23" s="20" t="s">
        <v>46</v>
      </c>
      <c r="B23" s="33">
        <f t="shared" si="9"/>
        <v>26</v>
      </c>
      <c r="C23" s="34">
        <v>16</v>
      </c>
      <c r="D23" s="35">
        <v>10</v>
      </c>
      <c r="E23" s="33">
        <f t="shared" si="10"/>
        <v>12</v>
      </c>
      <c r="F23" s="34">
        <v>5</v>
      </c>
      <c r="G23" s="35">
        <v>7</v>
      </c>
      <c r="H23" s="33">
        <f t="shared" si="11"/>
        <v>16</v>
      </c>
      <c r="I23" s="18">
        <v>10</v>
      </c>
      <c r="J23" s="19">
        <v>6</v>
      </c>
      <c r="K23" s="33">
        <f t="shared" si="12"/>
        <v>22</v>
      </c>
      <c r="L23" s="18">
        <v>10</v>
      </c>
      <c r="M23" s="19">
        <v>12</v>
      </c>
      <c r="N23" s="33">
        <f t="shared" si="13"/>
        <v>0</v>
      </c>
      <c r="O23" s="48"/>
      <c r="P23" s="49"/>
      <c r="Q23" s="41">
        <f t="shared" si="1"/>
        <v>-100</v>
      </c>
      <c r="R23" s="41">
        <f t="shared" si="2"/>
        <v>-100</v>
      </c>
      <c r="S23" s="41">
        <f t="shared" si="3"/>
        <v>-100</v>
      </c>
      <c r="T23" s="22" t="s">
        <v>47</v>
      </c>
      <c r="W23" s="3"/>
      <c r="X23" s="3"/>
      <c r="Y23" s="3"/>
      <c r="Z23" s="3"/>
      <c r="AA23" s="3"/>
      <c r="AB23" s="3"/>
    </row>
    <row r="24" spans="1:30" ht="18.75" hidden="1">
      <c r="A24" s="20" t="s">
        <v>25</v>
      </c>
      <c r="B24" s="33">
        <f t="shared" si="9"/>
        <v>32</v>
      </c>
      <c r="C24" s="34">
        <v>6</v>
      </c>
      <c r="D24" s="35">
        <v>26</v>
      </c>
      <c r="E24" s="33">
        <f t="shared" si="10"/>
        <v>24</v>
      </c>
      <c r="F24" s="34">
        <v>6</v>
      </c>
      <c r="G24" s="35">
        <v>18</v>
      </c>
      <c r="H24" s="33">
        <f t="shared" si="11"/>
        <v>23</v>
      </c>
      <c r="I24" s="18">
        <v>7</v>
      </c>
      <c r="J24" s="19">
        <v>16</v>
      </c>
      <c r="K24" s="33">
        <f t="shared" si="12"/>
        <v>24</v>
      </c>
      <c r="L24" s="18">
        <v>1</v>
      </c>
      <c r="M24" s="19">
        <v>23</v>
      </c>
      <c r="N24" s="33">
        <f t="shared" si="13"/>
        <v>0</v>
      </c>
      <c r="O24" s="48"/>
      <c r="P24" s="49"/>
      <c r="Q24" s="41">
        <f t="shared" si="1"/>
        <v>-100</v>
      </c>
      <c r="R24" s="41">
        <f t="shared" si="2"/>
        <v>-100</v>
      </c>
      <c r="S24" s="41">
        <f t="shared" si="3"/>
        <v>-100</v>
      </c>
      <c r="T24" s="21" t="s">
        <v>26</v>
      </c>
      <c r="W24" s="3"/>
      <c r="X24" s="3"/>
      <c r="Y24" s="3"/>
      <c r="Z24" s="3"/>
      <c r="AA24" s="3"/>
      <c r="AB24" s="3"/>
    </row>
    <row r="25" spans="1:30" ht="18.75" hidden="1">
      <c r="A25" s="20" t="s">
        <v>48</v>
      </c>
      <c r="B25" s="33">
        <f t="shared" si="9"/>
        <v>145</v>
      </c>
      <c r="C25" s="34">
        <v>74</v>
      </c>
      <c r="D25" s="35">
        <v>71</v>
      </c>
      <c r="E25" s="33">
        <f t="shared" si="10"/>
        <v>89</v>
      </c>
      <c r="F25" s="34">
        <v>30</v>
      </c>
      <c r="G25" s="35">
        <v>59</v>
      </c>
      <c r="H25" s="33">
        <f t="shared" si="11"/>
        <v>73</v>
      </c>
      <c r="I25" s="18">
        <v>25</v>
      </c>
      <c r="J25" s="19">
        <v>48</v>
      </c>
      <c r="K25" s="33">
        <f t="shared" si="12"/>
        <v>124</v>
      </c>
      <c r="L25" s="18">
        <v>37</v>
      </c>
      <c r="M25" s="19">
        <v>87</v>
      </c>
      <c r="N25" s="33">
        <f t="shared" si="13"/>
        <v>0</v>
      </c>
      <c r="O25" s="48"/>
      <c r="P25" s="49"/>
      <c r="Q25" s="41">
        <f t="shared" si="1"/>
        <v>-100</v>
      </c>
      <c r="R25" s="41">
        <f t="shared" si="2"/>
        <v>-100</v>
      </c>
      <c r="S25" s="41">
        <f t="shared" si="3"/>
        <v>-100</v>
      </c>
      <c r="T25" s="21" t="s">
        <v>49</v>
      </c>
      <c r="W25" s="3"/>
      <c r="X25" s="3"/>
      <c r="Y25" s="3"/>
      <c r="Z25" s="3"/>
      <c r="AA25" s="3"/>
      <c r="AB25" s="3"/>
    </row>
    <row r="26" spans="1:30" ht="18.75" hidden="1">
      <c r="A26" s="20" t="s">
        <v>50</v>
      </c>
      <c r="B26" s="33">
        <f t="shared" si="9"/>
        <v>71</v>
      </c>
      <c r="C26" s="34">
        <v>38</v>
      </c>
      <c r="D26" s="35">
        <v>33</v>
      </c>
      <c r="E26" s="33">
        <f t="shared" si="10"/>
        <v>92</v>
      </c>
      <c r="F26" s="34">
        <v>47</v>
      </c>
      <c r="G26" s="35">
        <v>45</v>
      </c>
      <c r="H26" s="33">
        <f t="shared" si="11"/>
        <v>112</v>
      </c>
      <c r="I26" s="18">
        <v>58</v>
      </c>
      <c r="J26" s="19">
        <v>54</v>
      </c>
      <c r="K26" s="33">
        <f t="shared" si="12"/>
        <v>72</v>
      </c>
      <c r="L26" s="18">
        <v>34</v>
      </c>
      <c r="M26" s="19">
        <v>38</v>
      </c>
      <c r="N26" s="33">
        <f t="shared" si="13"/>
        <v>0</v>
      </c>
      <c r="O26" s="48"/>
      <c r="P26" s="49"/>
      <c r="Q26" s="41">
        <f t="shared" si="1"/>
        <v>-100</v>
      </c>
      <c r="R26" s="41">
        <f t="shared" si="2"/>
        <v>-100</v>
      </c>
      <c r="S26" s="41">
        <f t="shared" si="3"/>
        <v>-100</v>
      </c>
      <c r="T26" s="21" t="s">
        <v>51</v>
      </c>
      <c r="W26" s="3"/>
      <c r="X26" s="3"/>
      <c r="Y26" s="3"/>
      <c r="Z26" s="3"/>
      <c r="AA26" s="3"/>
      <c r="AB26" s="3"/>
    </row>
    <row r="27" spans="1:30" ht="18.75" hidden="1">
      <c r="A27" s="20" t="s">
        <v>52</v>
      </c>
      <c r="B27" s="33">
        <f t="shared" si="9"/>
        <v>4</v>
      </c>
      <c r="C27" s="34">
        <v>2</v>
      </c>
      <c r="D27" s="35">
        <v>2</v>
      </c>
      <c r="E27" s="33">
        <f t="shared" si="10"/>
        <v>8</v>
      </c>
      <c r="F27" s="34">
        <v>0</v>
      </c>
      <c r="G27" s="35">
        <v>8</v>
      </c>
      <c r="H27" s="33">
        <f t="shared" si="11"/>
        <v>21</v>
      </c>
      <c r="I27" s="18">
        <v>9</v>
      </c>
      <c r="J27" s="19">
        <v>12</v>
      </c>
      <c r="K27" s="33">
        <f t="shared" si="12"/>
        <v>6</v>
      </c>
      <c r="L27" s="18">
        <v>1</v>
      </c>
      <c r="M27" s="19">
        <v>5</v>
      </c>
      <c r="N27" s="33">
        <f t="shared" si="13"/>
        <v>0</v>
      </c>
      <c r="O27" s="48"/>
      <c r="P27" s="49"/>
      <c r="Q27" s="41">
        <f t="shared" si="1"/>
        <v>-100</v>
      </c>
      <c r="R27" s="41">
        <f t="shared" si="2"/>
        <v>-100</v>
      </c>
      <c r="S27" s="41">
        <f t="shared" si="3"/>
        <v>-100</v>
      </c>
      <c r="T27" s="21" t="s">
        <v>53</v>
      </c>
      <c r="W27" s="3"/>
      <c r="X27" s="3"/>
      <c r="Y27" s="3"/>
      <c r="Z27" s="3"/>
      <c r="AA27" s="3"/>
      <c r="AB27" s="3"/>
    </row>
    <row r="28" spans="1:30" ht="18.75" hidden="1">
      <c r="A28" s="20" t="s">
        <v>54</v>
      </c>
      <c r="B28" s="33">
        <f t="shared" si="9"/>
        <v>70</v>
      </c>
      <c r="C28" s="34">
        <v>28</v>
      </c>
      <c r="D28" s="35">
        <v>42</v>
      </c>
      <c r="E28" s="33">
        <f t="shared" si="10"/>
        <v>36</v>
      </c>
      <c r="F28" s="34">
        <v>16</v>
      </c>
      <c r="G28" s="35">
        <v>20</v>
      </c>
      <c r="H28" s="33">
        <f t="shared" si="11"/>
        <v>56</v>
      </c>
      <c r="I28" s="18">
        <v>26</v>
      </c>
      <c r="J28" s="19">
        <v>30</v>
      </c>
      <c r="K28" s="33">
        <f t="shared" si="12"/>
        <v>63</v>
      </c>
      <c r="L28" s="18">
        <v>27</v>
      </c>
      <c r="M28" s="19">
        <v>36</v>
      </c>
      <c r="N28" s="33">
        <f t="shared" si="13"/>
        <v>0</v>
      </c>
      <c r="O28" s="48"/>
      <c r="P28" s="49"/>
      <c r="Q28" s="41">
        <f t="shared" si="1"/>
        <v>-100</v>
      </c>
      <c r="R28" s="41">
        <f t="shared" si="2"/>
        <v>-100</v>
      </c>
      <c r="S28" s="41">
        <f t="shared" si="3"/>
        <v>-100</v>
      </c>
      <c r="T28" s="21" t="s">
        <v>28</v>
      </c>
      <c r="W28" s="3"/>
      <c r="X28" s="3"/>
      <c r="Y28" s="3"/>
      <c r="Z28" s="3"/>
      <c r="AA28" s="3"/>
      <c r="AB28" s="3"/>
    </row>
    <row r="29" spans="1:30" ht="18.75" hidden="1">
      <c r="A29" s="20" t="s">
        <v>55</v>
      </c>
      <c r="B29" s="33">
        <f t="shared" si="9"/>
        <v>27</v>
      </c>
      <c r="C29" s="34">
        <v>19</v>
      </c>
      <c r="D29" s="35">
        <v>8</v>
      </c>
      <c r="E29" s="33">
        <f t="shared" si="10"/>
        <v>36</v>
      </c>
      <c r="F29" s="34">
        <v>24</v>
      </c>
      <c r="G29" s="35">
        <v>12</v>
      </c>
      <c r="H29" s="33">
        <f t="shared" si="11"/>
        <v>17</v>
      </c>
      <c r="I29" s="18">
        <v>9</v>
      </c>
      <c r="J29" s="19">
        <v>8</v>
      </c>
      <c r="K29" s="33">
        <f t="shared" si="12"/>
        <v>6</v>
      </c>
      <c r="L29" s="18">
        <v>1</v>
      </c>
      <c r="M29" s="19">
        <v>5</v>
      </c>
      <c r="N29" s="33">
        <f t="shared" si="13"/>
        <v>0</v>
      </c>
      <c r="O29" s="48"/>
      <c r="P29" s="49"/>
      <c r="Q29" s="41">
        <f t="shared" si="1"/>
        <v>-100</v>
      </c>
      <c r="R29" s="41">
        <f t="shared" si="2"/>
        <v>-100</v>
      </c>
      <c r="S29" s="41">
        <f t="shared" si="3"/>
        <v>-100</v>
      </c>
      <c r="T29" s="21" t="s">
        <v>56</v>
      </c>
      <c r="V29" s="6"/>
      <c r="W29" s="3"/>
      <c r="X29" s="3"/>
      <c r="Y29" s="3"/>
      <c r="Z29" s="3"/>
      <c r="AA29" s="3"/>
      <c r="AB29" s="3"/>
    </row>
    <row r="30" spans="1:30" ht="18.75" hidden="1">
      <c r="A30" s="23" t="s">
        <v>7</v>
      </c>
      <c r="B30" s="36">
        <f t="shared" si="9"/>
        <v>1952</v>
      </c>
      <c r="C30" s="37">
        <v>1363</v>
      </c>
      <c r="D30" s="38">
        <v>589</v>
      </c>
      <c r="E30" s="36">
        <f t="shared" si="10"/>
        <v>248</v>
      </c>
      <c r="F30" s="37">
        <v>151</v>
      </c>
      <c r="G30" s="38">
        <v>97</v>
      </c>
      <c r="H30" s="36">
        <f t="shared" si="11"/>
        <v>1950</v>
      </c>
      <c r="I30" s="24">
        <v>1280</v>
      </c>
      <c r="J30" s="25">
        <v>670</v>
      </c>
      <c r="K30" s="36">
        <f t="shared" si="12"/>
        <v>1794</v>
      </c>
      <c r="L30" s="24">
        <v>1104</v>
      </c>
      <c r="M30" s="25">
        <v>690</v>
      </c>
      <c r="N30" s="36">
        <f t="shared" si="13"/>
        <v>0</v>
      </c>
      <c r="O30" s="51"/>
      <c r="P30" s="52"/>
      <c r="Q30" s="53">
        <f t="shared" si="1"/>
        <v>-100</v>
      </c>
      <c r="R30" s="42">
        <f t="shared" si="2"/>
        <v>-100</v>
      </c>
      <c r="S30" s="42">
        <f t="shared" si="3"/>
        <v>-100</v>
      </c>
      <c r="T30" s="26" t="s">
        <v>24</v>
      </c>
      <c r="W30" s="3"/>
      <c r="X30" s="3"/>
      <c r="Y30" s="3"/>
      <c r="Z30" s="3"/>
      <c r="AA30" s="3"/>
      <c r="AB30" s="3"/>
    </row>
    <row r="31" spans="1:30" ht="16.5">
      <c r="A31" s="28" t="s">
        <v>29</v>
      </c>
      <c r="B31" s="27"/>
      <c r="C31" s="27"/>
      <c r="D31" s="27"/>
      <c r="E31" s="27"/>
      <c r="H31" s="27"/>
      <c r="K31" s="27"/>
      <c r="N31" s="27"/>
      <c r="Q31" s="27"/>
      <c r="R31" s="27"/>
      <c r="S31" s="27"/>
      <c r="T31" s="43" t="s">
        <v>30</v>
      </c>
      <c r="W31" s="3"/>
      <c r="X31" s="3"/>
      <c r="Y31" s="3"/>
      <c r="Z31" s="3"/>
      <c r="AA31" s="3"/>
      <c r="AB31" s="3"/>
    </row>
    <row r="32" spans="1:30">
      <c r="F32" s="29"/>
      <c r="G32" s="29"/>
      <c r="I32" s="29"/>
      <c r="J32" s="29"/>
      <c r="L32" s="29"/>
      <c r="M32" s="29"/>
      <c r="O32" s="29"/>
      <c r="P32" s="29"/>
    </row>
    <row r="33" spans="1:28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W33" s="3"/>
      <c r="X33" s="3"/>
      <c r="Y33" s="3"/>
      <c r="Z33" s="3"/>
      <c r="AA33" s="3"/>
      <c r="AB33" s="3"/>
    </row>
    <row r="34" spans="1:28">
      <c r="A34" s="29"/>
      <c r="B34" s="29"/>
      <c r="C34" s="29"/>
      <c r="D34" s="29"/>
      <c r="E34" s="29"/>
      <c r="H34" s="29"/>
      <c r="K34" s="29"/>
      <c r="N34" s="29"/>
      <c r="Q34" s="29"/>
      <c r="R34" s="29"/>
      <c r="S34" s="29"/>
      <c r="T34" s="29"/>
      <c r="W34" s="3"/>
      <c r="X34" s="3"/>
      <c r="Y34" s="3"/>
      <c r="Z34" s="3"/>
      <c r="AA34" s="3"/>
      <c r="AB34" s="3"/>
    </row>
    <row r="35" spans="1:28">
      <c r="W35" s="3"/>
      <c r="X35" s="3"/>
      <c r="Y35" s="3"/>
      <c r="Z35" s="3"/>
      <c r="AA35" s="3"/>
      <c r="AB35" s="3"/>
    </row>
    <row r="36" spans="1:28">
      <c r="W36" s="3"/>
      <c r="X36" s="3"/>
      <c r="Y36" s="3"/>
      <c r="Z36" s="3"/>
      <c r="AA36" s="3"/>
      <c r="AB36" s="3"/>
    </row>
    <row r="37" spans="1:28">
      <c r="W37" s="3"/>
      <c r="X37" s="3"/>
      <c r="Y37" s="3"/>
      <c r="Z37" s="3"/>
      <c r="AA37" s="3"/>
      <c r="AB37" s="3"/>
    </row>
    <row r="38" spans="1:28">
      <c r="F38" s="7"/>
      <c r="G38" s="7"/>
      <c r="I38" s="7"/>
      <c r="J38" s="7"/>
      <c r="L38" s="7"/>
      <c r="M38" s="7"/>
      <c r="O38" s="7"/>
      <c r="P38" s="7"/>
      <c r="W38" s="3"/>
      <c r="X38" s="3"/>
      <c r="Y38" s="3"/>
      <c r="Z38" s="3"/>
      <c r="AA38" s="3"/>
      <c r="AB38" s="3"/>
    </row>
    <row r="39" spans="1:28" ht="17.25">
      <c r="A39" s="30"/>
      <c r="B39" s="7"/>
      <c r="C39" s="7"/>
      <c r="D39" s="7"/>
      <c r="E39" s="7"/>
      <c r="H39" s="7"/>
      <c r="K39" s="7"/>
      <c r="N39" s="7"/>
      <c r="Q39" s="7"/>
      <c r="R39" s="7"/>
      <c r="S39" s="7"/>
      <c r="T39" s="31"/>
      <c r="W39" s="3"/>
      <c r="X39" s="3"/>
      <c r="Y39" s="3"/>
      <c r="Z39" s="3"/>
      <c r="AA39" s="3"/>
      <c r="AB39" s="3"/>
    </row>
    <row r="40" spans="1:28">
      <c r="W40" s="3"/>
      <c r="X40" s="3"/>
      <c r="Y40" s="3"/>
      <c r="Z40" s="3"/>
      <c r="AA40" s="3"/>
      <c r="AB40" s="3"/>
    </row>
    <row r="41" spans="1:28">
      <c r="W41" s="3"/>
      <c r="X41" s="3"/>
      <c r="Y41" s="3"/>
      <c r="Z41" s="3"/>
      <c r="AA41" s="3"/>
      <c r="AB41" s="3"/>
    </row>
  </sheetData>
  <mergeCells count="11">
    <mergeCell ref="T3:T6"/>
    <mergeCell ref="Q4:S4"/>
    <mergeCell ref="A1:T1"/>
    <mergeCell ref="A2:T2"/>
    <mergeCell ref="A3:A6"/>
    <mergeCell ref="B3:D4"/>
    <mergeCell ref="E3:G4"/>
    <mergeCell ref="Q3:S3"/>
    <mergeCell ref="H3:J4"/>
    <mergeCell ref="K3:M4"/>
    <mergeCell ref="N3:P4"/>
  </mergeCells>
  <pageMargins left="0.7" right="0.7" top="0.75" bottom="0.75" header="0.3" footer="0.3"/>
  <pageSetup paperSize="9" scale="38" orientation="portrait" horizontalDpi="4294967295" verticalDpi="4294967295" r:id="rId1"/>
  <ignoredErrors>
    <ignoredError sqref="Q7:S19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</vt:lpstr>
      <vt:lpstr>'8.2'!Print_Area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2023-05-16T11:49:57Z</cp:lastPrinted>
  <dcterms:created xsi:type="dcterms:W3CDTF">2019-06-30T04:22:49Z</dcterms:created>
  <dcterms:modified xsi:type="dcterms:W3CDTF">2023-05-16T11:50:04Z</dcterms:modified>
</cp:coreProperties>
</file>