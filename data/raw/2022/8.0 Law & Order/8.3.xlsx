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A7055080-C63B-4C27-9896-2559B7EEF9AB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3" sheetId="3" r:id="rId1"/>
  </sheets>
  <definedNames>
    <definedName name="_xlnm.Print_Area" localSheetId="0">'8.3'!$A$1:$T$60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" i="3" l="1"/>
  <c r="O7" i="3" l="1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M8" i="3"/>
  <c r="M6" i="3" s="1"/>
  <c r="L8" i="3" l="1"/>
  <c r="L6" i="3" l="1"/>
  <c r="O8" i="3"/>
  <c r="K8" i="3" l="1"/>
  <c r="K6" i="3" l="1"/>
  <c r="J8" i="3" l="1"/>
  <c r="I8" i="3"/>
  <c r="I6" i="3" s="1"/>
  <c r="H8" i="3"/>
  <c r="H6" i="3" s="1"/>
  <c r="G8" i="3"/>
  <c r="G6" i="3" s="1"/>
  <c r="F8" i="3"/>
  <c r="F6" i="3" s="1"/>
  <c r="E8" i="3"/>
  <c r="E6" i="3" s="1"/>
  <c r="D8" i="3"/>
  <c r="D6" i="3" s="1"/>
  <c r="C8" i="3"/>
  <c r="C6" i="3" s="1"/>
  <c r="B8" i="3"/>
  <c r="B6" i="3" s="1"/>
  <c r="J6" i="3" l="1"/>
</calcChain>
</file>

<file path=xl/sharedStrings.xml><?xml version="1.0" encoding="utf-8"?>
<sst xmlns="http://schemas.openxmlformats.org/spreadsheetml/2006/main" count="55" uniqueCount="52">
  <si>
    <t>Source: Maldives Police Service</t>
  </si>
  <si>
    <t>csivrws csilop cscviDclOm :Ivcaed utWmUluAwm</t>
  </si>
  <si>
    <t>އަތޮޅުތައް</t>
  </si>
  <si>
    <t>Republic</t>
  </si>
  <si>
    <t>Male'</t>
  </si>
  <si>
    <t>Atolls</t>
  </si>
  <si>
    <t>Locality</t>
  </si>
  <si>
    <t>ކުރީ އަހަރާއި  އަޅާ</t>
  </si>
  <si>
    <t>ތަން</t>
  </si>
  <si>
    <t>ބަލާއިރު އިތުރުވި މިންވަރު</t>
  </si>
  <si>
    <t>ejcaWriLum</t>
  </si>
  <si>
    <t>elWm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</si>
  <si>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</si>
  <si>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</si>
  <si>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</si>
  <si>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</si>
  <si>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</si>
  <si>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</si>
  <si>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</si>
  <si>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</si>
  <si>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</si>
  <si>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</si>
  <si>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</si>
  <si>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</si>
  <si>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</si>
  <si>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</si>
  <si>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</si>
  <si>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</si>
  <si>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</si>
  <si>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</si>
  <si>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</si>
  <si>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</si>
  <si>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</si>
  <si>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</si>
  <si>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</si>
  <si>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</si>
  <si>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</si>
  <si>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</si>
  <si>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</si>
  <si>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</si>
  <si>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</si>
  <si>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</si>
  <si>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</si>
  <si>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</si>
  <si>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</si>
  <si>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</si>
  <si>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</si>
  <si>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</si>
  <si>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</si>
  <si>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% change over 2020</t>
  </si>
  <si>
    <t>TABLE: 8.3: NUMBER OF  LOGGED CASES BY ATOLL, 2016 - 2021</t>
  </si>
  <si>
    <t>ތާވަލު 8.3: އެކި އަތޮޅުތަކުން ހުށަހެޅިފައިވާ މައްސަލަތަކުގެ އަދަދު، 2016- 2021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</si>
</sst>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Faruma"/>
      <family val="3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b/>
      <sz val="10"/>
      <name val="Courier"/>
      <family val="3"/>
    </font>
    <font>
      <sz val="9"/>
      <name val="Faruma"/>
      <family val="3"/>
    </font>
    <font>
      <b/>
      <sz val="9"/>
      <name val="Faruma"/>
      <family val="3"/>
    </font>
    <font>
      <sz val="10"/>
      <color theme="2" tint="-0.499984740745262"/>
      <name val="Times New Roman"/>
      <family val="1"/>
    </font>
    <font>
      <b/>
      <sz val="10"/>
      <color rgb="FFFF0000"/>
      <name val="Courier"/>
      <family val="3"/>
    </font>
    <font>
      <sz val="9"/>
      <color rgb="FFFF0000"/>
      <name val="Courier"/>
      <family val="3"/>
    </font>
    <font>
      <i/>
      <sz val="10"/>
      <name val="Courier"/>
      <family val="3"/>
    </font>
    <font>
      <sz val="10"/>
      <name val="Arial"/>
      <family val="2"/>
    </font>
    <font>
      <b/>
      <sz val="10"/>
      <name val="Faruma"/>
      <family val="3"/>
    </font>
    <font>
      <b/>
      <sz val="15"/>
      <color theme="3"/>
      <name val="Arial Mäori"/>
      <family val="2"/>
    </font>
    <font>
      <b/>
      <sz val="10"/>
      <name val="A_Faseyha"/>
    </font>
    <font>
      <sz val="10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6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167" fontId="19" fillId="0" borderId="0"/>
    <xf numFmtId="0" fontId="29" fillId="0" borderId="4" applyNumberFormat="0" applyFill="0" applyAlignment="0" applyProtection="0"/>
    <xf numFmtId="0" fontId="27" fillId="0" borderId="0"/>
    <xf numFmtId="0" fontId="27" fillId="0" borderId="0"/>
  </cellStyleXfs>
  <cellXfs count="53">
    <xf numFmtId="0" fontId="0" fillId="0" borderId="0" xfId="0"/>
    <xf numFmtId="164" fontId="0" fillId="2" borderId="0" xfId="0" applyNumberFormat="1" applyFill="1"/>
    <xf numFmtId="164" fontId="2" fillId="2" borderId="0" xfId="3" applyNumberFormat="1" applyFont="1" applyFill="1" applyAlignment="1">
      <alignment vertical="center"/>
    </xf>
    <xf numFmtId="164" fontId="10" fillId="2" borderId="0" xfId="0" applyNumberFormat="1" applyFont="1" applyFill="1"/>
    <xf numFmtId="164" fontId="7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6" fontId="14" fillId="2" borderId="0" xfId="1" applyNumberFormat="1" applyFont="1" applyFill="1" applyBorder="1" applyAlignment="1">
      <alignment horizontal="center"/>
    </xf>
    <xf numFmtId="164" fontId="10" fillId="2" borderId="0" xfId="0" applyNumberFormat="1" applyFont="1" applyFill="1" applyAlignment="1">
      <alignment horizontal="center" vertical="top"/>
    </xf>
    <xf numFmtId="164" fontId="16" fillId="2" borderId="3" xfId="0" applyNumberFormat="1" applyFont="1" applyFill="1" applyBorder="1" applyAlignment="1">
      <alignment horizontal="left" vertical="center"/>
    </xf>
    <xf numFmtId="166" fontId="7" fillId="2" borderId="0" xfId="4" applyFont="1" applyFill="1" applyBorder="1" applyAlignment="1">
      <alignment horizontal="center" vertical="center"/>
    </xf>
    <xf numFmtId="166" fontId="13" fillId="2" borderId="0" xfId="4" applyFont="1" applyFill="1" applyBorder="1" applyAlignment="1">
      <alignment horizontal="center" vertical="center"/>
    </xf>
    <xf numFmtId="166" fontId="13" fillId="2" borderId="2" xfId="4" applyFont="1" applyFill="1" applyBorder="1" applyAlignment="1">
      <alignment horizontal="center" vertical="center"/>
    </xf>
    <xf numFmtId="164" fontId="14" fillId="2" borderId="0" xfId="0" applyNumberFormat="1" applyFont="1" applyFill="1"/>
    <xf numFmtId="164" fontId="21" fillId="2" borderId="0" xfId="0" applyNumberFormat="1" applyFont="1" applyFill="1" applyAlignment="1">
      <alignment horizontal="right" vertical="center"/>
    </xf>
    <xf numFmtId="164" fontId="8" fillId="2" borderId="0" xfId="0" applyNumberFormat="1" applyFont="1" applyFill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 wrapText="1"/>
    </xf>
    <xf numFmtId="166" fontId="17" fillId="2" borderId="0" xfId="4" applyFont="1" applyFill="1" applyBorder="1" applyAlignment="1">
      <alignment horizontal="center" vertical="center"/>
    </xf>
    <xf numFmtId="9" fontId="12" fillId="2" borderId="0" xfId="2" applyFont="1" applyFill="1" applyBorder="1" applyAlignment="1" applyProtection="1">
      <alignment horizontal="center" vertical="center"/>
      <protection locked="0"/>
    </xf>
    <xf numFmtId="165" fontId="12" fillId="2" borderId="0" xfId="0" applyNumberFormat="1" applyFont="1" applyFill="1" applyAlignment="1">
      <alignment horizontal="right" vertical="center" indent="5"/>
    </xf>
    <xf numFmtId="164" fontId="20" fillId="2" borderId="0" xfId="0" applyNumberFormat="1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23" fillId="2" borderId="0" xfId="0" applyFont="1" applyFill="1"/>
    <xf numFmtId="164" fontId="24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horizontal="left" vertical="center" indent="1"/>
    </xf>
    <xf numFmtId="165" fontId="15" fillId="2" borderId="0" xfId="0" applyNumberFormat="1" applyFont="1" applyFill="1" applyAlignment="1">
      <alignment horizontal="right" vertical="center" indent="5"/>
    </xf>
    <xf numFmtId="164" fontId="19" fillId="2" borderId="0" xfId="0" applyNumberFormat="1" applyFont="1" applyFill="1" applyAlignment="1">
      <alignment vertical="center"/>
    </xf>
    <xf numFmtId="164" fontId="10" fillId="2" borderId="0" xfId="0" applyNumberFormat="1" applyFont="1" applyFill="1" applyAlignment="1">
      <alignment vertical="center"/>
    </xf>
    <xf numFmtId="164" fontId="13" fillId="2" borderId="2" xfId="0" applyNumberFormat="1" applyFont="1" applyFill="1" applyBorder="1" applyAlignment="1">
      <alignment horizontal="left" vertical="center" indent="1"/>
    </xf>
    <xf numFmtId="165" fontId="15" fillId="2" borderId="2" xfId="0" applyNumberFormat="1" applyFont="1" applyFill="1" applyBorder="1" applyAlignment="1">
      <alignment horizontal="right" vertical="center" indent="5"/>
    </xf>
    <xf numFmtId="164" fontId="25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4" fontId="26" fillId="2" borderId="0" xfId="0" applyNumberFormat="1" applyFont="1" applyFill="1"/>
    <xf numFmtId="9" fontId="12" fillId="2" borderId="2" xfId="2" applyFont="1" applyFill="1" applyBorder="1" applyAlignment="1" applyProtection="1">
      <alignment horizontal="center" vertical="center"/>
      <protection locked="0"/>
    </xf>
    <xf numFmtId="3" fontId="30" fillId="2" borderId="0" xfId="0" applyNumberFormat="1" applyFont="1" applyFill="1" applyAlignment="1">
      <alignment horizontal="right" vertical="center" indent="1"/>
    </xf>
    <xf numFmtId="164" fontId="31" fillId="2" borderId="0" xfId="0" applyNumberFormat="1" applyFont="1" applyFill="1" applyAlignment="1">
      <alignment horizontal="right" vertical="center" indent="1"/>
    </xf>
    <xf numFmtId="164" fontId="31" fillId="2" borderId="2" xfId="0" applyNumberFormat="1" applyFont="1" applyFill="1" applyBorder="1" applyAlignment="1">
      <alignment horizontal="right" vertical="center" indent="1"/>
    </xf>
    <xf numFmtId="164" fontId="32" fillId="2" borderId="3" xfId="0" applyNumberFormat="1" applyFont="1" applyFill="1" applyBorder="1" applyAlignment="1">
      <alignment horizontal="right"/>
    </xf>
    <xf numFmtId="3" fontId="28" fillId="2" borderId="0" xfId="0" applyNumberFormat="1" applyFont="1" applyFill="1" applyAlignment="1">
      <alignment horizontal="right" vertical="center" indent="1"/>
    </xf>
    <xf numFmtId="164" fontId="8" fillId="2" borderId="1" xfId="0" applyNumberFormat="1" applyFont="1" applyFill="1" applyBorder="1" applyAlignment="1">
      <alignment horizontal="right" vertical="center"/>
    </xf>
    <xf numFmtId="164" fontId="8" fillId="2" borderId="2" xfId="0" applyNumberFormat="1" applyFont="1" applyFill="1" applyBorder="1" applyAlignment="1">
      <alignment horizontal="right" vertical="center"/>
    </xf>
    <xf numFmtId="164" fontId="9" fillId="2" borderId="1" xfId="0" applyNumberFormat="1" applyFont="1" applyFill="1" applyBorder="1" applyAlignment="1">
      <alignment horizontal="center" vertical="center" wrapText="1"/>
    </xf>
    <xf numFmtId="164" fontId="9" fillId="2" borderId="0" xfId="0" applyNumberFormat="1" applyFont="1" applyFill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right" vertical="center"/>
    </xf>
    <xf numFmtId="164" fontId="7" fillId="2" borderId="2" xfId="0" applyNumberFormat="1" applyFont="1" applyFill="1" applyBorder="1" applyAlignment="1">
      <alignment horizontal="right" vertical="center"/>
    </xf>
    <xf numFmtId="164" fontId="11" fillId="2" borderId="2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left" vertical="center" wrapText="1"/>
    </xf>
    <xf numFmtId="164" fontId="7" fillId="2" borderId="0" xfId="0" applyNumberFormat="1" applyFont="1" applyFill="1" applyAlignment="1">
      <alignment horizontal="left" vertical="center" wrapText="1"/>
    </xf>
    <xf numFmtId="164" fontId="7" fillId="2" borderId="0" xfId="0" applyNumberFormat="1" applyFont="1" applyFill="1" applyAlignment="1">
      <alignment horizontal="right" vertical="center"/>
    </xf>
    <xf numFmtId="164" fontId="22" fillId="2" borderId="1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horizontal="right" vertical="center" wrapText="1"/>
    </xf>
    <xf numFmtId="164" fontId="4" fillId="2" borderId="0" xfId="0" applyNumberFormat="1" applyFont="1" applyFill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top"/>
    </xf>
  </cellXfs>
  <cellStyles count="10">
    <cellStyle name="1" xfId="9" xr:uid="{00000000-0005-0000-0000-000000000000}"/>
    <cellStyle name="Comma" xfId="1" builtinId="3"/>
    <cellStyle name="Comma 2" xfId="4" xr:uid="{00000000-0005-0000-0000-000002000000}"/>
    <cellStyle name="Heading 1 2" xfId="7" xr:uid="{00000000-0005-0000-0000-000003000000}"/>
    <cellStyle name="Hyperlink" xfId="3" builtinId="8"/>
    <cellStyle name="Normal" xfId="0" builtinId="0"/>
    <cellStyle name="Normal 2" xfId="8" xr:uid="{00000000-0005-0000-0000-000006000000}"/>
    <cellStyle name="Normal 3" xfId="6" xr:uid="{00000000-0005-0000-0000-000007000000}"/>
    <cellStyle name="Percent" xfId="2" builtinId="5"/>
    <cellStyle name="Percent 2" xfId="5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8.5: Number of logged cases by Atoll, 2019 -2021</a:t>
            </a:r>
          </a:p>
        </c:rich>
      </c:tx>
      <c:layout>
        <c:manualLayout>
          <c:xMode val="edge"/>
          <c:yMode val="edge"/>
          <c:x val="0.22629300488757986"/>
          <c:y val="3.906443748171257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0836508005459606E-2"/>
          <c:y val="0.15366966895041112"/>
          <c:w val="0.9089788148537401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'8.3'!$K$3:$K$5</c:f>
              <c:strCache>
                <c:ptCount val="3"/>
                <c:pt idx="0">
                  <c:v>2019 </c:v>
                </c:pt>
              </c:strCache>
            </c:strRef>
          </c:tx>
          <c:spPr>
            <a:solidFill>
              <a:srgbClr val="FF6969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'8.3'!$K$9:$K$28</c:f>
              <c:numCache>
                <c:formatCode>_-* #,##0_-;\-* #,##0_-;_-* "-"??_-;_-@_-</c:formatCode>
                <c:ptCount val="20"/>
                <c:pt idx="0">
                  <c:v>139</c:v>
                </c:pt>
                <c:pt idx="1">
                  <c:v>359</c:v>
                </c:pt>
                <c:pt idx="2">
                  <c:v>116</c:v>
                </c:pt>
                <c:pt idx="3">
                  <c:v>219</c:v>
                </c:pt>
                <c:pt idx="4">
                  <c:v>256</c:v>
                </c:pt>
                <c:pt idx="5">
                  <c:v>146</c:v>
                </c:pt>
                <c:pt idx="6">
                  <c:v>230</c:v>
                </c:pt>
                <c:pt idx="7">
                  <c:v>705</c:v>
                </c:pt>
                <c:pt idx="8">
                  <c:v>108</c:v>
                </c:pt>
                <c:pt idx="9">
                  <c:v>210</c:v>
                </c:pt>
                <c:pt idx="10">
                  <c:v>33</c:v>
                </c:pt>
                <c:pt idx="11">
                  <c:v>88</c:v>
                </c:pt>
                <c:pt idx="12">
                  <c:v>70</c:v>
                </c:pt>
                <c:pt idx="13">
                  <c:v>156</c:v>
                </c:pt>
                <c:pt idx="14">
                  <c:v>207</c:v>
                </c:pt>
                <c:pt idx="15">
                  <c:v>257</c:v>
                </c:pt>
                <c:pt idx="16">
                  <c:v>228</c:v>
                </c:pt>
                <c:pt idx="17">
                  <c:v>365</c:v>
                </c:pt>
                <c:pt idx="18">
                  <c:v>379</c:v>
                </c:pt>
                <c:pt idx="19">
                  <c:v>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4-47A1-A892-10451405B9C8}"/>
            </c:ext>
          </c:extLst>
        </c:ser>
        <c:ser>
          <c:idx val="1"/>
          <c:order val="1"/>
          <c:tx>
            <c:strRef>
              <c:f>'8.3'!$L$3:$L$5</c:f>
              <c:strCache>
                <c:ptCount val="3"/>
                <c:pt idx="0">
                  <c:v>2020 </c:v>
                </c:pt>
              </c:strCache>
            </c:strRef>
          </c:tx>
          <c:spPr>
            <a:solidFill>
              <a:srgbClr val="FFC5C5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'8.3'!$L$9:$L$28</c:f>
              <c:numCache>
                <c:formatCode>_-* #,##0_-;\-* #,##0_-;_-* "-"??_-;_-@_-</c:formatCode>
                <c:ptCount val="20"/>
                <c:pt idx="0">
                  <c:v>91</c:v>
                </c:pt>
                <c:pt idx="1">
                  <c:v>521</c:v>
                </c:pt>
                <c:pt idx="2">
                  <c:v>143</c:v>
                </c:pt>
                <c:pt idx="3">
                  <c:v>172</c:v>
                </c:pt>
                <c:pt idx="4">
                  <c:v>219</c:v>
                </c:pt>
                <c:pt idx="5">
                  <c:v>152</c:v>
                </c:pt>
                <c:pt idx="6">
                  <c:v>190</c:v>
                </c:pt>
                <c:pt idx="7">
                  <c:v>497</c:v>
                </c:pt>
                <c:pt idx="8">
                  <c:v>99</c:v>
                </c:pt>
                <c:pt idx="9">
                  <c:v>193</c:v>
                </c:pt>
                <c:pt idx="10">
                  <c:v>17</c:v>
                </c:pt>
                <c:pt idx="11">
                  <c:v>70</c:v>
                </c:pt>
                <c:pt idx="12">
                  <c:v>91</c:v>
                </c:pt>
                <c:pt idx="13">
                  <c:v>130</c:v>
                </c:pt>
                <c:pt idx="14">
                  <c:v>225</c:v>
                </c:pt>
                <c:pt idx="15">
                  <c:v>283</c:v>
                </c:pt>
                <c:pt idx="16">
                  <c:v>236</c:v>
                </c:pt>
                <c:pt idx="17">
                  <c:v>274</c:v>
                </c:pt>
                <c:pt idx="18">
                  <c:v>501</c:v>
                </c:pt>
                <c:pt idx="19">
                  <c:v>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84-47A1-A892-10451405B9C8}"/>
            </c:ext>
          </c:extLst>
        </c:ser>
        <c:ser>
          <c:idx val="0"/>
          <c:order val="2"/>
          <c:tx>
            <c:strRef>
              <c:f>'8.3'!$M$3:$M$5</c:f>
              <c:strCache>
                <c:ptCount val="3"/>
                <c:pt idx="0">
                  <c:v>2021 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'8.3'!$M$9:$M$28</c:f>
              <c:numCache>
                <c:formatCode>_-* #,##0_-;\-* #,##0_-;_-* "-"??_-;_-@_-</c:formatCode>
                <c:ptCount val="20"/>
                <c:pt idx="0">
                  <c:v>91</c:v>
                </c:pt>
                <c:pt idx="1">
                  <c:v>423</c:v>
                </c:pt>
                <c:pt idx="2">
                  <c:v>89</c:v>
                </c:pt>
                <c:pt idx="3">
                  <c:v>132</c:v>
                </c:pt>
                <c:pt idx="4">
                  <c:v>178</c:v>
                </c:pt>
                <c:pt idx="5">
                  <c:v>132</c:v>
                </c:pt>
                <c:pt idx="6">
                  <c:v>159</c:v>
                </c:pt>
                <c:pt idx="7">
                  <c:v>435</c:v>
                </c:pt>
                <c:pt idx="8">
                  <c:v>82</c:v>
                </c:pt>
                <c:pt idx="9">
                  <c:v>183</c:v>
                </c:pt>
                <c:pt idx="10">
                  <c:v>18</c:v>
                </c:pt>
                <c:pt idx="11">
                  <c:v>48</c:v>
                </c:pt>
                <c:pt idx="12">
                  <c:v>90</c:v>
                </c:pt>
                <c:pt idx="13">
                  <c:v>110</c:v>
                </c:pt>
                <c:pt idx="14">
                  <c:v>145</c:v>
                </c:pt>
                <c:pt idx="15">
                  <c:v>223</c:v>
                </c:pt>
                <c:pt idx="16">
                  <c:v>183</c:v>
                </c:pt>
                <c:pt idx="17">
                  <c:v>188</c:v>
                </c:pt>
                <c:pt idx="18">
                  <c:v>336</c:v>
                </c:pt>
                <c:pt idx="19">
                  <c:v>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D-4103-92EF-A6E882D10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42395904"/>
        <c:axId val="42397696"/>
      </c:barChart>
      <c:catAx>
        <c:axId val="423959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42397696"/>
        <c:crosses val="autoZero"/>
        <c:auto val="1"/>
        <c:lblAlgn val="ctr"/>
        <c:lblOffset val="100"/>
        <c:noMultiLvlLbl val="0"/>
      </c:catAx>
      <c:valAx>
        <c:axId val="42397696"/>
        <c:scaling>
          <c:orientation val="minMax"/>
        </c:scaling>
        <c:delete val="0"/>
        <c:axPos val="l"/>
        <c:majorGridlines>
          <c:spPr>
            <a:ln>
              <a:solidFill>
                <a:srgbClr val="FFE5E5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42395904"/>
        <c:crosses val="autoZero"/>
        <c:crossBetween val="between"/>
      </c:valAx>
      <c:spPr>
        <a:solidFill>
          <a:srgbClr val="FFEFEF"/>
        </a:solidFill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68324276524366678"/>
          <c:y val="0.22781983207041689"/>
          <c:w val="0.23283812838763951"/>
          <c:h val="6.4148946238968399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70396866824538E-2"/>
          <c:y val="0.15731735335360053"/>
          <c:w val="0.88977289914881652"/>
          <c:h val="0.7582639669890592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solidFill>
                <a:srgbClr val="FFC5C5"/>
              </a:solidFill>
            </a:ln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8C29-424A-8D3B-0E1C0DE0334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8C29-424A-8D3B-0E1C0DE0334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392F-4D3A-BEDB-1D3DA447123E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392F-4D3A-BEDB-1D3DA447123E}"/>
              </c:ext>
            </c:extLst>
          </c:dPt>
          <c:dPt>
            <c:idx val="10"/>
            <c:invertIfNegative val="0"/>
            <c:bubble3D val="0"/>
            <c:spPr>
              <a:solidFill>
                <a:srgbClr val="FFC5C5"/>
              </a:solidFill>
              <a:ln>
                <a:solidFill>
                  <a:srgbClr val="FFC5C5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3730-4580-A847-0491FE86EA2D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8C29-424A-8D3B-0E1C0DE0334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8C29-424A-8D3B-0E1C0DE03347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392F-4D3A-BEDB-1D3DA447123E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392F-4D3A-BEDB-1D3DA447123E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392F-4D3A-BEDB-1D3DA447123E}"/>
              </c:ext>
            </c:extLst>
          </c:dPt>
          <c:dPt>
            <c:idx val="1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8C29-424A-8D3B-0E1C0DE03347}"/>
              </c:ext>
            </c:extLst>
          </c:dPt>
          <c:dPt>
            <c:idx val="1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392F-4D3A-BEDB-1D3DA447123E}"/>
              </c:ext>
            </c:extLst>
          </c:dPt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'8.3'!$O$9:$O$28</c:f>
              <c:numCache>
                <c:formatCode>0.0</c:formatCode>
                <c:ptCount val="20"/>
                <c:pt idx="0">
                  <c:v>0</c:v>
                </c:pt>
                <c:pt idx="1">
                  <c:v>-18.809980806142036</c:v>
                </c:pt>
                <c:pt idx="2">
                  <c:v>-37.76223776223776</c:v>
                </c:pt>
                <c:pt idx="3">
                  <c:v>-23.255813953488371</c:v>
                </c:pt>
                <c:pt idx="4">
                  <c:v>-18.721461187214611</c:v>
                </c:pt>
                <c:pt idx="5">
                  <c:v>-13.157894736842104</c:v>
                </c:pt>
                <c:pt idx="6">
                  <c:v>-16.315789473684212</c:v>
                </c:pt>
                <c:pt idx="7">
                  <c:v>-12.474849094567404</c:v>
                </c:pt>
                <c:pt idx="8">
                  <c:v>-17.171717171717169</c:v>
                </c:pt>
                <c:pt idx="9">
                  <c:v>-5.1813471502590671</c:v>
                </c:pt>
                <c:pt idx="10">
                  <c:v>5.8823529411764701</c:v>
                </c:pt>
                <c:pt idx="11">
                  <c:v>-31.428571428571427</c:v>
                </c:pt>
                <c:pt idx="12">
                  <c:v>-1.098901098901099</c:v>
                </c:pt>
                <c:pt idx="13">
                  <c:v>-15.384615384615385</c:v>
                </c:pt>
                <c:pt idx="14">
                  <c:v>-35.555555555555557</c:v>
                </c:pt>
                <c:pt idx="15">
                  <c:v>-21.201413427561839</c:v>
                </c:pt>
                <c:pt idx="16">
                  <c:v>-22.457627118644069</c:v>
                </c:pt>
                <c:pt idx="17">
                  <c:v>-31.386861313868614</c:v>
                </c:pt>
                <c:pt idx="18">
                  <c:v>-32.934131736526943</c:v>
                </c:pt>
                <c:pt idx="19">
                  <c:v>-14.560770156438027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952-48BE-A343-C20ED7FB5D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42657664"/>
        <c:axId val="42659200"/>
      </c:barChart>
      <c:catAx>
        <c:axId val="426576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42659200"/>
        <c:crosses val="autoZero"/>
        <c:auto val="1"/>
        <c:lblAlgn val="ctr"/>
        <c:lblOffset val="100"/>
        <c:noMultiLvlLbl val="0"/>
      </c:catAx>
      <c:valAx>
        <c:axId val="42659200"/>
        <c:scaling>
          <c:orientation val="minMax"/>
          <c:min val="-40"/>
        </c:scaling>
        <c:delete val="0"/>
        <c:axPos val="l"/>
        <c:majorGridlines>
          <c:spPr>
            <a:ln>
              <a:solidFill>
                <a:srgbClr val="FFE5E5"/>
              </a:solidFill>
            </a:ln>
          </c:spPr>
        </c:majorGridlines>
        <c:numFmt formatCode="0.0" sourceLinked="1"/>
        <c:majorTickMark val="out"/>
        <c:minorTickMark val="none"/>
        <c:tickLblPos val="nextTo"/>
        <c:crossAx val="42657664"/>
        <c:crosses val="autoZero"/>
        <c:crossBetween val="between"/>
      </c:valAx>
      <c:spPr>
        <a:solidFill>
          <a:srgbClr val="FFEFEF"/>
        </a:solidFill>
        <a:ln w="6350">
          <a:solidFill>
            <a:schemeClr val="bg1">
              <a:lumMod val="6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30</xdr:row>
      <xdr:rowOff>79699</xdr:rowOff>
    </xdr:from>
    <xdr:to>
      <xdr:col>17</xdr:col>
      <xdr:colOff>7683</xdr:colOff>
      <xdr:row>43</xdr:row>
      <xdr:rowOff>163209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242790</xdr:colOff>
      <xdr:row>44</xdr:row>
      <xdr:rowOff>62590</xdr:rowOff>
    </xdr:from>
    <xdr:to>
      <xdr:col>17</xdr:col>
      <xdr:colOff>86222</xdr:colOff>
      <xdr:row>59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147929</xdr:colOff>
      <xdr:row>45</xdr:row>
      <xdr:rowOff>58215</xdr:rowOff>
    </xdr:from>
    <xdr:to>
      <xdr:col>15</xdr:col>
      <xdr:colOff>398495</xdr:colOff>
      <xdr:row>46</xdr:row>
      <xdr:rowOff>171543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605837" y="8922297"/>
          <a:ext cx="4891574" cy="30285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tx1"/>
              </a:solidFill>
            </a:rPr>
            <a:t>Figure 8.6: </a:t>
          </a:r>
          <a:r>
            <a:rPr lang="en-US" sz="1100" b="1"/>
            <a:t>Percentage</a:t>
          </a:r>
          <a:r>
            <a:rPr lang="en-US" sz="1100" b="1" baseline="0"/>
            <a:t> change of logged cases over previous year (2020) by Atolls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92D050"/>
  </sheetPr>
  <dimension ref="A1:X60"/>
  <sheetViews>
    <sheetView tabSelected="1" zoomScaleNormal="100" workbookViewId="0">
      <selection activeCell="U39" sqref="U39"/>
    </sheetView>
  </sheetViews>
  <sheetFormatPr defaultColWidth="9.140625" defaultRowHeight="15"/>
  <cols>
    <col min="1" max="1" width="13.85546875" style="1" customWidth="1"/>
    <col min="2" max="7" width="10.42578125" style="1" hidden="1" customWidth="1"/>
    <col min="8" max="13" width="10.42578125" style="1" bestFit="1" customWidth="1"/>
    <col min="14" max="14" width="1.42578125" style="1" customWidth="1"/>
    <col min="15" max="15" width="16" style="1" customWidth="1"/>
    <col min="16" max="16" width="11" style="1" customWidth="1"/>
    <col min="17" max="17" width="4.42578125" style="1" customWidth="1"/>
    <col min="18" max="18" width="6.5703125" style="1" bestFit="1" customWidth="1"/>
    <col min="19" max="19" width="0.140625" style="1" customWidth="1"/>
    <col min="20" max="20" width="2.42578125" style="1" hidden="1" customWidth="1"/>
    <col min="21" max="21" width="22.140625" style="1" bestFit="1" customWidth="1"/>
    <col min="22" max="16384" width="9.140625" style="1"/>
  </cols>
  <sheetData>
    <row r="1" spans="1:24" ht="21.75">
      <c r="A1" s="51" t="s">
        <v>51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24" ht="21.75" customHeight="1">
      <c r="A2" s="52" t="s">
        <v>50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24" ht="16.5" customHeight="1">
      <c r="A3" s="45" t="s">
        <v>6</v>
      </c>
      <c r="B3" s="42">
        <v>2010</v>
      </c>
      <c r="C3" s="42">
        <v>2011</v>
      </c>
      <c r="D3" s="42">
        <v>2012</v>
      </c>
      <c r="E3" s="42">
        <v>2013</v>
      </c>
      <c r="F3" s="42">
        <v>2014</v>
      </c>
      <c r="G3" s="42">
        <v>2015</v>
      </c>
      <c r="H3" s="42">
        <v>2016</v>
      </c>
      <c r="I3" s="42">
        <v>2017</v>
      </c>
      <c r="J3" s="42">
        <v>2018</v>
      </c>
      <c r="K3" s="42">
        <v>2019</v>
      </c>
      <c r="L3" s="42">
        <v>2020</v>
      </c>
      <c r="M3" s="42">
        <v>2021</v>
      </c>
      <c r="N3" s="38"/>
      <c r="O3" s="40" t="s">
        <v>7</v>
      </c>
      <c r="P3" s="49" t="s">
        <v>8</v>
      </c>
      <c r="S3" s="3"/>
      <c r="T3" s="3"/>
      <c r="U3" s="2"/>
      <c r="V3" s="3"/>
      <c r="W3" s="3"/>
      <c r="X3" s="3"/>
    </row>
    <row r="4" spans="1:24" ht="15.75" customHeight="1">
      <c r="A4" s="47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14"/>
      <c r="O4" s="41" t="s">
        <v>9</v>
      </c>
      <c r="P4" s="50"/>
      <c r="S4" s="3"/>
      <c r="T4" s="3"/>
      <c r="U4" s="3"/>
      <c r="V4" s="3"/>
      <c r="W4" s="3"/>
      <c r="X4" s="3"/>
    </row>
    <row r="5" spans="1:24" ht="15.75" customHeight="1">
      <c r="A5" s="46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39"/>
      <c r="O5" s="15" t="s">
        <v>49</v>
      </c>
      <c r="P5" s="44"/>
      <c r="S5" s="3"/>
      <c r="T5" s="3"/>
      <c r="U5" s="3"/>
      <c r="V5" s="3"/>
      <c r="W5" s="3"/>
      <c r="X5" s="3"/>
    </row>
    <row r="6" spans="1:24" s="19" customFormat="1" ht="15.75" customHeight="1">
      <c r="A6" s="4" t="s">
        <v>3</v>
      </c>
      <c r="B6" s="16">
        <f t="shared" ref="B6:J6" si="0">SUM(B7:B8)</f>
        <v>16994</v>
      </c>
      <c r="C6" s="9">
        <f t="shared" si="0"/>
        <v>17803</v>
      </c>
      <c r="D6" s="9">
        <f t="shared" si="0"/>
        <v>20512</v>
      </c>
      <c r="E6" s="9">
        <f t="shared" si="0"/>
        <v>21885</v>
      </c>
      <c r="F6" s="9">
        <f t="shared" si="0"/>
        <v>18187</v>
      </c>
      <c r="G6" s="9">
        <f t="shared" si="0"/>
        <v>16362</v>
      </c>
      <c r="H6" s="9">
        <f t="shared" si="0"/>
        <v>16287</v>
      </c>
      <c r="I6" s="9">
        <f t="shared" si="0"/>
        <v>15535</v>
      </c>
      <c r="J6" s="9">
        <f t="shared" si="0"/>
        <v>14811</v>
      </c>
      <c r="K6" s="9">
        <f>SUM(K7:K8)</f>
        <v>16480</v>
      </c>
      <c r="L6" s="9">
        <f>SUM(L7:L8)</f>
        <v>12787</v>
      </c>
      <c r="M6" s="9">
        <f>SUM(M7:M8)</f>
        <v>14143</v>
      </c>
      <c r="N6" s="17"/>
      <c r="O6" s="18">
        <f>IFERROR(((M6-L6)/L6)*100,"-`")</f>
        <v>10.604520215844216</v>
      </c>
      <c r="P6" s="33" t="s">
        <v>10</v>
      </c>
      <c r="S6" s="20"/>
      <c r="T6" s="21"/>
      <c r="U6" s="3"/>
      <c r="V6" s="20"/>
      <c r="W6" s="21"/>
      <c r="X6" s="22"/>
    </row>
    <row r="7" spans="1:24" s="19" customFormat="1" ht="15.75" customHeight="1">
      <c r="A7" s="4" t="s">
        <v>4</v>
      </c>
      <c r="B7" s="16">
        <v>12238</v>
      </c>
      <c r="C7" s="9">
        <v>11907</v>
      </c>
      <c r="D7" s="9">
        <v>14555</v>
      </c>
      <c r="E7" s="9">
        <v>15284</v>
      </c>
      <c r="F7" s="9">
        <v>12660</v>
      </c>
      <c r="G7" s="9">
        <v>11039</v>
      </c>
      <c r="H7" s="9">
        <v>11481</v>
      </c>
      <c r="I7" s="9">
        <v>10930</v>
      </c>
      <c r="J7" s="9">
        <v>10203</v>
      </c>
      <c r="K7" s="9">
        <v>11459</v>
      </c>
      <c r="L7" s="9">
        <v>7852</v>
      </c>
      <c r="M7" s="9">
        <v>10188</v>
      </c>
      <c r="N7" s="17"/>
      <c r="O7" s="18">
        <f t="shared" ref="O7:O28" si="1">IFERROR(((M7-L7)/L7)*100,"-")</f>
        <v>29.750382068262866</v>
      </c>
      <c r="P7" s="33" t="s">
        <v>11</v>
      </c>
      <c r="U7" s="3"/>
      <c r="V7" s="22"/>
      <c r="W7" s="22"/>
      <c r="X7" s="22"/>
    </row>
    <row r="8" spans="1:24" s="19" customFormat="1" ht="15.75" customHeight="1">
      <c r="A8" s="4" t="s">
        <v>5</v>
      </c>
      <c r="B8" s="16">
        <f>SUM(B9:B28)</f>
        <v>4756</v>
      </c>
      <c r="C8" s="9">
        <f>SUM(C9:C28)</f>
        <v>5896</v>
      </c>
      <c r="D8" s="9">
        <f>SUM(D9:D28)</f>
        <v>5957</v>
      </c>
      <c r="E8" s="9">
        <f t="shared" ref="E8:J8" si="2">SUM(E9:E28)</f>
        <v>6601</v>
      </c>
      <c r="F8" s="9">
        <f t="shared" si="2"/>
        <v>5527</v>
      </c>
      <c r="G8" s="9">
        <f t="shared" si="2"/>
        <v>5323</v>
      </c>
      <c r="H8" s="9">
        <f t="shared" si="2"/>
        <v>4806</v>
      </c>
      <c r="I8" s="9">
        <f t="shared" si="2"/>
        <v>4605</v>
      </c>
      <c r="J8" s="9">
        <f t="shared" si="2"/>
        <v>4608</v>
      </c>
      <c r="K8" s="9">
        <f>SUM(K9:K28)</f>
        <v>5021</v>
      </c>
      <c r="L8" s="9">
        <f>SUM(L9:L28)</f>
        <v>4935</v>
      </c>
      <c r="M8" s="9">
        <f>SUM(M9:M28)</f>
        <v>3955</v>
      </c>
      <c r="N8" s="17"/>
      <c r="O8" s="18">
        <f t="shared" si="1"/>
        <v>-19.858156028368796</v>
      </c>
      <c r="P8" s="37" t="s">
        <v>2</v>
      </c>
      <c r="S8" s="20"/>
      <c r="T8" s="21"/>
      <c r="U8" s="3"/>
      <c r="V8" s="22"/>
      <c r="W8" s="22"/>
      <c r="X8" s="22"/>
    </row>
    <row r="9" spans="1:24" s="25" customFormat="1" ht="15.75" customHeight="1">
      <c r="A9" s="23" t="s">
        <v>12</v>
      </c>
      <c r="B9" s="10">
        <v>269</v>
      </c>
      <c r="C9" s="10">
        <v>246</v>
      </c>
      <c r="D9" s="10">
        <v>236</v>
      </c>
      <c r="E9" s="10">
        <v>236</v>
      </c>
      <c r="F9" s="10">
        <v>210</v>
      </c>
      <c r="G9" s="10">
        <v>212</v>
      </c>
      <c r="H9" s="10">
        <v>154</v>
      </c>
      <c r="I9" s="10">
        <v>103</v>
      </c>
      <c r="J9" s="10">
        <v>134</v>
      </c>
      <c r="K9" s="10">
        <v>139</v>
      </c>
      <c r="L9" s="10">
        <v>91</v>
      </c>
      <c r="M9" s="10">
        <v>91</v>
      </c>
      <c r="N9" s="17"/>
      <c r="O9" s="24">
        <f t="shared" si="1"/>
        <v>0</v>
      </c>
      <c r="P9" s="34" t="s">
        <v>13</v>
      </c>
      <c r="R9" s="5"/>
      <c r="S9" s="20"/>
      <c r="T9" s="21"/>
      <c r="U9" s="3"/>
      <c r="V9" s="26"/>
      <c r="W9" s="26"/>
      <c r="X9" s="26"/>
    </row>
    <row r="10" spans="1:24" s="25" customFormat="1" ht="15.75" customHeight="1">
      <c r="A10" s="23" t="s">
        <v>14</v>
      </c>
      <c r="B10" s="10">
        <v>575</v>
      </c>
      <c r="C10" s="10">
        <v>726</v>
      </c>
      <c r="D10" s="10">
        <v>630</v>
      </c>
      <c r="E10" s="10">
        <v>608</v>
      </c>
      <c r="F10" s="10">
        <v>568</v>
      </c>
      <c r="G10" s="10">
        <v>395</v>
      </c>
      <c r="H10" s="10">
        <v>262</v>
      </c>
      <c r="I10" s="10">
        <v>328</v>
      </c>
      <c r="J10" s="10">
        <v>354</v>
      </c>
      <c r="K10" s="10">
        <v>359</v>
      </c>
      <c r="L10" s="10">
        <v>521</v>
      </c>
      <c r="M10" s="10">
        <v>423</v>
      </c>
      <c r="N10" s="17"/>
      <c r="O10" s="24">
        <f t="shared" si="1"/>
        <v>-18.809980806142036</v>
      </c>
      <c r="P10" s="34" t="s">
        <v>15</v>
      </c>
      <c r="R10" s="5"/>
      <c r="S10" s="20"/>
      <c r="T10" s="21"/>
      <c r="U10" s="3"/>
      <c r="V10" s="26"/>
      <c r="W10" s="26"/>
      <c r="X10" s="26"/>
    </row>
    <row r="11" spans="1:24" s="25" customFormat="1" ht="15.75" customHeight="1">
      <c r="A11" s="23" t="s">
        <v>16</v>
      </c>
      <c r="B11" s="10">
        <v>164</v>
      </c>
      <c r="C11" s="10">
        <v>186</v>
      </c>
      <c r="D11" s="10">
        <v>171</v>
      </c>
      <c r="E11" s="10">
        <v>138</v>
      </c>
      <c r="F11" s="10">
        <v>155</v>
      </c>
      <c r="G11" s="10">
        <v>148</v>
      </c>
      <c r="H11" s="10">
        <v>107</v>
      </c>
      <c r="I11" s="10">
        <v>71</v>
      </c>
      <c r="J11" s="10">
        <v>88</v>
      </c>
      <c r="K11" s="10">
        <v>116</v>
      </c>
      <c r="L11" s="10">
        <v>143</v>
      </c>
      <c r="M11" s="10">
        <v>89</v>
      </c>
      <c r="N11" s="17"/>
      <c r="O11" s="24">
        <f t="shared" si="1"/>
        <v>-37.76223776223776</v>
      </c>
      <c r="P11" s="34" t="s">
        <v>17</v>
      </c>
      <c r="R11" s="5"/>
      <c r="S11" s="20"/>
      <c r="T11" s="21"/>
      <c r="U11" s="3"/>
      <c r="V11" s="26"/>
      <c r="W11" s="26"/>
      <c r="X11" s="26"/>
    </row>
    <row r="12" spans="1:24" s="25" customFormat="1" ht="15.75" customHeight="1">
      <c r="A12" s="23" t="s">
        <v>18</v>
      </c>
      <c r="B12" s="10">
        <v>199</v>
      </c>
      <c r="C12" s="10">
        <v>232</v>
      </c>
      <c r="D12" s="10">
        <v>268</v>
      </c>
      <c r="E12" s="10">
        <v>260</v>
      </c>
      <c r="F12" s="10">
        <v>221</v>
      </c>
      <c r="G12" s="10">
        <v>144</v>
      </c>
      <c r="H12" s="10">
        <v>155</v>
      </c>
      <c r="I12" s="10">
        <v>177</v>
      </c>
      <c r="J12" s="10">
        <v>177</v>
      </c>
      <c r="K12" s="10">
        <v>219</v>
      </c>
      <c r="L12" s="10">
        <v>172</v>
      </c>
      <c r="M12" s="10">
        <v>132</v>
      </c>
      <c r="N12" s="17"/>
      <c r="O12" s="24">
        <f t="shared" si="1"/>
        <v>-23.255813953488371</v>
      </c>
      <c r="P12" s="34" t="s">
        <v>19</v>
      </c>
      <c r="R12" s="5"/>
      <c r="S12" s="20"/>
      <c r="T12" s="21"/>
      <c r="U12" s="3"/>
      <c r="V12" s="26"/>
      <c r="W12" s="26"/>
      <c r="X12" s="26"/>
    </row>
    <row r="13" spans="1:24" s="25" customFormat="1" ht="15.75" customHeight="1">
      <c r="A13" s="23" t="s">
        <v>20</v>
      </c>
      <c r="B13" s="10">
        <v>205</v>
      </c>
      <c r="C13" s="10">
        <v>250</v>
      </c>
      <c r="D13" s="10">
        <v>220</v>
      </c>
      <c r="E13" s="10">
        <v>229</v>
      </c>
      <c r="F13" s="10">
        <v>242</v>
      </c>
      <c r="G13" s="10">
        <v>265</v>
      </c>
      <c r="H13" s="10">
        <v>234</v>
      </c>
      <c r="I13" s="10">
        <v>218</v>
      </c>
      <c r="J13" s="10">
        <v>187</v>
      </c>
      <c r="K13" s="10">
        <v>256</v>
      </c>
      <c r="L13" s="10">
        <v>219</v>
      </c>
      <c r="M13" s="10">
        <v>178</v>
      </c>
      <c r="N13" s="17"/>
      <c r="O13" s="24">
        <f t="shared" si="1"/>
        <v>-18.721461187214611</v>
      </c>
      <c r="P13" s="34" t="s">
        <v>21</v>
      </c>
      <c r="R13" s="5"/>
      <c r="S13" s="20"/>
      <c r="T13" s="21"/>
      <c r="U13" s="3"/>
      <c r="V13" s="26"/>
      <c r="W13" s="26"/>
      <c r="X13" s="26"/>
    </row>
    <row r="14" spans="1:24" s="25" customFormat="1" ht="15.75" customHeight="1">
      <c r="A14" s="23" t="s">
        <v>22</v>
      </c>
      <c r="B14" s="10">
        <v>173</v>
      </c>
      <c r="C14" s="10">
        <v>218</v>
      </c>
      <c r="D14" s="10">
        <v>245</v>
      </c>
      <c r="E14" s="10">
        <v>157</v>
      </c>
      <c r="F14" s="10">
        <v>167</v>
      </c>
      <c r="G14" s="10">
        <v>149</v>
      </c>
      <c r="H14" s="10">
        <v>158</v>
      </c>
      <c r="I14" s="10">
        <v>186</v>
      </c>
      <c r="J14" s="10">
        <v>155</v>
      </c>
      <c r="K14" s="10">
        <v>146</v>
      </c>
      <c r="L14" s="10">
        <v>152</v>
      </c>
      <c r="M14" s="10">
        <v>132</v>
      </c>
      <c r="N14" s="17"/>
      <c r="O14" s="24">
        <f t="shared" si="1"/>
        <v>-13.157894736842104</v>
      </c>
      <c r="P14" s="34" t="s">
        <v>23</v>
      </c>
      <c r="R14" s="5"/>
      <c r="S14" s="20"/>
      <c r="T14" s="21"/>
      <c r="U14" s="3"/>
      <c r="V14" s="26"/>
      <c r="W14" s="26"/>
      <c r="X14" s="26"/>
    </row>
    <row r="15" spans="1:24" s="25" customFormat="1" ht="15.75" customHeight="1">
      <c r="A15" s="23" t="s">
        <v>24</v>
      </c>
      <c r="B15" s="10">
        <v>182</v>
      </c>
      <c r="C15" s="10">
        <v>185</v>
      </c>
      <c r="D15" s="10">
        <v>253</v>
      </c>
      <c r="E15" s="10">
        <v>208</v>
      </c>
      <c r="F15" s="10">
        <v>245</v>
      </c>
      <c r="G15" s="10">
        <v>243</v>
      </c>
      <c r="H15" s="10">
        <v>204</v>
      </c>
      <c r="I15" s="10">
        <v>196</v>
      </c>
      <c r="J15" s="10">
        <v>170</v>
      </c>
      <c r="K15" s="10">
        <v>230</v>
      </c>
      <c r="L15" s="10">
        <v>190</v>
      </c>
      <c r="M15" s="10">
        <v>159</v>
      </c>
      <c r="N15" s="17"/>
      <c r="O15" s="24">
        <f t="shared" si="1"/>
        <v>-16.315789473684212</v>
      </c>
      <c r="P15" s="34" t="s">
        <v>25</v>
      </c>
      <c r="R15" s="5"/>
      <c r="S15" s="20"/>
      <c r="T15" s="21"/>
      <c r="U15" s="3"/>
      <c r="V15" s="26"/>
      <c r="W15" s="26"/>
      <c r="X15" s="26"/>
    </row>
    <row r="16" spans="1:24" s="25" customFormat="1" ht="15.75" customHeight="1">
      <c r="A16" s="23" t="s">
        <v>26</v>
      </c>
      <c r="B16" s="10">
        <v>228</v>
      </c>
      <c r="C16" s="10">
        <v>363</v>
      </c>
      <c r="D16" s="10">
        <v>372</v>
      </c>
      <c r="E16" s="10">
        <v>281</v>
      </c>
      <c r="F16" s="10">
        <v>277</v>
      </c>
      <c r="G16" s="10">
        <v>530</v>
      </c>
      <c r="H16" s="10">
        <v>602</v>
      </c>
      <c r="I16" s="10">
        <v>653</v>
      </c>
      <c r="J16" s="10">
        <v>524</v>
      </c>
      <c r="K16" s="10">
        <v>705</v>
      </c>
      <c r="L16" s="10">
        <v>497</v>
      </c>
      <c r="M16" s="10">
        <v>435</v>
      </c>
      <c r="N16" s="17"/>
      <c r="O16" s="24">
        <f t="shared" si="1"/>
        <v>-12.474849094567404</v>
      </c>
      <c r="P16" s="34" t="s">
        <v>27</v>
      </c>
      <c r="R16" s="5"/>
      <c r="S16" s="20"/>
      <c r="T16" s="21"/>
      <c r="U16" s="3"/>
      <c r="V16" s="26"/>
      <c r="W16" s="26"/>
      <c r="X16" s="26"/>
    </row>
    <row r="17" spans="1:24" s="25" customFormat="1" ht="15.75" customHeight="1">
      <c r="A17" s="23" t="s">
        <v>28</v>
      </c>
      <c r="B17" s="10">
        <v>114</v>
      </c>
      <c r="C17" s="10">
        <v>111</v>
      </c>
      <c r="D17" s="10">
        <v>103</v>
      </c>
      <c r="E17" s="10">
        <v>135</v>
      </c>
      <c r="F17" s="10">
        <v>91</v>
      </c>
      <c r="G17" s="10">
        <v>124</v>
      </c>
      <c r="H17" s="10">
        <v>100</v>
      </c>
      <c r="I17" s="10">
        <v>131</v>
      </c>
      <c r="J17" s="10">
        <v>122</v>
      </c>
      <c r="K17" s="10">
        <v>108</v>
      </c>
      <c r="L17" s="10">
        <v>99</v>
      </c>
      <c r="M17" s="10">
        <v>82</v>
      </c>
      <c r="N17" s="17"/>
      <c r="O17" s="24">
        <f t="shared" si="1"/>
        <v>-17.171717171717169</v>
      </c>
      <c r="P17" s="34" t="s">
        <v>29</v>
      </c>
      <c r="R17" s="5"/>
      <c r="S17" s="20"/>
      <c r="T17" s="21"/>
      <c r="U17" s="3"/>
      <c r="V17" s="26"/>
      <c r="W17" s="26"/>
      <c r="X17" s="26"/>
    </row>
    <row r="18" spans="1:24" s="25" customFormat="1" ht="15.75" customHeight="1">
      <c r="A18" s="23" t="s">
        <v>30</v>
      </c>
      <c r="B18" s="10">
        <v>141</v>
      </c>
      <c r="C18" s="10">
        <v>187</v>
      </c>
      <c r="D18" s="10">
        <v>151</v>
      </c>
      <c r="E18" s="10">
        <v>500</v>
      </c>
      <c r="F18" s="10">
        <v>284</v>
      </c>
      <c r="G18" s="10">
        <v>256</v>
      </c>
      <c r="H18" s="10">
        <v>197</v>
      </c>
      <c r="I18" s="10">
        <v>178</v>
      </c>
      <c r="J18" s="10">
        <v>193</v>
      </c>
      <c r="K18" s="10">
        <v>210</v>
      </c>
      <c r="L18" s="10">
        <v>193</v>
      </c>
      <c r="M18" s="10">
        <v>183</v>
      </c>
      <c r="N18" s="17"/>
      <c r="O18" s="24">
        <f t="shared" si="1"/>
        <v>-5.1813471502590671</v>
      </c>
      <c r="P18" s="34" t="s">
        <v>31</v>
      </c>
      <c r="R18" s="5"/>
      <c r="S18" s="20"/>
      <c r="T18" s="21"/>
      <c r="U18" s="3"/>
      <c r="V18" s="26"/>
      <c r="W18" s="26"/>
      <c r="X18" s="26"/>
    </row>
    <row r="19" spans="1:24" s="25" customFormat="1" ht="15.75" customHeight="1">
      <c r="A19" s="23" t="s">
        <v>32</v>
      </c>
      <c r="B19" s="10">
        <v>15</v>
      </c>
      <c r="C19" s="10">
        <v>18</v>
      </c>
      <c r="D19" s="10">
        <v>27</v>
      </c>
      <c r="E19" s="10">
        <v>19</v>
      </c>
      <c r="F19" s="10">
        <v>32</v>
      </c>
      <c r="G19" s="10">
        <v>40</v>
      </c>
      <c r="H19" s="10">
        <v>35</v>
      </c>
      <c r="I19" s="10">
        <v>36</v>
      </c>
      <c r="J19" s="10">
        <v>28</v>
      </c>
      <c r="K19" s="10">
        <v>33</v>
      </c>
      <c r="L19" s="10">
        <v>17</v>
      </c>
      <c r="M19" s="10">
        <v>18</v>
      </c>
      <c r="N19" s="17"/>
      <c r="O19" s="24">
        <f t="shared" si="1"/>
        <v>5.8823529411764701</v>
      </c>
      <c r="P19" s="34" t="s">
        <v>33</v>
      </c>
      <c r="R19" s="5"/>
      <c r="S19" s="20"/>
      <c r="T19" s="21"/>
      <c r="U19" s="3"/>
      <c r="V19" s="26"/>
      <c r="W19" s="26"/>
      <c r="X19" s="26"/>
    </row>
    <row r="20" spans="1:24" s="25" customFormat="1" ht="15.75" customHeight="1">
      <c r="A20" s="23" t="s">
        <v>34</v>
      </c>
      <c r="B20" s="10">
        <v>83</v>
      </c>
      <c r="C20" s="10">
        <v>105</v>
      </c>
      <c r="D20" s="10">
        <v>108</v>
      </c>
      <c r="E20" s="10">
        <v>77</v>
      </c>
      <c r="F20" s="10">
        <v>64</v>
      </c>
      <c r="G20" s="10">
        <v>68</v>
      </c>
      <c r="H20" s="10">
        <v>65</v>
      </c>
      <c r="I20" s="10">
        <v>66</v>
      </c>
      <c r="J20" s="10">
        <v>78</v>
      </c>
      <c r="K20" s="10">
        <v>88</v>
      </c>
      <c r="L20" s="10">
        <v>70</v>
      </c>
      <c r="M20" s="10">
        <v>48</v>
      </c>
      <c r="N20" s="17"/>
      <c r="O20" s="24">
        <f t="shared" si="1"/>
        <v>-31.428571428571427</v>
      </c>
      <c r="P20" s="34" t="s">
        <v>35</v>
      </c>
      <c r="R20" s="5"/>
      <c r="S20" s="20"/>
      <c r="T20" s="21"/>
      <c r="U20" s="3"/>
      <c r="V20" s="26"/>
      <c r="W20" s="26"/>
      <c r="X20" s="26"/>
    </row>
    <row r="21" spans="1:24" s="25" customFormat="1" ht="15.75" customHeight="1">
      <c r="A21" s="23" t="s">
        <v>36</v>
      </c>
      <c r="B21" s="10">
        <v>43</v>
      </c>
      <c r="C21" s="10">
        <v>56</v>
      </c>
      <c r="D21" s="10">
        <v>64</v>
      </c>
      <c r="E21" s="10">
        <v>39</v>
      </c>
      <c r="F21" s="10">
        <v>64</v>
      </c>
      <c r="G21" s="10">
        <v>75</v>
      </c>
      <c r="H21" s="10">
        <v>63</v>
      </c>
      <c r="I21" s="10">
        <v>72</v>
      </c>
      <c r="J21" s="10">
        <v>60</v>
      </c>
      <c r="K21" s="10">
        <v>70</v>
      </c>
      <c r="L21" s="10">
        <v>91</v>
      </c>
      <c r="M21" s="10">
        <v>90</v>
      </c>
      <c r="N21" s="17"/>
      <c r="O21" s="24">
        <f t="shared" si="1"/>
        <v>-1.098901098901099</v>
      </c>
      <c r="P21" s="34" t="s">
        <v>37</v>
      </c>
      <c r="R21" s="5"/>
      <c r="S21" s="20"/>
      <c r="T21" s="21"/>
      <c r="U21" s="5"/>
      <c r="V21" s="26"/>
      <c r="W21" s="26"/>
      <c r="X21" s="26"/>
    </row>
    <row r="22" spans="1:24" s="25" customFormat="1" ht="15.75" customHeight="1">
      <c r="A22" s="23" t="s">
        <v>38</v>
      </c>
      <c r="B22" s="10">
        <v>50</v>
      </c>
      <c r="C22" s="10">
        <v>89</v>
      </c>
      <c r="D22" s="10">
        <v>62</v>
      </c>
      <c r="E22" s="10">
        <v>79</v>
      </c>
      <c r="F22" s="10">
        <v>73</v>
      </c>
      <c r="G22" s="10">
        <v>67</v>
      </c>
      <c r="H22" s="10">
        <v>82</v>
      </c>
      <c r="I22" s="10">
        <v>123</v>
      </c>
      <c r="J22" s="10">
        <v>139</v>
      </c>
      <c r="K22" s="10">
        <v>156</v>
      </c>
      <c r="L22" s="10">
        <v>130</v>
      </c>
      <c r="M22" s="10">
        <v>110</v>
      </c>
      <c r="N22" s="17"/>
      <c r="O22" s="24">
        <f t="shared" si="1"/>
        <v>-15.384615384615385</v>
      </c>
      <c r="P22" s="34" t="s">
        <v>39</v>
      </c>
      <c r="R22" s="5"/>
      <c r="S22" s="20"/>
      <c r="T22" s="21"/>
      <c r="U22" s="5"/>
      <c r="V22" s="26"/>
      <c r="W22" s="26"/>
      <c r="X22" s="26"/>
    </row>
    <row r="23" spans="1:24" s="25" customFormat="1" ht="15.75" customHeight="1">
      <c r="A23" s="23" t="s">
        <v>40</v>
      </c>
      <c r="B23" s="10">
        <v>160</v>
      </c>
      <c r="C23" s="10">
        <v>145</v>
      </c>
      <c r="D23" s="10">
        <v>172</v>
      </c>
      <c r="E23" s="10">
        <v>220</v>
      </c>
      <c r="F23" s="10">
        <v>167</v>
      </c>
      <c r="G23" s="10">
        <v>144</v>
      </c>
      <c r="H23" s="10">
        <v>138</v>
      </c>
      <c r="I23" s="10">
        <v>110</v>
      </c>
      <c r="J23" s="10">
        <v>155</v>
      </c>
      <c r="K23" s="10">
        <v>207</v>
      </c>
      <c r="L23" s="10">
        <v>225</v>
      </c>
      <c r="M23" s="10">
        <v>145</v>
      </c>
      <c r="N23" s="17"/>
      <c r="O23" s="24">
        <f t="shared" si="1"/>
        <v>-35.555555555555557</v>
      </c>
      <c r="P23" s="34" t="s">
        <v>41</v>
      </c>
      <c r="R23" s="5"/>
      <c r="S23" s="20"/>
      <c r="T23" s="21"/>
      <c r="U23" s="5"/>
      <c r="V23" s="26"/>
      <c r="W23" s="26"/>
      <c r="X23" s="26"/>
    </row>
    <row r="24" spans="1:24" s="25" customFormat="1" ht="15.75" customHeight="1">
      <c r="A24" s="23" t="s">
        <v>25</v>
      </c>
      <c r="B24" s="10">
        <v>454</v>
      </c>
      <c r="C24" s="10">
        <v>487</v>
      </c>
      <c r="D24" s="10">
        <v>403</v>
      </c>
      <c r="E24" s="10">
        <v>397</v>
      </c>
      <c r="F24" s="10">
        <v>345</v>
      </c>
      <c r="G24" s="10">
        <v>368</v>
      </c>
      <c r="H24" s="10">
        <v>316</v>
      </c>
      <c r="I24" s="10">
        <v>396</v>
      </c>
      <c r="J24" s="10">
        <v>298</v>
      </c>
      <c r="K24" s="10">
        <v>257</v>
      </c>
      <c r="L24" s="10">
        <v>283</v>
      </c>
      <c r="M24" s="10">
        <v>223</v>
      </c>
      <c r="N24" s="17"/>
      <c r="O24" s="24">
        <f t="shared" si="1"/>
        <v>-21.201413427561839</v>
      </c>
      <c r="P24" s="34" t="s">
        <v>42</v>
      </c>
      <c r="R24" s="5"/>
      <c r="S24" s="20"/>
      <c r="T24" s="21"/>
      <c r="U24" s="5"/>
      <c r="V24" s="26"/>
      <c r="W24" s="26"/>
      <c r="X24" s="26"/>
    </row>
    <row r="25" spans="1:24" s="25" customFormat="1" ht="15.75" customHeight="1">
      <c r="A25" s="23" t="s">
        <v>43</v>
      </c>
      <c r="B25" s="10">
        <v>237</v>
      </c>
      <c r="C25" s="10">
        <v>389</v>
      </c>
      <c r="D25" s="10">
        <v>337</v>
      </c>
      <c r="E25" s="10">
        <v>558</v>
      </c>
      <c r="F25" s="10">
        <v>383</v>
      </c>
      <c r="G25" s="10">
        <v>419</v>
      </c>
      <c r="H25" s="10">
        <v>274</v>
      </c>
      <c r="I25" s="10">
        <v>231</v>
      </c>
      <c r="J25" s="10">
        <v>247</v>
      </c>
      <c r="K25" s="10">
        <v>228</v>
      </c>
      <c r="L25" s="10">
        <v>236</v>
      </c>
      <c r="M25" s="10">
        <v>183</v>
      </c>
      <c r="N25" s="17"/>
      <c r="O25" s="24">
        <f t="shared" si="1"/>
        <v>-22.457627118644069</v>
      </c>
      <c r="P25" s="34" t="s">
        <v>44</v>
      </c>
      <c r="R25" s="5"/>
      <c r="S25" s="20"/>
      <c r="T25" s="21"/>
      <c r="U25" s="5"/>
      <c r="V25" s="26"/>
      <c r="W25" s="26"/>
      <c r="X25" s="26"/>
    </row>
    <row r="26" spans="1:24" s="25" customFormat="1" ht="15.75" customHeight="1">
      <c r="A26" s="23" t="s">
        <v>45</v>
      </c>
      <c r="B26" s="10">
        <v>396</v>
      </c>
      <c r="C26" s="10">
        <v>454</v>
      </c>
      <c r="D26" s="10">
        <v>354</v>
      </c>
      <c r="E26" s="10">
        <v>494</v>
      </c>
      <c r="F26" s="10">
        <v>426</v>
      </c>
      <c r="G26" s="10">
        <v>403</v>
      </c>
      <c r="H26" s="10">
        <v>252</v>
      </c>
      <c r="I26" s="10">
        <v>299</v>
      </c>
      <c r="J26" s="10">
        <v>388</v>
      </c>
      <c r="K26" s="10">
        <v>365</v>
      </c>
      <c r="L26" s="10">
        <v>274</v>
      </c>
      <c r="M26" s="10">
        <v>188</v>
      </c>
      <c r="N26" s="17"/>
      <c r="O26" s="24">
        <f t="shared" si="1"/>
        <v>-31.386861313868614</v>
      </c>
      <c r="P26" s="34" t="s">
        <v>46</v>
      </c>
      <c r="R26" s="5"/>
      <c r="S26" s="26"/>
      <c r="T26" s="26"/>
      <c r="U26" s="26"/>
      <c r="V26" s="26"/>
      <c r="W26" s="26"/>
      <c r="X26" s="26"/>
    </row>
    <row r="27" spans="1:24" s="25" customFormat="1" ht="15.75" customHeight="1">
      <c r="A27" s="23" t="s">
        <v>47</v>
      </c>
      <c r="B27" s="10">
        <v>228</v>
      </c>
      <c r="C27" s="10">
        <v>453</v>
      </c>
      <c r="D27" s="10">
        <v>676</v>
      </c>
      <c r="E27" s="10">
        <v>617</v>
      </c>
      <c r="F27" s="10">
        <v>525</v>
      </c>
      <c r="G27" s="10">
        <v>365</v>
      </c>
      <c r="H27" s="10">
        <v>282</v>
      </c>
      <c r="I27" s="10">
        <v>275</v>
      </c>
      <c r="J27" s="10">
        <v>268</v>
      </c>
      <c r="K27" s="10">
        <v>379</v>
      </c>
      <c r="L27" s="10">
        <v>501</v>
      </c>
      <c r="M27" s="10">
        <v>336</v>
      </c>
      <c r="N27" s="17"/>
      <c r="O27" s="24">
        <f t="shared" si="1"/>
        <v>-32.934131736526943</v>
      </c>
      <c r="P27" s="34" t="s">
        <v>18</v>
      </c>
      <c r="R27" s="5"/>
      <c r="S27" s="26"/>
      <c r="T27" s="26"/>
      <c r="U27" s="26"/>
      <c r="V27" s="26"/>
      <c r="W27" s="26"/>
      <c r="X27" s="26"/>
    </row>
    <row r="28" spans="1:24" s="25" customFormat="1" ht="15.75" customHeight="1">
      <c r="A28" s="27" t="s">
        <v>17</v>
      </c>
      <c r="B28" s="11">
        <v>840</v>
      </c>
      <c r="C28" s="11">
        <v>996</v>
      </c>
      <c r="D28" s="11">
        <v>1105</v>
      </c>
      <c r="E28" s="11">
        <v>1349</v>
      </c>
      <c r="F28" s="11">
        <v>988</v>
      </c>
      <c r="G28" s="11">
        <v>908</v>
      </c>
      <c r="H28" s="11">
        <v>1126</v>
      </c>
      <c r="I28" s="11">
        <v>756</v>
      </c>
      <c r="J28" s="11">
        <v>843</v>
      </c>
      <c r="K28" s="11">
        <v>750</v>
      </c>
      <c r="L28" s="11">
        <v>831</v>
      </c>
      <c r="M28" s="11">
        <v>710</v>
      </c>
      <c r="N28" s="32"/>
      <c r="O28" s="28">
        <f t="shared" si="1"/>
        <v>-14.560770156438027</v>
      </c>
      <c r="P28" s="35" t="s">
        <v>48</v>
      </c>
      <c r="R28" s="5"/>
      <c r="S28" s="26"/>
      <c r="T28" s="26"/>
      <c r="U28" s="26"/>
      <c r="V28" s="26"/>
      <c r="W28" s="26"/>
      <c r="X28" s="26"/>
    </row>
    <row r="29" spans="1:24" s="30" customFormat="1" ht="14.25" customHeight="1">
      <c r="A29" s="8" t="s">
        <v>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6" t="s">
        <v>1</v>
      </c>
      <c r="S29" s="7"/>
      <c r="T29" s="7"/>
      <c r="U29" s="7"/>
      <c r="V29" s="7"/>
      <c r="W29" s="7"/>
      <c r="X29" s="7"/>
    </row>
    <row r="30" spans="1:24">
      <c r="S30" s="3"/>
      <c r="T30" s="3"/>
      <c r="U30" s="3"/>
      <c r="V30" s="3"/>
      <c r="W30" s="3"/>
      <c r="X30" s="3"/>
    </row>
    <row r="31" spans="1:24">
      <c r="A31" s="31"/>
      <c r="S31" s="3"/>
      <c r="T31" s="3"/>
      <c r="V31" s="3"/>
      <c r="W31" s="3"/>
      <c r="X31" s="3"/>
    </row>
    <row r="32" spans="1:24">
      <c r="S32" s="3"/>
      <c r="T32" s="3"/>
      <c r="U32" s="3"/>
      <c r="V32" s="3"/>
      <c r="W32" s="3"/>
      <c r="X32" s="3"/>
    </row>
    <row r="33" spans="1:24">
      <c r="S33" s="3"/>
      <c r="T33" s="3"/>
      <c r="U33" s="3"/>
      <c r="V33" s="3"/>
      <c r="W33" s="3"/>
      <c r="X33" s="3"/>
    </row>
    <row r="34" spans="1:24">
      <c r="S34" s="3"/>
      <c r="T34" s="3"/>
      <c r="U34" s="3"/>
      <c r="V34" s="3"/>
      <c r="W34" s="3"/>
      <c r="X34" s="3"/>
    </row>
    <row r="35" spans="1:24">
      <c r="S35" s="3"/>
      <c r="T35" s="3"/>
      <c r="U35" s="3"/>
      <c r="V35" s="3"/>
      <c r="W35" s="3"/>
      <c r="X35" s="3"/>
    </row>
    <row r="36" spans="1:24" ht="17.25">
      <c r="A36" s="12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13"/>
      <c r="S36" s="3"/>
      <c r="T36" s="3"/>
      <c r="U36" s="3"/>
      <c r="V36" s="3"/>
      <c r="W36" s="3"/>
      <c r="X36" s="3"/>
    </row>
    <row r="37" spans="1:24">
      <c r="S37" s="3"/>
      <c r="T37" s="3"/>
      <c r="U37" s="3"/>
      <c r="V37" s="3"/>
      <c r="W37" s="3"/>
      <c r="X37" s="3"/>
    </row>
    <row r="38" spans="1:24">
      <c r="S38" s="3"/>
      <c r="T38" s="3"/>
      <c r="U38" s="3"/>
      <c r="V38" s="3"/>
      <c r="W38" s="3"/>
      <c r="X38" s="3"/>
    </row>
    <row r="45" spans="1:24" ht="5.25" customHeight="1"/>
    <row r="60" s="1" customFormat="1" ht="9" customHeight="1"/>
  </sheetData>
  <mergeCells count="16">
    <mergeCell ref="I3:I5"/>
    <mergeCell ref="J3:J5"/>
    <mergeCell ref="P3:P5"/>
    <mergeCell ref="A1:P1"/>
    <mergeCell ref="A2:P2"/>
    <mergeCell ref="A3:A5"/>
    <mergeCell ref="B3:B5"/>
    <mergeCell ref="C3:C5"/>
    <mergeCell ref="D3:D5"/>
    <mergeCell ref="E3:E5"/>
    <mergeCell ref="F3:F5"/>
    <mergeCell ref="G3:G5"/>
    <mergeCell ref="H3:H5"/>
    <mergeCell ref="K3:K5"/>
    <mergeCell ref="L3:L5"/>
    <mergeCell ref="M3:M5"/>
  </mergeCells>
  <pageMargins left="0.7" right="0.7" top="0.75" bottom="0.75" header="0.3" footer="0.3"/>
  <pageSetup paperSize="9" scale="75" orientation="portrait" r:id="rId1"/>
  <colBreaks count="1" manualBreakCount="1">
    <brk id="2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</vt:lpstr>
      <vt:lpstr>'8.3'!Print_Area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2023-05-16T11:52:27Z</cp:lastPrinted>
  <dcterms:created xsi:type="dcterms:W3CDTF">2019-06-30T04:22:49Z</dcterms:created>
  <dcterms:modified xsi:type="dcterms:W3CDTF">2023-05-16T11:52:39Z</dcterms:modified>
</cp:coreProperties>
</file>