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D8075DC8-D2D0-49C7-97D4-3CF426739920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64" sheetId="121" r:id="rId1"/>
  </sheets>
  <externalReferences>
    <externalReference r:id="rId2"/>
    <externalReference r:id="rId3"/>
    <externalReference r:id="rId4"/>
  </externalReferences>
  <definedNames>
    <definedName name="_xlnm.Print_Area" localSheetId="0">'8.64'!$A$1:$N$18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121" l="1"/>
  <c r="H14" i="121"/>
  <c r="E14" i="121"/>
  <c r="B14" i="121"/>
  <c r="K13" i="121"/>
  <c r="H13" i="121"/>
  <c r="E13" i="121"/>
  <c r="B13" i="121"/>
  <c r="K12" i="121"/>
  <c r="H12" i="121"/>
  <c r="E12" i="121"/>
  <c r="B12" i="121"/>
  <c r="K11" i="121"/>
  <c r="H11" i="121"/>
  <c r="E11" i="121"/>
  <c r="B11" i="121"/>
  <c r="K10" i="121"/>
  <c r="H10" i="121"/>
  <c r="E10" i="121"/>
  <c r="B10" i="121"/>
  <c r="K9" i="121"/>
  <c r="H9" i="121"/>
  <c r="E9" i="121"/>
  <c r="B9" i="121"/>
  <c r="K8" i="121"/>
  <c r="H8" i="121"/>
  <c r="E8" i="121"/>
  <c r="B8" i="121"/>
  <c r="M7" i="121"/>
  <c r="L7" i="121"/>
  <c r="K7" i="121" s="1"/>
  <c r="J7" i="121"/>
  <c r="I7" i="121"/>
  <c r="G7" i="121"/>
  <c r="E7" i="121" s="1"/>
  <c r="F7" i="121"/>
  <c r="D7" i="121"/>
  <c r="C7" i="121"/>
  <c r="B7" i="121" s="1"/>
  <c r="H7" i="121" l="1"/>
</calcChain>
</file>

<file path=xl/sharedStrings.xml><?xml version="1.0" encoding="utf-8"?>
<sst xmlns="http://schemas.openxmlformats.org/spreadsheetml/2006/main" count="29" uniqueCount="17">
  <si>
    <t>Total</t>
  </si>
  <si>
    <t>Both Sexes</t>
  </si>
  <si>
    <t>Male</t>
  </si>
  <si>
    <t>Female</t>
  </si>
  <si>
    <t>1 - 4</t>
  </si>
  <si>
    <t>5</t>
  </si>
  <si>
    <t>6 - 9</t>
  </si>
  <si>
    <t>10 - 14</t>
  </si>
  <si>
    <t>15</t>
  </si>
  <si>
    <t>16 - 18</t>
  </si>
  <si>
    <t>Age group</t>
  </si>
  <si>
    <t>Less than 1 year</t>
  </si>
  <si>
    <t xml:space="preserve">މަޢުލޫމާތު ދެއްވީ: މިނިސްޓްރީ އޮފް ޖެންޑަރ، ފެމިލީ އެންޑް ސޯޝަލް ސަރވިސަސް </t>
  </si>
  <si>
    <t>Source: Ministry of Gender, Family and Social Services</t>
  </si>
  <si>
    <t>Number of Children</t>
  </si>
  <si>
    <t>Table 8.64: Number of cases reported to  Atoll Social Protection Service Centers by age group and sex, 2016 - 2020</t>
  </si>
  <si>
    <t>ތާވަލު 8.64: އަތޮޅުތަކުގައި ޤާއިމުކޮށްފައިވާ ކުޑަކުދިންގެ ސަރވިސް ސެންޓަރތަކަށް ރިޕޯޓުކުރެވިފައިވާ މައްސަލަތަކުގެ އަދަދު، 2016 - 2020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</si>
</sst>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_)"/>
    <numFmt numFmtId="166" formatCode="_-* #,##0_-;\-* #,##0_-;_-* &quot;-&quot;??_-;_-@_-"/>
    <numFmt numFmtId="167" formatCode="#,##0.0"/>
  </numFmts>
  <fonts count="14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Faruma"/>
    </font>
    <font>
      <b/>
      <sz val="12"/>
      <name val="Faruma"/>
    </font>
    <font>
      <b/>
      <sz val="12"/>
      <name val="Calibri"/>
      <family val="2"/>
      <scheme val="minor"/>
    </font>
    <font>
      <b/>
      <sz val="12"/>
      <color rgb="FF4F224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7" fillId="0" borderId="0"/>
    <xf numFmtId="0" fontId="9" fillId="0" borderId="7" applyNumberFormat="0" applyFill="0" applyAlignment="0" applyProtection="0"/>
    <xf numFmtId="0" fontId="7" fillId="0" borderId="0"/>
    <xf numFmtId="0" fontId="7" fillId="0" borderId="0"/>
  </cellStyleXfs>
  <cellXfs count="29">
    <xf numFmtId="0" fontId="0" fillId="0" borderId="0" xfId="0"/>
    <xf numFmtId="0" fontId="0" fillId="2" borderId="0" xfId="0" applyFill="1"/>
    <xf numFmtId="164" fontId="6" fillId="2" borderId="0" xfId="0" applyNumberFormat="1" applyFont="1" applyFill="1"/>
    <xf numFmtId="3" fontId="6" fillId="2" borderId="0" xfId="0" applyNumberFormat="1" applyFont="1" applyFill="1"/>
    <xf numFmtId="164" fontId="2" fillId="2" borderId="0" xfId="0" applyNumberFormat="1" applyFont="1" applyFill="1"/>
    <xf numFmtId="164" fontId="1" fillId="2" borderId="1" xfId="0" applyNumberFormat="1" applyFont="1" applyFill="1" applyBorder="1" applyAlignment="1">
      <alignment horizontal="center" vertical="center" wrapText="1"/>
    </xf>
    <xf numFmtId="164" fontId="10" fillId="2" borderId="0" xfId="0" applyNumberFormat="1" applyFont="1" applyFill="1" applyAlignment="1">
      <alignment vertical="top" readingOrder="2"/>
    </xf>
    <xf numFmtId="164" fontId="10" fillId="2" borderId="0" xfId="0" applyNumberFormat="1" applyFont="1" applyFill="1" applyAlignment="1">
      <alignment vertical="center" readingOrder="2"/>
    </xf>
    <xf numFmtId="164" fontId="3" fillId="2" borderId="8" xfId="0" applyNumberFormat="1" applyFont="1" applyFill="1" applyBorder="1" applyAlignment="1">
      <alignment vertical="top"/>
    </xf>
    <xf numFmtId="164" fontId="1" fillId="2" borderId="3" xfId="0" applyNumberFormat="1" applyFont="1" applyFill="1" applyBorder="1" applyAlignment="1">
      <alignment horizontal="center" vertical="center" wrapText="1"/>
    </xf>
    <xf numFmtId="164" fontId="8" fillId="2" borderId="8" xfId="0" applyNumberFormat="1" applyFont="1" applyFill="1" applyBorder="1" applyAlignment="1">
      <alignment horizontal="left" vertical="center" indent="1"/>
    </xf>
    <xf numFmtId="3" fontId="8" fillId="2" borderId="2" xfId="0" applyNumberFormat="1" applyFont="1" applyFill="1" applyBorder="1"/>
    <xf numFmtId="3" fontId="8" fillId="2" borderId="8" xfId="0" applyNumberFormat="1" applyFont="1" applyFill="1" applyBorder="1"/>
    <xf numFmtId="0" fontId="6" fillId="2" borderId="0" xfId="4" applyFont="1" applyFill="1" applyAlignment="1">
      <alignment horizontal="left" vertical="center" indent="2"/>
    </xf>
    <xf numFmtId="3" fontId="6" fillId="2" borderId="4" xfId="0" applyNumberFormat="1" applyFont="1" applyFill="1" applyBorder="1"/>
    <xf numFmtId="49" fontId="6" fillId="2" borderId="0" xfId="4" applyNumberFormat="1" applyFont="1" applyFill="1" applyAlignment="1">
      <alignment horizontal="left" vertical="center" indent="2"/>
    </xf>
    <xf numFmtId="0" fontId="13" fillId="2" borderId="0" xfId="0" applyFont="1" applyFill="1" applyAlignment="1">
      <alignment vertical="center"/>
    </xf>
    <xf numFmtId="49" fontId="6" fillId="2" borderId="1" xfId="4" applyNumberFormat="1" applyFont="1" applyFill="1" applyBorder="1" applyAlignment="1">
      <alignment horizontal="left" vertical="center" indent="2"/>
    </xf>
    <xf numFmtId="3" fontId="6" fillId="2" borderId="3" xfId="0" applyNumberFormat="1" applyFont="1" applyFill="1" applyBorder="1"/>
    <xf numFmtId="3" fontId="6" fillId="2" borderId="1" xfId="0" applyNumberFormat="1" applyFont="1" applyFill="1" applyBorder="1"/>
    <xf numFmtId="164" fontId="1" fillId="2" borderId="0" xfId="0" applyNumberFormat="1" applyFont="1" applyFill="1" applyAlignment="1">
      <alignment horizontal="center" vertical="center" wrapText="1"/>
    </xf>
    <xf numFmtId="164" fontId="11" fillId="2" borderId="0" xfId="0" applyNumberFormat="1" applyFont="1" applyFill="1" applyAlignment="1">
      <alignment horizontal="center"/>
    </xf>
    <xf numFmtId="164" fontId="12" fillId="2" borderId="0" xfId="0" applyNumberFormat="1" applyFont="1" applyFill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2" borderId="10" xfId="0" applyNumberFormat="1" applyFont="1" applyFill="1" applyBorder="1" applyAlignment="1">
      <alignment horizontal="center"/>
    </xf>
    <xf numFmtId="164" fontId="1" fillId="2" borderId="9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 2" xfId="1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3" xr:uid="{00000000-0005-0000-0000-000007000000}"/>
    <cellStyle name="Normal_II-14(Population)" xfId="4" xr:uid="{00000000-0005-0000-0000-00000A000000}"/>
    <cellStyle name="Percent 2" xfId="2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92D050"/>
  </sheetPr>
  <dimension ref="A1:T18"/>
  <sheetViews>
    <sheetView tabSelected="1" topLeftCell="D1" zoomScaleNormal="100" workbookViewId="0">
      <selection activeCell="AE17" sqref="AE17"/>
    </sheetView>
  </sheetViews>
  <sheetFormatPr defaultColWidth="9.140625" defaultRowHeight="12.75"/>
  <cols>
    <col min="1" max="1" width="25" style="4" customWidth="1"/>
    <col min="2" max="13" width="9.85546875" style="4" customWidth="1"/>
    <col min="14" max="16384" width="9.140625" style="4"/>
  </cols>
  <sheetData>
    <row r="1" spans="1:20" ht="21.75">
      <c r="A1" s="21" t="s">
        <v>16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0" ht="15.75">
      <c r="A2" s="22" t="s">
        <v>15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4" spans="1:20">
      <c r="A4" s="23" t="s">
        <v>10</v>
      </c>
      <c r="B4" s="25">
        <v>2016</v>
      </c>
      <c r="C4" s="26"/>
      <c r="D4" s="26"/>
      <c r="E4" s="25">
        <v>2017</v>
      </c>
      <c r="F4" s="26"/>
      <c r="G4" s="26"/>
      <c r="H4" s="25">
        <v>2018</v>
      </c>
      <c r="I4" s="26"/>
      <c r="J4" s="26"/>
      <c r="K4" s="25">
        <v>2019</v>
      </c>
      <c r="L4" s="26"/>
      <c r="M4" s="26"/>
    </row>
    <row r="5" spans="1:20">
      <c r="A5" s="20"/>
      <c r="B5" s="27" t="s">
        <v>14</v>
      </c>
      <c r="C5" s="28"/>
      <c r="D5" s="28"/>
      <c r="E5" s="27" t="s">
        <v>14</v>
      </c>
      <c r="F5" s="28"/>
      <c r="G5" s="28"/>
      <c r="H5" s="27" t="s">
        <v>14</v>
      </c>
      <c r="I5" s="28"/>
      <c r="J5" s="28"/>
      <c r="K5" s="27" t="s">
        <v>14</v>
      </c>
      <c r="L5" s="28"/>
      <c r="M5" s="28"/>
    </row>
    <row r="6" spans="1:20" ht="15">
      <c r="A6" s="24"/>
      <c r="B6" s="9" t="s">
        <v>1</v>
      </c>
      <c r="C6" s="5" t="s">
        <v>2</v>
      </c>
      <c r="D6" s="5" t="s">
        <v>3</v>
      </c>
      <c r="E6" s="9" t="s">
        <v>1</v>
      </c>
      <c r="F6" s="5" t="s">
        <v>2</v>
      </c>
      <c r="G6" s="5" t="s">
        <v>3</v>
      </c>
      <c r="H6" s="9" t="s">
        <v>1</v>
      </c>
      <c r="I6" s="5" t="s">
        <v>2</v>
      </c>
      <c r="J6" s="5" t="s">
        <v>3</v>
      </c>
      <c r="K6" s="9" t="s">
        <v>1</v>
      </c>
      <c r="L6" s="5" t="s">
        <v>2</v>
      </c>
      <c r="M6" s="5" t="s">
        <v>3</v>
      </c>
      <c r="P6" s="1"/>
    </row>
    <row r="7" spans="1:20" ht="15">
      <c r="A7" s="10" t="s">
        <v>0</v>
      </c>
      <c r="B7" s="11">
        <f>C7+D7</f>
        <v>1471</v>
      </c>
      <c r="C7" s="12">
        <f>SUM(C8:C14)</f>
        <v>760</v>
      </c>
      <c r="D7" s="12">
        <f>SUM(D8:D14)</f>
        <v>711</v>
      </c>
      <c r="E7" s="11">
        <f>F7+G7</f>
        <v>1761</v>
      </c>
      <c r="F7" s="12">
        <f>SUM(F8:F14)</f>
        <v>854</v>
      </c>
      <c r="G7" s="12">
        <f>SUM(G8:G14)</f>
        <v>907</v>
      </c>
      <c r="H7" s="11">
        <f>I7+J7</f>
        <v>1737</v>
      </c>
      <c r="I7" s="12">
        <f>SUM(I8:I14)</f>
        <v>831</v>
      </c>
      <c r="J7" s="12">
        <f>SUM(J8:J14)</f>
        <v>906</v>
      </c>
      <c r="K7" s="11">
        <f t="shared" ref="K7:K14" si="0">L7+M7</f>
        <v>1185</v>
      </c>
      <c r="L7" s="12">
        <f>SUM(L8:L14)</f>
        <v>556</v>
      </c>
      <c r="M7" s="12">
        <f>SUM(M8:M14)</f>
        <v>629</v>
      </c>
    </row>
    <row r="8" spans="1:20" ht="15" customHeight="1">
      <c r="A8" s="13" t="s">
        <v>11</v>
      </c>
      <c r="B8" s="14">
        <f>C8+D8</f>
        <v>40</v>
      </c>
      <c r="C8" s="3">
        <v>24</v>
      </c>
      <c r="D8" s="3">
        <v>16</v>
      </c>
      <c r="E8" s="14">
        <f>F8+G8</f>
        <v>52</v>
      </c>
      <c r="F8" s="3">
        <v>24</v>
      </c>
      <c r="G8" s="3">
        <v>28</v>
      </c>
      <c r="H8" s="14">
        <f t="shared" ref="H8:H14" si="1">I8+J8</f>
        <v>67</v>
      </c>
      <c r="I8" s="3">
        <v>35</v>
      </c>
      <c r="J8" s="3">
        <v>32</v>
      </c>
      <c r="K8" s="14">
        <f t="shared" si="0"/>
        <v>48</v>
      </c>
      <c r="L8" s="3">
        <v>22</v>
      </c>
      <c r="M8" s="3">
        <v>26</v>
      </c>
    </row>
    <row r="9" spans="1:20" ht="15.75">
      <c r="A9" s="15" t="s">
        <v>4</v>
      </c>
      <c r="B9" s="14">
        <f t="shared" ref="B9:B14" si="2">C9+D9</f>
        <v>227</v>
      </c>
      <c r="C9" s="3">
        <v>118</v>
      </c>
      <c r="D9" s="3">
        <v>109</v>
      </c>
      <c r="E9" s="14">
        <f t="shared" ref="E9:E14" si="3">F9+G9</f>
        <v>285</v>
      </c>
      <c r="F9" s="3">
        <v>142</v>
      </c>
      <c r="G9" s="3">
        <v>143</v>
      </c>
      <c r="H9" s="14">
        <f t="shared" si="1"/>
        <v>345</v>
      </c>
      <c r="I9" s="3">
        <v>178</v>
      </c>
      <c r="J9" s="3">
        <v>167</v>
      </c>
      <c r="K9" s="14">
        <f t="shared" si="0"/>
        <v>183</v>
      </c>
      <c r="L9" s="3">
        <v>79</v>
      </c>
      <c r="M9" s="3">
        <v>104</v>
      </c>
      <c r="T9" s="16"/>
    </row>
    <row r="10" spans="1:20" ht="15">
      <c r="A10" s="15" t="s">
        <v>5</v>
      </c>
      <c r="B10" s="14">
        <f t="shared" si="2"/>
        <v>54</v>
      </c>
      <c r="C10" s="3">
        <v>32</v>
      </c>
      <c r="D10" s="3">
        <v>22</v>
      </c>
      <c r="E10" s="14">
        <f t="shared" si="3"/>
        <v>105</v>
      </c>
      <c r="F10" s="3">
        <v>58</v>
      </c>
      <c r="G10" s="3">
        <v>47</v>
      </c>
      <c r="H10" s="14">
        <f t="shared" si="1"/>
        <v>87</v>
      </c>
      <c r="I10" s="3">
        <v>43</v>
      </c>
      <c r="J10" s="3">
        <v>44</v>
      </c>
      <c r="K10" s="14">
        <f t="shared" si="0"/>
        <v>57</v>
      </c>
      <c r="L10" s="3">
        <v>37</v>
      </c>
      <c r="M10" s="3">
        <v>20</v>
      </c>
    </row>
    <row r="11" spans="1:20" ht="15">
      <c r="A11" s="15" t="s">
        <v>6</v>
      </c>
      <c r="B11" s="14">
        <f t="shared" si="2"/>
        <v>335</v>
      </c>
      <c r="C11" s="3">
        <v>184</v>
      </c>
      <c r="D11" s="3">
        <v>151</v>
      </c>
      <c r="E11" s="14">
        <f t="shared" si="3"/>
        <v>374</v>
      </c>
      <c r="F11" s="3">
        <v>217</v>
      </c>
      <c r="G11" s="3">
        <v>157</v>
      </c>
      <c r="H11" s="14">
        <f t="shared" si="1"/>
        <v>379</v>
      </c>
      <c r="I11" s="3">
        <v>198</v>
      </c>
      <c r="J11" s="3">
        <v>181</v>
      </c>
      <c r="K11" s="14">
        <f t="shared" si="0"/>
        <v>244</v>
      </c>
      <c r="L11" s="3">
        <v>116</v>
      </c>
      <c r="M11" s="3">
        <v>128</v>
      </c>
    </row>
    <row r="12" spans="1:20" ht="15">
      <c r="A12" s="15" t="s">
        <v>7</v>
      </c>
      <c r="B12" s="14">
        <f t="shared" si="2"/>
        <v>472</v>
      </c>
      <c r="C12" s="3">
        <v>247</v>
      </c>
      <c r="D12" s="3">
        <v>225</v>
      </c>
      <c r="E12" s="14">
        <f t="shared" si="3"/>
        <v>562</v>
      </c>
      <c r="F12" s="3">
        <v>270</v>
      </c>
      <c r="G12" s="3">
        <v>292</v>
      </c>
      <c r="H12" s="14">
        <f>I12+J12</f>
        <v>574</v>
      </c>
      <c r="I12" s="3">
        <v>269</v>
      </c>
      <c r="J12" s="3">
        <v>305</v>
      </c>
      <c r="K12" s="14">
        <f t="shared" si="0"/>
        <v>404</v>
      </c>
      <c r="L12" s="3">
        <v>216</v>
      </c>
      <c r="M12" s="3">
        <v>188</v>
      </c>
    </row>
    <row r="13" spans="1:20" ht="15">
      <c r="A13" s="15" t="s">
        <v>8</v>
      </c>
      <c r="B13" s="14">
        <f t="shared" si="2"/>
        <v>145</v>
      </c>
      <c r="C13" s="3">
        <v>71</v>
      </c>
      <c r="D13" s="3">
        <v>74</v>
      </c>
      <c r="E13" s="14">
        <f t="shared" si="3"/>
        <v>141</v>
      </c>
      <c r="F13" s="3">
        <v>57</v>
      </c>
      <c r="G13" s="3">
        <v>84</v>
      </c>
      <c r="H13" s="14">
        <f>I13+J13</f>
        <v>119</v>
      </c>
      <c r="I13" s="3">
        <v>45</v>
      </c>
      <c r="J13" s="3">
        <v>74</v>
      </c>
      <c r="K13" s="14">
        <f t="shared" si="0"/>
        <v>105</v>
      </c>
      <c r="L13" s="3">
        <v>55</v>
      </c>
      <c r="M13" s="3">
        <v>50</v>
      </c>
    </row>
    <row r="14" spans="1:20" ht="15">
      <c r="A14" s="17" t="s">
        <v>9</v>
      </c>
      <c r="B14" s="18">
        <f t="shared" si="2"/>
        <v>198</v>
      </c>
      <c r="C14" s="19">
        <v>84</v>
      </c>
      <c r="D14" s="19">
        <v>114</v>
      </c>
      <c r="E14" s="18">
        <f t="shared" si="3"/>
        <v>242</v>
      </c>
      <c r="F14" s="19">
        <v>86</v>
      </c>
      <c r="G14" s="19">
        <v>156</v>
      </c>
      <c r="H14" s="18">
        <f t="shared" si="1"/>
        <v>166</v>
      </c>
      <c r="I14" s="19">
        <v>63</v>
      </c>
      <c r="J14" s="19">
        <v>103</v>
      </c>
      <c r="K14" s="18">
        <f t="shared" si="0"/>
        <v>144</v>
      </c>
      <c r="L14" s="19">
        <v>31</v>
      </c>
      <c r="M14" s="19">
        <v>113</v>
      </c>
    </row>
    <row r="15" spans="1:20" ht="18.75">
      <c r="A15" s="8" t="s">
        <v>13</v>
      </c>
      <c r="G15" s="6"/>
      <c r="J15" s="7"/>
      <c r="M15" s="7" t="s">
        <v>12</v>
      </c>
      <c r="Q15" s="1"/>
    </row>
    <row r="16" spans="1:20" ht="15">
      <c r="B16" s="2"/>
    </row>
    <row r="17" spans="2:2" ht="15">
      <c r="B17" s="2"/>
    </row>
    <row r="18" spans="2:2" ht="15.75" customHeight="1">
      <c r="B18" s="2"/>
    </row>
  </sheetData>
  <mergeCells count="11">
    <mergeCell ref="A1:M1"/>
    <mergeCell ref="A2:M2"/>
    <mergeCell ref="A4:A6"/>
    <mergeCell ref="B4:D4"/>
    <mergeCell ref="E4:G4"/>
    <mergeCell ref="H4:J4"/>
    <mergeCell ref="K4:M4"/>
    <mergeCell ref="B5:D5"/>
    <mergeCell ref="E5:G5"/>
    <mergeCell ref="H5:J5"/>
    <mergeCell ref="K5:M5"/>
  </mergeCells>
  <pageMargins left="0.7" right="0.7" top="0.75" bottom="0.75" header="0.3" footer="0.3"/>
  <pageSetup paperSize="9" scale="5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8.64</vt:lpstr>
      <vt:lpstr>'8.64'!Print_Area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2023-05-16T14:29:29Z</cp:lastPrinted>
  <dcterms:created xsi:type="dcterms:W3CDTF">2019-06-30T04:22:49Z</dcterms:created>
  <dcterms:modified xsi:type="dcterms:W3CDTF">2023-05-16T14:29:35Z</dcterms:modified>
</cp:coreProperties>
</file>