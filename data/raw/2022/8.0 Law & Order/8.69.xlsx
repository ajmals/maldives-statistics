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8C99B7F9-58F9-4AAB-B433-55AE66E97997}" xr6:coauthVersionLast="47" xr6:coauthVersionMax="47" xr10:uidLastSave="{00000000-0000-0000-0000-000000000000}"/>
  <bookViews>
    <workbookView xWindow="-120" yWindow="-120" windowWidth="29040" windowHeight="15840" tabRatio="877" activeTab="1" xr2:uid="{00000000-000D-0000-FFFF-FFFF00000000}"/>
  </bookViews>
  <sheets>
    <sheet name="8.51" sheetId="84" r:id="rId1"/>
    <sheet name="8.69" sheetId="99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99" l="1"/>
  <c r="B34" i="99"/>
  <c r="D33" i="99"/>
  <c r="C33" i="99"/>
  <c r="B33" i="99" s="1"/>
  <c r="B22" i="99"/>
  <c r="B21" i="99"/>
  <c r="D20" i="99"/>
  <c r="C20" i="99"/>
  <c r="B20" i="99"/>
  <c r="B10" i="99"/>
  <c r="B9" i="99"/>
  <c r="D8" i="99"/>
  <c r="C8" i="99"/>
  <c r="B8" i="99" s="1"/>
  <c r="B235" i="84" l="1"/>
  <c r="B234" i="84"/>
  <c r="B233" i="84"/>
  <c r="B232" i="84"/>
  <c r="B231" i="84"/>
  <c r="B230" i="84"/>
  <c r="B229" i="84"/>
  <c r="B228" i="84"/>
  <c r="B227" i="84"/>
  <c r="B226" i="84"/>
  <c r="B225" i="84"/>
  <c r="B224" i="84"/>
  <c r="B223" i="84"/>
  <c r="B222" i="84"/>
  <c r="B221" i="84"/>
  <c r="B220" i="84"/>
  <c r="B219" i="84"/>
  <c r="B218" i="84"/>
  <c r="B217" i="84"/>
  <c r="B216" i="84"/>
  <c r="B215" i="84"/>
  <c r="B214" i="84"/>
  <c r="B213" i="84"/>
  <c r="B212" i="84"/>
  <c r="B211" i="84"/>
  <c r="B210" i="84"/>
  <c r="B209" i="84"/>
  <c r="B208" i="84"/>
  <c r="B207" i="84"/>
  <c r="B206" i="84"/>
  <c r="B205" i="84"/>
  <c r="B204" i="84"/>
  <c r="B203" i="84"/>
  <c r="B202" i="84"/>
  <c r="B201" i="84"/>
  <c r="B200" i="84"/>
  <c r="B199" i="84"/>
  <c r="B198" i="84"/>
  <c r="B197" i="84"/>
  <c r="B196" i="84"/>
  <c r="B195" i="84"/>
  <c r="B194" i="84"/>
  <c r="B193" i="84"/>
  <c r="B192" i="84"/>
  <c r="B191" i="84"/>
  <c r="B190" i="84"/>
  <c r="B189" i="84"/>
  <c r="B188" i="84"/>
  <c r="B187" i="84"/>
  <c r="B186" i="84"/>
  <c r="B185" i="84"/>
  <c r="B184" i="84"/>
  <c r="B183" i="84"/>
  <c r="B182" i="84"/>
  <c r="B181" i="84"/>
  <c r="B180" i="84"/>
  <c r="B179" i="84"/>
  <c r="B178" i="84"/>
  <c r="B177" i="84"/>
  <c r="B176" i="84"/>
  <c r="B175" i="84"/>
  <c r="B174" i="84"/>
  <c r="B173" i="84"/>
  <c r="B172" i="84"/>
  <c r="B171" i="84"/>
  <c r="B170" i="84"/>
  <c r="B169" i="84"/>
  <c r="B168" i="84"/>
  <c r="B167" i="84"/>
  <c r="B166" i="84"/>
  <c r="B165" i="84"/>
  <c r="B164" i="84"/>
  <c r="B163" i="84"/>
  <c r="B162" i="84"/>
  <c r="B161" i="84"/>
  <c r="B160" i="84"/>
  <c r="B159" i="84"/>
  <c r="B158" i="84"/>
  <c r="B157" i="84"/>
  <c r="B156" i="84"/>
  <c r="B155" i="84"/>
  <c r="B154" i="84"/>
  <c r="B153" i="84"/>
  <c r="B152" i="84"/>
  <c r="B151" i="84"/>
  <c r="B150" i="84"/>
  <c r="B149" i="84"/>
  <c r="B148" i="84"/>
  <c r="B147" i="84"/>
  <c r="B146" i="84"/>
  <c r="B145" i="84"/>
  <c r="B144" i="84"/>
  <c r="B143" i="84"/>
  <c r="B142" i="84"/>
  <c r="B141" i="84"/>
  <c r="B140" i="84"/>
  <c r="B139" i="84"/>
  <c r="B138" i="84"/>
  <c r="B137" i="84"/>
  <c r="B136" i="84"/>
  <c r="B135" i="84"/>
  <c r="B134" i="84"/>
  <c r="B133" i="84"/>
  <c r="B132" i="84"/>
  <c r="B131" i="84"/>
  <c r="B130" i="84"/>
  <c r="N129" i="84"/>
  <c r="M129" i="84"/>
  <c r="L129" i="84"/>
  <c r="K129" i="84"/>
  <c r="J129" i="84"/>
  <c r="I129" i="84"/>
  <c r="H129" i="84"/>
  <c r="G129" i="84"/>
  <c r="F129" i="84"/>
  <c r="E129" i="84"/>
  <c r="D129" i="84"/>
  <c r="C129" i="84"/>
  <c r="B117" i="84"/>
  <c r="B116" i="84"/>
  <c r="B115" i="84"/>
  <c r="B114" i="84"/>
  <c r="B113" i="84"/>
  <c r="B112" i="84"/>
  <c r="B111" i="84"/>
  <c r="B110" i="84"/>
  <c r="B109" i="84"/>
  <c r="B108" i="84"/>
  <c r="B107" i="84"/>
  <c r="B106" i="84"/>
  <c r="B105" i="84"/>
  <c r="B104" i="84"/>
  <c r="B103" i="84"/>
  <c r="B102" i="84"/>
  <c r="B101" i="84"/>
  <c r="B100" i="84"/>
  <c r="B99" i="84"/>
  <c r="B98" i="84"/>
  <c r="B97" i="84"/>
  <c r="B96" i="84"/>
  <c r="B95" i="84"/>
  <c r="B94" i="84"/>
  <c r="B93" i="84"/>
  <c r="B92" i="84"/>
  <c r="B91" i="84"/>
  <c r="B90" i="84"/>
  <c r="B89" i="84"/>
  <c r="B88" i="84"/>
  <c r="B87" i="84"/>
  <c r="B86" i="84"/>
  <c r="B85" i="84"/>
  <c r="B84" i="84"/>
  <c r="B83" i="84"/>
  <c r="B82" i="84"/>
  <c r="B81" i="84"/>
  <c r="B80" i="84"/>
  <c r="B79" i="84"/>
  <c r="B78" i="84"/>
  <c r="B77" i="84"/>
  <c r="B76" i="84"/>
  <c r="B75" i="84"/>
  <c r="B74" i="84"/>
  <c r="B73" i="84"/>
  <c r="B72" i="84"/>
  <c r="B71" i="84"/>
  <c r="B70" i="84"/>
  <c r="B69" i="84"/>
  <c r="B68" i="84"/>
  <c r="B67" i="84"/>
  <c r="B66" i="84"/>
  <c r="B65" i="84"/>
  <c r="B64" i="84"/>
  <c r="B63" i="84"/>
  <c r="B62" i="84"/>
  <c r="B61" i="84"/>
  <c r="B60" i="84"/>
  <c r="B59" i="84"/>
  <c r="B58" i="84"/>
  <c r="B57" i="84"/>
  <c r="B56" i="84"/>
  <c r="B55" i="84"/>
  <c r="B54" i="84"/>
  <c r="B53" i="84"/>
  <c r="B52" i="84"/>
  <c r="B51" i="84"/>
  <c r="B50" i="84"/>
  <c r="B49" i="84"/>
  <c r="B48" i="84"/>
  <c r="B47" i="84"/>
  <c r="B46" i="84"/>
  <c r="B45" i="84"/>
  <c r="B44" i="84"/>
  <c r="B43" i="84"/>
  <c r="B42" i="84"/>
  <c r="B41" i="84"/>
  <c r="B40" i="84"/>
  <c r="B39" i="84"/>
  <c r="B38" i="84"/>
  <c r="B37" i="84"/>
  <c r="B36" i="84"/>
  <c r="B35" i="84"/>
  <c r="B34" i="84"/>
  <c r="B33" i="84"/>
  <c r="B32" i="84"/>
  <c r="B31" i="84"/>
  <c r="B30" i="84"/>
  <c r="B29" i="84"/>
  <c r="B28" i="84"/>
  <c r="B27" i="84"/>
  <c r="B26" i="84"/>
  <c r="B25" i="84"/>
  <c r="B24" i="84"/>
  <c r="B23" i="84"/>
  <c r="B22" i="84"/>
  <c r="B21" i="84"/>
  <c r="B20" i="84"/>
  <c r="B19" i="84"/>
  <c r="B18" i="84"/>
  <c r="B17" i="84"/>
  <c r="B16" i="84"/>
  <c r="B15" i="84"/>
  <c r="B14" i="84"/>
  <c r="B13" i="84"/>
  <c r="B12" i="84"/>
  <c r="B11" i="84"/>
  <c r="B10" i="84"/>
  <c r="B9" i="84"/>
  <c r="B8" i="84"/>
  <c r="B7" i="84"/>
  <c r="B6" i="84"/>
  <c r="N5" i="84"/>
  <c r="M5" i="84"/>
  <c r="L5" i="84"/>
  <c r="K5" i="84"/>
  <c r="J5" i="84"/>
  <c r="I5" i="84"/>
  <c r="H5" i="84"/>
  <c r="G5" i="84"/>
  <c r="F5" i="84"/>
  <c r="E5" i="84"/>
  <c r="D5" i="84"/>
  <c r="C5" i="84"/>
  <c r="B5" i="84" l="1"/>
  <c r="B118" i="84"/>
  <c r="B129" i="8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Fathimath Shifaza</author>
  </authors>
  <commentList>
    <comment ref="A8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Pls provide English Translation of cases</t>
        </r>
      </text>
    </comment>
  </commentList>
</comments>
</file>

<file path=xl/sharedStrings.xml><?xml version="1.0" encoding="utf-8"?>
<sst xmlns="http://schemas.openxmlformats.org/spreadsheetml/2006/main" count="311" uniqueCount="181">
  <si>
    <t>Total</t>
  </si>
  <si>
    <t>މަސްތުވާތަކެތި</t>
  </si>
  <si>
    <t>މާރާމާރީ</t>
  </si>
  <si>
    <t>މުދަލަށް ގެއްލުންދިނުން</t>
  </si>
  <si>
    <t>ފޭރުން</t>
  </si>
  <si>
    <t>ޖުމްލަ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</si>
  <si>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</si>
  <si>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</si>
  <si>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</si>
  <si>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</si>
  <si>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</si>
  <si>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</si>
  <si>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</si>
  <si>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</si>
  <si>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</si>
  <si>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</si>
  <si>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</si>
  <si>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</si>
  <si>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މައްސަލައިގެ ބާވަތް</t>
  </si>
  <si>
    <t>Male</t>
  </si>
  <si>
    <t>Female</t>
  </si>
  <si>
    <t xml:space="preserve">Total </t>
  </si>
  <si>
    <t>ފިރިހެން</t>
  </si>
  <si>
    <t>އަންހެން</t>
  </si>
  <si>
    <t>Type</t>
  </si>
  <si>
    <t>Both Sex</t>
  </si>
  <si>
    <t>ބިރުދެއްކުން</t>
  </si>
  <si>
    <t>Source:Maldives Correctional  Service</t>
  </si>
  <si>
    <t>މައުލޫމާތު ދެއްވީ: މޯލްޑިވްސް ކަރެކްޝަނަލް ސަރވިސް</t>
  </si>
  <si>
    <t>ހުއްދަ ނޫން ޖިންސީ މުޢާމަލާތެއް ހިންގުމުގެ ކުށް</t>
  </si>
  <si>
    <t>ހުއްދަނަގައިދެން ކުރަންޖެހޭ ކަމެއް ހުއްދަނުނަގާ ކުރުން</t>
  </si>
  <si>
    <t>ހަށި ވިއްކުން</t>
  </si>
  <si>
    <t>ހުއްދަނޫން ތަނަކަށް ވަނުން</t>
  </si>
  <si>
    <t>ހުއްދަނޫން ޖިންސީ މުއާމަލާތް ހިންގަން އުޅުން</t>
  </si>
  <si>
    <t>ހުއްދަނެތި ދިވެހިރާއްޖޭގެ ޙާއްސަ އިޤްތިސާދީ ސަރަހަށްދަށް ވަނުމުގެ ކުށް</t>
  </si>
  <si>
    <t>ޙިޔާނާތް</t>
  </si>
  <si>
    <t>ޙުކުމާއި އެއްގޮތަށް ޢަމަލުނުކުރުން</t>
  </si>
  <si>
    <t>ނުކުޅެދުންތެރިކަމެއް ހުރި މީހަކާއި އެކު ޖިންސީ އަނިޔާއެއްކުރަން އުޅުމުގެ ކުށް</t>
  </si>
  <si>
    <t>ރޭޕްކުރުން</t>
  </si>
  <si>
    <t>ރަސްމީ ހައިސިއްޔަތު ނަހަމަ ގޮތުގައި ބޭނުންކުރުން</t>
  </si>
  <si>
    <t>ރަމަޟާންމަހު ރޯދަ ނުހިފުމުގެ ކުށް</t>
  </si>
  <si>
    <t>ބަނގުރާ ބުއިމުގެ ކުށް</t>
  </si>
  <si>
    <t>ބަނގުރާ ކައްކަން ގެންގުޅޭ އާލާތެއް އަތުގައި ބެހެއްޓުން</t>
  </si>
  <si>
    <t>ބަދުއަޚްލާޤީ ޢަމަލުހިންގުން</t>
  </si>
  <si>
    <t>ބްލެކްމެއިލްކުރުން</t>
  </si>
  <si>
    <t>ކައިވެނި ހެޔޮނުވާ ކުޑަކުއްޖަކާމެދު ބަދުއަޙްލާޤީ ޢަމަލު ހިންގުމުގެ ކުށް</t>
  </si>
  <si>
    <t>ކުށެއްކުރުމުގައި ނުރައްކާތެރި ހަތިޔާރެއް ބޭނުންކުރުން</t>
  </si>
  <si>
    <t>ކުށެއްކުރުމުގެ އާލަތެއް އަތުގައި ބެހެއްޓުން</t>
  </si>
  <si>
    <t>ކުޑަ ކުއްޖަކާއިއެކު ޖިންސީ ޢަމަލެއް ހިންގުން</t>
  </si>
  <si>
    <t>ކުޑަކަމުދާ ތަކެތި ދިނުމަށް އިންކާރުކުރުން</t>
  </si>
  <si>
    <t>ކުޑަކުއްޖަކަށް ޖިންސީ ގުނަވަނެއްދެއްކުން</t>
  </si>
  <si>
    <t>ކުޑަކުއްޖެއްގެ ހަށިގަނޑުގައި ޖިންސީ ނިޔަތެއް އޮވެގެން ޤަސްދުގައި އަތްލުން</t>
  </si>
  <si>
    <t>ކުޑަކުދިންނަށް ޖިންސީ ގޯނާކުރުން</t>
  </si>
  <si>
    <t>ކެނަބިސް ބޭނުންކުރުން</t>
  </si>
  <si>
    <t>ކެނަބިސް ޓްރެފިކް ކުރުން</t>
  </si>
  <si>
    <t>ކެނެބިސް ޕެޑްލްކުރުން</t>
  </si>
  <si>
    <t>ކޯޓުގެ ޙުރުމަތްކެނޑުން</t>
  </si>
  <si>
    <t>އަނިޔާއެއްދިނުން</t>
  </si>
  <si>
    <t>އަމަން ނަގާލުން</t>
  </si>
  <si>
    <t>އަމުރަށް ނުކިޔަމަންތެރިވުން</t>
  </si>
  <si>
    <t>އާއިލާގެ މެމްބަރަކާއި އެކު ޖިންސީ އަމަލެއް ހިންގުން</t>
  </si>
  <si>
    <t>އާއްމު މަޞްލަހަތަށް ގެއްލުން ހުރި ޢަމަލެއްކުރުމުގެ ކުށް</t>
  </si>
  <si>
    <t>އަދުލްއިންޞާފް ޤާއިމުކުރުމަށް ހުރަސްއެޅުން</t>
  </si>
  <si>
    <t>އިތުބާރުކުރެވޭ މަޤާމެއްގައިހުރެ ކުޑަކުއްޖަކާއިމެދު ޖިންސީއަމަލެއްހިންގުން</t>
  </si>
  <si>
    <t>އިންޒާރުދިނުން</t>
  </si>
  <si>
    <t>އެހެންމީހެއްގެ މުދަލެއްގެ މައްޗަށް ހުއްދަނޫން ގޮތެއްގައި ބާރު ހިންގުމުގައި ބައިވެރިވުން</t>
  </si>
  <si>
    <t>އެނގިހުރެ މީހަކު މެރުން</t>
  </si>
  <si>
    <t>އެނގިހުރެ ހުއްދަނޫން ތަނަކަށް ވަނުމުގެ ކުށް</t>
  </si>
  <si>
    <t>އެނގިހުރެ ހުއްދަނޫން ގޮތުގައި މަޢުލޫމާތު ހޯދުން</t>
  </si>
  <si>
    <t>އެނގިހުރެ ސައްޙަނޫން ގޮތުގައި އެއްޗެއް އުފެއްދުން</t>
  </si>
  <si>
    <t>އެކަކަށްވުރެ ގިނަމީހުން ބައިވެރިވެގެން ކުޑަކުއްޖަކާއިއެކު ޖިންސީ އަމަލު ހިންގުން</t>
  </si>
  <si>
    <t>އެއްޖިންސުން ޖިންސީ ގުޅުން ހިންގުން</t>
  </si>
  <si>
    <t>އެއްޗެއް ހަލާކުކޮށްލައިގެން ފިހާރައަކުން ދިހަހާސް ރުފިޔާ އަށްވުރެ މަތި އަދަދެއްގެ ފައިސާއިން ވައްކަންކުރުން</t>
  </si>
  <si>
    <t>އޮރިޔާން ކާޑް ރައްދުކުރުން</t>
  </si>
  <si>
    <t>އޮރިޔާންކާޑް ގެންގުޅުން</t>
  </si>
  <si>
    <t>ވަކިމީހަކަށް ނުލައްވާ ގޮތަށް ވިހެއުން</t>
  </si>
  <si>
    <t>ވައްކަންކުރުން</t>
  </si>
  <si>
    <t>ވައްކަންކުރުން ، އެނގިހުރެ ހުއްދަނޫން ތަނަކަށް ވަނުން</t>
  </si>
  <si>
    <t>ވައްކަންކުރުން،އެނގިހުރެ ހުއްދަނޫން ތަނަކަށްވަނުން އަދި މީހެއްގެ މުދަލަށް ގެއްލުންދިނު</t>
  </si>
  <si>
    <t>ވައްކަންކުރުމާއި އެނގިހުރެ ހުއްދަނޫން ތަނަކަށްވަނުން</t>
  </si>
  <si>
    <t>ވައްކަންކުރުމުގައި ބައިވެރިވުން</t>
  </si>
  <si>
    <t>ވާޖިބަށް ހުރަސް އެޅުން</t>
  </si>
  <si>
    <t>މަޙްރަމަކާއެކު ޖިންސީ ޢަމަލެއް ހިންގަން އުޅުން</t>
  </si>
  <si>
    <t>މައްޔިތާގެ ބޭނުން ނަހަމަގޮތުގައި ކުރުން</t>
  </si>
  <si>
    <t>މަނީ ލޯންޑަރިންގ</t>
  </si>
  <si>
    <t>މަކަރާއި ހީލަތް ހެދުން</t>
  </si>
  <si>
    <t>މަޤާމުގެ ނުފޫޒް ބޭނުންކޮށްގެން ނާޖާއިޒު ފައިދާއެއް ހޯދަންއުޅުން</t>
  </si>
  <si>
    <t>މަޤްބޫލް ސަބަބެއްނެތި ނުރައްކާތެރި ހަތިޔާރެއް އާއްމުތަނެއްގައި ގެންގުޅުން</t>
  </si>
  <si>
    <t>މަޤްބޫލް ސަބަބެއްނެތި ޢާއްމުތަނެއްގައި ތޫނުއެއްޗެއް  ގެންގުޅުން</t>
  </si>
  <si>
    <t>މީހަކަށް ނުރައްކާތެރި ހާނިއްކައެއްވާގޮތަށް ތޫނު އެއްޗެއް ނުވަތަ ހަތިޔާރެއް ބޭނުންކޮށްގެން މާރާމާރީ ހިންގުން</t>
  </si>
  <si>
    <t>މީހަކަށް ނުރައްކާތެރި ހާނިއްކައެއްވާގޮތަށް ތޫނު އެއްޗެއް ނުވަތަ ހަތިޔާރެއް ބޭނުންކޮށްގެން މާރާމާރީ ހިންގުމުގައި ބައިވެރިވުން</t>
  </si>
  <si>
    <t>މީހަކު މަރުވެދިދިއުމުގެ ފަރުވާކުޑަ އަމަލެއްކުރުން / ކެނެބިސް ބޭނުންކުރުން</t>
  </si>
  <si>
    <t>މީހުން ޓްރެފިކް ކުރުން</t>
  </si>
  <si>
    <t>މީހަކު ލައްވާ ހަށިވިއްކުން</t>
  </si>
  <si>
    <t>މީހެއްގެ ކާކުކަން އަންގައިދޭ ލިޔުމެއް ނުވަތަ ޓްރެވަލް ޑޮކިއުމެންޓެއް ނަހަމަ ގޮތުގައި ބޭނުންކުރުމަށްޓަކައި ހިފެހެއްޓުން</t>
  </si>
  <si>
    <t>މީހެއްގެ ހަށިގަނޑަށް ގެއްލުންދިނުން</t>
  </si>
  <si>
    <t>މީހެއްގެ މުދަލަށް ގެއްލުން ދިނުން</t>
  </si>
  <si>
    <t>މީހެއްގެ މުދަލަށް ގެއްލުންދިނުން ، ވައްކަންކުރުން</t>
  </si>
  <si>
    <t>މީހެއްގެ މުދަލެއްގެ މައްޗަށް ހުއްދަނޫން ގޮތެއްގައި ބާރު ހިންގުން</t>
  </si>
  <si>
    <t>ފިރިމީހާ އަނބިމީހާ ރޭޕްކުރުން</t>
  </si>
  <si>
    <t>ދަރަނި</t>
  </si>
  <si>
    <t>ދިވެހިރާއްޖެއަށް މަސްތުވާތަކެތި އެތެރެކުރުން / ޓްރެފިކްކުރުން</t>
  </si>
  <si>
    <t>ދަރިންގެ ޙަރަދުގެ ފައިސާ ނުދެއްކުން</t>
  </si>
  <si>
    <t>ދިހަހާސް ރުފިޔާ އަށްވުރެ ގިނަ އަދަދެއްގެ ފައިސާއިން މަކަރާއި ޙީލަތް ހެދުން</t>
  </si>
  <si>
    <t>ދިހަހާސް ރުފިޔާއަށްވުރެ މަތީ އަދަދަކުން ޖަމާއަތް ހަދައިގެން ތަނެއް ހަލާކުކޮށްލައިގެން ސަރުކާރުގެ މުދަލަކުން ވައްކަންކުރުން</t>
  </si>
  <si>
    <t>ދިހަހާސް ރުފިޔާއަށްވުރެ މަތީ އަދަދެއްގެ ފައިސާއިން މަކަރާއި ޙީލަތް ހެދުން</t>
  </si>
  <si>
    <t>ދިވެހި ރާއްޖެއަށް ގެނައުން މަނާތަކެތި ދިވެހިރާއްޖޭގައި ގެންގުޅުން</t>
  </si>
  <si>
    <t>ދޮގުހެދުން</t>
  </si>
  <si>
    <t>ޝަޚުޞް އޮޅުވާލުން</t>
  </si>
  <si>
    <t>ތޫނު ހަތިޔާރު ބޭނުންކޮށްގެން މާރާމާރީ ހިންގުން</t>
  </si>
  <si>
    <t>ތޫނު ހަތިޔާރު ބޭނުންކޮށްގެން މީހަކަށް ގެއްލުންދޭން އުޅުން</t>
  </si>
  <si>
    <t>ތޫނު އެއްޗެއް ބޭނުންކޮށްގެން ގަސްދުގައި މީހަކު މެރުމުގައި ބައިވެރިވުން</t>
  </si>
  <si>
    <t>ޤަތުލު ޟިބުހު އަމުދުގެ ކުށް (ޤަސްދުމަރާއި ވައްތަރުގެ މަރު)</t>
  </si>
  <si>
    <t>ގައިގާ އަތްލުން</t>
  </si>
  <si>
    <t>ގަސްތުގައި ކުއްޖަކު މެރުން</t>
  </si>
  <si>
    <t>ޤާނޫނު ތަންފީޒްކުރާ އިދާރާއަކަށް ދޮގު މަޢުލޫމާތުދިނުން</t>
  </si>
  <si>
    <t>ޤަސްދުގައި މީހަކު މެރުން</t>
  </si>
  <si>
    <t>ޤާނޫނު ތަންފީޛްކުރާ މުވައްޒަފެއްގެ މަސައްކަތަށް ގަސްދުގައި ހުރަސްއެޅުމުގެ ކުށް</t>
  </si>
  <si>
    <t>ސާބިތު ޚަރަދަށް ފައިސާ ނުދެއްކުން</t>
  </si>
  <si>
    <t>ޑައިމޯފިނުން މުއާމަލާތްކުރުން</t>
  </si>
  <si>
    <t>ޑައިމޯފިން ބޭނުންކުރުން</t>
  </si>
  <si>
    <t>ޑައިމޯފިން ޓްރެފިކްކުރުން</t>
  </si>
  <si>
    <t>ޑައިމޯފިން ޕެޑްލްކުރުން</t>
  </si>
  <si>
    <t>ޒިނޭކުރުން</t>
  </si>
  <si>
    <t>ޓެކުން</t>
  </si>
  <si>
    <t>ޖަމާއަތް ހަދައިގެން ވައްކަންކުރުން</t>
  </si>
  <si>
    <t>ޖަމާއަތް ހަދައިގެން މީހުން ދިރިއުޅޭ ތަނަކުން ވައްކަންކުރުން</t>
  </si>
  <si>
    <t>ޖަމާއަތް ހަދައިގެން ތޫނުއެއްޗަކުން ބިރުދައްކައިގެން ފޭރުން</t>
  </si>
  <si>
    <t>ޖަދުވަލު 1 ގައިވާ މަސްތުވާއެއްޗެއް ޓްރެފިކްކުރުން</t>
  </si>
  <si>
    <t>ޖަދުވަލު 2 ގައިވާ މަސްތުވާ އެއްޗެއް ޓްރެފިކްކުރުން</t>
  </si>
  <si>
    <t>ޖިނާއީ ބަންދަކުން ފިލުން</t>
  </si>
  <si>
    <t>ޖިންސީ ނިޔަތެއް އޮވެގެން ކުޑަކުއްޖެއްގެ ހަށިގަނޑުގައި އަތްލުން</t>
  </si>
  <si>
    <t>ޖިންސީ ޢަމަލެއް ހިންގަމުންދާ މަންޒަރެއް ކުޑަކުއްޖަކަށް ދެއްކުމުގެ ކުށް</t>
  </si>
  <si>
    <t>ޖިންސީ ގޯނާ ކުރަން އުޅުން</t>
  </si>
  <si>
    <t>ޖިންސީ ގޯނާކުރުން</t>
  </si>
  <si>
    <t>ޖިންސީގުނަވަން ހާމަކުރުން</t>
  </si>
  <si>
    <t>ނުރައްކާތެރި ހަތިޔާރާއި އެކު ބިރުދެއްކުން</t>
  </si>
  <si>
    <t>ނުރައްކާތެރި ހަތިޔާރެއް ބޭނުންކޮށްގެން މާރާމާރީ ހިންގުން</t>
  </si>
  <si>
    <t>ރައްކާތެރިކުރުމުގެ އަމުރާ ޙިލާފްވުން</t>
  </si>
  <si>
    <t>ކުޑަކުއްޖަކާމެދު ޖިންސީ ޢަމަލެއް ހިންގާކަން އެނގިހުރެ އެމައުލޫމާތު ސިއްރުކުރުން</t>
  </si>
  <si>
    <t>ކުޑްކުއްޖަކު މެދުވެރިކޮށް އޮރިޔާންކާޑް ހެދުމުގެ ކުށް</t>
  </si>
  <si>
    <t>އާއިލާގެ މެންބަރަކު އެއާއިލާގެ ކުޑަކުއްޖަކާއިއެކު ޖިންސީ އަމަލެއް ހިންގުން، ޖީންސީ އަމަލެއް ހިންގަމުން ގެންދާ މަންޒަރެއް ކުޑަކުއްޖަކަށް ދެއްކުން</t>
  </si>
  <si>
    <t>އިންސާނާގެ ފުރާނައިގެ އަގަށް އެއްވެސް ފަރުވާލެއް ނެތްކަމަށް ދައްކުވައިދޭ ޙާލަތެއްގައި މީހަކު މަރުވެދިއުމުގެ ފަރުވާކުޑަ އަމަލެއް ކުރުމުގެ ކުށް</t>
  </si>
  <si>
    <t>އެހެންމީހެއްގެ މުދަލެއްގެ މައްޗަށް ހުއްދަނޫން ގޮތެއްގައި ބާރު ހިންގުން، އޮރިޔާން ކާޑް އުފައްދާ ގެންގުޅުން</t>
  </si>
  <si>
    <t>އެނގިހުރެ ހުއްދަނޫން ތަނަކަށް ވަނުމާއި، މުދަލައް ގެއްލުން ދިނުމާއި، ވައްކަންކުރުން</t>
  </si>
  <si>
    <t>އެނގިހުރެ ސައްޙަނޫން ގޮތެއްގައި ލިޔުމެއް އުފެއްދުން</t>
  </si>
  <si>
    <t>ވައްކަންކޮށްގެން ހޯދާ މުދާ ބަލައިގަތުން</t>
  </si>
  <si>
    <t>މަނާކުރެވިފައިވާ އެއްޗެއް މީހުން ބަންދުކުރާ މަރުކަޒެއްގައި ގެންގުޅުން</t>
  </si>
  <si>
    <t>މަޤާމުގެ ނުފޫޒު ބޭނުންކޮށްގެން އެހެން ފަރާތަކަށް ނާޖައިޒު ފައިދާ ހޯދައިދިނުމުގެ ކުށް</t>
  </si>
  <si>
    <t>މީހަކު މަރުވެދިއުމުގެ އިހުމާލުގެ ޢަމަލެއްކުރުން</t>
  </si>
  <si>
    <t>މީހަކު މެރުމުގައި ބައިވެރިވުން</t>
  </si>
  <si>
    <t>މީހުން މެރުން</t>
  </si>
  <si>
    <t>މުދަލަށް ގެއްލުންދިނުން، އެނގިހުރެ ހުއްދަނޫން ތަނަކަށް ވަނުން، މަޤްބޫލް ސަބަބެއްނެތި ނުރައްކާތެރި ހަތިޔާރެއް އާއްމުތަނެއްގައި ގެންގުޅުން</t>
  </si>
  <si>
    <t>ދަރިން ބެލެހެއްޓުމަށް އޮތް ވާޖިބާއި، ދަރިންނަށް އަޅާނުލާ ދޫކޮށްލުމުގެ ކުށް</t>
  </si>
  <si>
    <t>ތަނެއް ހަލާކުކޮށްލައިގެން ފިހާރައަކުން ޖަމާއަތް ހަދައިގެން ވައްކަންކުރުން</t>
  </si>
  <si>
    <t>ތޫނު ހަތިޔާރު ބޭނުންކޮށްގެން މީހަކަށް ހާނިކައެއްވާގޮތަށް މާރާމާރީ ހިންގުން</t>
  </si>
  <si>
    <t>ތޫނު އެއްޗެއް ބޭނުންކޮށްގެން ޤަޞްދުގައި މީހަކު މެރުން</t>
  </si>
  <si>
    <t>ތޫނު އެއްޗެތި ގެންގުޅުން</t>
  </si>
  <si>
    <t>ޤަވާއިދާ ޙިލާފްވުން</t>
  </si>
  <si>
    <t>ޤަދަކަމުން ބަދުއަޙްލާޤީ އަމަލު ހިންގުން</t>
  </si>
  <si>
    <t>ޤާނޫނު ހިންގުމަށް ހުރަސްއެޅުމުގެ ކުށް</t>
  </si>
  <si>
    <t>ޓެރަރިޒަމް</t>
  </si>
  <si>
    <t>ޖަމާއަތް ހަދައިގެން ފޭރުން</t>
  </si>
  <si>
    <t>ޖިންސީ އަމަލެއް ހިންގުމަށް ގެއަކަށް ވަނުން</t>
  </si>
  <si>
    <t>Table 8.35: Monthly number of Persons sentenced by type  of crimes, 2020</t>
  </si>
  <si>
    <t>Table 8.35: Monthly number of Persons sentenced by type  of crimes, 2019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</si>
  <si>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</si>
  <si>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</si>
  <si>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</si>
  <si>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Detail</t>
  </si>
  <si>
    <t>ތަފްސީލު</t>
  </si>
  <si>
    <t xml:space="preserve">Care and support to the elderly </t>
  </si>
  <si>
    <t>އުމުރުން ދުވަސްވީ މީހުންނަށް އަޅައިލުމާއި އެހީތެރިކަން ބޭނުންވެގެން</t>
  </si>
  <si>
    <t xml:space="preserve">Care and support to person with special needs </t>
  </si>
  <si>
    <t>ނުކުޅެދުންތެރިކަން ހުންނަ މީހުންނަށް އަޅައިލުމާއި އެހީތެރިކަން ބޭނުންވެގެން</t>
  </si>
  <si>
    <t>TABLE 8.69: Number of cases reported related to person with disability and elderly perosn by sex,  2020</t>
  </si>
  <si>
    <t>TABLE 8.69: Number of cases reported related to person with disability and elderly perosn by sex,  2019</t>
  </si>
  <si>
    <t>TABLE 8.69: Number of cases reported related to person with disability and elderly perosn by sex,  2018</t>
  </si>
  <si>
    <t xml:space="preserve">ތާވަލު 8.69: ނުކުޅެދުންތެރިކަން ހުންނަ ފަރާތްތަކާއި އުމުރުން ދުވަސްވީ މީހުނަށް އަޅައިލުމާއި އެހީތެރިކަން ބޭނުންވެގެން ހުށައެޅުނު މައްސަލަތަކުގެ ޢަދަދު، 2018 </t>
  </si>
  <si>
    <t xml:space="preserve">ތާވަލު 8.69: ނުކުޅެދުންތެރިކަން ހުންނަ ފަރާތްތަކާއި އުމުރުން ދުވަސްވީ މީހުނަށް އަޅައިލުމާއި އެހީތެރިކަން ބޭނުންވެގެން ހުށައެޅުނު މައްސަލަތަކުގެ ޢަދަދު، 2019 </t>
  </si>
  <si>
    <t xml:space="preserve">ތާވަލު 8.69: ނުކުޅެދުންތެރިކަން ހުންނަ ފަރާތްތަކާއި އުމުރުން ދުވަސްވީ މީހުނަށް އަޅައިލުމާއި އެހީތެރިކަން ބޭނުންވެގެން ހުށައެޅުނު މައްސަލަތަކުގެ ޢަދަދު،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</si>
</sst>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9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i/>
      <sz val="9"/>
      <name val="Arial"/>
      <family val="2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b/>
      <sz val="10"/>
      <name val="Faruma"/>
    </font>
    <font>
      <sz val="10"/>
      <name val="Faruma"/>
    </font>
    <font>
      <b/>
      <sz val="11"/>
      <name val="Faruma"/>
    </font>
    <font>
      <sz val="11"/>
      <color rgb="FF000000"/>
      <name val="Faruma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3" fillId="0" borderId="2" applyNumberFormat="0" applyFill="0" applyAlignment="0" applyProtection="0"/>
    <xf numFmtId="0" fontId="11" fillId="0" borderId="0"/>
    <xf numFmtId="0" fontId="11" fillId="0" borderId="0"/>
  </cellStyleXfs>
  <cellXfs count="5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wrapText="1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0" fontId="15" fillId="2" borderId="0" xfId="0" applyFont="1" applyFill="1"/>
    <xf numFmtId="0" fontId="0" fillId="2" borderId="0" xfId="0" applyFill="1" applyAlignment="1">
      <alignment horizontal="right" vertical="center"/>
    </xf>
    <xf numFmtId="0" fontId="14" fillId="2" borderId="0" xfId="0" applyFont="1" applyFill="1"/>
    <xf numFmtId="164" fontId="17" fillId="2" borderId="0" xfId="0" applyNumberFormat="1" applyFont="1" applyFill="1" applyAlignment="1">
      <alignment horizontal="right" vertical="center"/>
    </xf>
    <xf numFmtId="0" fontId="14" fillId="3" borderId="0" xfId="0" applyFont="1" applyFill="1"/>
    <xf numFmtId="0" fontId="19" fillId="2" borderId="0" xfId="0" applyFont="1" applyFill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20" fillId="2" borderId="0" xfId="0" applyFont="1" applyFill="1"/>
    <xf numFmtId="0" fontId="19" fillId="2" borderId="1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right" vertical="center"/>
    </xf>
    <xf numFmtId="0" fontId="15" fillId="2" borderId="4" xfId="0" applyFont="1" applyFill="1" applyBorder="1" applyAlignment="1">
      <alignment wrapText="1"/>
    </xf>
    <xf numFmtId="169" fontId="2" fillId="2" borderId="0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wrapText="1"/>
    </xf>
    <xf numFmtId="0" fontId="15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14" fillId="2" borderId="0" xfId="0" applyFont="1" applyFill="1" applyAlignment="1">
      <alignment wrapText="1"/>
    </xf>
    <xf numFmtId="0" fontId="14" fillId="3" borderId="0" xfId="0" applyFont="1" applyFill="1" applyAlignment="1">
      <alignment vertical="center" wrapText="1"/>
    </xf>
    <xf numFmtId="0" fontId="0" fillId="3" borderId="0" xfId="0" applyFill="1" applyAlignment="1">
      <alignment horizontal="right" vertical="center"/>
    </xf>
    <xf numFmtId="0" fontId="1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right"/>
    </xf>
    <xf numFmtId="164" fontId="12" fillId="2" borderId="0" xfId="0" applyNumberFormat="1" applyFont="1" applyFill="1" applyAlignment="1">
      <alignment horizontal="left" vertical="center"/>
    </xf>
    <xf numFmtId="169" fontId="2" fillId="2" borderId="0" xfId="0" applyNumberFormat="1" applyFont="1" applyFill="1" applyAlignment="1">
      <alignment horizontal="right" vertical="center"/>
    </xf>
    <xf numFmtId="0" fontId="0" fillId="2" borderId="4" xfId="0" applyFill="1" applyBorder="1" applyAlignment="1">
      <alignment wrapText="1"/>
    </xf>
    <xf numFmtId="0" fontId="0" fillId="2" borderId="1" xfId="0" applyFill="1" applyBorder="1" applyAlignment="1">
      <alignment horizontal="right"/>
    </xf>
    <xf numFmtId="164" fontId="16" fillId="2" borderId="1" xfId="0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Alignment="1">
      <alignment vertical="top" readingOrder="2"/>
    </xf>
    <xf numFmtId="164" fontId="4" fillId="2" borderId="0" xfId="0" applyNumberFormat="1" applyFont="1" applyFill="1" applyAlignment="1">
      <alignment vertical="top"/>
    </xf>
    <xf numFmtId="0" fontId="14" fillId="2" borderId="1" xfId="0" applyFont="1" applyFill="1" applyBorder="1"/>
    <xf numFmtId="0" fontId="5" fillId="2" borderId="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5" tint="0.59999389629810485"/>
  </sheetPr>
  <dimension ref="A2:O236"/>
  <sheetViews>
    <sheetView zoomScale="84" zoomScaleNormal="84" workbookViewId="0">
      <selection activeCell="B27" sqref="B27"/>
    </sheetView>
  </sheetViews>
  <sheetFormatPr defaultRowHeight="15"/>
  <cols>
    <col min="1" max="1" width="40.42578125" style="1" customWidth="1"/>
    <col min="2" max="2" width="13.5703125" style="1" customWidth="1"/>
    <col min="3" max="14" width="8.42578125" style="1" customWidth="1"/>
    <col min="15" max="15" width="40" style="9" customWidth="1"/>
    <col min="16" max="16384" width="9.140625" style="1"/>
  </cols>
  <sheetData>
    <row r="2" spans="1:15" ht="24" customHeight="1">
      <c r="A2" s="44" t="s">
        <v>164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24" customHeight="1">
      <c r="B3" s="2"/>
    </row>
    <row r="4" spans="1:15" ht="24" customHeight="1">
      <c r="A4" s="10" t="s">
        <v>24</v>
      </c>
      <c r="B4" s="11" t="s">
        <v>0</v>
      </c>
      <c r="C4" s="24" t="s">
        <v>6</v>
      </c>
      <c r="D4" s="24" t="s">
        <v>7</v>
      </c>
      <c r="E4" s="24" t="s">
        <v>8</v>
      </c>
      <c r="F4" s="24" t="s">
        <v>9</v>
      </c>
      <c r="G4" s="24" t="s">
        <v>10</v>
      </c>
      <c r="H4" s="24" t="s">
        <v>11</v>
      </c>
      <c r="I4" s="24" t="s">
        <v>12</v>
      </c>
      <c r="J4" s="24" t="s">
        <v>13</v>
      </c>
      <c r="K4" s="24" t="s">
        <v>14</v>
      </c>
      <c r="L4" s="24" t="s">
        <v>15</v>
      </c>
      <c r="M4" s="24" t="s">
        <v>16</v>
      </c>
      <c r="N4" s="24" t="s">
        <v>17</v>
      </c>
      <c r="O4" s="25" t="s">
        <v>18</v>
      </c>
    </row>
    <row r="5" spans="1:15" ht="24" customHeight="1">
      <c r="A5" s="4" t="s">
        <v>0</v>
      </c>
      <c r="B5" s="26">
        <f>SUM(C5:N5)</f>
        <v>611</v>
      </c>
      <c r="C5" s="3">
        <f t="shared" ref="C5:N5" si="0">SUM(C6:C117)</f>
        <v>61</v>
      </c>
      <c r="D5" s="3">
        <f t="shared" si="0"/>
        <v>64</v>
      </c>
      <c r="E5" s="3">
        <f t="shared" si="0"/>
        <v>42</v>
      </c>
      <c r="F5" s="3">
        <f t="shared" si="0"/>
        <v>6</v>
      </c>
      <c r="G5" s="3">
        <f t="shared" si="0"/>
        <v>6</v>
      </c>
      <c r="H5" s="3">
        <f t="shared" si="0"/>
        <v>26</v>
      </c>
      <c r="I5" s="3">
        <f t="shared" si="0"/>
        <v>64</v>
      </c>
      <c r="J5" s="3">
        <f t="shared" si="0"/>
        <v>56</v>
      </c>
      <c r="K5" s="3">
        <f t="shared" si="0"/>
        <v>80</v>
      </c>
      <c r="L5" s="3">
        <f t="shared" si="0"/>
        <v>69</v>
      </c>
      <c r="M5" s="3">
        <f t="shared" si="0"/>
        <v>52</v>
      </c>
      <c r="N5" s="3">
        <f t="shared" si="0"/>
        <v>85</v>
      </c>
      <c r="O5" s="27" t="s">
        <v>5</v>
      </c>
    </row>
    <row r="6" spans="1:15" ht="24" customHeight="1">
      <c r="A6" s="4"/>
      <c r="B6" s="26">
        <f>SUM(C6:N6)</f>
        <v>2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>
        <v>0</v>
      </c>
      <c r="M6" s="3">
        <v>2</v>
      </c>
      <c r="N6" s="3">
        <v>0</v>
      </c>
      <c r="O6" s="27" t="s">
        <v>29</v>
      </c>
    </row>
    <row r="7" spans="1:15" ht="24" customHeight="1">
      <c r="A7" s="4"/>
      <c r="B7" s="26">
        <f>SUM(C7:N7)</f>
        <v>2</v>
      </c>
      <c r="C7" s="3">
        <v>0</v>
      </c>
      <c r="D7" s="3"/>
      <c r="E7" s="3"/>
      <c r="F7" s="3"/>
      <c r="G7" s="3"/>
      <c r="H7" s="3"/>
      <c r="I7" s="3"/>
      <c r="J7" s="3"/>
      <c r="K7" s="3">
        <v>1</v>
      </c>
      <c r="L7" s="3">
        <v>0</v>
      </c>
      <c r="M7" s="3">
        <v>1</v>
      </c>
      <c r="N7" s="3">
        <v>0</v>
      </c>
      <c r="O7" s="28" t="s">
        <v>30</v>
      </c>
    </row>
    <row r="8" spans="1:15" ht="24" customHeight="1">
      <c r="A8" s="18"/>
      <c r="B8" s="3">
        <f t="shared" ref="B8:B71" si="1">SUM(C8:N8)</f>
        <v>0</v>
      </c>
      <c r="C8" s="29">
        <v>0</v>
      </c>
      <c r="D8" s="29"/>
      <c r="E8" s="29"/>
      <c r="F8" s="29"/>
      <c r="G8" s="29"/>
      <c r="H8" s="29"/>
      <c r="I8" s="29"/>
      <c r="J8" s="29"/>
      <c r="K8" s="29"/>
      <c r="L8" s="29">
        <v>0</v>
      </c>
      <c r="M8" s="29">
        <v>0</v>
      </c>
      <c r="N8" s="29">
        <v>0</v>
      </c>
      <c r="O8" s="30" t="s">
        <v>31</v>
      </c>
    </row>
    <row r="9" spans="1:15" ht="24" customHeight="1">
      <c r="A9" s="18"/>
      <c r="B9" s="3">
        <f t="shared" si="1"/>
        <v>36</v>
      </c>
      <c r="C9" s="29">
        <v>3</v>
      </c>
      <c r="D9" s="29">
        <v>6</v>
      </c>
      <c r="E9" s="29">
        <v>3</v>
      </c>
      <c r="F9" s="29"/>
      <c r="G9" s="29"/>
      <c r="H9" s="29">
        <v>1</v>
      </c>
      <c r="I9" s="29">
        <v>5</v>
      </c>
      <c r="J9" s="29">
        <v>5</v>
      </c>
      <c r="K9" s="29">
        <v>1</v>
      </c>
      <c r="L9" s="29">
        <v>6</v>
      </c>
      <c r="M9" s="29">
        <v>1</v>
      </c>
      <c r="N9" s="29">
        <v>5</v>
      </c>
      <c r="O9" s="30" t="s">
        <v>32</v>
      </c>
    </row>
    <row r="10" spans="1:15" ht="24" customHeight="1">
      <c r="A10" s="18"/>
      <c r="B10" s="3">
        <f t="shared" si="1"/>
        <v>0</v>
      </c>
      <c r="C10" s="29">
        <v>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 t="s">
        <v>33</v>
      </c>
    </row>
    <row r="11" spans="1:15" ht="43.5" customHeight="1">
      <c r="A11" s="31"/>
      <c r="B11" s="3">
        <f t="shared" si="1"/>
        <v>0</v>
      </c>
      <c r="C11" s="32">
        <v>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19" t="s">
        <v>34</v>
      </c>
    </row>
    <row r="12" spans="1:15" ht="24" customHeight="1">
      <c r="A12" s="18"/>
      <c r="B12" s="3">
        <f t="shared" si="1"/>
        <v>14</v>
      </c>
      <c r="C12" s="29">
        <v>0</v>
      </c>
      <c r="D12" s="29"/>
      <c r="E12" s="29"/>
      <c r="F12" s="29"/>
      <c r="G12" s="29"/>
      <c r="H12" s="29"/>
      <c r="I12" s="29"/>
      <c r="J12" s="29"/>
      <c r="K12" s="29"/>
      <c r="L12" s="29">
        <v>2</v>
      </c>
      <c r="M12" s="29"/>
      <c r="N12" s="29">
        <v>12</v>
      </c>
      <c r="O12" s="30" t="s">
        <v>35</v>
      </c>
    </row>
    <row r="13" spans="1:15" ht="24" customHeight="1">
      <c r="A13" s="18"/>
      <c r="B13" s="3">
        <f t="shared" si="1"/>
        <v>61</v>
      </c>
      <c r="C13" s="29">
        <v>16</v>
      </c>
      <c r="D13" s="29">
        <v>5</v>
      </c>
      <c r="E13" s="29">
        <v>5</v>
      </c>
      <c r="F13" s="29"/>
      <c r="G13" s="29"/>
      <c r="H13" s="29">
        <v>1</v>
      </c>
      <c r="I13" s="29">
        <v>1</v>
      </c>
      <c r="J13" s="29">
        <v>3</v>
      </c>
      <c r="K13" s="29">
        <v>10</v>
      </c>
      <c r="L13" s="29">
        <v>7</v>
      </c>
      <c r="M13" s="29">
        <v>5</v>
      </c>
      <c r="N13" s="29">
        <v>8</v>
      </c>
      <c r="O13" s="30" t="s">
        <v>36</v>
      </c>
    </row>
    <row r="14" spans="1:15" ht="45.75" customHeight="1">
      <c r="A14" s="18"/>
      <c r="B14" s="3">
        <f t="shared" si="1"/>
        <v>1</v>
      </c>
      <c r="C14" s="29">
        <v>0</v>
      </c>
      <c r="D14" s="29"/>
      <c r="E14" s="29"/>
      <c r="F14" s="29"/>
      <c r="G14" s="29"/>
      <c r="H14" s="29"/>
      <c r="I14" s="29"/>
      <c r="J14" s="29"/>
      <c r="K14" s="29"/>
      <c r="L14" s="29">
        <v>1</v>
      </c>
      <c r="M14" s="29"/>
      <c r="N14" s="29"/>
      <c r="O14" s="30" t="s">
        <v>37</v>
      </c>
    </row>
    <row r="15" spans="1:15" ht="24" customHeight="1">
      <c r="A15" s="18"/>
      <c r="B15" s="3">
        <f t="shared" si="1"/>
        <v>1</v>
      </c>
      <c r="C15" s="29">
        <v>0</v>
      </c>
      <c r="D15" s="29"/>
      <c r="E15" s="29"/>
      <c r="F15" s="29"/>
      <c r="G15" s="29"/>
      <c r="H15" s="29"/>
      <c r="I15" s="29"/>
      <c r="J15" s="29"/>
      <c r="K15" s="29"/>
      <c r="L15" s="29"/>
      <c r="M15" s="29">
        <v>1</v>
      </c>
      <c r="N15" s="29"/>
      <c r="O15" s="30" t="s">
        <v>38</v>
      </c>
    </row>
    <row r="16" spans="1:15" ht="24" customHeight="1">
      <c r="A16" s="18"/>
      <c r="B16" s="3">
        <f t="shared" si="1"/>
        <v>1</v>
      </c>
      <c r="C16" s="29">
        <v>0</v>
      </c>
      <c r="D16" s="29"/>
      <c r="E16" s="29"/>
      <c r="F16" s="29"/>
      <c r="G16" s="29"/>
      <c r="H16" s="29"/>
      <c r="I16" s="29"/>
      <c r="J16" s="29"/>
      <c r="K16" s="29"/>
      <c r="L16" s="29">
        <v>1</v>
      </c>
      <c r="M16" s="29"/>
      <c r="N16" s="29"/>
      <c r="O16" s="30" t="s">
        <v>39</v>
      </c>
    </row>
    <row r="17" spans="1:15" ht="24" customHeight="1">
      <c r="A17" s="18"/>
      <c r="B17" s="3">
        <f t="shared" si="1"/>
        <v>1</v>
      </c>
      <c r="C17" s="29">
        <v>0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>
        <v>1</v>
      </c>
      <c r="O17" s="30" t="s">
        <v>40</v>
      </c>
    </row>
    <row r="18" spans="1:15" ht="24" customHeight="1">
      <c r="A18" s="18"/>
      <c r="B18" s="3">
        <f t="shared" si="1"/>
        <v>3</v>
      </c>
      <c r="C18" s="29">
        <v>0</v>
      </c>
      <c r="D18" s="29">
        <v>2</v>
      </c>
      <c r="E18" s="29"/>
      <c r="F18" s="29"/>
      <c r="G18" s="29"/>
      <c r="H18" s="29"/>
      <c r="I18" s="29"/>
      <c r="J18" s="29"/>
      <c r="K18" s="29"/>
      <c r="L18" s="29"/>
      <c r="M18" s="29"/>
      <c r="N18" s="29">
        <v>1</v>
      </c>
      <c r="O18" s="30" t="s">
        <v>41</v>
      </c>
    </row>
    <row r="19" spans="1:15" ht="24" customHeight="1">
      <c r="A19" s="18"/>
      <c r="B19" s="3">
        <f t="shared" si="1"/>
        <v>0</v>
      </c>
      <c r="C19" s="29">
        <v>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 t="s">
        <v>42</v>
      </c>
    </row>
    <row r="20" spans="1:15" ht="24" customHeight="1">
      <c r="A20" s="18"/>
      <c r="B20" s="3">
        <f t="shared" si="1"/>
        <v>0</v>
      </c>
      <c r="C20" s="29">
        <v>0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 t="s">
        <v>43</v>
      </c>
    </row>
    <row r="21" spans="1:15" ht="24" customHeight="1">
      <c r="A21" s="18"/>
      <c r="B21" s="3">
        <f t="shared" si="1"/>
        <v>6</v>
      </c>
      <c r="C21" s="29">
        <v>0</v>
      </c>
      <c r="D21" s="29"/>
      <c r="E21" s="29">
        <v>1</v>
      </c>
      <c r="F21" s="29"/>
      <c r="G21" s="29"/>
      <c r="H21" s="29"/>
      <c r="I21" s="29">
        <v>1</v>
      </c>
      <c r="J21" s="29"/>
      <c r="K21" s="29">
        <v>2</v>
      </c>
      <c r="L21" s="29">
        <v>1</v>
      </c>
      <c r="M21" s="29">
        <v>1</v>
      </c>
      <c r="N21" s="29"/>
      <c r="O21" s="30" t="s">
        <v>26</v>
      </c>
    </row>
    <row r="22" spans="1:15" ht="24" customHeight="1">
      <c r="A22" s="18"/>
      <c r="B22" s="3">
        <f t="shared" si="1"/>
        <v>0</v>
      </c>
      <c r="C22" s="29">
        <v>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 t="s">
        <v>44</v>
      </c>
    </row>
    <row r="23" spans="1:15" ht="40.5" customHeight="1">
      <c r="A23" s="31"/>
      <c r="B23" s="3">
        <f t="shared" si="1"/>
        <v>0</v>
      </c>
      <c r="C23" s="29">
        <v>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19" t="s">
        <v>45</v>
      </c>
    </row>
    <row r="24" spans="1:15" ht="24" customHeight="1">
      <c r="A24" s="31"/>
      <c r="B24" s="3">
        <f t="shared" si="1"/>
        <v>0</v>
      </c>
      <c r="C24" s="29">
        <v>0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19" t="s">
        <v>46</v>
      </c>
    </row>
    <row r="25" spans="1:15" ht="24" customHeight="1">
      <c r="A25" s="31"/>
      <c r="B25" s="3">
        <f t="shared" si="1"/>
        <v>4</v>
      </c>
      <c r="C25" s="29">
        <v>0</v>
      </c>
      <c r="D25" s="29"/>
      <c r="E25" s="29"/>
      <c r="F25" s="29"/>
      <c r="G25" s="29"/>
      <c r="H25" s="29"/>
      <c r="I25" s="29"/>
      <c r="J25" s="29">
        <v>3</v>
      </c>
      <c r="K25" s="29">
        <v>1</v>
      </c>
      <c r="L25" s="29"/>
      <c r="M25" s="29"/>
      <c r="N25" s="29"/>
      <c r="O25" s="19" t="s">
        <v>47</v>
      </c>
    </row>
    <row r="26" spans="1:15" ht="24" customHeight="1">
      <c r="A26" s="31"/>
      <c r="B26" s="3">
        <f t="shared" si="1"/>
        <v>7</v>
      </c>
      <c r="C26" s="29">
        <v>0</v>
      </c>
      <c r="D26" s="29"/>
      <c r="E26" s="29">
        <v>2</v>
      </c>
      <c r="F26" s="29"/>
      <c r="G26" s="29"/>
      <c r="H26" s="29">
        <v>1</v>
      </c>
      <c r="I26" s="29">
        <v>1</v>
      </c>
      <c r="J26" s="29"/>
      <c r="K26" s="29">
        <v>1</v>
      </c>
      <c r="L26" s="29"/>
      <c r="M26" s="29">
        <v>1</v>
      </c>
      <c r="N26" s="29">
        <v>1</v>
      </c>
      <c r="O26" s="19" t="s">
        <v>48</v>
      </c>
    </row>
    <row r="27" spans="1:15" ht="24" customHeight="1">
      <c r="A27" s="31"/>
      <c r="B27" s="3">
        <f t="shared" si="1"/>
        <v>1</v>
      </c>
      <c r="C27" s="29">
        <v>0</v>
      </c>
      <c r="D27" s="29"/>
      <c r="E27" s="29"/>
      <c r="F27" s="29"/>
      <c r="G27" s="29"/>
      <c r="H27" s="29"/>
      <c r="I27" s="29"/>
      <c r="J27" s="29"/>
      <c r="K27" s="29">
        <v>1</v>
      </c>
      <c r="L27" s="29"/>
      <c r="M27" s="29"/>
      <c r="N27" s="29"/>
      <c r="O27" s="19" t="s">
        <v>49</v>
      </c>
    </row>
    <row r="28" spans="1:15" ht="39" customHeight="1">
      <c r="A28" s="31"/>
      <c r="B28" s="3">
        <f t="shared" si="1"/>
        <v>1</v>
      </c>
      <c r="C28" s="29">
        <v>0</v>
      </c>
      <c r="D28" s="29"/>
      <c r="E28" s="29"/>
      <c r="F28" s="29"/>
      <c r="G28" s="29"/>
      <c r="H28" s="29"/>
      <c r="I28" s="29"/>
      <c r="J28" s="29"/>
      <c r="K28" s="29"/>
      <c r="L28" s="29">
        <v>1</v>
      </c>
      <c r="M28" s="29"/>
      <c r="N28" s="29"/>
      <c r="O28" s="19" t="s">
        <v>50</v>
      </c>
    </row>
    <row r="29" spans="1:15" ht="39" customHeight="1">
      <c r="A29" s="31"/>
      <c r="B29" s="3">
        <f t="shared" si="1"/>
        <v>4</v>
      </c>
      <c r="C29" s="29">
        <v>0</v>
      </c>
      <c r="D29" s="29"/>
      <c r="E29" s="29"/>
      <c r="F29" s="29">
        <v>1</v>
      </c>
      <c r="G29" s="29"/>
      <c r="H29" s="29"/>
      <c r="I29" s="29"/>
      <c r="J29" s="29">
        <v>1</v>
      </c>
      <c r="K29" s="29"/>
      <c r="L29" s="29"/>
      <c r="M29" s="29"/>
      <c r="N29" s="29">
        <v>2</v>
      </c>
      <c r="O29" s="19" t="s">
        <v>51</v>
      </c>
    </row>
    <row r="30" spans="1:15" ht="24" customHeight="1">
      <c r="A30" s="31"/>
      <c r="B30" s="3">
        <f t="shared" si="1"/>
        <v>1</v>
      </c>
      <c r="C30" s="29">
        <v>0</v>
      </c>
      <c r="D30" s="29"/>
      <c r="E30" s="29"/>
      <c r="F30" s="29"/>
      <c r="G30" s="29"/>
      <c r="H30" s="29"/>
      <c r="I30" s="29">
        <v>1</v>
      </c>
      <c r="J30" s="29"/>
      <c r="K30" s="29"/>
      <c r="L30" s="29"/>
      <c r="M30" s="29"/>
      <c r="N30" s="29"/>
      <c r="O30" s="19" t="s">
        <v>52</v>
      </c>
    </row>
    <row r="31" spans="1:15" ht="24" customHeight="1">
      <c r="A31" s="31"/>
      <c r="B31" s="3">
        <f t="shared" si="1"/>
        <v>17</v>
      </c>
      <c r="C31" s="29">
        <v>4</v>
      </c>
      <c r="D31" s="29">
        <v>1</v>
      </c>
      <c r="E31" s="29">
        <v>1</v>
      </c>
      <c r="F31" s="29"/>
      <c r="G31" s="29"/>
      <c r="H31" s="29"/>
      <c r="I31" s="29"/>
      <c r="J31" s="29">
        <v>4</v>
      </c>
      <c r="K31" s="29">
        <v>3</v>
      </c>
      <c r="L31" s="29">
        <v>1</v>
      </c>
      <c r="M31" s="29">
        <v>2</v>
      </c>
      <c r="N31" s="29">
        <v>1</v>
      </c>
      <c r="O31" s="19" t="s">
        <v>53</v>
      </c>
    </row>
    <row r="32" spans="1:15" ht="24" customHeight="1">
      <c r="A32" s="31"/>
      <c r="B32" s="3">
        <f t="shared" si="1"/>
        <v>9</v>
      </c>
      <c r="C32" s="29">
        <v>2</v>
      </c>
      <c r="D32" s="29">
        <v>2</v>
      </c>
      <c r="E32" s="29"/>
      <c r="F32" s="29"/>
      <c r="G32" s="29"/>
      <c r="H32" s="29"/>
      <c r="I32" s="29"/>
      <c r="J32" s="29">
        <v>2</v>
      </c>
      <c r="K32" s="29"/>
      <c r="L32" s="29">
        <v>2</v>
      </c>
      <c r="M32" s="29"/>
      <c r="N32" s="29">
        <v>1</v>
      </c>
      <c r="O32" s="19" t="s">
        <v>54</v>
      </c>
    </row>
    <row r="33" spans="1:15" ht="24" customHeight="1">
      <c r="A33" s="31"/>
      <c r="B33" s="3">
        <f t="shared" si="1"/>
        <v>0</v>
      </c>
      <c r="C33" s="29">
        <v>0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19" t="s">
        <v>55</v>
      </c>
    </row>
    <row r="34" spans="1:15" ht="24" customHeight="1">
      <c r="A34" s="31"/>
      <c r="B34" s="3">
        <f t="shared" si="1"/>
        <v>5</v>
      </c>
      <c r="C34" s="29">
        <v>1</v>
      </c>
      <c r="D34" s="29">
        <v>1</v>
      </c>
      <c r="E34" s="29"/>
      <c r="F34" s="29"/>
      <c r="G34" s="29">
        <v>1</v>
      </c>
      <c r="H34" s="29"/>
      <c r="I34" s="29"/>
      <c r="J34" s="29"/>
      <c r="K34" s="29"/>
      <c r="L34" s="29">
        <v>2</v>
      </c>
      <c r="M34" s="29"/>
      <c r="N34" s="29"/>
      <c r="O34" s="19" t="s">
        <v>56</v>
      </c>
    </row>
    <row r="35" spans="1:15" ht="24" customHeight="1">
      <c r="A35" s="31"/>
      <c r="B35" s="3">
        <f t="shared" si="1"/>
        <v>9</v>
      </c>
      <c r="C35" s="29">
        <v>3</v>
      </c>
      <c r="D35" s="29">
        <v>2</v>
      </c>
      <c r="E35" s="29"/>
      <c r="F35" s="29"/>
      <c r="G35" s="29"/>
      <c r="H35" s="29"/>
      <c r="I35" s="29">
        <v>1</v>
      </c>
      <c r="J35" s="29"/>
      <c r="K35" s="29"/>
      <c r="L35" s="29"/>
      <c r="M35" s="29">
        <v>1</v>
      </c>
      <c r="N35" s="29">
        <v>2</v>
      </c>
      <c r="O35" s="19" t="s">
        <v>57</v>
      </c>
    </row>
    <row r="36" spans="1:15" ht="24" customHeight="1">
      <c r="A36" s="31"/>
      <c r="B36" s="3">
        <f t="shared" si="1"/>
        <v>0</v>
      </c>
      <c r="C36" s="29">
        <v>0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9" t="s">
        <v>58</v>
      </c>
    </row>
    <row r="37" spans="1:15" ht="24" customHeight="1">
      <c r="A37" s="31"/>
      <c r="B37" s="3">
        <f t="shared" si="1"/>
        <v>1</v>
      </c>
      <c r="C37" s="29">
        <v>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>
        <v>1</v>
      </c>
      <c r="O37" s="19" t="s">
        <v>59</v>
      </c>
    </row>
    <row r="38" spans="1:15" ht="41.25" customHeight="1">
      <c r="A38" s="31"/>
      <c r="B38" s="3">
        <f t="shared" si="1"/>
        <v>1</v>
      </c>
      <c r="C38" s="29">
        <v>0</v>
      </c>
      <c r="D38" s="29">
        <v>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19" t="s">
        <v>60</v>
      </c>
    </row>
    <row r="39" spans="1:15" ht="41.25" customHeight="1">
      <c r="A39" s="31"/>
      <c r="B39" s="3">
        <f t="shared" si="1"/>
        <v>3</v>
      </c>
      <c r="C39" s="29">
        <v>0</v>
      </c>
      <c r="D39" s="29"/>
      <c r="E39" s="29"/>
      <c r="F39" s="29"/>
      <c r="G39" s="29"/>
      <c r="H39" s="29"/>
      <c r="I39" s="29"/>
      <c r="J39" s="29"/>
      <c r="K39" s="29"/>
      <c r="L39" s="29">
        <v>2</v>
      </c>
      <c r="M39" s="29">
        <v>1</v>
      </c>
      <c r="N39" s="29"/>
      <c r="O39" s="19" t="s">
        <v>61</v>
      </c>
    </row>
    <row r="40" spans="1:15" ht="41.25" customHeight="1">
      <c r="A40" s="31"/>
      <c r="B40" s="3">
        <f t="shared" si="1"/>
        <v>2</v>
      </c>
      <c r="C40" s="29">
        <v>0</v>
      </c>
      <c r="D40" s="29"/>
      <c r="E40" s="29"/>
      <c r="F40" s="29"/>
      <c r="G40" s="29"/>
      <c r="H40" s="29">
        <v>1</v>
      </c>
      <c r="I40" s="29">
        <v>1</v>
      </c>
      <c r="J40" s="29"/>
      <c r="K40" s="29"/>
      <c r="L40" s="29"/>
      <c r="M40" s="29"/>
      <c r="N40" s="29"/>
      <c r="O40" s="19" t="s">
        <v>62</v>
      </c>
    </row>
    <row r="41" spans="1:15" ht="41.25" customHeight="1">
      <c r="A41" s="31"/>
      <c r="B41" s="3">
        <f t="shared" si="1"/>
        <v>5</v>
      </c>
      <c r="C41" s="29">
        <v>1</v>
      </c>
      <c r="D41" s="29"/>
      <c r="E41" s="29"/>
      <c r="F41" s="29"/>
      <c r="G41" s="29"/>
      <c r="H41" s="29"/>
      <c r="I41" s="29"/>
      <c r="J41" s="29">
        <v>1</v>
      </c>
      <c r="K41" s="29"/>
      <c r="L41" s="29">
        <v>1</v>
      </c>
      <c r="M41" s="29">
        <v>1</v>
      </c>
      <c r="N41" s="29">
        <v>1</v>
      </c>
      <c r="O41" s="19" t="s">
        <v>63</v>
      </c>
    </row>
    <row r="42" spans="1:15" ht="41.25" customHeight="1">
      <c r="A42" s="31"/>
      <c r="B42" s="3">
        <f t="shared" si="1"/>
        <v>2</v>
      </c>
      <c r="C42" s="29">
        <v>0</v>
      </c>
      <c r="D42" s="29"/>
      <c r="E42" s="29"/>
      <c r="F42" s="29"/>
      <c r="G42" s="29"/>
      <c r="H42" s="29">
        <v>1</v>
      </c>
      <c r="I42" s="29"/>
      <c r="J42" s="29"/>
      <c r="K42" s="29"/>
      <c r="L42" s="29">
        <v>1</v>
      </c>
      <c r="M42" s="29"/>
      <c r="N42" s="29"/>
      <c r="O42" s="19" t="s">
        <v>64</v>
      </c>
    </row>
    <row r="43" spans="1:15" ht="41.25" customHeight="1">
      <c r="A43" s="31"/>
      <c r="B43" s="3">
        <f t="shared" si="1"/>
        <v>0</v>
      </c>
      <c r="C43" s="29">
        <v>0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19" t="s">
        <v>65</v>
      </c>
    </row>
    <row r="44" spans="1:15" ht="41.25" customHeight="1">
      <c r="A44" s="31"/>
      <c r="B44" s="3">
        <f t="shared" si="1"/>
        <v>2</v>
      </c>
      <c r="C44" s="29">
        <v>0</v>
      </c>
      <c r="D44" s="29">
        <v>1</v>
      </c>
      <c r="E44" s="29"/>
      <c r="F44" s="29"/>
      <c r="G44" s="29"/>
      <c r="H44" s="29"/>
      <c r="I44" s="29"/>
      <c r="J44" s="29"/>
      <c r="K44" s="29"/>
      <c r="L44" s="29">
        <v>1</v>
      </c>
      <c r="M44" s="29"/>
      <c r="N44" s="29"/>
      <c r="O44" s="19" t="s">
        <v>66</v>
      </c>
    </row>
    <row r="45" spans="1:15" ht="41.25" customHeight="1">
      <c r="A45" s="31"/>
      <c r="B45" s="3">
        <f t="shared" si="1"/>
        <v>31</v>
      </c>
      <c r="C45" s="29">
        <v>3</v>
      </c>
      <c r="D45" s="29"/>
      <c r="E45" s="29">
        <v>2</v>
      </c>
      <c r="F45" s="29">
        <v>1</v>
      </c>
      <c r="G45" s="29">
        <v>1</v>
      </c>
      <c r="H45" s="29"/>
      <c r="I45" s="29">
        <v>6</v>
      </c>
      <c r="J45" s="29">
        <v>6</v>
      </c>
      <c r="K45" s="29">
        <v>5</v>
      </c>
      <c r="L45" s="29"/>
      <c r="M45" s="29">
        <v>6</v>
      </c>
      <c r="N45" s="29">
        <v>1</v>
      </c>
      <c r="O45" s="19" t="s">
        <v>67</v>
      </c>
    </row>
    <row r="46" spans="1:15" ht="41.25" customHeight="1">
      <c r="A46" s="31"/>
      <c r="B46" s="3">
        <f t="shared" si="1"/>
        <v>0</v>
      </c>
      <c r="C46" s="29">
        <v>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19" t="s">
        <v>68</v>
      </c>
    </row>
    <row r="47" spans="1:15" ht="41.25" customHeight="1">
      <c r="A47" s="31"/>
      <c r="B47" s="3">
        <f t="shared" si="1"/>
        <v>1</v>
      </c>
      <c r="C47" s="29">
        <v>0</v>
      </c>
      <c r="D47" s="29"/>
      <c r="E47" s="29"/>
      <c r="F47" s="29"/>
      <c r="G47" s="29"/>
      <c r="H47" s="29"/>
      <c r="I47" s="29"/>
      <c r="J47" s="29"/>
      <c r="K47" s="29"/>
      <c r="L47" s="29">
        <v>1</v>
      </c>
      <c r="M47" s="29"/>
      <c r="N47" s="29"/>
      <c r="O47" s="19" t="s">
        <v>69</v>
      </c>
    </row>
    <row r="48" spans="1:15" ht="41.25" customHeight="1">
      <c r="A48" s="31"/>
      <c r="B48" s="3">
        <f t="shared" si="1"/>
        <v>0</v>
      </c>
      <c r="C48" s="29">
        <v>0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19" t="s">
        <v>70</v>
      </c>
    </row>
    <row r="49" spans="1:15" ht="41.25" customHeight="1">
      <c r="A49" s="31"/>
      <c r="B49" s="3">
        <f t="shared" si="1"/>
        <v>0</v>
      </c>
      <c r="C49" s="29">
        <v>0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19" t="s">
        <v>71</v>
      </c>
    </row>
    <row r="50" spans="1:15" ht="41.25" customHeight="1">
      <c r="A50" s="31"/>
      <c r="B50" s="3">
        <f t="shared" si="1"/>
        <v>0</v>
      </c>
      <c r="C50" s="29">
        <v>0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19" t="s">
        <v>72</v>
      </c>
    </row>
    <row r="51" spans="1:15" ht="24" customHeight="1">
      <c r="A51" s="31"/>
      <c r="B51" s="3">
        <f t="shared" si="1"/>
        <v>0</v>
      </c>
      <c r="C51" s="29">
        <v>0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19" t="s">
        <v>73</v>
      </c>
    </row>
    <row r="52" spans="1:15" ht="24" customHeight="1">
      <c r="A52" s="31"/>
      <c r="B52" s="3">
        <f t="shared" si="1"/>
        <v>2</v>
      </c>
      <c r="C52" s="29">
        <v>1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>
        <v>1</v>
      </c>
      <c r="O52" s="19" t="s">
        <v>74</v>
      </c>
    </row>
    <row r="53" spans="1:15" ht="24" customHeight="1">
      <c r="A53" s="31"/>
      <c r="B53" s="3">
        <f t="shared" si="1"/>
        <v>0</v>
      </c>
      <c r="C53" s="29">
        <v>0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19" t="s">
        <v>75</v>
      </c>
    </row>
    <row r="54" spans="1:15" ht="24" customHeight="1">
      <c r="A54" s="31"/>
      <c r="B54" s="3">
        <f t="shared" si="1"/>
        <v>109</v>
      </c>
      <c r="C54" s="29">
        <v>7</v>
      </c>
      <c r="D54" s="29">
        <v>7</v>
      </c>
      <c r="E54" s="29">
        <v>6</v>
      </c>
      <c r="F54" s="29">
        <v>1</v>
      </c>
      <c r="G54" s="29">
        <v>1</v>
      </c>
      <c r="H54" s="29">
        <v>2</v>
      </c>
      <c r="I54" s="29">
        <v>16</v>
      </c>
      <c r="J54" s="29">
        <v>15</v>
      </c>
      <c r="K54" s="29">
        <v>22</v>
      </c>
      <c r="L54" s="29">
        <v>14</v>
      </c>
      <c r="M54" s="29">
        <v>4</v>
      </c>
      <c r="N54" s="29">
        <v>14</v>
      </c>
      <c r="O54" s="19" t="s">
        <v>76</v>
      </c>
    </row>
    <row r="55" spans="1:15" ht="24" customHeight="1">
      <c r="A55" s="31"/>
      <c r="B55" s="3">
        <f t="shared" si="1"/>
        <v>0</v>
      </c>
      <c r="C55" s="29">
        <v>0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19" t="s">
        <v>77</v>
      </c>
    </row>
    <row r="56" spans="1:15" ht="36" customHeight="1">
      <c r="A56" s="31"/>
      <c r="B56" s="3">
        <f t="shared" si="1"/>
        <v>4</v>
      </c>
      <c r="C56" s="29">
        <v>0</v>
      </c>
      <c r="D56" s="29">
        <v>1</v>
      </c>
      <c r="E56" s="29">
        <v>1</v>
      </c>
      <c r="F56" s="29"/>
      <c r="G56" s="29"/>
      <c r="H56" s="29"/>
      <c r="I56" s="29"/>
      <c r="J56" s="29"/>
      <c r="K56" s="29">
        <v>1</v>
      </c>
      <c r="L56" s="29"/>
      <c r="M56" s="29"/>
      <c r="N56" s="29">
        <v>1</v>
      </c>
      <c r="O56" s="19" t="s">
        <v>78</v>
      </c>
    </row>
    <row r="57" spans="1:15" ht="36" customHeight="1">
      <c r="A57" s="31"/>
      <c r="B57" s="3">
        <f t="shared" si="1"/>
        <v>10</v>
      </c>
      <c r="C57" s="29">
        <v>1</v>
      </c>
      <c r="D57" s="29">
        <v>2</v>
      </c>
      <c r="E57" s="29">
        <v>2</v>
      </c>
      <c r="F57" s="29"/>
      <c r="G57" s="29"/>
      <c r="H57" s="29"/>
      <c r="I57" s="29"/>
      <c r="J57" s="29"/>
      <c r="K57" s="29"/>
      <c r="L57" s="29">
        <v>4</v>
      </c>
      <c r="M57" s="29">
        <v>1</v>
      </c>
      <c r="N57" s="29"/>
      <c r="O57" s="19" t="s">
        <v>79</v>
      </c>
    </row>
    <row r="58" spans="1:15" ht="36" customHeight="1">
      <c r="A58" s="31"/>
      <c r="B58" s="3">
        <f t="shared" si="1"/>
        <v>1</v>
      </c>
      <c r="C58" s="29"/>
      <c r="D58" s="29"/>
      <c r="E58" s="29"/>
      <c r="F58" s="29"/>
      <c r="G58" s="29"/>
      <c r="H58" s="29"/>
      <c r="I58" s="29">
        <v>1</v>
      </c>
      <c r="J58" s="29"/>
      <c r="K58" s="29"/>
      <c r="L58" s="29"/>
      <c r="M58" s="29"/>
      <c r="N58" s="29"/>
      <c r="O58" s="19" t="s">
        <v>80</v>
      </c>
    </row>
    <row r="59" spans="1:15" ht="36" customHeight="1">
      <c r="A59" s="31"/>
      <c r="B59" s="3">
        <f t="shared" si="1"/>
        <v>1</v>
      </c>
      <c r="C59" s="29">
        <v>1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19" t="s">
        <v>81</v>
      </c>
    </row>
    <row r="60" spans="1:15" ht="36" customHeight="1">
      <c r="A60" s="31"/>
      <c r="B60" s="3">
        <f t="shared" si="1"/>
        <v>0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19" t="s">
        <v>82</v>
      </c>
    </row>
    <row r="61" spans="1:15" ht="36" customHeight="1">
      <c r="A61" s="31"/>
      <c r="B61" s="3">
        <f t="shared" si="1"/>
        <v>1</v>
      </c>
      <c r="C61" s="29"/>
      <c r="D61" s="29"/>
      <c r="E61" s="29">
        <v>1</v>
      </c>
      <c r="F61" s="29"/>
      <c r="G61" s="29"/>
      <c r="H61" s="29"/>
      <c r="I61" s="29"/>
      <c r="J61" s="29"/>
      <c r="K61" s="29"/>
      <c r="L61" s="29"/>
      <c r="M61" s="29"/>
      <c r="N61" s="29"/>
      <c r="O61" s="19" t="s">
        <v>83</v>
      </c>
    </row>
    <row r="62" spans="1:15" ht="36" customHeight="1">
      <c r="A62" s="31"/>
      <c r="B62" s="3">
        <f t="shared" si="1"/>
        <v>2</v>
      </c>
      <c r="C62" s="29"/>
      <c r="D62" s="29"/>
      <c r="E62" s="29"/>
      <c r="F62" s="29"/>
      <c r="G62" s="29"/>
      <c r="H62" s="29"/>
      <c r="I62" s="29"/>
      <c r="J62" s="29"/>
      <c r="K62" s="29"/>
      <c r="L62" s="29">
        <v>2</v>
      </c>
      <c r="M62" s="29"/>
      <c r="N62" s="29"/>
      <c r="O62" s="19" t="s">
        <v>84</v>
      </c>
    </row>
    <row r="63" spans="1:15" ht="36" customHeight="1">
      <c r="A63" s="31"/>
      <c r="B63" s="3">
        <f t="shared" si="1"/>
        <v>3</v>
      </c>
      <c r="C63" s="29"/>
      <c r="D63" s="29">
        <v>1</v>
      </c>
      <c r="E63" s="29"/>
      <c r="F63" s="29"/>
      <c r="G63" s="29"/>
      <c r="H63" s="29"/>
      <c r="I63" s="29"/>
      <c r="J63" s="29"/>
      <c r="K63" s="29">
        <v>1</v>
      </c>
      <c r="L63" s="29">
        <v>1</v>
      </c>
      <c r="M63" s="29">
        <v>0</v>
      </c>
      <c r="N63" s="29"/>
      <c r="O63" s="19" t="s">
        <v>85</v>
      </c>
    </row>
    <row r="64" spans="1:15" ht="36" customHeight="1">
      <c r="A64" s="31"/>
      <c r="B64" s="3">
        <f t="shared" si="1"/>
        <v>2</v>
      </c>
      <c r="C64" s="29"/>
      <c r="D64" s="29"/>
      <c r="E64" s="29"/>
      <c r="F64" s="29"/>
      <c r="G64" s="29"/>
      <c r="H64" s="29"/>
      <c r="I64" s="29"/>
      <c r="J64" s="29"/>
      <c r="K64" s="29"/>
      <c r="L64" s="29">
        <v>2</v>
      </c>
      <c r="M64" s="29"/>
      <c r="N64" s="29"/>
      <c r="O64" s="19" t="s">
        <v>86</v>
      </c>
    </row>
    <row r="65" spans="1:15" ht="36" customHeight="1">
      <c r="A65" s="31"/>
      <c r="B65" s="3">
        <f t="shared" si="1"/>
        <v>1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>
        <v>1</v>
      </c>
      <c r="N65" s="29"/>
      <c r="O65" s="19" t="s">
        <v>87</v>
      </c>
    </row>
    <row r="66" spans="1:15" ht="36" customHeight="1">
      <c r="A66" s="31"/>
      <c r="B66" s="3">
        <f t="shared" si="1"/>
        <v>8</v>
      </c>
      <c r="C66" s="29"/>
      <c r="D66" s="29">
        <v>1</v>
      </c>
      <c r="E66" s="29">
        <v>1</v>
      </c>
      <c r="F66" s="29"/>
      <c r="G66" s="29"/>
      <c r="H66" s="29">
        <v>1</v>
      </c>
      <c r="I66" s="29">
        <v>3</v>
      </c>
      <c r="J66" s="29"/>
      <c r="K66" s="29">
        <v>1</v>
      </c>
      <c r="L66" s="29">
        <v>1</v>
      </c>
      <c r="M66" s="29"/>
      <c r="N66" s="29"/>
      <c r="O66" s="19" t="s">
        <v>88</v>
      </c>
    </row>
    <row r="67" spans="1:15" ht="18.75" customHeight="1">
      <c r="A67" s="31"/>
      <c r="B67" s="3">
        <f t="shared" si="1"/>
        <v>2</v>
      </c>
      <c r="C67" s="29"/>
      <c r="D67" s="29"/>
      <c r="E67" s="29"/>
      <c r="F67" s="29"/>
      <c r="G67" s="29"/>
      <c r="H67" s="29"/>
      <c r="I67" s="29">
        <v>1</v>
      </c>
      <c r="J67" s="29">
        <v>1</v>
      </c>
      <c r="K67" s="29"/>
      <c r="L67" s="29"/>
      <c r="M67" s="29"/>
      <c r="N67" s="29"/>
      <c r="O67" s="19" t="s">
        <v>1</v>
      </c>
    </row>
    <row r="68" spans="1:15" ht="18.75" customHeight="1">
      <c r="A68" s="31"/>
      <c r="B68" s="3">
        <f t="shared" si="1"/>
        <v>0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19" t="s">
        <v>2</v>
      </c>
    </row>
    <row r="69" spans="1:15" ht="36" customHeight="1">
      <c r="A69" s="31"/>
      <c r="B69" s="3">
        <f t="shared" si="1"/>
        <v>5</v>
      </c>
      <c r="C69" s="29"/>
      <c r="D69" s="29"/>
      <c r="E69" s="29"/>
      <c r="F69" s="29"/>
      <c r="G69" s="29"/>
      <c r="H69" s="29">
        <v>2</v>
      </c>
      <c r="I69" s="29">
        <v>3</v>
      </c>
      <c r="J69" s="29"/>
      <c r="K69" s="29"/>
      <c r="L69" s="29"/>
      <c r="M69" s="29"/>
      <c r="N69" s="29"/>
      <c r="O69" s="19" t="s">
        <v>89</v>
      </c>
    </row>
    <row r="70" spans="1:15" ht="36" customHeight="1">
      <c r="A70" s="31"/>
      <c r="B70" s="3">
        <f t="shared" si="1"/>
        <v>2</v>
      </c>
      <c r="C70" s="29"/>
      <c r="D70" s="29"/>
      <c r="E70" s="29"/>
      <c r="F70" s="29"/>
      <c r="G70" s="29"/>
      <c r="H70" s="29">
        <v>2</v>
      </c>
      <c r="I70" s="29"/>
      <c r="J70" s="29"/>
      <c r="K70" s="29"/>
      <c r="L70" s="29"/>
      <c r="M70" s="29"/>
      <c r="N70" s="29"/>
      <c r="O70" s="19" t="s">
        <v>90</v>
      </c>
    </row>
    <row r="71" spans="1:15" ht="36" customHeight="1">
      <c r="A71" s="31"/>
      <c r="B71" s="3">
        <f t="shared" si="1"/>
        <v>0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19" t="s">
        <v>91</v>
      </c>
    </row>
    <row r="72" spans="1:15" ht="24" customHeight="1">
      <c r="A72" s="31"/>
      <c r="B72" s="3">
        <f t="shared" ref="B72:B117" si="2">SUM(C72:N72)</f>
        <v>1</v>
      </c>
      <c r="C72" s="29">
        <v>1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19" t="s">
        <v>92</v>
      </c>
    </row>
    <row r="73" spans="1:15" ht="24" customHeight="1">
      <c r="A73" s="31"/>
      <c r="B73" s="3">
        <f t="shared" si="2"/>
        <v>1</v>
      </c>
      <c r="C73" s="29"/>
      <c r="D73" s="29">
        <v>1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19" t="s">
        <v>93</v>
      </c>
    </row>
    <row r="74" spans="1:15" ht="63">
      <c r="A74" s="31"/>
      <c r="B74" s="3">
        <f t="shared" si="2"/>
        <v>1</v>
      </c>
      <c r="C74" s="29">
        <v>1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19" t="s">
        <v>94</v>
      </c>
    </row>
    <row r="75" spans="1:15" ht="24" customHeight="1">
      <c r="A75" s="31"/>
      <c r="B75" s="3">
        <f t="shared" si="2"/>
        <v>1</v>
      </c>
      <c r="C75" s="29">
        <v>1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19" t="s">
        <v>95</v>
      </c>
    </row>
    <row r="76" spans="1:15" ht="24" customHeight="1">
      <c r="A76" s="31"/>
      <c r="B76" s="3">
        <f t="shared" si="2"/>
        <v>0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19" t="s">
        <v>96</v>
      </c>
    </row>
    <row r="77" spans="1:15" ht="24" customHeight="1">
      <c r="A77" s="31"/>
      <c r="B77" s="3">
        <f t="shared" si="2"/>
        <v>0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19" t="s">
        <v>97</v>
      </c>
    </row>
    <row r="78" spans="1:15" ht="35.25" customHeight="1">
      <c r="A78" s="31"/>
      <c r="B78" s="3">
        <f t="shared" si="2"/>
        <v>64</v>
      </c>
      <c r="C78" s="29">
        <v>2</v>
      </c>
      <c r="D78" s="29">
        <v>5</v>
      </c>
      <c r="E78" s="29">
        <v>6</v>
      </c>
      <c r="F78" s="29"/>
      <c r="G78" s="29"/>
      <c r="H78" s="29">
        <v>6</v>
      </c>
      <c r="I78" s="29">
        <v>6</v>
      </c>
      <c r="J78" s="29">
        <v>4</v>
      </c>
      <c r="K78" s="29">
        <v>11</v>
      </c>
      <c r="L78" s="29">
        <v>5</v>
      </c>
      <c r="M78" s="29">
        <v>8</v>
      </c>
      <c r="N78" s="29">
        <v>11</v>
      </c>
      <c r="O78" s="19" t="s">
        <v>98</v>
      </c>
    </row>
    <row r="79" spans="1:15" ht="35.25" customHeight="1">
      <c r="A79" s="31"/>
      <c r="B79" s="3">
        <f t="shared" si="2"/>
        <v>24</v>
      </c>
      <c r="C79" s="29">
        <v>3</v>
      </c>
      <c r="D79" s="29">
        <v>3</v>
      </c>
      <c r="E79" s="29">
        <v>1</v>
      </c>
      <c r="F79" s="29">
        <v>1</v>
      </c>
      <c r="G79" s="29">
        <v>2</v>
      </c>
      <c r="H79" s="29"/>
      <c r="I79" s="29">
        <v>2</v>
      </c>
      <c r="J79" s="29">
        <v>1</v>
      </c>
      <c r="K79" s="29">
        <v>4</v>
      </c>
      <c r="L79" s="29">
        <v>1</v>
      </c>
      <c r="M79" s="29">
        <v>3</v>
      </c>
      <c r="N79" s="29">
        <v>3</v>
      </c>
      <c r="O79" s="19" t="s">
        <v>3</v>
      </c>
    </row>
    <row r="80" spans="1:15" ht="35.25" customHeight="1">
      <c r="A80" s="31"/>
      <c r="B80" s="3">
        <f t="shared" si="2"/>
        <v>1</v>
      </c>
      <c r="C80" s="29"/>
      <c r="D80" s="29"/>
      <c r="E80" s="29"/>
      <c r="F80" s="29"/>
      <c r="G80" s="29"/>
      <c r="H80" s="29"/>
      <c r="I80" s="29"/>
      <c r="J80" s="29"/>
      <c r="K80" s="29"/>
      <c r="L80" s="29">
        <v>1</v>
      </c>
      <c r="M80" s="29"/>
      <c r="N80" s="29"/>
      <c r="O80" s="19" t="s">
        <v>99</v>
      </c>
    </row>
    <row r="81" spans="1:15" ht="35.25" customHeight="1">
      <c r="A81" s="31"/>
      <c r="B81" s="3">
        <f t="shared" si="2"/>
        <v>4</v>
      </c>
      <c r="C81" s="29"/>
      <c r="D81" s="29"/>
      <c r="E81" s="29"/>
      <c r="F81" s="29"/>
      <c r="G81" s="29"/>
      <c r="H81" s="29">
        <v>1</v>
      </c>
      <c r="I81" s="29"/>
      <c r="J81" s="29">
        <v>1</v>
      </c>
      <c r="K81" s="29">
        <v>1</v>
      </c>
      <c r="L81" s="29"/>
      <c r="M81" s="29"/>
      <c r="N81" s="29">
        <v>1</v>
      </c>
      <c r="O81" s="19" t="s">
        <v>4</v>
      </c>
    </row>
    <row r="82" spans="1:15" ht="35.25" customHeight="1">
      <c r="A82" s="31"/>
      <c r="B82" s="3">
        <f t="shared" si="2"/>
        <v>30</v>
      </c>
      <c r="C82" s="29">
        <v>5</v>
      </c>
      <c r="D82" s="29">
        <v>3</v>
      </c>
      <c r="E82" s="29">
        <v>1</v>
      </c>
      <c r="F82" s="29"/>
      <c r="G82" s="29"/>
      <c r="H82" s="29">
        <v>4</v>
      </c>
      <c r="I82" s="29">
        <v>3</v>
      </c>
      <c r="J82" s="29">
        <v>3</v>
      </c>
      <c r="K82" s="29">
        <v>4</v>
      </c>
      <c r="L82" s="29">
        <v>1</v>
      </c>
      <c r="M82" s="29">
        <v>2</v>
      </c>
      <c r="N82" s="29">
        <v>4</v>
      </c>
      <c r="O82" s="19" t="s">
        <v>100</v>
      </c>
    </row>
    <row r="83" spans="1:15" ht="35.25" customHeight="1">
      <c r="A83" s="31"/>
      <c r="B83" s="3">
        <f t="shared" si="2"/>
        <v>1</v>
      </c>
      <c r="C83" s="29"/>
      <c r="D83" s="29"/>
      <c r="E83" s="29"/>
      <c r="F83" s="29"/>
      <c r="G83" s="29"/>
      <c r="H83" s="29"/>
      <c r="I83" s="29"/>
      <c r="J83" s="29"/>
      <c r="K83" s="29">
        <v>1</v>
      </c>
      <c r="L83" s="29"/>
      <c r="M83" s="29"/>
      <c r="N83" s="29"/>
      <c r="O83" s="19" t="s">
        <v>101</v>
      </c>
    </row>
    <row r="84" spans="1:15" ht="35.25" customHeight="1">
      <c r="A84" s="31"/>
      <c r="B84" s="3">
        <f t="shared" si="2"/>
        <v>3</v>
      </c>
      <c r="C84" s="29"/>
      <c r="D84" s="29">
        <v>1</v>
      </c>
      <c r="E84" s="29">
        <v>1</v>
      </c>
      <c r="F84" s="29"/>
      <c r="G84" s="29"/>
      <c r="H84" s="29"/>
      <c r="I84" s="29"/>
      <c r="J84" s="29"/>
      <c r="K84" s="29"/>
      <c r="L84" s="29"/>
      <c r="M84" s="29">
        <v>1</v>
      </c>
      <c r="N84" s="29"/>
      <c r="O84" s="19" t="s">
        <v>102</v>
      </c>
    </row>
    <row r="85" spans="1:15" ht="35.25" customHeight="1">
      <c r="A85" s="31"/>
      <c r="B85" s="3">
        <f t="shared" si="2"/>
        <v>0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19" t="s">
        <v>103</v>
      </c>
    </row>
    <row r="86" spans="1:15" ht="35.25" customHeight="1">
      <c r="A86" s="31"/>
      <c r="B86" s="3">
        <f t="shared" si="2"/>
        <v>0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19" t="s">
        <v>104</v>
      </c>
    </row>
    <row r="87" spans="1:15" ht="35.25" customHeight="1">
      <c r="A87" s="31"/>
      <c r="B87" s="3">
        <f t="shared" si="2"/>
        <v>0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19" t="s">
        <v>105</v>
      </c>
    </row>
    <row r="88" spans="1:15" ht="35.25" customHeight="1">
      <c r="A88" s="31"/>
      <c r="B88" s="3">
        <f t="shared" si="2"/>
        <v>0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19" t="s">
        <v>106</v>
      </c>
    </row>
    <row r="89" spans="1:15" ht="35.25" customHeight="1">
      <c r="A89" s="31"/>
      <c r="B89" s="3">
        <f t="shared" si="2"/>
        <v>0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19" t="s">
        <v>107</v>
      </c>
    </row>
    <row r="90" spans="1:15" ht="35.25" customHeight="1">
      <c r="A90" s="31"/>
      <c r="B90" s="3">
        <f t="shared" si="2"/>
        <v>1</v>
      </c>
      <c r="C90" s="29"/>
      <c r="D90" s="29"/>
      <c r="E90" s="29"/>
      <c r="F90" s="29"/>
      <c r="G90" s="29"/>
      <c r="H90" s="29"/>
      <c r="I90" s="29"/>
      <c r="J90" s="29"/>
      <c r="K90" s="29"/>
      <c r="L90" s="29">
        <v>1</v>
      </c>
      <c r="M90" s="29"/>
      <c r="N90" s="29"/>
      <c r="O90" s="19" t="s">
        <v>108</v>
      </c>
    </row>
    <row r="91" spans="1:15" ht="35.25" customHeight="1">
      <c r="A91" s="31"/>
      <c r="B91" s="3">
        <f t="shared" si="2"/>
        <v>3</v>
      </c>
      <c r="C91" s="29"/>
      <c r="D91" s="29">
        <v>1</v>
      </c>
      <c r="E91" s="29"/>
      <c r="F91" s="29"/>
      <c r="G91" s="29">
        <v>1</v>
      </c>
      <c r="H91" s="29"/>
      <c r="I91" s="29">
        <v>1</v>
      </c>
      <c r="J91" s="29"/>
      <c r="K91" s="29"/>
      <c r="L91" s="29"/>
      <c r="M91" s="29"/>
      <c r="N91" s="29"/>
      <c r="O91" s="19" t="s">
        <v>109</v>
      </c>
    </row>
    <row r="92" spans="1:15" ht="24" customHeight="1">
      <c r="A92" s="31"/>
      <c r="B92" s="3">
        <f t="shared" si="2"/>
        <v>0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19" t="s">
        <v>110</v>
      </c>
    </row>
    <row r="93" spans="1:15" ht="42">
      <c r="A93" s="31"/>
      <c r="B93" s="3">
        <f t="shared" si="2"/>
        <v>1</v>
      </c>
      <c r="C93" s="29"/>
      <c r="D93" s="29">
        <v>1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19" t="s">
        <v>111</v>
      </c>
    </row>
    <row r="94" spans="1:15" ht="42">
      <c r="A94" s="31"/>
      <c r="B94" s="3">
        <f t="shared" si="2"/>
        <v>1</v>
      </c>
      <c r="C94" s="29"/>
      <c r="D94" s="29"/>
      <c r="E94" s="29"/>
      <c r="F94" s="29"/>
      <c r="G94" s="29"/>
      <c r="H94" s="29"/>
      <c r="I94" s="29"/>
      <c r="J94" s="29">
        <v>1</v>
      </c>
      <c r="K94" s="29"/>
      <c r="L94" s="29"/>
      <c r="M94" s="29"/>
      <c r="N94" s="29"/>
      <c r="O94" s="19" t="s">
        <v>112</v>
      </c>
    </row>
    <row r="95" spans="1:15" ht="24" customHeight="1">
      <c r="A95" s="31"/>
      <c r="B95" s="3">
        <f t="shared" si="2"/>
        <v>5</v>
      </c>
      <c r="C95" s="29"/>
      <c r="D95" s="29"/>
      <c r="E95" s="29">
        <v>1</v>
      </c>
      <c r="F95" s="29"/>
      <c r="G95" s="29"/>
      <c r="H95" s="29"/>
      <c r="I95" s="29"/>
      <c r="J95" s="29"/>
      <c r="K95" s="29">
        <v>1</v>
      </c>
      <c r="L95" s="29"/>
      <c r="M95" s="29">
        <v>2</v>
      </c>
      <c r="N95" s="29">
        <v>1</v>
      </c>
      <c r="O95" s="19" t="s">
        <v>113</v>
      </c>
    </row>
    <row r="96" spans="1:15" ht="24" customHeight="1">
      <c r="A96" s="31"/>
      <c r="B96" s="3">
        <f t="shared" si="2"/>
        <v>1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>
        <v>1</v>
      </c>
      <c r="O96" s="19" t="s">
        <v>114</v>
      </c>
    </row>
    <row r="97" spans="1:15" ht="24" customHeight="1">
      <c r="A97" s="31"/>
      <c r="B97" s="3">
        <f t="shared" si="2"/>
        <v>1</v>
      </c>
      <c r="C97" s="29"/>
      <c r="D97" s="29">
        <v>1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19" t="s">
        <v>115</v>
      </c>
    </row>
    <row r="98" spans="1:15" ht="24" customHeight="1">
      <c r="A98" s="31"/>
      <c r="B98" s="3">
        <f t="shared" si="2"/>
        <v>1</v>
      </c>
      <c r="C98" s="29"/>
      <c r="D98" s="29"/>
      <c r="E98" s="29"/>
      <c r="F98" s="29"/>
      <c r="G98" s="29"/>
      <c r="H98" s="29"/>
      <c r="I98" s="29">
        <v>1</v>
      </c>
      <c r="J98" s="29"/>
      <c r="K98" s="29"/>
      <c r="L98" s="29"/>
      <c r="M98" s="29"/>
      <c r="N98" s="29"/>
      <c r="O98" s="19" t="s">
        <v>116</v>
      </c>
    </row>
    <row r="99" spans="1:15" ht="47.25" customHeight="1">
      <c r="A99" s="31"/>
      <c r="B99" s="3">
        <f t="shared" si="2"/>
        <v>6</v>
      </c>
      <c r="C99" s="29"/>
      <c r="D99" s="29">
        <v>1</v>
      </c>
      <c r="E99" s="29">
        <v>1</v>
      </c>
      <c r="F99" s="29"/>
      <c r="G99" s="29"/>
      <c r="H99" s="29"/>
      <c r="I99" s="29"/>
      <c r="J99" s="29">
        <v>2</v>
      </c>
      <c r="K99" s="29"/>
      <c r="L99" s="29"/>
      <c r="M99" s="29">
        <v>2</v>
      </c>
      <c r="N99" s="29"/>
      <c r="O99" s="19" t="s">
        <v>117</v>
      </c>
    </row>
    <row r="100" spans="1:15" ht="24" customHeight="1">
      <c r="A100" s="31"/>
      <c r="B100" s="3">
        <f t="shared" si="2"/>
        <v>15</v>
      </c>
      <c r="C100" s="29">
        <v>2</v>
      </c>
      <c r="D100" s="29">
        <v>2</v>
      </c>
      <c r="E100" s="29">
        <v>1</v>
      </c>
      <c r="F100" s="29">
        <v>1</v>
      </c>
      <c r="G100" s="29"/>
      <c r="H100" s="29">
        <v>1</v>
      </c>
      <c r="I100" s="29">
        <v>2</v>
      </c>
      <c r="J100" s="29"/>
      <c r="K100" s="29">
        <v>1</v>
      </c>
      <c r="L100" s="29"/>
      <c r="M100" s="29">
        <v>2</v>
      </c>
      <c r="N100" s="29">
        <v>3</v>
      </c>
      <c r="O100" s="19" t="s">
        <v>118</v>
      </c>
    </row>
    <row r="101" spans="1:15" ht="24" customHeight="1">
      <c r="A101" s="31"/>
      <c r="B101" s="3">
        <f t="shared" si="2"/>
        <v>3</v>
      </c>
      <c r="C101" s="29"/>
      <c r="D101" s="29"/>
      <c r="E101" s="29"/>
      <c r="F101" s="29"/>
      <c r="G101" s="29"/>
      <c r="H101" s="29"/>
      <c r="I101" s="29"/>
      <c r="J101" s="29"/>
      <c r="K101" s="29">
        <v>1</v>
      </c>
      <c r="L101" s="29">
        <v>1</v>
      </c>
      <c r="M101" s="29">
        <v>1</v>
      </c>
      <c r="N101" s="29"/>
      <c r="O101" s="19" t="s">
        <v>119</v>
      </c>
    </row>
    <row r="102" spans="1:15" ht="24" customHeight="1">
      <c r="A102" s="31"/>
      <c r="B102" s="3">
        <f t="shared" si="2"/>
        <v>22</v>
      </c>
      <c r="C102" s="29">
        <v>3</v>
      </c>
      <c r="D102" s="29">
        <v>3</v>
      </c>
      <c r="E102" s="29">
        <v>2</v>
      </c>
      <c r="F102" s="29"/>
      <c r="G102" s="29"/>
      <c r="H102" s="29"/>
      <c r="I102" s="29">
        <v>3</v>
      </c>
      <c r="J102" s="29">
        <v>1</v>
      </c>
      <c r="K102" s="29">
        <v>1</v>
      </c>
      <c r="L102" s="29">
        <v>3</v>
      </c>
      <c r="M102" s="29">
        <v>1</v>
      </c>
      <c r="N102" s="29">
        <v>5</v>
      </c>
      <c r="O102" s="19" t="s">
        <v>120</v>
      </c>
    </row>
    <row r="103" spans="1:15" ht="24" customHeight="1">
      <c r="A103" s="31"/>
      <c r="B103" s="3">
        <f t="shared" si="2"/>
        <v>6</v>
      </c>
      <c r="C103" s="29"/>
      <c r="D103" s="29">
        <v>3</v>
      </c>
      <c r="E103" s="29"/>
      <c r="F103" s="29"/>
      <c r="G103" s="29"/>
      <c r="H103" s="29"/>
      <c r="I103" s="29"/>
      <c r="J103" s="29"/>
      <c r="K103" s="29">
        <v>1</v>
      </c>
      <c r="L103" s="29">
        <v>1</v>
      </c>
      <c r="M103" s="29">
        <v>1</v>
      </c>
      <c r="N103" s="29"/>
      <c r="O103" s="19" t="s">
        <v>121</v>
      </c>
    </row>
    <row r="104" spans="1:15" ht="24" customHeight="1">
      <c r="A104" s="31"/>
      <c r="B104" s="3">
        <f t="shared" si="2"/>
        <v>0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19" t="s">
        <v>122</v>
      </c>
    </row>
    <row r="105" spans="1:15" ht="24" customHeight="1">
      <c r="A105" s="31"/>
      <c r="B105" s="3">
        <f t="shared" si="2"/>
        <v>5</v>
      </c>
      <c r="C105" s="29"/>
      <c r="D105" s="29">
        <v>1</v>
      </c>
      <c r="E105" s="29">
        <v>1</v>
      </c>
      <c r="F105" s="29"/>
      <c r="G105" s="29"/>
      <c r="H105" s="29">
        <v>1</v>
      </c>
      <c r="I105" s="29">
        <v>1</v>
      </c>
      <c r="J105" s="29">
        <v>1</v>
      </c>
      <c r="K105" s="29"/>
      <c r="L105" s="29"/>
      <c r="M105" s="29"/>
      <c r="N105" s="29"/>
      <c r="O105" s="19" t="s">
        <v>123</v>
      </c>
    </row>
    <row r="106" spans="1:15" ht="24" customHeight="1">
      <c r="A106" s="31"/>
      <c r="B106" s="3">
        <f t="shared" si="2"/>
        <v>1</v>
      </c>
      <c r="C106" s="29"/>
      <c r="D106" s="29">
        <v>1</v>
      </c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19" t="s">
        <v>124</v>
      </c>
    </row>
    <row r="107" spans="1:15" ht="24" customHeight="1">
      <c r="A107" s="31"/>
      <c r="B107" s="3">
        <f t="shared" si="2"/>
        <v>1</v>
      </c>
      <c r="C107" s="29"/>
      <c r="D107" s="29"/>
      <c r="E107" s="29">
        <v>1</v>
      </c>
      <c r="F107" s="29"/>
      <c r="G107" s="29"/>
      <c r="H107" s="29"/>
      <c r="I107" s="29"/>
      <c r="J107" s="29"/>
      <c r="K107" s="29"/>
      <c r="L107" s="29"/>
      <c r="M107" s="29"/>
      <c r="N107" s="29"/>
      <c r="O107" s="19" t="s">
        <v>125</v>
      </c>
    </row>
    <row r="108" spans="1:15" ht="24" customHeight="1">
      <c r="A108" s="31"/>
      <c r="B108" s="3">
        <f t="shared" si="2"/>
        <v>4</v>
      </c>
      <c r="C108" s="29"/>
      <c r="D108" s="29">
        <v>2</v>
      </c>
      <c r="E108" s="29"/>
      <c r="F108" s="29"/>
      <c r="G108" s="29"/>
      <c r="H108" s="29"/>
      <c r="I108" s="29"/>
      <c r="J108" s="29"/>
      <c r="K108" s="29">
        <v>2</v>
      </c>
      <c r="L108" s="29"/>
      <c r="M108" s="29"/>
      <c r="N108" s="29"/>
      <c r="O108" s="19" t="s">
        <v>126</v>
      </c>
    </row>
    <row r="109" spans="1:15" ht="24" customHeight="1">
      <c r="A109" s="31"/>
      <c r="B109" s="3">
        <f t="shared" si="2"/>
        <v>1</v>
      </c>
      <c r="C109" s="29"/>
      <c r="D109" s="29"/>
      <c r="E109" s="29"/>
      <c r="F109" s="29"/>
      <c r="G109" s="29"/>
      <c r="H109" s="29"/>
      <c r="I109" s="29"/>
      <c r="J109" s="29"/>
      <c r="K109" s="29">
        <v>1</v>
      </c>
      <c r="L109" s="29"/>
      <c r="M109" s="29"/>
      <c r="N109" s="29"/>
      <c r="O109" s="19" t="s">
        <v>127</v>
      </c>
    </row>
    <row r="110" spans="1:15" ht="24" customHeight="1">
      <c r="A110" s="31"/>
      <c r="B110" s="3">
        <f t="shared" si="2"/>
        <v>2</v>
      </c>
      <c r="C110" s="29"/>
      <c r="D110" s="29"/>
      <c r="E110" s="29"/>
      <c r="F110" s="29">
        <v>1</v>
      </c>
      <c r="G110" s="29"/>
      <c r="H110" s="29"/>
      <c r="I110" s="29"/>
      <c r="J110" s="29">
        <v>1</v>
      </c>
      <c r="K110" s="29"/>
      <c r="L110" s="29"/>
      <c r="M110" s="29"/>
      <c r="N110" s="29"/>
      <c r="O110" s="19" t="s">
        <v>128</v>
      </c>
    </row>
    <row r="111" spans="1:15" ht="24" customHeight="1">
      <c r="A111" s="31"/>
      <c r="B111" s="3">
        <f t="shared" si="2"/>
        <v>2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>
        <v>1</v>
      </c>
      <c r="M111" s="29"/>
      <c r="N111" s="29">
        <v>1</v>
      </c>
      <c r="O111" s="19" t="s">
        <v>129</v>
      </c>
    </row>
    <row r="112" spans="1:15" ht="24" customHeight="1">
      <c r="A112" s="31"/>
      <c r="B112" s="3">
        <f t="shared" si="2"/>
        <v>6</v>
      </c>
      <c r="C112" s="29"/>
      <c r="D112" s="29">
        <v>1</v>
      </c>
      <c r="E112" s="29">
        <v>1</v>
      </c>
      <c r="F112" s="29"/>
      <c r="G112" s="29"/>
      <c r="H112" s="29">
        <v>1</v>
      </c>
      <c r="I112" s="29">
        <v>3</v>
      </c>
      <c r="J112" s="29"/>
      <c r="K112" s="29"/>
      <c r="L112" s="29"/>
      <c r="M112" s="29"/>
      <c r="N112" s="29"/>
      <c r="O112" s="19" t="s">
        <v>130</v>
      </c>
    </row>
    <row r="113" spans="1:15" ht="42">
      <c r="A113" s="31"/>
      <c r="B113" s="3">
        <f t="shared" si="2"/>
        <v>1</v>
      </c>
      <c r="C113" s="29"/>
      <c r="D113" s="29"/>
      <c r="E113" s="29"/>
      <c r="F113" s="29"/>
      <c r="G113" s="29"/>
      <c r="H113" s="29"/>
      <c r="I113" s="29"/>
      <c r="J113" s="29"/>
      <c r="K113" s="29">
        <v>1</v>
      </c>
      <c r="L113" s="29"/>
      <c r="M113" s="29"/>
      <c r="N113" s="29"/>
      <c r="O113" s="20" t="s">
        <v>131</v>
      </c>
    </row>
    <row r="114" spans="1:15" ht="42">
      <c r="A114" s="31"/>
      <c r="B114" s="3">
        <f t="shared" si="2"/>
        <v>1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>
        <v>1</v>
      </c>
      <c r="O114" s="20" t="s">
        <v>132</v>
      </c>
    </row>
    <row r="115" spans="1:15" ht="24" customHeight="1">
      <c r="A115" s="31"/>
      <c r="B115" s="3">
        <f t="shared" si="2"/>
        <v>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>
        <v>1</v>
      </c>
      <c r="O115" s="20" t="s">
        <v>133</v>
      </c>
    </row>
    <row r="116" spans="1:15" ht="24.75" customHeight="1">
      <c r="A116" s="31"/>
      <c r="B116" s="3">
        <f t="shared" si="2"/>
        <v>1</v>
      </c>
      <c r="C116" s="29"/>
      <c r="D116" s="29">
        <v>1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0" t="s">
        <v>134</v>
      </c>
    </row>
    <row r="117" spans="1:15" ht="24.75" customHeight="1">
      <c r="A117" s="33"/>
      <c r="B117" s="5">
        <f t="shared" si="2"/>
        <v>1</v>
      </c>
      <c r="C117" s="34"/>
      <c r="D117" s="34"/>
      <c r="E117" s="34"/>
      <c r="F117" s="34"/>
      <c r="G117" s="34"/>
      <c r="H117" s="34"/>
      <c r="I117" s="34">
        <v>1</v>
      </c>
      <c r="J117" s="34"/>
      <c r="K117" s="34"/>
      <c r="L117" s="34"/>
      <c r="M117" s="34"/>
      <c r="N117" s="34"/>
      <c r="O117" s="20" t="s">
        <v>135</v>
      </c>
    </row>
    <row r="118" spans="1:15" ht="24.75" customHeight="1">
      <c r="A118" s="35" t="s">
        <v>27</v>
      </c>
      <c r="B118" s="36">
        <f>SUM(B6:B117)</f>
        <v>611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O118" s="17" t="s">
        <v>28</v>
      </c>
    </row>
    <row r="126" spans="1:15" ht="24" customHeight="1">
      <c r="A126" s="44" t="s">
        <v>165</v>
      </c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24" customHeight="1">
      <c r="B127" s="2"/>
    </row>
    <row r="128" spans="1:15" ht="24" customHeight="1">
      <c r="A128" s="10" t="s">
        <v>24</v>
      </c>
      <c r="B128" s="11" t="s">
        <v>0</v>
      </c>
      <c r="C128" s="24" t="s">
        <v>6</v>
      </c>
      <c r="D128" s="24" t="s">
        <v>7</v>
      </c>
      <c r="E128" s="24" t="s">
        <v>8</v>
      </c>
      <c r="F128" s="24" t="s">
        <v>9</v>
      </c>
      <c r="G128" s="24" t="s">
        <v>10</v>
      </c>
      <c r="H128" s="24" t="s">
        <v>11</v>
      </c>
      <c r="I128" s="24" t="s">
        <v>12</v>
      </c>
      <c r="J128" s="24" t="s">
        <v>13</v>
      </c>
      <c r="K128" s="24" t="s">
        <v>14</v>
      </c>
      <c r="L128" s="24" t="s">
        <v>15</v>
      </c>
      <c r="M128" s="24" t="s">
        <v>16</v>
      </c>
      <c r="N128" s="24" t="s">
        <v>17</v>
      </c>
      <c r="O128" s="37"/>
    </row>
    <row r="129" spans="1:15" ht="24" customHeight="1">
      <c r="A129" s="4" t="s">
        <v>0</v>
      </c>
      <c r="B129" s="26">
        <f t="shared" ref="B129:B192" si="3">SUM(C129:N129)</f>
        <v>1240</v>
      </c>
      <c r="C129" s="3">
        <f t="shared" ref="C129:N129" si="4">SUM(C130:C235)</f>
        <v>103</v>
      </c>
      <c r="D129" s="3">
        <f t="shared" si="4"/>
        <v>118</v>
      </c>
      <c r="E129" s="3">
        <f t="shared" si="4"/>
        <v>111</v>
      </c>
      <c r="F129" s="3">
        <f t="shared" si="4"/>
        <v>109</v>
      </c>
      <c r="G129" s="3">
        <f t="shared" si="4"/>
        <v>51</v>
      </c>
      <c r="H129" s="3">
        <f t="shared" si="4"/>
        <v>61</v>
      </c>
      <c r="I129" s="3">
        <f t="shared" si="4"/>
        <v>149</v>
      </c>
      <c r="J129" s="3">
        <f t="shared" si="4"/>
        <v>92</v>
      </c>
      <c r="K129" s="3">
        <f t="shared" si="4"/>
        <v>162</v>
      </c>
      <c r="L129" s="3">
        <f t="shared" si="4"/>
        <v>105</v>
      </c>
      <c r="M129" s="3">
        <f t="shared" si="4"/>
        <v>88</v>
      </c>
      <c r="N129" s="3">
        <f t="shared" si="4"/>
        <v>91</v>
      </c>
      <c r="O129" s="27" t="s">
        <v>5</v>
      </c>
    </row>
    <row r="130" spans="1:15" ht="24" customHeight="1">
      <c r="A130" s="18"/>
      <c r="B130" s="3">
        <f t="shared" si="3"/>
        <v>1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6">
        <v>0</v>
      </c>
      <c r="N130" s="6">
        <v>0</v>
      </c>
      <c r="O130" s="30" t="s">
        <v>31</v>
      </c>
    </row>
    <row r="131" spans="1:15" ht="24" customHeight="1">
      <c r="A131" s="18"/>
      <c r="B131" s="3">
        <f t="shared" si="3"/>
        <v>50</v>
      </c>
      <c r="C131" s="6">
        <v>3</v>
      </c>
      <c r="D131" s="6">
        <v>5</v>
      </c>
      <c r="E131" s="6">
        <v>3</v>
      </c>
      <c r="F131" s="6">
        <v>8</v>
      </c>
      <c r="G131" s="6">
        <v>5</v>
      </c>
      <c r="H131" s="6">
        <v>1</v>
      </c>
      <c r="I131" s="6">
        <v>10</v>
      </c>
      <c r="J131" s="6">
        <v>4</v>
      </c>
      <c r="K131" s="6">
        <v>4</v>
      </c>
      <c r="L131" s="6">
        <v>3</v>
      </c>
      <c r="M131" s="6">
        <v>2</v>
      </c>
      <c r="N131" s="6">
        <v>2</v>
      </c>
      <c r="O131" s="30" t="s">
        <v>32</v>
      </c>
    </row>
    <row r="132" spans="1:15" ht="24" customHeight="1">
      <c r="A132" s="18"/>
      <c r="B132" s="3">
        <f t="shared" si="3"/>
        <v>2</v>
      </c>
      <c r="C132" s="6">
        <v>0</v>
      </c>
      <c r="D132" s="6">
        <v>0</v>
      </c>
      <c r="E132" s="6">
        <v>0</v>
      </c>
      <c r="F132" s="6">
        <v>0</v>
      </c>
      <c r="G132" s="6">
        <v>2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30" t="s">
        <v>33</v>
      </c>
    </row>
    <row r="133" spans="1:15" ht="43.5" customHeight="1">
      <c r="A133" s="31"/>
      <c r="B133" s="3">
        <f t="shared" si="3"/>
        <v>1</v>
      </c>
      <c r="C133" s="15">
        <v>0</v>
      </c>
      <c r="D133" s="15">
        <v>0</v>
      </c>
      <c r="E133" s="15">
        <v>0</v>
      </c>
      <c r="F133" s="15">
        <v>0</v>
      </c>
      <c r="G133" s="15">
        <v>1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9" t="s">
        <v>34</v>
      </c>
    </row>
    <row r="134" spans="1:15" ht="24" customHeight="1">
      <c r="A134" s="18"/>
      <c r="B134" s="3">
        <f t="shared" si="3"/>
        <v>3</v>
      </c>
      <c r="C134" s="6">
        <v>0</v>
      </c>
      <c r="D134" s="6">
        <v>0</v>
      </c>
      <c r="E134" s="6">
        <v>1</v>
      </c>
      <c r="F134" s="6">
        <v>0</v>
      </c>
      <c r="G134" s="6"/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1</v>
      </c>
      <c r="O134" s="30" t="s">
        <v>35</v>
      </c>
    </row>
    <row r="135" spans="1:15" ht="24" customHeight="1">
      <c r="A135" s="18"/>
      <c r="B135" s="3">
        <f t="shared" si="3"/>
        <v>177</v>
      </c>
      <c r="C135" s="6">
        <v>13</v>
      </c>
      <c r="D135" s="6">
        <v>20</v>
      </c>
      <c r="E135" s="6">
        <v>29</v>
      </c>
      <c r="F135" s="6">
        <v>7</v>
      </c>
      <c r="G135" s="6">
        <v>3</v>
      </c>
      <c r="H135" s="6">
        <v>9</v>
      </c>
      <c r="I135" s="6">
        <v>23</v>
      </c>
      <c r="J135" s="6">
        <v>8</v>
      </c>
      <c r="K135" s="6">
        <v>20</v>
      </c>
      <c r="L135" s="6">
        <v>15</v>
      </c>
      <c r="M135" s="6">
        <v>13</v>
      </c>
      <c r="N135" s="6">
        <v>17</v>
      </c>
      <c r="O135" s="30" t="s">
        <v>36</v>
      </c>
    </row>
    <row r="136" spans="1:15" ht="24" customHeight="1">
      <c r="A136" s="18"/>
      <c r="B136" s="3">
        <f t="shared" si="3"/>
        <v>1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6">
        <v>0</v>
      </c>
      <c r="N136" s="6">
        <v>0</v>
      </c>
      <c r="O136" s="30" t="s">
        <v>136</v>
      </c>
    </row>
    <row r="137" spans="1:15" ht="24" customHeight="1">
      <c r="A137" s="18"/>
      <c r="B137" s="3">
        <f t="shared" si="3"/>
        <v>1</v>
      </c>
      <c r="C137" s="6">
        <v>0</v>
      </c>
      <c r="D137" s="6">
        <v>0</v>
      </c>
      <c r="E137" s="6">
        <v>0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30" t="s">
        <v>137</v>
      </c>
    </row>
    <row r="138" spans="1:15" ht="24" customHeight="1">
      <c r="A138" s="18"/>
      <c r="B138" s="3">
        <f t="shared" si="3"/>
        <v>1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>
        <v>0</v>
      </c>
      <c r="O138" s="30" t="s">
        <v>138</v>
      </c>
    </row>
    <row r="139" spans="1:15" ht="24" customHeight="1">
      <c r="A139" s="18"/>
      <c r="B139" s="3">
        <f t="shared" si="3"/>
        <v>1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1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30" t="s">
        <v>40</v>
      </c>
    </row>
    <row r="140" spans="1:15" ht="24" customHeight="1">
      <c r="A140" s="18"/>
      <c r="B140" s="3">
        <f t="shared" si="3"/>
        <v>14</v>
      </c>
      <c r="C140" s="6">
        <v>3</v>
      </c>
      <c r="D140" s="6">
        <v>5</v>
      </c>
      <c r="E140" s="6">
        <v>2</v>
      </c>
      <c r="F140" s="6">
        <v>2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1</v>
      </c>
      <c r="M140" s="6">
        <v>1</v>
      </c>
      <c r="N140" s="6">
        <v>0</v>
      </c>
      <c r="O140" s="30" t="s">
        <v>41</v>
      </c>
    </row>
    <row r="141" spans="1:15" ht="24" customHeight="1">
      <c r="A141" s="18"/>
      <c r="B141" s="3">
        <f t="shared" si="3"/>
        <v>2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1</v>
      </c>
      <c r="O141" s="30" t="s">
        <v>42</v>
      </c>
    </row>
    <row r="142" spans="1:15" ht="24" customHeight="1">
      <c r="A142" s="18"/>
      <c r="B142" s="3">
        <f t="shared" si="3"/>
        <v>2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1</v>
      </c>
      <c r="M142" s="6">
        <v>0</v>
      </c>
      <c r="N142" s="6">
        <v>0</v>
      </c>
      <c r="O142" s="30" t="s">
        <v>43</v>
      </c>
    </row>
    <row r="143" spans="1:15" ht="24" customHeight="1">
      <c r="A143" s="18"/>
      <c r="B143" s="3">
        <f t="shared" si="3"/>
        <v>15</v>
      </c>
      <c r="C143" s="6">
        <v>5</v>
      </c>
      <c r="D143" s="6">
        <v>1</v>
      </c>
      <c r="E143" s="6">
        <v>1</v>
      </c>
      <c r="F143" s="6">
        <v>1</v>
      </c>
      <c r="G143" s="6">
        <v>0</v>
      </c>
      <c r="H143" s="6">
        <v>0</v>
      </c>
      <c r="I143" s="6">
        <v>0</v>
      </c>
      <c r="J143" s="6">
        <v>2</v>
      </c>
      <c r="K143" s="6">
        <v>3</v>
      </c>
      <c r="L143" s="6">
        <v>1</v>
      </c>
      <c r="M143" s="6">
        <v>0</v>
      </c>
      <c r="N143" s="6">
        <v>1</v>
      </c>
      <c r="O143" s="30" t="s">
        <v>26</v>
      </c>
    </row>
    <row r="144" spans="1:15" ht="24" customHeight="1">
      <c r="A144" s="18"/>
      <c r="B144" s="3">
        <f t="shared" si="3"/>
        <v>2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1</v>
      </c>
      <c r="N144" s="6">
        <v>0</v>
      </c>
      <c r="O144" s="30" t="s">
        <v>44</v>
      </c>
    </row>
    <row r="145" spans="1:15" ht="40.5" customHeight="1">
      <c r="A145" s="31"/>
      <c r="B145" s="3">
        <f t="shared" si="3"/>
        <v>1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1</v>
      </c>
      <c r="M145" s="6">
        <v>0</v>
      </c>
      <c r="N145" s="6">
        <v>0</v>
      </c>
      <c r="O145" s="19" t="s">
        <v>45</v>
      </c>
    </row>
    <row r="146" spans="1:15" ht="24" customHeight="1">
      <c r="A146" s="31"/>
      <c r="B146" s="3">
        <f t="shared" si="3"/>
        <v>1</v>
      </c>
      <c r="C146" s="6">
        <v>0</v>
      </c>
      <c r="D146" s="6">
        <v>0</v>
      </c>
      <c r="E146" s="6"/>
      <c r="F146" s="6">
        <v>0</v>
      </c>
      <c r="G146" s="6">
        <v>0</v>
      </c>
      <c r="H146" s="6">
        <v>0</v>
      </c>
      <c r="I146" s="6">
        <v>0</v>
      </c>
      <c r="J146" s="6">
        <v>1</v>
      </c>
      <c r="K146" s="6">
        <v>0</v>
      </c>
      <c r="L146" s="6">
        <v>0</v>
      </c>
      <c r="M146" s="6">
        <v>0</v>
      </c>
      <c r="N146" s="6">
        <v>0</v>
      </c>
      <c r="O146" s="19" t="s">
        <v>46</v>
      </c>
    </row>
    <row r="147" spans="1:15" ht="24" customHeight="1">
      <c r="A147" s="31"/>
      <c r="B147" s="3">
        <f t="shared" si="3"/>
        <v>17</v>
      </c>
      <c r="C147" s="6">
        <v>2</v>
      </c>
      <c r="D147" s="6">
        <v>0</v>
      </c>
      <c r="E147" s="6">
        <v>2</v>
      </c>
      <c r="F147" s="6">
        <v>1</v>
      </c>
      <c r="G147" s="6">
        <v>0</v>
      </c>
      <c r="H147" s="6">
        <v>0</v>
      </c>
      <c r="I147" s="6">
        <v>4</v>
      </c>
      <c r="J147" s="6">
        <v>0</v>
      </c>
      <c r="K147" s="6">
        <v>5</v>
      </c>
      <c r="L147" s="6">
        <v>2</v>
      </c>
      <c r="M147" s="6">
        <v>1</v>
      </c>
      <c r="N147" s="6">
        <v>0</v>
      </c>
      <c r="O147" s="19" t="s">
        <v>47</v>
      </c>
    </row>
    <row r="148" spans="1:15" ht="24" customHeight="1">
      <c r="A148" s="31"/>
      <c r="B148" s="3">
        <f t="shared" si="3"/>
        <v>7</v>
      </c>
      <c r="C148" s="6">
        <v>2</v>
      </c>
      <c r="D148" s="6">
        <v>0</v>
      </c>
      <c r="E148" s="6">
        <v>1</v>
      </c>
      <c r="F148" s="6">
        <v>1</v>
      </c>
      <c r="G148" s="6">
        <v>0</v>
      </c>
      <c r="H148" s="6">
        <v>1</v>
      </c>
      <c r="I148" s="6">
        <v>0</v>
      </c>
      <c r="J148" s="6">
        <v>2</v>
      </c>
      <c r="K148" s="6">
        <v>0</v>
      </c>
      <c r="L148" s="6">
        <v>0</v>
      </c>
      <c r="M148" s="6">
        <v>0</v>
      </c>
      <c r="N148" s="6">
        <v>0</v>
      </c>
      <c r="O148" s="19" t="s">
        <v>48</v>
      </c>
    </row>
    <row r="149" spans="1:15" ht="24" customHeight="1">
      <c r="A149" s="31"/>
      <c r="B149" s="3">
        <f t="shared" si="3"/>
        <v>1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1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19" t="s">
        <v>49</v>
      </c>
    </row>
    <row r="150" spans="1:15" ht="39" customHeight="1">
      <c r="A150" s="31"/>
      <c r="B150" s="3">
        <f t="shared" si="3"/>
        <v>1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1</v>
      </c>
      <c r="K150" s="6">
        <v>0</v>
      </c>
      <c r="L150" s="6">
        <v>0</v>
      </c>
      <c r="M150" s="6">
        <v>0</v>
      </c>
      <c r="N150" s="6">
        <v>0</v>
      </c>
      <c r="O150" s="19" t="s">
        <v>139</v>
      </c>
    </row>
    <row r="151" spans="1:15" ht="39" customHeight="1">
      <c r="A151" s="31"/>
      <c r="B151" s="3">
        <f t="shared" si="3"/>
        <v>4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1</v>
      </c>
      <c r="J151" s="6">
        <v>0</v>
      </c>
      <c r="K151" s="6">
        <v>0</v>
      </c>
      <c r="L151" s="6">
        <v>1</v>
      </c>
      <c r="M151" s="6">
        <v>2</v>
      </c>
      <c r="N151" s="6">
        <v>0</v>
      </c>
      <c r="O151" s="19" t="s">
        <v>51</v>
      </c>
    </row>
    <row r="152" spans="1:15" ht="24" customHeight="1">
      <c r="A152" s="31"/>
      <c r="B152" s="3">
        <f t="shared" si="3"/>
        <v>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1</v>
      </c>
      <c r="K152" s="6">
        <v>0</v>
      </c>
      <c r="L152" s="6"/>
      <c r="M152" s="6">
        <v>0</v>
      </c>
      <c r="N152" s="6">
        <v>0</v>
      </c>
      <c r="O152" s="19" t="s">
        <v>140</v>
      </c>
    </row>
    <row r="153" spans="1:15" ht="24" customHeight="1">
      <c r="A153" s="31"/>
      <c r="B153" s="3">
        <f t="shared" si="3"/>
        <v>41</v>
      </c>
      <c r="C153" s="6">
        <v>7</v>
      </c>
      <c r="D153" s="6">
        <v>5</v>
      </c>
      <c r="E153" s="6">
        <v>1</v>
      </c>
      <c r="F153" s="6">
        <v>3</v>
      </c>
      <c r="G153" s="6">
        <v>3</v>
      </c>
      <c r="H153" s="6">
        <v>3</v>
      </c>
      <c r="I153" s="6">
        <v>3</v>
      </c>
      <c r="J153" s="6">
        <v>4</v>
      </c>
      <c r="K153" s="6">
        <v>5</v>
      </c>
      <c r="L153" s="6">
        <v>1</v>
      </c>
      <c r="M153" s="6">
        <v>3</v>
      </c>
      <c r="N153" s="6">
        <v>3</v>
      </c>
      <c r="O153" s="19" t="s">
        <v>53</v>
      </c>
    </row>
    <row r="154" spans="1:15" ht="24" customHeight="1">
      <c r="A154" s="31"/>
      <c r="B154" s="3">
        <f t="shared" si="3"/>
        <v>12</v>
      </c>
      <c r="C154" s="6">
        <v>0</v>
      </c>
      <c r="D154" s="6">
        <v>0</v>
      </c>
      <c r="E154" s="6">
        <v>0</v>
      </c>
      <c r="F154" s="6">
        <v>4</v>
      </c>
      <c r="G154" s="6">
        <v>0</v>
      </c>
      <c r="H154" s="6">
        <v>0</v>
      </c>
      <c r="I154" s="6">
        <v>1</v>
      </c>
      <c r="J154" s="6">
        <v>1</v>
      </c>
      <c r="K154" s="6">
        <v>3</v>
      </c>
      <c r="L154" s="6">
        <v>2</v>
      </c>
      <c r="M154" s="6">
        <v>1</v>
      </c>
      <c r="N154" s="6">
        <v>0</v>
      </c>
      <c r="O154" s="19" t="s">
        <v>54</v>
      </c>
    </row>
    <row r="155" spans="1:15" ht="24" customHeight="1">
      <c r="A155" s="31"/>
      <c r="B155" s="3">
        <f t="shared" si="3"/>
        <v>1</v>
      </c>
      <c r="C155" s="6">
        <v>0</v>
      </c>
      <c r="D155" s="6">
        <v>1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19" t="s">
        <v>55</v>
      </c>
    </row>
    <row r="156" spans="1:15" ht="24" customHeight="1">
      <c r="A156" s="31"/>
      <c r="B156" s="3">
        <f t="shared" si="3"/>
        <v>7</v>
      </c>
      <c r="C156" s="6">
        <v>1</v>
      </c>
      <c r="D156" s="6">
        <v>1</v>
      </c>
      <c r="E156" s="6">
        <v>0</v>
      </c>
      <c r="F156" s="6">
        <v>1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1</v>
      </c>
      <c r="M156" s="6">
        <v>0</v>
      </c>
      <c r="N156" s="6">
        <v>3</v>
      </c>
      <c r="O156" s="19" t="s">
        <v>56</v>
      </c>
    </row>
    <row r="157" spans="1:15" ht="24" customHeight="1">
      <c r="A157" s="31"/>
      <c r="B157" s="3">
        <f t="shared" si="3"/>
        <v>19</v>
      </c>
      <c r="C157" s="6">
        <v>0</v>
      </c>
      <c r="D157" s="6">
        <v>1</v>
      </c>
      <c r="E157" s="6">
        <v>2</v>
      </c>
      <c r="F157" s="6">
        <v>3</v>
      </c>
      <c r="G157" s="6">
        <v>0</v>
      </c>
      <c r="H157" s="6">
        <v>1</v>
      </c>
      <c r="I157" s="6">
        <v>7</v>
      </c>
      <c r="J157" s="6">
        <v>2</v>
      </c>
      <c r="K157" s="6">
        <v>2</v>
      </c>
      <c r="L157" s="6">
        <v>1</v>
      </c>
      <c r="M157" s="6">
        <v>0</v>
      </c>
      <c r="N157" s="6">
        <v>0</v>
      </c>
      <c r="O157" s="19" t="s">
        <v>57</v>
      </c>
    </row>
    <row r="158" spans="1:15" ht="24" customHeight="1">
      <c r="A158" s="31"/>
      <c r="B158" s="3">
        <f t="shared" si="3"/>
        <v>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1</v>
      </c>
      <c r="L158" s="6">
        <v>0</v>
      </c>
      <c r="M158" s="6">
        <v>0</v>
      </c>
      <c r="N158" s="6">
        <v>0</v>
      </c>
      <c r="O158" s="19" t="s">
        <v>58</v>
      </c>
    </row>
    <row r="159" spans="1:15" ht="24" customHeight="1">
      <c r="A159" s="31"/>
      <c r="B159" s="3">
        <f t="shared" si="3"/>
        <v>7</v>
      </c>
      <c r="C159" s="6">
        <v>0</v>
      </c>
      <c r="D159" s="6">
        <v>1</v>
      </c>
      <c r="E159" s="6">
        <v>0</v>
      </c>
      <c r="F159" s="6">
        <v>0</v>
      </c>
      <c r="G159" s="6">
        <v>5</v>
      </c>
      <c r="H159" s="6">
        <v>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19" t="s">
        <v>59</v>
      </c>
    </row>
    <row r="160" spans="1:15" ht="41.25" customHeight="1">
      <c r="A160" s="31"/>
      <c r="B160" s="3">
        <f t="shared" si="3"/>
        <v>1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19" t="s">
        <v>141</v>
      </c>
    </row>
    <row r="161" spans="1:15" ht="41.25" customHeight="1">
      <c r="A161" s="31"/>
      <c r="B161" s="3">
        <f t="shared" si="3"/>
        <v>2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1</v>
      </c>
      <c r="I161" s="6">
        <v>0</v>
      </c>
      <c r="J161" s="6">
        <v>1</v>
      </c>
      <c r="K161" s="6">
        <v>0</v>
      </c>
      <c r="L161" s="6">
        <v>0</v>
      </c>
      <c r="M161" s="6">
        <v>0</v>
      </c>
      <c r="N161" s="6">
        <v>0</v>
      </c>
      <c r="O161" s="19" t="s">
        <v>61</v>
      </c>
    </row>
    <row r="162" spans="1:15" ht="41.25" customHeight="1">
      <c r="A162" s="31"/>
      <c r="B162" s="3">
        <f t="shared" si="3"/>
        <v>1</v>
      </c>
      <c r="C162" s="6">
        <v>0</v>
      </c>
      <c r="D162" s="6">
        <v>0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19" t="s">
        <v>142</v>
      </c>
    </row>
    <row r="163" spans="1:15" ht="41.25" customHeight="1">
      <c r="A163" s="31"/>
      <c r="B163" s="3">
        <f t="shared" si="3"/>
        <v>4</v>
      </c>
      <c r="C163" s="6">
        <v>0</v>
      </c>
      <c r="D163" s="6">
        <v>0</v>
      </c>
      <c r="E163" s="6">
        <v>0</v>
      </c>
      <c r="F163" s="6">
        <v>1</v>
      </c>
      <c r="G163" s="6">
        <v>0</v>
      </c>
      <c r="H163" s="6">
        <v>0</v>
      </c>
      <c r="I163" s="6">
        <v>0</v>
      </c>
      <c r="J163" s="6">
        <v>0</v>
      </c>
      <c r="K163" s="6">
        <v>2</v>
      </c>
      <c r="L163" s="6">
        <v>1</v>
      </c>
      <c r="M163" s="6">
        <v>0</v>
      </c>
      <c r="N163" s="6">
        <v>0</v>
      </c>
      <c r="O163" s="19" t="s">
        <v>63</v>
      </c>
    </row>
    <row r="164" spans="1:15" ht="41.25" customHeight="1">
      <c r="A164" s="31"/>
      <c r="B164" s="3">
        <f t="shared" si="3"/>
        <v>1</v>
      </c>
      <c r="C164" s="6">
        <v>1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19" t="s">
        <v>143</v>
      </c>
    </row>
    <row r="165" spans="1:15" ht="41.25" customHeight="1">
      <c r="A165" s="31"/>
      <c r="B165" s="3">
        <f t="shared" si="3"/>
        <v>1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1</v>
      </c>
      <c r="K165" s="6">
        <v>0</v>
      </c>
      <c r="L165" s="6">
        <v>0</v>
      </c>
      <c r="M165" s="6">
        <v>0</v>
      </c>
      <c r="N165" s="6">
        <v>0</v>
      </c>
      <c r="O165" s="19" t="s">
        <v>65</v>
      </c>
    </row>
    <row r="166" spans="1:15" ht="41.25" customHeight="1">
      <c r="A166" s="31"/>
      <c r="B166" s="3">
        <f t="shared" si="3"/>
        <v>1</v>
      </c>
      <c r="C166" s="6">
        <v>0</v>
      </c>
      <c r="D166" s="6">
        <v>0</v>
      </c>
      <c r="E166" s="6">
        <v>1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19" t="s">
        <v>144</v>
      </c>
    </row>
    <row r="167" spans="1:15" ht="41.25" customHeight="1">
      <c r="A167" s="31"/>
      <c r="B167" s="3">
        <f t="shared" si="3"/>
        <v>58</v>
      </c>
      <c r="C167" s="6">
        <v>10</v>
      </c>
      <c r="D167" s="6">
        <v>2</v>
      </c>
      <c r="E167" s="6">
        <v>2</v>
      </c>
      <c r="F167" s="6">
        <v>4</v>
      </c>
      <c r="G167" s="6">
        <v>1</v>
      </c>
      <c r="H167" s="6">
        <v>3</v>
      </c>
      <c r="I167" s="6">
        <v>6</v>
      </c>
      <c r="J167" s="6">
        <v>4</v>
      </c>
      <c r="K167" s="6">
        <v>11</v>
      </c>
      <c r="L167" s="6">
        <v>8</v>
      </c>
      <c r="M167" s="6">
        <v>4</v>
      </c>
      <c r="N167" s="6">
        <v>3</v>
      </c>
      <c r="O167" s="19" t="s">
        <v>67</v>
      </c>
    </row>
    <row r="168" spans="1:15" ht="41.25" customHeight="1">
      <c r="A168" s="31"/>
      <c r="B168" s="3">
        <f t="shared" si="3"/>
        <v>1</v>
      </c>
      <c r="C168" s="6">
        <v>1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19" t="s">
        <v>68</v>
      </c>
    </row>
    <row r="169" spans="1:15" ht="41.25" customHeight="1">
      <c r="A169" s="31"/>
      <c r="B169" s="3">
        <f t="shared" si="3"/>
        <v>1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1</v>
      </c>
      <c r="O169" s="19" t="s">
        <v>145</v>
      </c>
    </row>
    <row r="170" spans="1:15" ht="41.25" customHeight="1">
      <c r="A170" s="31"/>
      <c r="B170" s="3">
        <f t="shared" si="3"/>
        <v>2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2</v>
      </c>
      <c r="K170" s="6">
        <v>0</v>
      </c>
      <c r="L170" s="6">
        <v>0</v>
      </c>
      <c r="M170" s="6">
        <v>0</v>
      </c>
      <c r="N170" s="6">
        <v>0</v>
      </c>
      <c r="O170" s="19" t="s">
        <v>70</v>
      </c>
    </row>
    <row r="171" spans="1:15" ht="41.25" customHeight="1">
      <c r="A171" s="31"/>
      <c r="B171" s="3">
        <f t="shared" si="3"/>
        <v>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19" t="s">
        <v>71</v>
      </c>
    </row>
    <row r="172" spans="1:15" ht="41.25" customHeight="1">
      <c r="A172" s="31"/>
      <c r="B172" s="3">
        <f t="shared" si="3"/>
        <v>1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1</v>
      </c>
      <c r="K172" s="6">
        <v>0</v>
      </c>
      <c r="L172" s="6">
        <v>0</v>
      </c>
      <c r="M172" s="6">
        <v>0</v>
      </c>
      <c r="N172" s="6">
        <v>0</v>
      </c>
      <c r="O172" s="19" t="s">
        <v>72</v>
      </c>
    </row>
    <row r="173" spans="1:15" ht="24" customHeight="1">
      <c r="A173" s="31"/>
      <c r="B173" s="3">
        <f t="shared" si="3"/>
        <v>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2</v>
      </c>
      <c r="N173" s="6">
        <v>0</v>
      </c>
      <c r="O173" s="19" t="s">
        <v>73</v>
      </c>
    </row>
    <row r="174" spans="1:15" ht="24" customHeight="1">
      <c r="A174" s="31"/>
      <c r="B174" s="3">
        <f t="shared" si="3"/>
        <v>3</v>
      </c>
      <c r="C174" s="6">
        <v>0</v>
      </c>
      <c r="D174" s="6">
        <v>0</v>
      </c>
      <c r="E174" s="6">
        <v>0</v>
      </c>
      <c r="F174" s="6">
        <v>0</v>
      </c>
      <c r="G174" s="6">
        <v>1</v>
      </c>
      <c r="H174" s="6">
        <v>1</v>
      </c>
      <c r="I174" s="6">
        <v>1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19" t="s">
        <v>74</v>
      </c>
    </row>
    <row r="175" spans="1:15" ht="24" customHeight="1">
      <c r="A175" s="31"/>
      <c r="B175" s="3">
        <f t="shared" si="3"/>
        <v>1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1</v>
      </c>
      <c r="M175" s="6">
        <v>0</v>
      </c>
      <c r="N175" s="6">
        <v>0</v>
      </c>
      <c r="O175" s="19" t="s">
        <v>75</v>
      </c>
    </row>
    <row r="176" spans="1:15" ht="24" customHeight="1">
      <c r="A176" s="31"/>
      <c r="B176" s="3">
        <f t="shared" si="3"/>
        <v>202</v>
      </c>
      <c r="C176" s="6">
        <v>20</v>
      </c>
      <c r="D176" s="6">
        <v>11</v>
      </c>
      <c r="E176" s="6">
        <v>16</v>
      </c>
      <c r="F176" s="6">
        <v>17</v>
      </c>
      <c r="G176" s="6">
        <v>9</v>
      </c>
      <c r="H176" s="6">
        <v>7</v>
      </c>
      <c r="I176" s="6">
        <v>21</v>
      </c>
      <c r="J176" s="6">
        <v>11</v>
      </c>
      <c r="K176" s="6">
        <v>35</v>
      </c>
      <c r="L176" s="6">
        <v>15</v>
      </c>
      <c r="M176" s="6">
        <v>20</v>
      </c>
      <c r="N176" s="6">
        <v>20</v>
      </c>
      <c r="O176" s="19" t="s">
        <v>76</v>
      </c>
    </row>
    <row r="177" spans="1:15" ht="24" customHeight="1">
      <c r="A177" s="31"/>
      <c r="B177" s="3">
        <f t="shared" si="3"/>
        <v>1</v>
      </c>
      <c r="C177" s="6">
        <v>0</v>
      </c>
      <c r="D177" s="6">
        <v>0</v>
      </c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19" t="s">
        <v>77</v>
      </c>
    </row>
    <row r="178" spans="1:15" ht="36" customHeight="1">
      <c r="A178" s="31"/>
      <c r="B178" s="3">
        <f t="shared" si="3"/>
        <v>4</v>
      </c>
      <c r="C178" s="6">
        <v>1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2</v>
      </c>
      <c r="L178" s="6">
        <v>0</v>
      </c>
      <c r="M178" s="6">
        <v>1</v>
      </c>
      <c r="N178" s="6">
        <v>0</v>
      </c>
      <c r="O178" s="19" t="s">
        <v>78</v>
      </c>
    </row>
    <row r="179" spans="1:15" ht="36" customHeight="1">
      <c r="A179" s="31"/>
      <c r="B179" s="3">
        <f t="shared" si="3"/>
        <v>3</v>
      </c>
      <c r="C179" s="6">
        <v>0</v>
      </c>
      <c r="D179" s="6">
        <v>1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2</v>
      </c>
      <c r="K179" s="6">
        <v>0</v>
      </c>
      <c r="L179" s="6">
        <v>0</v>
      </c>
      <c r="M179" s="6">
        <v>0</v>
      </c>
      <c r="N179" s="6">
        <v>0</v>
      </c>
      <c r="O179" s="19" t="s">
        <v>79</v>
      </c>
    </row>
    <row r="180" spans="1:15" ht="36" customHeight="1">
      <c r="A180" s="31"/>
      <c r="B180" s="3">
        <f t="shared" si="3"/>
        <v>1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19" t="s">
        <v>80</v>
      </c>
    </row>
    <row r="181" spans="1:15" ht="36" customHeight="1">
      <c r="A181" s="31"/>
      <c r="B181" s="3">
        <f t="shared" si="3"/>
        <v>1</v>
      </c>
      <c r="C181" s="6">
        <v>0</v>
      </c>
      <c r="D181" s="6">
        <v>0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19" t="s">
        <v>146</v>
      </c>
    </row>
    <row r="182" spans="1:15" ht="36" customHeight="1">
      <c r="A182" s="31"/>
      <c r="B182" s="3">
        <f t="shared" si="3"/>
        <v>1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1</v>
      </c>
      <c r="M182" s="6">
        <v>0</v>
      </c>
      <c r="N182" s="6">
        <v>0</v>
      </c>
      <c r="O182" s="19" t="s">
        <v>82</v>
      </c>
    </row>
    <row r="183" spans="1:15" ht="36" customHeight="1">
      <c r="A183" s="31"/>
      <c r="B183" s="3">
        <f t="shared" si="3"/>
        <v>1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19" t="s">
        <v>147</v>
      </c>
    </row>
    <row r="184" spans="1:15" ht="36" customHeight="1">
      <c r="A184" s="31"/>
      <c r="B184" s="3">
        <f t="shared" si="3"/>
        <v>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1</v>
      </c>
      <c r="N184" s="6">
        <v>0</v>
      </c>
      <c r="O184" s="19" t="s">
        <v>84</v>
      </c>
    </row>
    <row r="185" spans="1:15" ht="36" customHeight="1">
      <c r="A185" s="31"/>
      <c r="B185" s="3">
        <f t="shared" si="3"/>
        <v>22</v>
      </c>
      <c r="C185" s="6">
        <v>0</v>
      </c>
      <c r="D185" s="6">
        <v>0</v>
      </c>
      <c r="E185" s="6">
        <v>1</v>
      </c>
      <c r="F185" s="6">
        <v>1</v>
      </c>
      <c r="G185" s="6">
        <v>0</v>
      </c>
      <c r="H185" s="6">
        <v>0</v>
      </c>
      <c r="I185" s="6">
        <v>1</v>
      </c>
      <c r="J185" s="6">
        <v>1</v>
      </c>
      <c r="K185" s="6">
        <v>1</v>
      </c>
      <c r="L185" s="6">
        <v>3</v>
      </c>
      <c r="M185" s="6">
        <v>1</v>
      </c>
      <c r="N185" s="6">
        <v>13</v>
      </c>
      <c r="O185" s="19" t="s">
        <v>85</v>
      </c>
    </row>
    <row r="186" spans="1:15" ht="36" customHeight="1">
      <c r="A186" s="31"/>
      <c r="B186" s="3">
        <f t="shared" si="3"/>
        <v>3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3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19" t="s">
        <v>148</v>
      </c>
    </row>
    <row r="187" spans="1:15" ht="36" customHeight="1">
      <c r="A187" s="31"/>
      <c r="B187" s="3">
        <f t="shared" si="3"/>
        <v>1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1</v>
      </c>
      <c r="K187" s="6">
        <v>0</v>
      </c>
      <c r="L187" s="6">
        <v>0</v>
      </c>
      <c r="M187" s="6">
        <v>0</v>
      </c>
      <c r="N187" s="6">
        <v>0</v>
      </c>
      <c r="O187" s="19" t="s">
        <v>87</v>
      </c>
    </row>
    <row r="188" spans="1:15" ht="36" customHeight="1">
      <c r="A188" s="31"/>
      <c r="B188" s="3">
        <f t="shared" si="3"/>
        <v>15</v>
      </c>
      <c r="C188" s="6">
        <v>2</v>
      </c>
      <c r="D188" s="6">
        <v>0</v>
      </c>
      <c r="E188" s="6">
        <v>1</v>
      </c>
      <c r="F188" s="6">
        <v>5</v>
      </c>
      <c r="G188" s="6">
        <v>0</v>
      </c>
      <c r="H188" s="6">
        <v>1</v>
      </c>
      <c r="I188" s="6">
        <v>2</v>
      </c>
      <c r="J188" s="6">
        <v>1</v>
      </c>
      <c r="K188" s="6">
        <v>2</v>
      </c>
      <c r="L188" s="6">
        <v>0</v>
      </c>
      <c r="M188" s="6">
        <v>0</v>
      </c>
      <c r="N188" s="6">
        <v>1</v>
      </c>
      <c r="O188" s="19" t="s">
        <v>88</v>
      </c>
    </row>
    <row r="189" spans="1:15" ht="18.75" customHeight="1">
      <c r="A189" s="31"/>
      <c r="B189" s="3">
        <f t="shared" si="3"/>
        <v>20</v>
      </c>
      <c r="C189" s="6">
        <v>5</v>
      </c>
      <c r="D189" s="6">
        <v>2</v>
      </c>
      <c r="E189" s="6">
        <v>1</v>
      </c>
      <c r="F189" s="6">
        <v>4</v>
      </c>
      <c r="G189" s="6">
        <v>5</v>
      </c>
      <c r="H189" s="6">
        <v>0</v>
      </c>
      <c r="I189" s="6">
        <v>1</v>
      </c>
      <c r="J189" s="6">
        <v>0</v>
      </c>
      <c r="K189" s="6">
        <v>1</v>
      </c>
      <c r="L189" s="6">
        <v>0</v>
      </c>
      <c r="M189" s="6">
        <v>1</v>
      </c>
      <c r="N189" s="6">
        <v>0</v>
      </c>
      <c r="O189" s="19" t="s">
        <v>1</v>
      </c>
    </row>
    <row r="190" spans="1:15" ht="18.75" customHeight="1">
      <c r="A190" s="31"/>
      <c r="B190" s="3">
        <f t="shared" si="3"/>
        <v>6</v>
      </c>
      <c r="C190" s="6">
        <v>1</v>
      </c>
      <c r="D190" s="6">
        <v>1</v>
      </c>
      <c r="E190" s="6">
        <v>2</v>
      </c>
      <c r="F190" s="6">
        <v>2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19" t="s">
        <v>2</v>
      </c>
    </row>
    <row r="191" spans="1:15" ht="36" customHeight="1">
      <c r="A191" s="31"/>
      <c r="B191" s="3">
        <f t="shared" si="3"/>
        <v>2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1</v>
      </c>
      <c r="K191" s="6">
        <v>1</v>
      </c>
      <c r="L191" s="6">
        <v>0</v>
      </c>
      <c r="M191" s="6">
        <v>0</v>
      </c>
      <c r="N191" s="6">
        <v>0</v>
      </c>
      <c r="O191" s="19" t="s">
        <v>89</v>
      </c>
    </row>
    <row r="192" spans="1:15" ht="36" customHeight="1">
      <c r="A192" s="31"/>
      <c r="B192" s="3">
        <f t="shared" si="3"/>
        <v>3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2</v>
      </c>
      <c r="M192" s="6">
        <v>1</v>
      </c>
      <c r="N192" s="6">
        <v>0</v>
      </c>
      <c r="O192" s="19" t="s">
        <v>149</v>
      </c>
    </row>
    <row r="193" spans="1:15" ht="36" customHeight="1">
      <c r="A193" s="31"/>
      <c r="B193" s="3">
        <f t="shared" ref="B193:B224" si="5">SUM(C193:N193)</f>
        <v>1</v>
      </c>
      <c r="C193" s="6">
        <v>0</v>
      </c>
      <c r="D193" s="6">
        <v>0</v>
      </c>
      <c r="E193" s="6">
        <v>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19" t="s">
        <v>91</v>
      </c>
    </row>
    <row r="194" spans="1:15" ht="24" customHeight="1">
      <c r="A194" s="31"/>
      <c r="B194" s="3">
        <f t="shared" si="5"/>
        <v>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19" t="s">
        <v>150</v>
      </c>
    </row>
    <row r="195" spans="1:15" ht="24" customHeight="1">
      <c r="A195" s="31"/>
      <c r="B195" s="3">
        <f t="shared" si="5"/>
        <v>1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1</v>
      </c>
      <c r="M195" s="6">
        <v>0</v>
      </c>
      <c r="N195" s="6">
        <v>0</v>
      </c>
      <c r="O195" s="19" t="s">
        <v>93</v>
      </c>
    </row>
    <row r="196" spans="1:15" ht="24" customHeight="1">
      <c r="A196" s="31"/>
      <c r="B196" s="3">
        <f t="shared" si="5"/>
        <v>3</v>
      </c>
      <c r="C196" s="6">
        <v>0</v>
      </c>
      <c r="D196" s="6">
        <v>0</v>
      </c>
      <c r="E196" s="6">
        <v>0</v>
      </c>
      <c r="F196" s="6">
        <v>0</v>
      </c>
      <c r="G196" s="6">
        <v>1</v>
      </c>
      <c r="H196" s="6">
        <v>0</v>
      </c>
      <c r="I196" s="6">
        <v>2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19" t="s">
        <v>151</v>
      </c>
    </row>
    <row r="197" spans="1:15" ht="24" customHeight="1">
      <c r="A197" s="31"/>
      <c r="B197" s="3">
        <f t="shared" si="5"/>
        <v>4</v>
      </c>
      <c r="C197" s="6">
        <v>0</v>
      </c>
      <c r="D197" s="6">
        <v>0</v>
      </c>
      <c r="E197" s="6">
        <v>0</v>
      </c>
      <c r="F197" s="6">
        <v>1</v>
      </c>
      <c r="G197" s="6">
        <v>0</v>
      </c>
      <c r="H197" s="6">
        <v>0</v>
      </c>
      <c r="I197" s="6">
        <v>2</v>
      </c>
      <c r="J197" s="6">
        <v>0</v>
      </c>
      <c r="K197" s="6">
        <v>0</v>
      </c>
      <c r="L197" s="6">
        <v>1</v>
      </c>
      <c r="M197" s="6">
        <v>0</v>
      </c>
      <c r="N197" s="6">
        <v>0</v>
      </c>
      <c r="O197" s="19" t="s">
        <v>95</v>
      </c>
    </row>
    <row r="198" spans="1:15" ht="24" customHeight="1">
      <c r="A198" s="31"/>
      <c r="B198" s="3">
        <f t="shared" si="5"/>
        <v>1</v>
      </c>
      <c r="C198" s="6">
        <v>0</v>
      </c>
      <c r="D198" s="6">
        <v>0</v>
      </c>
      <c r="E198" s="6">
        <v>0</v>
      </c>
      <c r="F198" s="6">
        <v>0</v>
      </c>
      <c r="G198" s="6">
        <v>1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19" t="s">
        <v>96</v>
      </c>
    </row>
    <row r="199" spans="1:15" ht="24" customHeight="1">
      <c r="A199" s="31"/>
      <c r="B199" s="3">
        <f t="shared" si="5"/>
        <v>1</v>
      </c>
      <c r="C199" s="6">
        <v>0</v>
      </c>
      <c r="D199" s="6">
        <v>0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19" t="s">
        <v>97</v>
      </c>
    </row>
    <row r="200" spans="1:15" ht="35.25" customHeight="1">
      <c r="A200" s="31"/>
      <c r="B200" s="3">
        <f t="shared" si="5"/>
        <v>134</v>
      </c>
      <c r="C200" s="6">
        <v>3</v>
      </c>
      <c r="D200" s="6">
        <v>11</v>
      </c>
      <c r="E200" s="6">
        <v>13</v>
      </c>
      <c r="F200" s="6">
        <v>14</v>
      </c>
      <c r="G200" s="6">
        <v>2</v>
      </c>
      <c r="H200" s="6">
        <v>7</v>
      </c>
      <c r="I200" s="6">
        <v>24</v>
      </c>
      <c r="J200" s="6">
        <v>11</v>
      </c>
      <c r="K200" s="6">
        <v>20</v>
      </c>
      <c r="L200" s="6">
        <v>18</v>
      </c>
      <c r="M200" s="6">
        <v>9</v>
      </c>
      <c r="N200" s="6">
        <v>2</v>
      </c>
      <c r="O200" s="19" t="s">
        <v>98</v>
      </c>
    </row>
    <row r="201" spans="1:15" ht="35.25" customHeight="1">
      <c r="A201" s="31"/>
      <c r="B201" s="3">
        <f t="shared" si="5"/>
        <v>49</v>
      </c>
      <c r="C201" s="6">
        <v>5</v>
      </c>
      <c r="D201" s="6">
        <v>7</v>
      </c>
      <c r="E201" s="6">
        <v>4</v>
      </c>
      <c r="F201" s="6">
        <v>5</v>
      </c>
      <c r="G201" s="6">
        <v>2</v>
      </c>
      <c r="H201" s="6">
        <v>2</v>
      </c>
      <c r="I201" s="6">
        <v>1</v>
      </c>
      <c r="J201" s="6">
        <v>2</v>
      </c>
      <c r="K201" s="6">
        <v>10</v>
      </c>
      <c r="L201" s="6">
        <v>3</v>
      </c>
      <c r="M201" s="6">
        <v>6</v>
      </c>
      <c r="N201" s="6">
        <v>2</v>
      </c>
      <c r="O201" s="19" t="s">
        <v>3</v>
      </c>
    </row>
    <row r="202" spans="1:15" ht="35.25" customHeight="1">
      <c r="A202" s="31"/>
      <c r="B202" s="3">
        <f t="shared" si="5"/>
        <v>1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1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19" t="s">
        <v>152</v>
      </c>
    </row>
    <row r="203" spans="1:15" ht="35.25" customHeight="1">
      <c r="A203" s="31"/>
      <c r="B203" s="3">
        <f t="shared" si="5"/>
        <v>14</v>
      </c>
      <c r="C203" s="6">
        <v>1</v>
      </c>
      <c r="D203" s="6">
        <v>3</v>
      </c>
      <c r="E203" s="6">
        <v>1</v>
      </c>
      <c r="F203" s="6">
        <v>1</v>
      </c>
      <c r="G203" s="6">
        <v>0</v>
      </c>
      <c r="H203" s="6">
        <v>0</v>
      </c>
      <c r="I203" s="6">
        <v>1</v>
      </c>
      <c r="J203" s="6">
        <v>2</v>
      </c>
      <c r="K203" s="6">
        <v>1</v>
      </c>
      <c r="L203" s="6">
        <v>0</v>
      </c>
      <c r="M203" s="6">
        <v>3</v>
      </c>
      <c r="N203" s="6">
        <v>1</v>
      </c>
      <c r="O203" s="19" t="s">
        <v>4</v>
      </c>
    </row>
    <row r="204" spans="1:15" ht="35.25" customHeight="1">
      <c r="A204" s="31"/>
      <c r="B204" s="3">
        <f t="shared" si="5"/>
        <v>54</v>
      </c>
      <c r="C204" s="6">
        <v>6</v>
      </c>
      <c r="D204" s="6">
        <v>8</v>
      </c>
      <c r="E204" s="6">
        <v>3</v>
      </c>
      <c r="F204" s="6">
        <v>7</v>
      </c>
      <c r="G204" s="6">
        <v>2</v>
      </c>
      <c r="H204" s="6">
        <v>6</v>
      </c>
      <c r="I204" s="6">
        <v>5</v>
      </c>
      <c r="J204" s="6">
        <v>5</v>
      </c>
      <c r="K204" s="6">
        <v>3</v>
      </c>
      <c r="L204" s="6">
        <v>1</v>
      </c>
      <c r="M204" s="6">
        <v>1</v>
      </c>
      <c r="N204" s="6">
        <v>7</v>
      </c>
      <c r="O204" s="19" t="s">
        <v>100</v>
      </c>
    </row>
    <row r="205" spans="1:15" ht="35.25" customHeight="1">
      <c r="A205" s="31"/>
      <c r="B205" s="3">
        <f t="shared" si="5"/>
        <v>2</v>
      </c>
      <c r="C205" s="6">
        <v>0</v>
      </c>
      <c r="D205" s="6">
        <v>0</v>
      </c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19" t="s">
        <v>153</v>
      </c>
    </row>
    <row r="206" spans="1:15" ht="35.25" customHeight="1">
      <c r="A206" s="31"/>
      <c r="B206" s="3">
        <f t="shared" si="5"/>
        <v>6</v>
      </c>
      <c r="C206" s="6">
        <v>0</v>
      </c>
      <c r="D206" s="6">
        <v>0</v>
      </c>
      <c r="E206" s="6">
        <v>0</v>
      </c>
      <c r="F206" s="6">
        <v>1</v>
      </c>
      <c r="G206" s="6">
        <v>0</v>
      </c>
      <c r="H206" s="6">
        <v>1</v>
      </c>
      <c r="I206" s="6">
        <v>1</v>
      </c>
      <c r="J206" s="6">
        <v>1</v>
      </c>
      <c r="K206" s="6">
        <v>1</v>
      </c>
      <c r="L206" s="6">
        <v>0</v>
      </c>
      <c r="M206" s="6">
        <v>0</v>
      </c>
      <c r="N206" s="6">
        <v>1</v>
      </c>
      <c r="O206" s="19" t="s">
        <v>102</v>
      </c>
    </row>
    <row r="207" spans="1:15" ht="35.25" customHeight="1">
      <c r="A207" s="31"/>
      <c r="B207" s="3">
        <f t="shared" si="5"/>
        <v>1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19" t="s">
        <v>103</v>
      </c>
    </row>
    <row r="208" spans="1:15" ht="35.25" customHeight="1">
      <c r="A208" s="31"/>
      <c r="B208" s="3">
        <f t="shared" si="5"/>
        <v>1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19" t="s">
        <v>104</v>
      </c>
    </row>
    <row r="209" spans="1:15" ht="35.25" customHeight="1">
      <c r="A209" s="31"/>
      <c r="B209" s="3">
        <f t="shared" si="5"/>
        <v>1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1</v>
      </c>
      <c r="K209" s="6">
        <v>0</v>
      </c>
      <c r="L209" s="6">
        <v>0</v>
      </c>
      <c r="M209" s="6">
        <v>0</v>
      </c>
      <c r="N209" s="6">
        <v>0</v>
      </c>
      <c r="O209" s="19" t="s">
        <v>105</v>
      </c>
    </row>
    <row r="210" spans="1:15" ht="35.25" customHeight="1">
      <c r="A210" s="31"/>
      <c r="B210" s="3">
        <f t="shared" si="5"/>
        <v>1</v>
      </c>
      <c r="C210" s="6">
        <v>0</v>
      </c>
      <c r="D210" s="6">
        <v>1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19" t="s">
        <v>106</v>
      </c>
    </row>
    <row r="211" spans="1:15" ht="35.25" customHeight="1">
      <c r="A211" s="31"/>
      <c r="B211" s="3">
        <f t="shared" si="5"/>
        <v>1</v>
      </c>
      <c r="C211" s="6">
        <v>0</v>
      </c>
      <c r="D211" s="6">
        <v>1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19" t="s">
        <v>107</v>
      </c>
    </row>
    <row r="212" spans="1:15" ht="35.25" customHeight="1">
      <c r="A212" s="31"/>
      <c r="B212" s="3">
        <f t="shared" si="5"/>
        <v>1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1</v>
      </c>
      <c r="K212" s="6">
        <v>0</v>
      </c>
      <c r="L212" s="6">
        <v>0</v>
      </c>
      <c r="M212" s="6">
        <v>0</v>
      </c>
      <c r="N212" s="6">
        <v>0</v>
      </c>
      <c r="O212" s="19" t="s">
        <v>154</v>
      </c>
    </row>
    <row r="213" spans="1:15" ht="35.25" customHeight="1">
      <c r="A213" s="31"/>
      <c r="B213" s="3">
        <f t="shared" si="5"/>
        <v>12</v>
      </c>
      <c r="C213" s="6">
        <v>0</v>
      </c>
      <c r="D213" s="6">
        <v>0</v>
      </c>
      <c r="E213" s="6">
        <v>0</v>
      </c>
      <c r="F213" s="6">
        <v>1</v>
      </c>
      <c r="G213" s="6">
        <v>0</v>
      </c>
      <c r="H213" s="6">
        <v>0</v>
      </c>
      <c r="I213" s="6">
        <v>6</v>
      </c>
      <c r="J213" s="6">
        <v>1</v>
      </c>
      <c r="K213" s="6">
        <v>0</v>
      </c>
      <c r="L213" s="6">
        <v>1</v>
      </c>
      <c r="M213" s="6">
        <v>0</v>
      </c>
      <c r="N213" s="6">
        <v>3</v>
      </c>
      <c r="O213" s="19" t="s">
        <v>155</v>
      </c>
    </row>
    <row r="214" spans="1:15" ht="24" customHeight="1">
      <c r="A214" s="31"/>
      <c r="B214" s="3">
        <f t="shared" si="5"/>
        <v>2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1</v>
      </c>
      <c r="N214" s="6">
        <v>0</v>
      </c>
      <c r="O214" s="19" t="s">
        <v>110</v>
      </c>
    </row>
    <row r="215" spans="1:15" ht="24" customHeight="1">
      <c r="A215" s="31"/>
      <c r="B215" s="3">
        <f t="shared" si="5"/>
        <v>1</v>
      </c>
      <c r="C215" s="6">
        <v>0</v>
      </c>
      <c r="D215" s="6">
        <v>0</v>
      </c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19" t="s">
        <v>156</v>
      </c>
    </row>
    <row r="216" spans="1:15" ht="24" customHeight="1">
      <c r="A216" s="31"/>
      <c r="B216" s="3">
        <f t="shared" si="5"/>
        <v>2</v>
      </c>
      <c r="C216" s="6">
        <v>0</v>
      </c>
      <c r="D216" s="6">
        <v>0</v>
      </c>
      <c r="E216" s="6">
        <v>0</v>
      </c>
      <c r="F216" s="6">
        <v>1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19" t="s">
        <v>157</v>
      </c>
    </row>
    <row r="217" spans="1:15" ht="24" customHeight="1">
      <c r="A217" s="31"/>
      <c r="B217" s="3">
        <f t="shared" si="5"/>
        <v>5</v>
      </c>
      <c r="C217" s="6">
        <v>0</v>
      </c>
      <c r="D217" s="6">
        <v>2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1</v>
      </c>
      <c r="K217" s="6">
        <v>1</v>
      </c>
      <c r="L217" s="6">
        <v>0</v>
      </c>
      <c r="M217" s="6">
        <v>1</v>
      </c>
      <c r="N217" s="6">
        <v>0</v>
      </c>
      <c r="O217" s="19" t="s">
        <v>113</v>
      </c>
    </row>
    <row r="218" spans="1:15" ht="24" customHeight="1">
      <c r="A218" s="31"/>
      <c r="B218" s="3">
        <f t="shared" si="5"/>
        <v>2</v>
      </c>
      <c r="C218" s="6">
        <v>0</v>
      </c>
      <c r="D218" s="6">
        <v>1</v>
      </c>
      <c r="E218" s="6">
        <v>0</v>
      </c>
      <c r="F218" s="6">
        <v>0</v>
      </c>
      <c r="G218" s="6">
        <v>0</v>
      </c>
      <c r="H218" s="6">
        <v>1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19" t="s">
        <v>158</v>
      </c>
    </row>
    <row r="219" spans="1:15" ht="24" customHeight="1">
      <c r="A219" s="31"/>
      <c r="B219" s="3">
        <f t="shared" si="5"/>
        <v>1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1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19" t="s">
        <v>159</v>
      </c>
    </row>
    <row r="220" spans="1:15" ht="24" customHeight="1">
      <c r="A220" s="31"/>
      <c r="B220" s="3">
        <f t="shared" si="5"/>
        <v>3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1</v>
      </c>
      <c r="L220" s="6">
        <v>2</v>
      </c>
      <c r="M220" s="6">
        <v>0</v>
      </c>
      <c r="N220" s="6">
        <v>0</v>
      </c>
      <c r="O220" s="19" t="s">
        <v>160</v>
      </c>
    </row>
    <row r="221" spans="1:15" ht="47.25" customHeight="1">
      <c r="A221" s="31"/>
      <c r="B221" s="3">
        <f t="shared" si="5"/>
        <v>13</v>
      </c>
      <c r="C221" s="6">
        <v>0</v>
      </c>
      <c r="D221" s="6">
        <v>0</v>
      </c>
      <c r="E221" s="6">
        <v>0</v>
      </c>
      <c r="F221" s="6">
        <v>2</v>
      </c>
      <c r="G221" s="6">
        <v>0</v>
      </c>
      <c r="H221" s="6">
        <v>2</v>
      </c>
      <c r="I221" s="6">
        <v>3</v>
      </c>
      <c r="J221" s="6">
        <v>2</v>
      </c>
      <c r="K221" s="6">
        <v>3</v>
      </c>
      <c r="L221" s="6">
        <v>1</v>
      </c>
      <c r="M221" s="6">
        <v>0</v>
      </c>
      <c r="N221" s="6">
        <v>0</v>
      </c>
      <c r="O221" s="19" t="s">
        <v>117</v>
      </c>
    </row>
    <row r="222" spans="1:15" ht="24" customHeight="1">
      <c r="A222" s="31"/>
      <c r="B222" s="3">
        <f t="shared" si="5"/>
        <v>15</v>
      </c>
      <c r="C222" s="6">
        <v>0</v>
      </c>
      <c r="D222" s="6">
        <v>1</v>
      </c>
      <c r="E222" s="6">
        <v>1</v>
      </c>
      <c r="F222" s="6">
        <v>0</v>
      </c>
      <c r="G222" s="6">
        <v>3</v>
      </c>
      <c r="H222" s="6">
        <v>1</v>
      </c>
      <c r="I222" s="6">
        <v>2</v>
      </c>
      <c r="J222" s="6">
        <v>1</v>
      </c>
      <c r="K222" s="6">
        <v>1</v>
      </c>
      <c r="L222" s="6">
        <v>2</v>
      </c>
      <c r="M222" s="6">
        <v>2</v>
      </c>
      <c r="N222" s="6">
        <v>1</v>
      </c>
      <c r="O222" s="19" t="s">
        <v>118</v>
      </c>
    </row>
    <row r="223" spans="1:15" ht="24" customHeight="1">
      <c r="A223" s="31"/>
      <c r="B223" s="3">
        <f t="shared" si="5"/>
        <v>2</v>
      </c>
      <c r="C223" s="6">
        <v>0</v>
      </c>
      <c r="D223" s="6">
        <v>0</v>
      </c>
      <c r="E223" s="6"/>
      <c r="F223" s="6">
        <v>0</v>
      </c>
      <c r="G223" s="6">
        <v>0</v>
      </c>
      <c r="H223" s="6">
        <v>0</v>
      </c>
      <c r="I223" s="6">
        <v>1</v>
      </c>
      <c r="J223" s="6">
        <v>0</v>
      </c>
      <c r="K223" s="6">
        <v>0</v>
      </c>
      <c r="L223" s="6"/>
      <c r="M223" s="6">
        <v>0</v>
      </c>
      <c r="N223" s="6">
        <v>1</v>
      </c>
      <c r="O223" s="19" t="s">
        <v>119</v>
      </c>
    </row>
    <row r="224" spans="1:15" ht="24" customHeight="1">
      <c r="A224" s="31"/>
      <c r="B224" s="3">
        <f t="shared" si="5"/>
        <v>91</v>
      </c>
      <c r="C224" s="6">
        <v>7</v>
      </c>
      <c r="D224" s="6">
        <v>20</v>
      </c>
      <c r="E224" s="6">
        <v>12</v>
      </c>
      <c r="F224" s="6">
        <v>9</v>
      </c>
      <c r="G224" s="6">
        <v>4</v>
      </c>
      <c r="H224" s="6">
        <v>5</v>
      </c>
      <c r="I224" s="6">
        <v>11</v>
      </c>
      <c r="J224" s="6">
        <v>3</v>
      </c>
      <c r="K224" s="6">
        <v>11</v>
      </c>
      <c r="L224" s="6">
        <v>3</v>
      </c>
      <c r="M224" s="6">
        <v>3</v>
      </c>
      <c r="N224" s="6">
        <v>3</v>
      </c>
      <c r="O224" s="19" t="s">
        <v>120</v>
      </c>
    </row>
    <row r="225" spans="1:15" ht="24" customHeight="1">
      <c r="A225" s="31"/>
      <c r="B225" s="3">
        <f t="shared" ref="B225:B235" si="6">SUM(C225:N225)</f>
        <v>16</v>
      </c>
      <c r="C225" s="6">
        <v>1</v>
      </c>
      <c r="D225" s="6">
        <v>2</v>
      </c>
      <c r="E225" s="6">
        <v>1</v>
      </c>
      <c r="F225" s="6">
        <v>0</v>
      </c>
      <c r="G225" s="6">
        <v>0</v>
      </c>
      <c r="H225" s="6">
        <v>0</v>
      </c>
      <c r="I225" s="6">
        <v>1</v>
      </c>
      <c r="J225" s="6">
        <v>5</v>
      </c>
      <c r="K225" s="6">
        <v>1</v>
      </c>
      <c r="L225" s="6">
        <v>1</v>
      </c>
      <c r="M225" s="6">
        <v>2</v>
      </c>
      <c r="N225" s="6">
        <v>2</v>
      </c>
      <c r="O225" s="19" t="s">
        <v>121</v>
      </c>
    </row>
    <row r="226" spans="1:15" ht="24" customHeight="1">
      <c r="A226" s="31"/>
      <c r="B226" s="3">
        <f t="shared" si="6"/>
        <v>2</v>
      </c>
      <c r="C226" s="6">
        <v>0</v>
      </c>
      <c r="D226" s="6">
        <v>0</v>
      </c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1</v>
      </c>
      <c r="N226" s="6">
        <v>0</v>
      </c>
      <c r="O226" s="19" t="s">
        <v>122</v>
      </c>
    </row>
    <row r="227" spans="1:15" ht="24" customHeight="1">
      <c r="A227" s="31"/>
      <c r="B227" s="3">
        <f t="shared" si="6"/>
        <v>16</v>
      </c>
      <c r="C227" s="6">
        <v>2</v>
      </c>
      <c r="D227" s="6">
        <v>4</v>
      </c>
      <c r="E227" s="6">
        <v>1</v>
      </c>
      <c r="F227" s="6">
        <v>1</v>
      </c>
      <c r="G227" s="6">
        <v>0</v>
      </c>
      <c r="H227" s="6">
        <v>0</v>
      </c>
      <c r="I227" s="6">
        <v>1</v>
      </c>
      <c r="J227" s="6">
        <v>2</v>
      </c>
      <c r="K227" s="6">
        <v>1</v>
      </c>
      <c r="L227" s="6">
        <v>3</v>
      </c>
      <c r="M227" s="6">
        <v>1</v>
      </c>
      <c r="N227" s="6">
        <v>0</v>
      </c>
      <c r="O227" s="19" t="s">
        <v>123</v>
      </c>
    </row>
    <row r="228" spans="1:15" ht="24" customHeight="1">
      <c r="A228" s="31"/>
      <c r="B228" s="3">
        <f t="shared" si="6"/>
        <v>1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1</v>
      </c>
      <c r="M228" s="6">
        <v>0</v>
      </c>
      <c r="N228" s="6">
        <v>0</v>
      </c>
      <c r="O228" s="19" t="s">
        <v>161</v>
      </c>
    </row>
    <row r="229" spans="1:15" ht="24" customHeight="1">
      <c r="A229" s="31"/>
      <c r="B229" s="3">
        <f t="shared" si="6"/>
        <v>2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1</v>
      </c>
      <c r="J229" s="6">
        <v>0</v>
      </c>
      <c r="K229" s="6">
        <v>1</v>
      </c>
      <c r="L229" s="6">
        <v>0</v>
      </c>
      <c r="M229" s="6">
        <v>0</v>
      </c>
      <c r="N229" s="6">
        <v>0</v>
      </c>
      <c r="O229" s="19" t="s">
        <v>126</v>
      </c>
    </row>
    <row r="230" spans="1:15" ht="24" customHeight="1">
      <c r="A230" s="31"/>
      <c r="B230" s="3">
        <f t="shared" si="6"/>
        <v>2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1</v>
      </c>
      <c r="I230" s="6">
        <v>0</v>
      </c>
      <c r="J230" s="6">
        <v>0</v>
      </c>
      <c r="K230" s="6">
        <v>1</v>
      </c>
      <c r="L230" s="6">
        <v>0</v>
      </c>
      <c r="M230" s="6">
        <v>0</v>
      </c>
      <c r="N230" s="6">
        <v>0</v>
      </c>
      <c r="O230" s="19" t="s">
        <v>162</v>
      </c>
    </row>
    <row r="231" spans="1:15" ht="24" customHeight="1">
      <c r="A231" s="31"/>
      <c r="B231" s="3">
        <f t="shared" si="6"/>
        <v>1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1</v>
      </c>
      <c r="N231" s="6">
        <v>0</v>
      </c>
      <c r="O231" s="19" t="s">
        <v>128</v>
      </c>
    </row>
    <row r="232" spans="1:15" ht="24" customHeight="1">
      <c r="A232" s="31"/>
      <c r="B232" s="3">
        <f t="shared" si="6"/>
        <v>4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1</v>
      </c>
      <c r="L232" s="6">
        <v>2</v>
      </c>
      <c r="M232" s="6">
        <v>1</v>
      </c>
      <c r="N232" s="6">
        <v>0</v>
      </c>
      <c r="O232" s="19" t="s">
        <v>129</v>
      </c>
    </row>
    <row r="233" spans="1:15" ht="24" customHeight="1">
      <c r="A233" s="31"/>
      <c r="B233" s="3">
        <f t="shared" si="6"/>
        <v>5</v>
      </c>
      <c r="C233" s="6">
        <v>0</v>
      </c>
      <c r="D233" s="6">
        <v>0</v>
      </c>
      <c r="E233" s="6">
        <v>1</v>
      </c>
      <c r="F233" s="6">
        <v>0</v>
      </c>
      <c r="G233" s="6">
        <v>1</v>
      </c>
      <c r="H233" s="6">
        <v>0</v>
      </c>
      <c r="I233" s="6">
        <v>2</v>
      </c>
      <c r="J233" s="6">
        <v>0</v>
      </c>
      <c r="K233" s="6">
        <v>0</v>
      </c>
      <c r="L233" s="6">
        <v>1</v>
      </c>
      <c r="M233" s="6">
        <v>0</v>
      </c>
      <c r="N233" s="6">
        <v>0</v>
      </c>
      <c r="O233" s="19" t="s">
        <v>130</v>
      </c>
    </row>
    <row r="234" spans="1:15" ht="24" customHeight="1">
      <c r="A234" s="31"/>
      <c r="B234" s="3">
        <f t="shared" si="6"/>
        <v>1</v>
      </c>
      <c r="C234" s="6">
        <v>1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19" t="s">
        <v>163</v>
      </c>
    </row>
    <row r="235" spans="1:15" ht="24" customHeight="1">
      <c r="A235" s="33"/>
      <c r="B235" s="5">
        <f t="shared" si="6"/>
        <v>1</v>
      </c>
      <c r="C235" s="38">
        <v>0</v>
      </c>
      <c r="D235" s="38">
        <v>0</v>
      </c>
      <c r="E235" s="38">
        <v>0</v>
      </c>
      <c r="F235" s="38">
        <v>0</v>
      </c>
      <c r="G235" s="38">
        <v>0</v>
      </c>
      <c r="H235" s="38">
        <v>0</v>
      </c>
      <c r="I235" s="38">
        <v>0</v>
      </c>
      <c r="J235" s="38">
        <v>0</v>
      </c>
      <c r="K235" s="38">
        <v>1</v>
      </c>
      <c r="L235" s="38">
        <v>0</v>
      </c>
      <c r="M235" s="38">
        <v>0</v>
      </c>
      <c r="N235" s="38">
        <v>0</v>
      </c>
      <c r="O235" s="23" t="s">
        <v>133</v>
      </c>
    </row>
    <row r="236" spans="1:15" ht="24" customHeight="1">
      <c r="A236" s="35" t="s">
        <v>27</v>
      </c>
      <c r="B236" s="3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O236" s="17" t="s">
        <v>28</v>
      </c>
    </row>
  </sheetData>
  <mergeCells count="2">
    <mergeCell ref="A2:O2"/>
    <mergeCell ref="A126:O12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92D050"/>
  </sheetPr>
  <dimension ref="A3:E36"/>
  <sheetViews>
    <sheetView tabSelected="1" zoomScaleNormal="100" workbookViewId="0">
      <selection activeCell="AH21" sqref="AH21"/>
    </sheetView>
  </sheetViews>
  <sheetFormatPr defaultRowHeight="15"/>
  <cols>
    <col min="1" max="1" width="32" style="1" bestFit="1" customWidth="1"/>
    <col min="2" max="4" width="11.28515625" style="1" customWidth="1"/>
    <col min="5" max="5" width="56.42578125" style="1" customWidth="1"/>
    <col min="6" max="16384" width="9.140625" style="1"/>
  </cols>
  <sheetData>
    <row r="3" spans="1:5" ht="21">
      <c r="A3" s="49" t="s">
        <v>180</v>
      </c>
      <c r="B3" s="49"/>
      <c r="C3" s="49"/>
      <c r="D3" s="49"/>
      <c r="E3" s="49"/>
    </row>
    <row r="4" spans="1:5" ht="15" customHeight="1">
      <c r="A4" s="50" t="s">
        <v>175</v>
      </c>
      <c r="B4" s="50"/>
      <c r="C4" s="50"/>
      <c r="D4" s="50"/>
      <c r="E4" s="50"/>
    </row>
    <row r="6" spans="1:5">
      <c r="A6" s="47" t="s">
        <v>169</v>
      </c>
      <c r="B6" s="43" t="s">
        <v>25</v>
      </c>
      <c r="C6" s="43" t="s">
        <v>19</v>
      </c>
      <c r="D6" s="43" t="s">
        <v>20</v>
      </c>
      <c r="E6" s="48" t="s">
        <v>170</v>
      </c>
    </row>
    <row r="7" spans="1:5" ht="18.75">
      <c r="A7" s="45"/>
      <c r="B7" s="39" t="s">
        <v>168</v>
      </c>
      <c r="C7" s="39" t="s">
        <v>22</v>
      </c>
      <c r="D7" s="39" t="s">
        <v>23</v>
      </c>
      <c r="E7" s="46"/>
    </row>
    <row r="8" spans="1:5" ht="21">
      <c r="A8" s="8" t="s">
        <v>21</v>
      </c>
      <c r="B8" s="13">
        <f>SUM(C8:D8)</f>
        <v>204</v>
      </c>
      <c r="C8" s="13">
        <f>SUM(C9:C10)</f>
        <v>108</v>
      </c>
      <c r="D8" s="13">
        <f>SUM(D9:D10)</f>
        <v>96</v>
      </c>
      <c r="E8" s="14" t="s">
        <v>5</v>
      </c>
    </row>
    <row r="9" spans="1:5" ht="21">
      <c r="A9" s="7" t="s">
        <v>171</v>
      </c>
      <c r="B9" s="13">
        <f>SUM(C9:D9)</f>
        <v>62</v>
      </c>
      <c r="C9" s="7">
        <v>30</v>
      </c>
      <c r="D9" s="7">
        <v>32</v>
      </c>
      <c r="E9" s="16" t="s">
        <v>172</v>
      </c>
    </row>
    <row r="10" spans="1:5" ht="21">
      <c r="A10" s="21" t="s">
        <v>173</v>
      </c>
      <c r="B10" s="12">
        <f>SUM(C10:D10)</f>
        <v>142</v>
      </c>
      <c r="C10" s="21">
        <v>78</v>
      </c>
      <c r="D10" s="21">
        <v>64</v>
      </c>
      <c r="E10" s="42" t="s">
        <v>174</v>
      </c>
    </row>
    <row r="11" spans="1:5" ht="18.75">
      <c r="A11" s="41" t="s">
        <v>167</v>
      </c>
      <c r="E11" s="40" t="s">
        <v>166</v>
      </c>
    </row>
    <row r="15" spans="1:5" ht="21">
      <c r="A15" s="49" t="s">
        <v>179</v>
      </c>
      <c r="B15" s="49"/>
      <c r="C15" s="49"/>
      <c r="D15" s="49"/>
      <c r="E15" s="49"/>
    </row>
    <row r="16" spans="1:5" ht="15" customHeight="1">
      <c r="A16" s="50" t="s">
        <v>176</v>
      </c>
      <c r="B16" s="50"/>
      <c r="C16" s="50"/>
      <c r="D16" s="50"/>
      <c r="E16" s="50"/>
    </row>
    <row r="18" spans="1:5">
      <c r="A18" s="47" t="s">
        <v>169</v>
      </c>
      <c r="B18" s="43" t="s">
        <v>25</v>
      </c>
      <c r="C18" s="43" t="s">
        <v>19</v>
      </c>
      <c r="D18" s="43" t="s">
        <v>20</v>
      </c>
      <c r="E18" s="48" t="s">
        <v>170</v>
      </c>
    </row>
    <row r="19" spans="1:5" ht="18.75">
      <c r="A19" s="45"/>
      <c r="B19" s="39" t="s">
        <v>168</v>
      </c>
      <c r="C19" s="39" t="s">
        <v>22</v>
      </c>
      <c r="D19" s="39" t="s">
        <v>23</v>
      </c>
      <c r="E19" s="46"/>
    </row>
    <row r="20" spans="1:5" ht="21">
      <c r="A20" s="8" t="s">
        <v>21</v>
      </c>
      <c r="B20" s="13">
        <f>SUM(C20:D20)</f>
        <v>218</v>
      </c>
      <c r="C20" s="13">
        <f>SUM(C21:C22)</f>
        <v>127</v>
      </c>
      <c r="D20" s="13">
        <f>SUM(D21:D22)</f>
        <v>91</v>
      </c>
      <c r="E20" s="14" t="s">
        <v>5</v>
      </c>
    </row>
    <row r="21" spans="1:5" ht="21">
      <c r="A21" s="7" t="s">
        <v>171</v>
      </c>
      <c r="B21" s="13">
        <f>SUM(C21:D21)</f>
        <v>83</v>
      </c>
      <c r="C21" s="7">
        <v>52</v>
      </c>
      <c r="D21" s="7">
        <v>31</v>
      </c>
      <c r="E21" s="16" t="s">
        <v>172</v>
      </c>
    </row>
    <row r="22" spans="1:5" ht="21">
      <c r="A22" s="21" t="s">
        <v>173</v>
      </c>
      <c r="B22" s="12">
        <f>SUM(C22:D22)</f>
        <v>135</v>
      </c>
      <c r="C22" s="21">
        <v>75</v>
      </c>
      <c r="D22" s="21">
        <v>60</v>
      </c>
      <c r="E22" s="42" t="s">
        <v>174</v>
      </c>
    </row>
    <row r="23" spans="1:5" ht="18.75">
      <c r="A23" s="41" t="s">
        <v>167</v>
      </c>
      <c r="E23" s="40" t="s">
        <v>166</v>
      </c>
    </row>
    <row r="27" spans="1:5">
      <c r="B27" s="22"/>
    </row>
    <row r="28" spans="1:5" ht="21">
      <c r="A28" s="49" t="s">
        <v>178</v>
      </c>
      <c r="B28" s="49"/>
      <c r="C28" s="49"/>
      <c r="D28" s="49"/>
      <c r="E28" s="49"/>
    </row>
    <row r="29" spans="1:5">
      <c r="A29" s="50" t="s">
        <v>177</v>
      </c>
      <c r="B29" s="50"/>
      <c r="C29" s="50"/>
      <c r="D29" s="50"/>
      <c r="E29" s="50"/>
    </row>
    <row r="31" spans="1:5">
      <c r="A31" s="47" t="s">
        <v>169</v>
      </c>
      <c r="B31" s="43" t="s">
        <v>25</v>
      </c>
      <c r="C31" s="43" t="s">
        <v>19</v>
      </c>
      <c r="D31" s="43" t="s">
        <v>20</v>
      </c>
      <c r="E31" s="48" t="s">
        <v>170</v>
      </c>
    </row>
    <row r="32" spans="1:5" ht="18.75">
      <c r="A32" s="45"/>
      <c r="B32" s="39" t="s">
        <v>168</v>
      </c>
      <c r="C32" s="39" t="s">
        <v>22</v>
      </c>
      <c r="D32" s="39" t="s">
        <v>23</v>
      </c>
      <c r="E32" s="46"/>
    </row>
    <row r="33" spans="1:5" ht="21">
      <c r="A33" s="8" t="s">
        <v>21</v>
      </c>
      <c r="B33" s="13">
        <f>SUM(C33:D33)</f>
        <v>157</v>
      </c>
      <c r="C33" s="13">
        <f>SUM(C34:C35)</f>
        <v>80</v>
      </c>
      <c r="D33" s="13">
        <f>SUM(D34:D35)</f>
        <v>77</v>
      </c>
      <c r="E33" s="14" t="s">
        <v>5</v>
      </c>
    </row>
    <row r="34" spans="1:5" ht="21">
      <c r="A34" s="7" t="s">
        <v>171</v>
      </c>
      <c r="B34" s="13">
        <f>SUM(C34:D34)</f>
        <v>84</v>
      </c>
      <c r="C34" s="7">
        <v>51</v>
      </c>
      <c r="D34" s="7">
        <v>33</v>
      </c>
      <c r="E34" s="16" t="s">
        <v>172</v>
      </c>
    </row>
    <row r="35" spans="1:5" ht="21">
      <c r="A35" s="21" t="s">
        <v>173</v>
      </c>
      <c r="B35" s="12">
        <f>SUM(C35:D35)</f>
        <v>73</v>
      </c>
      <c r="C35" s="21">
        <v>29</v>
      </c>
      <c r="D35" s="21">
        <v>44</v>
      </c>
      <c r="E35" s="42" t="s">
        <v>174</v>
      </c>
    </row>
    <row r="36" spans="1:5" ht="18.75">
      <c r="A36" s="41" t="s">
        <v>167</v>
      </c>
      <c r="E36" s="40" t="s">
        <v>166</v>
      </c>
    </row>
  </sheetData>
  <mergeCells count="12">
    <mergeCell ref="A16:E16"/>
    <mergeCell ref="A3:E3"/>
    <mergeCell ref="A4:E4"/>
    <mergeCell ref="A6:A7"/>
    <mergeCell ref="E6:E7"/>
    <mergeCell ref="A15:E15"/>
    <mergeCell ref="A18:A19"/>
    <mergeCell ref="E18:E19"/>
    <mergeCell ref="A28:E28"/>
    <mergeCell ref="A29:E29"/>
    <mergeCell ref="A31:A32"/>
    <mergeCell ref="E31:E32"/>
  </mergeCells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8.51</vt:lpstr>
      <vt:lpstr>8.69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2023-05-16T14:24:51Z</cp:lastPrinted>
  <dcterms:created xsi:type="dcterms:W3CDTF">2019-06-30T04:22:49Z</dcterms:created>
  <dcterms:modified xsi:type="dcterms:W3CDTF">2023-05-16T14:25:01Z</dcterms:modified>
</cp:coreProperties>
</file>