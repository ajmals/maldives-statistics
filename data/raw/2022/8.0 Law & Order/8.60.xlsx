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F8313A94-DF8C-437B-8C47-0A66052D0A79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0" sheetId="93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93" l="1"/>
  <c r="L5" i="93"/>
  <c r="K5" i="93"/>
  <c r="J5" i="93"/>
  <c r="I5" i="93"/>
  <c r="H5" i="93"/>
  <c r="G5" i="93"/>
  <c r="F5" i="93"/>
  <c r="E5" i="93"/>
  <c r="D5" i="93"/>
  <c r="C5" i="93"/>
  <c r="B5" i="93"/>
</calcChain>
</file>

<file path=xl/sharedStrings.xml><?xml version="1.0" encoding="utf-8"?>
<sst xmlns="http://schemas.openxmlformats.org/spreadsheetml/2006/main" count="27" uniqueCount="27">
  <si>
    <t>Total</t>
  </si>
  <si>
    <t>Others</t>
  </si>
  <si>
    <t>އެހެނިހެން</t>
  </si>
  <si>
    <t>ޖުމްލަ</t>
  </si>
  <si>
    <t>ކުރެވޭ އަނިޔާގެ ބާވަތް</t>
  </si>
  <si>
    <t>Physical Abuse</t>
  </si>
  <si>
    <t>Sexual Abuse</t>
  </si>
  <si>
    <t>Neglect</t>
  </si>
  <si>
    <t xml:space="preserve">Types of abuse </t>
  </si>
  <si>
    <t>އަޅާނުލުން</t>
  </si>
  <si>
    <t>ޖިސްމާނީ އަނިޔާ</t>
  </si>
  <si>
    <t>Emotional Abuse</t>
  </si>
  <si>
    <t>ނަފްސާނީ އަނިޔާ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</si>
  <si>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</si>
  <si>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</si>
  <si>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</si>
  <si>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</si>
  <si>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</si>
  <si>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</si>
  <si>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</si>
  <si>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</si>
  <si>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</si>
  <si>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</si>
  <si>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</si>
  <si>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</si>
  <si>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8.60: NUMBER OF REPORTED CHILD ABUSE  CASES (UNDER 18) BY TYPE, 2009 - 2020</t>
  </si>
  <si>
    <t>ތާވަލު 8.60: ކުޑަކުދިންނަށް ކުރާ އަނިޔާއާއިބެހޭގޮތުން ހުށަހެޅިފައިވާ މައްސަލަތައް، 2009 - 2020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</si>
</sst>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2" fillId="0" borderId="2" applyNumberFormat="0" applyFill="0" applyAlignment="0" applyProtection="0"/>
    <xf numFmtId="0" fontId="10" fillId="0" borderId="0"/>
    <xf numFmtId="0" fontId="10" fillId="0" borderId="0"/>
  </cellStyleXfs>
  <cellXfs count="27">
    <xf numFmtId="0" fontId="0" fillId="0" borderId="0" xfId="0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/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 readingOrder="2"/>
    </xf>
    <xf numFmtId="166" fontId="11" fillId="2" borderId="3" xfId="1" applyNumberFormat="1" applyFont="1" applyFill="1" applyBorder="1" applyAlignment="1">
      <alignment vertical="center" wrapText="1"/>
    </xf>
    <xf numFmtId="166" fontId="2" fillId="2" borderId="3" xfId="1" applyNumberFormat="1" applyFont="1" applyFill="1" applyBorder="1" applyAlignment="1">
      <alignment horizontal="right" vertical="center" wrapText="1"/>
    </xf>
    <xf numFmtId="166" fontId="5" fillId="2" borderId="3" xfId="1" applyNumberFormat="1" applyFont="1" applyFill="1" applyBorder="1" applyAlignment="1">
      <alignment horizontal="right" vertical="center" wrapText="1"/>
    </xf>
    <xf numFmtId="166" fontId="13" fillId="2" borderId="3" xfId="1" applyNumberFormat="1" applyFont="1" applyFill="1" applyBorder="1" applyAlignment="1">
      <alignment vertical="center" wrapText="1" readingOrder="2"/>
    </xf>
    <xf numFmtId="166" fontId="15" fillId="2" borderId="0" xfId="1" applyNumberFormat="1" applyFont="1" applyFill="1"/>
    <xf numFmtId="166" fontId="9" fillId="2" borderId="0" xfId="1" applyNumberFormat="1" applyFont="1" applyFill="1" applyAlignment="1">
      <alignment vertical="center" wrapText="1"/>
    </xf>
    <xf numFmtId="166" fontId="3" fillId="2" borderId="0" xfId="1" applyNumberFormat="1" applyFont="1" applyFill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center" wrapText="1"/>
    </xf>
    <xf numFmtId="166" fontId="14" fillId="2" borderId="0" xfId="1" applyNumberFormat="1" applyFont="1" applyFill="1" applyAlignment="1">
      <alignment vertical="center" wrapText="1" readingOrder="2"/>
    </xf>
    <xf numFmtId="166" fontId="16" fillId="2" borderId="0" xfId="1" applyNumberFormat="1" applyFont="1" applyFill="1"/>
    <xf numFmtId="166" fontId="9" fillId="2" borderId="1" xfId="1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horizontal="right" vertical="center" wrapText="1"/>
    </xf>
    <xf numFmtId="166" fontId="14" fillId="2" borderId="1" xfId="1" applyNumberFormat="1" applyFont="1" applyFill="1" applyBorder="1" applyAlignment="1">
      <alignment vertical="center" wrapText="1" readingOrder="2"/>
    </xf>
    <xf numFmtId="164" fontId="14" fillId="2" borderId="0" xfId="0" applyNumberFormat="1" applyFont="1" applyFill="1" applyAlignment="1">
      <alignment vertical="top" wrapText="1" readingOrder="2"/>
    </xf>
    <xf numFmtId="166" fontId="14" fillId="2" borderId="0" xfId="1" applyNumberFormat="1" applyFont="1" applyFill="1" applyBorder="1" applyAlignment="1">
      <alignment vertical="center" wrapText="1" readingOrder="2"/>
    </xf>
    <xf numFmtId="164" fontId="13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left" vertical="center"/>
    </xf>
    <xf numFmtId="164" fontId="14" fillId="2" borderId="3" xfId="0" applyNumberFormat="1" applyFont="1" applyFill="1" applyBorder="1" applyAlignment="1">
      <alignment horizontal="right" vertical="top" wrapText="1" readingOrder="2"/>
    </xf>
    <xf numFmtId="164" fontId="8" fillId="2" borderId="3" xfId="0" applyNumberFormat="1" applyFont="1" applyFill="1" applyBorder="1" applyAlignment="1">
      <alignment horizontal="lef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23931371486141E-2"/>
          <c:y val="0.15358178053830226"/>
          <c:w val="0.90460956742808629"/>
          <c:h val="0.69555107020073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'8.60'!$K$4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'8.60'!$K$6:$K$14</c:f>
              <c:numCache>
                <c:formatCode>_-* #,##0_-;\-* #,##0_-;_-* "-"??_-;_-@_-</c:formatCode>
                <c:ptCount val="9"/>
                <c:pt idx="0">
                  <c:v>351</c:v>
                </c:pt>
                <c:pt idx="1">
                  <c:v>316</c:v>
                </c:pt>
                <c:pt idx="2">
                  <c:v>113</c:v>
                </c:pt>
                <c:pt idx="3">
                  <c:v>358</c:v>
                </c:pt>
                <c:pt idx="4">
                  <c:v>31</c:v>
                </c:pt>
                <c:pt idx="5">
                  <c:v>27</c:v>
                </c:pt>
                <c:pt idx="6">
                  <c:v>55</c:v>
                </c:pt>
                <c:pt idx="7">
                  <c:v>19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A-49F3-848D-55904788DBEE}"/>
            </c:ext>
          </c:extLst>
        </c:ser>
        <c:ser>
          <c:idx val="1"/>
          <c:order val="1"/>
          <c:tx>
            <c:strRef>
              <c:f>'8.60'!$L$4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'8.60'!$L$6:$L$14</c:f>
              <c:numCache>
                <c:formatCode>_-* #,##0_-;\-* #,##0_-;_-* "-"??_-;_-@_-</c:formatCode>
                <c:ptCount val="9"/>
                <c:pt idx="0">
                  <c:v>410</c:v>
                </c:pt>
                <c:pt idx="1">
                  <c:v>299</c:v>
                </c:pt>
                <c:pt idx="2">
                  <c:v>144</c:v>
                </c:pt>
                <c:pt idx="3">
                  <c:v>360</c:v>
                </c:pt>
                <c:pt idx="4">
                  <c:v>32</c:v>
                </c:pt>
                <c:pt idx="5">
                  <c:v>13</c:v>
                </c:pt>
                <c:pt idx="6">
                  <c:v>65</c:v>
                </c:pt>
                <c:pt idx="7">
                  <c:v>29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A-49F3-848D-55904788DBEE}"/>
            </c:ext>
          </c:extLst>
        </c:ser>
        <c:ser>
          <c:idx val="2"/>
          <c:order val="2"/>
          <c:tx>
            <c:strRef>
              <c:f>'8.60'!$M$4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f>'8.60'!$A$6:$A$14</c:f>
              <c:strCache>
                <c:ptCount val="9"/>
                <c:pt idx="0">
                  <c:v> Neglect </c:v>
                </c:pt>
                <c:pt idx="1">
                  <c:v> Physical Abuse </c:v>
                </c:pt>
                <c:pt idx="2">
                  <c:v> Emotional Abuse </c:v>
                </c:pt>
                <c:pt idx="3">
                  <c:v> Sexual Abuse </c:v>
                </c:pt>
                <c:pt idx="4">
                  <c:v> Bullying </c:v>
                </c:pt>
                <c:pt idx="5">
                  <c:v> Harrasment </c:v>
                </c:pt>
                <c:pt idx="6">
                  <c:v> Witness to Domestic Violence </c:v>
                </c:pt>
                <c:pt idx="7">
                  <c:v> Cyber Bullying </c:v>
                </c:pt>
                <c:pt idx="8">
                  <c:v> Others </c:v>
                </c:pt>
              </c:strCache>
            </c:strRef>
          </c:cat>
          <c:val>
            <c:numRef>
              <c:f>'8.60'!$M$6:$M$14</c:f>
              <c:numCache>
                <c:formatCode>_-* #,##0_-;\-* #,##0_-;_-* "-"??_-;_-@_-</c:formatCode>
                <c:ptCount val="9"/>
                <c:pt idx="0">
                  <c:v>331</c:v>
                </c:pt>
                <c:pt idx="1">
                  <c:v>252</c:v>
                </c:pt>
                <c:pt idx="2">
                  <c:v>83</c:v>
                </c:pt>
                <c:pt idx="3">
                  <c:v>461</c:v>
                </c:pt>
                <c:pt idx="4">
                  <c:v>13</c:v>
                </c:pt>
                <c:pt idx="5">
                  <c:v>15</c:v>
                </c:pt>
                <c:pt idx="6">
                  <c:v>89</c:v>
                </c:pt>
                <c:pt idx="7">
                  <c:v>19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A-49F3-848D-55904788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364845232"/>
        <c:axId val="367349824"/>
        <c:extLst/>
      </c:barChart>
      <c:catAx>
        <c:axId val="3648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49824"/>
        <c:crosses val="autoZero"/>
        <c:auto val="1"/>
        <c:lblAlgn val="ctr"/>
        <c:lblOffset val="100"/>
        <c:noMultiLvlLbl val="0"/>
      </c:catAx>
      <c:valAx>
        <c:axId val="3673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45232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10406097503462"/>
          <c:y val="0.22330442497504716"/>
          <c:w val="0.3575159175909815"/>
          <c:h val="7.020368932756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'8.60'!$B$4:$M$4</c:f>
              <c:numCache>
                <c:formatCode>General_)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'8.60'!$B$5:$M$5</c:f>
              <c:numCache>
                <c:formatCode>_-* #,##0_-;\-* #,##0_-;_-* "-"??_-;_-@_-</c:formatCode>
                <c:ptCount val="4"/>
                <c:pt idx="0">
                  <c:v>1412</c:v>
                </c:pt>
                <c:pt idx="1">
                  <c:v>1309</c:v>
                </c:pt>
                <c:pt idx="2">
                  <c:v>1375</c:v>
                </c:pt>
                <c:pt idx="3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E-4510-8435-EB13AA9D6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812576"/>
        <c:axId val="366812968"/>
      </c:barChart>
      <c:catAx>
        <c:axId val="3668125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968"/>
        <c:crosses val="autoZero"/>
        <c:auto val="1"/>
        <c:lblAlgn val="ctr"/>
        <c:lblOffset val="100"/>
        <c:noMultiLvlLbl val="0"/>
      </c:catAx>
      <c:valAx>
        <c:axId val="36681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E2D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25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17</xdr:row>
      <xdr:rowOff>38100</xdr:rowOff>
    </xdr:from>
    <xdr:to>
      <xdr:col>13</xdr:col>
      <xdr:colOff>2647950</xdr:colOff>
      <xdr:row>27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28</xdr:row>
      <xdr:rowOff>174938</xdr:rowOff>
    </xdr:from>
    <xdr:to>
      <xdr:col>13</xdr:col>
      <xdr:colOff>2705100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0.22314</cdr:x>
      <cdr:y>0.04527</cdr:y>
    </cdr:from>
    <cdr:to>
      <cdr:x>0.90945</cdr:x>
      <cdr:y>0.13226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3051" y="153088"/>
          <a:ext cx="4745927" cy="294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2018 - 2020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0.25766</cdr:x>
      <cdr:y>0.02804</cdr:y>
    </cdr:from>
    <cdr:to>
      <cdr:x>0.84488</cdr:x>
      <cdr:y>0.11869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22566" y="85725"/>
          <a:ext cx="3925759" cy="277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2017 - 2020</a:t>
          </a:r>
          <a:endParaRPr lang="en-US" sz="105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Q19"/>
  <sheetViews>
    <sheetView tabSelected="1" zoomScaleNormal="100" workbookViewId="0">
      <selection activeCell="AT13" sqref="AT13"/>
    </sheetView>
  </sheetViews>
  <sheetFormatPr defaultColWidth="9.140625" defaultRowHeight="24.75" customHeight="1"/>
  <cols>
    <col min="1" max="1" width="29.85546875" style="1" customWidth="1"/>
    <col min="2" max="9" width="10.7109375" style="1" hidden="1" customWidth="1"/>
    <col min="10" max="13" width="10.7109375" style="1" customWidth="1"/>
    <col min="14" max="14" width="34" style="1" customWidth="1"/>
    <col min="15" max="16384" width="9.140625" style="1"/>
  </cols>
  <sheetData>
    <row r="1" spans="1:17" ht="18" customHeight="1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7" ht="22.5" customHeight="1">
      <c r="A2" s="23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Q2" s="3"/>
    </row>
    <row r="3" spans="1:17" ht="24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7" ht="20.25" customHeight="1">
      <c r="A4" s="4" t="s">
        <v>8</v>
      </c>
      <c r="B4" s="5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5">
        <v>2019</v>
      </c>
      <c r="M4" s="5">
        <v>2020</v>
      </c>
      <c r="N4" s="6" t="s">
        <v>4</v>
      </c>
    </row>
    <row r="5" spans="1:17" s="11" customFormat="1" ht="24.75" customHeight="1">
      <c r="A5" s="7" t="s">
        <v>0</v>
      </c>
      <c r="B5" s="8">
        <f t="shared" ref="B5:H5" si="0">SUM(B6:B9)</f>
        <v>314</v>
      </c>
      <c r="C5" s="8">
        <f t="shared" si="0"/>
        <v>331</v>
      </c>
      <c r="D5" s="8">
        <f t="shared" si="0"/>
        <v>485</v>
      </c>
      <c r="E5" s="8">
        <f t="shared" si="0"/>
        <v>654</v>
      </c>
      <c r="F5" s="8">
        <f t="shared" si="0"/>
        <v>440</v>
      </c>
      <c r="G5" s="8">
        <f t="shared" si="0"/>
        <v>624</v>
      </c>
      <c r="H5" s="8">
        <f t="shared" si="0"/>
        <v>642</v>
      </c>
      <c r="I5" s="8">
        <f>SUM(I6:I9)</f>
        <v>1095</v>
      </c>
      <c r="J5" s="8">
        <f>SUM(J6:J14)</f>
        <v>1412</v>
      </c>
      <c r="K5" s="9">
        <f>SUM(K6:K14)</f>
        <v>1309</v>
      </c>
      <c r="L5" s="9">
        <f>SUM(L6:L14)</f>
        <v>1375</v>
      </c>
      <c r="M5" s="9">
        <f>SUM(M6:M14)</f>
        <v>1283</v>
      </c>
      <c r="N5" s="10" t="s">
        <v>3</v>
      </c>
    </row>
    <row r="6" spans="1:17" s="16" customFormat="1" ht="24.75" customHeight="1">
      <c r="A6" s="12" t="s">
        <v>7</v>
      </c>
      <c r="B6" s="13">
        <v>75</v>
      </c>
      <c r="C6" s="13">
        <v>102</v>
      </c>
      <c r="D6" s="13">
        <v>156</v>
      </c>
      <c r="E6" s="13">
        <v>141</v>
      </c>
      <c r="F6" s="13">
        <v>116</v>
      </c>
      <c r="G6" s="13">
        <v>120</v>
      </c>
      <c r="H6" s="13">
        <v>227</v>
      </c>
      <c r="I6" s="13">
        <v>287</v>
      </c>
      <c r="J6" s="13">
        <v>297</v>
      </c>
      <c r="K6" s="13">
        <v>351</v>
      </c>
      <c r="L6" s="13">
        <v>410</v>
      </c>
      <c r="M6" s="14">
        <v>331</v>
      </c>
      <c r="N6" s="15" t="s">
        <v>9</v>
      </c>
    </row>
    <row r="7" spans="1:17" s="16" customFormat="1" ht="24.75" customHeight="1">
      <c r="A7" s="12" t="s">
        <v>5</v>
      </c>
      <c r="B7" s="13">
        <v>76</v>
      </c>
      <c r="C7" s="13">
        <v>69</v>
      </c>
      <c r="D7" s="13">
        <v>96</v>
      </c>
      <c r="E7" s="13">
        <v>159</v>
      </c>
      <c r="F7" s="13">
        <v>110</v>
      </c>
      <c r="G7" s="13">
        <v>139</v>
      </c>
      <c r="H7" s="13">
        <v>245</v>
      </c>
      <c r="I7" s="13">
        <v>324</v>
      </c>
      <c r="J7" s="13">
        <v>354</v>
      </c>
      <c r="K7" s="13">
        <v>316</v>
      </c>
      <c r="L7" s="13">
        <v>299</v>
      </c>
      <c r="M7" s="14">
        <v>252</v>
      </c>
      <c r="N7" s="21" t="s">
        <v>10</v>
      </c>
    </row>
    <row r="8" spans="1:17" s="16" customFormat="1" ht="24.75" customHeight="1">
      <c r="A8" s="12" t="s">
        <v>11</v>
      </c>
      <c r="B8" s="13">
        <v>30</v>
      </c>
      <c r="C8" s="13">
        <v>93</v>
      </c>
      <c r="D8" s="13">
        <v>146</v>
      </c>
      <c r="E8" s="13">
        <v>59</v>
      </c>
      <c r="F8" s="13">
        <v>170</v>
      </c>
      <c r="G8" s="13">
        <v>65</v>
      </c>
      <c r="H8" s="13">
        <v>72</v>
      </c>
      <c r="I8" s="13">
        <v>142</v>
      </c>
      <c r="J8" s="13">
        <v>182</v>
      </c>
      <c r="K8" s="13">
        <v>113</v>
      </c>
      <c r="L8" s="13">
        <v>144</v>
      </c>
      <c r="M8" s="14">
        <v>83</v>
      </c>
      <c r="N8" s="21" t="s">
        <v>12</v>
      </c>
    </row>
    <row r="9" spans="1:17" s="16" customFormat="1" ht="24.75" customHeight="1">
      <c r="A9" s="12" t="s">
        <v>6</v>
      </c>
      <c r="B9" s="13">
        <v>133</v>
      </c>
      <c r="C9" s="13">
        <v>67</v>
      </c>
      <c r="D9" s="13">
        <v>87</v>
      </c>
      <c r="E9" s="13">
        <v>295</v>
      </c>
      <c r="F9" s="13">
        <v>44</v>
      </c>
      <c r="G9" s="13">
        <v>300</v>
      </c>
      <c r="H9" s="13">
        <v>98</v>
      </c>
      <c r="I9" s="13">
        <v>342</v>
      </c>
      <c r="J9" s="13">
        <v>418</v>
      </c>
      <c r="K9" s="13">
        <v>358</v>
      </c>
      <c r="L9" s="13">
        <v>360</v>
      </c>
      <c r="M9" s="14">
        <v>461</v>
      </c>
      <c r="N9" s="21" t="s">
        <v>13</v>
      </c>
    </row>
    <row r="10" spans="1:17" s="16" customFormat="1" ht="24.75" customHeight="1">
      <c r="A10" s="12" t="s">
        <v>14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39</v>
      </c>
      <c r="K10" s="13">
        <v>31</v>
      </c>
      <c r="L10" s="13">
        <v>32</v>
      </c>
      <c r="M10" s="14">
        <v>13</v>
      </c>
      <c r="N10" s="21" t="s">
        <v>15</v>
      </c>
    </row>
    <row r="11" spans="1:17" s="16" customFormat="1" ht="24.75" customHeight="1">
      <c r="A11" s="12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12</v>
      </c>
      <c r="K11" s="13">
        <v>27</v>
      </c>
      <c r="L11" s="13">
        <v>13</v>
      </c>
      <c r="M11" s="14">
        <v>15</v>
      </c>
      <c r="N11" s="21" t="s">
        <v>17</v>
      </c>
    </row>
    <row r="12" spans="1:17" s="16" customFormat="1" ht="39" customHeight="1">
      <c r="A12" s="12" t="s">
        <v>18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48</v>
      </c>
      <c r="K12" s="13">
        <v>55</v>
      </c>
      <c r="L12" s="13">
        <v>65</v>
      </c>
      <c r="M12" s="14">
        <v>89</v>
      </c>
      <c r="N12" s="21" t="s">
        <v>19</v>
      </c>
    </row>
    <row r="13" spans="1:17" s="16" customFormat="1" ht="39" customHeight="1">
      <c r="A13" s="12" t="s">
        <v>20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10</v>
      </c>
      <c r="K13" s="13">
        <v>19</v>
      </c>
      <c r="L13" s="13">
        <v>29</v>
      </c>
      <c r="M13" s="14">
        <v>19</v>
      </c>
      <c r="N13" s="21" t="s">
        <v>21</v>
      </c>
    </row>
    <row r="14" spans="1:17" s="16" customFormat="1" ht="24.75" customHeight="1">
      <c r="A14" s="17" t="s">
        <v>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8">
        <v>52</v>
      </c>
      <c r="K14" s="18">
        <v>39</v>
      </c>
      <c r="L14" s="18">
        <v>23</v>
      </c>
      <c r="M14" s="18">
        <v>20</v>
      </c>
      <c r="N14" s="19" t="s">
        <v>2</v>
      </c>
    </row>
    <row r="15" spans="1:17" ht="24.75" customHeight="1">
      <c r="A15" s="26" t="s">
        <v>22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0"/>
      <c r="M15" s="25" t="s">
        <v>23</v>
      </c>
      <c r="N15" s="25"/>
      <c r="Q15" s="16"/>
    </row>
    <row r="16" spans="1:17" ht="24.75" customHeight="1">
      <c r="A16" s="24" t="s">
        <v>24</v>
      </c>
      <c r="B16" s="24"/>
      <c r="C16" s="24"/>
      <c r="D16" s="24"/>
      <c r="E16" s="24"/>
      <c r="F16" s="24"/>
      <c r="G16" s="24"/>
      <c r="H16" s="24"/>
      <c r="I16" s="24"/>
      <c r="Q16" s="16"/>
    </row>
    <row r="17" spans="17:17" ht="24.75" customHeight="1">
      <c r="Q17" s="16"/>
    </row>
    <row r="18" spans="17:17" ht="24.75" customHeight="1">
      <c r="Q18" s="16"/>
    </row>
    <row r="19" spans="17:17" ht="24.75" customHeight="1">
      <c r="Q19" s="16"/>
    </row>
  </sheetData>
  <mergeCells count="5">
    <mergeCell ref="A1:N1"/>
    <mergeCell ref="A2:N2"/>
    <mergeCell ref="A16:I16"/>
    <mergeCell ref="M15:N15"/>
    <mergeCell ref="A15:K15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2023-05-16T14:18:06Z</cp:lastPrinted>
  <dcterms:created xsi:type="dcterms:W3CDTF">2019-06-30T04:22:49Z</dcterms:created>
  <dcterms:modified xsi:type="dcterms:W3CDTF">2023-05-16T14:18:13Z</dcterms:modified>
</cp:coreProperties>
</file>