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A61EF935-E954-488E-A3A5-393830DE42F0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5" sheetId="120" r:id="rId1"/>
  </sheets>
  <externalReferences>
    <externalReference r:id="rId2"/>
    <externalReference r:id="rId3"/>
    <externalReference r:id="rId4"/>
  </externalReferences>
  <definedNames>
    <definedName name="_xlnm.Print_Area" localSheetId="0">'8.65'!$A$1:$W$16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" i="120" l="1"/>
  <c r="Q15" i="120"/>
  <c r="N15" i="120"/>
  <c r="K15" i="120"/>
  <c r="H15" i="120"/>
  <c r="E15" i="120"/>
  <c r="B15" i="120"/>
  <c r="T14" i="120"/>
  <c r="Q14" i="120"/>
  <c r="N14" i="120"/>
  <c r="K14" i="120"/>
  <c r="H14" i="120"/>
  <c r="E14" i="120"/>
  <c r="B14" i="120"/>
  <c r="T13" i="120"/>
  <c r="Q13" i="120"/>
  <c r="N13" i="120"/>
  <c r="K13" i="120"/>
  <c r="H13" i="120"/>
  <c r="E13" i="120"/>
  <c r="B13" i="120"/>
  <c r="T12" i="120"/>
  <c r="Q12" i="120"/>
  <c r="N12" i="120"/>
  <c r="K12" i="120"/>
  <c r="H12" i="120"/>
  <c r="E12" i="120"/>
  <c r="B12" i="120"/>
  <c r="T11" i="120"/>
  <c r="Q11" i="120"/>
  <c r="N11" i="120"/>
  <c r="K11" i="120"/>
  <c r="H11" i="120"/>
  <c r="E11" i="120"/>
  <c r="B11" i="120"/>
  <c r="T10" i="120"/>
  <c r="Q10" i="120"/>
  <c r="N10" i="120"/>
  <c r="K10" i="120"/>
  <c r="H10" i="120"/>
  <c r="E10" i="120"/>
  <c r="B10" i="120"/>
  <c r="T9" i="120"/>
  <c r="Q9" i="120"/>
  <c r="N9" i="120"/>
  <c r="K9" i="120"/>
  <c r="H9" i="120"/>
  <c r="E9" i="120"/>
  <c r="B9" i="120"/>
  <c r="V8" i="120"/>
  <c r="U8" i="120"/>
  <c r="T8" i="120" s="1"/>
  <c r="S8" i="120"/>
  <c r="R8" i="120"/>
  <c r="Q8" i="120" s="1"/>
  <c r="P8" i="120"/>
  <c r="N8" i="120" s="1"/>
  <c r="O8" i="120"/>
  <c r="K8" i="120"/>
  <c r="J8" i="120"/>
  <c r="H8" i="120" s="1"/>
  <c r="I8" i="120"/>
  <c r="G8" i="120"/>
  <c r="F8" i="120"/>
  <c r="E8" i="120" s="1"/>
  <c r="D8" i="120"/>
  <c r="B8" i="120" s="1"/>
  <c r="C8" i="120"/>
</calcChain>
</file>

<file path=xl/sharedStrings.xml><?xml version="1.0" encoding="utf-8"?>
<sst xmlns="http://schemas.openxmlformats.org/spreadsheetml/2006/main" count="41" uniqueCount="17">
  <si>
    <t>Total</t>
  </si>
  <si>
    <t>Both Sexes</t>
  </si>
  <si>
    <t>Male</t>
  </si>
  <si>
    <t>Female</t>
  </si>
  <si>
    <t>1 - 4</t>
  </si>
  <si>
    <t>5</t>
  </si>
  <si>
    <t>6 - 9</t>
  </si>
  <si>
    <t>10 - 14</t>
  </si>
  <si>
    <t>15</t>
  </si>
  <si>
    <t>16 - 18</t>
  </si>
  <si>
    <t>Age group</t>
  </si>
  <si>
    <t>Less than 1 year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</si>
  <si>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</si>
  <si>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</si>
  <si>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Number of Children</t>
  </si>
  <si>
    <t>Table 8.65: Number of cases reported  to ministry  by age group and sex, 2014 - 2019</t>
  </si>
  <si>
    <t>ތާވަލު 8.65: މިނިސްޓްރީ އޮފް ޖެންޑަރ އެންޑް ފެމިލީއަށް ހުށައެޅިފައިވާ މައްސަލަތަކުގެ އަދަދު، 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</si>
</sst>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7" fillId="0" borderId="0"/>
    <xf numFmtId="0" fontId="9" fillId="0" borderId="7" applyNumberFormat="0" applyFill="0" applyAlignment="0" applyProtection="0"/>
    <xf numFmtId="0" fontId="7" fillId="0" borderId="0"/>
    <xf numFmtId="0" fontId="7" fillId="0" borderId="0"/>
  </cellStyleXfs>
  <cellXfs count="30">
    <xf numFmtId="0" fontId="0" fillId="0" borderId="0" xfId="0"/>
    <xf numFmtId="164" fontId="6" fillId="2" borderId="0" xfId="0" applyNumberFormat="1" applyFont="1" applyFill="1"/>
    <xf numFmtId="3" fontId="6" fillId="2" borderId="0" xfId="0" applyNumberFormat="1" applyFont="1" applyFill="1"/>
    <xf numFmtId="164" fontId="2" fillId="2" borderId="0" xfId="0" applyNumberFormat="1" applyFont="1" applyFill="1"/>
    <xf numFmtId="164" fontId="1" fillId="2" borderId="1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vertical="top" readingOrder="2"/>
    </xf>
    <xf numFmtId="164" fontId="10" fillId="2" borderId="0" xfId="0" applyNumberFormat="1" applyFont="1" applyFill="1" applyAlignment="1">
      <alignment vertical="center" readingOrder="2"/>
    </xf>
    <xf numFmtId="164" fontId="3" fillId="2" borderId="8" xfId="0" applyNumberFormat="1" applyFont="1" applyFill="1" applyBorder="1" applyAlignment="1">
      <alignment vertical="top"/>
    </xf>
    <xf numFmtId="164" fontId="11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left" vertical="center" indent="1"/>
    </xf>
    <xf numFmtId="3" fontId="8" fillId="2" borderId="2" xfId="0" applyNumberFormat="1" applyFont="1" applyFill="1" applyBorder="1"/>
    <xf numFmtId="3" fontId="8" fillId="2" borderId="8" xfId="0" applyNumberFormat="1" applyFont="1" applyFill="1" applyBorder="1"/>
    <xf numFmtId="0" fontId="6" fillId="2" borderId="0" xfId="4" applyFont="1" applyFill="1" applyAlignment="1">
      <alignment horizontal="left" vertical="center" indent="2"/>
    </xf>
    <xf numFmtId="3" fontId="6" fillId="2" borderId="4" xfId="0" applyNumberFormat="1" applyFont="1" applyFill="1" applyBorder="1"/>
    <xf numFmtId="49" fontId="6" fillId="2" borderId="0" xfId="4" applyNumberFormat="1" applyFont="1" applyFill="1" applyAlignment="1">
      <alignment horizontal="left" vertical="center" indent="2"/>
    </xf>
    <xf numFmtId="49" fontId="6" fillId="2" borderId="1" xfId="4" applyNumberFormat="1" applyFont="1" applyFill="1" applyBorder="1" applyAlignment="1">
      <alignment horizontal="left" vertical="center" indent="2"/>
    </xf>
    <xf numFmtId="3" fontId="6" fillId="2" borderId="3" xfId="0" applyNumberFormat="1" applyFont="1" applyFill="1" applyBorder="1"/>
    <xf numFmtId="3" fontId="6" fillId="2" borderId="1" xfId="0" applyNumberFormat="1" applyFont="1" applyFill="1" applyBorder="1"/>
    <xf numFmtId="164" fontId="1" fillId="2" borderId="0" xfId="0" applyNumberFormat="1" applyFont="1" applyFill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/>
    </xf>
    <xf numFmtId="164" fontId="1" fillId="2" borderId="9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 wrapText="1"/>
    </xf>
  </cellXfs>
  <cellStyles count="8">
    <cellStyle name="1" xfId="7" xr:uid="{00000000-0005-0000-0000-000000000000}"/>
    <cellStyle name="Comma 2" xfId="1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_II-14(Population)" xfId="4" xr:uid="{00000000-0005-0000-0000-00000A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2D050"/>
  </sheetPr>
  <dimension ref="A1:V16"/>
  <sheetViews>
    <sheetView tabSelected="1" zoomScaleNormal="100" workbookViewId="0">
      <selection activeCell="V27" sqref="V27"/>
    </sheetView>
  </sheetViews>
  <sheetFormatPr defaultColWidth="9.140625" defaultRowHeight="12.75"/>
  <cols>
    <col min="1" max="1" width="20" style="3" customWidth="1"/>
    <col min="2" max="22" width="9.85546875" style="3" customWidth="1"/>
    <col min="23" max="16384" width="9.140625" style="3"/>
  </cols>
  <sheetData>
    <row r="1" spans="1:22" ht="15">
      <c r="E1" s="1"/>
      <c r="H1" s="1"/>
    </row>
    <row r="2" spans="1:22" ht="21.7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8"/>
      <c r="U2" s="8"/>
      <c r="V2" s="8"/>
    </row>
    <row r="3" spans="1:22" ht="15.75">
      <c r="A3" s="22" t="s">
        <v>15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9"/>
      <c r="U3" s="9"/>
      <c r="V3" s="9"/>
    </row>
    <row r="4" spans="1:22" ht="15.7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9"/>
      <c r="U4" s="9"/>
      <c r="V4" s="9"/>
    </row>
    <row r="5" spans="1:22">
      <c r="A5" s="23" t="s">
        <v>10</v>
      </c>
      <c r="B5" s="25">
        <v>2014</v>
      </c>
      <c r="C5" s="26"/>
      <c r="D5" s="26"/>
      <c r="E5" s="25">
        <v>2015</v>
      </c>
      <c r="F5" s="26"/>
      <c r="G5" s="26"/>
      <c r="H5" s="25">
        <v>2016</v>
      </c>
      <c r="I5" s="26"/>
      <c r="J5" s="26"/>
      <c r="K5" s="25">
        <v>2017</v>
      </c>
      <c r="L5" s="26"/>
      <c r="M5" s="26"/>
      <c r="N5" s="25">
        <v>2018</v>
      </c>
      <c r="O5" s="26"/>
      <c r="P5" s="26"/>
      <c r="Q5" s="25">
        <v>2019</v>
      </c>
      <c r="R5" s="26"/>
      <c r="S5" s="26"/>
      <c r="T5" s="25">
        <v>2019</v>
      </c>
      <c r="U5" s="26"/>
      <c r="V5" s="26"/>
    </row>
    <row r="6" spans="1:22">
      <c r="A6" s="20"/>
      <c r="B6" s="27" t="s">
        <v>14</v>
      </c>
      <c r="C6" s="28"/>
      <c r="D6" s="28"/>
      <c r="E6" s="27" t="s">
        <v>14</v>
      </c>
      <c r="F6" s="28"/>
      <c r="G6" s="28"/>
      <c r="H6" s="27" t="s">
        <v>14</v>
      </c>
      <c r="I6" s="28"/>
      <c r="J6" s="28"/>
      <c r="K6" s="27" t="s">
        <v>14</v>
      </c>
      <c r="L6" s="28"/>
      <c r="M6" s="28"/>
      <c r="N6" s="27" t="s">
        <v>14</v>
      </c>
      <c r="O6" s="28"/>
      <c r="P6" s="28"/>
      <c r="Q6" s="27" t="s">
        <v>14</v>
      </c>
      <c r="R6" s="28"/>
      <c r="S6" s="28"/>
      <c r="T6" s="27" t="s">
        <v>14</v>
      </c>
      <c r="U6" s="28"/>
      <c r="V6" s="28"/>
    </row>
    <row r="7" spans="1:22">
      <c r="A7" s="24"/>
      <c r="B7" s="10" t="s">
        <v>1</v>
      </c>
      <c r="C7" s="4" t="s">
        <v>2</v>
      </c>
      <c r="D7" s="4" t="s">
        <v>3</v>
      </c>
      <c r="E7" s="10" t="s">
        <v>1</v>
      </c>
      <c r="F7" s="4" t="s">
        <v>2</v>
      </c>
      <c r="G7" s="4" t="s">
        <v>3</v>
      </c>
      <c r="H7" s="10" t="s">
        <v>1</v>
      </c>
      <c r="I7" s="4" t="s">
        <v>2</v>
      </c>
      <c r="J7" s="4" t="s">
        <v>3</v>
      </c>
      <c r="K7" s="10" t="s">
        <v>1</v>
      </c>
      <c r="L7" s="4" t="s">
        <v>2</v>
      </c>
      <c r="M7" s="4" t="s">
        <v>3</v>
      </c>
      <c r="N7" s="10" t="s">
        <v>1</v>
      </c>
      <c r="O7" s="4" t="s">
        <v>2</v>
      </c>
      <c r="P7" s="4" t="s">
        <v>3</v>
      </c>
      <c r="Q7" s="10" t="s">
        <v>1</v>
      </c>
      <c r="R7" s="4" t="s">
        <v>2</v>
      </c>
      <c r="S7" s="4" t="s">
        <v>3</v>
      </c>
      <c r="T7" s="10" t="s">
        <v>1</v>
      </c>
      <c r="U7" s="4" t="s">
        <v>2</v>
      </c>
      <c r="V7" s="4" t="s">
        <v>3</v>
      </c>
    </row>
    <row r="8" spans="1:22" ht="15">
      <c r="A8" s="11" t="s">
        <v>0</v>
      </c>
      <c r="B8" s="12">
        <f>C8+D8</f>
        <v>398</v>
      </c>
      <c r="C8" s="13">
        <f>SUM(C9:C15)</f>
        <v>187</v>
      </c>
      <c r="D8" s="13">
        <f>SUM(D9:D15)</f>
        <v>211</v>
      </c>
      <c r="E8" s="12">
        <f>F8+G8</f>
        <v>470</v>
      </c>
      <c r="F8" s="13">
        <f>SUM(F9:F15)</f>
        <v>198</v>
      </c>
      <c r="G8" s="13">
        <f>SUM(G9:G15)</f>
        <v>272</v>
      </c>
      <c r="H8" s="12">
        <f>I8+J8</f>
        <v>405</v>
      </c>
      <c r="I8" s="13">
        <f>SUM(I9:I15)</f>
        <v>171</v>
      </c>
      <c r="J8" s="13">
        <f>SUM(J9:J15)</f>
        <v>234</v>
      </c>
      <c r="K8" s="12">
        <f t="shared" ref="K8:K15" si="0">L8+M8</f>
        <v>714</v>
      </c>
      <c r="L8" s="13">
        <v>344</v>
      </c>
      <c r="M8" s="13">
        <v>370</v>
      </c>
      <c r="N8" s="12">
        <f>SUM(O8:P8)</f>
        <v>898</v>
      </c>
      <c r="O8" s="13">
        <f>SUM(O9:O15)</f>
        <v>455</v>
      </c>
      <c r="P8" s="13">
        <f>SUM(P9:P15)</f>
        <v>443</v>
      </c>
      <c r="Q8" s="12">
        <f>SUM(R8:S8)</f>
        <v>798</v>
      </c>
      <c r="R8" s="13">
        <f>SUM(R9:R15)</f>
        <v>346</v>
      </c>
      <c r="S8" s="13">
        <f>SUM(S9:S15)</f>
        <v>452</v>
      </c>
      <c r="T8" s="12">
        <f>SUM(U8:V8)</f>
        <v>798</v>
      </c>
      <c r="U8" s="13">
        <f>SUM(U9:U15)</f>
        <v>346</v>
      </c>
      <c r="V8" s="13">
        <f>SUM(V9:V15)</f>
        <v>452</v>
      </c>
    </row>
    <row r="9" spans="1:22" ht="15">
      <c r="A9" s="14" t="s">
        <v>11</v>
      </c>
      <c r="B9" s="15">
        <f>C9+D9</f>
        <v>14</v>
      </c>
      <c r="C9" s="2">
        <v>13</v>
      </c>
      <c r="D9" s="2">
        <v>1</v>
      </c>
      <c r="E9" s="15">
        <f>F9+G9</f>
        <v>20</v>
      </c>
      <c r="F9" s="2">
        <v>7</v>
      </c>
      <c r="G9" s="2">
        <v>13</v>
      </c>
      <c r="H9" s="15">
        <f>I9+J9</f>
        <v>34</v>
      </c>
      <c r="I9" s="2">
        <v>16</v>
      </c>
      <c r="J9" s="2">
        <v>18</v>
      </c>
      <c r="K9" s="15">
        <f t="shared" si="0"/>
        <v>29</v>
      </c>
      <c r="L9" s="2">
        <v>8</v>
      </c>
      <c r="M9" s="2">
        <v>21</v>
      </c>
      <c r="N9" s="15">
        <f t="shared" ref="N9:N15" si="1">O9+P9</f>
        <v>49</v>
      </c>
      <c r="O9" s="2">
        <v>26</v>
      </c>
      <c r="P9" s="2">
        <v>23</v>
      </c>
      <c r="Q9" s="15">
        <f t="shared" ref="Q9:Q15" si="2">R9+S9</f>
        <v>38</v>
      </c>
      <c r="R9" s="2">
        <v>13</v>
      </c>
      <c r="S9" s="2">
        <v>25</v>
      </c>
      <c r="T9" s="15">
        <f t="shared" ref="T9:T15" si="3">U9+V9</f>
        <v>38</v>
      </c>
      <c r="U9" s="2">
        <v>13</v>
      </c>
      <c r="V9" s="2">
        <v>25</v>
      </c>
    </row>
    <row r="10" spans="1:22" ht="15">
      <c r="A10" s="16" t="s">
        <v>4</v>
      </c>
      <c r="B10" s="15">
        <f t="shared" ref="B10:B15" si="4">C10+D10</f>
        <v>85</v>
      </c>
      <c r="C10" s="2">
        <v>50</v>
      </c>
      <c r="D10" s="2">
        <v>35</v>
      </c>
      <c r="E10" s="15">
        <f t="shared" ref="E10:E15" si="5">F10+G10</f>
        <v>82</v>
      </c>
      <c r="F10" s="2">
        <v>32</v>
      </c>
      <c r="G10" s="2">
        <v>50</v>
      </c>
      <c r="H10" s="15">
        <f t="shared" ref="H10:H15" si="6">I10+J10</f>
        <v>52</v>
      </c>
      <c r="I10" s="2">
        <v>25</v>
      </c>
      <c r="J10" s="2">
        <v>27</v>
      </c>
      <c r="K10" s="15">
        <f t="shared" si="0"/>
        <v>142</v>
      </c>
      <c r="L10" s="2">
        <v>83</v>
      </c>
      <c r="M10" s="2">
        <v>59</v>
      </c>
      <c r="N10" s="15">
        <f t="shared" si="1"/>
        <v>150</v>
      </c>
      <c r="O10" s="2">
        <v>96</v>
      </c>
      <c r="P10" s="2">
        <v>54</v>
      </c>
      <c r="Q10" s="15">
        <f t="shared" si="2"/>
        <v>139</v>
      </c>
      <c r="R10" s="2">
        <v>74</v>
      </c>
      <c r="S10" s="2">
        <v>65</v>
      </c>
      <c r="T10" s="15">
        <f t="shared" si="3"/>
        <v>139</v>
      </c>
      <c r="U10" s="2">
        <v>74</v>
      </c>
      <c r="V10" s="2">
        <v>65</v>
      </c>
    </row>
    <row r="11" spans="1:22" ht="15">
      <c r="A11" s="16" t="s">
        <v>5</v>
      </c>
      <c r="B11" s="15">
        <f t="shared" si="4"/>
        <v>37</v>
      </c>
      <c r="C11" s="2">
        <v>12</v>
      </c>
      <c r="D11" s="2">
        <v>25</v>
      </c>
      <c r="E11" s="15">
        <f t="shared" si="5"/>
        <v>32</v>
      </c>
      <c r="F11" s="2">
        <v>20</v>
      </c>
      <c r="G11" s="2">
        <v>12</v>
      </c>
      <c r="H11" s="15">
        <f t="shared" si="6"/>
        <v>7</v>
      </c>
      <c r="I11" s="2">
        <v>5</v>
      </c>
      <c r="J11" s="2">
        <v>2</v>
      </c>
      <c r="K11" s="15">
        <f t="shared" si="0"/>
        <v>43</v>
      </c>
      <c r="L11" s="2">
        <v>24</v>
      </c>
      <c r="M11" s="2">
        <v>19</v>
      </c>
      <c r="N11" s="15">
        <f t="shared" si="1"/>
        <v>75</v>
      </c>
      <c r="O11" s="2">
        <v>32</v>
      </c>
      <c r="P11" s="2">
        <v>43</v>
      </c>
      <c r="Q11" s="15">
        <f t="shared" si="2"/>
        <v>53</v>
      </c>
      <c r="R11" s="2">
        <v>27</v>
      </c>
      <c r="S11" s="2">
        <v>26</v>
      </c>
      <c r="T11" s="15">
        <f t="shared" si="3"/>
        <v>53</v>
      </c>
      <c r="U11" s="2">
        <v>27</v>
      </c>
      <c r="V11" s="2">
        <v>26</v>
      </c>
    </row>
    <row r="12" spans="1:22" ht="15">
      <c r="A12" s="16" t="s">
        <v>6</v>
      </c>
      <c r="B12" s="15">
        <f t="shared" si="4"/>
        <v>71</v>
      </c>
      <c r="C12" s="2">
        <v>53</v>
      </c>
      <c r="D12" s="2">
        <v>18</v>
      </c>
      <c r="E12" s="15">
        <f t="shared" si="5"/>
        <v>103</v>
      </c>
      <c r="F12" s="2">
        <v>50</v>
      </c>
      <c r="G12" s="2">
        <v>53</v>
      </c>
      <c r="H12" s="15">
        <f t="shared" si="6"/>
        <v>83</v>
      </c>
      <c r="I12" s="2">
        <v>39</v>
      </c>
      <c r="J12" s="2">
        <v>44</v>
      </c>
      <c r="K12" s="15">
        <f t="shared" si="0"/>
        <v>137</v>
      </c>
      <c r="L12" s="2">
        <v>76</v>
      </c>
      <c r="M12" s="2">
        <v>61</v>
      </c>
      <c r="N12" s="15">
        <f t="shared" si="1"/>
        <v>157</v>
      </c>
      <c r="O12" s="2">
        <v>85</v>
      </c>
      <c r="P12" s="2">
        <v>72</v>
      </c>
      <c r="Q12" s="15">
        <f t="shared" si="2"/>
        <v>178</v>
      </c>
      <c r="R12" s="2">
        <v>88</v>
      </c>
      <c r="S12" s="2">
        <v>90</v>
      </c>
      <c r="T12" s="15">
        <f t="shared" si="3"/>
        <v>178</v>
      </c>
      <c r="U12" s="2">
        <v>88</v>
      </c>
      <c r="V12" s="2">
        <v>90</v>
      </c>
    </row>
    <row r="13" spans="1:22" ht="15">
      <c r="A13" s="16" t="s">
        <v>7</v>
      </c>
      <c r="B13" s="15">
        <f t="shared" si="4"/>
        <v>121</v>
      </c>
      <c r="C13" s="2">
        <v>41</v>
      </c>
      <c r="D13" s="2">
        <v>80</v>
      </c>
      <c r="E13" s="15">
        <f t="shared" si="5"/>
        <v>131</v>
      </c>
      <c r="F13" s="2">
        <v>55</v>
      </c>
      <c r="G13" s="2">
        <v>76</v>
      </c>
      <c r="H13" s="15">
        <f t="shared" si="6"/>
        <v>133</v>
      </c>
      <c r="I13" s="2">
        <v>56</v>
      </c>
      <c r="J13" s="2">
        <v>77</v>
      </c>
      <c r="K13" s="15">
        <f t="shared" si="0"/>
        <v>176</v>
      </c>
      <c r="L13" s="2">
        <v>86</v>
      </c>
      <c r="M13" s="2">
        <v>90</v>
      </c>
      <c r="N13" s="15">
        <f t="shared" si="1"/>
        <v>232</v>
      </c>
      <c r="O13" s="2">
        <v>102</v>
      </c>
      <c r="P13" s="2">
        <v>130</v>
      </c>
      <c r="Q13" s="15">
        <f t="shared" si="2"/>
        <v>234</v>
      </c>
      <c r="R13" s="2">
        <v>87</v>
      </c>
      <c r="S13" s="2">
        <v>147</v>
      </c>
      <c r="T13" s="15">
        <f t="shared" si="3"/>
        <v>234</v>
      </c>
      <c r="U13" s="2">
        <v>87</v>
      </c>
      <c r="V13" s="2">
        <v>147</v>
      </c>
    </row>
    <row r="14" spans="1:22" ht="15">
      <c r="A14" s="16" t="s">
        <v>8</v>
      </c>
      <c r="B14" s="15">
        <f t="shared" si="4"/>
        <v>56</v>
      </c>
      <c r="C14" s="2">
        <v>15</v>
      </c>
      <c r="D14" s="2">
        <v>41</v>
      </c>
      <c r="E14" s="15">
        <f t="shared" si="5"/>
        <v>30</v>
      </c>
      <c r="F14" s="2">
        <v>10</v>
      </c>
      <c r="G14" s="2">
        <v>20</v>
      </c>
      <c r="H14" s="15">
        <f t="shared" si="6"/>
        <v>39</v>
      </c>
      <c r="I14" s="2">
        <v>14</v>
      </c>
      <c r="J14" s="2">
        <v>25</v>
      </c>
      <c r="K14" s="15">
        <f t="shared" si="0"/>
        <v>45</v>
      </c>
      <c r="L14" s="2">
        <v>16</v>
      </c>
      <c r="M14" s="2">
        <v>29</v>
      </c>
      <c r="N14" s="15">
        <f t="shared" si="1"/>
        <v>66</v>
      </c>
      <c r="O14" s="2">
        <v>38</v>
      </c>
      <c r="P14" s="2">
        <v>28</v>
      </c>
      <c r="Q14" s="15">
        <f t="shared" si="2"/>
        <v>44</v>
      </c>
      <c r="R14" s="2">
        <v>17</v>
      </c>
      <c r="S14" s="2">
        <v>27</v>
      </c>
      <c r="T14" s="15">
        <f t="shared" si="3"/>
        <v>44</v>
      </c>
      <c r="U14" s="2">
        <v>17</v>
      </c>
      <c r="V14" s="2">
        <v>27</v>
      </c>
    </row>
    <row r="15" spans="1:22" ht="15">
      <c r="A15" s="17" t="s">
        <v>9</v>
      </c>
      <c r="B15" s="18">
        <f t="shared" si="4"/>
        <v>14</v>
      </c>
      <c r="C15" s="19">
        <v>3</v>
      </c>
      <c r="D15" s="19">
        <v>11</v>
      </c>
      <c r="E15" s="18">
        <f t="shared" si="5"/>
        <v>72</v>
      </c>
      <c r="F15" s="19">
        <v>24</v>
      </c>
      <c r="G15" s="19">
        <v>48</v>
      </c>
      <c r="H15" s="18">
        <f t="shared" si="6"/>
        <v>57</v>
      </c>
      <c r="I15" s="19">
        <v>16</v>
      </c>
      <c r="J15" s="19">
        <v>41</v>
      </c>
      <c r="K15" s="18">
        <f t="shared" si="0"/>
        <v>137</v>
      </c>
      <c r="L15" s="19">
        <v>51</v>
      </c>
      <c r="M15" s="19">
        <v>86</v>
      </c>
      <c r="N15" s="18">
        <f t="shared" si="1"/>
        <v>169</v>
      </c>
      <c r="O15" s="19">
        <v>76</v>
      </c>
      <c r="P15" s="19">
        <v>93</v>
      </c>
      <c r="Q15" s="18">
        <f t="shared" si="2"/>
        <v>112</v>
      </c>
      <c r="R15" s="19">
        <v>40</v>
      </c>
      <c r="S15" s="19">
        <v>72</v>
      </c>
      <c r="T15" s="18">
        <f t="shared" si="3"/>
        <v>112</v>
      </c>
      <c r="U15" s="19">
        <v>40</v>
      </c>
      <c r="V15" s="19">
        <v>72</v>
      </c>
    </row>
    <row r="16" spans="1:22" ht="18.75">
      <c r="A16" s="7" t="s">
        <v>13</v>
      </c>
      <c r="M16" s="5"/>
      <c r="P16" s="6"/>
      <c r="S16" s="6"/>
      <c r="V16" s="6" t="s">
        <v>12</v>
      </c>
    </row>
  </sheetData>
  <mergeCells count="17">
    <mergeCell ref="A2:S2"/>
    <mergeCell ref="A3:S4"/>
    <mergeCell ref="A5:A7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</mergeCells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8.65</vt:lpstr>
      <vt:lpstr>'8.65'!Print_Area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2023-05-16T14:27:53Z</cp:lastPrinted>
  <dcterms:created xsi:type="dcterms:W3CDTF">2019-06-30T04:22:49Z</dcterms:created>
  <dcterms:modified xsi:type="dcterms:W3CDTF">2023-05-16T14:28:00Z</dcterms:modified>
</cp:coreProperties>
</file>