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9BCD20AE-1ABD-4CE8-847D-EE9E0744967F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12" sheetId="12" r:id="rId1"/>
  </sheets>
  <definedNames>
    <definedName name="_xlnm.Print_Area" localSheetId="0">'8.12'!$A$1:$T$35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P21" i="12" l="1"/>
  <c r="BP22" i="12"/>
  <c r="BP23" i="12"/>
  <c r="BP24" i="12"/>
  <c r="BP25" i="12"/>
  <c r="BP26" i="12"/>
  <c r="BP27" i="12"/>
  <c r="BP28" i="12"/>
  <c r="BP29" i="12"/>
  <c r="BP30" i="12"/>
  <c r="BP31" i="12"/>
  <c r="BP20" i="12"/>
  <c r="O5" i="12" l="1"/>
  <c r="P6" i="12" l="1"/>
  <c r="P7" i="12"/>
  <c r="P8" i="12"/>
  <c r="P9" i="12"/>
  <c r="P10" i="12"/>
  <c r="P11" i="12"/>
  <c r="P12" i="12"/>
  <c r="P13" i="12"/>
  <c r="P14" i="12"/>
  <c r="P15" i="12"/>
  <c r="P16" i="12"/>
  <c r="P17" i="12"/>
  <c r="N5" i="12"/>
  <c r="Q9" i="12" s="1"/>
  <c r="Q12" i="12" l="1"/>
  <c r="Q15" i="12"/>
  <c r="Q11" i="12"/>
  <c r="Q5" i="12"/>
  <c r="Q14" i="12"/>
  <c r="Q10" i="12"/>
  <c r="Q6" i="12"/>
  <c r="Q16" i="12"/>
  <c r="Q8" i="12"/>
  <c r="Q7" i="12"/>
  <c r="Q17" i="12"/>
  <c r="Q13" i="12"/>
  <c r="M5" i="12" l="1"/>
  <c r="P5" i="12" s="1"/>
  <c r="L5" i="12" l="1"/>
  <c r="K5" i="12"/>
  <c r="J5" i="12"/>
  <c r="I5" i="12"/>
  <c r="H5" i="12"/>
  <c r="G5" i="12"/>
</calcChain>
</file>

<file path=xl/sharedStrings.xml><?xml version="1.0" encoding="utf-8"?>
<sst xmlns="http://schemas.openxmlformats.org/spreadsheetml/2006/main" count="50" uniqueCount="40">
  <si>
    <t>Theft</t>
  </si>
  <si>
    <t>Total</t>
  </si>
  <si>
    <t>wlcmuj</t>
  </si>
  <si>
    <t>Traffic accidents</t>
  </si>
  <si>
    <t>ވައްކަން</t>
  </si>
  <si>
    <t>Drugs</t>
  </si>
  <si>
    <t>Assault</t>
  </si>
  <si>
    <t>Others</t>
  </si>
  <si>
    <t>މަސްތުވާތަކެތި</t>
  </si>
  <si>
    <t>Lost Items</t>
  </si>
  <si>
    <t>ގެއްލޭތަކެތި</t>
  </si>
  <si>
    <t>Robbery</t>
  </si>
  <si>
    <t>މާރާމާރީ</t>
  </si>
  <si>
    <t>Vandalism</t>
  </si>
  <si>
    <t>މުދަލަށް ގެއްލުންދިނުން</t>
  </si>
  <si>
    <t>ފޭރުން</t>
  </si>
  <si>
    <t>Traffic Accidents</t>
  </si>
  <si>
    <t>Embezzlement</t>
  </si>
  <si>
    <t>Sexual offences</t>
  </si>
  <si>
    <t>ބަދުއަޙްލާޤީ</t>
  </si>
  <si>
    <t>Domestic violence</t>
  </si>
  <si>
    <t>މަކަރާއި ޙީލަތް</t>
  </si>
  <si>
    <t>Counterfeit and forgery</t>
  </si>
  <si>
    <t>އާއިލީ</t>
  </si>
  <si>
    <t>އެހެނިހެން</t>
  </si>
  <si>
    <t>Lost items</t>
  </si>
  <si>
    <t>Source: Maldives Police Service</t>
  </si>
  <si>
    <t>csivrws csilop cscviDclOm :Ivcaed utWmUluAwm</t>
  </si>
  <si>
    <t>Type of case</t>
  </si>
  <si>
    <t>ޓްރެފިކް އެކްސިޑެންޓްސް</t>
  </si>
  <si>
    <t>ވަގުފައިސާ</t>
  </si>
  <si>
    <t xml:space="preserve"> މައްސަލައިގެ ބާވަތް</t>
  </si>
  <si>
    <t xml:space="preserve">  ކުރީ އަހަރާއި  އަޅާބަލާއިރު  އިތުރުވި މިންވަރު</t>
  </si>
  <si>
    <t>Logged cases</t>
  </si>
  <si>
    <t>Completed cases</t>
  </si>
  <si>
    <t>%change over 2019</t>
  </si>
  <si>
    <t>އިންސައްތަ 2020</t>
  </si>
  <si>
    <t>Percentage share 2020</t>
  </si>
  <si>
    <t>Table  8.12: COMPLETED CASES BY TYPE, 2016 - 2021</t>
  </si>
  <si>
    <t>ތާވަލު 8.12: ނިންމުނު މައްސަލަތައް، 2016- 2021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</si>
</sst>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Faruma"/>
      <family val="3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sz val="9"/>
      <name val="Faruma"/>
      <family val="3"/>
    </font>
    <font>
      <b/>
      <sz val="9"/>
      <name val="Faruma"/>
      <family val="3"/>
    </font>
    <font>
      <b/>
      <sz val="10"/>
      <color rgb="FFFF0000"/>
      <name val="Courier"/>
      <family val="3"/>
    </font>
    <font>
      <i/>
      <sz val="10"/>
      <name val="Courier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b/>
      <sz val="10"/>
      <name val="A_Faseyha"/>
    </font>
    <font>
      <sz val="8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6" fillId="0" borderId="0" applyFont="0" applyFill="0" applyBorder="0" applyAlignment="0" applyProtection="0"/>
    <xf numFmtId="167" fontId="16" fillId="0" borderId="0"/>
    <xf numFmtId="0" fontId="23" fillId="0" borderId="7" applyNumberFormat="0" applyFill="0" applyAlignment="0" applyProtection="0"/>
    <xf numFmtId="0" fontId="22" fillId="0" borderId="0"/>
    <xf numFmtId="0" fontId="22" fillId="0" borderId="0"/>
  </cellStyleXfs>
  <cellXfs count="45">
    <xf numFmtId="0" fontId="0" fillId="0" borderId="0" xfId="0"/>
    <xf numFmtId="164" fontId="0" fillId="2" borderId="0" xfId="0" applyNumberFormat="1" applyFill="1"/>
    <xf numFmtId="164" fontId="7" fillId="2" borderId="0" xfId="0" applyNumberFormat="1" applyFont="1" applyFill="1"/>
    <xf numFmtId="164" fontId="4" fillId="2" borderId="0" xfId="0" applyNumberFormat="1" applyFont="1" applyFill="1" applyAlignment="1">
      <alignment vertical="center"/>
    </xf>
    <xf numFmtId="164" fontId="9" fillId="2" borderId="0" xfId="0" applyNumberFormat="1" applyFont="1" applyFill="1" applyAlignment="1">
      <alignment vertical="center"/>
    </xf>
    <xf numFmtId="166" fontId="10" fillId="2" borderId="0" xfId="1" applyNumberFormat="1" applyFont="1" applyFill="1" applyBorder="1" applyAlignment="1">
      <alignment horizontal="center"/>
    </xf>
    <xf numFmtId="164" fontId="8" fillId="2" borderId="0" xfId="0" applyNumberFormat="1" applyFont="1" applyFill="1" applyAlignment="1">
      <alignment horizontal="right" vertical="center"/>
    </xf>
    <xf numFmtId="167" fontId="13" fillId="2" borderId="0" xfId="1" applyNumberFormat="1" applyFont="1" applyFill="1" applyBorder="1" applyAlignment="1">
      <alignment horizontal="right"/>
    </xf>
    <xf numFmtId="164" fontId="17" fillId="2" borderId="0" xfId="0" applyNumberFormat="1" applyFont="1" applyFill="1"/>
    <xf numFmtId="164" fontId="12" fillId="2" borderId="0" xfId="0" applyNumberFormat="1" applyFont="1" applyFill="1"/>
    <xf numFmtId="164" fontId="14" fillId="2" borderId="5" xfId="0" applyNumberFormat="1" applyFont="1" applyFill="1" applyBorder="1" applyAlignment="1">
      <alignment vertical="center"/>
    </xf>
    <xf numFmtId="164" fontId="9" fillId="2" borderId="0" xfId="0" applyNumberFormat="1" applyFont="1" applyFill="1"/>
    <xf numFmtId="164" fontId="10" fillId="2" borderId="0" xfId="0" applyNumberFormat="1" applyFont="1" applyFill="1"/>
    <xf numFmtId="164" fontId="18" fillId="2" borderId="0" xfId="0" applyNumberFormat="1" applyFont="1" applyFill="1" applyAlignment="1">
      <alignment horizontal="right" vertical="center"/>
    </xf>
    <xf numFmtId="164" fontId="21" fillId="2" borderId="0" xfId="0" applyNumberFormat="1" applyFont="1" applyFill="1"/>
    <xf numFmtId="164" fontId="9" fillId="2" borderId="4" xfId="0" applyNumberFormat="1" applyFont="1" applyFill="1" applyBorder="1" applyAlignment="1">
      <alignment vertical="center"/>
    </xf>
    <xf numFmtId="164" fontId="8" fillId="2" borderId="4" xfId="0" applyNumberFormat="1" applyFont="1" applyFill="1" applyBorder="1" applyAlignment="1">
      <alignment horizontal="right" vertical="center"/>
    </xf>
    <xf numFmtId="164" fontId="5" fillId="2" borderId="4" xfId="0" applyNumberFormat="1" applyFont="1" applyFill="1" applyBorder="1" applyAlignment="1">
      <alignment horizontal="center" vertical="center" wrapText="1"/>
    </xf>
    <xf numFmtId="164" fontId="20" fillId="2" borderId="0" xfId="0" applyNumberFormat="1" applyFont="1" applyFill="1"/>
    <xf numFmtId="164" fontId="4" fillId="2" borderId="3" xfId="0" applyNumberFormat="1" applyFont="1" applyFill="1" applyBorder="1"/>
    <xf numFmtId="166" fontId="4" fillId="2" borderId="3" xfId="1" applyNumberFormat="1" applyFont="1" applyFill="1" applyBorder="1" applyAlignment="1">
      <alignment horizontal="center" vertical="center"/>
    </xf>
    <xf numFmtId="166" fontId="9" fillId="2" borderId="0" xfId="1" applyNumberFormat="1" applyFont="1" applyFill="1" applyBorder="1" applyAlignment="1">
      <alignment horizontal="center" vertical="center"/>
    </xf>
    <xf numFmtId="164" fontId="9" fillId="2" borderId="4" xfId="0" applyNumberFormat="1" applyFont="1" applyFill="1" applyBorder="1"/>
    <xf numFmtId="166" fontId="9" fillId="2" borderId="4" xfId="1" applyNumberFormat="1" applyFont="1" applyFill="1" applyBorder="1" applyAlignment="1">
      <alignment horizontal="center" vertical="center"/>
    </xf>
    <xf numFmtId="3" fontId="13" fillId="2" borderId="0" xfId="0" applyNumberFormat="1" applyFont="1" applyFill="1" applyAlignment="1">
      <alignment horizontal="right" vertical="center" indent="2"/>
    </xf>
    <xf numFmtId="164" fontId="7" fillId="2" borderId="0" xfId="0" applyNumberFormat="1" applyFont="1" applyFill="1" applyAlignment="1">
      <alignment horizontal="right"/>
    </xf>
    <xf numFmtId="166" fontId="3" fillId="2" borderId="0" xfId="1" applyNumberFormat="1" applyFont="1" applyFill="1" applyBorder="1" applyAlignment="1" applyProtection="1">
      <alignment horizontal="right" vertical="center"/>
      <protection locked="0"/>
    </xf>
    <xf numFmtId="3" fontId="11" fillId="2" borderId="0" xfId="0" applyNumberFormat="1" applyFont="1" applyFill="1" applyAlignment="1">
      <alignment horizontal="center" vertical="center"/>
    </xf>
    <xf numFmtId="3" fontId="11" fillId="2" borderId="4" xfId="0" applyNumberFormat="1" applyFont="1" applyFill="1" applyBorder="1" applyAlignment="1">
      <alignment horizontal="center" vertical="center"/>
    </xf>
    <xf numFmtId="164" fontId="24" fillId="2" borderId="6" xfId="0" applyNumberFormat="1" applyFont="1" applyFill="1" applyBorder="1" applyAlignment="1">
      <alignment horizontal="right" vertical="center"/>
    </xf>
    <xf numFmtId="164" fontId="25" fillId="2" borderId="5" xfId="0" applyNumberFormat="1" applyFont="1" applyFill="1" applyBorder="1" applyAlignment="1">
      <alignment horizontal="right" vertical="center"/>
    </xf>
    <xf numFmtId="3" fontId="11" fillId="2" borderId="9" xfId="0" applyNumberFormat="1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right" vertical="center"/>
    </xf>
    <xf numFmtId="164" fontId="4" fillId="2" borderId="4" xfId="0" applyNumberFormat="1" applyFont="1" applyFill="1" applyBorder="1" applyAlignment="1">
      <alignment horizontal="right" vertical="center"/>
    </xf>
    <xf numFmtId="164" fontId="8" fillId="2" borderId="4" xfId="0" applyNumberFormat="1" applyFont="1" applyFill="1" applyBorder="1" applyAlignment="1">
      <alignment horizontal="right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top"/>
    </xf>
    <xf numFmtId="164" fontId="3" fillId="2" borderId="8" xfId="0" applyNumberFormat="1" applyFont="1" applyFill="1" applyBorder="1" applyAlignment="1">
      <alignment horizontal="center" vertical="top"/>
    </xf>
    <xf numFmtId="164" fontId="3" fillId="2" borderId="10" xfId="0" applyNumberFormat="1" applyFont="1" applyFill="1" applyBorder="1" applyAlignment="1">
      <alignment horizontal="center" vertical="top"/>
    </xf>
    <xf numFmtId="164" fontId="19" fillId="2" borderId="3" xfId="0" applyNumberFormat="1" applyFont="1" applyFill="1" applyBorder="1" applyAlignment="1">
      <alignment horizontal="right" vertical="center" wrapText="1"/>
    </xf>
    <xf numFmtId="164" fontId="4" fillId="2" borderId="3" xfId="0" applyNumberFormat="1" applyFont="1" applyFill="1" applyBorder="1" applyAlignment="1">
      <alignment horizontal="right" vertical="center" wrapText="1"/>
    </xf>
    <xf numFmtId="164" fontId="4" fillId="2" borderId="4" xfId="0" applyNumberFormat="1" applyFont="1" applyFill="1" applyBorder="1" applyAlignment="1">
      <alignment horizontal="right" vertical="center" wrapText="1"/>
    </xf>
    <xf numFmtId="164" fontId="5" fillId="2" borderId="3" xfId="0" applyNumberFormat="1" applyFont="1" applyFill="1" applyBorder="1" applyAlignment="1">
      <alignment horizontal="left" vertical="center" wrapText="1"/>
    </xf>
    <xf numFmtId="164" fontId="5" fillId="2" borderId="4" xfId="0" applyNumberFormat="1" applyFont="1" applyFill="1" applyBorder="1" applyAlignment="1">
      <alignment horizontal="left" vertical="center" wrapText="1"/>
    </xf>
  </cellXfs>
  <cellStyles count="8">
    <cellStyle name="1" xfId="7" xr:uid="{00000000-0005-0000-0000-000000000000}"/>
    <cellStyle name="Comma" xfId="1" builtinId="3"/>
    <cellStyle name="Comma 2" xfId="2" xr:uid="{00000000-0005-0000-0000-000002000000}"/>
    <cellStyle name="Heading 1 2" xfId="5" xr:uid="{00000000-0005-0000-0000-000003000000}"/>
    <cellStyle name="Normal" xfId="0" builtinId="0"/>
    <cellStyle name="Normal 2" xfId="6" xr:uid="{00000000-0005-0000-0000-000006000000}"/>
    <cellStyle name="Normal 3" xfId="4" xr:uid="{00000000-0005-0000-0000-000007000000}"/>
    <cellStyle name="Percent 2" xfId="3" xr:uid="{00000000-0005-0000-0000-00000E000000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892076828624596E-2"/>
          <c:y val="0.15405528170113456"/>
          <c:w val="0.8967734754622837"/>
          <c:h val="0.49297282783734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'8.12'!$BO$19</c:f>
              <c:strCache>
                <c:ptCount val="1"/>
                <c:pt idx="0">
                  <c:v>Logged cases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'8.12'!$BN$20:$BN$31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'8.12'!$BO$20:$BO$31</c:f>
              <c:numCache>
                <c:formatCode>General_)</c:formatCode>
                <c:ptCount val="12"/>
                <c:pt idx="0">
                  <c:v>4662</c:v>
                </c:pt>
                <c:pt idx="1">
                  <c:v>1553</c:v>
                </c:pt>
                <c:pt idx="2">
                  <c:v>1440</c:v>
                </c:pt>
                <c:pt idx="3">
                  <c:v>974</c:v>
                </c:pt>
                <c:pt idx="4">
                  <c:v>610</c:v>
                </c:pt>
                <c:pt idx="5">
                  <c:v>503</c:v>
                </c:pt>
                <c:pt idx="6">
                  <c:v>377</c:v>
                </c:pt>
                <c:pt idx="7">
                  <c:v>342</c:v>
                </c:pt>
                <c:pt idx="8">
                  <c:v>987</c:v>
                </c:pt>
                <c:pt idx="9">
                  <c:v>267</c:v>
                </c:pt>
                <c:pt idx="10">
                  <c:v>150</c:v>
                </c:pt>
                <c:pt idx="11">
                  <c:v>2278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17-49AF-AB8D-510F36464AF3}"/>
            </c:ext>
          </c:extLst>
        </c:ser>
        <c:ser>
          <c:idx val="1"/>
          <c:order val="1"/>
          <c:tx>
            <c:strRef>
              <c:f>'8.12'!$BP$19</c:f>
              <c:strCache>
                <c:ptCount val="1"/>
                <c:pt idx="0">
                  <c:v> Completed cases </c:v>
                </c:pt>
              </c:strCache>
            </c:strRef>
          </c:tx>
          <c:spPr>
            <a:solidFill>
              <a:srgbClr val="FFC5C5"/>
            </a:solidFill>
          </c:spPr>
          <c:invertIfNegative val="0"/>
          <c:cat>
            <c:strRef>
              <c:f>'8.12'!$BN$20:$BN$31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'8.12'!$BP$20:$BP$31</c:f>
              <c:numCache>
                <c:formatCode>General_)</c:formatCode>
                <c:ptCount val="12"/>
                <c:pt idx="0">
                  <c:v>3530</c:v>
                </c:pt>
                <c:pt idx="1">
                  <c:v>1249</c:v>
                </c:pt>
                <c:pt idx="2">
                  <c:v>1096</c:v>
                </c:pt>
                <c:pt idx="3">
                  <c:v>806</c:v>
                </c:pt>
                <c:pt idx="4">
                  <c:v>380</c:v>
                </c:pt>
                <c:pt idx="5">
                  <c:v>343</c:v>
                </c:pt>
                <c:pt idx="6">
                  <c:v>241</c:v>
                </c:pt>
                <c:pt idx="7">
                  <c:v>107</c:v>
                </c:pt>
                <c:pt idx="8">
                  <c:v>373</c:v>
                </c:pt>
                <c:pt idx="9">
                  <c:v>107</c:v>
                </c:pt>
                <c:pt idx="10">
                  <c:v>65</c:v>
                </c:pt>
                <c:pt idx="11">
                  <c:v>1223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17-49AF-AB8D-510F36464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44309120"/>
        <c:axId val="44319104"/>
      </c:barChart>
      <c:catAx>
        <c:axId val="4430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-5400000" vert="horz"/>
          <a:lstStyle/>
          <a:p>
            <a:pPr>
              <a:defRPr sz="1050"/>
            </a:pPr>
            <a:endParaRPr lang="en-US"/>
          </a:p>
        </c:txPr>
        <c:crossAx val="44319104"/>
        <c:crosses val="autoZero"/>
        <c:auto val="1"/>
        <c:lblAlgn val="ctr"/>
        <c:lblOffset val="100"/>
        <c:noMultiLvlLbl val="0"/>
      </c:catAx>
      <c:valAx>
        <c:axId val="44319104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Number</a:t>
                </a:r>
              </a:p>
            </c:rich>
          </c:tx>
          <c:layout>
            <c:manualLayout>
              <c:xMode val="edge"/>
              <c:yMode val="edge"/>
              <c:x val="1.3574564107930101E-2"/>
              <c:y val="4.649853496587433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44309120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66277752422817282"/>
          <c:y val="0.22859657286991969"/>
          <c:w val="0.22702677376403657"/>
          <c:h val="0.13762962752599003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900"/>
      </a:pPr>
      <a:endParaRPr lang="en-US"/>
    </a:p>
  </c:txPr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161926</xdr:colOff>
      <xdr:row>18</xdr:row>
      <xdr:rowOff>151244</xdr:rowOff>
    </xdr:from>
    <xdr:to>
      <xdr:col>17</xdr:col>
      <xdr:colOff>876300</xdr:colOff>
      <xdr:row>34</xdr:row>
      <xdr:rowOff>173355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129540</xdr:colOff>
      <xdr:row>19</xdr:row>
      <xdr:rowOff>114300</xdr:rowOff>
    </xdr:from>
    <xdr:to>
      <xdr:col>10</xdr:col>
      <xdr:colOff>0</xdr:colOff>
      <xdr:row>20</xdr:row>
      <xdr:rowOff>167640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/>
      </xdr:nvSpPr>
      <xdr:spPr>
        <a:xfrm>
          <a:off x="1085850" y="4857750"/>
          <a:ext cx="2819400" cy="2438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9</xdr:col>
      <xdr:colOff>66676</xdr:colOff>
      <xdr:row>19</xdr:row>
      <xdr:rowOff>47625</xdr:rowOff>
    </xdr:from>
    <xdr:to>
      <xdr:col>17</xdr:col>
      <xdr:colOff>209550</xdr:colOff>
      <xdr:row>20</xdr:row>
      <xdr:rowOff>123825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/>
      </xdr:nvSpPr>
      <xdr:spPr>
        <a:xfrm>
          <a:off x="1152526" y="5000625"/>
          <a:ext cx="4295774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j-lt"/>
              <a:ea typeface="+mn-ea"/>
              <a:cs typeface="Consolas" pitchFamily="49" charset="0"/>
            </a:rPr>
            <a:t>Figure 8.18: Number of  logged cases and those completed by type, 2021</a:t>
          </a:r>
          <a:endParaRPr lang="en-US">
            <a:effectLst/>
            <a:latin typeface="+mj-lt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92D050"/>
  </sheetPr>
  <dimension ref="A1:BQ31"/>
  <sheetViews>
    <sheetView tabSelected="1" zoomScaleNormal="100" workbookViewId="0">
      <selection activeCell="Z34" sqref="Z34"/>
    </sheetView>
  </sheetViews>
  <sheetFormatPr defaultColWidth="9.140625" defaultRowHeight="15"/>
  <cols>
    <col min="1" max="1" width="16.28515625" style="1" customWidth="1"/>
    <col min="2" max="4" width="9.42578125" style="1" hidden="1" customWidth="1"/>
    <col min="5" max="5" width="10.85546875" style="1" hidden="1" customWidth="1"/>
    <col min="6" max="9" width="10.5703125" style="1" hidden="1" customWidth="1"/>
    <col min="10" max="12" width="10.5703125" style="1" bestFit="1" customWidth="1"/>
    <col min="13" max="15" width="10.5703125" style="1" customWidth="1"/>
    <col min="16" max="16" width="16.42578125" style="1" customWidth="1"/>
    <col min="17" max="17" width="14.140625" style="1" customWidth="1"/>
    <col min="18" max="18" width="14.7109375" style="1" customWidth="1"/>
    <col min="19" max="19" width="1.28515625" style="1" customWidth="1"/>
    <col min="20" max="21" width="3.42578125" style="1" customWidth="1"/>
    <col min="22" max="22" width="7.85546875" style="1" customWidth="1"/>
    <col min="23" max="23" width="5.7109375" style="1" bestFit="1" customWidth="1"/>
    <col min="24" max="63" width="3.42578125" style="1" customWidth="1"/>
    <col min="64" max="16384" width="9.140625" style="1"/>
  </cols>
  <sheetData>
    <row r="1" spans="1:69" ht="21.75">
      <c r="A1" s="36" t="s">
        <v>39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</row>
    <row r="2" spans="1:69" ht="21.75" customHeight="1">
      <c r="A2" s="37" t="s">
        <v>38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8"/>
      <c r="N2" s="38"/>
      <c r="O2" s="39"/>
      <c r="P2" s="37"/>
      <c r="Q2" s="37"/>
      <c r="R2" s="37"/>
    </row>
    <row r="3" spans="1:69" ht="51.75">
      <c r="A3" s="43" t="s">
        <v>28</v>
      </c>
      <c r="B3" s="33">
        <v>2008</v>
      </c>
      <c r="C3" s="33">
        <v>2009</v>
      </c>
      <c r="D3" s="41">
        <v>2010</v>
      </c>
      <c r="E3" s="33">
        <v>2011</v>
      </c>
      <c r="F3" s="33">
        <v>2012</v>
      </c>
      <c r="G3" s="33">
        <v>2013</v>
      </c>
      <c r="H3" s="33">
        <v>2014</v>
      </c>
      <c r="I3" s="33">
        <v>2015</v>
      </c>
      <c r="J3" s="33">
        <v>2016</v>
      </c>
      <c r="K3" s="33">
        <v>2017</v>
      </c>
      <c r="L3" s="33">
        <v>2018</v>
      </c>
      <c r="M3" s="33">
        <v>2019</v>
      </c>
      <c r="N3" s="33">
        <v>2020</v>
      </c>
      <c r="O3" s="33">
        <v>2021</v>
      </c>
      <c r="P3" s="32" t="s">
        <v>32</v>
      </c>
      <c r="Q3" s="32" t="s">
        <v>36</v>
      </c>
      <c r="R3" s="40" t="s">
        <v>31</v>
      </c>
      <c r="BM3" s="2"/>
      <c r="BN3" s="2"/>
      <c r="BO3" s="2"/>
      <c r="BP3" s="2"/>
      <c r="BQ3" s="2"/>
    </row>
    <row r="4" spans="1:69" ht="24">
      <c r="A4" s="44"/>
      <c r="B4" s="34"/>
      <c r="C4" s="34"/>
      <c r="D4" s="42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17" t="s">
        <v>35</v>
      </c>
      <c r="Q4" s="17" t="s">
        <v>37</v>
      </c>
      <c r="R4" s="35"/>
      <c r="BL4" s="4"/>
      <c r="BM4" s="2"/>
      <c r="BN4" s="2"/>
      <c r="BO4" s="2"/>
      <c r="BP4" s="2"/>
      <c r="BQ4" s="2"/>
    </row>
    <row r="5" spans="1:69" s="8" customFormat="1" ht="15.75">
      <c r="A5" s="19" t="s">
        <v>1</v>
      </c>
      <c r="B5" s="20">
        <v>16499</v>
      </c>
      <c r="C5" s="20">
        <v>18904</v>
      </c>
      <c r="D5" s="20">
        <v>17601</v>
      </c>
      <c r="E5" s="20">
        <v>16255</v>
      </c>
      <c r="F5" s="20">
        <v>19741</v>
      </c>
      <c r="G5" s="20">
        <f t="shared" ref="G5:O5" si="0">SUM(G6:G17)</f>
        <v>19614</v>
      </c>
      <c r="H5" s="20">
        <f t="shared" si="0"/>
        <v>21984</v>
      </c>
      <c r="I5" s="20">
        <f t="shared" si="0"/>
        <v>20290</v>
      </c>
      <c r="J5" s="20">
        <f t="shared" si="0"/>
        <v>18901</v>
      </c>
      <c r="K5" s="20">
        <f t="shared" si="0"/>
        <v>16626</v>
      </c>
      <c r="L5" s="20">
        <f t="shared" si="0"/>
        <v>14856</v>
      </c>
      <c r="M5" s="20">
        <f t="shared" si="0"/>
        <v>15267</v>
      </c>
      <c r="N5" s="20">
        <f t="shared" si="0"/>
        <v>9340</v>
      </c>
      <c r="O5" s="20">
        <f t="shared" si="0"/>
        <v>9520</v>
      </c>
      <c r="P5" s="31">
        <f>((N5-M5)/M5*100)</f>
        <v>-38.822296456409248</v>
      </c>
      <c r="Q5" s="31">
        <f>N5/$N$5*100</f>
        <v>100</v>
      </c>
      <c r="R5" s="29" t="s">
        <v>2</v>
      </c>
      <c r="BL5" s="4"/>
      <c r="BM5" s="18"/>
      <c r="BN5" s="18"/>
      <c r="BO5" s="18"/>
      <c r="BP5" s="18"/>
      <c r="BQ5" s="18"/>
    </row>
    <row r="6" spans="1:69" ht="18.75">
      <c r="A6" s="11" t="s">
        <v>0</v>
      </c>
      <c r="B6" s="21">
        <v>3846</v>
      </c>
      <c r="C6" s="21">
        <v>4479</v>
      </c>
      <c r="D6" s="21">
        <v>3956</v>
      </c>
      <c r="E6" s="21">
        <v>4608</v>
      </c>
      <c r="F6" s="21">
        <v>6289</v>
      </c>
      <c r="G6" s="21">
        <v>5734</v>
      </c>
      <c r="H6" s="21">
        <v>6785</v>
      </c>
      <c r="I6" s="21">
        <v>4618</v>
      </c>
      <c r="J6" s="21">
        <v>4058</v>
      </c>
      <c r="K6" s="21">
        <v>3522</v>
      </c>
      <c r="L6" s="21">
        <v>3355</v>
      </c>
      <c r="M6" s="21">
        <v>4220</v>
      </c>
      <c r="N6" s="21">
        <v>2891</v>
      </c>
      <c r="O6" s="21">
        <v>3530</v>
      </c>
      <c r="P6" s="27">
        <f t="shared" ref="P6:P17" si="1">((N6-M6)/M6*100)</f>
        <v>-31.492890995260662</v>
      </c>
      <c r="Q6" s="27">
        <f t="shared" ref="Q6:Q17" si="2">N6/$N$5*100</f>
        <v>30.952890792291221</v>
      </c>
      <c r="R6" s="6" t="s">
        <v>4</v>
      </c>
      <c r="V6" s="8"/>
      <c r="BL6" s="4"/>
      <c r="BM6" s="18"/>
      <c r="BN6" s="2"/>
      <c r="BO6" s="2"/>
      <c r="BP6" s="2"/>
      <c r="BQ6" s="2"/>
    </row>
    <row r="7" spans="1:69" ht="18.75">
      <c r="A7" s="11" t="s">
        <v>16</v>
      </c>
      <c r="B7" s="21">
        <v>2544</v>
      </c>
      <c r="C7" s="21">
        <v>2723</v>
      </c>
      <c r="D7" s="21">
        <v>2560</v>
      </c>
      <c r="E7" s="21">
        <v>2135</v>
      </c>
      <c r="F7" s="21">
        <v>2167</v>
      </c>
      <c r="G7" s="21">
        <v>1962</v>
      </c>
      <c r="H7" s="21">
        <v>2267</v>
      </c>
      <c r="I7" s="21">
        <v>1998</v>
      </c>
      <c r="J7" s="21">
        <v>2336</v>
      </c>
      <c r="K7" s="21">
        <v>2108</v>
      </c>
      <c r="L7" s="21">
        <v>1936</v>
      </c>
      <c r="M7" s="21">
        <v>2316</v>
      </c>
      <c r="N7" s="21">
        <v>1264</v>
      </c>
      <c r="O7" s="21">
        <v>1249</v>
      </c>
      <c r="P7" s="27">
        <f t="shared" si="1"/>
        <v>-45.423143350604491</v>
      </c>
      <c r="Q7" s="27">
        <f t="shared" si="2"/>
        <v>13.533190578158457</v>
      </c>
      <c r="R7" s="6" t="s">
        <v>29</v>
      </c>
      <c r="V7" s="8"/>
      <c r="BL7" s="4"/>
      <c r="BM7" s="18"/>
      <c r="BN7" s="2"/>
      <c r="BO7" s="2"/>
      <c r="BP7" s="2"/>
      <c r="BQ7" s="2"/>
    </row>
    <row r="8" spans="1:69" ht="18.75">
      <c r="A8" s="11" t="s">
        <v>5</v>
      </c>
      <c r="B8" s="21">
        <v>2531</v>
      </c>
      <c r="C8" s="21">
        <v>1804</v>
      </c>
      <c r="D8" s="21">
        <v>2002</v>
      </c>
      <c r="E8" s="21">
        <v>1172</v>
      </c>
      <c r="F8" s="21">
        <v>1736</v>
      </c>
      <c r="G8" s="21">
        <v>3237</v>
      </c>
      <c r="H8" s="21">
        <v>2939</v>
      </c>
      <c r="I8" s="21">
        <v>4528</v>
      </c>
      <c r="J8" s="21">
        <v>3410</v>
      </c>
      <c r="K8" s="21">
        <v>2903</v>
      </c>
      <c r="L8" s="21">
        <v>2405</v>
      </c>
      <c r="M8" s="21">
        <v>2161</v>
      </c>
      <c r="N8" s="21">
        <v>1033</v>
      </c>
      <c r="O8" s="21">
        <v>1096</v>
      </c>
      <c r="P8" s="27">
        <f t="shared" si="1"/>
        <v>-52.198056455344741</v>
      </c>
      <c r="Q8" s="27">
        <f t="shared" si="2"/>
        <v>11.059957173447538</v>
      </c>
      <c r="R8" s="6" t="s">
        <v>8</v>
      </c>
      <c r="V8" s="8"/>
      <c r="BL8" s="4"/>
      <c r="BM8" s="18"/>
      <c r="BN8" s="2"/>
      <c r="BO8" s="2"/>
      <c r="BP8" s="2"/>
      <c r="BQ8" s="2"/>
    </row>
    <row r="9" spans="1:69" ht="18.75">
      <c r="A9" s="11" t="s">
        <v>25</v>
      </c>
      <c r="B9" s="21">
        <v>1260</v>
      </c>
      <c r="C9" s="21">
        <v>2212</v>
      </c>
      <c r="D9" s="21">
        <v>1757</v>
      </c>
      <c r="E9" s="21">
        <v>1499</v>
      </c>
      <c r="F9" s="21">
        <v>1500</v>
      </c>
      <c r="G9" s="21">
        <v>1864</v>
      </c>
      <c r="H9" s="21">
        <v>2175</v>
      </c>
      <c r="I9" s="21">
        <v>1765</v>
      </c>
      <c r="J9" s="21">
        <v>1850</v>
      </c>
      <c r="K9" s="21">
        <v>1659</v>
      </c>
      <c r="L9" s="21">
        <v>1790</v>
      </c>
      <c r="M9" s="21">
        <v>1780</v>
      </c>
      <c r="N9" s="21">
        <v>684</v>
      </c>
      <c r="O9" s="21">
        <v>806</v>
      </c>
      <c r="P9" s="27">
        <f t="shared" si="1"/>
        <v>-61.573033707865164</v>
      </c>
      <c r="Q9" s="27">
        <f t="shared" si="2"/>
        <v>7.3233404710920773</v>
      </c>
      <c r="R9" s="6" t="s">
        <v>10</v>
      </c>
      <c r="V9" s="8"/>
      <c r="BL9" s="4"/>
      <c r="BM9" s="18"/>
      <c r="BN9" s="2"/>
      <c r="BO9" s="2"/>
      <c r="BP9" s="2"/>
      <c r="BQ9" s="2"/>
    </row>
    <row r="10" spans="1:69" ht="18.75">
      <c r="A10" s="11" t="s">
        <v>6</v>
      </c>
      <c r="B10" s="21">
        <v>1370</v>
      </c>
      <c r="C10" s="21">
        <v>1679</v>
      </c>
      <c r="D10" s="21">
        <v>1580</v>
      </c>
      <c r="E10" s="21">
        <v>1265</v>
      </c>
      <c r="F10" s="21">
        <v>1342</v>
      </c>
      <c r="G10" s="21">
        <v>1149</v>
      </c>
      <c r="H10" s="21">
        <v>1507</v>
      </c>
      <c r="I10" s="21">
        <v>1200</v>
      </c>
      <c r="J10" s="21">
        <v>997</v>
      </c>
      <c r="K10" s="21">
        <v>820</v>
      </c>
      <c r="L10" s="21">
        <v>745</v>
      </c>
      <c r="M10" s="21">
        <v>582</v>
      </c>
      <c r="N10" s="21">
        <v>449</v>
      </c>
      <c r="O10" s="21">
        <v>380</v>
      </c>
      <c r="P10" s="27">
        <f t="shared" si="1"/>
        <v>-22.852233676975946</v>
      </c>
      <c r="Q10" s="27">
        <f t="shared" si="2"/>
        <v>4.8072805139186299</v>
      </c>
      <c r="R10" s="6" t="s">
        <v>12</v>
      </c>
      <c r="V10" s="8"/>
      <c r="BL10" s="4"/>
      <c r="BM10" s="18"/>
      <c r="BN10" s="2"/>
      <c r="BO10" s="2"/>
      <c r="BP10" s="2"/>
      <c r="BQ10" s="2"/>
    </row>
    <row r="11" spans="1:69" ht="18.75">
      <c r="A11" s="11" t="s">
        <v>13</v>
      </c>
      <c r="B11" s="21">
        <v>433</v>
      </c>
      <c r="C11" s="21">
        <v>866</v>
      </c>
      <c r="D11" s="21">
        <v>869</v>
      </c>
      <c r="E11" s="21">
        <v>757</v>
      </c>
      <c r="F11" s="21">
        <v>849</v>
      </c>
      <c r="G11" s="21">
        <v>681</v>
      </c>
      <c r="H11" s="21">
        <v>731</v>
      </c>
      <c r="I11" s="21">
        <v>617</v>
      </c>
      <c r="J11" s="21">
        <v>412</v>
      </c>
      <c r="K11" s="21">
        <v>456</v>
      </c>
      <c r="L11" s="21">
        <v>451</v>
      </c>
      <c r="M11" s="21">
        <v>426</v>
      </c>
      <c r="N11" s="21">
        <v>326</v>
      </c>
      <c r="O11" s="21">
        <v>343</v>
      </c>
      <c r="P11" s="27">
        <f t="shared" si="1"/>
        <v>-23.474178403755868</v>
      </c>
      <c r="Q11" s="27">
        <f t="shared" si="2"/>
        <v>3.4903640256959316</v>
      </c>
      <c r="R11" s="6" t="s">
        <v>14</v>
      </c>
      <c r="V11" s="8"/>
      <c r="BL11" s="4"/>
      <c r="BM11" s="18"/>
      <c r="BN11" s="2"/>
      <c r="BO11" s="2"/>
      <c r="BP11" s="2"/>
      <c r="BQ11" s="2"/>
    </row>
    <row r="12" spans="1:69" ht="18.75">
      <c r="A12" s="11" t="s">
        <v>11</v>
      </c>
      <c r="B12" s="21">
        <v>608</v>
      </c>
      <c r="C12" s="21">
        <v>642</v>
      </c>
      <c r="D12" s="21">
        <v>564</v>
      </c>
      <c r="E12" s="21">
        <v>661</v>
      </c>
      <c r="F12" s="21">
        <v>961</v>
      </c>
      <c r="G12" s="21">
        <v>678</v>
      </c>
      <c r="H12" s="21">
        <v>823</v>
      </c>
      <c r="I12" s="21">
        <v>590</v>
      </c>
      <c r="J12" s="21">
        <v>757</v>
      </c>
      <c r="K12" s="21">
        <v>668</v>
      </c>
      <c r="L12" s="21">
        <v>513</v>
      </c>
      <c r="M12" s="21">
        <v>486</v>
      </c>
      <c r="N12" s="21">
        <v>299</v>
      </c>
      <c r="O12" s="21">
        <v>241</v>
      </c>
      <c r="P12" s="27">
        <f t="shared" si="1"/>
        <v>-38.477366255144034</v>
      </c>
      <c r="Q12" s="27">
        <f t="shared" si="2"/>
        <v>3.2012847965738755</v>
      </c>
      <c r="R12" s="6" t="s">
        <v>15</v>
      </c>
      <c r="V12" s="8"/>
      <c r="BL12" s="4"/>
      <c r="BM12" s="18"/>
      <c r="BN12" s="2"/>
      <c r="BO12" s="2"/>
      <c r="BP12" s="2"/>
      <c r="BQ12" s="2"/>
    </row>
    <row r="13" spans="1:69" ht="18.75">
      <c r="A13" s="11" t="s">
        <v>18</v>
      </c>
      <c r="B13" s="21">
        <v>383</v>
      </c>
      <c r="C13" s="21">
        <v>435</v>
      </c>
      <c r="D13" s="21">
        <v>581</v>
      </c>
      <c r="E13" s="21">
        <v>547</v>
      </c>
      <c r="F13" s="21">
        <v>551</v>
      </c>
      <c r="G13" s="21">
        <v>610</v>
      </c>
      <c r="H13" s="21">
        <v>619</v>
      </c>
      <c r="I13" s="21">
        <v>647</v>
      </c>
      <c r="J13" s="21">
        <v>643</v>
      </c>
      <c r="K13" s="21">
        <v>507</v>
      </c>
      <c r="L13" s="21">
        <v>346</v>
      </c>
      <c r="M13" s="21">
        <v>393</v>
      </c>
      <c r="N13" s="21">
        <v>222</v>
      </c>
      <c r="O13" s="21">
        <v>107</v>
      </c>
      <c r="P13" s="27">
        <f t="shared" si="1"/>
        <v>-43.511450381679388</v>
      </c>
      <c r="Q13" s="27">
        <f t="shared" si="2"/>
        <v>2.3768736616702353</v>
      </c>
      <c r="R13" s="6" t="s">
        <v>19</v>
      </c>
      <c r="V13" s="8"/>
      <c r="BL13" s="4"/>
      <c r="BM13" s="18"/>
      <c r="BN13" s="2"/>
      <c r="BO13" s="2"/>
      <c r="BP13" s="2"/>
      <c r="BQ13" s="2"/>
    </row>
    <row r="14" spans="1:69" ht="18.75">
      <c r="A14" s="11" t="s">
        <v>17</v>
      </c>
      <c r="B14" s="21">
        <v>326</v>
      </c>
      <c r="C14" s="21">
        <v>348</v>
      </c>
      <c r="D14" s="21">
        <v>402</v>
      </c>
      <c r="E14" s="21">
        <v>317</v>
      </c>
      <c r="F14" s="21">
        <v>311</v>
      </c>
      <c r="G14" s="21">
        <v>367</v>
      </c>
      <c r="H14" s="21">
        <v>489</v>
      </c>
      <c r="I14" s="21">
        <v>759</v>
      </c>
      <c r="J14" s="21">
        <v>590</v>
      </c>
      <c r="K14" s="21">
        <v>515</v>
      </c>
      <c r="L14" s="21">
        <v>506</v>
      </c>
      <c r="M14" s="21">
        <v>386</v>
      </c>
      <c r="N14" s="21">
        <v>261</v>
      </c>
      <c r="O14" s="21">
        <v>373</v>
      </c>
      <c r="P14" s="27">
        <f t="shared" si="1"/>
        <v>-32.383419689119172</v>
      </c>
      <c r="Q14" s="27">
        <f t="shared" si="2"/>
        <v>2.7944325481798713</v>
      </c>
      <c r="R14" s="6" t="s">
        <v>21</v>
      </c>
      <c r="V14" s="8"/>
      <c r="BL14" s="4"/>
      <c r="BM14" s="18"/>
      <c r="BN14" s="2"/>
      <c r="BO14" s="2"/>
      <c r="BP14" s="2"/>
      <c r="BQ14" s="2"/>
    </row>
    <row r="15" spans="1:69" ht="18.75">
      <c r="A15" s="11" t="s">
        <v>20</v>
      </c>
      <c r="B15" s="21">
        <v>76</v>
      </c>
      <c r="C15" s="21">
        <v>86</v>
      </c>
      <c r="D15" s="21">
        <v>125</v>
      </c>
      <c r="E15" s="21">
        <v>116</v>
      </c>
      <c r="F15" s="21">
        <v>151</v>
      </c>
      <c r="G15" s="21">
        <v>171</v>
      </c>
      <c r="H15" s="21">
        <v>245</v>
      </c>
      <c r="I15" s="21">
        <v>335</v>
      </c>
      <c r="J15" s="21">
        <v>341</v>
      </c>
      <c r="K15" s="21">
        <v>273</v>
      </c>
      <c r="L15" s="21">
        <v>218</v>
      </c>
      <c r="M15" s="21">
        <v>172</v>
      </c>
      <c r="N15" s="21">
        <v>127</v>
      </c>
      <c r="O15" s="21">
        <v>107</v>
      </c>
      <c r="P15" s="27">
        <f t="shared" si="1"/>
        <v>-26.162790697674421</v>
      </c>
      <c r="Q15" s="27">
        <f t="shared" si="2"/>
        <v>1.3597430406852249</v>
      </c>
      <c r="R15" s="6" t="s">
        <v>23</v>
      </c>
      <c r="V15" s="8"/>
      <c r="BL15" s="4"/>
      <c r="BM15" s="18"/>
      <c r="BN15" s="2"/>
      <c r="BO15" s="2"/>
      <c r="BP15" s="2"/>
      <c r="BQ15" s="2"/>
    </row>
    <row r="16" spans="1:69" ht="18.75">
      <c r="A16" s="11" t="s">
        <v>22</v>
      </c>
      <c r="B16" s="21">
        <v>88</v>
      </c>
      <c r="C16" s="21">
        <v>133</v>
      </c>
      <c r="D16" s="21">
        <v>153</v>
      </c>
      <c r="E16" s="21">
        <v>125</v>
      </c>
      <c r="F16" s="21">
        <v>135</v>
      </c>
      <c r="G16" s="21">
        <v>106</v>
      </c>
      <c r="H16" s="21">
        <v>106</v>
      </c>
      <c r="I16" s="21">
        <v>103</v>
      </c>
      <c r="J16" s="21">
        <v>126</v>
      </c>
      <c r="K16" s="21">
        <v>94</v>
      </c>
      <c r="L16" s="21">
        <v>59</v>
      </c>
      <c r="M16" s="21">
        <v>52</v>
      </c>
      <c r="N16" s="21">
        <v>39</v>
      </c>
      <c r="O16" s="21">
        <v>65</v>
      </c>
      <c r="P16" s="27">
        <f t="shared" si="1"/>
        <v>-25</v>
      </c>
      <c r="Q16" s="27">
        <f t="shared" si="2"/>
        <v>0.41755888650963602</v>
      </c>
      <c r="R16" s="6" t="s">
        <v>30</v>
      </c>
      <c r="V16" s="8"/>
      <c r="BL16" s="4"/>
      <c r="BM16" s="18"/>
      <c r="BN16" s="2"/>
      <c r="BO16" s="2"/>
      <c r="BP16" s="2"/>
      <c r="BQ16" s="2"/>
    </row>
    <row r="17" spans="1:69" ht="18.75">
      <c r="A17" s="22" t="s">
        <v>7</v>
      </c>
      <c r="B17" s="23">
        <v>3034</v>
      </c>
      <c r="C17" s="23">
        <v>3497</v>
      </c>
      <c r="D17" s="23">
        <v>3052</v>
      </c>
      <c r="E17" s="23">
        <v>3053</v>
      </c>
      <c r="F17" s="23">
        <v>3749</v>
      </c>
      <c r="G17" s="23">
        <v>3055</v>
      </c>
      <c r="H17" s="23">
        <v>3298</v>
      </c>
      <c r="I17" s="23">
        <v>3130</v>
      </c>
      <c r="J17" s="23">
        <v>3381</v>
      </c>
      <c r="K17" s="23">
        <v>3101</v>
      </c>
      <c r="L17" s="23">
        <v>2532</v>
      </c>
      <c r="M17" s="23">
        <v>2293</v>
      </c>
      <c r="N17" s="23">
        <v>1745</v>
      </c>
      <c r="O17" s="23">
        <v>1223</v>
      </c>
      <c r="P17" s="28">
        <f t="shared" si="1"/>
        <v>-23.898822503270825</v>
      </c>
      <c r="Q17" s="28">
        <f t="shared" si="2"/>
        <v>18.683083511777301</v>
      </c>
      <c r="R17" s="16" t="s">
        <v>24</v>
      </c>
      <c r="V17" s="8"/>
      <c r="BL17" s="4"/>
      <c r="BM17" s="18"/>
      <c r="BN17" s="2"/>
      <c r="BO17" s="2"/>
      <c r="BP17" s="2"/>
      <c r="BQ17" s="2"/>
    </row>
    <row r="18" spans="1:69">
      <c r="A18" s="10" t="s">
        <v>26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24"/>
      <c r="Q18" s="24"/>
      <c r="R18" s="30" t="s">
        <v>27</v>
      </c>
      <c r="BL18" s="4"/>
      <c r="BM18" s="2"/>
      <c r="BN18" s="2"/>
      <c r="BQ18" s="2"/>
    </row>
    <row r="19" spans="1:69">
      <c r="BL19" s="4"/>
      <c r="BM19" s="2"/>
      <c r="BN19" s="3"/>
      <c r="BO19" s="25" t="s">
        <v>33</v>
      </c>
      <c r="BP19" s="26" t="s">
        <v>34</v>
      </c>
      <c r="BQ19" s="2"/>
    </row>
    <row r="20" spans="1:69">
      <c r="A20" s="14"/>
      <c r="BL20" s="4"/>
      <c r="BM20" s="11"/>
      <c r="BN20" s="4" t="s">
        <v>0</v>
      </c>
      <c r="BO20" s="1">
        <v>4662</v>
      </c>
      <c r="BP20" s="1">
        <f t="shared" ref="BP20:BP31" si="3">O6</f>
        <v>3530</v>
      </c>
    </row>
    <row r="21" spans="1:69">
      <c r="BL21" s="4"/>
      <c r="BM21" s="11"/>
      <c r="BN21" s="4" t="s">
        <v>3</v>
      </c>
      <c r="BO21" s="1">
        <v>1553</v>
      </c>
      <c r="BP21" s="1">
        <f t="shared" si="3"/>
        <v>1249</v>
      </c>
    </row>
    <row r="22" spans="1:69">
      <c r="BL22" s="4"/>
      <c r="BM22" s="11"/>
      <c r="BN22" s="4" t="s">
        <v>5</v>
      </c>
      <c r="BO22" s="1">
        <v>1440</v>
      </c>
      <c r="BP22" s="1">
        <f t="shared" si="3"/>
        <v>1096</v>
      </c>
    </row>
    <row r="23" spans="1:69">
      <c r="BL23" s="4"/>
      <c r="BM23" s="11"/>
      <c r="BN23" s="4" t="s">
        <v>9</v>
      </c>
      <c r="BO23" s="1">
        <v>974</v>
      </c>
      <c r="BP23" s="1">
        <f t="shared" si="3"/>
        <v>806</v>
      </c>
    </row>
    <row r="24" spans="1:69">
      <c r="BL24" s="4"/>
      <c r="BM24" s="11"/>
      <c r="BN24" s="4" t="s">
        <v>6</v>
      </c>
      <c r="BO24" s="1">
        <v>610</v>
      </c>
      <c r="BP24" s="1">
        <f t="shared" si="3"/>
        <v>380</v>
      </c>
    </row>
    <row r="25" spans="1:69" ht="17.25">
      <c r="A25" s="1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7"/>
      <c r="Q25" s="7"/>
      <c r="R25" s="13"/>
      <c r="BL25" s="4"/>
      <c r="BM25" s="11"/>
      <c r="BN25" s="4" t="s">
        <v>13</v>
      </c>
      <c r="BO25" s="1">
        <v>503</v>
      </c>
      <c r="BP25" s="1">
        <f t="shared" si="3"/>
        <v>343</v>
      </c>
    </row>
    <row r="26" spans="1:69">
      <c r="BL26" s="4"/>
      <c r="BM26" s="11"/>
      <c r="BN26" s="4" t="s">
        <v>11</v>
      </c>
      <c r="BO26" s="1">
        <v>377</v>
      </c>
      <c r="BP26" s="1">
        <f t="shared" si="3"/>
        <v>241</v>
      </c>
    </row>
    <row r="27" spans="1:69">
      <c r="BM27" s="11"/>
      <c r="BN27" s="4" t="s">
        <v>18</v>
      </c>
      <c r="BO27" s="1">
        <v>342</v>
      </c>
      <c r="BP27" s="1">
        <f t="shared" si="3"/>
        <v>107</v>
      </c>
    </row>
    <row r="28" spans="1:69">
      <c r="BM28" s="11"/>
      <c r="BN28" s="4" t="s">
        <v>17</v>
      </c>
      <c r="BO28" s="1">
        <v>987</v>
      </c>
      <c r="BP28" s="1">
        <f t="shared" si="3"/>
        <v>373</v>
      </c>
    </row>
    <row r="29" spans="1:69">
      <c r="BM29" s="11"/>
      <c r="BN29" s="4" t="s">
        <v>20</v>
      </c>
      <c r="BO29" s="1">
        <v>267</v>
      </c>
      <c r="BP29" s="1">
        <f t="shared" si="3"/>
        <v>107</v>
      </c>
    </row>
    <row r="30" spans="1:69">
      <c r="BM30" s="11"/>
      <c r="BN30" s="4" t="s">
        <v>22</v>
      </c>
      <c r="BO30" s="1">
        <v>150</v>
      </c>
      <c r="BP30" s="1">
        <f t="shared" si="3"/>
        <v>65</v>
      </c>
    </row>
    <row r="31" spans="1:69">
      <c r="BM31" s="11"/>
      <c r="BN31" s="15" t="s">
        <v>7</v>
      </c>
      <c r="BO31" s="1">
        <v>2278</v>
      </c>
      <c r="BP31" s="1">
        <f t="shared" si="3"/>
        <v>1223</v>
      </c>
    </row>
  </sheetData>
  <mergeCells count="18">
    <mergeCell ref="M3:M4"/>
    <mergeCell ref="N3:N4"/>
    <mergeCell ref="A1:R1"/>
    <mergeCell ref="A2:R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R3:R4"/>
    <mergeCell ref="O3:O4"/>
  </mergeCells>
  <pageMargins left="0.7" right="0.7" top="0.75" bottom="0.75" header="0.3" footer="0.3"/>
  <pageSetup paperSize="9" scale="67" orientation="portrait" horizontalDpi="4294967295" verticalDpi="4294967295" r:id="rId1"/>
  <colBreaks count="1" manualBreakCount="1">
    <brk id="2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8.12</vt:lpstr>
      <vt:lpstr>'8.12'!Print_Area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2023-05-16T12:10:34Z</cp:lastPrinted>
  <dcterms:created xsi:type="dcterms:W3CDTF">2019-06-30T04:22:49Z</dcterms:created>
  <dcterms:modified xsi:type="dcterms:W3CDTF">2023-05-16T12:10:43Z</dcterms:modified>
</cp:coreProperties>
</file>