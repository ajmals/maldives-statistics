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390C0F56-D6B1-4C28-B577-D1F6501A2262}" xr6:coauthVersionLast="47" xr6:coauthVersionMax="47" xr10:uidLastSave="{00000000-0000-0000-0000-000000000000}"/>
  <bookViews>
    <workbookView xWindow="-110" yWindow="-110" windowWidth="19420" windowHeight="10300" tabRatio="877" xr2:uid="{00000000-000D-0000-FFFF-FFFF00000000}"/>
  </bookViews>
  <sheets>
    <sheet name="8.13" sheetId="13" r:id="rId1"/>
  </sheets>
  <definedNames>
    <definedName name="_xlnm.Print_Area" localSheetId="0">'8.13'!$A$1:$R$66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44" i="13" l="1"/>
  <c r="BA44" i="13"/>
  <c r="AZ45" i="13"/>
  <c r="BA45" i="13"/>
  <c r="AZ46" i="13"/>
  <c r="BA46" i="13"/>
  <c r="AZ47" i="13"/>
  <c r="BA47" i="13"/>
  <c r="AZ48" i="13"/>
  <c r="BA48" i="13"/>
  <c r="AZ49" i="13"/>
  <c r="BA49" i="13"/>
  <c r="AZ50" i="13"/>
  <c r="BA50" i="13"/>
  <c r="AZ51" i="13"/>
  <c r="BA51" i="13"/>
  <c r="AZ52" i="13"/>
  <c r="BA52" i="13"/>
  <c r="AZ53" i="13"/>
  <c r="BA53" i="13"/>
  <c r="AZ54" i="13"/>
  <c r="BA54" i="13"/>
  <c r="BA43" i="13"/>
  <c r="AZ43" i="13"/>
  <c r="P8" i="13" l="1"/>
  <c r="O8" i="13"/>
  <c r="L8" i="13"/>
  <c r="N8" i="13" l="1"/>
  <c r="BB43" i="13"/>
  <c r="BB49" i="13"/>
  <c r="BD49" i="13" s="1"/>
  <c r="BB53" i="13"/>
  <c r="BB50" i="13" l="1"/>
  <c r="BD50" i="13" s="1"/>
  <c r="BB48" i="13"/>
  <c r="BB46" i="13"/>
  <c r="BD46" i="13" s="1"/>
  <c r="BB47" i="13"/>
  <c r="BD47" i="13" s="1"/>
  <c r="BB45" i="13"/>
  <c r="BD45" i="13" s="1"/>
  <c r="BB52" i="13"/>
  <c r="BD52" i="13" s="1"/>
  <c r="BB44" i="13"/>
  <c r="BD44" i="13" s="1"/>
  <c r="BB51" i="13"/>
  <c r="BD51" i="13" s="1"/>
  <c r="G20" i="13" l="1"/>
  <c r="G8" i="13" s="1"/>
  <c r="B20" i="13"/>
  <c r="B8" i="13" s="1"/>
  <c r="E20" i="13"/>
  <c r="F20" i="13"/>
  <c r="K20" i="13"/>
  <c r="J20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19" i="13"/>
  <c r="I18" i="13"/>
  <c r="I17" i="13"/>
  <c r="I16" i="13"/>
  <c r="I15" i="13"/>
  <c r="I14" i="13"/>
  <c r="I13" i="13"/>
  <c r="I12" i="13"/>
  <c r="I11" i="13"/>
  <c r="I10" i="13"/>
  <c r="I9" i="13"/>
  <c r="D20" i="13" l="1"/>
  <c r="K8" i="13"/>
  <c r="J8" i="13"/>
  <c r="I20" i="13"/>
  <c r="I8" i="13" l="1"/>
  <c r="BB54" i="13"/>
  <c r="BD54" i="13" s="1"/>
  <c r="BE44" i="13" l="1"/>
  <c r="BE45" i="13"/>
  <c r="BE46" i="13"/>
  <c r="BE47" i="13"/>
  <c r="BE49" i="13"/>
  <c r="BE50" i="13"/>
  <c r="BE51" i="13"/>
  <c r="BE52" i="13"/>
  <c r="BE54" i="13"/>
  <c r="BE43" i="13"/>
  <c r="BD43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19" i="13"/>
  <c r="D18" i="13"/>
  <c r="D17" i="13"/>
  <c r="D16" i="13"/>
  <c r="D15" i="13"/>
  <c r="D14" i="13"/>
  <c r="D13" i="13"/>
  <c r="D12" i="13"/>
  <c r="D11" i="13"/>
  <c r="D10" i="13"/>
  <c r="D9" i="13"/>
  <c r="F8" i="13"/>
  <c r="E8" i="13"/>
  <c r="D8" i="13" s="1"/>
</calcChain>
</file>

<file path=xl/sharedStrings.xml><?xml version="1.0" encoding="utf-8"?>
<sst xmlns="http://schemas.openxmlformats.org/spreadsheetml/2006/main" count="128" uniqueCount="65">
  <si>
    <t>Theft</t>
  </si>
  <si>
    <t>Total</t>
  </si>
  <si>
    <t>Traffic accidents</t>
  </si>
  <si>
    <t>ވައްކަން</t>
  </si>
  <si>
    <t>Drugs</t>
  </si>
  <si>
    <t>ޓްރެފިކް</t>
  </si>
  <si>
    <t>Assault</t>
  </si>
  <si>
    <t>Others</t>
  </si>
  <si>
    <t>މަސްތުވާތަކެތި</t>
  </si>
  <si>
    <t>ގެއްލޭތަކެތި</t>
  </si>
  <si>
    <t>Robbery</t>
  </si>
  <si>
    <t>މާރާމާރީ</t>
  </si>
  <si>
    <t>Vandalism</t>
  </si>
  <si>
    <t>މުދަލަށް ގެއްލުންދިނުން</t>
  </si>
  <si>
    <t>Sexual Offences</t>
  </si>
  <si>
    <t>Threats; False Alarms</t>
  </si>
  <si>
    <t>ފޭރުން</t>
  </si>
  <si>
    <t>Embezzlement</t>
  </si>
  <si>
    <t>Domestic violence</t>
  </si>
  <si>
    <t>މަކަރާއި ޙީލަތް</t>
  </si>
  <si>
    <t>Counterfeit and forgery</t>
  </si>
  <si>
    <t>އާއިލީ</t>
  </si>
  <si>
    <t>Disorderly Conduct</t>
  </si>
  <si>
    <t>Deceptive Practices</t>
  </si>
  <si>
    <t>އެހެނިހެން</t>
  </si>
  <si>
    <t>Arson</t>
  </si>
  <si>
    <t>ހުޅުޖެހުން</t>
  </si>
  <si>
    <t>Lost items</t>
  </si>
  <si>
    <t>Attempted Suicides</t>
  </si>
  <si>
    <t>އަމިއްލައަށް މަރުވާން އުޅުން</t>
  </si>
  <si>
    <t>Obstructing Justice</t>
  </si>
  <si>
    <t>Causing, Aiding or Soliciting Suicide</t>
  </si>
  <si>
    <t>އަމިއްލައަށް /  އެހެނިހެން ގޮތްގޮތަށް މަރުވުން</t>
  </si>
  <si>
    <t>Child Abandonment and Parental Duty of Care</t>
  </si>
  <si>
    <t>ދަރިންނަށް އިޙްމާލުވުން ފަދަ މައްސަލަތައް</t>
  </si>
  <si>
    <t>މަކަރުހެދުމާއި އޮޅުވާލުން</t>
  </si>
  <si>
    <t>އަޚްލާޤީ ގޮތުން ދަށުދަރަޖައިގެ ޢަމަލުތައް</t>
  </si>
  <si>
    <t>އަމުރަށް ނުކިޔަމަންތެރިވުމާއި ވާޖިބަށް ހުރަސްއެޅުން</t>
  </si>
  <si>
    <t>Producing or Distributing Obscene Material</t>
  </si>
  <si>
    <t>އޮރިޔާން ފޮޓޯ / ފިލްމުގެ މައްސަލަތައް</t>
  </si>
  <si>
    <t>Theft by Deception</t>
  </si>
  <si>
    <t>ޓެކުން އަދި ފްރޯޑް</t>
  </si>
  <si>
    <t>ބިރުދެއްކުމާއި އިންޒާރުދިނުން</t>
  </si>
  <si>
    <t>Trafficking, Manufacture, Sale, or Possession of Firearms or Catastrophic Agents</t>
  </si>
  <si>
    <t>ހަތިޔާރު / ގޮވާތަކެތީގެ މައްސަލަތައް</t>
  </si>
  <si>
    <t>Use of a Dangerous Weapon During an Offense</t>
  </si>
  <si>
    <t>ހަތިޔާރު ބޭނުންކުރުން</t>
  </si>
  <si>
    <t>Source: Maldives Police Service</t>
  </si>
  <si>
    <t>csivrws csilop cscviDclOm :Ivcaed utWmUluAwm</t>
  </si>
  <si>
    <t>ޖުމްލަ</t>
  </si>
  <si>
    <t>ވަގުފައިސާ</t>
  </si>
  <si>
    <t>Type of offence</t>
  </si>
  <si>
    <t>ކުށުގެ ބާވަތް</t>
  </si>
  <si>
    <t>Number of Logged cases</t>
  </si>
  <si>
    <r>
      <rPr>
        <b/>
        <sz val="9"/>
        <color theme="1"/>
        <rFont val="Calibri"/>
        <family val="2"/>
        <scheme val="minor"/>
      </rPr>
      <t>Number of Detainees</t>
    </r>
    <r>
      <rPr>
        <b/>
        <sz val="9"/>
        <color theme="1"/>
        <rFont val="Faruma"/>
        <family val="3"/>
      </rPr>
      <t xml:space="preserve">  ހައްޔަރުކުރެވުނު މީހުންގެ އަދަދު</t>
    </r>
  </si>
  <si>
    <t>Both Sexes</t>
  </si>
  <si>
    <t>Male</t>
  </si>
  <si>
    <t>Female</t>
  </si>
  <si>
    <t xml:space="preserve">ހުށަހެޅިފައިވާ މައްސަލަތަކުގެ އަދަދު </t>
  </si>
  <si>
    <t>ދެޖިންސް</t>
  </si>
  <si>
    <t xml:space="preserve">ފިރިހެން </t>
  </si>
  <si>
    <t xml:space="preserve">އަންހެން </t>
  </si>
  <si>
    <t>ޖިންސީ މައްސަލަ</t>
  </si>
  <si>
    <t>Table 8.13: NUMBER OF DETAINEES REPORTED BY TYPE OF OFFENCE AND SEX, 2019 - 2021</t>
  </si>
  <si>
    <t xml:space="preserve">2021 - 2019  ،ތާވަލު 8.13: ހުށަހެޅިފައިވާ މައްސަލަތަކުގެ ތެރެއިން ހައްޔަރުކުރެވުނު މީހުންގެ އަދަދު އަދި ޖިންސް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</si>
</sst>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General_)"/>
    <numFmt numFmtId="166" formatCode="0.0"/>
    <numFmt numFmtId="167" formatCode="_-* #,##0_-;\-* #,##0_-;_-* &quot;-&quot;??_-;_-@_-"/>
    <numFmt numFmtId="168" formatCode="#,##0.0"/>
    <numFmt numFmtId="169" formatCode="0.00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Faruma"/>
      <family val="3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9"/>
      <color rgb="FF000000"/>
      <name val="Faruma"/>
      <family val="3"/>
    </font>
    <font>
      <b/>
      <sz val="11"/>
      <color theme="1"/>
      <name val="Faruma"/>
      <family val="3"/>
    </font>
    <font>
      <b/>
      <sz val="10"/>
      <color theme="1"/>
      <name val="Faruma"/>
      <family val="3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Faruma"/>
      <family val="3"/>
    </font>
    <font>
      <b/>
      <sz val="12"/>
      <color theme="1"/>
      <name val="Faruma"/>
      <family val="3"/>
    </font>
    <font>
      <sz val="11"/>
      <color theme="1"/>
      <name val="Faruma"/>
      <family val="3"/>
    </font>
    <font>
      <b/>
      <sz val="9"/>
      <color theme="1"/>
      <name val="Arial"/>
      <family val="2"/>
    </font>
    <font>
      <sz val="11"/>
      <color rgb="FF000000"/>
      <name val="Faruma"/>
      <family val="3"/>
    </font>
    <font>
      <sz val="10"/>
      <name val="Arial"/>
      <family val="2"/>
    </font>
    <font>
      <b/>
      <sz val="15"/>
      <color theme="3"/>
      <name val="Arial Mäori"/>
      <family val="2"/>
    </font>
    <font>
      <sz val="10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hair">
        <color indexed="64"/>
      </right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hair">
        <color theme="1"/>
      </top>
      <bottom/>
      <diagonal/>
    </border>
    <border>
      <left/>
      <right/>
      <top style="hair">
        <color theme="1"/>
      </top>
      <bottom style="hair">
        <color theme="1"/>
      </bottom>
      <diagonal/>
    </border>
    <border>
      <left/>
      <right style="hair">
        <color indexed="64"/>
      </right>
      <top style="hair">
        <color theme="1"/>
      </top>
      <bottom style="hair">
        <color theme="1"/>
      </bottom>
      <diagonal/>
    </border>
    <border>
      <left/>
      <right style="thin">
        <color theme="0"/>
      </right>
      <top style="hair">
        <color theme="1"/>
      </top>
      <bottom style="hair">
        <color theme="1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hair">
        <color theme="1"/>
      </top>
      <bottom/>
      <diagonal/>
    </border>
    <border>
      <left/>
      <right/>
      <top/>
      <bottom style="thick">
        <color theme="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167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168" fontId="14" fillId="0" borderId="0"/>
    <xf numFmtId="0" fontId="26" fillId="0" borderId="30" applyNumberFormat="0" applyFill="0" applyAlignment="0" applyProtection="0"/>
    <xf numFmtId="0" fontId="25" fillId="0" borderId="0"/>
    <xf numFmtId="0" fontId="25" fillId="0" borderId="0"/>
  </cellStyleXfs>
  <cellXfs count="104">
    <xf numFmtId="0" fontId="0" fillId="0" borderId="0" xfId="0"/>
    <xf numFmtId="165" fontId="4" fillId="2" borderId="0" xfId="0" applyNumberFormat="1" applyFont="1" applyFill="1" applyAlignment="1">
      <alignment vertical="center"/>
    </xf>
    <xf numFmtId="165" fontId="7" fillId="2" borderId="0" xfId="0" applyNumberFormat="1" applyFont="1" applyFill="1" applyAlignment="1">
      <alignment vertical="center"/>
    </xf>
    <xf numFmtId="166" fontId="0" fillId="2" borderId="0" xfId="0" applyNumberFormat="1" applyFill="1"/>
    <xf numFmtId="165" fontId="11" fillId="2" borderId="0" xfId="0" applyNumberFormat="1" applyFont="1" applyFill="1" applyAlignment="1">
      <alignment horizontal="left" vertical="center" indent="2"/>
    </xf>
    <xf numFmtId="165" fontId="5" fillId="2" borderId="0" xfId="0" applyNumberFormat="1" applyFont="1" applyFill="1" applyAlignment="1">
      <alignment horizontal="right" vertical="center" indent="2"/>
    </xf>
    <xf numFmtId="165" fontId="11" fillId="2" borderId="1" xfId="0" applyNumberFormat="1" applyFont="1" applyFill="1" applyBorder="1" applyAlignment="1">
      <alignment horizontal="left" vertical="center" indent="2"/>
    </xf>
    <xf numFmtId="165" fontId="5" fillId="2" borderId="1" xfId="0" applyNumberFormat="1" applyFont="1" applyFill="1" applyBorder="1" applyAlignment="1">
      <alignment horizontal="right" vertical="center" indent="2"/>
    </xf>
    <xf numFmtId="0" fontId="0" fillId="2" borderId="0" xfId="0" applyFill="1"/>
    <xf numFmtId="0" fontId="6" fillId="2" borderId="0" xfId="0" applyFont="1" applyFill="1" applyAlignment="1">
      <alignment horizontal="center"/>
    </xf>
    <xf numFmtId="0" fontId="2" fillId="2" borderId="0" xfId="0" applyFont="1" applyFill="1" applyAlignment="1">
      <alignment vertical="center"/>
    </xf>
    <xf numFmtId="3" fontId="12" fillId="2" borderId="0" xfId="1" applyNumberFormat="1" applyFont="1" applyFill="1" applyBorder="1" applyAlignment="1">
      <alignment horizontal="right" vertical="center"/>
    </xf>
    <xf numFmtId="0" fontId="22" fillId="2" borderId="0" xfId="0" applyFont="1" applyFill="1"/>
    <xf numFmtId="0" fontId="9" fillId="2" borderId="0" xfId="0" applyFont="1" applyFill="1"/>
    <xf numFmtId="0" fontId="6" fillId="2" borderId="10" xfId="0" applyFont="1" applyFill="1" applyBorder="1"/>
    <xf numFmtId="0" fontId="6" fillId="2" borderId="14" xfId="0" applyFont="1" applyFill="1" applyBorder="1" applyAlignment="1">
      <alignment horizontal="center" vertical="center"/>
    </xf>
    <xf numFmtId="0" fontId="6" fillId="2" borderId="0" xfId="0" applyFont="1" applyFill="1"/>
    <xf numFmtId="0" fontId="12" fillId="2" borderId="0" xfId="0" applyFont="1" applyFill="1" applyAlignment="1">
      <alignment horizontal="center" vertical="center"/>
    </xf>
    <xf numFmtId="0" fontId="12" fillId="2" borderId="6" xfId="0" applyFont="1" applyFill="1" applyBorder="1" applyAlignment="1">
      <alignment horizontal="right" vertical="center" wrapText="1"/>
    </xf>
    <xf numFmtId="0" fontId="12" fillId="2" borderId="0" xfId="0" applyFont="1" applyFill="1"/>
    <xf numFmtId="0" fontId="17" fillId="2" borderId="4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right" vertical="center" wrapText="1"/>
    </xf>
    <xf numFmtId="167" fontId="3" fillId="2" borderId="7" xfId="1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>
      <alignment horizontal="right" vertical="center"/>
    </xf>
    <xf numFmtId="3" fontId="2" fillId="2" borderId="0" xfId="1" applyNumberFormat="1" applyFont="1" applyFill="1" applyBorder="1" applyAlignment="1">
      <alignment horizontal="right" vertical="center"/>
    </xf>
    <xf numFmtId="0" fontId="16" fillId="2" borderId="5" xfId="0" applyFont="1" applyFill="1" applyBorder="1" applyAlignment="1">
      <alignment vertical="center"/>
    </xf>
    <xf numFmtId="169" fontId="12" fillId="2" borderId="0" xfId="0" applyNumberFormat="1" applyFont="1" applyFill="1" applyAlignment="1">
      <alignment vertical="center"/>
    </xf>
    <xf numFmtId="3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167" fontId="8" fillId="2" borderId="0" xfId="1" applyNumberFormat="1" applyFont="1" applyFill="1" applyBorder="1" applyAlignment="1">
      <alignment horizontal="right" vertical="center"/>
    </xf>
    <xf numFmtId="3" fontId="1" fillId="2" borderId="0" xfId="1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67" fontId="8" fillId="2" borderId="7" xfId="1" applyNumberFormat="1" applyFont="1" applyFill="1" applyBorder="1" applyAlignment="1">
      <alignment horizontal="right" vertical="center"/>
    </xf>
    <xf numFmtId="0" fontId="24" fillId="2" borderId="0" xfId="0" applyFont="1" applyFill="1" applyAlignment="1">
      <alignment horizontal="right" vertical="center" wrapText="1"/>
    </xf>
    <xf numFmtId="169" fontId="6" fillId="2" borderId="0" xfId="0" applyNumberFormat="1" applyFont="1" applyFill="1" applyAlignment="1">
      <alignment vertical="center"/>
    </xf>
    <xf numFmtId="167" fontId="1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left" vertical="center"/>
    </xf>
    <xf numFmtId="3" fontId="8" fillId="2" borderId="0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6" fillId="2" borderId="9" xfId="0" applyFont="1" applyFill="1" applyBorder="1"/>
    <xf numFmtId="165" fontId="11" fillId="2" borderId="0" xfId="0" applyNumberFormat="1" applyFont="1" applyFill="1" applyAlignment="1">
      <alignment horizontal="left" vertical="center" wrapText="1" indent="2"/>
    </xf>
    <xf numFmtId="3" fontId="8" fillId="2" borderId="24" xfId="1" applyNumberFormat="1" applyFont="1" applyFill="1" applyBorder="1" applyAlignment="1">
      <alignment horizontal="right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25" xfId="0" applyFont="1" applyFill="1" applyBorder="1"/>
    <xf numFmtId="0" fontId="6" fillId="2" borderId="0" xfId="0" applyFont="1" applyFill="1" applyAlignment="1">
      <alignment horizontal="left" vertical="center" wrapText="1"/>
    </xf>
    <xf numFmtId="0" fontId="15" fillId="2" borderId="5" xfId="0" applyFont="1" applyFill="1" applyBorder="1" applyAlignment="1">
      <alignment vertical="top"/>
    </xf>
    <xf numFmtId="0" fontId="6" fillId="2" borderId="13" xfId="0" applyFont="1" applyFill="1" applyBorder="1"/>
    <xf numFmtId="0" fontId="6" fillId="2" borderId="14" xfId="0" applyFont="1" applyFill="1" applyBorder="1"/>
    <xf numFmtId="0" fontId="12" fillId="2" borderId="2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right" vertical="center" wrapText="1"/>
    </xf>
    <xf numFmtId="167" fontId="8" fillId="2" borderId="26" xfId="1" applyNumberFormat="1" applyFont="1" applyFill="1" applyBorder="1" applyAlignment="1">
      <alignment horizontal="right" vertical="center"/>
    </xf>
    <xf numFmtId="3" fontId="0" fillId="2" borderId="0" xfId="0" applyNumberFormat="1" applyFill="1" applyAlignment="1">
      <alignment horizontal="right" vertical="center"/>
    </xf>
    <xf numFmtId="3" fontId="0" fillId="2" borderId="1" xfId="0" applyNumberFormat="1" applyFill="1" applyBorder="1" applyAlignment="1">
      <alignment horizontal="right" vertical="center"/>
    </xf>
    <xf numFmtId="0" fontId="6" fillId="2" borderId="27" xfId="0" applyFont="1" applyFill="1" applyBorder="1"/>
    <xf numFmtId="0" fontId="6" fillId="2" borderId="2" xfId="0" applyFont="1" applyFill="1" applyBorder="1"/>
    <xf numFmtId="0" fontId="6" fillId="2" borderId="27" xfId="0" applyFont="1" applyFill="1" applyBorder="1" applyAlignment="1">
      <alignment horizontal="center" vertical="center"/>
    </xf>
    <xf numFmtId="0" fontId="0" fillId="2" borderId="0" xfId="0" applyFill="1" applyAlignment="1">
      <alignment vertical="top"/>
    </xf>
    <xf numFmtId="0" fontId="0" fillId="2" borderId="9" xfId="0" applyFill="1" applyBorder="1"/>
    <xf numFmtId="0" fontId="0" fillId="2" borderId="11" xfId="0" applyFill="1" applyBorder="1"/>
    <xf numFmtId="1" fontId="6" fillId="2" borderId="0" xfId="0" applyNumberFormat="1" applyFont="1" applyFill="1" applyAlignment="1">
      <alignment horizontal="right" indent="1"/>
    </xf>
    <xf numFmtId="3" fontId="2" fillId="2" borderId="6" xfId="1" applyNumberFormat="1" applyFont="1" applyFill="1" applyBorder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12" fillId="2" borderId="19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3" fontId="6" fillId="2" borderId="0" xfId="0" applyNumberFormat="1" applyFont="1" applyFill="1"/>
    <xf numFmtId="3" fontId="1" fillId="2" borderId="6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>
      <alignment horizontal="right" vertical="center"/>
    </xf>
    <xf numFmtId="167" fontId="18" fillId="2" borderId="1" xfId="1" applyNumberFormat="1" applyFont="1" applyFill="1" applyBorder="1" applyAlignment="1">
      <alignment horizontal="right" vertical="center"/>
    </xf>
    <xf numFmtId="3" fontId="8" fillId="2" borderId="4" xfId="1" applyNumberFormat="1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right" vertical="center" wrapText="1"/>
    </xf>
    <xf numFmtId="0" fontId="10" fillId="2" borderId="27" xfId="0" applyFont="1" applyFill="1" applyBorder="1" applyAlignment="1">
      <alignment vertical="center"/>
    </xf>
    <xf numFmtId="167" fontId="8" fillId="2" borderId="4" xfId="1" applyNumberFormat="1" applyFont="1" applyFill="1" applyBorder="1" applyAlignment="1">
      <alignment horizontal="right" vertical="center"/>
    </xf>
    <xf numFmtId="3" fontId="1" fillId="2" borderId="1" xfId="1" applyNumberFormat="1" applyFon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165" fontId="27" fillId="2" borderId="8" xfId="0" applyNumberFormat="1" applyFont="1" applyFill="1" applyBorder="1" applyAlignment="1">
      <alignment horizontal="right" vertical="center"/>
    </xf>
    <xf numFmtId="0" fontId="12" fillId="2" borderId="1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12" fillId="2" borderId="15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right" vertical="center"/>
    </xf>
    <xf numFmtId="0" fontId="17" fillId="2" borderId="23" xfId="0" applyFont="1" applyFill="1" applyBorder="1" applyAlignment="1">
      <alignment horizontal="right" vertical="center"/>
    </xf>
    <xf numFmtId="0" fontId="17" fillId="2" borderId="0" xfId="0" applyFont="1" applyFill="1" applyAlignment="1">
      <alignment horizontal="right" vertical="center"/>
    </xf>
    <xf numFmtId="0" fontId="17" fillId="2" borderId="1" xfId="0" applyFont="1" applyFill="1" applyBorder="1" applyAlignment="1">
      <alignment horizontal="right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right" vertical="center" wrapText="1"/>
    </xf>
    <xf numFmtId="0" fontId="12" fillId="2" borderId="7" xfId="0" applyFont="1" applyFill="1" applyBorder="1" applyAlignment="1">
      <alignment horizontal="right" vertical="center" wrapText="1"/>
    </xf>
    <xf numFmtId="0" fontId="23" fillId="2" borderId="20" xfId="0" applyFont="1" applyFill="1" applyBorder="1" applyAlignment="1">
      <alignment horizontal="center" vertical="center"/>
    </xf>
    <xf numFmtId="0" fontId="23" fillId="2" borderId="21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2" fillId="2" borderId="19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23" fillId="2" borderId="2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6969"/>
      <color rgb="FFFFEFEF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baseline="0">
                <a:effectLst/>
                <a:latin typeface="+mj-lt"/>
              </a:rPr>
              <a:t>Figure 8.19: Percentage of detainees reported by type of offence and sex, 2021</a:t>
            </a:r>
            <a:endParaRPr lang="en-US" sz="1600">
              <a:effectLst/>
              <a:latin typeface="+mj-lt"/>
            </a:endParaRPr>
          </a:p>
        </c:rich>
      </c:tx>
      <c:layout>
        <c:manualLayout>
          <c:xMode val="edge"/>
          <c:yMode val="edge"/>
          <c:x val="0.17469692421866365"/>
          <c:y val="3.0226794112813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712559457748407E-2"/>
          <c:y val="0.17171296296296296"/>
          <c:w val="0.90046768228295926"/>
          <c:h val="0.6525499493781419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'8.13'!$BD$42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C5C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'8.13'!$AY$43:$AY$53</c15:sqref>
                  </c15:fullRef>
                </c:ext>
              </c:extLst>
              <c:f>('8.13'!$AY$43:$AY$47,'8.13'!$AY$49:$AY$52)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'8.13'!$BD$43:$BD$53</c15:sqref>
                  </c15:fullRef>
                </c:ext>
              </c:extLst>
              <c:f>('8.13'!$BD$43:$BD$47,'8.13'!$BD$49:$BD$52)</c:f>
              <c:numCache>
                <c:formatCode>0</c:formatCode>
                <c:ptCount val="9"/>
                <c:pt idx="0">
                  <c:v>97.083333333333329</c:v>
                </c:pt>
                <c:pt idx="1">
                  <c:v>98.960498960498967</c:v>
                </c:pt>
                <c:pt idx="2">
                  <c:v>96.226415094339629</c:v>
                </c:pt>
                <c:pt idx="3">
                  <c:v>98.212689901697942</c:v>
                </c:pt>
                <c:pt idx="4">
                  <c:v>95.454545454545453</c:v>
                </c:pt>
                <c:pt idx="5">
                  <c:v>100</c:v>
                </c:pt>
                <c:pt idx="6">
                  <c:v>100</c:v>
                </c:pt>
                <c:pt idx="7">
                  <c:v>98.039215686274503</c:v>
                </c:pt>
                <c:pt idx="8">
                  <c:v>96.551724137931032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7-4F78-83CD-571957C46433}"/>
            </c:ext>
          </c:extLst>
        </c:ser>
        <c:ser>
          <c:idx val="1"/>
          <c:order val="1"/>
          <c:tx>
            <c:strRef>
              <c:f>'8.13'!$BE$42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'8.13'!$AY$43:$AY$53</c15:sqref>
                  </c15:fullRef>
                </c:ext>
              </c:extLst>
              <c:f>('8.13'!$AY$43:$AY$47,'8.13'!$AY$49:$AY$52)</c:f>
              <c:strCache>
                <c:ptCount val="9"/>
                <c:pt idx="0">
                  <c:v>Assault</c:v>
                </c:pt>
                <c:pt idx="1">
                  <c:v>Theft</c:v>
                </c:pt>
                <c:pt idx="2">
                  <c:v>Robbery</c:v>
                </c:pt>
                <c:pt idx="3">
                  <c:v>Drugs</c:v>
                </c:pt>
                <c:pt idx="4">
                  <c:v>Sexual Offences</c:v>
                </c:pt>
                <c:pt idx="5">
                  <c:v>Domestic violence</c:v>
                </c:pt>
                <c:pt idx="6">
                  <c:v>Counterfeit and forgery</c:v>
                </c:pt>
                <c:pt idx="7">
                  <c:v>Vandalism</c:v>
                </c:pt>
                <c:pt idx="8">
                  <c:v>Embezzlement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'8.13'!$BE$43:$BE$53</c15:sqref>
                  </c15:fullRef>
                </c:ext>
              </c:extLst>
              <c:f>('8.13'!$BE$43:$BE$47,'8.13'!$BE$49:$BE$52)</c:f>
              <c:numCache>
                <c:formatCode>0</c:formatCode>
                <c:ptCount val="9"/>
                <c:pt idx="0">
                  <c:v>2.9166666666666665</c:v>
                </c:pt>
                <c:pt idx="1">
                  <c:v>1.0395010395010396</c:v>
                </c:pt>
                <c:pt idx="2">
                  <c:v>3.7735849056603774</c:v>
                </c:pt>
                <c:pt idx="3">
                  <c:v>1.7873100983020553</c:v>
                </c:pt>
                <c:pt idx="4">
                  <c:v>4.5454545454545459</c:v>
                </c:pt>
                <c:pt idx="5">
                  <c:v>0</c:v>
                </c:pt>
                <c:pt idx="6">
                  <c:v>0</c:v>
                </c:pt>
                <c:pt idx="7">
                  <c:v>1.9607843137254901</c:v>
                </c:pt>
                <c:pt idx="8">
                  <c:v>3.4482758620689653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7-4F78-83CD-571957C46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157824"/>
        <c:axId val="132159360"/>
      </c:barChart>
      <c:catAx>
        <c:axId val="132157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9360"/>
        <c:crosses val="autoZero"/>
        <c:auto val="1"/>
        <c:lblAlgn val="ctr"/>
        <c:lblOffset val="100"/>
        <c:noMultiLvlLbl val="0"/>
      </c:catAx>
      <c:valAx>
        <c:axId val="132159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57824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1729317290505029"/>
          <c:y val="0.8836789411351873"/>
          <c:w val="0.21202311283725028"/>
          <c:h val="9.2065641722958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2513649</xdr:colOff>
      <xdr:row>39</xdr:row>
      <xdr:rowOff>46237</xdr:rowOff>
    </xdr:from>
    <xdr:to>
      <xdr:col>16</xdr:col>
      <xdr:colOff>1435768</xdr:colOff>
      <xdr:row>59</xdr:row>
      <xdr:rowOff>93002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rgb="FF92D050"/>
  </sheetPr>
  <dimension ref="A1:BO545"/>
  <sheetViews>
    <sheetView tabSelected="1" zoomScale="68" zoomScaleNormal="68" zoomScaleSheetLayoutView="70" workbookViewId="0">
      <selection activeCell="N36" sqref="N36"/>
    </sheetView>
  </sheetViews>
  <sheetFormatPr defaultColWidth="9.1796875" defaultRowHeight="13"/>
  <cols>
    <col min="1" max="1" width="41" style="16" customWidth="1"/>
    <col min="2" max="2" width="15.81640625" style="16" customWidth="1"/>
    <col min="3" max="3" width="2" style="16" customWidth="1"/>
    <col min="4" max="6" width="12.26953125" style="16" customWidth="1"/>
    <col min="7" max="7" width="15.81640625" style="16" customWidth="1"/>
    <col min="8" max="8" width="2" style="16" customWidth="1"/>
    <col min="9" max="11" width="12.26953125" style="16" customWidth="1"/>
    <col min="12" max="12" width="15.81640625" style="16" customWidth="1"/>
    <col min="13" max="13" width="2" style="16" customWidth="1"/>
    <col min="14" max="16" width="12.26953125" style="16" customWidth="1"/>
    <col min="17" max="17" width="27.1796875" style="66" customWidth="1"/>
    <col min="18" max="18" width="2" style="16" customWidth="1"/>
    <col min="19" max="55" width="9.1796875" style="16"/>
    <col min="56" max="57" width="14.1796875" style="16" bestFit="1" customWidth="1"/>
    <col min="58" max="61" width="9.1796875" style="16"/>
    <col min="62" max="62" width="12.1796875" style="16" customWidth="1"/>
    <col min="63" max="64" width="9.1796875" style="16"/>
    <col min="65" max="65" width="14.81640625" style="16" customWidth="1"/>
    <col min="66" max="16384" width="9.1796875" style="16"/>
  </cols>
  <sheetData>
    <row r="1" spans="1:64" s="12" customFormat="1" ht="24.75" customHeight="1">
      <c r="A1" s="84" t="s">
        <v>64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</row>
    <row r="2" spans="1:64" s="13" customFormat="1" ht="14.25" customHeight="1">
      <c r="A2" s="86" t="s">
        <v>63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64">
      <c r="A3" s="49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</row>
    <row r="4" spans="1:64" s="17" customFormat="1" ht="19.5" customHeight="1">
      <c r="A4" s="81" t="s">
        <v>51</v>
      </c>
      <c r="B4" s="88">
        <v>2019</v>
      </c>
      <c r="C4" s="88"/>
      <c r="D4" s="88"/>
      <c r="E4" s="88"/>
      <c r="F4" s="89"/>
      <c r="G4" s="94">
        <v>2020</v>
      </c>
      <c r="H4" s="88"/>
      <c r="I4" s="88"/>
      <c r="J4" s="88"/>
      <c r="K4" s="89"/>
      <c r="L4" s="88">
        <v>2021</v>
      </c>
      <c r="M4" s="88"/>
      <c r="N4" s="88"/>
      <c r="O4" s="88"/>
      <c r="P4" s="99"/>
      <c r="Q4" s="90" t="s">
        <v>52</v>
      </c>
      <c r="R4" s="103"/>
    </row>
    <row r="5" spans="1:64" s="17" customFormat="1" ht="19.5" customHeight="1">
      <c r="A5" s="82"/>
      <c r="B5" s="100" t="s">
        <v>53</v>
      </c>
      <c r="C5" s="67"/>
      <c r="D5" s="97" t="s">
        <v>54</v>
      </c>
      <c r="E5" s="97"/>
      <c r="F5" s="98"/>
      <c r="G5" s="95" t="s">
        <v>53</v>
      </c>
      <c r="H5" s="67"/>
      <c r="I5" s="97" t="s">
        <v>54</v>
      </c>
      <c r="J5" s="97"/>
      <c r="K5" s="98"/>
      <c r="L5" s="100" t="s">
        <v>53</v>
      </c>
      <c r="M5" s="67"/>
      <c r="N5" s="97" t="s">
        <v>54</v>
      </c>
      <c r="O5" s="97"/>
      <c r="P5" s="102"/>
      <c r="Q5" s="91"/>
      <c r="R5" s="103"/>
    </row>
    <row r="6" spans="1:64" s="19" customFormat="1" ht="13.5" customHeight="1">
      <c r="A6" s="82"/>
      <c r="B6" s="101"/>
      <c r="C6" s="68"/>
      <c r="D6" s="68" t="s">
        <v>55</v>
      </c>
      <c r="E6" s="68" t="s">
        <v>56</v>
      </c>
      <c r="F6" s="18" t="s">
        <v>57</v>
      </c>
      <c r="G6" s="96"/>
      <c r="H6" s="68"/>
      <c r="I6" s="68" t="s">
        <v>55</v>
      </c>
      <c r="J6" s="68" t="s">
        <v>56</v>
      </c>
      <c r="K6" s="18" t="s">
        <v>57</v>
      </c>
      <c r="L6" s="101"/>
      <c r="M6" s="68"/>
      <c r="N6" s="68" t="s">
        <v>55</v>
      </c>
      <c r="O6" s="68" t="s">
        <v>56</v>
      </c>
      <c r="P6" s="68" t="s">
        <v>57</v>
      </c>
      <c r="Q6" s="92"/>
      <c r="R6" s="103"/>
    </row>
    <row r="7" spans="1:64" s="19" customFormat="1" ht="31.5" customHeight="1">
      <c r="A7" s="83"/>
      <c r="B7" s="21" t="s">
        <v>58</v>
      </c>
      <c r="C7" s="21"/>
      <c r="D7" s="22" t="s">
        <v>59</v>
      </c>
      <c r="E7" s="22" t="s">
        <v>60</v>
      </c>
      <c r="F7" s="54" t="s">
        <v>61</v>
      </c>
      <c r="G7" s="20" t="s">
        <v>58</v>
      </c>
      <c r="H7" s="21"/>
      <c r="I7" s="22" t="s">
        <v>59</v>
      </c>
      <c r="J7" s="22" t="s">
        <v>60</v>
      </c>
      <c r="K7" s="54" t="s">
        <v>61</v>
      </c>
      <c r="L7" s="21" t="s">
        <v>58</v>
      </c>
      <c r="M7" s="21"/>
      <c r="N7" s="22" t="s">
        <v>59</v>
      </c>
      <c r="O7" s="22" t="s">
        <v>60</v>
      </c>
      <c r="P7" s="22" t="s">
        <v>61</v>
      </c>
      <c r="Q7" s="93"/>
      <c r="R7" s="103"/>
    </row>
    <row r="8" spans="1:64" s="10" customFormat="1" ht="21.75" customHeight="1">
      <c r="A8" s="50" t="s">
        <v>1</v>
      </c>
      <c r="B8" s="23">
        <f>SUM(B9:B20)</f>
        <v>16480</v>
      </c>
      <c r="C8" s="24"/>
      <c r="D8" s="25">
        <f>SUM(E8:F8)</f>
        <v>3316</v>
      </c>
      <c r="E8" s="25">
        <f>SUM(E9:E20)</f>
        <v>3229</v>
      </c>
      <c r="F8" s="65">
        <f>SUM(F9:F20)</f>
        <v>87</v>
      </c>
      <c r="G8" s="23">
        <f>SUM(G9:G20)</f>
        <v>12787</v>
      </c>
      <c r="H8" s="24"/>
      <c r="I8" s="25">
        <f>SUM(J8:K8)</f>
        <v>3819</v>
      </c>
      <c r="J8" s="25">
        <f>SUM(J9:J20)</f>
        <v>3758</v>
      </c>
      <c r="K8" s="65">
        <f>SUM(K9:K20)</f>
        <v>61</v>
      </c>
      <c r="L8" s="24">
        <f>SUM(L9:L20)</f>
        <v>14143</v>
      </c>
      <c r="M8" s="24"/>
      <c r="N8" s="25">
        <f>SUM(O8:P8)</f>
        <v>2941</v>
      </c>
      <c r="O8" s="25">
        <f>SUM(O9:O20)</f>
        <v>2885</v>
      </c>
      <c r="P8" s="25">
        <f>SUM(P9:P20)</f>
        <v>56</v>
      </c>
      <c r="Q8" s="26" t="s">
        <v>49</v>
      </c>
      <c r="R8" s="27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  <c r="BE8" s="28"/>
      <c r="BF8" s="28"/>
      <c r="BG8" s="28"/>
      <c r="BH8" s="28"/>
      <c r="BI8" s="29"/>
      <c r="BJ8" s="29"/>
      <c r="BK8" s="29"/>
      <c r="BL8" s="1"/>
    </row>
    <row r="9" spans="1:64" s="29" customFormat="1" ht="19.5" customHeight="1">
      <c r="A9" s="51" t="s">
        <v>6</v>
      </c>
      <c r="B9" s="33">
        <v>631</v>
      </c>
      <c r="C9" s="30"/>
      <c r="D9" s="31">
        <f>SUM(E9:F9)</f>
        <v>210</v>
      </c>
      <c r="E9" s="32">
        <v>207</v>
      </c>
      <c r="F9" s="32">
        <v>3</v>
      </c>
      <c r="G9" s="33">
        <v>661</v>
      </c>
      <c r="H9" s="30"/>
      <c r="I9" s="31">
        <f>SUM(J9:K9)</f>
        <v>324</v>
      </c>
      <c r="J9" s="32">
        <v>321</v>
      </c>
      <c r="K9" s="70">
        <v>3</v>
      </c>
      <c r="L9" s="33">
        <v>610</v>
      </c>
      <c r="M9" s="30"/>
      <c r="N9" s="31">
        <v>240</v>
      </c>
      <c r="O9" s="32">
        <v>233</v>
      </c>
      <c r="P9" s="32">
        <v>7</v>
      </c>
      <c r="Q9" s="34" t="s">
        <v>11</v>
      </c>
      <c r="R9" s="35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L9" s="2"/>
    </row>
    <row r="10" spans="1:64" s="29" customFormat="1" ht="19.5" customHeight="1">
      <c r="A10" s="51" t="s">
        <v>0</v>
      </c>
      <c r="B10" s="33">
        <v>4554</v>
      </c>
      <c r="C10" s="30"/>
      <c r="D10" s="31">
        <f t="shared" ref="D10:D19" si="0">SUM(E10:F10)</f>
        <v>914</v>
      </c>
      <c r="E10" s="32">
        <v>906</v>
      </c>
      <c r="F10" s="32">
        <v>8</v>
      </c>
      <c r="G10" s="33">
        <v>3581</v>
      </c>
      <c r="H10" s="30"/>
      <c r="I10" s="31">
        <f t="shared" ref="I10:I19" si="1">SUM(J10:K10)</f>
        <v>770</v>
      </c>
      <c r="J10" s="32">
        <v>768</v>
      </c>
      <c r="K10" s="70">
        <v>2</v>
      </c>
      <c r="L10" s="33">
        <v>4662</v>
      </c>
      <c r="M10" s="30"/>
      <c r="N10" s="31">
        <v>962</v>
      </c>
      <c r="O10" s="32">
        <v>952</v>
      </c>
      <c r="P10" s="32">
        <v>10</v>
      </c>
      <c r="Q10" s="34" t="s">
        <v>3</v>
      </c>
      <c r="R10" s="35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L10" s="2"/>
    </row>
    <row r="11" spans="1:64" s="29" customFormat="1" ht="19.5" customHeight="1">
      <c r="A11" s="51" t="s">
        <v>10</v>
      </c>
      <c r="B11" s="33">
        <v>483</v>
      </c>
      <c r="C11" s="30"/>
      <c r="D11" s="31">
        <f t="shared" si="0"/>
        <v>137</v>
      </c>
      <c r="E11" s="32">
        <v>131</v>
      </c>
      <c r="F11" s="32">
        <v>6</v>
      </c>
      <c r="G11" s="33">
        <v>348</v>
      </c>
      <c r="H11" s="30"/>
      <c r="I11" s="31">
        <f t="shared" si="1"/>
        <v>100</v>
      </c>
      <c r="J11" s="32">
        <v>95</v>
      </c>
      <c r="K11" s="32">
        <v>5</v>
      </c>
      <c r="L11" s="33">
        <v>377</v>
      </c>
      <c r="M11" s="30"/>
      <c r="N11" s="31">
        <v>106</v>
      </c>
      <c r="O11" s="32">
        <v>102</v>
      </c>
      <c r="P11" s="32">
        <v>4</v>
      </c>
      <c r="Q11" s="34" t="s">
        <v>16</v>
      </c>
      <c r="R11" s="35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L11" s="2"/>
    </row>
    <row r="12" spans="1:64" s="29" customFormat="1" ht="19.5" customHeight="1">
      <c r="A12" s="51" t="s">
        <v>4</v>
      </c>
      <c r="B12" s="33">
        <v>2188</v>
      </c>
      <c r="C12" s="30"/>
      <c r="D12" s="31">
        <f t="shared" si="0"/>
        <v>1490</v>
      </c>
      <c r="E12" s="32">
        <v>1448</v>
      </c>
      <c r="F12" s="32">
        <v>42</v>
      </c>
      <c r="G12" s="33">
        <v>1425</v>
      </c>
      <c r="H12" s="30"/>
      <c r="I12" s="31">
        <f t="shared" si="1"/>
        <v>1219</v>
      </c>
      <c r="J12" s="32">
        <v>1195</v>
      </c>
      <c r="K12" s="32">
        <v>24</v>
      </c>
      <c r="L12" s="33">
        <v>1440</v>
      </c>
      <c r="M12" s="30"/>
      <c r="N12" s="31">
        <v>1119</v>
      </c>
      <c r="O12" s="32">
        <v>1099</v>
      </c>
      <c r="P12" s="32">
        <v>20</v>
      </c>
      <c r="Q12" s="34" t="s">
        <v>8</v>
      </c>
      <c r="R12" s="35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L12" s="2"/>
    </row>
    <row r="13" spans="1:64" s="29" customFormat="1" ht="19.5" customHeight="1">
      <c r="A13" s="51" t="s">
        <v>14</v>
      </c>
      <c r="B13" s="33">
        <v>405</v>
      </c>
      <c r="C13" s="30"/>
      <c r="D13" s="31">
        <f t="shared" si="0"/>
        <v>172</v>
      </c>
      <c r="E13" s="32">
        <v>149</v>
      </c>
      <c r="F13" s="32">
        <v>23</v>
      </c>
      <c r="G13" s="33">
        <v>490</v>
      </c>
      <c r="H13" s="30"/>
      <c r="I13" s="31">
        <f t="shared" si="1"/>
        <v>202</v>
      </c>
      <c r="J13" s="32">
        <v>190</v>
      </c>
      <c r="K13" s="32">
        <v>12</v>
      </c>
      <c r="L13" s="33">
        <v>342</v>
      </c>
      <c r="M13" s="30"/>
      <c r="N13" s="31">
        <v>88</v>
      </c>
      <c r="O13" s="32">
        <v>84</v>
      </c>
      <c r="P13" s="32">
        <v>4</v>
      </c>
      <c r="Q13" s="34" t="s">
        <v>62</v>
      </c>
      <c r="R13" s="35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L13" s="2"/>
    </row>
    <row r="14" spans="1:64" s="29" customFormat="1" ht="19.5" customHeight="1">
      <c r="A14" s="51" t="s">
        <v>2</v>
      </c>
      <c r="B14" s="33">
        <v>2324</v>
      </c>
      <c r="C14" s="30"/>
      <c r="D14" s="31">
        <f t="shared" si="0"/>
        <v>4</v>
      </c>
      <c r="E14" s="32">
        <v>4</v>
      </c>
      <c r="F14" s="32">
        <v>0</v>
      </c>
      <c r="G14" s="33">
        <v>1390</v>
      </c>
      <c r="H14" s="30"/>
      <c r="I14" s="31">
        <f t="shared" si="1"/>
        <v>1</v>
      </c>
      <c r="J14" s="32">
        <v>1</v>
      </c>
      <c r="K14" s="32">
        <v>0</v>
      </c>
      <c r="L14" s="33">
        <v>1553</v>
      </c>
      <c r="M14" s="30"/>
      <c r="N14" s="31">
        <v>0</v>
      </c>
      <c r="O14" s="32">
        <v>0</v>
      </c>
      <c r="P14" s="32">
        <v>0</v>
      </c>
      <c r="Q14" s="34" t="s">
        <v>5</v>
      </c>
      <c r="R14" s="35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L14" s="2"/>
    </row>
    <row r="15" spans="1:64" s="29" customFormat="1" ht="19.5" customHeight="1">
      <c r="A15" s="51" t="s">
        <v>18</v>
      </c>
      <c r="B15" s="33">
        <v>219</v>
      </c>
      <c r="C15" s="30"/>
      <c r="D15" s="31">
        <f t="shared" si="0"/>
        <v>16</v>
      </c>
      <c r="E15" s="32">
        <v>16</v>
      </c>
      <c r="F15" s="32">
        <v>0</v>
      </c>
      <c r="G15" s="33">
        <v>245</v>
      </c>
      <c r="H15" s="30"/>
      <c r="I15" s="31">
        <f t="shared" si="1"/>
        <v>24</v>
      </c>
      <c r="J15" s="32">
        <v>24</v>
      </c>
      <c r="K15" s="32">
        <v>0</v>
      </c>
      <c r="L15" s="33">
        <v>267</v>
      </c>
      <c r="M15" s="30"/>
      <c r="N15" s="31">
        <v>24</v>
      </c>
      <c r="O15" s="32">
        <v>24</v>
      </c>
      <c r="P15" s="32">
        <v>0</v>
      </c>
      <c r="Q15" s="34" t="s">
        <v>21</v>
      </c>
      <c r="R15" s="35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L15" s="2"/>
    </row>
    <row r="16" spans="1:64" s="29" customFormat="1" ht="19.5" customHeight="1">
      <c r="A16" s="52" t="s">
        <v>20</v>
      </c>
      <c r="B16" s="33">
        <v>86</v>
      </c>
      <c r="C16" s="30"/>
      <c r="D16" s="31">
        <f t="shared" si="0"/>
        <v>0</v>
      </c>
      <c r="E16" s="32">
        <v>0</v>
      </c>
      <c r="F16" s="32">
        <v>0</v>
      </c>
      <c r="G16" s="33">
        <v>108</v>
      </c>
      <c r="H16" s="30"/>
      <c r="I16" s="31">
        <f t="shared" si="1"/>
        <v>3</v>
      </c>
      <c r="J16" s="32">
        <v>3</v>
      </c>
      <c r="K16" s="32">
        <v>0</v>
      </c>
      <c r="L16" s="33">
        <v>150</v>
      </c>
      <c r="M16" s="30"/>
      <c r="N16" s="31">
        <v>5</v>
      </c>
      <c r="O16" s="32">
        <v>5</v>
      </c>
      <c r="P16" s="32">
        <v>0</v>
      </c>
      <c r="Q16" s="34" t="s">
        <v>50</v>
      </c>
      <c r="R16" s="35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L16" s="2"/>
    </row>
    <row r="17" spans="1:67" s="29" customFormat="1" ht="19.5" customHeight="1">
      <c r="A17" s="51" t="s">
        <v>12</v>
      </c>
      <c r="B17" s="33">
        <v>467</v>
      </c>
      <c r="C17" s="30"/>
      <c r="D17" s="31">
        <f t="shared" si="0"/>
        <v>57</v>
      </c>
      <c r="E17" s="32">
        <v>57</v>
      </c>
      <c r="F17" s="32">
        <v>0</v>
      </c>
      <c r="G17" s="33">
        <v>395</v>
      </c>
      <c r="H17" s="30"/>
      <c r="I17" s="31">
        <f t="shared" si="1"/>
        <v>59</v>
      </c>
      <c r="J17" s="32">
        <v>59</v>
      </c>
      <c r="K17" s="32">
        <v>0</v>
      </c>
      <c r="L17" s="33">
        <v>503</v>
      </c>
      <c r="M17" s="30"/>
      <c r="N17" s="31">
        <v>51</v>
      </c>
      <c r="O17" s="32">
        <v>50</v>
      </c>
      <c r="P17" s="32">
        <v>1</v>
      </c>
      <c r="Q17" s="34" t="s">
        <v>13</v>
      </c>
      <c r="R17" s="35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L17" s="2"/>
    </row>
    <row r="18" spans="1:67" s="29" customFormat="1" ht="19.5" customHeight="1">
      <c r="A18" s="51" t="s">
        <v>17</v>
      </c>
      <c r="B18" s="33">
        <v>494</v>
      </c>
      <c r="C18" s="30"/>
      <c r="D18" s="31">
        <f t="shared" si="0"/>
        <v>12</v>
      </c>
      <c r="E18" s="32">
        <v>11</v>
      </c>
      <c r="F18" s="32">
        <v>1</v>
      </c>
      <c r="G18" s="33">
        <v>609</v>
      </c>
      <c r="H18" s="30"/>
      <c r="I18" s="31">
        <f t="shared" si="1"/>
        <v>31</v>
      </c>
      <c r="J18" s="32">
        <v>30</v>
      </c>
      <c r="K18" s="32">
        <v>1</v>
      </c>
      <c r="L18" s="33">
        <v>987</v>
      </c>
      <c r="M18" s="30"/>
      <c r="N18" s="31">
        <v>29</v>
      </c>
      <c r="O18" s="32">
        <v>28</v>
      </c>
      <c r="P18" s="32">
        <v>1</v>
      </c>
      <c r="Q18" s="34" t="s">
        <v>19</v>
      </c>
      <c r="R18" s="35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L18" s="2"/>
    </row>
    <row r="19" spans="1:67" s="29" customFormat="1" ht="19.5" customHeight="1">
      <c r="A19" s="53" t="s">
        <v>27</v>
      </c>
      <c r="B19" s="33">
        <v>1814</v>
      </c>
      <c r="C19" s="36"/>
      <c r="D19" s="31">
        <f t="shared" si="0"/>
        <v>1</v>
      </c>
      <c r="E19" s="32">
        <v>1</v>
      </c>
      <c r="F19" s="32">
        <v>0</v>
      </c>
      <c r="G19" s="33">
        <v>744</v>
      </c>
      <c r="H19" s="36"/>
      <c r="I19" s="31">
        <f t="shared" si="1"/>
        <v>0</v>
      </c>
      <c r="J19" s="32">
        <v>0</v>
      </c>
      <c r="K19" s="32">
        <v>0</v>
      </c>
      <c r="L19" s="33">
        <v>974</v>
      </c>
      <c r="M19" s="36"/>
      <c r="N19" s="31">
        <v>1</v>
      </c>
      <c r="O19" s="32">
        <v>1</v>
      </c>
      <c r="P19" s="32">
        <v>0</v>
      </c>
      <c r="Q19" s="34" t="s">
        <v>9</v>
      </c>
      <c r="R19" s="35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L19" s="2"/>
    </row>
    <row r="20" spans="1:67" s="29" customFormat="1" ht="19.5" customHeight="1">
      <c r="A20" s="71" t="s">
        <v>7</v>
      </c>
      <c r="B20" s="74">
        <f>SUM(B21:B33)</f>
        <v>2815</v>
      </c>
      <c r="C20" s="73"/>
      <c r="D20" s="72">
        <f>SUM(E20:F20)</f>
        <v>303</v>
      </c>
      <c r="E20" s="72">
        <f>SUM(E21:E33)</f>
        <v>299</v>
      </c>
      <c r="F20" s="72">
        <f>SUM(F21:F33)</f>
        <v>4</v>
      </c>
      <c r="G20" s="74">
        <f>SUM(G21:G33)</f>
        <v>2791</v>
      </c>
      <c r="H20" s="73"/>
      <c r="I20" s="72">
        <f>SUM(J20:K20)</f>
        <v>1086</v>
      </c>
      <c r="J20" s="72">
        <f>SUM(J21:J33)</f>
        <v>1072</v>
      </c>
      <c r="K20" s="72">
        <f>SUM(K21:K33)</f>
        <v>14</v>
      </c>
      <c r="L20" s="77">
        <v>2278</v>
      </c>
      <c r="M20" s="73"/>
      <c r="N20" s="78">
        <v>316</v>
      </c>
      <c r="O20" s="79">
        <v>307</v>
      </c>
      <c r="P20" s="79">
        <v>9</v>
      </c>
      <c r="Q20" s="75" t="s">
        <v>24</v>
      </c>
      <c r="R20" s="35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</row>
    <row r="21" spans="1:67" s="39" customFormat="1" ht="19.5" hidden="1" customHeight="1">
      <c r="A21" s="4" t="s">
        <v>25</v>
      </c>
      <c r="B21" s="33">
        <v>29</v>
      </c>
      <c r="C21" s="61"/>
      <c r="D21" s="38">
        <f t="shared" ref="D21:D33" si="2">SUM(E21:F21)</f>
        <v>8</v>
      </c>
      <c r="E21" s="56">
        <v>8</v>
      </c>
      <c r="F21" s="56">
        <v>0</v>
      </c>
      <c r="G21" s="33">
        <v>24</v>
      </c>
      <c r="H21" s="61"/>
      <c r="I21" s="38">
        <f t="shared" ref="I21:I33" si="3">SUM(J21:K21)</f>
        <v>4</v>
      </c>
      <c r="J21" s="56">
        <v>4</v>
      </c>
      <c r="K21" s="56">
        <v>0</v>
      </c>
      <c r="L21" s="33"/>
      <c r="M21" s="61"/>
      <c r="N21" s="38"/>
      <c r="O21" s="56"/>
      <c r="P21" s="56"/>
      <c r="Q21" s="5" t="s">
        <v>26</v>
      </c>
    </row>
    <row r="22" spans="1:67" ht="19.5" hidden="1" customHeight="1">
      <c r="A22" s="4" t="s">
        <v>28</v>
      </c>
      <c r="B22" s="33">
        <v>56</v>
      </c>
      <c r="C22" s="62"/>
      <c r="D22" s="38">
        <f t="shared" si="2"/>
        <v>4</v>
      </c>
      <c r="E22" s="56">
        <v>4</v>
      </c>
      <c r="F22" s="56">
        <v>0</v>
      </c>
      <c r="G22" s="33">
        <v>63</v>
      </c>
      <c r="H22" s="62"/>
      <c r="I22" s="38">
        <f t="shared" si="3"/>
        <v>7</v>
      </c>
      <c r="J22" s="56">
        <v>7</v>
      </c>
      <c r="K22" s="56">
        <v>0</v>
      </c>
      <c r="L22" s="33"/>
      <c r="M22" s="62"/>
      <c r="N22" s="38"/>
      <c r="O22" s="56"/>
      <c r="P22" s="56"/>
      <c r="Q22" s="5" t="s">
        <v>29</v>
      </c>
    </row>
    <row r="23" spans="1:67" ht="19.5" hidden="1" customHeight="1">
      <c r="A23" s="4" t="s">
        <v>31</v>
      </c>
      <c r="B23" s="33">
        <v>60</v>
      </c>
      <c r="C23" s="62"/>
      <c r="D23" s="38">
        <f t="shared" si="2"/>
        <v>0</v>
      </c>
      <c r="E23" s="56">
        <v>0</v>
      </c>
      <c r="F23" s="56">
        <v>0</v>
      </c>
      <c r="G23" s="33">
        <v>40</v>
      </c>
      <c r="H23" s="62"/>
      <c r="I23" s="38">
        <f t="shared" si="3"/>
        <v>0</v>
      </c>
      <c r="J23" s="56">
        <v>0</v>
      </c>
      <c r="K23" s="56">
        <v>0</v>
      </c>
      <c r="L23" s="33"/>
      <c r="M23" s="62"/>
      <c r="N23" s="38"/>
      <c r="O23" s="56"/>
      <c r="P23" s="56"/>
      <c r="Q23" s="5" t="s">
        <v>32</v>
      </c>
    </row>
    <row r="24" spans="1:67" ht="19.5" hidden="1" customHeight="1">
      <c r="A24" s="4" t="s">
        <v>33</v>
      </c>
      <c r="B24" s="33">
        <v>68</v>
      </c>
      <c r="C24" s="62"/>
      <c r="D24" s="38">
        <f t="shared" si="2"/>
        <v>0</v>
      </c>
      <c r="E24" s="56">
        <v>0</v>
      </c>
      <c r="F24" s="56">
        <v>0</v>
      </c>
      <c r="G24" s="33">
        <v>74</v>
      </c>
      <c r="H24" s="62"/>
      <c r="I24" s="38">
        <f t="shared" si="3"/>
        <v>4</v>
      </c>
      <c r="J24" s="56">
        <v>2</v>
      </c>
      <c r="K24" s="56">
        <v>2</v>
      </c>
      <c r="L24" s="33"/>
      <c r="M24" s="62"/>
      <c r="N24" s="38"/>
      <c r="O24" s="56"/>
      <c r="P24" s="56"/>
      <c r="Q24" s="5" t="s">
        <v>34</v>
      </c>
    </row>
    <row r="25" spans="1:67" ht="19.5" hidden="1" customHeight="1">
      <c r="A25" s="4" t="s">
        <v>23</v>
      </c>
      <c r="B25" s="33">
        <v>218</v>
      </c>
      <c r="C25" s="62"/>
      <c r="D25" s="38">
        <f t="shared" si="2"/>
        <v>1</v>
      </c>
      <c r="E25" s="56">
        <v>1</v>
      </c>
      <c r="F25" s="56">
        <v>0</v>
      </c>
      <c r="G25" s="33">
        <v>112</v>
      </c>
      <c r="H25" s="62"/>
      <c r="I25" s="38">
        <f t="shared" si="3"/>
        <v>1</v>
      </c>
      <c r="J25" s="56">
        <v>1</v>
      </c>
      <c r="K25" s="56">
        <v>0</v>
      </c>
      <c r="L25" s="33"/>
      <c r="M25" s="62"/>
      <c r="N25" s="38"/>
      <c r="O25" s="56"/>
      <c r="P25" s="56"/>
      <c r="Q25" s="5" t="s">
        <v>35</v>
      </c>
    </row>
    <row r="26" spans="1:67" ht="19.5" hidden="1" customHeight="1">
      <c r="A26" s="4" t="s">
        <v>22</v>
      </c>
      <c r="B26" s="33">
        <v>185</v>
      </c>
      <c r="C26" s="62"/>
      <c r="D26" s="38">
        <f t="shared" si="2"/>
        <v>7</v>
      </c>
      <c r="E26" s="56">
        <v>7</v>
      </c>
      <c r="F26" s="56">
        <v>0</v>
      </c>
      <c r="G26" s="33">
        <v>153</v>
      </c>
      <c r="H26" s="62"/>
      <c r="I26" s="38">
        <f t="shared" si="3"/>
        <v>7</v>
      </c>
      <c r="J26" s="56">
        <v>7</v>
      </c>
      <c r="K26" s="56">
        <v>0</v>
      </c>
      <c r="L26" s="33"/>
      <c r="M26" s="62"/>
      <c r="N26" s="38"/>
      <c r="O26" s="56"/>
      <c r="P26" s="56"/>
      <c r="Q26" s="5" t="s">
        <v>36</v>
      </c>
    </row>
    <row r="27" spans="1:67" ht="19.5" hidden="1" customHeight="1">
      <c r="A27" s="4" t="s">
        <v>30</v>
      </c>
      <c r="B27" s="33">
        <v>79</v>
      </c>
      <c r="C27" s="62"/>
      <c r="D27" s="38">
        <f t="shared" si="2"/>
        <v>39</v>
      </c>
      <c r="E27" s="56">
        <v>39</v>
      </c>
      <c r="F27" s="56">
        <v>0</v>
      </c>
      <c r="G27" s="33">
        <v>121</v>
      </c>
      <c r="H27" s="62"/>
      <c r="I27" s="38">
        <f t="shared" si="3"/>
        <v>48</v>
      </c>
      <c r="J27" s="56">
        <v>47</v>
      </c>
      <c r="K27" s="56">
        <v>1</v>
      </c>
      <c r="L27" s="33"/>
      <c r="M27" s="62"/>
      <c r="N27" s="38"/>
      <c r="O27" s="56"/>
      <c r="P27" s="56"/>
      <c r="Q27" s="5" t="s">
        <v>37</v>
      </c>
    </row>
    <row r="28" spans="1:67" ht="19.5" hidden="1" customHeight="1">
      <c r="A28" s="4" t="s">
        <v>38</v>
      </c>
      <c r="B28" s="33">
        <v>73</v>
      </c>
      <c r="C28" s="62"/>
      <c r="D28" s="38">
        <f t="shared" si="2"/>
        <v>8</v>
      </c>
      <c r="E28" s="56">
        <v>8</v>
      </c>
      <c r="F28" s="56">
        <v>0</v>
      </c>
      <c r="G28" s="33">
        <v>104</v>
      </c>
      <c r="H28" s="62"/>
      <c r="I28" s="38">
        <f t="shared" si="3"/>
        <v>5</v>
      </c>
      <c r="J28" s="56">
        <v>5</v>
      </c>
      <c r="K28" s="56">
        <v>0</v>
      </c>
      <c r="L28" s="33"/>
      <c r="M28" s="62"/>
      <c r="N28" s="38"/>
      <c r="O28" s="56"/>
      <c r="P28" s="56"/>
      <c r="Q28" s="5" t="s">
        <v>39</v>
      </c>
    </row>
    <row r="29" spans="1:67" ht="19.5" hidden="1" customHeight="1">
      <c r="A29" s="4" t="s">
        <v>40</v>
      </c>
      <c r="B29" s="33">
        <v>72</v>
      </c>
      <c r="C29" s="62"/>
      <c r="D29" s="38">
        <f t="shared" si="2"/>
        <v>3</v>
      </c>
      <c r="E29" s="56">
        <v>3</v>
      </c>
      <c r="F29" s="56">
        <v>0</v>
      </c>
      <c r="G29" s="33">
        <v>56</v>
      </c>
      <c r="H29" s="62"/>
      <c r="I29" s="38">
        <f t="shared" si="3"/>
        <v>6</v>
      </c>
      <c r="J29" s="56">
        <v>6</v>
      </c>
      <c r="K29" s="56">
        <v>0</v>
      </c>
      <c r="L29" s="33"/>
      <c r="M29" s="62"/>
      <c r="N29" s="38"/>
      <c r="O29" s="56"/>
      <c r="P29" s="56"/>
      <c r="Q29" s="5" t="s">
        <v>41</v>
      </c>
    </row>
    <row r="30" spans="1:67" ht="19.5" hidden="1" customHeight="1">
      <c r="A30" s="4" t="s">
        <v>15</v>
      </c>
      <c r="B30" s="33">
        <v>492</v>
      </c>
      <c r="C30" s="62"/>
      <c r="D30" s="38">
        <f t="shared" si="2"/>
        <v>46</v>
      </c>
      <c r="E30" s="56">
        <v>46</v>
      </c>
      <c r="F30" s="56">
        <v>0</v>
      </c>
      <c r="G30" s="33">
        <v>623</v>
      </c>
      <c r="H30" s="62"/>
      <c r="I30" s="38">
        <f t="shared" si="3"/>
        <v>79</v>
      </c>
      <c r="J30" s="56">
        <v>79</v>
      </c>
      <c r="K30" s="56">
        <v>0</v>
      </c>
      <c r="L30" s="33"/>
      <c r="M30" s="62"/>
      <c r="N30" s="38"/>
      <c r="O30" s="56"/>
      <c r="P30" s="56"/>
      <c r="Q30" s="5" t="s">
        <v>42</v>
      </c>
    </row>
    <row r="31" spans="1:67" ht="27" hidden="1" customHeight="1">
      <c r="A31" s="42" t="s">
        <v>43</v>
      </c>
      <c r="B31" s="33">
        <v>19</v>
      </c>
      <c r="C31" s="62"/>
      <c r="D31" s="38">
        <f t="shared" si="2"/>
        <v>10</v>
      </c>
      <c r="E31" s="56">
        <v>10</v>
      </c>
      <c r="F31" s="56">
        <v>0</v>
      </c>
      <c r="G31" s="33">
        <v>8</v>
      </c>
      <c r="H31" s="62"/>
      <c r="I31" s="38">
        <f t="shared" si="3"/>
        <v>1</v>
      </c>
      <c r="J31" s="56">
        <v>1</v>
      </c>
      <c r="K31" s="56">
        <v>0</v>
      </c>
      <c r="L31" s="33"/>
      <c r="M31" s="62"/>
      <c r="N31" s="38"/>
      <c r="O31" s="56"/>
      <c r="P31" s="56"/>
      <c r="Q31" s="5" t="s">
        <v>44</v>
      </c>
    </row>
    <row r="32" spans="1:67" ht="19.5" hidden="1" customHeight="1">
      <c r="A32" s="4" t="s">
        <v>45</v>
      </c>
      <c r="B32" s="33">
        <v>15</v>
      </c>
      <c r="C32" s="62"/>
      <c r="D32" s="38">
        <f t="shared" si="2"/>
        <v>8</v>
      </c>
      <c r="E32" s="56">
        <v>7</v>
      </c>
      <c r="F32" s="56">
        <v>1</v>
      </c>
      <c r="G32" s="33">
        <v>17</v>
      </c>
      <c r="H32" s="62"/>
      <c r="I32" s="38">
        <f t="shared" si="3"/>
        <v>7</v>
      </c>
      <c r="J32" s="56">
        <v>6</v>
      </c>
      <c r="K32" s="56">
        <v>1</v>
      </c>
      <c r="L32" s="33"/>
      <c r="M32" s="62"/>
      <c r="N32" s="38"/>
      <c r="O32" s="56"/>
      <c r="P32" s="56"/>
      <c r="Q32" s="5" t="s">
        <v>46</v>
      </c>
      <c r="BM32" s="8"/>
      <c r="BN32" s="11"/>
      <c r="BO32" s="11"/>
    </row>
    <row r="33" spans="1:67" ht="19.5" hidden="1" customHeight="1">
      <c r="A33" s="6" t="s">
        <v>7</v>
      </c>
      <c r="B33" s="55">
        <v>1449</v>
      </c>
      <c r="C33" s="63"/>
      <c r="D33" s="43">
        <f t="shared" si="2"/>
        <v>169</v>
      </c>
      <c r="E33" s="57">
        <v>166</v>
      </c>
      <c r="F33" s="57">
        <v>3</v>
      </c>
      <c r="G33" s="55">
        <v>1396</v>
      </c>
      <c r="H33" s="63"/>
      <c r="I33" s="43">
        <f t="shared" si="3"/>
        <v>917</v>
      </c>
      <c r="J33" s="57">
        <v>907</v>
      </c>
      <c r="K33" s="57">
        <v>10</v>
      </c>
      <c r="L33" s="55"/>
      <c r="M33" s="63"/>
      <c r="N33" s="43"/>
      <c r="O33" s="57"/>
      <c r="P33" s="57"/>
      <c r="Q33" s="7" t="s">
        <v>24</v>
      </c>
      <c r="BM33" s="2"/>
      <c r="BN33" s="3"/>
      <c r="BO33" s="3"/>
    </row>
    <row r="34" spans="1:67" ht="27" customHeight="1">
      <c r="A34" s="76" t="s">
        <v>47</v>
      </c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80" t="s">
        <v>48</v>
      </c>
      <c r="BJ34" s="37"/>
      <c r="BM34" s="2"/>
      <c r="BN34" s="3"/>
      <c r="BO34" s="3"/>
    </row>
    <row r="35" spans="1:67" ht="12.75" customHeight="1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BJ35" s="37"/>
      <c r="BM35" s="2"/>
      <c r="BN35" s="3"/>
      <c r="BO35" s="3"/>
    </row>
    <row r="36" spans="1:67" ht="12.75" customHeight="1">
      <c r="A36" s="48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4"/>
      <c r="BJ36" s="37"/>
      <c r="BM36" s="2"/>
      <c r="BN36" s="3"/>
      <c r="BO36" s="3"/>
    </row>
    <row r="37" spans="1:67" ht="12.75" customHeight="1">
      <c r="A37" s="48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4"/>
      <c r="BJ37" s="37"/>
      <c r="BM37" s="2"/>
      <c r="BN37" s="3"/>
      <c r="BO37" s="3"/>
    </row>
    <row r="38" spans="1:67" ht="12.75" customHeight="1">
      <c r="A38" s="48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BJ38" s="37"/>
      <c r="BM38" s="2"/>
      <c r="BN38" s="3"/>
      <c r="BO38" s="3"/>
    </row>
    <row r="39" spans="1:67" ht="12.75" customHeight="1">
      <c r="A39" s="48"/>
      <c r="B39" s="14"/>
      <c r="C39" s="41"/>
      <c r="D39" s="41"/>
      <c r="E39" s="41"/>
      <c r="F39" s="41"/>
      <c r="G39" s="14"/>
      <c r="H39" s="41"/>
      <c r="I39" s="41"/>
      <c r="J39" s="41"/>
      <c r="K39" s="41"/>
      <c r="L39" s="14"/>
      <c r="M39" s="41"/>
      <c r="N39" s="41"/>
      <c r="O39" s="41"/>
      <c r="P39" s="41"/>
      <c r="Q39" s="44"/>
      <c r="BJ39" s="37"/>
      <c r="BM39" s="2"/>
      <c r="BN39" s="3"/>
      <c r="BO39" s="3"/>
    </row>
    <row r="40" spans="1:67" ht="12.75" customHeight="1">
      <c r="A40" s="48"/>
      <c r="C40" s="45"/>
      <c r="D40" s="41"/>
      <c r="E40" s="41"/>
      <c r="F40" s="41"/>
      <c r="H40" s="45"/>
      <c r="I40" s="41"/>
      <c r="J40" s="41"/>
      <c r="K40" s="41"/>
      <c r="M40" s="45"/>
      <c r="N40" s="41"/>
      <c r="O40" s="41"/>
      <c r="P40" s="41"/>
      <c r="Q40" s="44"/>
      <c r="BJ40" s="37"/>
      <c r="BM40" s="2"/>
      <c r="BN40" s="3"/>
      <c r="BO40" s="3"/>
    </row>
    <row r="41" spans="1:67" ht="12.75" customHeight="1">
      <c r="BJ41" s="46"/>
      <c r="BM41" s="2"/>
      <c r="BN41" s="3"/>
      <c r="BO41" s="3"/>
    </row>
    <row r="42" spans="1:67" ht="12.75" customHeight="1"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AZ42" s="68" t="s">
        <v>56</v>
      </c>
      <c r="BA42" s="68" t="s">
        <v>57</v>
      </c>
      <c r="BD42" s="9" t="s">
        <v>56</v>
      </c>
      <c r="BE42" s="9" t="s">
        <v>57</v>
      </c>
      <c r="BJ42" s="37"/>
      <c r="BM42" s="2"/>
      <c r="BN42" s="3"/>
      <c r="BO42" s="3"/>
    </row>
    <row r="43" spans="1:67" ht="12.75" customHeight="1">
      <c r="A43" s="48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4"/>
      <c r="AY43" s="51" t="s">
        <v>6</v>
      </c>
      <c r="AZ43" s="69">
        <f>O9</f>
        <v>233</v>
      </c>
      <c r="BA43" s="69">
        <f>P9</f>
        <v>7</v>
      </c>
      <c r="BB43" s="69">
        <f>SUM(AZ43:BA43)</f>
        <v>240</v>
      </c>
      <c r="BC43" s="16" t="s">
        <v>6</v>
      </c>
      <c r="BD43" s="64">
        <f>AZ43/BB43*100</f>
        <v>97.083333333333329</v>
      </c>
      <c r="BE43" s="64">
        <f>BA43/BB43*100</f>
        <v>2.9166666666666665</v>
      </c>
      <c r="BJ43" s="37"/>
      <c r="BM43" s="2"/>
      <c r="BN43" s="3"/>
      <c r="BO43" s="3"/>
    </row>
    <row r="44" spans="1:67" ht="14.5">
      <c r="A44" s="48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4"/>
      <c r="AY44" s="51" t="s">
        <v>0</v>
      </c>
      <c r="AZ44" s="69">
        <f>O10</f>
        <v>952</v>
      </c>
      <c r="BA44" s="69">
        <f>P10</f>
        <v>10</v>
      </c>
      <c r="BB44" s="69">
        <f t="shared" ref="BB44:BB54" si="4">SUM(AZ44:BA44)</f>
        <v>962</v>
      </c>
      <c r="BC44" s="16" t="s">
        <v>0</v>
      </c>
      <c r="BD44" s="64">
        <f t="shared" ref="BD44:BD54" si="5">AZ44/BB44*100</f>
        <v>98.960498960498967</v>
      </c>
      <c r="BE44" s="64">
        <f t="shared" ref="BE44:BE54" si="6">BA44/BB44*100</f>
        <v>1.0395010395010396</v>
      </c>
      <c r="BJ44" s="37"/>
      <c r="BM44" s="2"/>
      <c r="BN44" s="3"/>
      <c r="BO44" s="3"/>
    </row>
    <row r="45" spans="1:67">
      <c r="A45" s="48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4"/>
      <c r="AY45" s="51" t="s">
        <v>10</v>
      </c>
      <c r="AZ45" s="69">
        <f t="shared" ref="AZ45:BA45" si="7">O11</f>
        <v>102</v>
      </c>
      <c r="BA45" s="69">
        <f t="shared" si="7"/>
        <v>4</v>
      </c>
      <c r="BB45" s="69">
        <f t="shared" si="4"/>
        <v>106</v>
      </c>
      <c r="BC45" s="16" t="s">
        <v>10</v>
      </c>
      <c r="BD45" s="64">
        <f t="shared" si="5"/>
        <v>96.226415094339629</v>
      </c>
      <c r="BE45" s="64">
        <f t="shared" si="6"/>
        <v>3.7735849056603774</v>
      </c>
      <c r="BJ45" s="37"/>
    </row>
    <row r="46" spans="1:67">
      <c r="A46" s="48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4"/>
      <c r="AY46" s="51" t="s">
        <v>4</v>
      </c>
      <c r="AZ46" s="69">
        <f t="shared" ref="AZ46:BA46" si="8">O12</f>
        <v>1099</v>
      </c>
      <c r="BA46" s="69">
        <f t="shared" si="8"/>
        <v>20</v>
      </c>
      <c r="BB46" s="69">
        <f t="shared" si="4"/>
        <v>1119</v>
      </c>
      <c r="BC46" s="16" t="s">
        <v>4</v>
      </c>
      <c r="BD46" s="64">
        <f t="shared" si="5"/>
        <v>98.212689901697942</v>
      </c>
      <c r="BE46" s="64">
        <f t="shared" si="6"/>
        <v>1.7873100983020553</v>
      </c>
    </row>
    <row r="47" spans="1:67">
      <c r="A47" s="48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4"/>
      <c r="AY47" s="51" t="s">
        <v>14</v>
      </c>
      <c r="AZ47" s="69">
        <f t="shared" ref="AZ47:BA47" si="9">O13</f>
        <v>84</v>
      </c>
      <c r="BA47" s="69">
        <f t="shared" si="9"/>
        <v>4</v>
      </c>
      <c r="BB47" s="69">
        <f t="shared" si="4"/>
        <v>88</v>
      </c>
      <c r="BC47" s="16" t="s">
        <v>14</v>
      </c>
      <c r="BD47" s="64">
        <f t="shared" si="5"/>
        <v>95.454545454545453</v>
      </c>
      <c r="BE47" s="64">
        <f t="shared" si="6"/>
        <v>4.5454545454545459</v>
      </c>
    </row>
    <row r="48" spans="1:67">
      <c r="A48" s="48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4"/>
      <c r="AY48" s="51" t="s">
        <v>2</v>
      </c>
      <c r="AZ48" s="69">
        <f t="shared" ref="AZ48:BA48" si="10">O14</f>
        <v>0</v>
      </c>
      <c r="BA48" s="69">
        <f t="shared" si="10"/>
        <v>0</v>
      </c>
      <c r="BB48" s="69">
        <f t="shared" si="4"/>
        <v>0</v>
      </c>
      <c r="BC48" s="16" t="s">
        <v>2</v>
      </c>
      <c r="BD48" s="64">
        <v>0</v>
      </c>
      <c r="BE48" s="64">
        <v>0</v>
      </c>
    </row>
    <row r="49" spans="1:65">
      <c r="A49" s="48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4"/>
      <c r="AY49" s="51" t="s">
        <v>18</v>
      </c>
      <c r="AZ49" s="69">
        <f t="shared" ref="AZ49:BA49" si="11">O15</f>
        <v>24</v>
      </c>
      <c r="BA49" s="69">
        <f t="shared" si="11"/>
        <v>0</v>
      </c>
      <c r="BB49" s="69">
        <f t="shared" si="4"/>
        <v>24</v>
      </c>
      <c r="BC49" s="16" t="s">
        <v>18</v>
      </c>
      <c r="BD49" s="64">
        <f t="shared" si="5"/>
        <v>100</v>
      </c>
      <c r="BE49" s="64">
        <f t="shared" si="6"/>
        <v>0</v>
      </c>
    </row>
    <row r="50" spans="1:65" ht="18" customHeight="1">
      <c r="A50" s="48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4"/>
      <c r="AY50" s="52" t="s">
        <v>20</v>
      </c>
      <c r="AZ50" s="69">
        <f t="shared" ref="AZ50:BA50" si="12">O16</f>
        <v>5</v>
      </c>
      <c r="BA50" s="69">
        <f t="shared" si="12"/>
        <v>0</v>
      </c>
      <c r="BB50" s="69">
        <f t="shared" si="4"/>
        <v>5</v>
      </c>
      <c r="BC50" s="16" t="s">
        <v>20</v>
      </c>
      <c r="BD50" s="64">
        <f t="shared" si="5"/>
        <v>100</v>
      </c>
      <c r="BE50" s="64">
        <f t="shared" si="6"/>
        <v>0</v>
      </c>
    </row>
    <row r="51" spans="1:65">
      <c r="A51" s="48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4"/>
      <c r="AY51" s="51" t="s">
        <v>12</v>
      </c>
      <c r="AZ51" s="69">
        <f t="shared" ref="AZ51:BA51" si="13">O17</f>
        <v>50</v>
      </c>
      <c r="BA51" s="69">
        <f t="shared" si="13"/>
        <v>1</v>
      </c>
      <c r="BB51" s="69">
        <f t="shared" si="4"/>
        <v>51</v>
      </c>
      <c r="BC51" s="16" t="s">
        <v>12</v>
      </c>
      <c r="BD51" s="64">
        <f t="shared" si="5"/>
        <v>98.039215686274503</v>
      </c>
      <c r="BE51" s="64">
        <f t="shared" si="6"/>
        <v>1.9607843137254901</v>
      </c>
    </row>
    <row r="52" spans="1:65">
      <c r="A52" s="48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4"/>
      <c r="AY52" s="51" t="s">
        <v>17</v>
      </c>
      <c r="AZ52" s="69">
        <f t="shared" ref="AZ52:BA52" si="14">O18</f>
        <v>28</v>
      </c>
      <c r="BA52" s="69">
        <f t="shared" si="14"/>
        <v>1</v>
      </c>
      <c r="BB52" s="69">
        <f t="shared" si="4"/>
        <v>29</v>
      </c>
      <c r="BC52" s="16" t="s">
        <v>17</v>
      </c>
      <c r="BD52" s="64">
        <f t="shared" si="5"/>
        <v>96.551724137931032</v>
      </c>
      <c r="BE52" s="64">
        <f t="shared" si="6"/>
        <v>3.4482758620689653</v>
      </c>
    </row>
    <row r="53" spans="1:65">
      <c r="A53" s="48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4"/>
      <c r="AY53" s="53" t="s">
        <v>27</v>
      </c>
      <c r="AZ53" s="69">
        <f t="shared" ref="AZ53:BA53" si="15">O19</f>
        <v>1</v>
      </c>
      <c r="BA53" s="69">
        <f t="shared" si="15"/>
        <v>0</v>
      </c>
      <c r="BB53" s="69">
        <f t="shared" si="4"/>
        <v>1</v>
      </c>
      <c r="BC53" s="16" t="s">
        <v>27</v>
      </c>
      <c r="BD53" s="64">
        <v>0</v>
      </c>
      <c r="BE53" s="64">
        <v>0</v>
      </c>
    </row>
    <row r="54" spans="1:65">
      <c r="A54" s="48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4"/>
      <c r="AY54" s="71" t="s">
        <v>7</v>
      </c>
      <c r="AZ54" s="69">
        <f t="shared" ref="AZ54:BA54" si="16">O20</f>
        <v>307</v>
      </c>
      <c r="BA54" s="69">
        <f t="shared" si="16"/>
        <v>9</v>
      </c>
      <c r="BB54" s="69">
        <f t="shared" si="4"/>
        <v>316</v>
      </c>
      <c r="BC54" s="16" t="s">
        <v>7</v>
      </c>
      <c r="BD54" s="64">
        <f t="shared" si="5"/>
        <v>97.151898734177209</v>
      </c>
      <c r="BE54" s="64">
        <f t="shared" si="6"/>
        <v>2.8481012658227849</v>
      </c>
    </row>
    <row r="55" spans="1:65">
      <c r="A55" s="48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4"/>
      <c r="BK55" s="68" t="s">
        <v>55</v>
      </c>
      <c r="BL55" s="68" t="s">
        <v>56</v>
      </c>
      <c r="BM55" s="68" t="s">
        <v>57</v>
      </c>
    </row>
    <row r="56" spans="1:65" ht="14.5">
      <c r="A56" s="48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4"/>
      <c r="BJ56" s="51" t="s">
        <v>6</v>
      </c>
      <c r="BK56" s="31">
        <v>324</v>
      </c>
      <c r="BL56" s="32">
        <v>321</v>
      </c>
      <c r="BM56" s="32">
        <v>3</v>
      </c>
    </row>
    <row r="57" spans="1:65" ht="14.5">
      <c r="A57" s="48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4"/>
      <c r="BJ57" s="51" t="s">
        <v>0</v>
      </c>
      <c r="BK57" s="31">
        <v>770</v>
      </c>
      <c r="BL57" s="32">
        <v>768</v>
      </c>
      <c r="BM57" s="32">
        <v>2</v>
      </c>
    </row>
    <row r="58" spans="1:65" ht="14.5">
      <c r="A58" s="49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5"/>
      <c r="BJ58" s="53" t="s">
        <v>10</v>
      </c>
      <c r="BK58" s="31">
        <v>100</v>
      </c>
      <c r="BL58" s="32">
        <v>95</v>
      </c>
      <c r="BM58" s="32">
        <v>5</v>
      </c>
    </row>
    <row r="59" spans="1:65" ht="14.5">
      <c r="BJ59" s="37" t="s">
        <v>4</v>
      </c>
      <c r="BK59" s="40">
        <v>1218</v>
      </c>
      <c r="BL59" s="40">
        <v>1194</v>
      </c>
      <c r="BM59" s="40">
        <v>24</v>
      </c>
    </row>
    <row r="60" spans="1:65" ht="14.5">
      <c r="F60" s="37"/>
      <c r="K60" s="37"/>
      <c r="P60" s="37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BJ60" s="37" t="s">
        <v>14</v>
      </c>
      <c r="BK60" s="31">
        <v>202</v>
      </c>
      <c r="BL60" s="32">
        <v>190</v>
      </c>
      <c r="BM60" s="32">
        <v>12</v>
      </c>
    </row>
    <row r="61" spans="1:65" ht="14.5">
      <c r="BJ61" s="37" t="s">
        <v>2</v>
      </c>
      <c r="BK61" s="31">
        <v>1</v>
      </c>
      <c r="BL61" s="32">
        <v>1</v>
      </c>
      <c r="BM61" s="32">
        <v>0</v>
      </c>
    </row>
    <row r="62" spans="1:65" ht="14.5">
      <c r="BJ62" s="37" t="s">
        <v>18</v>
      </c>
      <c r="BK62" s="40">
        <v>24</v>
      </c>
      <c r="BL62" s="40">
        <v>24</v>
      </c>
      <c r="BM62" s="40">
        <v>0</v>
      </c>
    </row>
    <row r="63" spans="1:65" ht="14.5">
      <c r="BJ63" s="37" t="s">
        <v>20</v>
      </c>
      <c r="BK63" s="31">
        <v>3</v>
      </c>
      <c r="BL63" s="32">
        <v>3</v>
      </c>
      <c r="BM63" s="32">
        <v>0</v>
      </c>
    </row>
    <row r="64" spans="1:65" ht="12.75" customHeight="1">
      <c r="BJ64" s="37" t="s">
        <v>12</v>
      </c>
      <c r="BK64" s="40">
        <v>59</v>
      </c>
      <c r="BL64" s="40">
        <v>59</v>
      </c>
      <c r="BM64" s="40">
        <v>0</v>
      </c>
    </row>
    <row r="65" spans="62:65" ht="14.5">
      <c r="BJ65" s="37" t="s">
        <v>17</v>
      </c>
      <c r="BK65" s="31">
        <v>31</v>
      </c>
      <c r="BL65" s="32">
        <v>30</v>
      </c>
      <c r="BM65" s="32">
        <v>1</v>
      </c>
    </row>
    <row r="66" spans="62:65" ht="14.5">
      <c r="BJ66" s="46" t="s">
        <v>27</v>
      </c>
      <c r="BK66" s="40">
        <v>0</v>
      </c>
      <c r="BL66" s="40">
        <v>0</v>
      </c>
      <c r="BM66" s="40">
        <v>0</v>
      </c>
    </row>
    <row r="67" spans="62:65" ht="14.5">
      <c r="BJ67" s="37" t="s">
        <v>7</v>
      </c>
      <c r="BK67" s="31">
        <v>1087</v>
      </c>
      <c r="BL67" s="32">
        <v>1073</v>
      </c>
      <c r="BM67" s="32">
        <v>14</v>
      </c>
    </row>
    <row r="68" spans="62:65">
      <c r="BJ68" s="4"/>
    </row>
    <row r="70" spans="62:65" ht="14.5">
      <c r="BJ70" s="4"/>
      <c r="BK70" s="40"/>
      <c r="BL70" s="40"/>
      <c r="BM70" s="40"/>
    </row>
    <row r="71" spans="62:65" ht="14.5">
      <c r="BJ71" s="4"/>
      <c r="BK71" s="40"/>
      <c r="BL71" s="40"/>
      <c r="BM71" s="40"/>
    </row>
    <row r="72" spans="62:65" ht="14.5">
      <c r="BJ72" s="4"/>
      <c r="BK72" s="40"/>
      <c r="BL72" s="40"/>
      <c r="BM72" s="40"/>
    </row>
    <row r="73" spans="62:65" ht="14.5">
      <c r="BJ73" s="46"/>
      <c r="BK73" s="31"/>
      <c r="BL73" s="32"/>
      <c r="BM73" s="32"/>
    </row>
    <row r="74" spans="62:65" ht="14.5">
      <c r="BJ74" s="4"/>
      <c r="BK74" s="40"/>
      <c r="BL74" s="40"/>
      <c r="BM74" s="40"/>
    </row>
    <row r="75" spans="62:65" ht="14.5">
      <c r="BJ75" s="4"/>
      <c r="BK75" s="40"/>
      <c r="BL75" s="40"/>
      <c r="BM75" s="40"/>
    </row>
    <row r="76" spans="62:65" ht="14.5">
      <c r="BJ76" s="37"/>
      <c r="BK76" s="31"/>
      <c r="BL76" s="32"/>
      <c r="BM76" s="32"/>
    </row>
    <row r="77" spans="62:65" ht="12.75" customHeight="1">
      <c r="BJ77" s="4"/>
      <c r="BK77" s="40"/>
      <c r="BL77" s="40"/>
      <c r="BM77" s="40"/>
    </row>
    <row r="78" spans="62:65" ht="14.5">
      <c r="BJ78" s="4"/>
      <c r="BK78" s="40"/>
      <c r="BL78" s="40"/>
      <c r="BM78" s="40"/>
    </row>
    <row r="79" spans="62:65" ht="14.5">
      <c r="BJ79" s="37"/>
      <c r="BK79" s="31"/>
      <c r="BL79" s="32"/>
      <c r="BM79" s="32"/>
    </row>
    <row r="80" spans="62:65" ht="14.5">
      <c r="BJ80" s="4"/>
      <c r="BK80" s="40"/>
      <c r="BL80" s="40"/>
      <c r="BM80" s="40"/>
    </row>
    <row r="81" spans="62:65" ht="14.5">
      <c r="BJ81" s="4"/>
      <c r="BK81" s="40"/>
      <c r="BL81" s="40"/>
      <c r="BM81" s="40"/>
    </row>
    <row r="542" spans="1:17">
      <c r="A542" s="58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60"/>
    </row>
    <row r="543" spans="1:17">
      <c r="A543" s="48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4"/>
    </row>
    <row r="544" spans="1:17">
      <c r="A544" s="48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4"/>
    </row>
    <row r="545" spans="1:17">
      <c r="A545" s="48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4"/>
    </row>
  </sheetData>
  <mergeCells count="14">
    <mergeCell ref="R4:R7"/>
    <mergeCell ref="B4:F4"/>
    <mergeCell ref="B5:B6"/>
    <mergeCell ref="D5:F5"/>
    <mergeCell ref="A4:A7"/>
    <mergeCell ref="A1:Q1"/>
    <mergeCell ref="A2:Q2"/>
    <mergeCell ref="Q4:Q7"/>
    <mergeCell ref="G4:K4"/>
    <mergeCell ref="G5:G6"/>
    <mergeCell ref="I5:K5"/>
    <mergeCell ref="L4:P4"/>
    <mergeCell ref="L5:L6"/>
    <mergeCell ref="N5:P5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1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8.13</vt:lpstr>
      <vt:lpstr>'8.13'!Print_Area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User</cp:lastModifiedBy>
  <cp:lastPrinted>2023-05-16T19:10:11Z</cp:lastPrinted>
  <dcterms:created xsi:type="dcterms:W3CDTF">2019-06-30T04:22:49Z</dcterms:created>
  <dcterms:modified xsi:type="dcterms:W3CDTF">2023-05-16T19:10:30Z</dcterms:modified>
</cp:coreProperties>
</file>